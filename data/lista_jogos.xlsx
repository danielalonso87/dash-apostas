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624"/>
  </bookViews>
  <sheets>
    <sheet name="jogos" sheetId="84" r:id="rId1"/>
    <sheet name="Jogos do Dia" sheetId="75" r:id="rId2"/>
    <sheet name="07-07" sheetId="82" r:id="rId3"/>
    <sheet name="Análise Individual" sheetId="69" r:id="rId4"/>
    <sheet name="Processos" sheetId="83" r:id="rId5"/>
  </sheets>
  <definedNames>
    <definedName name="_xlnm._FilterDatabase" localSheetId="2" hidden="1">'07-07'!$A$1:$AF$48</definedName>
    <definedName name="_xlnm._FilterDatabase" localSheetId="1" hidden="1">'Jogos do Dia'!$B$2:$G$2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69" l="1"/>
  <c r="E19" i="69" l="1"/>
  <c r="E24" i="69"/>
  <c r="E18" i="69"/>
  <c r="D18" i="69"/>
  <c r="AL48" i="82" l="1"/>
  <c r="AK48" i="82"/>
  <c r="AJ48" i="82"/>
  <c r="AI48" i="82"/>
  <c r="AH48" i="82"/>
  <c r="AG48" i="82"/>
  <c r="AF48" i="82"/>
  <c r="AE48" i="82"/>
  <c r="AD48" i="82"/>
  <c r="AB48" i="82"/>
  <c r="Y48" i="82"/>
  <c r="X48" i="82"/>
  <c r="AA48" i="82" s="1"/>
  <c r="AL47" i="82"/>
  <c r="AK47" i="82"/>
  <c r="AJ47" i="82"/>
  <c r="AI47" i="82"/>
  <c r="AH47" i="82"/>
  <c r="AG47" i="82"/>
  <c r="AF47" i="82"/>
  <c r="AE47" i="82"/>
  <c r="AD47" i="82"/>
  <c r="AB47" i="82"/>
  <c r="Y47" i="82"/>
  <c r="X47" i="82"/>
  <c r="AA47" i="82" s="1"/>
  <c r="AL46" i="82"/>
  <c r="AK46" i="82"/>
  <c r="AJ46" i="82"/>
  <c r="AI46" i="82"/>
  <c r="AH46" i="82"/>
  <c r="AG46" i="82"/>
  <c r="AF46" i="82"/>
  <c r="AE46" i="82"/>
  <c r="AD46" i="82"/>
  <c r="AB46" i="82"/>
  <c r="AA46" i="82"/>
  <c r="Z46" i="82"/>
  <c r="Y46" i="82"/>
  <c r="X46" i="82"/>
  <c r="AL45" i="82"/>
  <c r="AK45" i="82"/>
  <c r="AJ45" i="82"/>
  <c r="AI45" i="82"/>
  <c r="AH45" i="82"/>
  <c r="AG45" i="82"/>
  <c r="AC45" i="82" s="1"/>
  <c r="AF45" i="82"/>
  <c r="AE45" i="82"/>
  <c r="AD45" i="82"/>
  <c r="AB45" i="82"/>
  <c r="Y45" i="82"/>
  <c r="X45" i="82"/>
  <c r="AL44" i="82"/>
  <c r="AK44" i="82"/>
  <c r="AJ44" i="82"/>
  <c r="AI44" i="82"/>
  <c r="AH44" i="82"/>
  <c r="AG44" i="82"/>
  <c r="AC44" i="82" s="1"/>
  <c r="AF44" i="82"/>
  <c r="AE44" i="82"/>
  <c r="AD44" i="82"/>
  <c r="AB44" i="82"/>
  <c r="AA44" i="82"/>
  <c r="Y44" i="82"/>
  <c r="X44" i="82"/>
  <c r="Z44" i="82" s="1"/>
  <c r="AL43" i="82"/>
  <c r="AK43" i="82"/>
  <c r="AJ43" i="82"/>
  <c r="AI43" i="82"/>
  <c r="AH43" i="82"/>
  <c r="AG43" i="82"/>
  <c r="AF43" i="82"/>
  <c r="AE43" i="82"/>
  <c r="AD43" i="82"/>
  <c r="AB43" i="82"/>
  <c r="Y43" i="82"/>
  <c r="X43" i="82"/>
  <c r="AL42" i="82"/>
  <c r="AK42" i="82"/>
  <c r="AJ42" i="82"/>
  <c r="AI42" i="82"/>
  <c r="AH42" i="82"/>
  <c r="AG42" i="82"/>
  <c r="AF42" i="82"/>
  <c r="AE42" i="82"/>
  <c r="AD42" i="82"/>
  <c r="AB42" i="82"/>
  <c r="Y42" i="82"/>
  <c r="X42" i="82"/>
  <c r="AA42" i="82" s="1"/>
  <c r="AL41" i="82"/>
  <c r="AK41" i="82"/>
  <c r="AJ41" i="82"/>
  <c r="AI41" i="82"/>
  <c r="AH41" i="82"/>
  <c r="AC41" i="82" s="1"/>
  <c r="AG41" i="82"/>
  <c r="AF41" i="82"/>
  <c r="AE41" i="82"/>
  <c r="AD41" i="82"/>
  <c r="AB41" i="82"/>
  <c r="Y41" i="82"/>
  <c r="X41" i="82"/>
  <c r="AA41" i="82" s="1"/>
  <c r="AL40" i="82"/>
  <c r="AK40" i="82"/>
  <c r="AJ40" i="82"/>
  <c r="AI40" i="82"/>
  <c r="AH40" i="82"/>
  <c r="AG40" i="82"/>
  <c r="AF40" i="82"/>
  <c r="AE40" i="82"/>
  <c r="AD40" i="82"/>
  <c r="AB40" i="82"/>
  <c r="Y40" i="82"/>
  <c r="X40" i="82"/>
  <c r="Z40" i="82" s="1"/>
  <c r="AL39" i="82"/>
  <c r="AK39" i="82"/>
  <c r="AJ39" i="82"/>
  <c r="AI39" i="82"/>
  <c r="AH39" i="82"/>
  <c r="AG39" i="82"/>
  <c r="AF39" i="82"/>
  <c r="AE39" i="82"/>
  <c r="AD39" i="82"/>
  <c r="AB39" i="82"/>
  <c r="Y39" i="82"/>
  <c r="X39" i="82"/>
  <c r="AL38" i="82"/>
  <c r="AK38" i="82"/>
  <c r="AJ38" i="82"/>
  <c r="AI38" i="82"/>
  <c r="AH38" i="82"/>
  <c r="AG38" i="82"/>
  <c r="AF38" i="82"/>
  <c r="AE38" i="82"/>
  <c r="AD38" i="82"/>
  <c r="AB38" i="82"/>
  <c r="Y38" i="82"/>
  <c r="X38" i="82"/>
  <c r="AA38" i="82" s="1"/>
  <c r="AL37" i="82"/>
  <c r="AK37" i="82"/>
  <c r="AJ37" i="82"/>
  <c r="AI37" i="82"/>
  <c r="AH37" i="82"/>
  <c r="AC37" i="82" s="1"/>
  <c r="AG37" i="82"/>
  <c r="AF37" i="82"/>
  <c r="AE37" i="82"/>
  <c r="AD37" i="82"/>
  <c r="AB37" i="82"/>
  <c r="Y37" i="82"/>
  <c r="X37" i="82"/>
  <c r="AL36" i="82"/>
  <c r="AK36" i="82"/>
  <c r="AJ36" i="82"/>
  <c r="AI36" i="82"/>
  <c r="AH36" i="82"/>
  <c r="AG36" i="82"/>
  <c r="AF36" i="82"/>
  <c r="AE36" i="82"/>
  <c r="AD36" i="82"/>
  <c r="AB36" i="82"/>
  <c r="Y36" i="82"/>
  <c r="X36" i="82"/>
  <c r="Z36" i="82" s="1"/>
  <c r="AL35" i="82"/>
  <c r="AK35" i="82"/>
  <c r="AJ35" i="82"/>
  <c r="AI35" i="82"/>
  <c r="AH35" i="82"/>
  <c r="AG35" i="82"/>
  <c r="AF35" i="82"/>
  <c r="AE35" i="82"/>
  <c r="AD35" i="82"/>
  <c r="AB35" i="82"/>
  <c r="Y35" i="82"/>
  <c r="X35" i="82"/>
  <c r="AA35" i="82" s="1"/>
  <c r="AL34" i="82"/>
  <c r="AK34" i="82"/>
  <c r="AJ34" i="82"/>
  <c r="AI34" i="82"/>
  <c r="AH34" i="82"/>
  <c r="AG34" i="82"/>
  <c r="AF34" i="82"/>
  <c r="AE34" i="82"/>
  <c r="AD34" i="82"/>
  <c r="AB34" i="82"/>
  <c r="Y34" i="82"/>
  <c r="X34" i="82"/>
  <c r="Z34" i="82" s="1"/>
  <c r="AL33" i="82"/>
  <c r="AK33" i="82"/>
  <c r="AJ33" i="82"/>
  <c r="AI33" i="82"/>
  <c r="AH33" i="82"/>
  <c r="AG33" i="82"/>
  <c r="AF33" i="82"/>
  <c r="AE33" i="82"/>
  <c r="AD33" i="82"/>
  <c r="AB33" i="82"/>
  <c r="Y33" i="82"/>
  <c r="X33" i="82"/>
  <c r="AA33" i="82" s="1"/>
  <c r="AL32" i="82"/>
  <c r="AK32" i="82"/>
  <c r="AJ32" i="82"/>
  <c r="AI32" i="82"/>
  <c r="AH32" i="82"/>
  <c r="AG32" i="82"/>
  <c r="AF32" i="82"/>
  <c r="AE32" i="82"/>
  <c r="AD32" i="82"/>
  <c r="AB32" i="82"/>
  <c r="Y32" i="82"/>
  <c r="X32" i="82"/>
  <c r="AA32" i="82" s="1"/>
  <c r="AL31" i="82"/>
  <c r="AK31" i="82"/>
  <c r="AJ31" i="82"/>
  <c r="AI31" i="82"/>
  <c r="AH31" i="82"/>
  <c r="AG31" i="82"/>
  <c r="AF31" i="82"/>
  <c r="AE31" i="82"/>
  <c r="AD31" i="82"/>
  <c r="AB31" i="82"/>
  <c r="Y31" i="82"/>
  <c r="X31" i="82"/>
  <c r="AA31" i="82" s="1"/>
  <c r="AL30" i="82"/>
  <c r="AK30" i="82"/>
  <c r="AJ30" i="82"/>
  <c r="AI30" i="82"/>
  <c r="AH30" i="82"/>
  <c r="AG30" i="82"/>
  <c r="AF30" i="82"/>
  <c r="AE30" i="82"/>
  <c r="AD30" i="82"/>
  <c r="AB30" i="82"/>
  <c r="Y30" i="82"/>
  <c r="X30" i="82"/>
  <c r="Z30" i="82" s="1"/>
  <c r="AL29" i="82"/>
  <c r="AK29" i="82"/>
  <c r="AJ29" i="82"/>
  <c r="AI29" i="82"/>
  <c r="AH29" i="82"/>
  <c r="AG29" i="82"/>
  <c r="AF29" i="82"/>
  <c r="AE29" i="82"/>
  <c r="AD29" i="82"/>
  <c r="AB29" i="82"/>
  <c r="Y29" i="82"/>
  <c r="X29" i="82"/>
  <c r="AA29" i="82" s="1"/>
  <c r="AL28" i="82"/>
  <c r="AK28" i="82"/>
  <c r="AJ28" i="82"/>
  <c r="AI28" i="82"/>
  <c r="AH28" i="82"/>
  <c r="AG28" i="82"/>
  <c r="AF28" i="82"/>
  <c r="AE28" i="82"/>
  <c r="AD28" i="82"/>
  <c r="AB28" i="82"/>
  <c r="Y28" i="82"/>
  <c r="X28" i="82"/>
  <c r="AL27" i="82"/>
  <c r="AK27" i="82"/>
  <c r="AJ27" i="82"/>
  <c r="AI27" i="82"/>
  <c r="AH27" i="82"/>
  <c r="AG27" i="82"/>
  <c r="AF27" i="82"/>
  <c r="AE27" i="82"/>
  <c r="AD27" i="82"/>
  <c r="AB27" i="82"/>
  <c r="Y27" i="82"/>
  <c r="X27" i="82"/>
  <c r="AL26" i="82"/>
  <c r="AK26" i="82"/>
  <c r="AJ26" i="82"/>
  <c r="AI26" i="82"/>
  <c r="AH26" i="82"/>
  <c r="AG26" i="82"/>
  <c r="AF26" i="82"/>
  <c r="AE26" i="82"/>
  <c r="AD26" i="82"/>
  <c r="AB26" i="82"/>
  <c r="Y26" i="82"/>
  <c r="X26" i="82"/>
  <c r="Z26" i="82" s="1"/>
  <c r="AL25" i="82"/>
  <c r="AK25" i="82"/>
  <c r="AJ25" i="82"/>
  <c r="AI25" i="82"/>
  <c r="AH25" i="82"/>
  <c r="AG25" i="82"/>
  <c r="AF25" i="82"/>
  <c r="AE25" i="82"/>
  <c r="AD25" i="82"/>
  <c r="AB25" i="82"/>
  <c r="Y25" i="82"/>
  <c r="X25" i="82"/>
  <c r="AL24" i="82"/>
  <c r="AK24" i="82"/>
  <c r="AJ24" i="82"/>
  <c r="AI24" i="82"/>
  <c r="AH24" i="82"/>
  <c r="AG24" i="82"/>
  <c r="AF24" i="82"/>
  <c r="AE24" i="82"/>
  <c r="AD24" i="82"/>
  <c r="AB24" i="82"/>
  <c r="Y24" i="82"/>
  <c r="AA24" i="82" s="1"/>
  <c r="X24" i="82"/>
  <c r="AL23" i="82"/>
  <c r="AK23" i="82"/>
  <c r="AJ23" i="82"/>
  <c r="AI23" i="82"/>
  <c r="AH23" i="82"/>
  <c r="AG23" i="82"/>
  <c r="AF23" i="82"/>
  <c r="AE23" i="82"/>
  <c r="AD23" i="82"/>
  <c r="AB23" i="82"/>
  <c r="Y23" i="82"/>
  <c r="X23" i="82"/>
  <c r="AL22" i="82"/>
  <c r="AK22" i="82"/>
  <c r="AJ22" i="82"/>
  <c r="AI22" i="82"/>
  <c r="AH22" i="82"/>
  <c r="AG22" i="82"/>
  <c r="AF22" i="82"/>
  <c r="AE22" i="82"/>
  <c r="AD22" i="82"/>
  <c r="AB22" i="82"/>
  <c r="Y22" i="82"/>
  <c r="X22" i="82"/>
  <c r="AL21" i="82"/>
  <c r="AK21" i="82"/>
  <c r="AJ21" i="82"/>
  <c r="AI21" i="82"/>
  <c r="AH21" i="82"/>
  <c r="AG21" i="82"/>
  <c r="AF21" i="82"/>
  <c r="AE21" i="82"/>
  <c r="AD21" i="82"/>
  <c r="AB21" i="82"/>
  <c r="Y21" i="82"/>
  <c r="X21" i="82"/>
  <c r="AL20" i="82"/>
  <c r="AK20" i="82"/>
  <c r="AJ20" i="82"/>
  <c r="AI20" i="82"/>
  <c r="AH20" i="82"/>
  <c r="AG20" i="82"/>
  <c r="AF20" i="82"/>
  <c r="AE20" i="82"/>
  <c r="AD20" i="82"/>
  <c r="AB20" i="82"/>
  <c r="Y20" i="82"/>
  <c r="X20" i="82"/>
  <c r="AL19" i="82"/>
  <c r="AK19" i="82"/>
  <c r="AJ19" i="82"/>
  <c r="AI19" i="82"/>
  <c r="AH19" i="82"/>
  <c r="AG19" i="82"/>
  <c r="AF19" i="82"/>
  <c r="AE19" i="82"/>
  <c r="AD19" i="82"/>
  <c r="AB19" i="82"/>
  <c r="Y19" i="82"/>
  <c r="X19" i="82"/>
  <c r="AL18" i="82"/>
  <c r="AK18" i="82"/>
  <c r="AJ18" i="82"/>
  <c r="AI18" i="82"/>
  <c r="AH18" i="82"/>
  <c r="AG18" i="82"/>
  <c r="AF18" i="82"/>
  <c r="AE18" i="82"/>
  <c r="AD18" i="82"/>
  <c r="AB18" i="82"/>
  <c r="Y18" i="82"/>
  <c r="X18" i="82"/>
  <c r="AL17" i="82"/>
  <c r="AK17" i="82"/>
  <c r="AJ17" i="82"/>
  <c r="AI17" i="82"/>
  <c r="AH17" i="82"/>
  <c r="AG17" i="82"/>
  <c r="AF17" i="82"/>
  <c r="AE17" i="82"/>
  <c r="AD17" i="82"/>
  <c r="AB17" i="82"/>
  <c r="Y17" i="82"/>
  <c r="X17" i="82"/>
  <c r="AL16" i="82"/>
  <c r="AK16" i="82"/>
  <c r="AJ16" i="82"/>
  <c r="AI16" i="82"/>
  <c r="AH16" i="82"/>
  <c r="AG16" i="82"/>
  <c r="AF16" i="82"/>
  <c r="AE16" i="82"/>
  <c r="AD16" i="82"/>
  <c r="AB16" i="82"/>
  <c r="Y16" i="82"/>
  <c r="Z16" i="82" s="1"/>
  <c r="X16" i="82"/>
  <c r="AL15" i="82"/>
  <c r="AK15" i="82"/>
  <c r="AJ15" i="82"/>
  <c r="AI15" i="82"/>
  <c r="AH15" i="82"/>
  <c r="AG15" i="82"/>
  <c r="AF15" i="82"/>
  <c r="AE15" i="82"/>
  <c r="AD15" i="82"/>
  <c r="AB15" i="82"/>
  <c r="Y15" i="82"/>
  <c r="X15" i="82"/>
  <c r="AL14" i="82"/>
  <c r="AK14" i="82"/>
  <c r="AJ14" i="82"/>
  <c r="AI14" i="82"/>
  <c r="AH14" i="82"/>
  <c r="AG14" i="82"/>
  <c r="AF14" i="82"/>
  <c r="AE14" i="82"/>
  <c r="AD14" i="82"/>
  <c r="AB14" i="82"/>
  <c r="Y14" i="82"/>
  <c r="X14" i="82"/>
  <c r="Z14" i="82" s="1"/>
  <c r="AL13" i="82"/>
  <c r="AK13" i="82"/>
  <c r="AJ13" i="82"/>
  <c r="AI13" i="82"/>
  <c r="AH13" i="82"/>
  <c r="AG13" i="82"/>
  <c r="AC13" i="82" s="1"/>
  <c r="AF13" i="82"/>
  <c r="AE13" i="82"/>
  <c r="AD13" i="82"/>
  <c r="AB13" i="82"/>
  <c r="Y13" i="82"/>
  <c r="X13" i="82"/>
  <c r="AL12" i="82"/>
  <c r="AK12" i="82"/>
  <c r="AJ12" i="82"/>
  <c r="AI12" i="82"/>
  <c r="AH12" i="82"/>
  <c r="AG12" i="82"/>
  <c r="AC12" i="82" s="1"/>
  <c r="AF12" i="82"/>
  <c r="AE12" i="82"/>
  <c r="AD12" i="82"/>
  <c r="AB12" i="82"/>
  <c r="Y12" i="82"/>
  <c r="X12" i="82"/>
  <c r="Z12" i="82" s="1"/>
  <c r="AL11" i="82"/>
  <c r="AK11" i="82"/>
  <c r="AJ11" i="82"/>
  <c r="AI11" i="82"/>
  <c r="AH11" i="82"/>
  <c r="AG11" i="82"/>
  <c r="AF11" i="82"/>
  <c r="AE11" i="82"/>
  <c r="AD11" i="82"/>
  <c r="AB11" i="82"/>
  <c r="Y11" i="82"/>
  <c r="X11" i="82"/>
  <c r="AA17" i="82" l="1"/>
  <c r="AA18" i="82"/>
  <c r="AA19" i="82"/>
  <c r="Z20" i="82"/>
  <c r="AA21" i="82"/>
  <c r="AA22" i="82"/>
  <c r="AA23" i="82"/>
  <c r="Z24" i="82"/>
  <c r="AC42" i="82"/>
  <c r="AA34" i="82"/>
  <c r="AA36" i="82"/>
  <c r="AA45" i="82"/>
  <c r="AA14" i="82"/>
  <c r="AA26" i="82"/>
  <c r="AA28" i="82"/>
  <c r="AC21" i="82"/>
  <c r="AC22" i="82"/>
  <c r="AC24" i="82"/>
  <c r="AC25" i="82"/>
  <c r="AC17" i="82"/>
  <c r="AC32" i="82"/>
  <c r="AC33" i="82"/>
  <c r="AC29" i="82"/>
  <c r="AC31" i="82"/>
  <c r="AC34" i="82"/>
  <c r="AC23" i="82"/>
  <c r="Z28" i="82"/>
  <c r="AC11" i="82"/>
  <c r="AC43" i="82"/>
  <c r="AC14" i="82"/>
  <c r="AA30" i="82"/>
  <c r="AC35" i="82"/>
  <c r="AC36" i="82"/>
  <c r="AA40" i="82"/>
  <c r="AA39" i="82"/>
  <c r="Z18" i="82"/>
  <c r="AC26" i="82"/>
  <c r="Z22" i="82"/>
  <c r="Z32" i="82"/>
  <c r="AC46" i="82"/>
  <c r="Z38" i="82"/>
  <c r="Z48" i="82"/>
  <c r="AC16" i="82"/>
  <c r="AA11" i="82"/>
  <c r="AA12" i="82"/>
  <c r="AC15" i="82"/>
  <c r="AC27" i="82"/>
  <c r="AC28" i="82"/>
  <c r="Z42" i="82"/>
  <c r="AA43" i="82"/>
  <c r="AA13" i="82"/>
  <c r="AA25" i="82"/>
  <c r="AC38" i="82"/>
  <c r="AC47" i="82"/>
  <c r="AC48" i="82"/>
  <c r="AC18" i="82"/>
  <c r="AC20" i="82"/>
  <c r="AC30" i="82"/>
  <c r="AC39" i="82"/>
  <c r="AC40" i="82"/>
  <c r="AA15" i="82"/>
  <c r="AA16" i="82"/>
  <c r="AC19" i="82"/>
  <c r="AA27" i="82"/>
  <c r="AA37" i="82"/>
  <c r="AA20" i="82"/>
  <c r="Z13" i="82"/>
  <c r="Z17" i="82"/>
  <c r="Z21" i="82"/>
  <c r="Z25" i="82"/>
  <c r="Z29" i="82"/>
  <c r="Z33" i="82"/>
  <c r="Z37" i="82"/>
  <c r="Z41" i="82"/>
  <c r="Z45" i="82"/>
  <c r="Z11" i="82"/>
  <c r="Z15" i="82"/>
  <c r="Z19" i="82"/>
  <c r="Z23" i="82"/>
  <c r="Z27" i="82"/>
  <c r="Z31" i="82"/>
  <c r="Z35" i="82"/>
  <c r="Z39" i="82"/>
  <c r="Z43" i="82"/>
  <c r="Z47" i="82"/>
  <c r="AL10" i="82"/>
  <c r="AK10" i="82"/>
  <c r="AJ10" i="82"/>
  <c r="AI10" i="82"/>
  <c r="AH10" i="82"/>
  <c r="AG10" i="82"/>
  <c r="AF10" i="82"/>
  <c r="AE10" i="82"/>
  <c r="AD10" i="82"/>
  <c r="AB10" i="82"/>
  <c r="Y10" i="82"/>
  <c r="X10" i="82"/>
  <c r="Z10" i="82" s="1"/>
  <c r="AL9" i="82"/>
  <c r="AK9" i="82"/>
  <c r="AJ9" i="82"/>
  <c r="AI9" i="82"/>
  <c r="AH9" i="82"/>
  <c r="AG9" i="82"/>
  <c r="AF9" i="82"/>
  <c r="AE9" i="82"/>
  <c r="AD9" i="82"/>
  <c r="AB9" i="82"/>
  <c r="Y9" i="82"/>
  <c r="X9" i="82"/>
  <c r="AL8" i="82"/>
  <c r="AK8" i="82"/>
  <c r="AJ8" i="82"/>
  <c r="AI8" i="82"/>
  <c r="AH8" i="82"/>
  <c r="AG8" i="82"/>
  <c r="AF8" i="82"/>
  <c r="AE8" i="82"/>
  <c r="AD8" i="82"/>
  <c r="AB8" i="82"/>
  <c r="Y8" i="82"/>
  <c r="X8" i="82"/>
  <c r="Z8" i="82" s="1"/>
  <c r="AL7" i="82"/>
  <c r="AK7" i="82"/>
  <c r="AJ7" i="82"/>
  <c r="AI7" i="82"/>
  <c r="AH7" i="82"/>
  <c r="AG7" i="82"/>
  <c r="AF7" i="82"/>
  <c r="AE7" i="82"/>
  <c r="AD7" i="82"/>
  <c r="AB7" i="82"/>
  <c r="Y7" i="82"/>
  <c r="X7" i="82"/>
  <c r="Z7" i="82" s="1"/>
  <c r="AC8" i="82" l="1"/>
  <c r="AC10" i="82"/>
  <c r="AA10" i="82"/>
  <c r="AC7" i="82"/>
  <c r="AC9" i="82"/>
  <c r="AA8" i="82"/>
  <c r="AA9" i="82"/>
  <c r="AA7" i="82"/>
  <c r="Z9" i="82"/>
  <c r="AL6" i="82"/>
  <c r="AK6" i="82"/>
  <c r="AJ6" i="82"/>
  <c r="AI6" i="82"/>
  <c r="AH6" i="82"/>
  <c r="AG6" i="82"/>
  <c r="AF6" i="82"/>
  <c r="AE6" i="82"/>
  <c r="AD6" i="82"/>
  <c r="AB6" i="82"/>
  <c r="Y6" i="82"/>
  <c r="X6" i="82"/>
  <c r="AL5" i="82"/>
  <c r="AK5" i="82"/>
  <c r="AJ5" i="82"/>
  <c r="AI5" i="82"/>
  <c r="AH5" i="82"/>
  <c r="AG5" i="82"/>
  <c r="AF5" i="82"/>
  <c r="AE5" i="82"/>
  <c r="AD5" i="82"/>
  <c r="AB5" i="82"/>
  <c r="Y5" i="82"/>
  <c r="X5" i="82"/>
  <c r="AL4" i="82"/>
  <c r="AK4" i="82"/>
  <c r="AJ4" i="82"/>
  <c r="AI4" i="82"/>
  <c r="AH4" i="82"/>
  <c r="AG4" i="82"/>
  <c r="AF4" i="82"/>
  <c r="AE4" i="82"/>
  <c r="AD4" i="82"/>
  <c r="AB4" i="82"/>
  <c r="Y4" i="82"/>
  <c r="X4" i="82"/>
  <c r="AL3" i="82"/>
  <c r="AK3" i="82"/>
  <c r="AJ3" i="82"/>
  <c r="AI3" i="82"/>
  <c r="AH3" i="82"/>
  <c r="AG3" i="82"/>
  <c r="AF3" i="82"/>
  <c r="AE3" i="82"/>
  <c r="AD3" i="82"/>
  <c r="AB3" i="82"/>
  <c r="Y3" i="82"/>
  <c r="X3" i="82"/>
  <c r="AL2" i="82"/>
  <c r="AK2" i="82"/>
  <c r="AJ2" i="82"/>
  <c r="AI2" i="82"/>
  <c r="AH2" i="82"/>
  <c r="AG2" i="82"/>
  <c r="AF2" i="82"/>
  <c r="AE2" i="82"/>
  <c r="AD2" i="82"/>
  <c r="AB2" i="82"/>
  <c r="Y2" i="82"/>
  <c r="X2" i="82"/>
  <c r="AA2" i="82" l="1"/>
  <c r="AA3" i="82"/>
  <c r="Z4" i="82"/>
  <c r="AA5" i="82"/>
  <c r="AA6" i="82"/>
  <c r="AC4" i="82"/>
  <c r="AC2" i="82"/>
  <c r="AC3" i="82"/>
  <c r="AA4" i="82"/>
  <c r="AC6" i="82"/>
  <c r="AC5" i="82"/>
  <c r="Z5" i="82"/>
  <c r="Z3" i="82"/>
  <c r="Z2" i="82"/>
  <c r="Z6" i="82"/>
  <c r="C31" i="75" l="1"/>
  <c r="G31" i="75"/>
  <c r="H31" i="75"/>
  <c r="D31" i="75"/>
  <c r="H23" i="75" l="1"/>
  <c r="I23" i="75" s="1"/>
  <c r="H22" i="75"/>
  <c r="I22" i="75" s="1"/>
  <c r="H21" i="75"/>
  <c r="I21" i="75" s="1"/>
  <c r="H19" i="75"/>
  <c r="I19" i="75" s="1"/>
  <c r="J19" i="75" s="1"/>
  <c r="H18" i="75"/>
  <c r="I18" i="75" s="1"/>
  <c r="J18" i="75" s="1"/>
  <c r="H17" i="75"/>
  <c r="I17" i="75" s="1"/>
  <c r="J17" i="75" s="1"/>
  <c r="J21" i="75" l="1"/>
  <c r="J22" i="75"/>
  <c r="J23" i="75"/>
  <c r="D26" i="69" l="1"/>
  <c r="E27" i="69" l="1"/>
  <c r="E16" i="69"/>
  <c r="D25" i="69" l="1"/>
  <c r="E26" i="69" l="1"/>
  <c r="E25" i="69"/>
  <c r="E28" i="69"/>
  <c r="D19" i="69"/>
  <c r="C19" i="69"/>
  <c r="C18" i="69"/>
  <c r="C17" i="69"/>
  <c r="D16" i="69"/>
  <c r="C16" i="69"/>
  <c r="C12" i="69"/>
  <c r="C22" i="69" s="1"/>
  <c r="C11" i="69"/>
  <c r="C21" i="69" s="1"/>
  <c r="C9" i="69"/>
  <c r="C8" i="69"/>
  <c r="C10" i="69"/>
  <c r="D20" i="69" s="1"/>
  <c r="E20" i="69" l="1"/>
  <c r="E30" i="69" s="1"/>
  <c r="D30" i="69"/>
  <c r="C13" i="69"/>
  <c r="C23" i="69" s="1"/>
  <c r="C20" i="69"/>
  <c r="C30" i="69" l="1"/>
</calcChain>
</file>

<file path=xl/sharedStrings.xml><?xml version="1.0" encoding="utf-8"?>
<sst xmlns="http://schemas.openxmlformats.org/spreadsheetml/2006/main" count="4316" uniqueCount="1104">
  <si>
    <t>Country</t>
  </si>
  <si>
    <t>3.5+</t>
  </si>
  <si>
    <t>2.5+</t>
  </si>
  <si>
    <t>1.5+</t>
  </si>
  <si>
    <t>GA</t>
  </si>
  <si>
    <t>GF</t>
  </si>
  <si>
    <t>TG</t>
  </si>
  <si>
    <t>PPG</t>
  </si>
  <si>
    <t>GP</t>
  </si>
  <si>
    <t>scope</t>
  </si>
  <si>
    <t>home</t>
  </si>
  <si>
    <t>away</t>
  </si>
  <si>
    <t>LZ</t>
  </si>
  <si>
    <t>0x1</t>
  </si>
  <si>
    <t>1x0</t>
  </si>
  <si>
    <t>xG Casa</t>
  </si>
  <si>
    <t>xG Visitante</t>
  </si>
  <si>
    <t>Linha de Gols</t>
  </si>
  <si>
    <t>Diff de Gols</t>
  </si>
  <si>
    <t>LZ PTs</t>
  </si>
  <si>
    <t>GS &gt; GM Zebra</t>
  </si>
  <si>
    <t>GM Favorito</t>
  </si>
  <si>
    <t>GS Favorito</t>
  </si>
  <si>
    <t>GM Zebra</t>
  </si>
  <si>
    <t>GS Zebra</t>
  </si>
  <si>
    <t>Média</t>
  </si>
  <si>
    <t>Gols Marcados</t>
  </si>
  <si>
    <t>Sofridos</t>
  </si>
  <si>
    <t>Over 2,5</t>
  </si>
  <si>
    <t>xG Mandante</t>
  </si>
  <si>
    <t>TG Mandante</t>
  </si>
  <si>
    <t>TG Visitante</t>
  </si>
  <si>
    <t>Odds</t>
  </si>
  <si>
    <t>Critérios</t>
  </si>
  <si>
    <t>1x0 Zebra</t>
  </si>
  <si>
    <t>Over 2,5 Mandante</t>
  </si>
  <si>
    <t>Over 2,5 Visitante</t>
  </si>
  <si>
    <t>Média Over 2,5</t>
  </si>
  <si>
    <t>Odds Match Odds</t>
  </si>
  <si>
    <t>Odds CS</t>
  </si>
  <si>
    <t>Over 2,5 Média</t>
  </si>
  <si>
    <t>TG Média</t>
  </si>
  <si>
    <t>Aprovado / Negado</t>
  </si>
  <si>
    <t>0x1 Favorito</t>
  </si>
  <si>
    <t>Lay Zebra</t>
  </si>
  <si>
    <t>Gols Marcados Mandante</t>
  </si>
  <si>
    <t>Gols Sofridos Mandante</t>
  </si>
  <si>
    <t>Gols Marcados Visitante</t>
  </si>
  <si>
    <t>Gols Sofridos Visitante</t>
  </si>
  <si>
    <t>Comparação Gols Visitante</t>
  </si>
  <si>
    <t>Over 0,5</t>
  </si>
  <si>
    <t>Horário</t>
  </si>
  <si>
    <t>Jogo</t>
  </si>
  <si>
    <t>Método</t>
  </si>
  <si>
    <t>0x2</t>
  </si>
  <si>
    <t>1x2</t>
  </si>
  <si>
    <t>Total</t>
  </si>
  <si>
    <t>Red</t>
  </si>
  <si>
    <t>Empate</t>
  </si>
  <si>
    <t>Green</t>
  </si>
  <si>
    <t>EV</t>
  </si>
  <si>
    <t>Stake</t>
  </si>
  <si>
    <t>ROI</t>
  </si>
  <si>
    <t>Sniperback Valida Casa</t>
  </si>
  <si>
    <t>Sniperback Valida Fora</t>
  </si>
  <si>
    <t>2x0</t>
  </si>
  <si>
    <t>2x1</t>
  </si>
  <si>
    <t>Lucro</t>
  </si>
  <si>
    <t>Revalida</t>
  </si>
  <si>
    <t>Data</t>
  </si>
  <si>
    <t>Goias x Operario</t>
  </si>
  <si>
    <t>Moss x Sandness</t>
  </si>
  <si>
    <t>Bryne x Asane</t>
  </si>
  <si>
    <t>Breidablink x KA</t>
  </si>
  <si>
    <t>Super Nova x Auda</t>
  </si>
  <si>
    <t>Tammeka x Narva Trans</t>
  </si>
  <si>
    <t>Odd x Hodd</t>
  </si>
  <si>
    <t>Neutro</t>
  </si>
  <si>
    <t>Tipster</t>
  </si>
  <si>
    <t>Valida</t>
  </si>
  <si>
    <t>Masterlist</t>
  </si>
  <si>
    <t>Ambos</t>
  </si>
  <si>
    <t>Fram x Reikjavik</t>
  </si>
  <si>
    <t>Escalações</t>
  </si>
  <si>
    <t>Ok!</t>
  </si>
  <si>
    <t>Bélgica x Irã</t>
  </si>
  <si>
    <t>  ICE</t>
  </si>
  <si>
    <t>  FIN</t>
  </si>
  <si>
    <t>  ECU</t>
  </si>
  <si>
    <t>Vancouver</t>
  </si>
  <si>
    <t>  BRA</t>
  </si>
  <si>
    <t>  CAN</t>
  </si>
  <si>
    <t>  NOR</t>
  </si>
  <si>
    <t>  USA</t>
  </si>
  <si>
    <t>Métodos</t>
  </si>
  <si>
    <t>Filtros</t>
  </si>
  <si>
    <t>Processo</t>
  </si>
  <si>
    <t>Lay 2x2</t>
  </si>
  <si>
    <t>BnR</t>
  </si>
  <si>
    <t>Lista;
Odd;
Liquidez</t>
  </si>
  <si>
    <t>BnR (a partir de 8)</t>
  </si>
  <si>
    <t>Contraponto</t>
  </si>
  <si>
    <t>Cscore</t>
  </si>
  <si>
    <t>Indicação Telegram</t>
  </si>
  <si>
    <t>Valida 0x1</t>
  </si>
  <si>
    <t>Lay CS</t>
  </si>
  <si>
    <t>Leo Farias</t>
  </si>
  <si>
    <t xml:space="preserve">Revalida / LTD+1x1 </t>
  </si>
  <si>
    <t>Sniperback / Over Limite</t>
  </si>
  <si>
    <t>BnR Robô</t>
  </si>
  <si>
    <t>Jogos ao vivo;
Se vier no BnR Robô, entrar
Se aparecer no Cscore, validar no BnR e chutes no Gol (3x1, 1x3 ou 2x2)</t>
  </si>
  <si>
    <t>Chengdu</t>
  </si>
  <si>
    <t>Cscore:
Odd Visitante &lt;2.6 + Over
Visitante melhor classificado que o mandante
Filtro individual (dados Academia das Apostas)
Race
Valor no Cscore
Escalações
Verifiicar lista SoccerStats para ver se estou perdendo oportunidade</t>
  </si>
  <si>
    <t>Bolsa de Apostas: Odds Fora &gt; 7
Filtro individual (dados Academia das Apostas)
Race
Valor no Cscore;
Escalações;
Verifiicar lista SoccerStats para ver se estou perdendo oportunidade</t>
  </si>
  <si>
    <t> ARG</t>
  </si>
  <si>
    <t>Deportivo Maipu</t>
  </si>
  <si>
    <t>SM Tucuman</t>
  </si>
  <si>
    <t>  ARG</t>
  </si>
  <si>
    <t>Nueva Chicago</t>
  </si>
  <si>
    <t>Agropecuario</t>
  </si>
  <si>
    <t>Ferro Carril</t>
  </si>
  <si>
    <t>Colon Santa Fe</t>
  </si>
  <si>
    <t>Ciudad Bolivar</t>
  </si>
  <si>
    <t>All Boys</t>
  </si>
  <si>
    <t>Temperley</t>
  </si>
  <si>
    <t>A. Rafaela</t>
  </si>
  <si>
    <t>  AUS</t>
  </si>
  <si>
    <t>Bentleigh G.</t>
  </si>
  <si>
    <t>Dandenong City</t>
  </si>
  <si>
    <t>Green Gully</t>
  </si>
  <si>
    <t>Dandenong T.</t>
  </si>
  <si>
    <t>Bayswater</t>
  </si>
  <si>
    <t>Sorrento</t>
  </si>
  <si>
    <t>Perth SC</t>
  </si>
  <si>
    <t>Western Knights</t>
  </si>
  <si>
    <t>Campbelltown</t>
  </si>
  <si>
    <t>Adelaide Comets</t>
  </si>
  <si>
    <t>West Torrens</t>
  </si>
  <si>
    <t>Para Hills</t>
  </si>
  <si>
    <t>Sydney FC B</t>
  </si>
  <si>
    <t>Manly Utd</t>
  </si>
  <si>
    <t>Bahia</t>
  </si>
  <si>
    <t>Chapecoense</t>
  </si>
  <si>
    <t>Fluminense</t>
  </si>
  <si>
    <t>Bragantino</t>
  </si>
  <si>
    <t>Mirassol</t>
  </si>
  <si>
    <t>Gremio</t>
  </si>
  <si>
    <t>America MG</t>
  </si>
  <si>
    <t>Ceara</t>
  </si>
  <si>
    <t>Juventude</t>
  </si>
  <si>
    <t>Cuiaba</t>
  </si>
  <si>
    <t>Sao Bernardo</t>
  </si>
  <si>
    <t>Avai</t>
  </si>
  <si>
    <t>A. Ottawa</t>
  </si>
  <si>
    <t>York Utd</t>
  </si>
  <si>
    <t>Supra du Quebec</t>
  </si>
  <si>
    <t>Vancouver FC</t>
  </si>
  <si>
    <t>  CHI</t>
  </si>
  <si>
    <t>Qingdao West C.</t>
  </si>
  <si>
    <t>Beijing Guoan</t>
  </si>
  <si>
    <t>Liaoning Tieren</t>
  </si>
  <si>
    <t>Henan SL</t>
  </si>
  <si>
    <t>Qingdao Hainiu</t>
  </si>
  <si>
    <t>Yunnan Yukun</t>
  </si>
  <si>
    <t>Shanghai Port</t>
  </si>
  <si>
    <t>Changchun Yatai</t>
  </si>
  <si>
    <t>Wuxi Wugou</t>
  </si>
  <si>
    <t>Suzhou Dongwu</t>
  </si>
  <si>
    <t>Shenzhen J.</t>
  </si>
  <si>
    <t>Foshan Nanshi</t>
  </si>
  <si>
    <t>Nantong Zhiyun</t>
  </si>
  <si>
    <t>S. Gongfu</t>
  </si>
  <si>
    <t>Yanbian Longdin</t>
  </si>
  <si>
    <t>Orense</t>
  </si>
  <si>
    <t>Emelec</t>
  </si>
  <si>
    <t>  EST</t>
  </si>
  <si>
    <t>Flora</t>
  </si>
  <si>
    <t>Nomme Utd</t>
  </si>
  <si>
    <t>KaPa</t>
  </si>
  <si>
    <t>SJK Akatemia</t>
  </si>
  <si>
    <t>Klubi-04</t>
  </si>
  <si>
    <t>Haka</t>
  </si>
  <si>
    <t>GrIFK</t>
  </si>
  <si>
    <t>AIFK</t>
  </si>
  <si>
    <t>Vaajakoski</t>
  </si>
  <si>
    <t>Huima/Urho</t>
  </si>
  <si>
    <t>Fylkir</t>
  </si>
  <si>
    <t>Njardvik</t>
  </si>
  <si>
    <t>Haukar</t>
  </si>
  <si>
    <t>Throttur Vogar</t>
  </si>
  <si>
    <t>KFG</t>
  </si>
  <si>
    <t>Kari</t>
  </si>
  <si>
    <t>Hviti Riddarinn</t>
  </si>
  <si>
    <t>V. Olafsvik</t>
  </si>
  <si>
    <t>Bodo/Glimt</t>
  </si>
  <si>
    <t>Fredrikstad</t>
  </si>
  <si>
    <t>  SOU</t>
  </si>
  <si>
    <t>Suwon FMC W</t>
  </si>
  <si>
    <t>Hwacheon W</t>
  </si>
  <si>
    <t>  SWE</t>
  </si>
  <si>
    <t>IFK Goteborg</t>
  </si>
  <si>
    <t>Brommapojkarna</t>
  </si>
  <si>
    <t>Mjallby</t>
  </si>
  <si>
    <t>Vasteras</t>
  </si>
  <si>
    <t>  URU</t>
  </si>
  <si>
    <t>Albion</t>
  </si>
  <si>
    <t>Juventud</t>
  </si>
  <si>
    <t>Nacional</t>
  </si>
  <si>
    <t>Wanderers</t>
  </si>
  <si>
    <t>Chicago Fire</t>
  </si>
  <si>
    <t>St. Louis City</t>
  </si>
  <si>
    <t>Sporting KC</t>
  </si>
  <si>
    <t>Seattle</t>
  </si>
  <si>
    <t>Portland</t>
  </si>
  <si>
    <t>LA</t>
  </si>
  <si>
    <t>  GER</t>
  </si>
  <si>
    <t>2.00</t>
  </si>
  <si>
    <t>1.00</t>
  </si>
  <si>
    <t>3.00</t>
  </si>
  <si>
    <t>0.00</t>
  </si>
  <si>
    <t>1.50</t>
  </si>
  <si>
    <t>2.50</t>
  </si>
  <si>
    <t>0.75</t>
  </si>
  <si>
    <t>1.75</t>
  </si>
  <si>
    <t>1.33</t>
  </si>
  <si>
    <t>2.25</t>
  </si>
  <si>
    <t>4.00</t>
  </si>
  <si>
    <t>1.40</t>
  </si>
  <si>
    <t>1.11</t>
  </si>
  <si>
    <t>1.56</t>
  </si>
  <si>
    <t>2.56</t>
  </si>
  <si>
    <t>1.89</t>
  </si>
  <si>
    <t>1.44</t>
  </si>
  <si>
    <t>2.10</t>
  </si>
  <si>
    <t>1.80</t>
  </si>
  <si>
    <t>3.90</t>
  </si>
  <si>
    <t>1.88</t>
  </si>
  <si>
    <t>0.63</t>
  </si>
  <si>
    <t>6.00</t>
  </si>
  <si>
    <t>1.63</t>
  </si>
  <si>
    <t>2.13</t>
  </si>
  <si>
    <t>3.44</t>
  </si>
  <si>
    <t>  NET</t>
  </si>
  <si>
    <t>  POR</t>
  </si>
  <si>
    <t>  ENG</t>
  </si>
  <si>
    <t>  SPA</t>
  </si>
  <si>
    <t>3.50</t>
  </si>
  <si>
    <t>0.50</t>
  </si>
  <si>
    <t>0.90</t>
  </si>
  <si>
    <t>1.90</t>
  </si>
  <si>
    <t>1.08</t>
  </si>
  <si>
    <t>1.58</t>
  </si>
  <si>
    <t>2.17</t>
  </si>
  <si>
    <t>  ARM</t>
  </si>
  <si>
    <t>5.50</t>
  </si>
  <si>
    <t>1.18</t>
  </si>
  <si>
    <t>1.64</t>
  </si>
  <si>
    <t>2.82</t>
  </si>
  <si>
    <t>3.36</t>
  </si>
  <si>
    <t>1.73</t>
  </si>
  <si>
    <t>1.36</t>
  </si>
  <si>
    <t>2.27</t>
  </si>
  <si>
    <t>0.64</t>
  </si>
  <si>
    <t>2.91</t>
  </si>
  <si>
    <t>0.91</t>
  </si>
  <si>
    <t>1.27</t>
  </si>
  <si>
    <t>0.40</t>
  </si>
  <si>
    <t>2.20</t>
  </si>
  <si>
    <t>1.60</t>
  </si>
  <si>
    <t>3.70</t>
  </si>
  <si>
    <t>1.20</t>
  </si>
  <si>
    <t>1.30</t>
  </si>
  <si>
    <t>3.80</t>
  </si>
  <si>
    <t>1.70</t>
  </si>
  <si>
    <t>1.10</t>
  </si>
  <si>
    <t>2.80</t>
  </si>
  <si>
    <t>2.90</t>
  </si>
  <si>
    <t>3.20</t>
  </si>
  <si>
    <t>5.00</t>
  </si>
  <si>
    <t>2.30</t>
  </si>
  <si>
    <t>3.10</t>
  </si>
  <si>
    <t>3.40</t>
  </si>
  <si>
    <t>2.60</t>
  </si>
  <si>
    <t>3.60</t>
  </si>
  <si>
    <t>1.22</t>
  </si>
  <si>
    <t>3.56</t>
  </si>
  <si>
    <t>1.38</t>
  </si>
  <si>
    <t>1.62</t>
  </si>
  <si>
    <t>0.83</t>
  </si>
  <si>
    <t>  BEL</t>
  </si>
  <si>
    <t>1.29</t>
  </si>
  <si>
    <t>2.14</t>
  </si>
  <si>
    <t>0.86</t>
  </si>
  <si>
    <t>1.25</t>
  </si>
  <si>
    <t>1.13</t>
  </si>
  <si>
    <t>2.38</t>
  </si>
  <si>
    <t>0.88</t>
  </si>
  <si>
    <t>3.43</t>
  </si>
  <si>
    <t>0.73</t>
  </si>
  <si>
    <t>2.36</t>
  </si>
  <si>
    <t>0.55</t>
  </si>
  <si>
    <t>1.09</t>
  </si>
  <si>
    <t>1.45</t>
  </si>
  <si>
    <t>1.55</t>
  </si>
  <si>
    <t>2.73</t>
  </si>
  <si>
    <t>  BUL</t>
  </si>
  <si>
    <t>0.89</t>
  </si>
  <si>
    <t>2.22</t>
  </si>
  <si>
    <t>0.56</t>
  </si>
  <si>
    <t>2.89</t>
  </si>
  <si>
    <t>0.67</t>
  </si>
  <si>
    <t>1.91</t>
  </si>
  <si>
    <t>2.45</t>
  </si>
  <si>
    <t>0.82</t>
  </si>
  <si>
    <t>2.18</t>
  </si>
  <si>
    <t>2.09</t>
  </si>
  <si>
    <t>  COL</t>
  </si>
  <si>
    <t>Botafogo</t>
  </si>
  <si>
    <t>Rosario Central</t>
  </si>
  <si>
    <t>Corinthians</t>
  </si>
  <si>
    <t>  CRO</t>
  </si>
  <si>
    <t>  CZE</t>
  </si>
  <si>
    <t>  DEN</t>
  </si>
  <si>
    <t>3.33</t>
  </si>
  <si>
    <t>0.78</t>
  </si>
  <si>
    <t>2.67</t>
  </si>
  <si>
    <t>0.44</t>
  </si>
  <si>
    <t>4.50</t>
  </si>
  <si>
    <t>  HUN</t>
  </si>
  <si>
    <t>2.88</t>
  </si>
  <si>
    <t>2.75</t>
  </si>
  <si>
    <t>  JAP</t>
  </si>
  <si>
    <t>3.13</t>
  </si>
  <si>
    <t>2.11</t>
  </si>
  <si>
    <t>2.33</t>
  </si>
  <si>
    <t>0.20</t>
  </si>
  <si>
    <t>  PAR</t>
  </si>
  <si>
    <t>  POL</t>
  </si>
  <si>
    <t>  ROM</t>
  </si>
  <si>
    <t>  RUS</t>
  </si>
  <si>
    <t>3.11</t>
  </si>
  <si>
    <t>2.78</t>
  </si>
  <si>
    <t>3.38</t>
  </si>
  <si>
    <t>1.78</t>
  </si>
  <si>
    <t>1.67</t>
  </si>
  <si>
    <t>3.63</t>
  </si>
  <si>
    <t>3.25</t>
  </si>
  <si>
    <t>0.38</t>
  </si>
  <si>
    <t>1.17</t>
  </si>
  <si>
    <t>3.67</t>
  </si>
  <si>
    <t>1.14</t>
  </si>
  <si>
    <t>3.29</t>
  </si>
  <si>
    <t>1.86</t>
  </si>
  <si>
    <t>0.57</t>
  </si>
  <si>
    <t>2.43</t>
  </si>
  <si>
    <t>  TUR</t>
  </si>
  <si>
    <t>  UKR</t>
  </si>
  <si>
    <t>7.00</t>
  </si>
  <si>
    <t>4.60</t>
  </si>
  <si>
    <t>  AZE</t>
  </si>
  <si>
    <t>  BOS</t>
  </si>
  <si>
    <t>Curico Unido</t>
  </si>
  <si>
    <t>CD Santa Cruz</t>
  </si>
  <si>
    <t>D. Iquique</t>
  </si>
  <si>
    <t>Copiapo</t>
  </si>
  <si>
    <t> SPA</t>
  </si>
  <si>
    <t>San Lorenzo</t>
  </si>
  <si>
    <t>1.83</t>
  </si>
  <si>
    <t>0.92</t>
  </si>
  <si>
    <t>0.58</t>
  </si>
  <si>
    <t>2.58</t>
  </si>
  <si>
    <t>2.40</t>
  </si>
  <si>
    <t>0.45</t>
  </si>
  <si>
    <t>1.42</t>
  </si>
  <si>
    <t>0.42</t>
  </si>
  <si>
    <t>2.64</t>
  </si>
  <si>
    <t>1.82</t>
  </si>
  <si>
    <t>2.70</t>
  </si>
  <si>
    <t>3.09</t>
  </si>
  <si>
    <t>4.11</t>
  </si>
  <si>
    <t>4.22</t>
  </si>
  <si>
    <t>0.70</t>
  </si>
  <si>
    <t>0.60</t>
  </si>
  <si>
    <t>3.30</t>
  </si>
  <si>
    <t>0.80</t>
  </si>
  <si>
    <t>4.40</t>
  </si>
  <si>
    <t>3.22</t>
  </si>
  <si>
    <t>2.44</t>
  </si>
  <si>
    <t>4.33</t>
  </si>
  <si>
    <t>1.43</t>
  </si>
  <si>
    <t>2.29</t>
  </si>
  <si>
    <t>1.92</t>
  </si>
  <si>
    <t>3.14</t>
  </si>
  <si>
    <t>0.71</t>
  </si>
  <si>
    <t>2.63</t>
  </si>
  <si>
    <t>1.57</t>
  </si>
  <si>
    <t>3.57</t>
  </si>
  <si>
    <t>2.86</t>
  </si>
  <si>
    <t>0.13</t>
  </si>
  <si>
    <t>2.71</t>
  </si>
  <si>
    <t>1.71</t>
  </si>
  <si>
    <t>0.33</t>
  </si>
  <si>
    <t>  COS</t>
  </si>
  <si>
    <t>2.08</t>
  </si>
  <si>
    <t>Libertad</t>
  </si>
  <si>
    <t>Chelmsford City</t>
  </si>
  <si>
    <t>Ebbsfleet Utd</t>
  </si>
  <si>
    <t>3.55</t>
  </si>
  <si>
    <t>2.55</t>
  </si>
  <si>
    <t>3.78</t>
  </si>
  <si>
    <t>3.88</t>
  </si>
  <si>
    <t>3.75</t>
  </si>
  <si>
    <t>4.25</t>
  </si>
  <si>
    <t>4.63</t>
  </si>
  <si>
    <t>  GEO</t>
  </si>
  <si>
    <t>  GUA</t>
  </si>
  <si>
    <t>3.89</t>
  </si>
  <si>
    <t>4.38</t>
  </si>
  <si>
    <t>0.29</t>
  </si>
  <si>
    <t>  KAZ</t>
  </si>
  <si>
    <t>3.27</t>
  </si>
  <si>
    <t>  MEX</t>
  </si>
  <si>
    <t>  MOL</t>
  </si>
  <si>
    <t>  MON</t>
  </si>
  <si>
    <t>2.57</t>
  </si>
  <si>
    <t>4.29</t>
  </si>
  <si>
    <t>4.17</t>
  </si>
  <si>
    <t>3.83</t>
  </si>
  <si>
    <t>Guarani</t>
  </si>
  <si>
    <t>O. Grudziadz</t>
  </si>
  <si>
    <t>Znicz Pruszkow</t>
  </si>
  <si>
    <t>  SER</t>
  </si>
  <si>
    <t>  SLO</t>
  </si>
  <si>
    <t>3.08</t>
  </si>
  <si>
    <t>Sandviken</t>
  </si>
  <si>
    <t>0.25</t>
  </si>
  <si>
    <t>0.22</t>
  </si>
  <si>
    <t>Racing</t>
  </si>
  <si>
    <t>Villarreal</t>
  </si>
  <si>
    <t>Espanyol</t>
  </si>
  <si>
    <t>Levante</t>
  </si>
  <si>
    <t>Celta Vigo</t>
  </si>
  <si>
    <t>Osasuna</t>
  </si>
  <si>
    <t>ADO Den Haag</t>
  </si>
  <si>
    <t>FC Groningen</t>
  </si>
  <si>
    <t>FC Twente</t>
  </si>
  <si>
    <t>PEC Zwolle</t>
  </si>
  <si>
    <t>Feyenoord</t>
  </si>
  <si>
    <t>Go Ahead Eagles</t>
  </si>
  <si>
    <t>Ajax Amsterdam</t>
  </si>
  <si>
    <t>Heerenveen</t>
  </si>
  <si>
    <t>Estoril</t>
  </si>
  <si>
    <t>Arouca</t>
  </si>
  <si>
    <t>Moreirense</t>
  </si>
  <si>
    <t>Famalicao</t>
  </si>
  <si>
    <t>Maritimo</t>
  </si>
  <si>
    <t>Sporting Braga</t>
  </si>
  <si>
    <t>Gil Vicente</t>
  </si>
  <si>
    <t>Watford</t>
  </si>
  <si>
    <t>Southampton</t>
  </si>
  <si>
    <t>Burnley</t>
  </si>
  <si>
    <t>West Ham Utd</t>
  </si>
  <si>
    <t>Eibar</t>
  </si>
  <si>
    <t>Tenerife</t>
  </si>
  <si>
    <t>Burgos</t>
  </si>
  <si>
    <t>Cordoba</t>
  </si>
  <si>
    <t>Girona</t>
  </si>
  <si>
    <t>Leganes</t>
  </si>
  <si>
    <t>Las Palmas</t>
  </si>
  <si>
    <t>Albacete</t>
  </si>
  <si>
    <t>Bielefeld</t>
  </si>
  <si>
    <t>Energie Cottbus</t>
  </si>
  <si>
    <t>Dynamo Dresden</t>
  </si>
  <si>
    <t>Darmstadt</t>
  </si>
  <si>
    <t>Hannover 96</t>
  </si>
  <si>
    <t>Wolfsburg</t>
  </si>
  <si>
    <t>Platense</t>
  </si>
  <si>
    <t>Boca Juniors</t>
  </si>
  <si>
    <t>Sarmiento</t>
  </si>
  <si>
    <t>Huracan</t>
  </si>
  <si>
    <t>River Plate</t>
  </si>
  <si>
    <t>Argentinos Jrs</t>
  </si>
  <si>
    <t>Barracas C.</t>
  </si>
  <si>
    <t>Central Cordoba</t>
  </si>
  <si>
    <t>Instituto</t>
  </si>
  <si>
    <t>Tristan Suarez</t>
  </si>
  <si>
    <t>Almirante Brown</t>
  </si>
  <si>
    <t>Patronato</t>
  </si>
  <si>
    <t>2.42</t>
  </si>
  <si>
    <t>Gimnasia Jujuy</t>
  </si>
  <si>
    <t>Chaco For Ever</t>
  </si>
  <si>
    <t>Central Norte</t>
  </si>
  <si>
    <t>Gimnasia y Tiro</t>
  </si>
  <si>
    <t>Racing Cordoba</t>
  </si>
  <si>
    <t>SM San Juan</t>
  </si>
  <si>
    <t>D. Madryn</t>
  </si>
  <si>
    <t>Los Andes</t>
  </si>
  <si>
    <t>Sardarapat</t>
  </si>
  <si>
    <t>Pyunik</t>
  </si>
  <si>
    <t>Preston Lions</t>
  </si>
  <si>
    <t>3.91</t>
  </si>
  <si>
    <t>Belmont Swansea</t>
  </si>
  <si>
    <t>Adamstown R.</t>
  </si>
  <si>
    <t>Broadmeadow</t>
  </si>
  <si>
    <t>Charlestown A.</t>
  </si>
  <si>
    <t>Kahibah</t>
  </si>
  <si>
    <t>Cooks Hill Utd</t>
  </si>
  <si>
    <t>Lambton Jaffas</t>
  </si>
  <si>
    <t>Newcastle O.</t>
  </si>
  <si>
    <t>Maitland</t>
  </si>
  <si>
    <t>Edgeworth E.</t>
  </si>
  <si>
    <t>Valentine</t>
  </si>
  <si>
    <t>Weston Bears</t>
  </si>
  <si>
    <t>Belconnen Utd</t>
  </si>
  <si>
    <t>C. Olympic</t>
  </si>
  <si>
    <t>4.44</t>
  </si>
  <si>
    <t>C. Juventus</t>
  </si>
  <si>
    <t>Queanbeyan City</t>
  </si>
  <si>
    <t>1.46</t>
  </si>
  <si>
    <t>1.23</t>
  </si>
  <si>
    <t>2.69</t>
  </si>
  <si>
    <t>Blacktown City</t>
  </si>
  <si>
    <t>UNSW</t>
  </si>
  <si>
    <t>0.46</t>
  </si>
  <si>
    <t>2.77</t>
  </si>
  <si>
    <t>0.85</t>
  </si>
  <si>
    <t>1.85</t>
  </si>
  <si>
    <t>2.31</t>
  </si>
  <si>
    <t>2.23</t>
  </si>
  <si>
    <t>Marconi S.</t>
  </si>
  <si>
    <t>Sutherland S.</t>
  </si>
  <si>
    <t>1.31</t>
  </si>
  <si>
    <t>Rockdale</t>
  </si>
  <si>
    <t>Wollongong W.</t>
  </si>
  <si>
    <t>1.21</t>
  </si>
  <si>
    <t>2.07</t>
  </si>
  <si>
    <t>Hartberg</t>
  </si>
  <si>
    <t>Austria Wien</t>
  </si>
  <si>
    <t>Tirol</t>
  </si>
  <si>
    <t>Salzburg</t>
  </si>
  <si>
    <t>Rapid Wien</t>
  </si>
  <si>
    <t>Grazer AK</t>
  </si>
  <si>
    <t>First Vienna</t>
  </si>
  <si>
    <t>Liefering</t>
  </si>
  <si>
    <t>Sumqayit</t>
  </si>
  <si>
    <t>Neftci</t>
  </si>
  <si>
    <t>Zira</t>
  </si>
  <si>
    <t>Safa</t>
  </si>
  <si>
    <t>ML Vitebsk</t>
  </si>
  <si>
    <t>Baranovichi</t>
  </si>
  <si>
    <t>Dinamo Minsk</t>
  </si>
  <si>
    <t>T. Zhodino</t>
  </si>
  <si>
    <t>Dinamo Brest</t>
  </si>
  <si>
    <t>Isloch</t>
  </si>
  <si>
    <t>Beveren</t>
  </si>
  <si>
    <t>Anderlecht</t>
  </si>
  <si>
    <t>La Louviere</t>
  </si>
  <si>
    <t>Gent</t>
  </si>
  <si>
    <t>KV Mechelen</t>
  </si>
  <si>
    <t>Standard Liege</t>
  </si>
  <si>
    <t>Lommel SK</t>
  </si>
  <si>
    <t>Charleroi</t>
  </si>
  <si>
    <t>Beerschot</t>
  </si>
  <si>
    <t>Jong Gent</t>
  </si>
  <si>
    <t>BSK Banja Luka</t>
  </si>
  <si>
    <t>Velez Mostar</t>
  </si>
  <si>
    <t>R. Bijeljina</t>
  </si>
  <si>
    <t>Zrinjski Mostar</t>
  </si>
  <si>
    <t>Sao Paulo</t>
  </si>
  <si>
    <t>Coritiba</t>
  </si>
  <si>
    <t>Atletico MG</t>
  </si>
  <si>
    <t>Vasco da Gama</t>
  </si>
  <si>
    <t>Santos</t>
  </si>
  <si>
    <t>Flamengo</t>
  </si>
  <si>
    <t>Vitoria</t>
  </si>
  <si>
    <t>Cruzeiro</t>
  </si>
  <si>
    <t>Operario PR</t>
  </si>
  <si>
    <t>Athletic Club</t>
  </si>
  <si>
    <t>CRB</t>
  </si>
  <si>
    <t>Novorizontino</t>
  </si>
  <si>
    <t>Caxias</t>
  </si>
  <si>
    <t>Figueirense</t>
  </si>
  <si>
    <t>Floresta</t>
  </si>
  <si>
    <t>Anapolis</t>
  </si>
  <si>
    <t>Barra FC</t>
  </si>
  <si>
    <t>Itabaiana</t>
  </si>
  <si>
    <t>Confianca</t>
  </si>
  <si>
    <t>Maringa</t>
  </si>
  <si>
    <t>Botafogo W</t>
  </si>
  <si>
    <t>Sao Paulo W</t>
  </si>
  <si>
    <t>Santos W</t>
  </si>
  <si>
    <t>Flamengo W</t>
  </si>
  <si>
    <t>Palmeiras W</t>
  </si>
  <si>
    <t>Juventude W</t>
  </si>
  <si>
    <t>CSKA Sofia</t>
  </si>
  <si>
    <t>Botev Vratsa</t>
  </si>
  <si>
    <t>Lok. Plovdiv</t>
  </si>
  <si>
    <t>Dunav</t>
  </si>
  <si>
    <t>Spartak Pleven</t>
  </si>
  <si>
    <t>Lokomotiv Gorna</t>
  </si>
  <si>
    <t>Sportist Svoge</t>
  </si>
  <si>
    <t>Nesebar</t>
  </si>
  <si>
    <t>Dobrudzha</t>
  </si>
  <si>
    <t>Yantra</t>
  </si>
  <si>
    <t>Etar</t>
  </si>
  <si>
    <t>Rilski Sportist</t>
  </si>
  <si>
    <t>Montana</t>
  </si>
  <si>
    <t>Marek</t>
  </si>
  <si>
    <t>HFX Wanderers</t>
  </si>
  <si>
    <t>Everton</t>
  </si>
  <si>
    <t>Audax Italiano</t>
  </si>
  <si>
    <t>Nublense</t>
  </si>
  <si>
    <t>Union La Calera</t>
  </si>
  <si>
    <t>Cobresal</t>
  </si>
  <si>
    <t>Concepcion</t>
  </si>
  <si>
    <t>Colo-Colo</t>
  </si>
  <si>
    <t>OHiggins</t>
  </si>
  <si>
    <t>Union Espanola</t>
  </si>
  <si>
    <t>San Marcos</t>
  </si>
  <si>
    <t>S. Wanderers</t>
  </si>
  <si>
    <t>Puerto Montt</t>
  </si>
  <si>
    <t>U. San Felipe</t>
  </si>
  <si>
    <t>Cobreloa</t>
  </si>
  <si>
    <t>Shanghai Jiadin</t>
  </si>
  <si>
    <t>Nanjing City</t>
  </si>
  <si>
    <t>Dingnan</t>
  </si>
  <si>
    <t>A. Nacional</t>
  </si>
  <si>
    <t>Santa Fe</t>
  </si>
  <si>
    <t>D. Pereira</t>
  </si>
  <si>
    <t>Jaguares de C.</t>
  </si>
  <si>
    <t>America de Cali</t>
  </si>
  <si>
    <t>Fortaleza CEIF</t>
  </si>
  <si>
    <t>Saprissa</t>
  </si>
  <si>
    <t>Cartagines</t>
  </si>
  <si>
    <t>Zeledon</t>
  </si>
  <si>
    <t>Inter S. Carlos</t>
  </si>
  <si>
    <t>Varazdin</t>
  </si>
  <si>
    <t>Rijeka</t>
  </si>
  <si>
    <t>Gorica</t>
  </si>
  <si>
    <t>Hajduk Split</t>
  </si>
  <si>
    <t>Vikto Zizkov</t>
  </si>
  <si>
    <t>Banik Ostrava B</t>
  </si>
  <si>
    <t>Nordsjaelland</t>
  </si>
  <si>
    <t>Silkeborg</t>
  </si>
  <si>
    <t>Odense BK</t>
  </si>
  <si>
    <t>AC Horsens</t>
  </si>
  <si>
    <t>Lyngby</t>
  </si>
  <si>
    <t>FC Midtjylland</t>
  </si>
  <si>
    <t>Randers FC</t>
  </si>
  <si>
    <t>FC Kobenhavn</t>
  </si>
  <si>
    <t>Vendsyssel</t>
  </si>
  <si>
    <t>AB Copenhagen</t>
  </si>
  <si>
    <t>Mushuc Runa</t>
  </si>
  <si>
    <t>Barcelona SC</t>
  </si>
  <si>
    <t>D. Cuenca</t>
  </si>
  <si>
    <t>Tecnico U.</t>
  </si>
  <si>
    <t>Narva Trans</t>
  </si>
  <si>
    <t>Paide</t>
  </si>
  <si>
    <t>3.18</t>
  </si>
  <si>
    <t>Nomme Kalju</t>
  </si>
  <si>
    <t>Vaprus</t>
  </si>
  <si>
    <t>Kuressaare</t>
  </si>
  <si>
    <t>3.45</t>
  </si>
  <si>
    <t>Harju JK</t>
  </si>
  <si>
    <t>Levadia</t>
  </si>
  <si>
    <t>  FAR</t>
  </si>
  <si>
    <t>HB Torshavn</t>
  </si>
  <si>
    <t>B68 Toftir</t>
  </si>
  <si>
    <t>NSI Runavik</t>
  </si>
  <si>
    <t>Streymur</t>
  </si>
  <si>
    <t>07 Vestur</t>
  </si>
  <si>
    <t>B36 Torshavn</t>
  </si>
  <si>
    <t>AB Argir</t>
  </si>
  <si>
    <t>Klaksvik</t>
  </si>
  <si>
    <t>Skala</t>
  </si>
  <si>
    <t>Vikingur</t>
  </si>
  <si>
    <t>HJK Helsinki</t>
  </si>
  <si>
    <t>Jaro</t>
  </si>
  <si>
    <t>Lahti</t>
  </si>
  <si>
    <t>KuPS</t>
  </si>
  <si>
    <t>Oulu</t>
  </si>
  <si>
    <t>Inter Turku</t>
  </si>
  <si>
    <t>Mikkelin</t>
  </si>
  <si>
    <t>Ekenas IF</t>
  </si>
  <si>
    <t>Inter Turku B</t>
  </si>
  <si>
    <t>KPV Kokkola</t>
  </si>
  <si>
    <t>KuPS Ak.</t>
  </si>
  <si>
    <t>PKKU</t>
  </si>
  <si>
    <t>VJS</t>
  </si>
  <si>
    <t>JJK</t>
  </si>
  <si>
    <t>Reipas</t>
  </si>
  <si>
    <t>PEPO</t>
  </si>
  <si>
    <t>JBK</t>
  </si>
  <si>
    <t>TP-47</t>
  </si>
  <si>
    <t>4.88</t>
  </si>
  <si>
    <t>Narpes Kraft</t>
  </si>
  <si>
    <t>SJK Akatemia B</t>
  </si>
  <si>
    <t>Dila Gori</t>
  </si>
  <si>
    <t>Meshakhte</t>
  </si>
  <si>
    <t>Samgurali</t>
  </si>
  <si>
    <t>Dinamo Batumi</t>
  </si>
  <si>
    <t>Hansa Rostock</t>
  </si>
  <si>
    <t>Mannheim</t>
  </si>
  <si>
    <t>Regensburg</t>
  </si>
  <si>
    <t>Saarbrucken</t>
  </si>
  <si>
    <t>VfB Stuttgart B</t>
  </si>
  <si>
    <t>Viktoria Koln</t>
  </si>
  <si>
    <t>Hamburger SV B</t>
  </si>
  <si>
    <t>Drochtersen.A.</t>
  </si>
  <si>
    <t>Hannover 96 B</t>
  </si>
  <si>
    <t>Delmenhorst</t>
  </si>
  <si>
    <t>St. Pauli B</t>
  </si>
  <si>
    <t>Werder Bremen B</t>
  </si>
  <si>
    <t>Bremer SV</t>
  </si>
  <si>
    <t>HSC Hannover</t>
  </si>
  <si>
    <t>Schoningen</t>
  </si>
  <si>
    <t>Todesfelde</t>
  </si>
  <si>
    <t>Altglienicke</t>
  </si>
  <si>
    <t>Hallescher</t>
  </si>
  <si>
    <t>Tasmania Berlin</t>
  </si>
  <si>
    <t>Lok. Leipzig</t>
  </si>
  <si>
    <t>FC Koln B</t>
  </si>
  <si>
    <t>Gutersloh</t>
  </si>
  <si>
    <t>Freiburg B</t>
  </si>
  <si>
    <t>Hessen Kassel</t>
  </si>
  <si>
    <t>FSV Mainz B</t>
  </si>
  <si>
    <t>FSV Frankfurt</t>
  </si>
  <si>
    <t>VfR Mannheim</t>
  </si>
  <si>
    <t>Eintracht Trier</t>
  </si>
  <si>
    <t>Comunicaciones</t>
  </si>
  <si>
    <t>Malacateco</t>
  </si>
  <si>
    <t>San Pedro</t>
  </si>
  <si>
    <t>Aurora</t>
  </si>
  <si>
    <t>Suchitepequez</t>
  </si>
  <si>
    <t>Marquense</t>
  </si>
  <si>
    <t>Debrecen</t>
  </si>
  <si>
    <t>Gyor</t>
  </si>
  <si>
    <t>Puskas A.</t>
  </si>
  <si>
    <t>Paks</t>
  </si>
  <si>
    <t>Karcag SE</t>
  </si>
  <si>
    <t>Tiszakecske</t>
  </si>
  <si>
    <t>Szentlorinc</t>
  </si>
  <si>
    <t>Csakvari</t>
  </si>
  <si>
    <t>Hafnarfjordur</t>
  </si>
  <si>
    <t>Vikingur R.</t>
  </si>
  <si>
    <t>IBV</t>
  </si>
  <si>
    <t>IA Akranes</t>
  </si>
  <si>
    <t>KR Reykjavik</t>
  </si>
  <si>
    <t>Breidablik</t>
  </si>
  <si>
    <t>Yokohama FC</t>
  </si>
  <si>
    <t>Jubilo Iwata</t>
  </si>
  <si>
    <t>Tokushima V.</t>
  </si>
  <si>
    <t>Sagan Tosu</t>
  </si>
  <si>
    <t>Nara Club</t>
  </si>
  <si>
    <t>Kagoshima Utd</t>
  </si>
  <si>
    <t>Osaka</t>
  </si>
  <si>
    <t>Nagano Parceiro</t>
  </si>
  <si>
    <t>Ehime FC</t>
  </si>
  <si>
    <t>Gainare Tottori</t>
  </si>
  <si>
    <t>Matsumoto Y.</t>
  </si>
  <si>
    <t>Rayluck Shiga</t>
  </si>
  <si>
    <t>Irtysh</t>
  </si>
  <si>
    <t>Tobol</t>
  </si>
  <si>
    <t>0.18</t>
  </si>
  <si>
    <t>Kaspiy Aktau</t>
  </si>
  <si>
    <t>Yelimay Semey</t>
  </si>
  <si>
    <t>Kyzylzhar</t>
  </si>
  <si>
    <t>FC Astana</t>
  </si>
  <si>
    <t>Atyrau</t>
  </si>
  <si>
    <t>Okzhetpes</t>
  </si>
  <si>
    <t>  LIT</t>
  </si>
  <si>
    <t>Kauno Zalgiris</t>
  </si>
  <si>
    <t>TransINVEST</t>
  </si>
  <si>
    <t>Zalgiris</t>
  </si>
  <si>
    <t>Banga</t>
  </si>
  <si>
    <t>Monterrey</t>
  </si>
  <si>
    <t>Juarez</t>
  </si>
  <si>
    <t>Atlas</t>
  </si>
  <si>
    <t>Tigres</t>
  </si>
  <si>
    <t>Pumas UNAM</t>
  </si>
  <si>
    <t>Queretaro</t>
  </si>
  <si>
    <t>CF America</t>
  </si>
  <si>
    <t>A. San Luis</t>
  </si>
  <si>
    <t>Real Sireti</t>
  </si>
  <si>
    <t>S. Tiraspol</t>
  </si>
  <si>
    <t>Zimbru Chisinau</t>
  </si>
  <si>
    <t>Milsami</t>
  </si>
  <si>
    <t>Arsenal Tivat</t>
  </si>
  <si>
    <t>Buducnost</t>
  </si>
  <si>
    <t>Mladost DG</t>
  </si>
  <si>
    <t>Mornar Bar</t>
  </si>
  <si>
    <t>Petrovac</t>
  </si>
  <si>
    <t>Jezero</t>
  </si>
  <si>
    <t>Aalesund</t>
  </si>
  <si>
    <t>Valerenga</t>
  </si>
  <si>
    <t>Brann</t>
  </si>
  <si>
    <t>HamKam</t>
  </si>
  <si>
    <t>Molde</t>
  </si>
  <si>
    <t>Tromso</t>
  </si>
  <si>
    <t>Sarpsborg 08</t>
  </si>
  <si>
    <t>Sandefjord</t>
  </si>
  <si>
    <t>Kristiansund</t>
  </si>
  <si>
    <t>Egersund</t>
  </si>
  <si>
    <t>Stabaek</t>
  </si>
  <si>
    <t>Hodd</t>
  </si>
  <si>
    <t>Strommen</t>
  </si>
  <si>
    <t>Kongsvinger</t>
  </si>
  <si>
    <t>Haugesund</t>
  </si>
  <si>
    <t>5.67</t>
  </si>
  <si>
    <t>Raufoss</t>
  </si>
  <si>
    <t>Asane</t>
  </si>
  <si>
    <t>Sogndal</t>
  </si>
  <si>
    <t>Sandnes Ulf</t>
  </si>
  <si>
    <t>Jerv</t>
  </si>
  <si>
    <t>Pors Grenland</t>
  </si>
  <si>
    <t>Bjarg</t>
  </si>
  <si>
    <t>Sotra</t>
  </si>
  <si>
    <t>Traef</t>
  </si>
  <si>
    <t>Follo</t>
  </si>
  <si>
    <t>Rana</t>
  </si>
  <si>
    <t>4.71</t>
  </si>
  <si>
    <t>Ull/Kisa</t>
  </si>
  <si>
    <t>Trygg/Lade</t>
  </si>
  <si>
    <t>4.14</t>
  </si>
  <si>
    <t>Skeid</t>
  </si>
  <si>
    <t>Levanger</t>
  </si>
  <si>
    <t>Stjordals-Blink</t>
  </si>
  <si>
    <t>Honefoss</t>
  </si>
  <si>
    <t>Grorud</t>
  </si>
  <si>
    <t>Tromsdalen</t>
  </si>
  <si>
    <t>3.86</t>
  </si>
  <si>
    <t>Kjelsas</t>
  </si>
  <si>
    <t>Junkeren</t>
  </si>
  <si>
    <t>Cerro Porteno</t>
  </si>
  <si>
    <t>S. Luqueno</t>
  </si>
  <si>
    <t>Olimpia</t>
  </si>
  <si>
    <t>S. Ameliano</t>
  </si>
  <si>
    <t>Motor Lublin</t>
  </si>
  <si>
    <t>Katowice</t>
  </si>
  <si>
    <t>Cracovia Krakow</t>
  </si>
  <si>
    <t>Rakow C.</t>
  </si>
  <si>
    <t>Gornik Zabrze</t>
  </si>
  <si>
    <t>Wisla Krakow</t>
  </si>
  <si>
    <t>Wisla Plock</t>
  </si>
  <si>
    <t>Lech Poznan</t>
  </si>
  <si>
    <t>LKS Lodz</t>
  </si>
  <si>
    <t>Termalica</t>
  </si>
  <si>
    <t>Stal Mielec</t>
  </si>
  <si>
    <t>Polonia Bytom</t>
  </si>
  <si>
    <t>Skierniewice</t>
  </si>
  <si>
    <t>Miedz Legnica</t>
  </si>
  <si>
    <t>Zawisza Bydgosz</t>
  </si>
  <si>
    <t>Falubaz Zielona</t>
  </si>
  <si>
    <t>Hutnik Krakow</t>
  </si>
  <si>
    <t>Legia Warszawa</t>
  </si>
  <si>
    <t>Stalowa Wola</t>
  </si>
  <si>
    <t>Avia Swidnik</t>
  </si>
  <si>
    <t>Portimonense</t>
  </si>
  <si>
    <t>Vizela</t>
  </si>
  <si>
    <t>Amarante</t>
  </si>
  <si>
    <t>Lusitania FC</t>
  </si>
  <si>
    <t>Leixoes</t>
  </si>
  <si>
    <t>Tondela</t>
  </si>
  <si>
    <t>FC Porto B</t>
  </si>
  <si>
    <t>Farense</t>
  </si>
  <si>
    <t>Cornivul H.</t>
  </si>
  <si>
    <t>CFR Cluj</t>
  </si>
  <si>
    <t>Otelul</t>
  </si>
  <si>
    <t>Univ. Craiova</t>
  </si>
  <si>
    <t>Zenit</t>
  </si>
  <si>
    <t>Dinamo Moscow</t>
  </si>
  <si>
    <t>Krylya Sovetov</t>
  </si>
  <si>
    <t>Makhachkala</t>
  </si>
  <si>
    <t>Baltika</t>
  </si>
  <si>
    <t>Spartak Moscow</t>
  </si>
  <si>
    <t>IMT N. Beograd</t>
  </si>
  <si>
    <t>Radnicki Nis</t>
  </si>
  <si>
    <t>Partizan</t>
  </si>
  <si>
    <t>Radnicki 1923</t>
  </si>
  <si>
    <t>Zemun</t>
  </si>
  <si>
    <t>Mladost Lucani</t>
  </si>
  <si>
    <t>Spartak Trnava</t>
  </si>
  <si>
    <t>Z. Michalovce</t>
  </si>
  <si>
    <t>Komarno</t>
  </si>
  <si>
    <t>DAC Streda</t>
  </si>
  <si>
    <t>Radomlje</t>
  </si>
  <si>
    <t>Aluminij</t>
  </si>
  <si>
    <t>Grosuplje</t>
  </si>
  <si>
    <t>Mura</t>
  </si>
  <si>
    <t>Koper</t>
  </si>
  <si>
    <t>Bravo</t>
  </si>
  <si>
    <t>Chippa Utd</t>
  </si>
  <si>
    <t>Orlando Pirates</t>
  </si>
  <si>
    <t>TS Galaxy</t>
  </si>
  <si>
    <t>Golden Arrows</t>
  </si>
  <si>
    <t>Bucheon FC</t>
  </si>
  <si>
    <t>Jeonbuk</t>
  </si>
  <si>
    <t>Incheon Utd</t>
  </si>
  <si>
    <t>Gimcheon Sangmu</t>
  </si>
  <si>
    <t>Ulsan</t>
  </si>
  <si>
    <t>Gangwon</t>
  </si>
  <si>
    <t>Daegu</t>
  </si>
  <si>
    <t>Asan</t>
  </si>
  <si>
    <t>Gimpo</t>
  </si>
  <si>
    <t>Cheonan City</t>
  </si>
  <si>
    <t>Paju Citizen</t>
  </si>
  <si>
    <t>Seongnam</t>
  </si>
  <si>
    <t>Seoul E-Land</t>
  </si>
  <si>
    <t>Ansan Greeners</t>
  </si>
  <si>
    <t>Orgryte</t>
  </si>
  <si>
    <t>Degerfors</t>
  </si>
  <si>
    <t>Djurgarden</t>
  </si>
  <si>
    <t>AIK</t>
  </si>
  <si>
    <t>GAIS</t>
  </si>
  <si>
    <t>Malmo FF</t>
  </si>
  <si>
    <t>Kalmar</t>
  </si>
  <si>
    <t>Hammarby</t>
  </si>
  <si>
    <t>Varnamo</t>
  </si>
  <si>
    <t>Ostersunds</t>
  </si>
  <si>
    <t>Pitea</t>
  </si>
  <si>
    <t>Vasalund</t>
  </si>
  <si>
    <t>Stockholm Inter</t>
  </si>
  <si>
    <t>Arlanda</t>
  </si>
  <si>
    <t>FBK Karlstad</t>
  </si>
  <si>
    <t>Enkoping</t>
  </si>
  <si>
    <t>Trelleborg</t>
  </si>
  <si>
    <t>Eskilsminne</t>
  </si>
  <si>
    <t>Atvidaberg</t>
  </si>
  <si>
    <t>Skovde AIK</t>
  </si>
  <si>
    <t>Rosengard</t>
  </si>
  <si>
    <t>Utsikten</t>
  </si>
  <si>
    <t>Norrkoping W</t>
  </si>
  <si>
    <t>Kristianstads W</t>
  </si>
  <si>
    <t>Basaksehir</t>
  </si>
  <si>
    <t>Kocaelispor</t>
  </si>
  <si>
    <t>Amed SK</t>
  </si>
  <si>
    <t>Erzurum BB</t>
  </si>
  <si>
    <t>Besiktas</t>
  </si>
  <si>
    <t>Eyupspor</t>
  </si>
  <si>
    <t>Kayserispor</t>
  </si>
  <si>
    <t>Sivasspor</t>
  </si>
  <si>
    <t>Keciorengucu</t>
  </si>
  <si>
    <t>Pendikspor</t>
  </si>
  <si>
    <t>Mardin BB</t>
  </si>
  <si>
    <t>Antalyaspor</t>
  </si>
  <si>
    <t>Muglaspor</t>
  </si>
  <si>
    <t>Bandirmaspor</t>
  </si>
  <si>
    <t>LNZ Cherkasy</t>
  </si>
  <si>
    <t>Chornomorets</t>
  </si>
  <si>
    <t>Metalist 1925</t>
  </si>
  <si>
    <t>Shakhtar</t>
  </si>
  <si>
    <t>Dynamo Kyiv</t>
  </si>
  <si>
    <t>Kolos Kovalivka</t>
  </si>
  <si>
    <t>Progreso</t>
  </si>
  <si>
    <t>D. Maldonado</t>
  </si>
  <si>
    <t>Defensor S.</t>
  </si>
  <si>
    <t>Liverpool M.</t>
  </si>
  <si>
    <t>Penarol</t>
  </si>
  <si>
    <t>Central Espanol</t>
  </si>
  <si>
    <t>Houston Dynamo</t>
  </si>
  <si>
    <t>LA Galaxy</t>
  </si>
  <si>
    <t>Nashville SC</t>
  </si>
  <si>
    <t>Inter Miami</t>
  </si>
  <si>
    <t>Colorado Rapids</t>
  </si>
  <si>
    <t>Real Salt Lake</t>
  </si>
  <si>
    <t>Minnesota Utd</t>
  </si>
  <si>
    <t>Los Angeles FC</t>
  </si>
  <si>
    <t>San Diego</t>
  </si>
  <si>
    <t>SJ Earthquakes</t>
  </si>
  <si>
    <t>New York City</t>
  </si>
  <si>
    <t>Philadelphia</t>
  </si>
  <si>
    <t>Colorado S.</t>
  </si>
  <si>
    <t>Birmingham L.</t>
  </si>
  <si>
    <t>San Antonio</t>
  </si>
  <si>
    <t>El Paso</t>
  </si>
  <si>
    <t>New Mexico</t>
  </si>
  <si>
    <t>FC Tulsa</t>
  </si>
  <si>
    <t>Oakland Roots</t>
  </si>
  <si>
    <t>Monterey Bay</t>
  </si>
  <si>
    <t>Orange County</t>
  </si>
  <si>
    <t>Louisville City</t>
  </si>
  <si>
    <t>Las Vegas L.</t>
  </si>
  <si>
    <t>Brooklyn FC</t>
  </si>
  <si>
    <t>Sacramento R.</t>
  </si>
  <si>
    <t>Lexington</t>
  </si>
  <si>
    <t>Spokane V.</t>
  </si>
  <si>
    <t>Corpus Christi</t>
  </si>
  <si>
    <t>Portland Hearts</t>
  </si>
  <si>
    <t>Forward Madison</t>
  </si>
  <si>
    <t>Union Omaha</t>
  </si>
  <si>
    <t>Richmond K.</t>
  </si>
  <si>
    <t>Portland T. W</t>
  </si>
  <si>
    <t>Orlando Pride W</t>
  </si>
  <si>
    <t>N. Carolina W</t>
  </si>
  <si>
    <t>Houston Dash W</t>
  </si>
  <si>
    <t>Dallas T. W</t>
  </si>
  <si>
    <t>Tampa Bay Sun W</t>
  </si>
  <si>
    <t>Deportivo</t>
  </si>
  <si>
    <t>Elche</t>
  </si>
  <si>
    <t>Casa Pia</t>
  </si>
  <si>
    <t>Benfica</t>
  </si>
  <si>
    <t>Cardiff City</t>
  </si>
  <si>
    <t>Wrexham</t>
  </si>
  <si>
    <t>Sporting Gijon</t>
  </si>
  <si>
    <t>Sabadell</t>
  </si>
  <si>
    <t>Almeria</t>
  </si>
  <si>
    <t>Eldense</t>
  </si>
  <si>
    <t>De Graafschap</t>
  </si>
  <si>
    <t>Jong AZ</t>
  </si>
  <si>
    <t>Jong Ajax</t>
  </si>
  <si>
    <t>FC Emmen</t>
  </si>
  <si>
    <t>Jong Utrecht</t>
  </si>
  <si>
    <t>Vitesse Arnhem</t>
  </si>
  <si>
    <t>E. Rio Cuarto</t>
  </si>
  <si>
    <t>A. Tucuman</t>
  </si>
  <si>
    <t>Lanus</t>
  </si>
  <si>
    <t>Independiente</t>
  </si>
  <si>
    <t>Velez Sarsfield</t>
  </si>
  <si>
    <t>Defensa y J.</t>
  </si>
  <si>
    <t>Noah</t>
  </si>
  <si>
    <t>Alashkert</t>
  </si>
  <si>
    <t>Qarabag</t>
  </si>
  <si>
    <t>Shamakhi</t>
  </si>
  <si>
    <t>RFC Liege</t>
  </si>
  <si>
    <t>Francs Borains</t>
  </si>
  <si>
    <t>Internacional</t>
  </si>
  <si>
    <t>Remo</t>
  </si>
  <si>
    <t>Ferroviaria</t>
  </si>
  <si>
    <t>Paysandu</t>
  </si>
  <si>
    <t>Ypiranga</t>
  </si>
  <si>
    <t>Spartak Varna</t>
  </si>
  <si>
    <t>Septemvri Sofia</t>
  </si>
  <si>
    <t>Arda</t>
  </si>
  <si>
    <t>Lokomotiv Sofia</t>
  </si>
  <si>
    <t>C. 1919</t>
  </si>
  <si>
    <t>CSKA Sofia B</t>
  </si>
  <si>
    <t>Antofagasta</t>
  </si>
  <si>
    <t>San Luis</t>
  </si>
  <si>
    <t>A. Bucaramanga</t>
  </si>
  <si>
    <t>Deportivo Pasto</t>
  </si>
  <si>
    <t>Millonarios</t>
  </si>
  <si>
    <t>Deportivo Cali</t>
  </si>
  <si>
    <t>Trinec</t>
  </si>
  <si>
    <t>Usti nad Labem</t>
  </si>
  <si>
    <t>Brondby IF</t>
  </si>
  <si>
    <t>SonderjyskE</t>
  </si>
  <si>
    <t>Aucas</t>
  </si>
  <si>
    <t>LDU Quito</t>
  </si>
  <si>
    <t>Nomme Utd B</t>
  </si>
  <si>
    <t>Nomme Kalju B</t>
  </si>
  <si>
    <t>Gnistan</t>
  </si>
  <si>
    <t>Ilves</t>
  </si>
  <si>
    <t>Gagra</t>
  </si>
  <si>
    <t>Spaeri</t>
  </si>
  <si>
    <t>Zalaegerszegi</t>
  </si>
  <si>
    <t>Ferencvaros</t>
  </si>
  <si>
    <t>Valur</t>
  </si>
  <si>
    <t>KA Akureyri</t>
  </si>
  <si>
    <t>5.22</t>
  </si>
  <si>
    <t>Fram</t>
  </si>
  <si>
    <t>Stjarnan</t>
  </si>
  <si>
    <t>Grindavik</t>
  </si>
  <si>
    <t>Grotta</t>
  </si>
  <si>
    <t>IR Reykjavik</t>
  </si>
  <si>
    <t>Leiknir R.</t>
  </si>
  <si>
    <t>Aeggir</t>
  </si>
  <si>
    <t>Volsungur</t>
  </si>
  <si>
    <t>Vestri</t>
  </si>
  <si>
    <t>5.63</t>
  </si>
  <si>
    <t>Afturelding</t>
  </si>
  <si>
    <t>HK Kopavogur</t>
  </si>
  <si>
    <t>Throttur R.</t>
  </si>
  <si>
    <t>Siauliai</t>
  </si>
  <si>
    <t>Panevezys</t>
  </si>
  <si>
    <t>Dziugas Telsiai</t>
  </si>
  <si>
    <t>Suduva</t>
  </si>
  <si>
    <t>Santos Laguna</t>
  </si>
  <si>
    <t>Guadalajara</t>
  </si>
  <si>
    <t>Tijuana</t>
  </si>
  <si>
    <t>Cruz Azul</t>
  </si>
  <si>
    <t>Decic</t>
  </si>
  <si>
    <t>Bokelj</t>
  </si>
  <si>
    <t>Arka Gdynia</t>
  </si>
  <si>
    <t>Puszcza Niepolo</t>
  </si>
  <si>
    <t>Felgueiras</t>
  </si>
  <si>
    <t>AVS</t>
  </si>
  <si>
    <t>U. Cluj</t>
  </si>
  <si>
    <t>UTA Arad</t>
  </si>
  <si>
    <t>FCSB</t>
  </si>
  <si>
    <t>Botosani</t>
  </si>
  <si>
    <t>Novi Pazar</t>
  </si>
  <si>
    <t>Vojvodina</t>
  </si>
  <si>
    <t>Hacken</t>
  </si>
  <si>
    <t>Halmstad</t>
  </si>
  <si>
    <t>Samsunspor</t>
  </si>
  <si>
    <t>Goztepe</t>
  </si>
  <si>
    <t>B. Petrolspor</t>
  </si>
  <si>
    <t>Boluspor</t>
  </si>
  <si>
    <t>Polessya</t>
  </si>
  <si>
    <t>Zorya Luhansk</t>
  </si>
  <si>
    <t>Austin</t>
  </si>
  <si>
    <t>Dallas</t>
  </si>
  <si>
    <t>Angel City W</t>
  </si>
  <si>
    <t>Washington S.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</si>
</sst>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0" x14ac:knownFonts="1">
    <font>
      <sz val="10"/>
      <color theme="1"/>
      <name val="Arial"/>
      <family val="2"/>
    </font>
    <font>
      <sz val="7"/>
      <color rgb="FF444444"/>
      <name val="Segoe UI"/>
      <family val="2"/>
    </font>
    <font>
      <b/>
      <sz val="7"/>
      <color rgb="FF444444"/>
      <name val="Segoe UI"/>
      <family val="2"/>
    </font>
    <font>
      <sz val="8"/>
      <color rgb="FF000000"/>
      <name val="Segoe UI"/>
      <family val="2"/>
    </font>
    <font>
      <sz val="7"/>
      <color rgb="FF111111"/>
      <name val="Segoe UI"/>
      <family val="2"/>
    </font>
    <font>
      <sz val="7.5"/>
      <color rgb="FF808080"/>
      <name val="Segoe UI"/>
      <family val="2"/>
    </font>
    <font>
      <sz val="7"/>
      <color rgb="FF000000"/>
      <name val="Segoe UI"/>
      <family val="2"/>
    </font>
    <font>
      <sz val="7"/>
      <color rgb="FFFF0000"/>
      <name val="Segoe UI"/>
      <family val="2"/>
    </font>
    <font>
      <sz val="7"/>
      <color rgb="FF008000"/>
      <name val="Segoe UI"/>
      <family val="2"/>
    </font>
    <font>
      <b/>
      <sz val="7"/>
      <color rgb="FF000000"/>
      <name val="Segoe UI"/>
      <family val="2"/>
    </font>
    <font>
      <sz val="7"/>
      <color rgb="FF666666"/>
      <name val="Segoe UI"/>
      <family val="2"/>
    </font>
    <font>
      <sz val="7"/>
      <color rgb="FF0000FF"/>
      <name val="Segoe UI"/>
      <family val="2"/>
    </font>
    <font>
      <u/>
      <sz val="10"/>
      <color theme="10"/>
      <name val="Arial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b/>
      <sz val="8"/>
      <color rgb="FF444444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7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9" fontId="18" fillId="0" borderId="0" applyFont="0" applyFill="0" applyBorder="0" applyAlignment="0" applyProtection="0"/>
  </cellStyleXfs>
  <cellXfs count="6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2" fillId="2" borderId="1" xfId="1" applyFill="1" applyBorder="1" applyAlignment="1">
      <alignment vertical="center" wrapText="1"/>
    </xf>
    <xf numFmtId="0" fontId="4" fillId="2" borderId="1" xfId="0" applyFont="1" applyFill="1" applyBorder="1" applyAlignment="1">
      <alignment horizontal="right" vertical="center" wrapText="1"/>
    </xf>
    <xf numFmtId="20" fontId="5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9" fontId="6" fillId="2" borderId="1" xfId="0" applyNumberFormat="1" applyFont="1" applyFill="1" applyBorder="1" applyAlignment="1">
      <alignment horizontal="center" vertical="center" wrapText="1"/>
    </xf>
    <xf numFmtId="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9" fontId="11" fillId="2" borderId="1" xfId="0" applyNumberFormat="1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4" fontId="13" fillId="0" borderId="0" xfId="0" applyNumberFormat="1" applyFont="1" applyFill="1" applyBorder="1" applyAlignment="1">
      <alignment horizontal="center" vertical="center" wrapText="1"/>
    </xf>
    <xf numFmtId="0" fontId="14" fillId="0" borderId="0" xfId="0" applyFont="1" applyFill="1" applyAlignment="1">
      <alignment horizontal="center" vertical="center"/>
    </xf>
    <xf numFmtId="0" fontId="15" fillId="0" borderId="0" xfId="0" applyFont="1" applyFill="1" applyBorder="1" applyAlignment="1">
      <alignment horizontal="center" vertical="center" wrapText="1"/>
    </xf>
    <xf numFmtId="0" fontId="15" fillId="6" borderId="0" xfId="0" applyFont="1" applyFill="1" applyBorder="1" applyAlignment="1">
      <alignment horizontal="center"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4" borderId="0" xfId="0" applyFont="1" applyFill="1" applyAlignment="1">
      <alignment horizontal="center" vertical="center"/>
    </xf>
    <xf numFmtId="3" fontId="13" fillId="0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9" fontId="0" fillId="0" borderId="0" xfId="0" applyNumberFormat="1"/>
    <xf numFmtId="164" fontId="0" fillId="0" borderId="0" xfId="2" applyNumberFormat="1" applyFont="1"/>
    <xf numFmtId="10" fontId="0" fillId="0" borderId="0" xfId="2" applyNumberFormat="1" applyFont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  <xf numFmtId="0" fontId="12" fillId="3" borderId="1" xfId="1" applyFill="1" applyBorder="1" applyAlignment="1">
      <alignment vertical="center" wrapText="1"/>
    </xf>
    <xf numFmtId="9" fontId="6" fillId="3" borderId="1" xfId="0" applyNumberFormat="1" applyFont="1" applyFill="1" applyBorder="1" applyAlignment="1">
      <alignment horizontal="center" vertical="center" wrapText="1"/>
    </xf>
    <xf numFmtId="9" fontId="7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right" vertical="center" wrapText="1"/>
    </xf>
    <xf numFmtId="20" fontId="5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19" fillId="0" borderId="0" xfId="0" applyNumberFormat="1" applyFont="1"/>
    <xf numFmtId="0" fontId="3" fillId="3" borderId="1" xfId="0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occerstats.com/h2h.asp?league=bosnia&amp;fmid=8&amp;t1id=6&amp;t2id=3&amp;ly=2026" TargetMode="External"/><Relationship Id="rId671" Type="http://schemas.openxmlformats.org/officeDocument/2006/relationships/hyperlink" Target="https://www.soccerstats.com/h2h.asp?league=england2&amp;fmid=11&amp;t1id=21&amp;t2id=22&amp;ly=2026" TargetMode="External"/><Relationship Id="rId769" Type="http://schemas.openxmlformats.org/officeDocument/2006/relationships/hyperlink" Target="https://www.soccerstats.com/pmatch.asp?league=estonia&amp;stats=112-5-4-2026" TargetMode="External"/><Relationship Id="rId976" Type="http://schemas.openxmlformats.org/officeDocument/2006/relationships/hyperlink" Target="https://www.soccerstats.com/pmatch.asp?league=iceland2&amp;stats=111-2-6-2026" TargetMode="External"/><Relationship Id="rId21" Type="http://schemas.openxmlformats.org/officeDocument/2006/relationships/hyperlink" Target="https://www.soccerstats.com/h2h.asp?league=england3&amp;fmid=12&amp;t1id=23&amp;t2id=24&amp;ly=2026" TargetMode="External"/><Relationship Id="rId324" Type="http://schemas.openxmlformats.org/officeDocument/2006/relationships/hyperlink" Target="https://www.soccerstats.com/pmatch.asp?league=kazakhstan&amp;stats=32-8-6-2026" TargetMode="External"/><Relationship Id="rId531" Type="http://schemas.openxmlformats.org/officeDocument/2006/relationships/hyperlink" Target="https://www.soccerstats.com/h2h.asp?league=netherlands2&amp;fmid=16&amp;t1id=12&amp;t2id=17&amp;ly=2026" TargetMode="External"/><Relationship Id="rId629" Type="http://schemas.openxmlformats.org/officeDocument/2006/relationships/hyperlink" Target="https://www.soccerstats.com/h2h.asp?league=poland&amp;fmid=34&amp;t1id=4&amp;t2id=1&amp;ly=2026" TargetMode="External"/><Relationship Id="rId170" Type="http://schemas.openxmlformats.org/officeDocument/2006/relationships/hyperlink" Target="https://www.soccerstats.com/h2h.asp?league=denmark2&amp;fmid=22&amp;t1id=7&amp;t2id=11&amp;ly=2026" TargetMode="External"/><Relationship Id="rId836" Type="http://schemas.openxmlformats.org/officeDocument/2006/relationships/hyperlink" Target="https://www.soccerstats.com/pmatch.asp?league=norway&amp;stats=144-8-3-2026" TargetMode="External"/><Relationship Id="rId268" Type="http://schemas.openxmlformats.org/officeDocument/2006/relationships/hyperlink" Target="https://www.soccerstats.com/pmatch.asp?league=germany5&amp;stats=42-10-11-2027" TargetMode="External"/><Relationship Id="rId475" Type="http://schemas.openxmlformats.org/officeDocument/2006/relationships/hyperlink" Target="https://www.soccerstats.com/pmatch.asp?league=usa2&amp;stats=236-8-7-2026" TargetMode="External"/><Relationship Id="rId682" Type="http://schemas.openxmlformats.org/officeDocument/2006/relationships/hyperlink" Target="https://www.soccerstats.com/pmatch.asp?league=argentina2&amp;stats=65-21-2-2026" TargetMode="External"/><Relationship Id="rId903" Type="http://schemas.openxmlformats.org/officeDocument/2006/relationships/hyperlink" Target="https://www.soccerstats.com/pmatch.asp?league=sweden11&amp;stats=94-2-6-2026" TargetMode="External"/><Relationship Id="rId32" Type="http://schemas.openxmlformats.org/officeDocument/2006/relationships/hyperlink" Target="https://www.soccerstats.com/h2h.asp?league=england4&amp;fmid=12&amp;t1id=23&amp;t2id=24&amp;ly=2026" TargetMode="External"/><Relationship Id="rId128" Type="http://schemas.openxmlformats.org/officeDocument/2006/relationships/hyperlink" Target="https://www.soccerstats.com/pmatch.asp?league=brazil3&amp;stats=165-13-9-2026" TargetMode="External"/><Relationship Id="rId335" Type="http://schemas.openxmlformats.org/officeDocument/2006/relationships/hyperlink" Target="https://www.soccerstats.com/h2h.asp?league=netherlands3&amp;fmid=3&amp;t1id=5&amp;t2id=6&amp;ly=2026" TargetMode="External"/><Relationship Id="rId542" Type="http://schemas.openxmlformats.org/officeDocument/2006/relationships/hyperlink" Target="https://www.soccerstats.com/pmatch.asp?league=australia3&amp;stats=164-13-4-2026" TargetMode="External"/><Relationship Id="rId987" Type="http://schemas.openxmlformats.org/officeDocument/2006/relationships/hyperlink" Target="https://www.soccerstats.com/h2h.asp?league=portugal2&amp;fmid=16&amp;t1id=10&amp;t2id=17&amp;ly=2026" TargetMode="External"/><Relationship Id="rId181" Type="http://schemas.openxmlformats.org/officeDocument/2006/relationships/hyperlink" Target="https://www.soccerstats.com/h2h.asp?league=england6&amp;fmid=20&amp;t1id=10&amp;t2id=1&amp;ly=2026" TargetMode="External"/><Relationship Id="rId402" Type="http://schemas.openxmlformats.org/officeDocument/2006/relationships/hyperlink" Target="https://www.soccerstats.com/h2h.asp?league=scotland3&amp;fmid=12&amp;t1id=1&amp;t2id=10&amp;ly=2026" TargetMode="External"/><Relationship Id="rId847" Type="http://schemas.openxmlformats.org/officeDocument/2006/relationships/hyperlink" Target="https://www.soccerstats.com/pmatch.asp?league=norway3&amp;stats=111-1-3-2026" TargetMode="External"/><Relationship Id="rId279" Type="http://schemas.openxmlformats.org/officeDocument/2006/relationships/hyperlink" Target="https://www.soccerstats.com/h2h.asp?league=guatemala&amp;fmid=19&amp;t1id=8&amp;t2id=3&amp;ly=2026" TargetMode="External"/><Relationship Id="rId486" Type="http://schemas.openxmlformats.org/officeDocument/2006/relationships/hyperlink" Target="https://www.soccerstats.com/pmatch.asp?league=usa6&amp;stats=149-6-7-2026" TargetMode="External"/><Relationship Id="rId693" Type="http://schemas.openxmlformats.org/officeDocument/2006/relationships/hyperlink" Target="https://www.soccerstats.com/pmatch.asp?league=australia7&amp;stats=128-6-10-2026" TargetMode="External"/><Relationship Id="rId707" Type="http://schemas.openxmlformats.org/officeDocument/2006/relationships/hyperlink" Target="https://www.soccerstats.com/h2h.asp?league=austria2&amp;fmid=18&amp;t1id=13&amp;t2id=6&amp;ly=2026" TargetMode="External"/><Relationship Id="rId914" Type="http://schemas.openxmlformats.org/officeDocument/2006/relationships/hyperlink" Target="https://www.soccerstats.com/h2h.asp?league=uruguay3&amp;fmid=5&amp;t1id=9&amp;t2id=10&amp;ly=2026" TargetMode="External"/><Relationship Id="rId43" Type="http://schemas.openxmlformats.org/officeDocument/2006/relationships/hyperlink" Target="https://www.soccerstats.com/h2h.asp?league=england5&amp;fmid=23&amp;t1id=8&amp;t2id=5&amp;ly=2026" TargetMode="External"/><Relationship Id="rId139" Type="http://schemas.openxmlformats.org/officeDocument/2006/relationships/hyperlink" Target="https://www.soccerstats.com/pmatch.asp?league=canada&amp;stats=64-3-5-2026" TargetMode="External"/><Relationship Id="rId346" Type="http://schemas.openxmlformats.org/officeDocument/2006/relationships/hyperlink" Target="https://www.soccerstats.com/h2h.asp?league=northmacedonia&amp;fmid=11&amp;t1id=2&amp;t2id=4&amp;ly=2026" TargetMode="External"/><Relationship Id="rId553" Type="http://schemas.openxmlformats.org/officeDocument/2006/relationships/hyperlink" Target="https://www.soccerstats.com/h2h.asp?league=austria2&amp;fmid=17&amp;t1id=15&amp;t2id=10&amp;ly=2026" TargetMode="External"/><Relationship Id="rId760" Type="http://schemas.openxmlformats.org/officeDocument/2006/relationships/hyperlink" Target="https://www.soccerstats.com/h2h.asp?league=czechrepublic2&amp;fmid=32&amp;t1id=8&amp;t2id=13&amp;ly=2026" TargetMode="External"/><Relationship Id="rId192" Type="http://schemas.openxmlformats.org/officeDocument/2006/relationships/hyperlink" Target="https://www.soccerstats.com/h2h.asp?league=england7&amp;fmid=20&amp;t1id=24&amp;t2id=7&amp;ly=2026" TargetMode="External"/><Relationship Id="rId206" Type="http://schemas.openxmlformats.org/officeDocument/2006/relationships/hyperlink" Target="https://www.soccerstats.com/h2h.asp?league=england8&amp;fmid=438&amp;t1id=12&amp;t2id=9&amp;ly=2026" TargetMode="External"/><Relationship Id="rId413" Type="http://schemas.openxmlformats.org/officeDocument/2006/relationships/hyperlink" Target="https://www.soccerstats.com/h2h.asp?league=serbia&amp;fmid=33&amp;t1id=1&amp;t2id=3&amp;ly=2026" TargetMode="External"/><Relationship Id="rId858" Type="http://schemas.openxmlformats.org/officeDocument/2006/relationships/hyperlink" Target="https://www.soccerstats.com/h2h.asp?league=poland&amp;fmid=35&amp;t1id=10&amp;t2id=11&amp;ly=2026" TargetMode="External"/><Relationship Id="rId497" Type="http://schemas.openxmlformats.org/officeDocument/2006/relationships/hyperlink" Target="https://www.soccerstats.com/pmatch.asp?league=chile2&amp;stats=154-4-9-2026" TargetMode="External"/><Relationship Id="rId620" Type="http://schemas.openxmlformats.org/officeDocument/2006/relationships/hyperlink" Target="https://www.soccerstats.com/h2h.asp?league=germany8&amp;fmid=36&amp;t1id=10&amp;t2id=19&amp;ly=2026" TargetMode="External"/><Relationship Id="rId718" Type="http://schemas.openxmlformats.org/officeDocument/2006/relationships/hyperlink" Target="https://www.soccerstats.com/pmatch.asp?league=brazil&amp;stats=225-7-10-2026" TargetMode="External"/><Relationship Id="rId925" Type="http://schemas.openxmlformats.org/officeDocument/2006/relationships/hyperlink" Target="https://www.soccerstats.com/pmatch.asp?league=usa2&amp;stats=241-14-9-2026" TargetMode="External"/><Relationship Id="rId357" Type="http://schemas.openxmlformats.org/officeDocument/2006/relationships/hyperlink" Target="https://www.soccerstats.com/pmatch.asp?league=norway3&amp;stats=108-13-7-2026" TargetMode="External"/><Relationship Id="rId54" Type="http://schemas.openxmlformats.org/officeDocument/2006/relationships/hyperlink" Target="https://www.soccerstats.com/h2h.asp?league=spain2&amp;fmid=2&amp;t1id=3&amp;t2id=4&amp;ly=2026" TargetMode="External"/><Relationship Id="rId217" Type="http://schemas.openxmlformats.org/officeDocument/2006/relationships/hyperlink" Target="https://www.soccerstats.com/h2h.asp?league=england9&amp;fmid=27&amp;t1id=8&amp;t2id=5&amp;ly=2026" TargetMode="External"/><Relationship Id="rId564" Type="http://schemas.openxmlformats.org/officeDocument/2006/relationships/hyperlink" Target="https://www.soccerstats.com/h2h.asp?league=belgium2&amp;fmid=1&amp;t1id=1&amp;t2id=2&amp;ly=2026" TargetMode="External"/><Relationship Id="rId771" Type="http://schemas.openxmlformats.org/officeDocument/2006/relationships/hyperlink" Target="https://www.soccerstats.com/pmatch.asp?league=estonia&amp;stats=114-1-8-2026" TargetMode="External"/><Relationship Id="rId869" Type="http://schemas.openxmlformats.org/officeDocument/2006/relationships/hyperlink" Target="https://www.soccerstats.com/h2h.asp?league=portugal2&amp;fmid=17&amp;t1id=4&amp;t2id=7&amp;ly=2026" TargetMode="External"/><Relationship Id="rId424" Type="http://schemas.openxmlformats.org/officeDocument/2006/relationships/hyperlink" Target="https://www.soccerstats.com/h2h.asp?league=southafrica&amp;fmid=21&amp;t1id=8&amp;t2id=11&amp;ly=2026" TargetMode="External"/><Relationship Id="rId631" Type="http://schemas.openxmlformats.org/officeDocument/2006/relationships/hyperlink" Target="https://www.soccerstats.com/h2h.asp?league=poland2&amp;fmid=31&amp;t1id=12&amp;t2id=9&amp;ly=2026" TargetMode="External"/><Relationship Id="rId729" Type="http://schemas.openxmlformats.org/officeDocument/2006/relationships/hyperlink" Target="https://www.soccerstats.com/pmatch.asp?league=brazil3&amp;stats=167-15-7-2026" TargetMode="External"/><Relationship Id="rId270" Type="http://schemas.openxmlformats.org/officeDocument/2006/relationships/hyperlink" Target="https://www.soccerstats.com/h2h.asp?league=germany6&amp;fmid=19&amp;t1id=3&amp;t2id=16&amp;ly=2026" TargetMode="External"/><Relationship Id="rId936" Type="http://schemas.openxmlformats.org/officeDocument/2006/relationships/hyperlink" Target="https://www.soccerstats.com/pmatch.asp?league=usa6&amp;stats=154-9-12-2026" TargetMode="External"/><Relationship Id="rId65" Type="http://schemas.openxmlformats.org/officeDocument/2006/relationships/hyperlink" Target="https://www.soccerstats.com/pmatch.asp?league=argentina2&amp;stats=75-27-10-2026" TargetMode="External"/><Relationship Id="rId130" Type="http://schemas.openxmlformats.org/officeDocument/2006/relationships/hyperlink" Target="https://www.soccerstats.com/pmatch.asp?league=brazil3&amp;stats=162-17-1-2026" TargetMode="External"/><Relationship Id="rId368" Type="http://schemas.openxmlformats.org/officeDocument/2006/relationships/hyperlink" Target="https://www.soccerstats.com/pmatch.asp?league=peru2&amp;stats=42-17-12-2026" TargetMode="External"/><Relationship Id="rId575" Type="http://schemas.openxmlformats.org/officeDocument/2006/relationships/hyperlink" Target="https://www.soccerstats.com/pmatch.asp?league=china&amp;stats=177-15-11-2026" TargetMode="External"/><Relationship Id="rId782" Type="http://schemas.openxmlformats.org/officeDocument/2006/relationships/hyperlink" Target="https://www.soccerstats.com/pmatch.asp?league=finland3&amp;stats=118-9-4-2026" TargetMode="External"/><Relationship Id="rId228" Type="http://schemas.openxmlformats.org/officeDocument/2006/relationships/hyperlink" Target="https://www.soccerstats.com/h2h.asp?league=england10&amp;fmid=26&amp;t1id=22&amp;t2id=5&amp;ly=2026" TargetMode="External"/><Relationship Id="rId435" Type="http://schemas.openxmlformats.org/officeDocument/2006/relationships/hyperlink" Target="https://www.soccerstats.com/pmatch.asp?league=sweden&amp;stats=133-4-2-2026" TargetMode="External"/><Relationship Id="rId642" Type="http://schemas.openxmlformats.org/officeDocument/2006/relationships/hyperlink" Target="https://www.soccerstats.com/pmatch.asp?league=southkorea4&amp;stats=63-5-4-2026" TargetMode="External"/><Relationship Id="rId281" Type="http://schemas.openxmlformats.org/officeDocument/2006/relationships/hyperlink" Target="https://www.soccerstats.com/h2h.asp?league=hungary&amp;fmid=22&amp;t1id=12&amp;t2id=1&amp;ly=2026" TargetMode="External"/><Relationship Id="rId502" Type="http://schemas.openxmlformats.org/officeDocument/2006/relationships/hyperlink" Target="https://www.soccerstats.com/leagueview_team.asp?league=copalibertadores&amp;team1id=18&amp;team2id=9&amp;fmid=99" TargetMode="External"/><Relationship Id="rId947" Type="http://schemas.openxmlformats.org/officeDocument/2006/relationships/hyperlink" Target="https://www.soccerstats.com/h2h.asp?league=netherlands2&amp;fmid=18&amp;t1id=16&amp;t2id=3&amp;ly=2026" TargetMode="External"/><Relationship Id="rId76" Type="http://schemas.openxmlformats.org/officeDocument/2006/relationships/hyperlink" Target="https://www.soccerstats.com/h2h.asp?league=armenia&amp;fmid=14&amp;t1id=1&amp;t2id=6&amp;ly=2026" TargetMode="External"/><Relationship Id="rId141" Type="http://schemas.openxmlformats.org/officeDocument/2006/relationships/hyperlink" Target="https://www.soccerstats.com/pmatch.asp?league=chile&amp;stats=148-3-1-2026" TargetMode="External"/><Relationship Id="rId379" Type="http://schemas.openxmlformats.org/officeDocument/2006/relationships/hyperlink" Target="https://www.soccerstats.com/h2h.asp?league=poland2&amp;fmid=35&amp;t1id=6&amp;t2id=18&amp;ly=2026" TargetMode="External"/><Relationship Id="rId586" Type="http://schemas.openxmlformats.org/officeDocument/2006/relationships/hyperlink" Target="https://www.soccerstats.com/h2h.asp?league=denmark3&amp;fmid=15&amp;t1id=9&amp;t2id=3&amp;ly=2026" TargetMode="External"/><Relationship Id="rId793" Type="http://schemas.openxmlformats.org/officeDocument/2006/relationships/hyperlink" Target="https://www.soccerstats.com/h2h.asp?league=germany4&amp;fmid=32&amp;t1id=18&amp;t2id=3&amp;ly=2026" TargetMode="External"/><Relationship Id="rId807" Type="http://schemas.openxmlformats.org/officeDocument/2006/relationships/hyperlink" Target="https://www.soccerstats.com/h2h.asp?league=hungary&amp;fmid=23&amp;t1id=5&amp;t2id=4&amp;ly=2026" TargetMode="External"/><Relationship Id="rId7" Type="http://schemas.openxmlformats.org/officeDocument/2006/relationships/hyperlink" Target="https://www.soccerstats.com/h2h.asp?league=portugal&amp;fmid=17&amp;t1id=8&amp;t2id=17&amp;ly=2026" TargetMode="External"/><Relationship Id="rId239" Type="http://schemas.openxmlformats.org/officeDocument/2006/relationships/hyperlink" Target="https://www.soccerstats.com/pmatch.asp?league=finland2&amp;stats=94-1-8-2026" TargetMode="External"/><Relationship Id="rId446" Type="http://schemas.openxmlformats.org/officeDocument/2006/relationships/hyperlink" Target="https://www.soccerstats.com/pmatch.asp?league=sweden4&amp;stats=131-6-3-2026" TargetMode="External"/><Relationship Id="rId653" Type="http://schemas.openxmlformats.org/officeDocument/2006/relationships/hyperlink" Target="https://www.soccerstats.com/h2h.asp?league=wales&amp;fmid=24&amp;t1id=10&amp;t2id=6&amp;ly=2026" TargetMode="External"/><Relationship Id="rId292" Type="http://schemas.openxmlformats.org/officeDocument/2006/relationships/hyperlink" Target="https://www.soccerstats.com/pmatch.asp?league=iceland3&amp;stats=98-5-11-2026" TargetMode="External"/><Relationship Id="rId306" Type="http://schemas.openxmlformats.org/officeDocument/2006/relationships/hyperlink" Target="https://www.soccerstats.com/h2h.asp?league=japan&amp;fmid=18&amp;t1id=18&amp;t2id=20&amp;ly=2026" TargetMode="External"/><Relationship Id="rId860" Type="http://schemas.openxmlformats.org/officeDocument/2006/relationships/hyperlink" Target="https://www.soccerstats.com/h2h.asp?league=poland&amp;fmid=28&amp;t1id=12&amp;t2id=9&amp;ly=2026" TargetMode="External"/><Relationship Id="rId958" Type="http://schemas.openxmlformats.org/officeDocument/2006/relationships/hyperlink" Target="https://www.soccerstats.com/pmatch.asp?league=bulgaria&amp;stats=35-6-14-2027" TargetMode="External"/><Relationship Id="rId87" Type="http://schemas.openxmlformats.org/officeDocument/2006/relationships/hyperlink" Target="https://www.soccerstats.com/pmatch.asp?league=australia6&amp;stats=128-4-1-2026" TargetMode="External"/><Relationship Id="rId513" Type="http://schemas.openxmlformats.org/officeDocument/2006/relationships/hyperlink" Target="https://www.soccerstats.com/h2h.asp?league=southafrica&amp;fmid=14&amp;t1id=8&amp;t2id=3&amp;ly=2026" TargetMode="External"/><Relationship Id="rId597" Type="http://schemas.openxmlformats.org/officeDocument/2006/relationships/hyperlink" Target="https://www.soccerstats.com/h2h.asp?league=france3&amp;fmid=16&amp;t1id=8&amp;t2id=5&amp;ly=2026" TargetMode="External"/><Relationship Id="rId720" Type="http://schemas.openxmlformats.org/officeDocument/2006/relationships/hyperlink" Target="https://www.soccerstats.com/pmatch.asp?league=brazil&amp;stats=226-13-16-2026" TargetMode="External"/><Relationship Id="rId818" Type="http://schemas.openxmlformats.org/officeDocument/2006/relationships/hyperlink" Target="https://www.soccerstats.com/h2h.asp?league=japan3&amp;fmid=19&amp;t1id=17&amp;t2id=11&amp;ly=2026" TargetMode="External"/><Relationship Id="rId152" Type="http://schemas.openxmlformats.org/officeDocument/2006/relationships/hyperlink" Target="https://www.soccerstats.com/h2h.asp?league=colombia2&amp;fmid=40&amp;t1id=20&amp;t2id=15&amp;ly=2026" TargetMode="External"/><Relationship Id="rId457" Type="http://schemas.openxmlformats.org/officeDocument/2006/relationships/hyperlink" Target="https://www.soccerstats.com/h2h.asp?league=turkey&amp;fmid=4&amp;t1id=7&amp;t2id=8&amp;ly=2026" TargetMode="External"/><Relationship Id="rId664" Type="http://schemas.openxmlformats.org/officeDocument/2006/relationships/hyperlink" Target="https://www.soccerstats.com/h2h.asp?league=netherlands&amp;fmid=17&amp;t1id=12&amp;t2id=5&amp;ly=2026" TargetMode="External"/><Relationship Id="rId871" Type="http://schemas.openxmlformats.org/officeDocument/2006/relationships/hyperlink" Target="https://www.soccerstats.com/h2h.asp?league=portugal2&amp;fmid=13&amp;t1id=8&amp;t2id=11&amp;ly=2026" TargetMode="External"/><Relationship Id="rId969" Type="http://schemas.openxmlformats.org/officeDocument/2006/relationships/hyperlink" Target="https://www.soccerstats.com/pmatch.asp?league=estonia2&amp;stats=165-9-6-2026" TargetMode="External"/><Relationship Id="rId14" Type="http://schemas.openxmlformats.org/officeDocument/2006/relationships/hyperlink" Target="https://www.soccerstats.com/h2h.asp?league=england2&amp;fmid=5&amp;t1id=9&amp;t2id=10&amp;ly=2026" TargetMode="External"/><Relationship Id="rId317" Type="http://schemas.openxmlformats.org/officeDocument/2006/relationships/hyperlink" Target="https://www.soccerstats.com/h2h.asp?league=japan3&amp;fmid=11&amp;t1id=2&amp;t2id=14&amp;ly=2026" TargetMode="External"/><Relationship Id="rId524" Type="http://schemas.openxmlformats.org/officeDocument/2006/relationships/hyperlink" Target="https://www.soccerstats.com/h2h.asp?league=france2&amp;fmid=14&amp;t1id=4&amp;t2id=7&amp;ly=2026" TargetMode="External"/><Relationship Id="rId731" Type="http://schemas.openxmlformats.org/officeDocument/2006/relationships/hyperlink" Target="https://www.soccerstats.com/pmatch.asp?league=brazil5&amp;stats=137-15-2-2026" TargetMode="External"/><Relationship Id="rId98" Type="http://schemas.openxmlformats.org/officeDocument/2006/relationships/hyperlink" Target="https://www.soccerstats.com/pmatch.asp?league=australia11&amp;stats=221-12-2-2026" TargetMode="External"/><Relationship Id="rId163" Type="http://schemas.openxmlformats.org/officeDocument/2006/relationships/hyperlink" Target="https://www.soccerstats.com/h2h.asp?league=czechrepublic&amp;fmid=32&amp;t1id=5&amp;t2id=3&amp;ly=2026" TargetMode="External"/><Relationship Id="rId370" Type="http://schemas.openxmlformats.org/officeDocument/2006/relationships/hyperlink" Target="https://www.soccerstats.com/pmatch.asp?league=peru2&amp;stats=41-5-4-2026" TargetMode="External"/><Relationship Id="rId829" Type="http://schemas.openxmlformats.org/officeDocument/2006/relationships/hyperlink" Target="https://www.soccerstats.com/h2h.asp?league=mexico&amp;fmid=32&amp;t1id=18&amp;t2id=7&amp;ly=2026" TargetMode="External"/><Relationship Id="rId230" Type="http://schemas.openxmlformats.org/officeDocument/2006/relationships/hyperlink" Target="https://www.soccerstats.com/h2h.asp?league=england10&amp;fmid=24&amp;t1id=4&amp;t2id=11&amp;ly=2026" TargetMode="External"/><Relationship Id="rId468" Type="http://schemas.openxmlformats.org/officeDocument/2006/relationships/hyperlink" Target="https://www.soccerstats.com/pmatch.asp?league=usa&amp;stats=274-4-8-2026" TargetMode="External"/><Relationship Id="rId675" Type="http://schemas.openxmlformats.org/officeDocument/2006/relationships/hyperlink" Target="https://www.soccerstats.com/h2h.asp?league=spain2&amp;fmid=9&amp;t1id=17&amp;t2id=18&amp;ly=2026" TargetMode="External"/><Relationship Id="rId882" Type="http://schemas.openxmlformats.org/officeDocument/2006/relationships/hyperlink" Target="https://www.soccerstats.com/h2h.asp?league=southafrica&amp;fmid=22&amp;t1id=4&amp;t2id=5&amp;ly=2026" TargetMode="External"/><Relationship Id="rId25" Type="http://schemas.openxmlformats.org/officeDocument/2006/relationships/hyperlink" Target="https://www.soccerstats.com/h2h.asp?league=england3&amp;fmid=8&amp;t1id=15&amp;t2id=16&amp;ly=2026" TargetMode="External"/><Relationship Id="rId328" Type="http://schemas.openxmlformats.org/officeDocument/2006/relationships/hyperlink" Target="https://www.soccerstats.com/h2h.asp?league=moldova&amp;fmid=29&amp;t1id=2&amp;t2id=6&amp;ly=2026" TargetMode="External"/><Relationship Id="rId535" Type="http://schemas.openxmlformats.org/officeDocument/2006/relationships/hyperlink" Target="https://www.soccerstats.com/h2h.asp?league=netherlands2&amp;fmid=12&amp;t1id=4&amp;t2id=9&amp;ly=2026" TargetMode="External"/><Relationship Id="rId742" Type="http://schemas.openxmlformats.org/officeDocument/2006/relationships/hyperlink" Target="https://www.soccerstats.com/pmatch.asp?league=chile&amp;stats=149-15-2-2026" TargetMode="External"/><Relationship Id="rId174" Type="http://schemas.openxmlformats.org/officeDocument/2006/relationships/hyperlink" Target="https://www.soccerstats.com/pmatch.asp?league=ecuador&amp;stats=196-13-3-2026" TargetMode="External"/><Relationship Id="rId381" Type="http://schemas.openxmlformats.org/officeDocument/2006/relationships/hyperlink" Target="https://www.soccerstats.com/h2h.asp?league=poland2&amp;fmid=32&amp;t1id=7&amp;t2id=16&amp;ly=2026" TargetMode="External"/><Relationship Id="rId602" Type="http://schemas.openxmlformats.org/officeDocument/2006/relationships/hyperlink" Target="https://www.soccerstats.com/h2h.asp?league=france3&amp;fmid=18&amp;t1id=4&amp;t2id=2&amp;ly=2026" TargetMode="External"/><Relationship Id="rId241" Type="http://schemas.openxmlformats.org/officeDocument/2006/relationships/hyperlink" Target="https://www.soccerstats.com/pmatch.asp?league=finland3&amp;stats=120-12-6-2026" TargetMode="External"/><Relationship Id="rId479" Type="http://schemas.openxmlformats.org/officeDocument/2006/relationships/hyperlink" Target="https://www.soccerstats.com/pmatch.asp?league=usa3&amp;stats=191-15-4-2026" TargetMode="External"/><Relationship Id="rId686" Type="http://schemas.openxmlformats.org/officeDocument/2006/relationships/hyperlink" Target="https://www.soccerstats.com/pmatch.asp?league=argentina3&amp;stats=446-17-20-2026" TargetMode="External"/><Relationship Id="rId893" Type="http://schemas.openxmlformats.org/officeDocument/2006/relationships/hyperlink" Target="https://www.soccerstats.com/pmatch.asp?league=sweden&amp;stats=136-16-7-2026" TargetMode="External"/><Relationship Id="rId907" Type="http://schemas.openxmlformats.org/officeDocument/2006/relationships/hyperlink" Target="https://www.soccerstats.com/h2h.asp?league=turkey2&amp;fmid=17&amp;t1id=18&amp;t2id=5&amp;ly=2026" TargetMode="External"/><Relationship Id="rId36" Type="http://schemas.openxmlformats.org/officeDocument/2006/relationships/hyperlink" Target="https://www.soccerstats.com/h2h.asp?league=england4&amp;fmid=8&amp;t1id=15&amp;t2id=16&amp;ly=2026" TargetMode="External"/><Relationship Id="rId339" Type="http://schemas.openxmlformats.org/officeDocument/2006/relationships/hyperlink" Target="https://www.soccerstats.com/h2h.asp?league=netherlands3&amp;fmid=9&amp;t1id=17&amp;t2id=18&amp;ly=2026" TargetMode="External"/><Relationship Id="rId546" Type="http://schemas.openxmlformats.org/officeDocument/2006/relationships/hyperlink" Target="https://www.soccerstats.com/pmatch.asp?league=australia4&amp;stats=129-1-10-2026" TargetMode="External"/><Relationship Id="rId753" Type="http://schemas.openxmlformats.org/officeDocument/2006/relationships/hyperlink" Target="https://www.soccerstats.com/h2h.asp?league=colombia2&amp;fmid=41&amp;t1id=6&amp;t2id=16&amp;ly=2026" TargetMode="External"/><Relationship Id="rId101" Type="http://schemas.openxmlformats.org/officeDocument/2006/relationships/hyperlink" Target="https://www.soccerstats.com/h2h.asp?league=austria2&amp;fmid=21&amp;t1id=11&amp;t2id=4&amp;ly=2026" TargetMode="External"/><Relationship Id="rId185" Type="http://schemas.openxmlformats.org/officeDocument/2006/relationships/hyperlink" Target="https://www.soccerstats.com/h2h.asp?league=england6&amp;fmid=16&amp;t1id=16&amp;t2id=21&amp;ly=2026" TargetMode="External"/><Relationship Id="rId406" Type="http://schemas.openxmlformats.org/officeDocument/2006/relationships/hyperlink" Target="https://www.soccerstats.com/h2h.asp?league=scotland4&amp;fmid=12&amp;t1id=3&amp;t2id=1&amp;ly=2026" TargetMode="External"/><Relationship Id="rId960" Type="http://schemas.openxmlformats.org/officeDocument/2006/relationships/hyperlink" Target="https://www.soccerstats.com/pmatch.asp?league=chile2&amp;stats=166-7-10-2026" TargetMode="External"/><Relationship Id="rId392" Type="http://schemas.openxmlformats.org/officeDocument/2006/relationships/hyperlink" Target="https://www.soccerstats.com/h2h.asp?league=russia&amp;fmid=26&amp;t1id=10&amp;t2id=5&amp;ly=2026" TargetMode="External"/><Relationship Id="rId613" Type="http://schemas.openxmlformats.org/officeDocument/2006/relationships/hyperlink" Target="https://www.soccerstats.com/h2h.asp?league=germany7&amp;fmid=10&amp;t1id=2&amp;t2id=5&amp;ly=2026" TargetMode="External"/><Relationship Id="rId697" Type="http://schemas.openxmlformats.org/officeDocument/2006/relationships/hyperlink" Target="https://www.soccerstats.com/pmatch.asp?league=australia7&amp;stats=132-12-3-2026" TargetMode="External"/><Relationship Id="rId820" Type="http://schemas.openxmlformats.org/officeDocument/2006/relationships/hyperlink" Target="https://www.soccerstats.com/pmatch.asp?league=kazakhstan&amp;stats=36-11-4-2026" TargetMode="External"/><Relationship Id="rId918" Type="http://schemas.openxmlformats.org/officeDocument/2006/relationships/hyperlink" Target="https://www.soccerstats.com/pmatch.asp?league=usa&amp;stats=278-11-20-2026" TargetMode="External"/><Relationship Id="rId252" Type="http://schemas.openxmlformats.org/officeDocument/2006/relationships/hyperlink" Target="https://www.soccerstats.com/pmatch.asp?league=finland6&amp;stats=82-1-8-2026" TargetMode="External"/><Relationship Id="rId47" Type="http://schemas.openxmlformats.org/officeDocument/2006/relationships/hyperlink" Target="https://www.soccerstats.com/h2h.asp?league=england5&amp;fmid=19&amp;t1id=10&amp;t2id=17&amp;ly=2026" TargetMode="External"/><Relationship Id="rId112" Type="http://schemas.openxmlformats.org/officeDocument/2006/relationships/hyperlink" Target="https://www.soccerstats.com/h2h.asp?league=belgium&amp;fmid=14&amp;t1id=4&amp;t2id=1&amp;ly=2026" TargetMode="External"/><Relationship Id="rId557" Type="http://schemas.openxmlformats.org/officeDocument/2006/relationships/hyperlink" Target="https://www.soccerstats.com/h2h.asp?league=azerbaijan&amp;fmid=5&amp;t1id=9&amp;t2id=10&amp;ly=2026" TargetMode="External"/><Relationship Id="rId764" Type="http://schemas.openxmlformats.org/officeDocument/2006/relationships/hyperlink" Target="https://www.soccerstats.com/h2h.asp?league=denmark&amp;fmid=21&amp;t1id=11&amp;t2id=7&amp;ly=2026" TargetMode="External"/><Relationship Id="rId971" Type="http://schemas.openxmlformats.org/officeDocument/2006/relationships/hyperlink" Target="https://www.soccerstats.com/pmatch.asp?league=georgia&amp;stats=104-9-4-2026" TargetMode="External"/><Relationship Id="rId196" Type="http://schemas.openxmlformats.org/officeDocument/2006/relationships/hyperlink" Target="https://www.soccerstats.com/h2h.asp?league=england7&amp;fmid=16&amp;t1id=4&amp;t2id=19&amp;ly=2026" TargetMode="External"/><Relationship Id="rId417" Type="http://schemas.openxmlformats.org/officeDocument/2006/relationships/hyperlink" Target="https://www.soccerstats.com/h2h.asp?league=slovakia&amp;fmid=19&amp;t1id=2&amp;t2id=10&amp;ly=2026" TargetMode="External"/><Relationship Id="rId624" Type="http://schemas.openxmlformats.org/officeDocument/2006/relationships/hyperlink" Target="https://www.soccerstats.com/pmatch.asp?league=iceland3&amp;stats=97-4-2-2026" TargetMode="External"/><Relationship Id="rId831" Type="http://schemas.openxmlformats.org/officeDocument/2006/relationships/hyperlink" Target="https://www.soccerstats.com/h2h.asp?league=moldova&amp;fmid=32&amp;t1id=3&amp;t2id=5&amp;ly=2026" TargetMode="External"/><Relationship Id="rId263" Type="http://schemas.openxmlformats.org/officeDocument/2006/relationships/hyperlink" Target="https://www.soccerstats.com/h2h.asp?league=germany4&amp;fmid=31&amp;t1id=10&amp;t2id=17&amp;ly=2026" TargetMode="External"/><Relationship Id="rId470" Type="http://schemas.openxmlformats.org/officeDocument/2006/relationships/hyperlink" Target="https://www.soccerstats.com/pmatch.asp?league=usa&amp;stats=275-2-26-2026" TargetMode="External"/><Relationship Id="rId929" Type="http://schemas.openxmlformats.org/officeDocument/2006/relationships/hyperlink" Target="https://www.soccerstats.com/pmatch.asp?league=usa2&amp;stats=243-15-2-2026" TargetMode="External"/><Relationship Id="rId58" Type="http://schemas.openxmlformats.org/officeDocument/2006/relationships/hyperlink" Target="https://www.soccerstats.com/h2h.asp?league=germany2&amp;fmid=13&amp;t1id=18&amp;t2id=15&amp;ly=2026" TargetMode="External"/><Relationship Id="rId123" Type="http://schemas.openxmlformats.org/officeDocument/2006/relationships/hyperlink" Target="https://www.soccerstats.com/pmatch.asp?league=brazil2&amp;stats=215-14-1-2026" TargetMode="External"/><Relationship Id="rId330" Type="http://schemas.openxmlformats.org/officeDocument/2006/relationships/hyperlink" Target="https://www.soccerstats.com/h2h.asp?league=montenegro&amp;fmid=13&amp;t1id=3&amp;t2id=8&amp;ly=2026" TargetMode="External"/><Relationship Id="rId568" Type="http://schemas.openxmlformats.org/officeDocument/2006/relationships/hyperlink" Target="https://www.soccerstats.com/pmatch.asp?league=brazil2&amp;stats=213-4-18-2026" TargetMode="External"/><Relationship Id="rId775" Type="http://schemas.openxmlformats.org/officeDocument/2006/relationships/hyperlink" Target="https://www.soccerstats.com/pmatch.asp?league=faroeislands&amp;stats=92-7-3-2026" TargetMode="External"/><Relationship Id="rId982" Type="http://schemas.openxmlformats.org/officeDocument/2006/relationships/hyperlink" Target="https://www.soccerstats.com/pmatch.asp?league=lithuania&amp;stats=134-2-4-2026" TargetMode="External"/><Relationship Id="rId428" Type="http://schemas.openxmlformats.org/officeDocument/2006/relationships/hyperlink" Target="https://www.soccerstats.com/pmatch.asp?league=southkorea&amp;stats=133-4-11-2026" TargetMode="External"/><Relationship Id="rId635" Type="http://schemas.openxmlformats.org/officeDocument/2006/relationships/hyperlink" Target="https://www.soccerstats.com/pmatch.asp?league=romania&amp;stats=33-4-10-2027" TargetMode="External"/><Relationship Id="rId842" Type="http://schemas.openxmlformats.org/officeDocument/2006/relationships/hyperlink" Target="https://www.soccerstats.com/pmatch.asp?league=norway2&amp;stats=141-11-10-2026" TargetMode="External"/><Relationship Id="rId274" Type="http://schemas.openxmlformats.org/officeDocument/2006/relationships/hyperlink" Target="https://www.soccerstats.com/h2h.asp?league=germany7&amp;fmid=15&amp;t1id=4&amp;t2id=13&amp;ly=2026" TargetMode="External"/><Relationship Id="rId481" Type="http://schemas.openxmlformats.org/officeDocument/2006/relationships/hyperlink" Target="https://www.soccerstats.com/pmatch.asp?league=usa3&amp;stats=190-3-1-2026" TargetMode="External"/><Relationship Id="rId702" Type="http://schemas.openxmlformats.org/officeDocument/2006/relationships/hyperlink" Target="https://www.soccerstats.com/pmatch.asp?league=australia11&amp;stats=224-11-8-2026" TargetMode="External"/><Relationship Id="rId69" Type="http://schemas.openxmlformats.org/officeDocument/2006/relationships/hyperlink" Target="https://www.soccerstats.com/pmatch.asp?league=argentina3&amp;stats=444-36-1-2026" TargetMode="External"/><Relationship Id="rId134" Type="http://schemas.openxmlformats.org/officeDocument/2006/relationships/hyperlink" Target="https://www.soccerstats.com/pmatch.asp?league=brazil5&amp;stats=140-9-4-2026" TargetMode="External"/><Relationship Id="rId579" Type="http://schemas.openxmlformats.org/officeDocument/2006/relationships/hyperlink" Target="https://www.soccerstats.com/leagueview_team.asp?league=copalibertadores&amp;team1id=25&amp;team2id=30&amp;fmid=104" TargetMode="External"/><Relationship Id="rId786" Type="http://schemas.openxmlformats.org/officeDocument/2006/relationships/hyperlink" Target="https://www.soccerstats.com/pmatch.asp?league=finland6&amp;stats=84-7-10-2026" TargetMode="External"/><Relationship Id="rId993" Type="http://schemas.openxmlformats.org/officeDocument/2006/relationships/hyperlink" Target="https://www.soccerstats.com/h2h.asp?league=turkey2&amp;fmid=13&amp;t1id=20&amp;t2id=1&amp;ly=2026" TargetMode="External"/><Relationship Id="rId341" Type="http://schemas.openxmlformats.org/officeDocument/2006/relationships/hyperlink" Target="https://www.soccerstats.com/h2h.asp?league=northernireland&amp;fmid=10&amp;t1id=6&amp;t2id=11&amp;ly=2026" TargetMode="External"/><Relationship Id="rId439" Type="http://schemas.openxmlformats.org/officeDocument/2006/relationships/hyperlink" Target="https://www.soccerstats.com/pmatch.asp?league=sweden2&amp;stats=147-9-5-2026" TargetMode="External"/><Relationship Id="rId646" Type="http://schemas.openxmlformats.org/officeDocument/2006/relationships/hyperlink" Target="https://www.soccerstats.com/pmatch.asp?league=sweden3&amp;stats=129-9-15-2026" TargetMode="External"/><Relationship Id="rId201" Type="http://schemas.openxmlformats.org/officeDocument/2006/relationships/hyperlink" Target="https://www.soccerstats.com/h2h.asp?league=england8&amp;fmid=443&amp;t1id=18&amp;t2id=10&amp;ly=2026" TargetMode="External"/><Relationship Id="rId285" Type="http://schemas.openxmlformats.org/officeDocument/2006/relationships/hyperlink" Target="https://www.soccerstats.com/h2h.asp?league=hungary2&amp;fmid=29&amp;t1id=14&amp;t2id=7&amp;ly=2026" TargetMode="External"/><Relationship Id="rId506" Type="http://schemas.openxmlformats.org/officeDocument/2006/relationships/hyperlink" Target="https://www.soccerstats.com/h2h.asp?league=germany4&amp;fmid=24&amp;t1id=17&amp;t2id=12&amp;ly=2026" TargetMode="External"/><Relationship Id="rId853" Type="http://schemas.openxmlformats.org/officeDocument/2006/relationships/hyperlink" Target="https://www.soccerstats.com/pmatch.asp?league=norway4&amp;stats=112-13-7-2026" TargetMode="External"/><Relationship Id="rId492" Type="http://schemas.openxmlformats.org/officeDocument/2006/relationships/hyperlink" Target="https://www.soccerstats.com/h2h.asp?league=wales&amp;fmid=22&amp;t1id=16&amp;t2id=3&amp;ly=2026" TargetMode="External"/><Relationship Id="rId713" Type="http://schemas.openxmlformats.org/officeDocument/2006/relationships/hyperlink" Target="https://www.soccerstats.com/h2h.asp?league=belgium&amp;fmid=17&amp;t1id=12&amp;t2id=5&amp;ly=2026" TargetMode="External"/><Relationship Id="rId797" Type="http://schemas.openxmlformats.org/officeDocument/2006/relationships/hyperlink" Target="https://www.soccerstats.com/h2h.asp?league=germany4&amp;fmid=33&amp;t1id=12&amp;t2id=5&amp;ly=2026" TargetMode="External"/><Relationship Id="rId920" Type="http://schemas.openxmlformats.org/officeDocument/2006/relationships/hyperlink" Target="https://www.soccerstats.com/pmatch.asp?league=usa&amp;stats=281-6-18-2026" TargetMode="External"/><Relationship Id="rId145" Type="http://schemas.openxmlformats.org/officeDocument/2006/relationships/hyperlink" Target="https://www.soccerstats.com/pmatch.asp?league=china&amp;stats=181-13-1-2026" TargetMode="External"/><Relationship Id="rId352" Type="http://schemas.openxmlformats.org/officeDocument/2006/relationships/hyperlink" Target="https://www.soccerstats.com/pmatch.asp?league=norway2&amp;stats=144-12-4-2026" TargetMode="External"/><Relationship Id="rId212" Type="http://schemas.openxmlformats.org/officeDocument/2006/relationships/hyperlink" Target="https://www.soccerstats.com/h2h.asp?league=england9&amp;fmid=32&amp;t1id=18&amp;t2id=21&amp;ly=2026" TargetMode="External"/><Relationship Id="rId657" Type="http://schemas.openxmlformats.org/officeDocument/2006/relationships/hyperlink" Target="https://www.soccerstats.com/h2h.asp?league=wales&amp;fmid=18&amp;t1id=1&amp;t2id=12&amp;ly=2026" TargetMode="External"/><Relationship Id="rId864" Type="http://schemas.openxmlformats.org/officeDocument/2006/relationships/hyperlink" Target="https://www.soccerstats.com/h2h.asp?league=poland3&amp;fmid=185&amp;t1id=1&amp;t2id=16&amp;ly=2026" TargetMode="External"/><Relationship Id="rId296" Type="http://schemas.openxmlformats.org/officeDocument/2006/relationships/hyperlink" Target="https://www.soccerstats.com/pmatch.asp?league=ireland3&amp;stats=88-11-8-2026" TargetMode="External"/><Relationship Id="rId517" Type="http://schemas.openxmlformats.org/officeDocument/2006/relationships/hyperlink" Target="https://www.soccerstats.com/h2h.asp?league=portugal&amp;fmid=10&amp;t1id=18&amp;t2id=1&amp;ly=2026" TargetMode="External"/><Relationship Id="rId724" Type="http://schemas.openxmlformats.org/officeDocument/2006/relationships/hyperlink" Target="https://www.soccerstats.com/pmatch.asp?league=brazil2&amp;stats=218-10-15-2026" TargetMode="External"/><Relationship Id="rId931" Type="http://schemas.openxmlformats.org/officeDocument/2006/relationships/hyperlink" Target="https://www.soccerstats.com/pmatch.asp?league=usa2&amp;stats=246-19-1-2026" TargetMode="External"/><Relationship Id="rId60" Type="http://schemas.openxmlformats.org/officeDocument/2006/relationships/hyperlink" Target="https://www.soccerstats.com/h2h.asp?league=germany2&amp;fmid=12&amp;t1id=10&amp;t2id=3&amp;ly=2026" TargetMode="External"/><Relationship Id="rId156" Type="http://schemas.openxmlformats.org/officeDocument/2006/relationships/hyperlink" Target="https://www.soccerstats.com/h2h.asp?league=croatia&amp;fmid=11&amp;t1id=2&amp;t2id=4&amp;ly=2026" TargetMode="External"/><Relationship Id="rId363" Type="http://schemas.openxmlformats.org/officeDocument/2006/relationships/hyperlink" Target="https://www.soccerstats.com/pmatch.asp?league=norway11&amp;stats=74-10-12-2026" TargetMode="External"/><Relationship Id="rId570" Type="http://schemas.openxmlformats.org/officeDocument/2006/relationships/hyperlink" Target="https://www.soccerstats.com/h2h.asp?league=bulgaria2&amp;fmid=33&amp;t1id=9&amp;t2id=1&amp;ly=2026" TargetMode="External"/><Relationship Id="rId223" Type="http://schemas.openxmlformats.org/officeDocument/2006/relationships/hyperlink" Target="https://www.soccerstats.com/h2h.asp?league=england10&amp;fmid=31&amp;t1id=14&amp;t2id=21&amp;ly=2026" TargetMode="External"/><Relationship Id="rId430" Type="http://schemas.openxmlformats.org/officeDocument/2006/relationships/hyperlink" Target="https://www.soccerstats.com/pmatch.asp?league=southkorea2&amp;stats=172-5-12-2026" TargetMode="External"/><Relationship Id="rId668" Type="http://schemas.openxmlformats.org/officeDocument/2006/relationships/hyperlink" Target="https://www.soccerstats.com/h2h.asp?league=portugal&amp;fmid=13&amp;t1id=16&amp;t2id=11&amp;ly=2026" TargetMode="External"/><Relationship Id="rId875" Type="http://schemas.openxmlformats.org/officeDocument/2006/relationships/hyperlink" Target="https://www.soccerstats.com/h2h.asp?league=russia&amp;fmid=31&amp;t1id=4&amp;t2id=8&amp;ly=2026" TargetMode="External"/><Relationship Id="rId18" Type="http://schemas.openxmlformats.org/officeDocument/2006/relationships/hyperlink" Target="https://www.soccerstats.com/h2h.asp?league=england3&amp;fmid=3&amp;t1id=5&amp;t2id=6&amp;ly=2026" TargetMode="External"/><Relationship Id="rId528" Type="http://schemas.openxmlformats.org/officeDocument/2006/relationships/hyperlink" Target="https://www.soccerstats.com/h2h.asp?league=france2&amp;fmid=10&amp;t1id=2&amp;t2id=15&amp;ly=2026" TargetMode="External"/><Relationship Id="rId735" Type="http://schemas.openxmlformats.org/officeDocument/2006/relationships/hyperlink" Target="https://www.soccerstats.com/h2h.asp?league=bulgaria2&amp;fmid=32&amp;t1id=12&amp;t2id=7&amp;ly=2026" TargetMode="External"/><Relationship Id="rId942" Type="http://schemas.openxmlformats.org/officeDocument/2006/relationships/hyperlink" Target="https://www.soccerstats.com/h2h.asp?league=england2&amp;fmid=12&amp;t1id=23&amp;t2id=24&amp;ly=2026" TargetMode="External"/><Relationship Id="rId167" Type="http://schemas.openxmlformats.org/officeDocument/2006/relationships/hyperlink" Target="https://www.soccerstats.com/h2h.asp?league=czechrepublic2&amp;fmid=30&amp;t1id=1&amp;t2id=7&amp;ly=2026" TargetMode="External"/><Relationship Id="rId374" Type="http://schemas.openxmlformats.org/officeDocument/2006/relationships/hyperlink" Target="https://www.soccerstats.com/pmatch.asp?league=peru2&amp;stats=40-3-18-2026" TargetMode="External"/><Relationship Id="rId581" Type="http://schemas.openxmlformats.org/officeDocument/2006/relationships/hyperlink" Target="https://www.soccerstats.com/h2h.asp?league=czechrepublic2&amp;fmid=26&amp;t1id=3&amp;t2id=11&amp;ly=2026" TargetMode="External"/><Relationship Id="rId71" Type="http://schemas.openxmlformats.org/officeDocument/2006/relationships/hyperlink" Target="https://www.soccerstats.com/pmatch.asp?league=argentina3&amp;stats=448-22-15-2026" TargetMode="External"/><Relationship Id="rId234" Type="http://schemas.openxmlformats.org/officeDocument/2006/relationships/hyperlink" Target="https://www.soccerstats.com/pmatch.asp?league=estonia2&amp;stats=162-1-4-2026" TargetMode="External"/><Relationship Id="rId679" Type="http://schemas.openxmlformats.org/officeDocument/2006/relationships/hyperlink" Target="https://www.soccerstats.com/pmatch.asp?league=argentina2&amp;stats=72-13-30-2026" TargetMode="External"/><Relationship Id="rId802" Type="http://schemas.openxmlformats.org/officeDocument/2006/relationships/hyperlink" Target="https://www.soccerstats.com/h2h.asp?league=germany7&amp;fmid=18&amp;t1id=14&amp;t2id=15&amp;ly=2026" TargetMode="External"/><Relationship Id="rId886" Type="http://schemas.openxmlformats.org/officeDocument/2006/relationships/hyperlink" Target="https://www.soccerstats.com/pmatch.asp?league=southkorea&amp;stats=136-1-2-2026" TargetMode="External"/><Relationship Id="rId2" Type="http://schemas.openxmlformats.org/officeDocument/2006/relationships/hyperlink" Target="https://www.soccerstats.com/h2h.asp?league=spain&amp;fmid=2&amp;t1id=3&amp;t2id=4&amp;ly=2026" TargetMode="External"/><Relationship Id="rId29" Type="http://schemas.openxmlformats.org/officeDocument/2006/relationships/hyperlink" Target="https://www.soccerstats.com/h2h.asp?league=england3&amp;fmid=4&amp;t1id=7&amp;t2id=8&amp;ly=2026" TargetMode="External"/><Relationship Id="rId441" Type="http://schemas.openxmlformats.org/officeDocument/2006/relationships/hyperlink" Target="https://www.soccerstats.com/pmatch.asp?league=sweden3&amp;stats=131-4-16-2026" TargetMode="External"/><Relationship Id="rId539" Type="http://schemas.openxmlformats.org/officeDocument/2006/relationships/hyperlink" Target="https://www.soccerstats.com/pmatch.asp?league=argentina3&amp;stats=433-9-28-2026" TargetMode="External"/><Relationship Id="rId746" Type="http://schemas.openxmlformats.org/officeDocument/2006/relationships/hyperlink" Target="https://www.soccerstats.com/pmatch.asp?league=chile2&amp;stats=168-5-1-2026" TargetMode="External"/><Relationship Id="rId178" Type="http://schemas.openxmlformats.org/officeDocument/2006/relationships/hyperlink" Target="https://www.soccerstats.com/h2h.asp?league=england6&amp;fmid=23&amp;t1id=24&amp;t2id=15&amp;ly=2026" TargetMode="External"/><Relationship Id="rId301" Type="http://schemas.openxmlformats.org/officeDocument/2006/relationships/hyperlink" Target="https://www.soccerstats.com/h2h.asp?league=japan&amp;fmid=12&amp;t1id=14&amp;t2id=3&amp;ly=2026" TargetMode="External"/><Relationship Id="rId953" Type="http://schemas.openxmlformats.org/officeDocument/2006/relationships/hyperlink" Target="https://www.soccerstats.com/h2h.asp?league=belgium2&amp;fmid=7&amp;t1id=13&amp;t2id=14&amp;ly=2026" TargetMode="External"/><Relationship Id="rId82" Type="http://schemas.openxmlformats.org/officeDocument/2006/relationships/hyperlink" Target="https://www.soccerstats.com/pmatch.asp?league=australia5&amp;stats=118-8-5-2026" TargetMode="External"/><Relationship Id="rId385" Type="http://schemas.openxmlformats.org/officeDocument/2006/relationships/hyperlink" Target="https://www.soccerstats.com/h2h.asp?league=poland3&amp;fmid=33&amp;t1id=7&amp;t2id=11&amp;ly=2026" TargetMode="External"/><Relationship Id="rId592" Type="http://schemas.openxmlformats.org/officeDocument/2006/relationships/hyperlink" Target="https://www.soccerstats.com/pmatch.asp?league=estonia&amp;stats=111-2-9-2026" TargetMode="External"/><Relationship Id="rId606" Type="http://schemas.openxmlformats.org/officeDocument/2006/relationships/hyperlink" Target="https://www.soccerstats.com/pmatch.asp?league=germany5&amp;stats=38-13-17-2027" TargetMode="External"/><Relationship Id="rId813" Type="http://schemas.openxmlformats.org/officeDocument/2006/relationships/hyperlink" Target="https://www.soccerstats.com/pmatch.asp?league=iceland&amp;stats=112-9-2-2026" TargetMode="External"/><Relationship Id="rId245" Type="http://schemas.openxmlformats.org/officeDocument/2006/relationships/hyperlink" Target="https://www.soccerstats.com/pmatch.asp?league=finland4&amp;stats=84-8-10-2026" TargetMode="External"/><Relationship Id="rId452" Type="http://schemas.openxmlformats.org/officeDocument/2006/relationships/hyperlink" Target="https://www.soccerstats.com/pmatch.asp?league=sweden11&amp;stats=96-13-5-2026" TargetMode="External"/><Relationship Id="rId897" Type="http://schemas.openxmlformats.org/officeDocument/2006/relationships/hyperlink" Target="https://www.soccerstats.com/pmatch.asp?league=sweden3&amp;stats=135-14-2-2026" TargetMode="External"/><Relationship Id="rId105" Type="http://schemas.openxmlformats.org/officeDocument/2006/relationships/hyperlink" Target="https://www.soccerstats.com/h2h.asp?league=austria2&amp;fmid=22&amp;t1id=3&amp;t2id=2&amp;ly=2026" TargetMode="External"/><Relationship Id="rId312" Type="http://schemas.openxmlformats.org/officeDocument/2006/relationships/hyperlink" Target="https://www.soccerstats.com/h2h.asp?league=japan2&amp;fmid=15&amp;t1id=14&amp;t2id=1&amp;ly=2026" TargetMode="External"/><Relationship Id="rId757" Type="http://schemas.openxmlformats.org/officeDocument/2006/relationships/hyperlink" Target="https://www.soccerstats.com/h2h.asp?league=costarica&amp;fmid=19&amp;t1id=4&amp;t2id=6&amp;ly=2026" TargetMode="External"/><Relationship Id="rId964" Type="http://schemas.openxmlformats.org/officeDocument/2006/relationships/hyperlink" Target="https://www.soccerstats.com/pmatch.asp?league=colombia2&amp;stats=47-9-3-2026" TargetMode="External"/><Relationship Id="rId93" Type="http://schemas.openxmlformats.org/officeDocument/2006/relationships/hyperlink" Target="https://www.soccerstats.com/pmatch.asp?league=australia10&amp;stats=101-10-7-2026" TargetMode="External"/><Relationship Id="rId189" Type="http://schemas.openxmlformats.org/officeDocument/2006/relationships/hyperlink" Target="https://www.soccerstats.com/h2h.asp?league=england7&amp;fmid=24&amp;t1id=18&amp;t2id=23&amp;ly=2026" TargetMode="External"/><Relationship Id="rId396" Type="http://schemas.openxmlformats.org/officeDocument/2006/relationships/hyperlink" Target="https://www.soccerstats.com/h2h.asp?league=saudiarabia&amp;fmid=7&amp;t1id=13&amp;t2id=14&amp;ly=2026" TargetMode="External"/><Relationship Id="rId617" Type="http://schemas.openxmlformats.org/officeDocument/2006/relationships/hyperlink" Target="https://www.soccerstats.com/h2h.asp?league=germany8&amp;fmid=31&amp;t1id=6&amp;t2id=1&amp;ly=2026" TargetMode="External"/><Relationship Id="rId824" Type="http://schemas.openxmlformats.org/officeDocument/2006/relationships/hyperlink" Target="https://www.soccerstats.com/pmatch.asp?league=lithuania&amp;stats=131-10-7-2026" TargetMode="External"/><Relationship Id="rId256" Type="http://schemas.openxmlformats.org/officeDocument/2006/relationships/hyperlink" Target="https://www.soccerstats.com/h2h.asp?league=germany3&amp;fmid=16&amp;t1id=2&amp;t2id=15&amp;ly=2026" TargetMode="External"/><Relationship Id="rId463" Type="http://schemas.openxmlformats.org/officeDocument/2006/relationships/hyperlink" Target="https://www.soccerstats.com/h2h.asp?league=ukraine&amp;fmid=19&amp;t1id=15&amp;t2id=10&amp;ly=2026" TargetMode="External"/><Relationship Id="rId670" Type="http://schemas.openxmlformats.org/officeDocument/2006/relationships/hyperlink" Target="https://www.soccerstats.com/h2h.asp?league=england2&amp;fmid=10&amp;t1id=19&amp;t2id=20&amp;ly=2026" TargetMode="External"/><Relationship Id="rId116" Type="http://schemas.openxmlformats.org/officeDocument/2006/relationships/hyperlink" Target="https://www.soccerstats.com/h2h.asp?league=bosnia&amp;fmid=10&amp;t1id=10&amp;t2id=2&amp;ly=2026" TargetMode="External"/><Relationship Id="rId323" Type="http://schemas.openxmlformats.org/officeDocument/2006/relationships/hyperlink" Target="https://www.soccerstats.com/pmatch.asp?league=kazakhstan&amp;stats=33-5-2-2026" TargetMode="External"/><Relationship Id="rId530" Type="http://schemas.openxmlformats.org/officeDocument/2006/relationships/hyperlink" Target="https://www.soccerstats.com/h2h.asp?league=germany2&amp;fmid=11&amp;t1id=8&amp;t2id=17&amp;ly=2026" TargetMode="External"/><Relationship Id="rId768" Type="http://schemas.openxmlformats.org/officeDocument/2006/relationships/hyperlink" Target="https://www.soccerstats.com/pmatch.asp?league=ecuador&amp;stats=197-16-10-2026" TargetMode="External"/><Relationship Id="rId975" Type="http://schemas.openxmlformats.org/officeDocument/2006/relationships/hyperlink" Target="https://www.soccerstats.com/pmatch.asp?league=iceland2&amp;stats=110-8-10-2026" TargetMode="External"/><Relationship Id="rId20" Type="http://schemas.openxmlformats.org/officeDocument/2006/relationships/hyperlink" Target="https://www.soccerstats.com/h2h.asp?league=england3&amp;fmid=1&amp;t1id=1&amp;t2id=2&amp;ly=2026" TargetMode="External"/><Relationship Id="rId628" Type="http://schemas.openxmlformats.org/officeDocument/2006/relationships/hyperlink" Target="https://www.soccerstats.com/h2h.asp?league=paraguay2&amp;fmid=26&amp;t1id=7&amp;t2id=1&amp;ly=2026" TargetMode="External"/><Relationship Id="rId835" Type="http://schemas.openxmlformats.org/officeDocument/2006/relationships/hyperlink" Target="https://www.soccerstats.com/pmatch.asp?league=norway&amp;stats=138-9-11-2026" TargetMode="External"/><Relationship Id="rId267" Type="http://schemas.openxmlformats.org/officeDocument/2006/relationships/hyperlink" Target="https://www.soccerstats.com/pmatch.asp?league=germany5&amp;stats=45-3-7-2027" TargetMode="External"/><Relationship Id="rId474" Type="http://schemas.openxmlformats.org/officeDocument/2006/relationships/hyperlink" Target="https://www.soccerstats.com/pmatch.asp?league=usa2&amp;stats=237-6-24-2026" TargetMode="External"/><Relationship Id="rId127" Type="http://schemas.openxmlformats.org/officeDocument/2006/relationships/hyperlink" Target="https://www.soccerstats.com/pmatch.asp?league=brazil3&amp;stats=161-16-5-2026" TargetMode="External"/><Relationship Id="rId681" Type="http://schemas.openxmlformats.org/officeDocument/2006/relationships/hyperlink" Target="https://www.soccerstats.com/pmatch.asp?league=argentina2&amp;stats=61-1-15-2026" TargetMode="External"/><Relationship Id="rId779" Type="http://schemas.openxmlformats.org/officeDocument/2006/relationships/hyperlink" Target="https://www.soccerstats.com/pmatch.asp?league=finland&amp;stats=116-6-8-2026" TargetMode="External"/><Relationship Id="rId902" Type="http://schemas.openxmlformats.org/officeDocument/2006/relationships/hyperlink" Target="https://www.soccerstats.com/pmatch.asp?league=sweden4&amp;stats=134-9-5-2026" TargetMode="External"/><Relationship Id="rId986" Type="http://schemas.openxmlformats.org/officeDocument/2006/relationships/hyperlink" Target="https://www.soccerstats.com/pmatch.asp?league=poland2&amp;stats=36-4-15-2027" TargetMode="External"/><Relationship Id="rId31" Type="http://schemas.openxmlformats.org/officeDocument/2006/relationships/hyperlink" Target="https://www.soccerstats.com/h2h.asp?league=england4&amp;fmid=1&amp;t1id=1&amp;t2id=2&amp;ly=2026" TargetMode="External"/><Relationship Id="rId334" Type="http://schemas.openxmlformats.org/officeDocument/2006/relationships/hyperlink" Target="https://www.soccerstats.com/h2h.asp?league=netherlands3&amp;fmid=4&amp;t1id=7&amp;t2id=8&amp;ly=2026" TargetMode="External"/><Relationship Id="rId541" Type="http://schemas.openxmlformats.org/officeDocument/2006/relationships/hyperlink" Target="https://www.soccerstats.com/pmatch.asp?league=australia3&amp;stats=163-10-2-2026" TargetMode="External"/><Relationship Id="rId639" Type="http://schemas.openxmlformats.org/officeDocument/2006/relationships/hyperlink" Target="https://www.soccerstats.com/h2h.asp?league=saudiarabia&amp;fmid=6&amp;t1id=11&amp;t2id=12&amp;ly=2026" TargetMode="External"/><Relationship Id="rId180" Type="http://schemas.openxmlformats.org/officeDocument/2006/relationships/hyperlink" Target="https://www.soccerstats.com/h2h.asp?league=england6&amp;fmid=21&amp;t1id=14&amp;t2id=7&amp;ly=2026" TargetMode="External"/><Relationship Id="rId278" Type="http://schemas.openxmlformats.org/officeDocument/2006/relationships/hyperlink" Target="https://www.soccerstats.com/h2h.asp?league=guatemala&amp;fmid=18&amp;t1id=10&amp;t2id=4&amp;ly=2026" TargetMode="External"/><Relationship Id="rId401" Type="http://schemas.openxmlformats.org/officeDocument/2006/relationships/hyperlink" Target="https://www.soccerstats.com/h2h.asp?league=scotland3&amp;fmid=13&amp;t1id=4&amp;t2id=8&amp;ly=2026" TargetMode="External"/><Relationship Id="rId846" Type="http://schemas.openxmlformats.org/officeDocument/2006/relationships/hyperlink" Target="https://www.soccerstats.com/pmatch.asp?league=norway3&amp;stats=110-9-5-2026" TargetMode="External"/><Relationship Id="rId485" Type="http://schemas.openxmlformats.org/officeDocument/2006/relationships/hyperlink" Target="https://www.soccerstats.com/pmatch.asp?league=usa6&amp;stats=150-14-16-2026" TargetMode="External"/><Relationship Id="rId692" Type="http://schemas.openxmlformats.org/officeDocument/2006/relationships/hyperlink" Target="https://www.soccerstats.com/pmatch.asp?league=australia3&amp;stats=168-14-11-2026" TargetMode="External"/><Relationship Id="rId706" Type="http://schemas.openxmlformats.org/officeDocument/2006/relationships/hyperlink" Target="https://www.soccerstats.com/h2h.asp?league=austria&amp;fmid=18&amp;t1id=11&amp;t2id=2&amp;ly=2026" TargetMode="External"/><Relationship Id="rId913" Type="http://schemas.openxmlformats.org/officeDocument/2006/relationships/hyperlink" Target="https://www.soccerstats.com/h2h.asp?league=ukraine&amp;fmid=24&amp;t1id=11&amp;t2id=2&amp;ly=2026" TargetMode="External"/><Relationship Id="rId42" Type="http://schemas.openxmlformats.org/officeDocument/2006/relationships/hyperlink" Target="https://www.soccerstats.com/h2h.asp?league=england5&amp;fmid=24&amp;t1id=18&amp;t2id=7&amp;ly=2026" TargetMode="External"/><Relationship Id="rId138" Type="http://schemas.openxmlformats.org/officeDocument/2006/relationships/hyperlink" Target="https://www.soccerstats.com/h2h.asp?league=bulgaria&amp;fmid=30&amp;t1id=7&amp;t2id=13&amp;ly=2026" TargetMode="External"/><Relationship Id="rId345" Type="http://schemas.openxmlformats.org/officeDocument/2006/relationships/hyperlink" Target="https://www.soccerstats.com/h2h.asp?league=northernireland&amp;fmid=6&amp;t1id=8&amp;t2id=5&amp;ly=2026" TargetMode="External"/><Relationship Id="rId552" Type="http://schemas.openxmlformats.org/officeDocument/2006/relationships/hyperlink" Target="https://www.soccerstats.com/h2h.asp?league=austria&amp;fmid=13&amp;t1id=1&amp;t2id=8&amp;ly=2026" TargetMode="External"/><Relationship Id="rId997" Type="http://schemas.openxmlformats.org/officeDocument/2006/relationships/hyperlink" Target="https://www.soccerstats.com/pmatch.asp?league=usa6&amp;stats=155-15-1-2026" TargetMode="External"/><Relationship Id="rId191" Type="http://schemas.openxmlformats.org/officeDocument/2006/relationships/hyperlink" Target="https://www.soccerstats.com/h2h.asp?league=england7&amp;fmid=22&amp;t1id=14&amp;t2id=3&amp;ly=2026" TargetMode="External"/><Relationship Id="rId205" Type="http://schemas.openxmlformats.org/officeDocument/2006/relationships/hyperlink" Target="https://www.soccerstats.com/h2h.asp?league=england8&amp;fmid=439&amp;t1id=20&amp;t2id=17&amp;ly=2026" TargetMode="External"/><Relationship Id="rId412" Type="http://schemas.openxmlformats.org/officeDocument/2006/relationships/hyperlink" Target="https://www.soccerstats.com/h2h.asp?league=serbia&amp;fmid=35&amp;t1id=11&amp;t2id=4&amp;ly=2026" TargetMode="External"/><Relationship Id="rId857" Type="http://schemas.openxmlformats.org/officeDocument/2006/relationships/hyperlink" Target="https://www.soccerstats.com/h2h.asp?league=poland&amp;fmid=36&amp;t1id=14&amp;t2id=16&amp;ly=2026" TargetMode="External"/><Relationship Id="rId289" Type="http://schemas.openxmlformats.org/officeDocument/2006/relationships/hyperlink" Target="https://www.soccerstats.com/pmatch.asp?league=iceland3&amp;stats=99-7-1-2026" TargetMode="External"/><Relationship Id="rId496" Type="http://schemas.openxmlformats.org/officeDocument/2006/relationships/hyperlink" Target="https://www.soccerstats.com/pmatch.asp?league=chile2&amp;stats=160-16-13-2026" TargetMode="External"/><Relationship Id="rId717" Type="http://schemas.openxmlformats.org/officeDocument/2006/relationships/hyperlink" Target="https://www.soccerstats.com/pmatch.asp?league=brazil&amp;stats=221-11-18-2026" TargetMode="External"/><Relationship Id="rId924" Type="http://schemas.openxmlformats.org/officeDocument/2006/relationships/hyperlink" Target="https://www.soccerstats.com/pmatch.asp?league=usa&amp;stats=285-28-10-2026" TargetMode="External"/><Relationship Id="rId53" Type="http://schemas.openxmlformats.org/officeDocument/2006/relationships/hyperlink" Target="https://www.soccerstats.com/h2h.asp?league=england5&amp;fmid=13&amp;t1id=4&amp;t2id=15&amp;ly=2026" TargetMode="External"/><Relationship Id="rId149" Type="http://schemas.openxmlformats.org/officeDocument/2006/relationships/hyperlink" Target="https://www.soccerstats.com/pmatch.asp?league=china2&amp;stats=146-12-16-2026" TargetMode="External"/><Relationship Id="rId356" Type="http://schemas.openxmlformats.org/officeDocument/2006/relationships/hyperlink" Target="https://www.soccerstats.com/pmatch.asp?league=norway3&amp;stats=107-2-10-2026" TargetMode="External"/><Relationship Id="rId563" Type="http://schemas.openxmlformats.org/officeDocument/2006/relationships/hyperlink" Target="https://www.soccerstats.com/h2h.asp?league=belgium&amp;fmid=10&amp;t1id=6&amp;t2id=9&amp;ly=2026" TargetMode="External"/><Relationship Id="rId770" Type="http://schemas.openxmlformats.org/officeDocument/2006/relationships/hyperlink" Target="https://www.soccerstats.com/pmatch.asp?league=estonia&amp;stats=113-10-3-2026" TargetMode="External"/><Relationship Id="rId216" Type="http://schemas.openxmlformats.org/officeDocument/2006/relationships/hyperlink" Target="https://www.soccerstats.com/h2h.asp?league=england9&amp;fmid=28&amp;t1id=20&amp;t2id=3&amp;ly=2026" TargetMode="External"/><Relationship Id="rId423" Type="http://schemas.openxmlformats.org/officeDocument/2006/relationships/hyperlink" Target="https://www.soccerstats.com/h2h.asp?league=southafrica&amp;fmid=19&amp;t1id=7&amp;t2id=12&amp;ly=2026" TargetMode="External"/><Relationship Id="rId868" Type="http://schemas.openxmlformats.org/officeDocument/2006/relationships/hyperlink" Target="https://www.soccerstats.com/h2h.asp?league=portugal2&amp;fmid=12&amp;t1id=6&amp;t2id=1&amp;ly=2026" TargetMode="External"/><Relationship Id="rId630" Type="http://schemas.openxmlformats.org/officeDocument/2006/relationships/hyperlink" Target="https://www.soccerstats.com/h2h.asp?league=poland2&amp;fmid=33&amp;t1id=10&amp;t2id=5&amp;ly=2026" TargetMode="External"/><Relationship Id="rId728" Type="http://schemas.openxmlformats.org/officeDocument/2006/relationships/hyperlink" Target="https://www.soccerstats.com/pmatch.asp?league=brazil3&amp;stats=163-6-18-2026" TargetMode="External"/><Relationship Id="rId935" Type="http://schemas.openxmlformats.org/officeDocument/2006/relationships/hyperlink" Target="https://www.soccerstats.com/pmatch.asp?league=usa6&amp;stats=153-2-13-2026" TargetMode="External"/><Relationship Id="rId64" Type="http://schemas.openxmlformats.org/officeDocument/2006/relationships/hyperlink" Target="https://www.soccerstats.com/pmatch.asp?league=argentina2&amp;stats=68-24-14-2026" TargetMode="External"/><Relationship Id="rId367" Type="http://schemas.openxmlformats.org/officeDocument/2006/relationships/hyperlink" Target="https://www.soccerstats.com/pmatch.asp?league=peru2&amp;stats=44-9-14-2026" TargetMode="External"/><Relationship Id="rId574" Type="http://schemas.openxmlformats.org/officeDocument/2006/relationships/hyperlink" Target="https://www.soccerstats.com/pmatch.asp?league=china&amp;stats=178-3-10-2026" TargetMode="External"/><Relationship Id="rId227" Type="http://schemas.openxmlformats.org/officeDocument/2006/relationships/hyperlink" Target="https://www.soccerstats.com/h2h.asp?league=england10&amp;fmid=27&amp;t1id=8&amp;t2id=2&amp;ly=2026" TargetMode="External"/><Relationship Id="rId781" Type="http://schemas.openxmlformats.org/officeDocument/2006/relationships/hyperlink" Target="https://www.soccerstats.com/pmatch.asp?league=finland2&amp;stats=95-6-4-2026" TargetMode="External"/><Relationship Id="rId879" Type="http://schemas.openxmlformats.org/officeDocument/2006/relationships/hyperlink" Target="https://www.soccerstats.com/h2h.asp?league=slovenia&amp;fmid=23&amp;t1id=5&amp;t2id=9&amp;ly=2026" TargetMode="External"/><Relationship Id="rId434" Type="http://schemas.openxmlformats.org/officeDocument/2006/relationships/hyperlink" Target="https://www.soccerstats.com/pmatch.asp?league=southkorea4&amp;stats=65-3-7-2026" TargetMode="External"/><Relationship Id="rId641" Type="http://schemas.openxmlformats.org/officeDocument/2006/relationships/hyperlink" Target="https://www.soccerstats.com/pmatch.asp?league=southkorea4&amp;stats=64-6-1-2026" TargetMode="External"/><Relationship Id="rId739" Type="http://schemas.openxmlformats.org/officeDocument/2006/relationships/hyperlink" Target="https://www.soccerstats.com/h2h.asp?league=bulgaria2&amp;fmid=30&amp;t1id=6&amp;t2id=10&amp;ly=2026" TargetMode="External"/><Relationship Id="rId280" Type="http://schemas.openxmlformats.org/officeDocument/2006/relationships/hyperlink" Target="https://www.soccerstats.com/h2h.asp?league=hungary&amp;fmid=21&amp;t1id=11&amp;t2id=9&amp;ly=2026" TargetMode="External"/><Relationship Id="rId501" Type="http://schemas.openxmlformats.org/officeDocument/2006/relationships/hyperlink" Target="https://www.soccerstats.com/leagueview_team.asp?league=copalibertadores&amp;team1id=11&amp;team2id=26&amp;fmid=98" TargetMode="External"/><Relationship Id="rId946" Type="http://schemas.openxmlformats.org/officeDocument/2006/relationships/hyperlink" Target="https://www.soccerstats.com/h2h.asp?league=netherlands2&amp;fmid=19&amp;t1id=10&amp;t2id=7&amp;ly=2026" TargetMode="External"/><Relationship Id="rId75" Type="http://schemas.openxmlformats.org/officeDocument/2006/relationships/hyperlink" Target="https://www.soccerstats.com/pmatch.asp?league=argentina3&amp;stats=435-16-21-2026" TargetMode="External"/><Relationship Id="rId140" Type="http://schemas.openxmlformats.org/officeDocument/2006/relationships/hyperlink" Target="https://www.soccerstats.com/pmatch.asp?league=canada&amp;stats=65-6-1-2026" TargetMode="External"/><Relationship Id="rId378" Type="http://schemas.openxmlformats.org/officeDocument/2006/relationships/hyperlink" Target="https://www.soccerstats.com/h2h.asp?league=poland&amp;fmid=33&amp;t1id=13&amp;t2id=6&amp;ly=2026" TargetMode="External"/><Relationship Id="rId585" Type="http://schemas.openxmlformats.org/officeDocument/2006/relationships/hyperlink" Target="https://www.soccerstats.com/h2h.asp?league=denmark2&amp;fmid=19&amp;t1id=8&amp;t2id=1&amp;ly=2026" TargetMode="External"/><Relationship Id="rId792" Type="http://schemas.openxmlformats.org/officeDocument/2006/relationships/hyperlink" Target="https://www.soccerstats.com/h2h.asp?league=germany3&amp;fmid=20&amp;t1id=4&amp;t2id=5&amp;ly=2026" TargetMode="External"/><Relationship Id="rId806" Type="http://schemas.openxmlformats.org/officeDocument/2006/relationships/hyperlink" Target="https://www.soccerstats.com/h2h.asp?league=guatemala&amp;fmid=22&amp;t1id=11&amp;t2id=2&amp;ly=2026" TargetMode="External"/><Relationship Id="rId6" Type="http://schemas.openxmlformats.org/officeDocument/2006/relationships/hyperlink" Target="https://www.soccerstats.com/h2h.asp?league=netherlands&amp;fmid=14&amp;t1id=8&amp;t2id=1&amp;ly=2026" TargetMode="External"/><Relationship Id="rId238" Type="http://schemas.openxmlformats.org/officeDocument/2006/relationships/hyperlink" Target="https://www.soccerstats.com/pmatch.asp?league=finland2&amp;stats=93-3-7-2026" TargetMode="External"/><Relationship Id="rId445" Type="http://schemas.openxmlformats.org/officeDocument/2006/relationships/hyperlink" Target="https://www.soccerstats.com/pmatch.asp?league=sweden4&amp;stats=130-1-7-2026" TargetMode="External"/><Relationship Id="rId652" Type="http://schemas.openxmlformats.org/officeDocument/2006/relationships/hyperlink" Target="https://www.soccerstats.com/h2h.asp?league=uruguay3&amp;fmid=1&amp;t1id=1&amp;t2id=2&amp;ly=2026" TargetMode="External"/><Relationship Id="rId291" Type="http://schemas.openxmlformats.org/officeDocument/2006/relationships/hyperlink" Target="https://www.soccerstats.com/pmatch.asp?league=iceland3&amp;stats=100-12-10-2026" TargetMode="External"/><Relationship Id="rId305" Type="http://schemas.openxmlformats.org/officeDocument/2006/relationships/hyperlink" Target="https://www.soccerstats.com/h2h.asp?league=japan&amp;fmid=19&amp;t1id=16&amp;t2id=12&amp;ly=2026" TargetMode="External"/><Relationship Id="rId512" Type="http://schemas.openxmlformats.org/officeDocument/2006/relationships/hyperlink" Target="https://www.soccerstats.com/h2h.asp?league=southafrica&amp;fmid=15&amp;t1id=2&amp;t2id=5&amp;ly=2026" TargetMode="External"/><Relationship Id="rId957" Type="http://schemas.openxmlformats.org/officeDocument/2006/relationships/hyperlink" Target="https://www.soccerstats.com/pmatch.asp?league=bulgaria&amp;stats=32-1-5-2027" TargetMode="External"/><Relationship Id="rId86" Type="http://schemas.openxmlformats.org/officeDocument/2006/relationships/hyperlink" Target="https://www.soccerstats.com/pmatch.asp?league=australia6&amp;stats=132-11-9-2026" TargetMode="External"/><Relationship Id="rId151" Type="http://schemas.openxmlformats.org/officeDocument/2006/relationships/hyperlink" Target="https://www.soccerstats.com/pmatch.asp?league=china2&amp;stats=148-6-3-2026" TargetMode="External"/><Relationship Id="rId389" Type="http://schemas.openxmlformats.org/officeDocument/2006/relationships/hyperlink" Target="https://www.soccerstats.com/h2h.asp?league=portugal2&amp;fmid=11&amp;t1id=18&amp;t2id=13&amp;ly=2026" TargetMode="External"/><Relationship Id="rId596" Type="http://schemas.openxmlformats.org/officeDocument/2006/relationships/hyperlink" Target="https://www.soccerstats.com/h2h.asp?league=france3&amp;fmid=10&amp;t1id=17&amp;t2id=1&amp;ly=2026" TargetMode="External"/><Relationship Id="rId817" Type="http://schemas.openxmlformats.org/officeDocument/2006/relationships/hyperlink" Target="https://www.soccerstats.com/h2h.asp?league=japan3&amp;fmid=18&amp;t1id=12&amp;t2id=3&amp;ly=2026" TargetMode="External"/><Relationship Id="rId249" Type="http://schemas.openxmlformats.org/officeDocument/2006/relationships/hyperlink" Target="https://www.soccerstats.com/pmatch.asp?league=finland5&amp;stats=85-4-1-2026" TargetMode="External"/><Relationship Id="rId456" Type="http://schemas.openxmlformats.org/officeDocument/2006/relationships/hyperlink" Target="https://www.soccerstats.com/h2h.asp?league=turkey&amp;fmid=5&amp;t1id=9&amp;t2id=10&amp;ly=2026" TargetMode="External"/><Relationship Id="rId663" Type="http://schemas.openxmlformats.org/officeDocument/2006/relationships/hyperlink" Target="https://www.soccerstats.com/h2h.asp?league=netherlands&amp;fmid=16&amp;t1id=18&amp;t2id=13&amp;ly=2026" TargetMode="External"/><Relationship Id="rId870" Type="http://schemas.openxmlformats.org/officeDocument/2006/relationships/hyperlink" Target="https://www.soccerstats.com/h2h.asp?league=portugal2&amp;fmid=14&amp;t1id=16&amp;t2id=3&amp;ly=2026" TargetMode="External"/><Relationship Id="rId13" Type="http://schemas.openxmlformats.org/officeDocument/2006/relationships/hyperlink" Target="https://www.soccerstats.com/h2h.asp?league=england2&amp;fmid=6&amp;t1id=11&amp;t2id=12&amp;ly=2026" TargetMode="External"/><Relationship Id="rId109" Type="http://schemas.openxmlformats.org/officeDocument/2006/relationships/hyperlink" Target="https://www.soccerstats.com/h2h.asp?league=belgium&amp;fmid=11&amp;t1id=8&amp;t2id=13&amp;ly=2026" TargetMode="External"/><Relationship Id="rId316" Type="http://schemas.openxmlformats.org/officeDocument/2006/relationships/hyperlink" Target="https://www.soccerstats.com/h2h.asp?league=japan2&amp;fmid=16&amp;t1id=16&amp;t2id=7&amp;ly=2026" TargetMode="External"/><Relationship Id="rId523" Type="http://schemas.openxmlformats.org/officeDocument/2006/relationships/hyperlink" Target="https://www.soccerstats.com/h2h.asp?league=france2&amp;fmid=15&amp;t1id=12&amp;t2id=17&amp;ly=2026" TargetMode="External"/><Relationship Id="rId968" Type="http://schemas.openxmlformats.org/officeDocument/2006/relationships/hyperlink" Target="https://www.soccerstats.com/h2h.asp?league=england7&amp;fmid=25&amp;t1id=14&amp;t2id=8&amp;ly=2026" TargetMode="External"/><Relationship Id="rId97" Type="http://schemas.openxmlformats.org/officeDocument/2006/relationships/hyperlink" Target="https://www.soccerstats.com/pmatch.asp?league=australia11&amp;stats=220-5-15-2026" TargetMode="External"/><Relationship Id="rId730" Type="http://schemas.openxmlformats.org/officeDocument/2006/relationships/hyperlink" Target="https://www.soccerstats.com/pmatch.asp?league=brazil5&amp;stats=138-11-18-2026" TargetMode="External"/><Relationship Id="rId828" Type="http://schemas.openxmlformats.org/officeDocument/2006/relationships/hyperlink" Target="https://www.soccerstats.com/h2h.asp?league=mexico&amp;fmid=31&amp;t1id=11&amp;t2id=17&amp;ly=2026" TargetMode="External"/><Relationship Id="rId162" Type="http://schemas.openxmlformats.org/officeDocument/2006/relationships/hyperlink" Target="https://www.soccerstats.com/h2h.asp?league=czechrepublic&amp;fmid=30&amp;t1id=8&amp;t2id=1&amp;ly=2026" TargetMode="External"/><Relationship Id="rId467" Type="http://schemas.openxmlformats.org/officeDocument/2006/relationships/hyperlink" Target="https://www.soccerstats.com/h2h.asp?league=uruguay3&amp;fmid=4&amp;t1id=7&amp;t2id=8&amp;ly=2026" TargetMode="External"/><Relationship Id="rId674" Type="http://schemas.openxmlformats.org/officeDocument/2006/relationships/hyperlink" Target="https://www.soccerstats.com/h2h.asp?league=spain2&amp;fmid=7&amp;t1id=13&amp;t2id=14&amp;ly=2026" TargetMode="External"/><Relationship Id="rId881" Type="http://schemas.openxmlformats.org/officeDocument/2006/relationships/hyperlink" Target="https://www.soccerstats.com/h2h.asp?league=slovenia&amp;fmid=21&amp;t1id=2&amp;t2id=8&amp;ly=2026" TargetMode="External"/><Relationship Id="rId979" Type="http://schemas.openxmlformats.org/officeDocument/2006/relationships/hyperlink" Target="https://www.soccerstats.com/pmatch.asp?league=iceland2&amp;stats=113-1-9-2026" TargetMode="External"/><Relationship Id="rId24" Type="http://schemas.openxmlformats.org/officeDocument/2006/relationships/hyperlink" Target="https://www.soccerstats.com/h2h.asp?league=england3&amp;fmid=9&amp;t1id=17&amp;t2id=18&amp;ly=2026" TargetMode="External"/><Relationship Id="rId327" Type="http://schemas.openxmlformats.org/officeDocument/2006/relationships/hyperlink" Target="https://www.soccerstats.com/h2h.asp?league=mexico&amp;fmid=28&amp;t1id=2&amp;t2id=16&amp;ly=2026" TargetMode="External"/><Relationship Id="rId534" Type="http://schemas.openxmlformats.org/officeDocument/2006/relationships/hyperlink" Target="https://www.soccerstats.com/h2h.asp?league=netherlands2&amp;fmid=13&amp;t1id=6&amp;t2id=1&amp;ly=2026" TargetMode="External"/><Relationship Id="rId741" Type="http://schemas.openxmlformats.org/officeDocument/2006/relationships/hyperlink" Target="https://www.soccerstats.com/pmatch.asp?league=canada&amp;stats=67-7-4-2026" TargetMode="External"/><Relationship Id="rId839" Type="http://schemas.openxmlformats.org/officeDocument/2006/relationships/hyperlink" Target="https://www.soccerstats.com/pmatch.asp?league=norway&amp;stats=143-16-7-2026" TargetMode="External"/><Relationship Id="rId173" Type="http://schemas.openxmlformats.org/officeDocument/2006/relationships/hyperlink" Target="https://www.soccerstats.com/h2h.asp?league=denmark3&amp;fmid=18&amp;t1id=5&amp;t2id=7&amp;ly=2026" TargetMode="External"/><Relationship Id="rId380" Type="http://schemas.openxmlformats.org/officeDocument/2006/relationships/hyperlink" Target="https://www.soccerstats.com/h2h.asp?league=poland2&amp;fmid=34&amp;t1id=3&amp;t2id=2&amp;ly=2026" TargetMode="External"/><Relationship Id="rId601" Type="http://schemas.openxmlformats.org/officeDocument/2006/relationships/hyperlink" Target="https://www.soccerstats.com/h2h.asp?league=france3&amp;fmid=12&amp;t1id=16&amp;t2id=13&amp;ly=2026" TargetMode="External"/><Relationship Id="rId240" Type="http://schemas.openxmlformats.org/officeDocument/2006/relationships/hyperlink" Target="https://www.soccerstats.com/pmatch.asp?league=finland3&amp;stats=115-5-2-2026" TargetMode="External"/><Relationship Id="rId478" Type="http://schemas.openxmlformats.org/officeDocument/2006/relationships/hyperlink" Target="https://www.soccerstats.com/pmatch.asp?league=usa3&amp;stats=193-17-5-2026" TargetMode="External"/><Relationship Id="rId685" Type="http://schemas.openxmlformats.org/officeDocument/2006/relationships/hyperlink" Target="https://www.soccerstats.com/pmatch.asp?league=argentina3&amp;stats=438-25-12-2026" TargetMode="External"/><Relationship Id="rId892" Type="http://schemas.openxmlformats.org/officeDocument/2006/relationships/hyperlink" Target="https://www.soccerstats.com/pmatch.asp?league=sweden&amp;stats=130-1-12-2026" TargetMode="External"/><Relationship Id="rId906" Type="http://schemas.openxmlformats.org/officeDocument/2006/relationships/hyperlink" Target="https://www.soccerstats.com/h2h.asp?league=turkey&amp;fmid=7&amp;t1id=13&amp;t2id=14&amp;ly=2026" TargetMode="External"/><Relationship Id="rId35" Type="http://schemas.openxmlformats.org/officeDocument/2006/relationships/hyperlink" Target="https://www.soccerstats.com/h2h.asp?league=england4&amp;fmid=9&amp;t1id=17&amp;t2id=18&amp;ly=2026" TargetMode="External"/><Relationship Id="rId100" Type="http://schemas.openxmlformats.org/officeDocument/2006/relationships/hyperlink" Target="https://www.soccerstats.com/h2h.asp?league=austria&amp;fmid=15&amp;t1id=4&amp;t2id=12&amp;ly=2026" TargetMode="External"/><Relationship Id="rId338" Type="http://schemas.openxmlformats.org/officeDocument/2006/relationships/hyperlink" Target="https://www.soccerstats.com/h2h.asp?league=netherlands3&amp;fmid=8&amp;t1id=15&amp;t2id=16&amp;ly=2026" TargetMode="External"/><Relationship Id="rId545" Type="http://schemas.openxmlformats.org/officeDocument/2006/relationships/hyperlink" Target="https://www.soccerstats.com/pmatch.asp?league=australia4&amp;stats=131-4-8-2026" TargetMode="External"/><Relationship Id="rId752" Type="http://schemas.openxmlformats.org/officeDocument/2006/relationships/hyperlink" Target="https://www.soccerstats.com/pmatch.asp?league=china2&amp;stats=151-15-5-2026" TargetMode="External"/><Relationship Id="rId184" Type="http://schemas.openxmlformats.org/officeDocument/2006/relationships/hyperlink" Target="https://www.soccerstats.com/h2h.asp?league=england6&amp;fmid=17&amp;t1id=2&amp;t2id=19&amp;ly=2026" TargetMode="External"/><Relationship Id="rId391" Type="http://schemas.openxmlformats.org/officeDocument/2006/relationships/hyperlink" Target="https://www.soccerstats.com/pmatch.asp?league=romania&amp;stats=37-15-12-2027" TargetMode="External"/><Relationship Id="rId405" Type="http://schemas.openxmlformats.org/officeDocument/2006/relationships/hyperlink" Target="https://www.soccerstats.com/h2h.asp?league=scotland4&amp;fmid=13&amp;t1id=6&amp;t2id=4&amp;ly=2026" TargetMode="External"/><Relationship Id="rId612" Type="http://schemas.openxmlformats.org/officeDocument/2006/relationships/hyperlink" Target="https://www.soccerstats.com/h2h.asp?league=germany6&amp;fmid=24&amp;t1id=13&amp;t2id=10&amp;ly=2026" TargetMode="External"/><Relationship Id="rId251" Type="http://schemas.openxmlformats.org/officeDocument/2006/relationships/hyperlink" Target="https://www.soccerstats.com/pmatch.asp?league=finland6&amp;stats=81-9-5-2026" TargetMode="External"/><Relationship Id="rId489" Type="http://schemas.openxmlformats.org/officeDocument/2006/relationships/hyperlink" Target="https://www.soccerstats.com/h2h.asp?league=usa7&amp;fmid=1&amp;t1id=1&amp;t2id=2&amp;ly=2026" TargetMode="External"/><Relationship Id="rId696" Type="http://schemas.openxmlformats.org/officeDocument/2006/relationships/hyperlink" Target="https://www.soccerstats.com/pmatch.asp?league=australia7&amp;stats=130-2-8-2026" TargetMode="External"/><Relationship Id="rId917" Type="http://schemas.openxmlformats.org/officeDocument/2006/relationships/hyperlink" Target="https://www.soccerstats.com/pmatch.asp?league=usa&amp;stats=279-13-27-2026" TargetMode="External"/><Relationship Id="rId46" Type="http://schemas.openxmlformats.org/officeDocument/2006/relationships/hyperlink" Target="https://www.soccerstats.com/h2h.asp?league=england5&amp;fmid=20&amp;t1id=6&amp;t2id=13&amp;ly=2026" TargetMode="External"/><Relationship Id="rId349" Type="http://schemas.openxmlformats.org/officeDocument/2006/relationships/hyperlink" Target="https://www.soccerstats.com/h2h.asp?league=northmacedonia&amp;fmid=14&amp;t1id=5&amp;t2id=9&amp;ly=2026" TargetMode="External"/><Relationship Id="rId556" Type="http://schemas.openxmlformats.org/officeDocument/2006/relationships/hyperlink" Target="https://www.soccerstats.com/h2h.asp?league=azerbaijan&amp;fmid=4&amp;t1id=7&amp;t2id=8&amp;ly=2026" TargetMode="External"/><Relationship Id="rId763" Type="http://schemas.openxmlformats.org/officeDocument/2006/relationships/hyperlink" Target="https://www.soccerstats.com/h2h.asp?league=denmark&amp;fmid=20&amp;t1id=8&amp;t2id=6&amp;ly=2026" TargetMode="External"/><Relationship Id="rId111" Type="http://schemas.openxmlformats.org/officeDocument/2006/relationships/hyperlink" Target="https://www.soccerstats.com/h2h.asp?league=belgium&amp;fmid=13&amp;t1id=14&amp;t2id=7&amp;ly=2026" TargetMode="External"/><Relationship Id="rId195" Type="http://schemas.openxmlformats.org/officeDocument/2006/relationships/hyperlink" Target="https://www.soccerstats.com/h2h.asp?league=england7&amp;fmid=17&amp;t1id=6&amp;t2id=9&amp;ly=2026" TargetMode="External"/><Relationship Id="rId209" Type="http://schemas.openxmlformats.org/officeDocument/2006/relationships/hyperlink" Target="https://www.soccerstats.com/h2h.asp?league=england8&amp;fmid=435&amp;t1id=3&amp;t2id=16&amp;ly=2026" TargetMode="External"/><Relationship Id="rId416" Type="http://schemas.openxmlformats.org/officeDocument/2006/relationships/hyperlink" Target="https://www.soccerstats.com/h2h.asp?league=slovakia&amp;fmid=21&amp;t1id=12&amp;t2id=7&amp;ly=2026" TargetMode="External"/><Relationship Id="rId970" Type="http://schemas.openxmlformats.org/officeDocument/2006/relationships/hyperlink" Target="https://www.soccerstats.com/pmatch.asp?league=finland&amp;stats=120-11-7-2026" TargetMode="External"/><Relationship Id="rId623" Type="http://schemas.openxmlformats.org/officeDocument/2006/relationships/hyperlink" Target="https://www.soccerstats.com/h2h.asp?league=hungary&amp;fmid=19&amp;t1id=2&amp;t2id=3&amp;ly=2026" TargetMode="External"/><Relationship Id="rId830" Type="http://schemas.openxmlformats.org/officeDocument/2006/relationships/hyperlink" Target="https://www.soccerstats.com/h2h.asp?league=moldova&amp;fmid=31&amp;t1id=4&amp;t2id=8&amp;ly=2026" TargetMode="External"/><Relationship Id="rId928" Type="http://schemas.openxmlformats.org/officeDocument/2006/relationships/hyperlink" Target="https://www.soccerstats.com/pmatch.asp?league=usa2&amp;stats=244-18-17-2026" TargetMode="External"/><Relationship Id="rId57" Type="http://schemas.openxmlformats.org/officeDocument/2006/relationships/hyperlink" Target="https://www.soccerstats.com/h2h.asp?league=spain2&amp;fmid=5&amp;t1id=9&amp;t2id=10&amp;ly=2026" TargetMode="External"/><Relationship Id="rId262" Type="http://schemas.openxmlformats.org/officeDocument/2006/relationships/hyperlink" Target="https://www.soccerstats.com/h2h.asp?league=germany4&amp;fmid=30&amp;t1id=8&amp;t2id=11&amp;ly=2026" TargetMode="External"/><Relationship Id="rId567" Type="http://schemas.openxmlformats.org/officeDocument/2006/relationships/hyperlink" Target="https://www.soccerstats.com/pmatch.asp?league=brazil2&amp;stats=219-12-19-2026" TargetMode="External"/><Relationship Id="rId122" Type="http://schemas.openxmlformats.org/officeDocument/2006/relationships/hyperlink" Target="https://www.soccerstats.com/pmatch.asp?league=brazil&amp;stats=223-6-4-2026" TargetMode="External"/><Relationship Id="rId774" Type="http://schemas.openxmlformats.org/officeDocument/2006/relationships/hyperlink" Target="https://www.soccerstats.com/pmatch.asp?league=faroeislands&amp;stats=91-5-4-2026" TargetMode="External"/><Relationship Id="rId981" Type="http://schemas.openxmlformats.org/officeDocument/2006/relationships/hyperlink" Target="https://www.soccerstats.com/pmatch.asp?league=lithuania&amp;stats=133-8-3-2026" TargetMode="External"/><Relationship Id="rId427" Type="http://schemas.openxmlformats.org/officeDocument/2006/relationships/hyperlink" Target="https://www.soccerstats.com/pmatch.asp?league=southkorea&amp;stats=134-9-12-2026" TargetMode="External"/><Relationship Id="rId634" Type="http://schemas.openxmlformats.org/officeDocument/2006/relationships/hyperlink" Target="https://www.soccerstats.com/pmatch.asp?league=romania&amp;stats=36-1-11-2027" TargetMode="External"/><Relationship Id="rId841" Type="http://schemas.openxmlformats.org/officeDocument/2006/relationships/hyperlink" Target="https://www.soccerstats.com/pmatch.asp?league=norway2&amp;stats=142-15-6-2026" TargetMode="External"/><Relationship Id="rId273" Type="http://schemas.openxmlformats.org/officeDocument/2006/relationships/hyperlink" Target="https://www.soccerstats.com/h2h.asp?league=germany7&amp;fmid=11&amp;t1id=12&amp;t2id=1&amp;ly=2026" TargetMode="External"/><Relationship Id="rId480" Type="http://schemas.openxmlformats.org/officeDocument/2006/relationships/hyperlink" Target="https://www.soccerstats.com/pmatch.asp?league=usa3&amp;stats=192-11-7-2026" TargetMode="External"/><Relationship Id="rId701" Type="http://schemas.openxmlformats.org/officeDocument/2006/relationships/hyperlink" Target="https://www.soccerstats.com/pmatch.asp?league=australia11&amp;stats=222-6-16-2026" TargetMode="External"/><Relationship Id="rId939" Type="http://schemas.openxmlformats.org/officeDocument/2006/relationships/hyperlink" Target="https://www.soccerstats.com/h2h.asp?league=spain&amp;fmid=6&amp;t1id=11&amp;t2id=12&amp;ly=2026" TargetMode="External"/><Relationship Id="rId68" Type="http://schemas.openxmlformats.org/officeDocument/2006/relationships/hyperlink" Target="https://www.soccerstats.com/pmatch.asp?league=argentina3&amp;stats=439-7-30-2026" TargetMode="External"/><Relationship Id="rId133" Type="http://schemas.openxmlformats.org/officeDocument/2006/relationships/hyperlink" Target="https://www.soccerstats.com/pmatch.asp?league=brazil5&amp;stats=141-13-8-2026" TargetMode="External"/><Relationship Id="rId340" Type="http://schemas.openxmlformats.org/officeDocument/2006/relationships/hyperlink" Target="https://www.soccerstats.com/h2h.asp?league=northernireland&amp;fmid=11&amp;t1id=12&amp;t2id=1&amp;ly=2026" TargetMode="External"/><Relationship Id="rId578" Type="http://schemas.openxmlformats.org/officeDocument/2006/relationships/hyperlink" Target="https://www.soccerstats.com/leagueview_team.asp?league=copasudamericana&amp;team1id=28&amp;team2id=25&amp;fmid=121" TargetMode="External"/><Relationship Id="rId785" Type="http://schemas.openxmlformats.org/officeDocument/2006/relationships/hyperlink" Target="https://www.soccerstats.com/pmatch.asp?league=finland4&amp;stats=85-9-2-2026" TargetMode="External"/><Relationship Id="rId992" Type="http://schemas.openxmlformats.org/officeDocument/2006/relationships/hyperlink" Target="https://www.soccerstats.com/h2h.asp?league=turkey&amp;fmid=9&amp;t1id=17&amp;t2id=18&amp;ly=2026" TargetMode="External"/><Relationship Id="rId200" Type="http://schemas.openxmlformats.org/officeDocument/2006/relationships/hyperlink" Target="https://www.soccerstats.com/h2h.asp?league=england8&amp;fmid=444&amp;t1id=19&amp;t2id=4&amp;ly=2026" TargetMode="External"/><Relationship Id="rId438" Type="http://schemas.openxmlformats.org/officeDocument/2006/relationships/hyperlink" Target="https://www.soccerstats.com/pmatch.asp?league=sweden2&amp;stats=146-8-11-2026" TargetMode="External"/><Relationship Id="rId645" Type="http://schemas.openxmlformats.org/officeDocument/2006/relationships/hyperlink" Target="https://www.soccerstats.com/pmatch.asp?league=sweden2&amp;stats=152-16-13-2026" TargetMode="External"/><Relationship Id="rId852" Type="http://schemas.openxmlformats.org/officeDocument/2006/relationships/hyperlink" Target="https://www.soccerstats.com/pmatch.asp?league=norway4&amp;stats=111-14-8-2026" TargetMode="External"/><Relationship Id="rId284" Type="http://schemas.openxmlformats.org/officeDocument/2006/relationships/hyperlink" Target="https://www.soccerstats.com/h2h.asp?league=hungary2&amp;fmid=28&amp;t1id=4&amp;t2id=9&amp;ly=2026" TargetMode="External"/><Relationship Id="rId491" Type="http://schemas.openxmlformats.org/officeDocument/2006/relationships/hyperlink" Target="https://www.soccerstats.com/h2h.asp?league=wales&amp;fmid=23&amp;t1id=7&amp;t2id=11&amp;ly=2026" TargetMode="External"/><Relationship Id="rId505" Type="http://schemas.openxmlformats.org/officeDocument/2006/relationships/hyperlink" Target="https://www.soccerstats.com/h2h.asp?league=germany4&amp;fmid=26&amp;t1id=15&amp;t2id=4&amp;ly=2026" TargetMode="External"/><Relationship Id="rId712" Type="http://schemas.openxmlformats.org/officeDocument/2006/relationships/hyperlink" Target="https://www.soccerstats.com/h2h.asp?league=belgium&amp;fmid=16&amp;t1id=16&amp;t2id=11&amp;ly=2026" TargetMode="External"/><Relationship Id="rId79" Type="http://schemas.openxmlformats.org/officeDocument/2006/relationships/hyperlink" Target="https://www.soccerstats.com/pmatch.asp?league=australia3&amp;stats=166-12-6-2026" TargetMode="External"/><Relationship Id="rId144" Type="http://schemas.openxmlformats.org/officeDocument/2006/relationships/hyperlink" Target="https://www.soccerstats.com/pmatch.asp?league=china&amp;stats=182-5-16-2026" TargetMode="External"/><Relationship Id="rId589" Type="http://schemas.openxmlformats.org/officeDocument/2006/relationships/hyperlink" Target="https://www.soccerstats.com/h2h.asp?league=denmark3&amp;fmid=13&amp;t1id=12&amp;t2id=2&amp;ly=2026" TargetMode="External"/><Relationship Id="rId796" Type="http://schemas.openxmlformats.org/officeDocument/2006/relationships/hyperlink" Target="https://www.soccerstats.com/h2h.asp?league=germany4&amp;fmid=34&amp;t1id=15&amp;t2id=9&amp;ly=2026" TargetMode="External"/><Relationship Id="rId351" Type="http://schemas.openxmlformats.org/officeDocument/2006/relationships/hyperlink" Target="https://www.soccerstats.com/pmatch.asp?league=norway&amp;stats=142-13-10-2026" TargetMode="External"/><Relationship Id="rId449" Type="http://schemas.openxmlformats.org/officeDocument/2006/relationships/hyperlink" Target="https://www.soccerstats.com/pmatch.asp?league=sweden11&amp;stats=98-1-4-2026" TargetMode="External"/><Relationship Id="rId656" Type="http://schemas.openxmlformats.org/officeDocument/2006/relationships/hyperlink" Target="https://www.soccerstats.com/h2h.asp?league=wales&amp;fmid=19&amp;t1id=9&amp;t2id=13&amp;ly=2026" TargetMode="External"/><Relationship Id="rId863" Type="http://schemas.openxmlformats.org/officeDocument/2006/relationships/hyperlink" Target="https://www.soccerstats.com/h2h.asp?league=poland2&amp;fmid=29&amp;t1id=13&amp;t2id=17&amp;ly=2026" TargetMode="External"/><Relationship Id="rId211" Type="http://schemas.openxmlformats.org/officeDocument/2006/relationships/hyperlink" Target="https://www.soccerstats.com/h2h.asp?league=england9&amp;fmid=33&amp;t1id=16&amp;t2id=19&amp;ly=2026" TargetMode="External"/><Relationship Id="rId295" Type="http://schemas.openxmlformats.org/officeDocument/2006/relationships/hyperlink" Target="https://www.soccerstats.com/pmatch.asp?league=ireland3&amp;stats=85-3-6-2026" TargetMode="External"/><Relationship Id="rId309" Type="http://schemas.openxmlformats.org/officeDocument/2006/relationships/hyperlink" Target="https://www.soccerstats.com/h2h.asp?league=japan2&amp;fmid=12&amp;t1id=12&amp;t2id=6&amp;ly=2026" TargetMode="External"/><Relationship Id="rId516" Type="http://schemas.openxmlformats.org/officeDocument/2006/relationships/hyperlink" Target="https://www.soccerstats.com/h2h.asp?league=netherlands&amp;fmid=10&amp;t1id=4&amp;t2id=11&amp;ly=2026" TargetMode="External"/><Relationship Id="rId723" Type="http://schemas.openxmlformats.org/officeDocument/2006/relationships/hyperlink" Target="https://www.soccerstats.com/pmatch.asp?league=brazil2&amp;stats=217-13-7-2026" TargetMode="External"/><Relationship Id="rId930" Type="http://schemas.openxmlformats.org/officeDocument/2006/relationships/hyperlink" Target="https://www.soccerstats.com/pmatch.asp?league=usa2&amp;stats=245-16-21-2026" TargetMode="External"/><Relationship Id="rId155" Type="http://schemas.openxmlformats.org/officeDocument/2006/relationships/hyperlink" Target="https://www.soccerstats.com/h2h.asp?league=croatia&amp;fmid=13&amp;t1id=3&amp;t2id=8&amp;ly=2026" TargetMode="External"/><Relationship Id="rId362" Type="http://schemas.openxmlformats.org/officeDocument/2006/relationships/hyperlink" Target="https://www.soccerstats.com/pmatch.asp?league=norway11&amp;stats=70-5-4-2026" TargetMode="External"/><Relationship Id="rId222" Type="http://schemas.openxmlformats.org/officeDocument/2006/relationships/hyperlink" Target="https://www.soccerstats.com/h2h.asp?league=england10&amp;fmid=32&amp;t1id=20&amp;t2id=9&amp;ly=2026" TargetMode="External"/><Relationship Id="rId667" Type="http://schemas.openxmlformats.org/officeDocument/2006/relationships/hyperlink" Target="https://www.soccerstats.com/h2h.asp?league=portugal&amp;fmid=16&amp;t1id=2&amp;t2id=9&amp;ly=2026" TargetMode="External"/><Relationship Id="rId874" Type="http://schemas.openxmlformats.org/officeDocument/2006/relationships/hyperlink" Target="https://www.soccerstats.com/h2h.asp?league=russia&amp;fmid=30&amp;t1id=6&amp;t2id=3&amp;ly=2026" TargetMode="External"/><Relationship Id="rId17" Type="http://schemas.openxmlformats.org/officeDocument/2006/relationships/hyperlink" Target="https://www.soccerstats.com/h2h.asp?league=england2&amp;fmid=9&amp;t1id=17&amp;t2id=18&amp;ly=2026" TargetMode="External"/><Relationship Id="rId527" Type="http://schemas.openxmlformats.org/officeDocument/2006/relationships/hyperlink" Target="https://www.soccerstats.com/h2h.asp?league=france2&amp;fmid=11&amp;t1id=16&amp;t2id=13&amp;ly=2026" TargetMode="External"/><Relationship Id="rId734" Type="http://schemas.openxmlformats.org/officeDocument/2006/relationships/hyperlink" Target="https://www.soccerstats.com/h2h.asp?league=bulgaria&amp;fmid=31&amp;t1id=8&amp;t2id=4&amp;ly=2026" TargetMode="External"/><Relationship Id="rId941" Type="http://schemas.openxmlformats.org/officeDocument/2006/relationships/hyperlink" Target="https://www.soccerstats.com/h2h.asp?league=portugal&amp;fmid=14&amp;t1id=12&amp;t2id=3&amp;ly=2026" TargetMode="External"/><Relationship Id="rId70" Type="http://schemas.openxmlformats.org/officeDocument/2006/relationships/hyperlink" Target="https://www.soccerstats.com/pmatch.asp?league=argentina3&amp;stats=445-27-10-2026" TargetMode="External"/><Relationship Id="rId166" Type="http://schemas.openxmlformats.org/officeDocument/2006/relationships/hyperlink" Target="https://www.soccerstats.com/h2h.asp?league=czechrepublic2&amp;fmid=29&amp;t1id=12&amp;t2id=9&amp;ly=2026" TargetMode="External"/><Relationship Id="rId373" Type="http://schemas.openxmlformats.org/officeDocument/2006/relationships/hyperlink" Target="https://www.soccerstats.com/pmatch.asp?league=peru2&amp;stats=43-15-6-2026" TargetMode="External"/><Relationship Id="rId580" Type="http://schemas.openxmlformats.org/officeDocument/2006/relationships/hyperlink" Target="https://www.soccerstats.com/h2h.asp?league=croatia&amp;fmid=15&amp;t1id=7&amp;t2id=10&amp;ly=2026" TargetMode="External"/><Relationship Id="rId801" Type="http://schemas.openxmlformats.org/officeDocument/2006/relationships/hyperlink" Target="https://www.soccerstats.com/h2h.asp?league=germany7&amp;fmid=17&amp;t1id=18&amp;t2id=11&amp;ly=2026" TargetMode="External"/><Relationship Id="rId1" Type="http://schemas.openxmlformats.org/officeDocument/2006/relationships/hyperlink" Target="https://www.soccerstats.com/h2h.asp?league=spain&amp;fmid=1&amp;t1id=1&amp;t2id=2&amp;ly=2026" TargetMode="External"/><Relationship Id="rId233" Type="http://schemas.openxmlformats.org/officeDocument/2006/relationships/hyperlink" Target="https://www.soccerstats.com/pmatch.asp?league=estonia2&amp;stats=164-2-8-2026" TargetMode="External"/><Relationship Id="rId440" Type="http://schemas.openxmlformats.org/officeDocument/2006/relationships/hyperlink" Target="https://www.soccerstats.com/pmatch.asp?league=sweden2&amp;stats=148-14-3-2026" TargetMode="External"/><Relationship Id="rId678" Type="http://schemas.openxmlformats.org/officeDocument/2006/relationships/hyperlink" Target="https://www.soccerstats.com/h2h.asp?league=germany2&amp;fmid=18&amp;t1id=14&amp;t2id=11&amp;ly=2026" TargetMode="External"/><Relationship Id="rId885" Type="http://schemas.openxmlformats.org/officeDocument/2006/relationships/hyperlink" Target="https://www.soccerstats.com/pmatch.asp?league=southkorea&amp;stats=138-3-5-2026" TargetMode="External"/><Relationship Id="rId28" Type="http://schemas.openxmlformats.org/officeDocument/2006/relationships/hyperlink" Target="https://www.soccerstats.com/h2h.asp?league=england3&amp;fmid=5&amp;t1id=9&amp;t2id=10&amp;ly=2026" TargetMode="External"/><Relationship Id="rId300" Type="http://schemas.openxmlformats.org/officeDocument/2006/relationships/hyperlink" Target="https://www.soccerstats.com/h2h.asp?league=japan&amp;fmid=13&amp;t1id=2&amp;t2id=9&amp;ly=2026" TargetMode="External"/><Relationship Id="rId538" Type="http://schemas.openxmlformats.org/officeDocument/2006/relationships/hyperlink" Target="https://www.soccerstats.com/pmatch.asp?league=argentina3&amp;stats=450-19-18-2026" TargetMode="External"/><Relationship Id="rId745" Type="http://schemas.openxmlformats.org/officeDocument/2006/relationships/hyperlink" Target="https://www.soccerstats.com/pmatch.asp?league=chile&amp;stats=152-4-10-2026" TargetMode="External"/><Relationship Id="rId952" Type="http://schemas.openxmlformats.org/officeDocument/2006/relationships/hyperlink" Target="https://www.soccerstats.com/h2h.asp?league=armenia&amp;fmid=17&amp;t1id=7&amp;t2id=11&amp;ly=2026" TargetMode="External"/><Relationship Id="rId81" Type="http://schemas.openxmlformats.org/officeDocument/2006/relationships/hyperlink" Target="https://www.soccerstats.com/pmatch.asp?league=australia5&amp;stats=119-2-10-2026" TargetMode="External"/><Relationship Id="rId177" Type="http://schemas.openxmlformats.org/officeDocument/2006/relationships/hyperlink" Target="https://www.soccerstats.com/h2h.asp?league=england6&amp;fmid=24&amp;t1id=6&amp;t2id=17&amp;ly=2026" TargetMode="External"/><Relationship Id="rId384" Type="http://schemas.openxmlformats.org/officeDocument/2006/relationships/hyperlink" Target="https://www.soccerstats.com/h2h.asp?league=poland3&amp;fmid=30&amp;t1id=10&amp;t2id=14&amp;ly=2026" TargetMode="External"/><Relationship Id="rId591" Type="http://schemas.openxmlformats.org/officeDocument/2006/relationships/hyperlink" Target="https://www.soccerstats.com/h2h.asp?league=england9&amp;fmid=23&amp;t1id=10&amp;t2id=15&amp;ly=2026" TargetMode="External"/><Relationship Id="rId605" Type="http://schemas.openxmlformats.org/officeDocument/2006/relationships/hyperlink" Target="https://www.soccerstats.com/pmatch.asp?league=germany5&amp;stats=40-14-6-2027" TargetMode="External"/><Relationship Id="rId812" Type="http://schemas.openxmlformats.org/officeDocument/2006/relationships/hyperlink" Target="https://www.soccerstats.com/pmatch.asp?league=iceland&amp;stats=110-5-12-2026" TargetMode="External"/><Relationship Id="rId244" Type="http://schemas.openxmlformats.org/officeDocument/2006/relationships/hyperlink" Target="https://www.soccerstats.com/pmatch.asp?league=finland4&amp;stats=83-7-4-2026" TargetMode="External"/><Relationship Id="rId689" Type="http://schemas.openxmlformats.org/officeDocument/2006/relationships/hyperlink" Target="https://www.soccerstats.com/pmatch.asp?league=argentina3&amp;stats=447-11-26-2026" TargetMode="External"/><Relationship Id="rId896" Type="http://schemas.openxmlformats.org/officeDocument/2006/relationships/hyperlink" Target="https://www.soccerstats.com/pmatch.asp?league=sweden2&amp;stats=151-4-12-2026" TargetMode="External"/><Relationship Id="rId39" Type="http://schemas.openxmlformats.org/officeDocument/2006/relationships/hyperlink" Target="https://www.soccerstats.com/h2h.asp?league=england4&amp;fmid=5&amp;t1id=9&amp;t2id=10&amp;ly=2026" TargetMode="External"/><Relationship Id="rId451" Type="http://schemas.openxmlformats.org/officeDocument/2006/relationships/hyperlink" Target="https://www.soccerstats.com/pmatch.asp?league=sweden11&amp;stats=95-12-11-2026" TargetMode="External"/><Relationship Id="rId549" Type="http://schemas.openxmlformats.org/officeDocument/2006/relationships/hyperlink" Target="https://www.soccerstats.com/pmatch.asp?league=australia4&amp;stats=132-6-3-2026" TargetMode="External"/><Relationship Id="rId756" Type="http://schemas.openxmlformats.org/officeDocument/2006/relationships/hyperlink" Target="https://www.soccerstats.com/h2h.asp?league=costarica&amp;fmid=18&amp;t1id=3&amp;t2id=5&amp;ly=2026" TargetMode="External"/><Relationship Id="rId104" Type="http://schemas.openxmlformats.org/officeDocument/2006/relationships/hyperlink" Target="https://www.soccerstats.com/h2h.asp?league=austria2&amp;fmid=23&amp;t1id=5&amp;t2id=1&amp;ly=2026" TargetMode="External"/><Relationship Id="rId188" Type="http://schemas.openxmlformats.org/officeDocument/2006/relationships/hyperlink" Target="https://www.soccerstats.com/h2h.asp?league=england6&amp;fmid=13&amp;t1id=18&amp;t2id=23&amp;ly=2026" TargetMode="External"/><Relationship Id="rId311" Type="http://schemas.openxmlformats.org/officeDocument/2006/relationships/hyperlink" Target="https://www.soccerstats.com/h2h.asp?league=japan2&amp;fmid=13&amp;t1id=3&amp;t2id=17&amp;ly=2026" TargetMode="External"/><Relationship Id="rId395" Type="http://schemas.openxmlformats.org/officeDocument/2006/relationships/hyperlink" Target="https://www.soccerstats.com/h2h.asp?league=russia&amp;fmid=29&amp;t1id=16&amp;t2id=14&amp;ly=2026" TargetMode="External"/><Relationship Id="rId409" Type="http://schemas.openxmlformats.org/officeDocument/2006/relationships/hyperlink" Target="https://www.soccerstats.com/h2h.asp?league=serbia&amp;fmid=29&amp;t1id=10&amp;t2id=2&amp;ly=2026" TargetMode="External"/><Relationship Id="rId963" Type="http://schemas.openxmlformats.org/officeDocument/2006/relationships/hyperlink" Target="https://www.soccerstats.com/pmatch.asp?league=colombia2&amp;stats=46-10-8-2026" TargetMode="External"/><Relationship Id="rId92" Type="http://schemas.openxmlformats.org/officeDocument/2006/relationships/hyperlink" Target="https://www.soccerstats.com/pmatch.asp?league=australia10&amp;stats=102-11-9-2026" TargetMode="External"/><Relationship Id="rId616" Type="http://schemas.openxmlformats.org/officeDocument/2006/relationships/hyperlink" Target="https://www.soccerstats.com/h2h.asp?league=germany8&amp;fmid=35&amp;t1id=18&amp;t2id=9&amp;ly=2026" TargetMode="External"/><Relationship Id="rId823" Type="http://schemas.openxmlformats.org/officeDocument/2006/relationships/hyperlink" Target="https://www.soccerstats.com/pmatch.asp?league=kazakhstan&amp;stats=39-10-16-2026" TargetMode="External"/><Relationship Id="rId255" Type="http://schemas.openxmlformats.org/officeDocument/2006/relationships/hyperlink" Target="https://www.soccerstats.com/pmatch.asp?league=georgia&amp;stats=103-3-1-2026" TargetMode="External"/><Relationship Id="rId462" Type="http://schemas.openxmlformats.org/officeDocument/2006/relationships/hyperlink" Target="https://www.soccerstats.com/h2h.asp?league=ukraine&amp;fmid=22&amp;t1id=3&amp;t2id=12&amp;ly=2026" TargetMode="External"/><Relationship Id="rId115" Type="http://schemas.openxmlformats.org/officeDocument/2006/relationships/hyperlink" Target="https://www.soccerstats.com/h2h.asp?league=belgium2&amp;fmid=5&amp;t1id=9&amp;t2id=10&amp;ly=2026" TargetMode="External"/><Relationship Id="rId322" Type="http://schemas.openxmlformats.org/officeDocument/2006/relationships/hyperlink" Target="https://www.soccerstats.com/h2h.asp?league=japan3&amp;fmid=15&amp;t1id=20&amp;t2id=13&amp;ly=2026" TargetMode="External"/><Relationship Id="rId767" Type="http://schemas.openxmlformats.org/officeDocument/2006/relationships/hyperlink" Target="https://www.soccerstats.com/pmatch.asp?league=ecuador&amp;stats=195-11-4-2026" TargetMode="External"/><Relationship Id="rId974" Type="http://schemas.openxmlformats.org/officeDocument/2006/relationships/hyperlink" Target="https://www.soccerstats.com/pmatch.asp?league=iceland&amp;stats=114-11-4-2026" TargetMode="External"/><Relationship Id="rId199" Type="http://schemas.openxmlformats.org/officeDocument/2006/relationships/hyperlink" Target="https://www.soccerstats.com/h2h.asp?league=england7&amp;fmid=13&amp;t1id=1&amp;t2id=10&amp;ly=2026" TargetMode="External"/><Relationship Id="rId627" Type="http://schemas.openxmlformats.org/officeDocument/2006/relationships/hyperlink" Target="https://www.soccerstats.com/pmatch.asp?league=norway11&amp;stats=73-11-6-2026" TargetMode="External"/><Relationship Id="rId834" Type="http://schemas.openxmlformats.org/officeDocument/2006/relationships/hyperlink" Target="https://www.soccerstats.com/h2h.asp?league=montenegro&amp;fmid=14&amp;t1id=5&amp;t2id=9&amp;ly=2026" TargetMode="External"/><Relationship Id="rId266" Type="http://schemas.openxmlformats.org/officeDocument/2006/relationships/hyperlink" Target="https://www.soccerstats.com/pmatch.asp?league=germany5&amp;stats=39-5-15-2027" TargetMode="External"/><Relationship Id="rId473" Type="http://schemas.openxmlformats.org/officeDocument/2006/relationships/hyperlink" Target="https://www.soccerstats.com/pmatch.asp?league=usa2&amp;stats=238-23-4-2026" TargetMode="External"/><Relationship Id="rId680" Type="http://schemas.openxmlformats.org/officeDocument/2006/relationships/hyperlink" Target="https://www.soccerstats.com/pmatch.asp?league=argentina2&amp;stats=69-8-12-2026" TargetMode="External"/><Relationship Id="rId901" Type="http://schemas.openxmlformats.org/officeDocument/2006/relationships/hyperlink" Target="https://www.soccerstats.com/pmatch.asp?league=sweden4&amp;stats=136-13-15-2026" TargetMode="External"/><Relationship Id="rId30" Type="http://schemas.openxmlformats.org/officeDocument/2006/relationships/hyperlink" Target="https://www.soccerstats.com/h2h.asp?league=england4&amp;fmid=2&amp;t1id=3&amp;t2id=4&amp;ly=2026" TargetMode="External"/><Relationship Id="rId126" Type="http://schemas.openxmlformats.org/officeDocument/2006/relationships/hyperlink" Target="https://www.soccerstats.com/pmatch.asp?league=brazil2&amp;stats=211-8-20-2026" TargetMode="External"/><Relationship Id="rId333" Type="http://schemas.openxmlformats.org/officeDocument/2006/relationships/hyperlink" Target="https://www.soccerstats.com/h2h.asp?league=netherlands3&amp;fmid=5&amp;t1id=9&amp;t2id=10&amp;ly=2026" TargetMode="External"/><Relationship Id="rId540" Type="http://schemas.openxmlformats.org/officeDocument/2006/relationships/hyperlink" Target="https://www.soccerstats.com/h2h.asp?league=armenia&amp;fmid=16&amp;t1id=5&amp;t2id=10&amp;ly=2026" TargetMode="External"/><Relationship Id="rId778" Type="http://schemas.openxmlformats.org/officeDocument/2006/relationships/hyperlink" Target="https://www.soccerstats.com/pmatch.asp?league=finland&amp;stats=119-3-5-2026" TargetMode="External"/><Relationship Id="rId985" Type="http://schemas.openxmlformats.org/officeDocument/2006/relationships/hyperlink" Target="https://www.soccerstats.com/h2h.asp?league=montenegro&amp;fmid=12&amp;t1id=1&amp;t2id=6&amp;ly=2026" TargetMode="External"/><Relationship Id="rId638" Type="http://schemas.openxmlformats.org/officeDocument/2006/relationships/hyperlink" Target="https://www.soccerstats.com/h2h.asp?league=saudiarabia&amp;fmid=5&amp;t1id=9&amp;t2id=10&amp;ly=2026" TargetMode="External"/><Relationship Id="rId845" Type="http://schemas.openxmlformats.org/officeDocument/2006/relationships/hyperlink" Target="https://www.soccerstats.com/pmatch.asp?league=norway3&amp;stats=112-6-12-2026" TargetMode="External"/><Relationship Id="rId277" Type="http://schemas.openxmlformats.org/officeDocument/2006/relationships/hyperlink" Target="https://www.soccerstats.com/h2h.asp?league=germany7&amp;fmid=12&amp;t1id=6&amp;t2id=3&amp;ly=2026" TargetMode="External"/><Relationship Id="rId400" Type="http://schemas.openxmlformats.org/officeDocument/2006/relationships/hyperlink" Target="https://www.soccerstats.com/h2h.asp?league=scotland3&amp;fmid=14&amp;t1id=5&amp;t2id=7&amp;ly=2026" TargetMode="External"/><Relationship Id="rId484" Type="http://schemas.openxmlformats.org/officeDocument/2006/relationships/hyperlink" Target="https://www.soccerstats.com/pmatch.asp?league=usa6&amp;stats=151-11-8-2026" TargetMode="External"/><Relationship Id="rId705" Type="http://schemas.openxmlformats.org/officeDocument/2006/relationships/hyperlink" Target="https://www.soccerstats.com/h2h.asp?league=austria&amp;fmid=16&amp;t1id=3&amp;t2id=5&amp;ly=2026" TargetMode="External"/><Relationship Id="rId137" Type="http://schemas.openxmlformats.org/officeDocument/2006/relationships/hyperlink" Target="https://www.soccerstats.com/h2h.asp?league=bulgaria&amp;fmid=29&amp;t1id=11&amp;t2id=3&amp;ly=2026" TargetMode="External"/><Relationship Id="rId302" Type="http://schemas.openxmlformats.org/officeDocument/2006/relationships/hyperlink" Target="https://www.soccerstats.com/h2h.asp?league=japan&amp;fmid=14&amp;t1id=10&amp;t2id=1&amp;ly=2026" TargetMode="External"/><Relationship Id="rId344" Type="http://schemas.openxmlformats.org/officeDocument/2006/relationships/hyperlink" Target="https://www.soccerstats.com/h2h.asp?league=northernireland&amp;fmid=7&amp;t1id=9&amp;t2id=3&amp;ly=2026" TargetMode="External"/><Relationship Id="rId691" Type="http://schemas.openxmlformats.org/officeDocument/2006/relationships/hyperlink" Target="https://www.soccerstats.com/h2h.asp?league=armenia&amp;fmid=13&amp;t1id=2&amp;t2id=4&amp;ly=2026" TargetMode="External"/><Relationship Id="rId747" Type="http://schemas.openxmlformats.org/officeDocument/2006/relationships/hyperlink" Target="https://www.soccerstats.com/pmatch.asp?league=chile2&amp;stats=161-3-11-2026" TargetMode="External"/><Relationship Id="rId789" Type="http://schemas.openxmlformats.org/officeDocument/2006/relationships/hyperlink" Target="https://www.soccerstats.com/pmatch.asp?league=georgia&amp;stats=102-10-6-2026" TargetMode="External"/><Relationship Id="rId912" Type="http://schemas.openxmlformats.org/officeDocument/2006/relationships/hyperlink" Target="https://www.soccerstats.com/h2h.asp?league=ukraine&amp;fmid=21&amp;t1id=5&amp;t2id=16&amp;ly=2026" TargetMode="External"/><Relationship Id="rId954" Type="http://schemas.openxmlformats.org/officeDocument/2006/relationships/hyperlink" Target="https://www.soccerstats.com/pmatch.asp?league=brazil&amp;stats=224-5-2-2026" TargetMode="External"/><Relationship Id="rId996" Type="http://schemas.openxmlformats.org/officeDocument/2006/relationships/hyperlink" Target="https://www.soccerstats.com/pmatch.asp?league=usa&amp;stats=287-29-5-2026" TargetMode="External"/><Relationship Id="rId41" Type="http://schemas.openxmlformats.org/officeDocument/2006/relationships/hyperlink" Target="https://www.soccerstats.com/h2h.asp?league=england4&amp;fmid=3&amp;t1id=5&amp;t2id=6&amp;ly=2026" TargetMode="External"/><Relationship Id="rId83" Type="http://schemas.openxmlformats.org/officeDocument/2006/relationships/hyperlink" Target="https://www.soccerstats.com/pmatch.asp?league=australia5&amp;stats=116-4-12-2026" TargetMode="External"/><Relationship Id="rId179" Type="http://schemas.openxmlformats.org/officeDocument/2006/relationships/hyperlink" Target="https://www.soccerstats.com/h2h.asp?league=england6&amp;fmid=22&amp;t1id=20&amp;t2id=13&amp;ly=2026" TargetMode="External"/><Relationship Id="rId386" Type="http://schemas.openxmlformats.org/officeDocument/2006/relationships/hyperlink" Target="https://www.soccerstats.com/h2h.asp?league=poland3&amp;fmid=28&amp;t1id=2&amp;t2id=18&amp;ly=2026" TargetMode="External"/><Relationship Id="rId551" Type="http://schemas.openxmlformats.org/officeDocument/2006/relationships/hyperlink" Target="https://www.soccerstats.com/pmatch.asp?league=australia11&amp;stats=217-1-4-2026" TargetMode="External"/><Relationship Id="rId593" Type="http://schemas.openxmlformats.org/officeDocument/2006/relationships/hyperlink" Target="https://www.soccerstats.com/pmatch.asp?league=finland&amp;stats=115-2-10-2026" TargetMode="External"/><Relationship Id="rId607" Type="http://schemas.openxmlformats.org/officeDocument/2006/relationships/hyperlink" Target="https://www.soccerstats.com/pmatch.asp?league=germany5&amp;stats=43-9-4-2027" TargetMode="External"/><Relationship Id="rId649" Type="http://schemas.openxmlformats.org/officeDocument/2006/relationships/hyperlink" Target="https://www.soccerstats.com/h2h.asp?league=turkey&amp;fmid=1&amp;t1id=1&amp;t2id=2&amp;ly=2026" TargetMode="External"/><Relationship Id="rId814" Type="http://schemas.openxmlformats.org/officeDocument/2006/relationships/hyperlink" Target="https://www.soccerstats.com/h2h.asp?league=japan2&amp;fmid=19&amp;t1id=8&amp;t2id=11&amp;ly=2026" TargetMode="External"/><Relationship Id="rId856" Type="http://schemas.openxmlformats.org/officeDocument/2006/relationships/hyperlink" Target="https://www.soccerstats.com/h2h.asp?league=paraguay2&amp;fmid=25&amp;t1id=5&amp;t2id=3&amp;ly=2026" TargetMode="External"/><Relationship Id="rId190" Type="http://schemas.openxmlformats.org/officeDocument/2006/relationships/hyperlink" Target="https://www.soccerstats.com/h2h.asp?league=england7&amp;fmid=23&amp;t1id=21&amp;t2id=2&amp;ly=2026" TargetMode="External"/><Relationship Id="rId204" Type="http://schemas.openxmlformats.org/officeDocument/2006/relationships/hyperlink" Target="https://www.soccerstats.com/h2h.asp?league=england8&amp;fmid=440&amp;t1id=13&amp;t2id=15&amp;ly=2026" TargetMode="External"/><Relationship Id="rId246" Type="http://schemas.openxmlformats.org/officeDocument/2006/relationships/hyperlink" Target="https://www.soccerstats.com/pmatch.asp?league=finland5&amp;stats=84-6-2-2026" TargetMode="External"/><Relationship Id="rId288" Type="http://schemas.openxmlformats.org/officeDocument/2006/relationships/hyperlink" Target="https://www.soccerstats.com/pmatch.asp?league=iceland&amp;stats=109-8-10-2026" TargetMode="External"/><Relationship Id="rId411" Type="http://schemas.openxmlformats.org/officeDocument/2006/relationships/hyperlink" Target="https://www.soccerstats.com/h2h.asp?league=serbia&amp;fmid=30&amp;t1id=6&amp;t2id=8&amp;ly=2026" TargetMode="External"/><Relationship Id="rId453" Type="http://schemas.openxmlformats.org/officeDocument/2006/relationships/hyperlink" Target="https://www.soccerstats.com/pmatch.asp?league=sweden11&amp;stats=97-14-3-2026" TargetMode="External"/><Relationship Id="rId509" Type="http://schemas.openxmlformats.org/officeDocument/2006/relationships/hyperlink" Target="https://www.soccerstats.com/h2h.asp?league=germany4&amp;fmid=25&amp;t1id=13&amp;t2id=10&amp;ly=2026" TargetMode="External"/><Relationship Id="rId660" Type="http://schemas.openxmlformats.org/officeDocument/2006/relationships/hyperlink" Target="https://www.soccerstats.com/h2h.asp?league=spain&amp;fmid=4&amp;t1id=7&amp;t2id=8&amp;ly=2026" TargetMode="External"/><Relationship Id="rId898" Type="http://schemas.openxmlformats.org/officeDocument/2006/relationships/hyperlink" Target="https://www.soccerstats.com/pmatch.asp?league=sweden3&amp;stats=132-12-1-2026" TargetMode="External"/><Relationship Id="rId106" Type="http://schemas.openxmlformats.org/officeDocument/2006/relationships/hyperlink" Target="https://www.soccerstats.com/pmatch.asp?league=belarus&amp;stats=142-14-9-2026" TargetMode="External"/><Relationship Id="rId313" Type="http://schemas.openxmlformats.org/officeDocument/2006/relationships/hyperlink" Target="https://www.soccerstats.com/h2h.asp?league=japan2&amp;fmid=14&amp;t1id=18&amp;t2id=13&amp;ly=2026" TargetMode="External"/><Relationship Id="rId495" Type="http://schemas.openxmlformats.org/officeDocument/2006/relationships/hyperlink" Target="https://www.soccerstats.com/pmatch.asp?league=australia10&amp;stats=97-11-2-2026" TargetMode="External"/><Relationship Id="rId716" Type="http://schemas.openxmlformats.org/officeDocument/2006/relationships/hyperlink" Target="https://www.soccerstats.com/pmatch.asp?league=brazil&amp;stats=228-15-3-2026" TargetMode="External"/><Relationship Id="rId758" Type="http://schemas.openxmlformats.org/officeDocument/2006/relationships/hyperlink" Target="https://www.soccerstats.com/h2h.asp?league=croatia&amp;fmid=14&amp;t1id=5&amp;t2id=9&amp;ly=2026" TargetMode="External"/><Relationship Id="rId923" Type="http://schemas.openxmlformats.org/officeDocument/2006/relationships/hyperlink" Target="https://www.soccerstats.com/pmatch.asp?league=usa&amp;stats=286-14-25-2026" TargetMode="External"/><Relationship Id="rId965" Type="http://schemas.openxmlformats.org/officeDocument/2006/relationships/hyperlink" Target="https://www.soccerstats.com/pmatch.asp?league=czechrepublic2&amp;stats=27-10-5-2027" TargetMode="External"/><Relationship Id="rId10" Type="http://schemas.openxmlformats.org/officeDocument/2006/relationships/hyperlink" Target="https://www.soccerstats.com/h2h.asp?league=england2&amp;fmid=2&amp;t1id=3&amp;t2id=4&amp;ly=2026" TargetMode="External"/><Relationship Id="rId52" Type="http://schemas.openxmlformats.org/officeDocument/2006/relationships/hyperlink" Target="https://www.soccerstats.com/h2h.asp?league=england5&amp;fmid=14&amp;t1id=16&amp;t2id=11&amp;ly=2026" TargetMode="External"/><Relationship Id="rId94" Type="http://schemas.openxmlformats.org/officeDocument/2006/relationships/hyperlink" Target="https://www.soccerstats.com/pmatch.asp?league=australia10&amp;stats=103-1-6-2026" TargetMode="External"/><Relationship Id="rId148" Type="http://schemas.openxmlformats.org/officeDocument/2006/relationships/hyperlink" Target="https://www.soccerstats.com/pmatch.asp?league=china2&amp;stats=145-4-14-2026" TargetMode="External"/><Relationship Id="rId355" Type="http://schemas.openxmlformats.org/officeDocument/2006/relationships/hyperlink" Target="https://www.soccerstats.com/pmatch.asp?league=norway3&amp;stats=106-8-4-2026" TargetMode="External"/><Relationship Id="rId397" Type="http://schemas.openxmlformats.org/officeDocument/2006/relationships/hyperlink" Target="https://www.soccerstats.com/h2h.asp?league=saudiarabia&amp;fmid=9&amp;t1id=17&amp;t2id=18&amp;ly=2026" TargetMode="External"/><Relationship Id="rId520" Type="http://schemas.openxmlformats.org/officeDocument/2006/relationships/hyperlink" Target="https://www.soccerstats.com/h2h.asp?league=france2&amp;fmid=18&amp;t1id=6&amp;t2id=3&amp;ly=2026" TargetMode="External"/><Relationship Id="rId562" Type="http://schemas.openxmlformats.org/officeDocument/2006/relationships/hyperlink" Target="https://www.soccerstats.com/pmatch.asp?league=belarus&amp;stats=140-10-5-2026" TargetMode="External"/><Relationship Id="rId618" Type="http://schemas.openxmlformats.org/officeDocument/2006/relationships/hyperlink" Target="https://www.soccerstats.com/h2h.asp?league=germany8&amp;fmid=29&amp;t1id=14&amp;t2id=8&amp;ly=2026" TargetMode="External"/><Relationship Id="rId825" Type="http://schemas.openxmlformats.org/officeDocument/2006/relationships/hyperlink" Target="https://www.soccerstats.com/pmatch.asp?league=lithuania&amp;stats=132-1-6-2026" TargetMode="External"/><Relationship Id="rId215" Type="http://schemas.openxmlformats.org/officeDocument/2006/relationships/hyperlink" Target="https://www.soccerstats.com/h2h.asp?league=england9&amp;fmid=29&amp;t1id=22&amp;t2id=9&amp;ly=2026" TargetMode="External"/><Relationship Id="rId257" Type="http://schemas.openxmlformats.org/officeDocument/2006/relationships/hyperlink" Target="https://www.soccerstats.com/h2h.asp?league=germany3&amp;fmid=13&amp;t1id=14&amp;t2id=19&amp;ly=2026" TargetMode="External"/><Relationship Id="rId422" Type="http://schemas.openxmlformats.org/officeDocument/2006/relationships/hyperlink" Target="https://www.soccerstats.com/h2h.asp?league=southafrica&amp;fmid=17&amp;t1id=10&amp;t2id=15&amp;ly=2026" TargetMode="External"/><Relationship Id="rId464" Type="http://schemas.openxmlformats.org/officeDocument/2006/relationships/hyperlink" Target="https://www.soccerstats.com/h2h.asp?league=ukraine&amp;fmid=17&amp;t1id=4&amp;t2id=13&amp;ly=2026" TargetMode="External"/><Relationship Id="rId867" Type="http://schemas.openxmlformats.org/officeDocument/2006/relationships/hyperlink" Target="https://www.soccerstats.com/h2h.asp?league=poland3&amp;fmid=34&amp;t1id=6&amp;t2id=15&amp;ly=2026" TargetMode="External"/><Relationship Id="rId299" Type="http://schemas.openxmlformats.org/officeDocument/2006/relationships/hyperlink" Target="https://www.soccerstats.com/pmatch.asp?league=ireland3&amp;stats=87-12-1-2026" TargetMode="External"/><Relationship Id="rId727" Type="http://schemas.openxmlformats.org/officeDocument/2006/relationships/hyperlink" Target="https://www.soccerstats.com/pmatch.asp?league=brazil3&amp;stats=166-12-10-2026" TargetMode="External"/><Relationship Id="rId934" Type="http://schemas.openxmlformats.org/officeDocument/2006/relationships/hyperlink" Target="https://www.soccerstats.com/pmatch.asp?league=usa3&amp;stats=197-18-8-2026" TargetMode="External"/><Relationship Id="rId63" Type="http://schemas.openxmlformats.org/officeDocument/2006/relationships/hyperlink" Target="https://www.soccerstats.com/pmatch.asp?league=argentina2&amp;stats=66-6-18-2026" TargetMode="External"/><Relationship Id="rId159" Type="http://schemas.openxmlformats.org/officeDocument/2006/relationships/hyperlink" Target="https://www.soccerstats.com/h2h.asp?league=czechrepublic&amp;fmid=27&amp;t1id=14&amp;t2id=16&amp;ly=2026" TargetMode="External"/><Relationship Id="rId366" Type="http://schemas.openxmlformats.org/officeDocument/2006/relationships/hyperlink" Target="https://www.soccerstats.com/h2h.asp?league=paraguay2&amp;fmid=28&amp;t1id=12&amp;t2id=4&amp;ly=2026" TargetMode="External"/><Relationship Id="rId573" Type="http://schemas.openxmlformats.org/officeDocument/2006/relationships/hyperlink" Target="https://www.soccerstats.com/pmatch.asp?league=chile2&amp;stats=159-7-12-2026" TargetMode="External"/><Relationship Id="rId780" Type="http://schemas.openxmlformats.org/officeDocument/2006/relationships/hyperlink" Target="https://www.soccerstats.com/pmatch.asp?league=finland&amp;stats=117-12-1-2026" TargetMode="External"/><Relationship Id="rId226" Type="http://schemas.openxmlformats.org/officeDocument/2006/relationships/hyperlink" Target="https://www.soccerstats.com/h2h.asp?league=england10&amp;fmid=28&amp;t1id=10&amp;t2id=15&amp;ly=2026" TargetMode="External"/><Relationship Id="rId433" Type="http://schemas.openxmlformats.org/officeDocument/2006/relationships/hyperlink" Target="https://www.soccerstats.com/pmatch.asp?league=southkorea4&amp;stats=66-8-2-2026" TargetMode="External"/><Relationship Id="rId878" Type="http://schemas.openxmlformats.org/officeDocument/2006/relationships/hyperlink" Target="https://www.soccerstats.com/h2h.asp?league=slovakia&amp;fmid=24&amp;t1id=4&amp;t2id=8&amp;ly=2026" TargetMode="External"/><Relationship Id="rId640" Type="http://schemas.openxmlformats.org/officeDocument/2006/relationships/hyperlink" Target="https://www.soccerstats.com/h2h.asp?league=southafrica&amp;fmid=16&amp;t1id=1&amp;t2id=16&amp;ly=2026" TargetMode="External"/><Relationship Id="rId738" Type="http://schemas.openxmlformats.org/officeDocument/2006/relationships/hyperlink" Target="https://www.soccerstats.com/h2h.asp?league=bulgaria2&amp;fmid=31&amp;t1id=4&amp;t2id=15&amp;ly=2026" TargetMode="External"/><Relationship Id="rId945" Type="http://schemas.openxmlformats.org/officeDocument/2006/relationships/hyperlink" Target="https://www.soccerstats.com/h2h.asp?league=netherlands2&amp;fmid=20&amp;t1id=14&amp;t2id=19&amp;ly=2026" TargetMode="External"/><Relationship Id="rId74" Type="http://schemas.openxmlformats.org/officeDocument/2006/relationships/hyperlink" Target="https://www.soccerstats.com/pmatch.asp?league=argentina3&amp;stats=436-29-8-2026" TargetMode="External"/><Relationship Id="rId377" Type="http://schemas.openxmlformats.org/officeDocument/2006/relationships/hyperlink" Target="https://www.soccerstats.com/h2h.asp?league=poland&amp;fmid=32&amp;t1id=18&amp;t2id=2&amp;ly=2026" TargetMode="External"/><Relationship Id="rId500" Type="http://schemas.openxmlformats.org/officeDocument/2006/relationships/hyperlink" Target="https://www.soccerstats.com/leagueview_team.asp?league=copasudamericana&amp;team1id=10&amp;team2id=21&amp;fmid=116" TargetMode="External"/><Relationship Id="rId584" Type="http://schemas.openxmlformats.org/officeDocument/2006/relationships/hyperlink" Target="https://www.soccerstats.com/h2h.asp?league=denmark2&amp;fmid=20&amp;t1id=3&amp;t2id=9&amp;ly=2026" TargetMode="External"/><Relationship Id="rId805" Type="http://schemas.openxmlformats.org/officeDocument/2006/relationships/hyperlink" Target="https://www.soccerstats.com/h2h.asp?league=guatemala&amp;fmid=21&amp;t1id=5&amp;t2id=7&amp;ly=2026" TargetMode="External"/><Relationship Id="rId5" Type="http://schemas.openxmlformats.org/officeDocument/2006/relationships/hyperlink" Target="https://www.soccerstats.com/h2h.asp?league=netherlands&amp;fmid=13&amp;t1id=2&amp;t2id=7&amp;ly=2026" TargetMode="External"/><Relationship Id="rId237" Type="http://schemas.openxmlformats.org/officeDocument/2006/relationships/hyperlink" Target="https://www.soccerstats.com/pmatch.asp?league=finland2&amp;stats=92-9-5-2026" TargetMode="External"/><Relationship Id="rId791" Type="http://schemas.openxmlformats.org/officeDocument/2006/relationships/hyperlink" Target="https://www.soccerstats.com/h2h.asp?league=germany3&amp;fmid=19&amp;t1id=6&amp;t2id=17&amp;ly=2026" TargetMode="External"/><Relationship Id="rId889" Type="http://schemas.openxmlformats.org/officeDocument/2006/relationships/hyperlink" Target="https://www.soccerstats.com/pmatch.asp?league=southkorea2&amp;stats=173-14-16-2026" TargetMode="External"/><Relationship Id="rId444" Type="http://schemas.openxmlformats.org/officeDocument/2006/relationships/hyperlink" Target="https://www.soccerstats.com/pmatch.asp?league=sweden3&amp;stats=134-7-10-2026" TargetMode="External"/><Relationship Id="rId651" Type="http://schemas.openxmlformats.org/officeDocument/2006/relationships/hyperlink" Target="https://www.soccerstats.com/h2h.asp?league=ukraine&amp;fmid=20&amp;t1id=9&amp;t2id=6&amp;ly=2026" TargetMode="External"/><Relationship Id="rId749" Type="http://schemas.openxmlformats.org/officeDocument/2006/relationships/hyperlink" Target="https://www.soccerstats.com/pmatch.asp?league=china2&amp;stats=150-11-10-2026" TargetMode="External"/><Relationship Id="rId290" Type="http://schemas.openxmlformats.org/officeDocument/2006/relationships/hyperlink" Target="https://www.soccerstats.com/pmatch.asp?league=iceland3&amp;stats=101-8-6-2026" TargetMode="External"/><Relationship Id="rId304" Type="http://schemas.openxmlformats.org/officeDocument/2006/relationships/hyperlink" Target="https://www.soccerstats.com/h2h.asp?league=japan&amp;fmid=16&amp;t1id=5&amp;t2id=7&amp;ly=2026" TargetMode="External"/><Relationship Id="rId388" Type="http://schemas.openxmlformats.org/officeDocument/2006/relationships/hyperlink" Target="https://www.soccerstats.com/h2h.asp?league=portugal2&amp;fmid=15&amp;t1id=2&amp;t2id=15&amp;ly=2026" TargetMode="External"/><Relationship Id="rId511" Type="http://schemas.openxmlformats.org/officeDocument/2006/relationships/hyperlink" Target="https://www.soccerstats.com/h2h.asp?league=germany4&amp;fmid=23&amp;t1id=18&amp;t2id=5&amp;ly=2026" TargetMode="External"/><Relationship Id="rId609" Type="http://schemas.openxmlformats.org/officeDocument/2006/relationships/hyperlink" Target="https://www.soccerstats.com/h2h.asp?league=germany6&amp;fmid=23&amp;t1id=11&amp;t2id=8&amp;ly=2026" TargetMode="External"/><Relationship Id="rId956" Type="http://schemas.openxmlformats.org/officeDocument/2006/relationships/hyperlink" Target="https://www.soccerstats.com/pmatch.asp?league=brazil3&amp;stats=169-2-19-2026" TargetMode="External"/><Relationship Id="rId85" Type="http://schemas.openxmlformats.org/officeDocument/2006/relationships/hyperlink" Target="https://www.soccerstats.com/pmatch.asp?league=australia5&amp;stats=117-9-11-2026" TargetMode="External"/><Relationship Id="rId150" Type="http://schemas.openxmlformats.org/officeDocument/2006/relationships/hyperlink" Target="https://www.soccerstats.com/pmatch.asp?league=china2&amp;stats=147-1-9-2026" TargetMode="External"/><Relationship Id="rId595" Type="http://schemas.openxmlformats.org/officeDocument/2006/relationships/hyperlink" Target="https://www.soccerstats.com/h2h.asp?league=france3&amp;fmid=17&amp;t1id=6&amp;t2id=3&amp;ly=2026" TargetMode="External"/><Relationship Id="rId816" Type="http://schemas.openxmlformats.org/officeDocument/2006/relationships/hyperlink" Target="https://www.soccerstats.com/h2h.asp?league=japan3&amp;fmid=17&amp;t1id=18&amp;t2id=7&amp;ly=2026" TargetMode="External"/><Relationship Id="rId248" Type="http://schemas.openxmlformats.org/officeDocument/2006/relationships/hyperlink" Target="https://www.soccerstats.com/pmatch.asp?league=finland5&amp;stats=83-10-7-2026" TargetMode="External"/><Relationship Id="rId455" Type="http://schemas.openxmlformats.org/officeDocument/2006/relationships/hyperlink" Target="https://www.soccerstats.com/h2h.asp?league=turkey&amp;fmid=2&amp;t1id=3&amp;t2id=4&amp;ly=2026" TargetMode="External"/><Relationship Id="rId662" Type="http://schemas.openxmlformats.org/officeDocument/2006/relationships/hyperlink" Target="https://www.soccerstats.com/h2h.asp?league=netherlands&amp;fmid=15&amp;t1id=10&amp;t2id=15&amp;ly=2026" TargetMode="External"/><Relationship Id="rId12" Type="http://schemas.openxmlformats.org/officeDocument/2006/relationships/hyperlink" Target="https://www.soccerstats.com/h2h.asp?league=england2&amp;fmid=7&amp;t1id=13&amp;t2id=14&amp;ly=2026" TargetMode="External"/><Relationship Id="rId108" Type="http://schemas.openxmlformats.org/officeDocument/2006/relationships/hyperlink" Target="https://www.soccerstats.com/pmatch.asp?league=belarus&amp;stats=144-16-13-2026" TargetMode="External"/><Relationship Id="rId315" Type="http://schemas.openxmlformats.org/officeDocument/2006/relationships/hyperlink" Target="https://www.soccerstats.com/h2h.asp?league=japan2&amp;fmid=18&amp;t1id=4&amp;t2id=9&amp;ly=2026" TargetMode="External"/><Relationship Id="rId522" Type="http://schemas.openxmlformats.org/officeDocument/2006/relationships/hyperlink" Target="https://www.soccerstats.com/h2h.asp?league=france2&amp;fmid=16&amp;t1id=14&amp;t2id=11&amp;ly=2026" TargetMode="External"/><Relationship Id="rId967" Type="http://schemas.openxmlformats.org/officeDocument/2006/relationships/hyperlink" Target="https://www.soccerstats.com/pmatch.asp?league=ecuador&amp;stats=199-7-12-2026" TargetMode="External"/><Relationship Id="rId96" Type="http://schemas.openxmlformats.org/officeDocument/2006/relationships/hyperlink" Target="https://www.soccerstats.com/pmatch.asp?league=australia11&amp;stats=219-3-7-2026" TargetMode="External"/><Relationship Id="rId161" Type="http://schemas.openxmlformats.org/officeDocument/2006/relationships/hyperlink" Target="https://www.soccerstats.com/h2h.asp?league=czechrepublic&amp;fmid=31&amp;t1id=6&amp;t2id=9&amp;ly=2026" TargetMode="External"/><Relationship Id="rId399" Type="http://schemas.openxmlformats.org/officeDocument/2006/relationships/hyperlink" Target="https://www.soccerstats.com/h2h.asp?league=scotland3&amp;fmid=15&amp;t1id=9&amp;t2id=3&amp;ly=2026" TargetMode="External"/><Relationship Id="rId827" Type="http://schemas.openxmlformats.org/officeDocument/2006/relationships/hyperlink" Target="https://www.soccerstats.com/h2h.asp?league=mexico&amp;fmid=30&amp;t1id=6&amp;t2id=4&amp;ly=2026" TargetMode="External"/><Relationship Id="rId259" Type="http://schemas.openxmlformats.org/officeDocument/2006/relationships/hyperlink" Target="https://www.soccerstats.com/h2h.asp?league=germany3&amp;fmid=15&amp;t1id=8&amp;t2id=11&amp;ly=2026" TargetMode="External"/><Relationship Id="rId466" Type="http://schemas.openxmlformats.org/officeDocument/2006/relationships/hyperlink" Target="https://www.soccerstats.com/h2h.asp?league=uruguay3&amp;fmid=3&amp;t1id=5&amp;t2id=6&amp;ly=2026" TargetMode="External"/><Relationship Id="rId673" Type="http://schemas.openxmlformats.org/officeDocument/2006/relationships/hyperlink" Target="https://www.soccerstats.com/h2h.asp?league=spain2&amp;fmid=8&amp;t1id=15&amp;t2id=16&amp;ly=2026" TargetMode="External"/><Relationship Id="rId880" Type="http://schemas.openxmlformats.org/officeDocument/2006/relationships/hyperlink" Target="https://www.soccerstats.com/h2h.asp?league=slovenia&amp;fmid=22&amp;t1id=6&amp;t2id=4&amp;ly=2026" TargetMode="External"/><Relationship Id="rId23" Type="http://schemas.openxmlformats.org/officeDocument/2006/relationships/hyperlink" Target="https://www.soccerstats.com/h2h.asp?league=england3&amp;fmid=10&amp;t1id=19&amp;t2id=20&amp;ly=2026" TargetMode="External"/><Relationship Id="rId119" Type="http://schemas.openxmlformats.org/officeDocument/2006/relationships/hyperlink" Target="https://www.soccerstats.com/h2h.asp?league=bosnia&amp;fmid=9&amp;t1id=4&amp;t2id=1&amp;ly=2026" TargetMode="External"/><Relationship Id="rId326" Type="http://schemas.openxmlformats.org/officeDocument/2006/relationships/hyperlink" Target="https://www.soccerstats.com/pmatch.asp?league=kazakhstan&amp;stats=34-15-13-2026" TargetMode="External"/><Relationship Id="rId533" Type="http://schemas.openxmlformats.org/officeDocument/2006/relationships/hyperlink" Target="https://www.soccerstats.com/h2h.asp?league=netherlands2&amp;fmid=14&amp;t1id=2&amp;t2id=11&amp;ly=2026" TargetMode="External"/><Relationship Id="rId978" Type="http://schemas.openxmlformats.org/officeDocument/2006/relationships/hyperlink" Target="https://www.soccerstats.com/pmatch.asp?league=iceland2&amp;stats=109-11-7-2026" TargetMode="External"/><Relationship Id="rId740" Type="http://schemas.openxmlformats.org/officeDocument/2006/relationships/hyperlink" Target="https://www.soccerstats.com/pmatch.asp?league=canada&amp;stats=66-8-2-2026" TargetMode="External"/><Relationship Id="rId838" Type="http://schemas.openxmlformats.org/officeDocument/2006/relationships/hyperlink" Target="https://www.soccerstats.com/pmatch.asp?league=norway&amp;stats=139-1-12-2026" TargetMode="External"/><Relationship Id="rId172" Type="http://schemas.openxmlformats.org/officeDocument/2006/relationships/hyperlink" Target="https://www.soccerstats.com/h2h.asp?league=denmark3&amp;fmid=17&amp;t1id=10&amp;t2id=8&amp;ly=2026" TargetMode="External"/><Relationship Id="rId477" Type="http://schemas.openxmlformats.org/officeDocument/2006/relationships/hyperlink" Target="https://www.soccerstats.com/pmatch.asp?league=usa2&amp;stats=239-10-3-2026" TargetMode="External"/><Relationship Id="rId600" Type="http://schemas.openxmlformats.org/officeDocument/2006/relationships/hyperlink" Target="https://www.soccerstats.com/h2h.asp?league=france3&amp;fmid=11&amp;t1id=18&amp;t2id=15&amp;ly=2026" TargetMode="External"/><Relationship Id="rId684" Type="http://schemas.openxmlformats.org/officeDocument/2006/relationships/hyperlink" Target="https://www.soccerstats.com/pmatch.asp?league=argentina3&amp;stats=440-5-32-2026" TargetMode="External"/><Relationship Id="rId337" Type="http://schemas.openxmlformats.org/officeDocument/2006/relationships/hyperlink" Target="https://www.soccerstats.com/h2h.asp?league=netherlands3&amp;fmid=7&amp;t1id=13&amp;t2id=14&amp;ly=2026" TargetMode="External"/><Relationship Id="rId891" Type="http://schemas.openxmlformats.org/officeDocument/2006/relationships/hyperlink" Target="https://www.soccerstats.com/pmatch.asp?league=sweden&amp;stats=131-14-9-2026" TargetMode="External"/><Relationship Id="rId905" Type="http://schemas.openxmlformats.org/officeDocument/2006/relationships/hyperlink" Target="https://www.soccerstats.com/h2h.asp?league=turkey&amp;fmid=8&amp;t1id=15&amp;t2id=16&amp;ly=2026" TargetMode="External"/><Relationship Id="rId989" Type="http://schemas.openxmlformats.org/officeDocument/2006/relationships/hyperlink" Target="https://www.soccerstats.com/pmatch.asp?league=romania&amp;stats=40-3-2-2027" TargetMode="External"/><Relationship Id="rId34" Type="http://schemas.openxmlformats.org/officeDocument/2006/relationships/hyperlink" Target="https://www.soccerstats.com/h2h.asp?league=england4&amp;fmid=10&amp;t1id=19&amp;t2id=20&amp;ly=2026" TargetMode="External"/><Relationship Id="rId544" Type="http://schemas.openxmlformats.org/officeDocument/2006/relationships/hyperlink" Target="https://www.soccerstats.com/pmatch.asp?league=australia4&amp;stats=130-11-2-2026" TargetMode="External"/><Relationship Id="rId751" Type="http://schemas.openxmlformats.org/officeDocument/2006/relationships/hyperlink" Target="https://www.soccerstats.com/pmatch.asp?league=china2&amp;stats=152-2-8-2026" TargetMode="External"/><Relationship Id="rId849" Type="http://schemas.openxmlformats.org/officeDocument/2006/relationships/hyperlink" Target="https://www.soccerstats.com/pmatch.asp?league=norway4&amp;stats=108-5-2-2026" TargetMode="External"/><Relationship Id="rId183" Type="http://schemas.openxmlformats.org/officeDocument/2006/relationships/hyperlink" Target="https://www.soccerstats.com/h2h.asp?league=england6&amp;fmid=18&amp;t1id=12&amp;t2id=3&amp;ly=2026" TargetMode="External"/><Relationship Id="rId390" Type="http://schemas.openxmlformats.org/officeDocument/2006/relationships/hyperlink" Target="https://www.soccerstats.com/pmatch.asp?league=romania&amp;stats=35-14-16-2027" TargetMode="External"/><Relationship Id="rId404" Type="http://schemas.openxmlformats.org/officeDocument/2006/relationships/hyperlink" Target="https://www.soccerstats.com/h2h.asp?league=scotland4&amp;fmid=14&amp;t1id=2&amp;t2id=5&amp;ly=2026" TargetMode="External"/><Relationship Id="rId611" Type="http://schemas.openxmlformats.org/officeDocument/2006/relationships/hyperlink" Target="https://www.soccerstats.com/h2h.asp?league=germany6&amp;fmid=26&amp;t1id=17&amp;t2id=14&amp;ly=2026" TargetMode="External"/><Relationship Id="rId250" Type="http://schemas.openxmlformats.org/officeDocument/2006/relationships/hyperlink" Target="https://www.soccerstats.com/pmatch.asp?league=finland5&amp;stats=81-8-3-2026" TargetMode="External"/><Relationship Id="rId488" Type="http://schemas.openxmlformats.org/officeDocument/2006/relationships/hyperlink" Target="https://www.soccerstats.com/h2h.asp?league=usa7&amp;fmid=2&amp;t1id=3&amp;t2id=4&amp;ly=2026" TargetMode="External"/><Relationship Id="rId695" Type="http://schemas.openxmlformats.org/officeDocument/2006/relationships/hyperlink" Target="https://www.soccerstats.com/pmatch.asp?league=australia7&amp;stats=129-1-11-2026" TargetMode="External"/><Relationship Id="rId709" Type="http://schemas.openxmlformats.org/officeDocument/2006/relationships/hyperlink" Target="https://www.soccerstats.com/pmatch.asp?league=belarus&amp;stats=139-8-3-2026" TargetMode="External"/><Relationship Id="rId916" Type="http://schemas.openxmlformats.org/officeDocument/2006/relationships/hyperlink" Target="https://www.soccerstats.com/h2h.asp?league=uruguay3&amp;fmid=7&amp;t1id=13&amp;t2id=14&amp;ly=2026" TargetMode="External"/><Relationship Id="rId45" Type="http://schemas.openxmlformats.org/officeDocument/2006/relationships/hyperlink" Target="https://www.soccerstats.com/h2h.asp?league=england5&amp;fmid=22&amp;t1id=12&amp;t2id=19&amp;ly=2026" TargetMode="External"/><Relationship Id="rId110" Type="http://schemas.openxmlformats.org/officeDocument/2006/relationships/hyperlink" Target="https://www.soccerstats.com/h2h.asp?league=belgium&amp;fmid=12&amp;t1id=2&amp;t2id=17&amp;ly=2026" TargetMode="External"/><Relationship Id="rId348" Type="http://schemas.openxmlformats.org/officeDocument/2006/relationships/hyperlink" Target="https://www.soccerstats.com/h2h.asp?league=northmacedonia&amp;fmid=13&amp;t1id=3&amp;t2id=8&amp;ly=2026" TargetMode="External"/><Relationship Id="rId555" Type="http://schemas.openxmlformats.org/officeDocument/2006/relationships/hyperlink" Target="https://www.soccerstats.com/h2h.asp?league=azerbaijan&amp;fmid=2&amp;t1id=3&amp;t2id=4&amp;ly=2026" TargetMode="External"/><Relationship Id="rId762" Type="http://schemas.openxmlformats.org/officeDocument/2006/relationships/hyperlink" Target="https://www.soccerstats.com/h2h.asp?league=denmark&amp;fmid=19&amp;t1id=2&amp;t2id=9&amp;ly=2026" TargetMode="External"/><Relationship Id="rId194" Type="http://schemas.openxmlformats.org/officeDocument/2006/relationships/hyperlink" Target="https://www.soccerstats.com/h2h.asp?league=england7&amp;fmid=18&amp;t1id=12&amp;t2id=13&amp;ly=2026" TargetMode="External"/><Relationship Id="rId208" Type="http://schemas.openxmlformats.org/officeDocument/2006/relationships/hyperlink" Target="https://www.soccerstats.com/h2h.asp?league=england8&amp;fmid=436&amp;t1id=7&amp;t2id=11&amp;ly=2026" TargetMode="External"/><Relationship Id="rId415" Type="http://schemas.openxmlformats.org/officeDocument/2006/relationships/hyperlink" Target="https://www.soccerstats.com/h2h.asp?league=slovakia&amp;fmid=20&amp;t1id=11&amp;t2id=9&amp;ly=2026" TargetMode="External"/><Relationship Id="rId622" Type="http://schemas.openxmlformats.org/officeDocument/2006/relationships/hyperlink" Target="https://www.soccerstats.com/h2h.asp?league=germany8&amp;fmid=30&amp;t1id=12&amp;t2id=5&amp;ly=2026" TargetMode="External"/><Relationship Id="rId261" Type="http://schemas.openxmlformats.org/officeDocument/2006/relationships/hyperlink" Target="https://www.soccerstats.com/h2h.asp?league=germany3&amp;fmid=17&amp;t1id=20&amp;t2id=9&amp;ly=2026" TargetMode="External"/><Relationship Id="rId499" Type="http://schemas.openxmlformats.org/officeDocument/2006/relationships/hyperlink" Target="https://www.soccerstats.com/leagueview_team.asp?league=copasudamericana&amp;team1id=30&amp;team2id=24&amp;fmid=117" TargetMode="External"/><Relationship Id="rId927" Type="http://schemas.openxmlformats.org/officeDocument/2006/relationships/hyperlink" Target="https://www.soccerstats.com/pmatch.asp?league=usa2&amp;stats=242-25-20-2026" TargetMode="External"/><Relationship Id="rId56" Type="http://schemas.openxmlformats.org/officeDocument/2006/relationships/hyperlink" Target="https://www.soccerstats.com/h2h.asp?league=spain2&amp;fmid=3&amp;t1id=5&amp;t2id=6&amp;ly=2026" TargetMode="External"/><Relationship Id="rId359" Type="http://schemas.openxmlformats.org/officeDocument/2006/relationships/hyperlink" Target="https://www.soccerstats.com/pmatch.asp?league=norway4&amp;stats=106-12-11-2026" TargetMode="External"/><Relationship Id="rId566" Type="http://schemas.openxmlformats.org/officeDocument/2006/relationships/hyperlink" Target="https://www.soccerstats.com/pmatch.asp?league=brazil2&amp;stats=220-16-5-2026" TargetMode="External"/><Relationship Id="rId773" Type="http://schemas.openxmlformats.org/officeDocument/2006/relationships/hyperlink" Target="https://www.soccerstats.com/pmatch.asp?league=faroeislands&amp;stats=95-10-2-2026" TargetMode="External"/><Relationship Id="rId121" Type="http://schemas.openxmlformats.org/officeDocument/2006/relationships/hyperlink" Target="https://www.soccerstats.com/pmatch.asp?league=brazil&amp;stats=230-9-8-2026" TargetMode="External"/><Relationship Id="rId219" Type="http://schemas.openxmlformats.org/officeDocument/2006/relationships/hyperlink" Target="https://www.soccerstats.com/h2h.asp?league=england9&amp;fmid=25&amp;t1id=6&amp;t2id=7&amp;ly=2026" TargetMode="External"/><Relationship Id="rId426" Type="http://schemas.openxmlformats.org/officeDocument/2006/relationships/hyperlink" Target="https://www.soccerstats.com/pmatch.asp?league=southkorea&amp;stats=135-10-6-2026" TargetMode="External"/><Relationship Id="rId633" Type="http://schemas.openxmlformats.org/officeDocument/2006/relationships/hyperlink" Target="https://www.soccerstats.com/h2h.asp?league=portugal2&amp;fmid=18&amp;t1id=14&amp;t2id=9&amp;ly=2026" TargetMode="External"/><Relationship Id="rId980" Type="http://schemas.openxmlformats.org/officeDocument/2006/relationships/hyperlink" Target="https://www.soccerstats.com/pmatch.asp?league=iceland2&amp;stats=114-5-3-2026" TargetMode="External"/><Relationship Id="rId840" Type="http://schemas.openxmlformats.org/officeDocument/2006/relationships/hyperlink" Target="https://www.soccerstats.com/pmatch.asp?league=norway2&amp;stats=143-13-2-2026" TargetMode="External"/><Relationship Id="rId938" Type="http://schemas.openxmlformats.org/officeDocument/2006/relationships/hyperlink" Target="https://www.soccerstats.com/h2h.asp?league=azerbaijan&amp;fmid=26&amp;t1id=8&amp;t2id=7&amp;ly=2026" TargetMode="External"/><Relationship Id="rId67" Type="http://schemas.openxmlformats.org/officeDocument/2006/relationships/hyperlink" Target="https://www.soccerstats.com/pmatch.asp?league=argentina2&amp;stats=74-19-29-2026" TargetMode="External"/><Relationship Id="rId272" Type="http://schemas.openxmlformats.org/officeDocument/2006/relationships/hyperlink" Target="https://www.soccerstats.com/h2h.asp?league=germany6&amp;fmid=25&amp;t1id=15&amp;t2id=12&amp;ly=2026" TargetMode="External"/><Relationship Id="rId577" Type="http://schemas.openxmlformats.org/officeDocument/2006/relationships/hyperlink" Target="https://www.soccerstats.com/pmatch.asp?league=colombia2&amp;stats=39-1-11-2026" TargetMode="External"/><Relationship Id="rId700" Type="http://schemas.openxmlformats.org/officeDocument/2006/relationships/hyperlink" Target="https://www.soccerstats.com/pmatch.asp?league=australia10&amp;stats=105-3-5-2026" TargetMode="External"/><Relationship Id="rId132" Type="http://schemas.openxmlformats.org/officeDocument/2006/relationships/hyperlink" Target="https://www.soccerstats.com/pmatch.asp?league=brazil5&amp;stats=144-7-6-2026" TargetMode="External"/><Relationship Id="rId784" Type="http://schemas.openxmlformats.org/officeDocument/2006/relationships/hyperlink" Target="https://www.soccerstats.com/pmatch.asp?league=finland3&amp;stats=119-8-10-2026" TargetMode="External"/><Relationship Id="rId991" Type="http://schemas.openxmlformats.org/officeDocument/2006/relationships/hyperlink" Target="https://www.soccerstats.com/pmatch.asp?league=sweden&amp;stats=134-13-8-2026" TargetMode="External"/><Relationship Id="rId437" Type="http://schemas.openxmlformats.org/officeDocument/2006/relationships/hyperlink" Target="https://www.soccerstats.com/pmatch.asp?league=sweden2&amp;stats=149-7-1-2026" TargetMode="External"/><Relationship Id="rId644" Type="http://schemas.openxmlformats.org/officeDocument/2006/relationships/hyperlink" Target="https://www.soccerstats.com/pmatch.asp?league=sweden2&amp;stats=145-6-15-2026" TargetMode="External"/><Relationship Id="rId851" Type="http://schemas.openxmlformats.org/officeDocument/2006/relationships/hyperlink" Target="https://www.soccerstats.com/pmatch.asp?league=norway4&amp;stats=110-9-4-2026" TargetMode="External"/><Relationship Id="rId283" Type="http://schemas.openxmlformats.org/officeDocument/2006/relationships/hyperlink" Target="https://www.soccerstats.com/h2h.asp?league=hungary2&amp;fmid=25&amp;t1id=8&amp;t2id=10&amp;ly=2026" TargetMode="External"/><Relationship Id="rId490" Type="http://schemas.openxmlformats.org/officeDocument/2006/relationships/hyperlink" Target="https://www.soccerstats.com/h2h.asp?league=usa7&amp;fmid=3&amp;t1id=5&amp;t2id=6&amp;ly=2026" TargetMode="External"/><Relationship Id="rId504" Type="http://schemas.openxmlformats.org/officeDocument/2006/relationships/hyperlink" Target="https://www.soccerstats.com/leagueview_team.asp?league=copalibertadores&amp;team1id=29&amp;team2id=15&amp;fmid=101" TargetMode="External"/><Relationship Id="rId711" Type="http://schemas.openxmlformats.org/officeDocument/2006/relationships/hyperlink" Target="https://www.soccerstats.com/h2h.asp?league=belgium&amp;fmid=15&amp;t1id=18&amp;t2id=15&amp;ly=2026" TargetMode="External"/><Relationship Id="rId949" Type="http://schemas.openxmlformats.org/officeDocument/2006/relationships/hyperlink" Target="https://www.soccerstats.com/pmatch.asp?league=argentina2&amp;stats=71-23-28-2026" TargetMode="External"/><Relationship Id="rId78" Type="http://schemas.openxmlformats.org/officeDocument/2006/relationships/hyperlink" Target="https://www.soccerstats.com/pmatch.asp?league=australia3&amp;stats=162-3-1-2026" TargetMode="External"/><Relationship Id="rId143" Type="http://schemas.openxmlformats.org/officeDocument/2006/relationships/hyperlink" Target="https://www.soccerstats.com/pmatch.asp?league=china&amp;stats=180-4-2-2026" TargetMode="External"/><Relationship Id="rId350" Type="http://schemas.openxmlformats.org/officeDocument/2006/relationships/hyperlink" Target="https://www.soccerstats.com/h2h.asp?league=northmacedonia&amp;fmid=12&amp;t1id=1&amp;t2id=6&amp;ly=2026" TargetMode="External"/><Relationship Id="rId588" Type="http://schemas.openxmlformats.org/officeDocument/2006/relationships/hyperlink" Target="https://www.soccerstats.com/h2h.asp?league=denmark3&amp;fmid=14&amp;t1id=1&amp;t2id=4&amp;ly=2026" TargetMode="External"/><Relationship Id="rId795" Type="http://schemas.openxmlformats.org/officeDocument/2006/relationships/hyperlink" Target="https://www.soccerstats.com/h2h.asp?league=germany4&amp;fmid=29&amp;t1id=6&amp;t2id=1&amp;ly=2026" TargetMode="External"/><Relationship Id="rId809" Type="http://schemas.openxmlformats.org/officeDocument/2006/relationships/hyperlink" Target="https://www.soccerstats.com/h2h.asp?league=hungary2&amp;fmid=31&amp;t1id=12&amp;t2id=5&amp;ly=2026" TargetMode="External"/><Relationship Id="rId9" Type="http://schemas.openxmlformats.org/officeDocument/2006/relationships/hyperlink" Target="https://www.soccerstats.com/h2h.asp?league=portugal&amp;fmid=11&amp;t1id=14&amp;t2id=7&amp;ly=2026" TargetMode="External"/><Relationship Id="rId210" Type="http://schemas.openxmlformats.org/officeDocument/2006/relationships/hyperlink" Target="https://www.soccerstats.com/h2h.asp?league=england8&amp;fmid=445&amp;t1id=21&amp;t2id=1&amp;ly=2026" TargetMode="External"/><Relationship Id="rId448" Type="http://schemas.openxmlformats.org/officeDocument/2006/relationships/hyperlink" Target="https://www.soccerstats.com/pmatch.asp?league=sweden4&amp;stats=132-12-14-2026" TargetMode="External"/><Relationship Id="rId655" Type="http://schemas.openxmlformats.org/officeDocument/2006/relationships/hyperlink" Target="https://www.soccerstats.com/h2h.asp?league=wales&amp;fmid=20&amp;t1id=15&amp;t2id=4&amp;ly=2026" TargetMode="External"/><Relationship Id="rId862" Type="http://schemas.openxmlformats.org/officeDocument/2006/relationships/hyperlink" Target="https://www.soccerstats.com/h2h.asp?league=poland2&amp;fmid=30&amp;t1id=14&amp;t2id=1&amp;ly=2026" TargetMode="External"/><Relationship Id="rId294" Type="http://schemas.openxmlformats.org/officeDocument/2006/relationships/hyperlink" Target="https://www.soccerstats.com/pmatch.asp?league=ireland3&amp;stats=86-7-5-2026" TargetMode="External"/><Relationship Id="rId308" Type="http://schemas.openxmlformats.org/officeDocument/2006/relationships/hyperlink" Target="https://www.soccerstats.com/h2h.asp?league=japan&amp;fmid=17&amp;t1id=6&amp;t2id=11&amp;ly=2026" TargetMode="External"/><Relationship Id="rId515" Type="http://schemas.openxmlformats.org/officeDocument/2006/relationships/hyperlink" Target="https://www.soccerstats.com/h2h.asp?league=southafrica&amp;fmid=12&amp;t1id=6&amp;t2id=13&amp;ly=2026" TargetMode="External"/><Relationship Id="rId722" Type="http://schemas.openxmlformats.org/officeDocument/2006/relationships/hyperlink" Target="https://www.soccerstats.com/pmatch.asp?league=brazil&amp;stats=227-17-20-2026" TargetMode="External"/><Relationship Id="rId89" Type="http://schemas.openxmlformats.org/officeDocument/2006/relationships/hyperlink" Target="https://www.soccerstats.com/pmatch.asp?league=australia6&amp;stats=130-12-3-2026" TargetMode="External"/><Relationship Id="rId154" Type="http://schemas.openxmlformats.org/officeDocument/2006/relationships/hyperlink" Target="https://www.soccerstats.com/h2h.asp?league=costarica&amp;fmid=17&amp;t1id=8&amp;t2id=2&amp;ly=2026" TargetMode="External"/><Relationship Id="rId361" Type="http://schemas.openxmlformats.org/officeDocument/2006/relationships/hyperlink" Target="https://www.soccerstats.com/pmatch.asp?league=norway11&amp;stats=72-9-8-2026" TargetMode="External"/><Relationship Id="rId599" Type="http://schemas.openxmlformats.org/officeDocument/2006/relationships/hyperlink" Target="https://www.soccerstats.com/h2h.asp?league=france3&amp;fmid=14&amp;t1id=12&amp;t2id=9&amp;ly=2026" TargetMode="External"/><Relationship Id="rId459" Type="http://schemas.openxmlformats.org/officeDocument/2006/relationships/hyperlink" Target="https://www.soccerstats.com/h2h.asp?league=turkey2&amp;fmid=16&amp;t1id=4&amp;t2id=15&amp;ly=2026" TargetMode="External"/><Relationship Id="rId666" Type="http://schemas.openxmlformats.org/officeDocument/2006/relationships/hyperlink" Target="https://www.soccerstats.com/h2h.asp?league=portugal&amp;fmid=12&amp;t1id=6&amp;t2id=15&amp;ly=2026" TargetMode="External"/><Relationship Id="rId873" Type="http://schemas.openxmlformats.org/officeDocument/2006/relationships/hyperlink" Target="https://www.soccerstats.com/pmatch.asp?league=romania&amp;stats=34-5-7-2027" TargetMode="External"/><Relationship Id="rId16" Type="http://schemas.openxmlformats.org/officeDocument/2006/relationships/hyperlink" Target="https://www.soccerstats.com/h2h.asp?league=england2&amp;fmid=3&amp;t1id=5&amp;t2id=6&amp;ly=2026" TargetMode="External"/><Relationship Id="rId221" Type="http://schemas.openxmlformats.org/officeDocument/2006/relationships/hyperlink" Target="https://www.soccerstats.com/h2h.asp?league=england10&amp;fmid=33&amp;t1id=16&amp;t2id=13&amp;ly=2026" TargetMode="External"/><Relationship Id="rId319" Type="http://schemas.openxmlformats.org/officeDocument/2006/relationships/hyperlink" Target="https://www.soccerstats.com/h2h.asp?league=japan3&amp;fmid=16&amp;t1id=8&amp;t2id=5&amp;ly=2026" TargetMode="External"/><Relationship Id="rId526" Type="http://schemas.openxmlformats.org/officeDocument/2006/relationships/hyperlink" Target="https://www.soccerstats.com/h2h.asp?league=france2&amp;fmid=12&amp;t1id=8&amp;t2id=1&amp;ly=2026" TargetMode="External"/><Relationship Id="rId733" Type="http://schemas.openxmlformats.org/officeDocument/2006/relationships/hyperlink" Target="https://www.soccerstats.com/h2h.asp?league=bulgaria&amp;fmid=33&amp;t1id=12&amp;t2id=9&amp;ly=2026" TargetMode="External"/><Relationship Id="rId940" Type="http://schemas.openxmlformats.org/officeDocument/2006/relationships/image" Target="../media/image1.png"/><Relationship Id="rId165" Type="http://schemas.openxmlformats.org/officeDocument/2006/relationships/hyperlink" Target="https://www.soccerstats.com/h2h.asp?league=czechrepublic2&amp;fmid=28&amp;t1id=4&amp;t2id=16&amp;ly=2026" TargetMode="External"/><Relationship Id="rId372" Type="http://schemas.openxmlformats.org/officeDocument/2006/relationships/hyperlink" Target="https://www.soccerstats.com/pmatch.asp?league=peru2&amp;stats=39-1-10-2026" TargetMode="External"/><Relationship Id="rId677" Type="http://schemas.openxmlformats.org/officeDocument/2006/relationships/hyperlink" Target="https://www.soccerstats.com/h2h.asp?league=germany2&amp;fmid=17&amp;t1id=16&amp;t2id=7&amp;ly=2026" TargetMode="External"/><Relationship Id="rId800" Type="http://schemas.openxmlformats.org/officeDocument/2006/relationships/hyperlink" Target="https://www.soccerstats.com/h2h.asp?league=germany6&amp;fmid=22&amp;t1id=9&amp;t2id=6&amp;ly=2026" TargetMode="External"/><Relationship Id="rId232" Type="http://schemas.openxmlformats.org/officeDocument/2006/relationships/hyperlink" Target="https://www.soccerstats.com/pmatch.asp?league=estonia2&amp;stats=161-10-7-2026" TargetMode="External"/><Relationship Id="rId884" Type="http://schemas.openxmlformats.org/officeDocument/2006/relationships/hyperlink" Target="https://www.soccerstats.com/pmatch.asp?league=southkorea&amp;stats=137-8-7-2026" TargetMode="External"/><Relationship Id="rId27" Type="http://schemas.openxmlformats.org/officeDocument/2006/relationships/hyperlink" Target="https://www.soccerstats.com/h2h.asp?league=england3&amp;fmid=6&amp;t1id=11&amp;t2id=12&amp;ly=2026" TargetMode="External"/><Relationship Id="rId537" Type="http://schemas.openxmlformats.org/officeDocument/2006/relationships/hyperlink" Target="https://www.soccerstats.com/pmatch.asp?league=argentina2&amp;stats=64-9-16-2026" TargetMode="External"/><Relationship Id="rId744" Type="http://schemas.openxmlformats.org/officeDocument/2006/relationships/hyperlink" Target="https://www.soccerstats.com/pmatch.asp?league=chile&amp;stats=151-5-9-2026" TargetMode="External"/><Relationship Id="rId951" Type="http://schemas.openxmlformats.org/officeDocument/2006/relationships/hyperlink" Target="https://www.soccerstats.com/pmatch.asp?league=argentina3&amp;stats=449-33-4-2026" TargetMode="External"/><Relationship Id="rId80" Type="http://schemas.openxmlformats.org/officeDocument/2006/relationships/hyperlink" Target="https://www.soccerstats.com/pmatch.asp?league=australia3&amp;stats=167-7-5-2026" TargetMode="External"/><Relationship Id="rId176" Type="http://schemas.openxmlformats.org/officeDocument/2006/relationships/hyperlink" Target="https://www.soccerstats.com/pmatch.asp?league=ecuador&amp;stats=194-14-5-2026" TargetMode="External"/><Relationship Id="rId383" Type="http://schemas.openxmlformats.org/officeDocument/2006/relationships/hyperlink" Target="https://www.soccerstats.com/h2h.asp?league=poland3&amp;fmid=32&amp;t1id=4&amp;t2id=17&amp;ly=2026" TargetMode="External"/><Relationship Id="rId590" Type="http://schemas.openxmlformats.org/officeDocument/2006/relationships/hyperlink" Target="https://www.soccerstats.com/h2h.asp?league=england7&amp;fmid=21&amp;t1id=20&amp;t2id=17&amp;ly=2026" TargetMode="External"/><Relationship Id="rId604" Type="http://schemas.openxmlformats.org/officeDocument/2006/relationships/hyperlink" Target="https://www.soccerstats.com/h2h.asp?league=germany3&amp;fmid=11&amp;t1id=12&amp;t2id=7&amp;ly=2026" TargetMode="External"/><Relationship Id="rId811" Type="http://schemas.openxmlformats.org/officeDocument/2006/relationships/hyperlink" Target="https://www.soccerstats.com/pmatch.asp?league=iceland&amp;stats=111-6-1-2026" TargetMode="External"/><Relationship Id="rId243" Type="http://schemas.openxmlformats.org/officeDocument/2006/relationships/hyperlink" Target="https://www.soccerstats.com/pmatch.asp?league=finland4&amp;stats=82-3-5-2026" TargetMode="External"/><Relationship Id="rId450" Type="http://schemas.openxmlformats.org/officeDocument/2006/relationships/hyperlink" Target="https://www.soccerstats.com/pmatch.asp?league=sweden11&amp;stats=93-8-7-2026" TargetMode="External"/><Relationship Id="rId688" Type="http://schemas.openxmlformats.org/officeDocument/2006/relationships/hyperlink" Target="https://www.soccerstats.com/pmatch.asp?league=argentina3&amp;stats=443-35-2-2026" TargetMode="External"/><Relationship Id="rId895" Type="http://schemas.openxmlformats.org/officeDocument/2006/relationships/hyperlink" Target="https://www.soccerstats.com/pmatch.asp?league=sweden&amp;stats=129-5-3-2026" TargetMode="External"/><Relationship Id="rId909" Type="http://schemas.openxmlformats.org/officeDocument/2006/relationships/hyperlink" Target="https://www.soccerstats.com/h2h.asp?league=turkey2&amp;fmid=12&amp;t1id=8&amp;t2id=9&amp;ly=2026" TargetMode="External"/><Relationship Id="rId38" Type="http://schemas.openxmlformats.org/officeDocument/2006/relationships/hyperlink" Target="https://www.soccerstats.com/h2h.asp?league=england4&amp;fmid=6&amp;t1id=11&amp;t2id=12&amp;ly=2026" TargetMode="External"/><Relationship Id="rId103" Type="http://schemas.openxmlformats.org/officeDocument/2006/relationships/hyperlink" Target="https://www.soccerstats.com/h2h.asp?league=austria2&amp;fmid=24&amp;t1id=7&amp;t2id=16&amp;ly=2026" TargetMode="External"/><Relationship Id="rId310" Type="http://schemas.openxmlformats.org/officeDocument/2006/relationships/hyperlink" Target="https://www.soccerstats.com/h2h.asp?league=japan2&amp;fmid=11&amp;t1id=20&amp;t2id=5&amp;ly=2026" TargetMode="External"/><Relationship Id="rId548" Type="http://schemas.openxmlformats.org/officeDocument/2006/relationships/hyperlink" Target="https://www.soccerstats.com/pmatch.asp?league=australia4&amp;stats=128-7-12-2026" TargetMode="External"/><Relationship Id="rId755" Type="http://schemas.openxmlformats.org/officeDocument/2006/relationships/hyperlink" Target="https://www.soccerstats.com/pmatch.asp?league=colombia2&amp;stats=43-14-18-2026" TargetMode="External"/><Relationship Id="rId962" Type="http://schemas.openxmlformats.org/officeDocument/2006/relationships/hyperlink" Target="https://www.soccerstats.com/pmatch.asp?league=chile2&amp;stats=162-12-15-2026" TargetMode="External"/><Relationship Id="rId91" Type="http://schemas.openxmlformats.org/officeDocument/2006/relationships/hyperlink" Target="https://www.soccerstats.com/pmatch.asp?league=australia6&amp;stats=129-8-6-2026" TargetMode="External"/><Relationship Id="rId187" Type="http://schemas.openxmlformats.org/officeDocument/2006/relationships/hyperlink" Target="https://www.soccerstats.com/h2h.asp?league=england6&amp;fmid=14&amp;t1id=8&amp;t2id=9&amp;ly=2026" TargetMode="External"/><Relationship Id="rId394" Type="http://schemas.openxmlformats.org/officeDocument/2006/relationships/hyperlink" Target="https://www.soccerstats.com/h2h.asp?league=russia&amp;fmid=28&amp;t1id=12&amp;t2id=15&amp;ly=2026" TargetMode="External"/><Relationship Id="rId408" Type="http://schemas.openxmlformats.org/officeDocument/2006/relationships/hyperlink" Target="https://www.soccerstats.com/h2h.asp?league=serbia&amp;fmid=32&amp;t1id=9&amp;t2id=14&amp;ly=2026" TargetMode="External"/><Relationship Id="rId615" Type="http://schemas.openxmlformats.org/officeDocument/2006/relationships/hyperlink" Target="https://www.soccerstats.com/h2h.asp?league=germany8&amp;fmid=28&amp;t1id=3&amp;t2id=11&amp;ly=2026" TargetMode="External"/><Relationship Id="rId822" Type="http://schemas.openxmlformats.org/officeDocument/2006/relationships/hyperlink" Target="https://www.soccerstats.com/pmatch.asp?league=kazakhstan&amp;stats=38-7-1-2026" TargetMode="External"/><Relationship Id="rId254" Type="http://schemas.openxmlformats.org/officeDocument/2006/relationships/hyperlink" Target="https://www.soccerstats.com/pmatch.asp?league=georgia&amp;stats=101-5-8-2026" TargetMode="External"/><Relationship Id="rId699" Type="http://schemas.openxmlformats.org/officeDocument/2006/relationships/hyperlink" Target="https://www.soccerstats.com/pmatch.asp?league=australia10&amp;stats=104-8-4-2026" TargetMode="External"/><Relationship Id="rId49" Type="http://schemas.openxmlformats.org/officeDocument/2006/relationships/hyperlink" Target="https://www.soccerstats.com/h2h.asp?league=england5&amp;fmid=17&amp;t1id=2&amp;t2id=21&amp;ly=2026" TargetMode="External"/><Relationship Id="rId114" Type="http://schemas.openxmlformats.org/officeDocument/2006/relationships/hyperlink" Target="https://www.soccerstats.com/h2h.asp?league=belgium2&amp;fmid=4&amp;t1id=7&amp;t2id=8&amp;ly=2026" TargetMode="External"/><Relationship Id="rId461" Type="http://schemas.openxmlformats.org/officeDocument/2006/relationships/hyperlink" Target="https://www.soccerstats.com/h2h.asp?league=turkey2&amp;fmid=14&amp;t1id=2&amp;t2id=17&amp;ly=2026" TargetMode="External"/><Relationship Id="rId559" Type="http://schemas.openxmlformats.org/officeDocument/2006/relationships/hyperlink" Target="https://www.soccerstats.com/h2h.asp?league=azerbaijan&amp;fmid=6&amp;t1id=11&amp;t2id=12&amp;ly=2026" TargetMode="External"/><Relationship Id="rId766" Type="http://schemas.openxmlformats.org/officeDocument/2006/relationships/hyperlink" Target="https://www.soccerstats.com/pmatch.asp?league=ecuador&amp;stats=200-8-9-2026" TargetMode="External"/><Relationship Id="rId198" Type="http://schemas.openxmlformats.org/officeDocument/2006/relationships/hyperlink" Target="https://www.soccerstats.com/h2h.asp?league=england7&amp;fmid=14&amp;t1id=16&amp;t2id=11&amp;ly=2026" TargetMode="External"/><Relationship Id="rId321" Type="http://schemas.openxmlformats.org/officeDocument/2006/relationships/hyperlink" Target="https://www.soccerstats.com/h2h.asp?league=japan3&amp;fmid=14&amp;t1id=4&amp;t2id=1&amp;ly=2026" TargetMode="External"/><Relationship Id="rId419" Type="http://schemas.openxmlformats.org/officeDocument/2006/relationships/hyperlink" Target="https://www.soccerstats.com/h2h.asp?league=slovenia&amp;fmid=24&amp;t1id=1&amp;t2id=3&amp;ly=2026" TargetMode="External"/><Relationship Id="rId626" Type="http://schemas.openxmlformats.org/officeDocument/2006/relationships/hyperlink" Target="https://www.soccerstats.com/pmatch.asp?league=norway&amp;stats=140-6-4-2026" TargetMode="External"/><Relationship Id="rId973" Type="http://schemas.openxmlformats.org/officeDocument/2006/relationships/hyperlink" Target="https://www.soccerstats.com/pmatch.asp?league=iceland&amp;stats=113-7-3-2026" TargetMode="External"/><Relationship Id="rId833" Type="http://schemas.openxmlformats.org/officeDocument/2006/relationships/hyperlink" Target="https://www.soccerstats.com/h2h.asp?league=montenegro&amp;fmid=15&amp;t1id=7&amp;t2id=10&amp;ly=2026" TargetMode="External"/><Relationship Id="rId265" Type="http://schemas.openxmlformats.org/officeDocument/2006/relationships/hyperlink" Target="https://www.soccerstats.com/h2h.asp?league=germany4&amp;fmid=35&amp;t1id=4&amp;t2id=7&amp;ly=2026" TargetMode="External"/><Relationship Id="rId472" Type="http://schemas.openxmlformats.org/officeDocument/2006/relationships/hyperlink" Target="https://www.soccerstats.com/pmatch.asp?league=usa&amp;stats=276-16-12-2026" TargetMode="External"/><Relationship Id="rId900" Type="http://schemas.openxmlformats.org/officeDocument/2006/relationships/hyperlink" Target="https://www.soccerstats.com/pmatch.asp?league=sweden4&amp;stats=135-2-11-2026" TargetMode="External"/><Relationship Id="rId125" Type="http://schemas.openxmlformats.org/officeDocument/2006/relationships/hyperlink" Target="https://www.soccerstats.com/pmatch.asp?league=brazil2&amp;stats=216-11-3-2026" TargetMode="External"/><Relationship Id="rId332" Type="http://schemas.openxmlformats.org/officeDocument/2006/relationships/hyperlink" Target="https://www.soccerstats.com/h2h.asp?league=netherlands3&amp;fmid=6&amp;t1id=11&amp;t2id=12&amp;ly=2026" TargetMode="External"/><Relationship Id="rId777" Type="http://schemas.openxmlformats.org/officeDocument/2006/relationships/hyperlink" Target="https://www.soccerstats.com/pmatch.asp?league=faroeislands&amp;stats=93-9-6-2026" TargetMode="External"/><Relationship Id="rId984" Type="http://schemas.openxmlformats.org/officeDocument/2006/relationships/hyperlink" Target="https://www.soccerstats.com/pmatch.asp?league=mexico&amp;stats=34-3-8-2026" TargetMode="External"/><Relationship Id="rId637" Type="http://schemas.openxmlformats.org/officeDocument/2006/relationships/hyperlink" Target="https://www.soccerstats.com/h2h.asp?league=saudiarabia&amp;fmid=4&amp;t1id=7&amp;t2id=8&amp;ly=2026" TargetMode="External"/><Relationship Id="rId844" Type="http://schemas.openxmlformats.org/officeDocument/2006/relationships/hyperlink" Target="https://www.soccerstats.com/pmatch.asp?league=norway2&amp;stats=137-8-16-2026" TargetMode="External"/><Relationship Id="rId276" Type="http://schemas.openxmlformats.org/officeDocument/2006/relationships/hyperlink" Target="https://www.soccerstats.com/h2h.asp?league=germany7&amp;fmid=14&amp;t1id=10&amp;t2id=17&amp;ly=2026" TargetMode="External"/><Relationship Id="rId483" Type="http://schemas.openxmlformats.org/officeDocument/2006/relationships/hyperlink" Target="https://www.soccerstats.com/pmatch.asp?league=usa6&amp;stats=148-4-5-2026" TargetMode="External"/><Relationship Id="rId690" Type="http://schemas.openxmlformats.org/officeDocument/2006/relationships/hyperlink" Target="https://www.soccerstats.com/pmatch.asp?league=argentina3&amp;stats=442-6-31-2026" TargetMode="External"/><Relationship Id="rId704" Type="http://schemas.openxmlformats.org/officeDocument/2006/relationships/hyperlink" Target="https://www.soccerstats.com/h2h.asp?league=austria&amp;fmid=17&amp;t1id=6&amp;t2id=10&amp;ly=2026" TargetMode="External"/><Relationship Id="rId911" Type="http://schemas.openxmlformats.org/officeDocument/2006/relationships/hyperlink" Target="https://www.soccerstats.com/h2h.asp?league=ukraine&amp;fmid=18&amp;t1id=14&amp;t2id=7&amp;ly=2026" TargetMode="External"/><Relationship Id="rId40" Type="http://schemas.openxmlformats.org/officeDocument/2006/relationships/hyperlink" Target="https://www.soccerstats.com/h2h.asp?league=england4&amp;fmid=4&amp;t1id=7&amp;t2id=8&amp;ly=2026" TargetMode="External"/><Relationship Id="rId136" Type="http://schemas.openxmlformats.org/officeDocument/2006/relationships/hyperlink" Target="https://www.soccerstats.com/pmatch.asp?league=brazil5&amp;stats=143-17-14-2026" TargetMode="External"/><Relationship Id="rId343" Type="http://schemas.openxmlformats.org/officeDocument/2006/relationships/hyperlink" Target="https://www.soccerstats.com/h2h.asp?league=northernireland&amp;fmid=8&amp;t1id=4&amp;t2id=7&amp;ly=2026" TargetMode="External"/><Relationship Id="rId550" Type="http://schemas.openxmlformats.org/officeDocument/2006/relationships/hyperlink" Target="https://www.soccerstats.com/pmatch.asp?league=australia5&amp;stats=115-1-6-2026" TargetMode="External"/><Relationship Id="rId788" Type="http://schemas.openxmlformats.org/officeDocument/2006/relationships/hyperlink" Target="https://www.soccerstats.com/pmatch.asp?league=georgia&amp;stats=105-7-2-2026" TargetMode="External"/><Relationship Id="rId995" Type="http://schemas.openxmlformats.org/officeDocument/2006/relationships/hyperlink" Target="https://www.soccerstats.com/pmatch.asp?league=usa&amp;stats=280-17-15-2026" TargetMode="External"/><Relationship Id="rId203" Type="http://schemas.openxmlformats.org/officeDocument/2006/relationships/hyperlink" Target="https://www.soccerstats.com/h2h.asp?league=england8&amp;fmid=441&amp;t1id=8&amp;t2id=5&amp;ly=2026" TargetMode="External"/><Relationship Id="rId648" Type="http://schemas.openxmlformats.org/officeDocument/2006/relationships/hyperlink" Target="https://www.soccerstats.com/pmatch.asp?league=sweden11&amp;stats=92-10-9-2026" TargetMode="External"/><Relationship Id="rId855" Type="http://schemas.openxmlformats.org/officeDocument/2006/relationships/hyperlink" Target="https://www.soccerstats.com/h2h.asp?league=paraguay2&amp;fmid=29&amp;t1id=10&amp;t2id=6&amp;ly=2026" TargetMode="External"/><Relationship Id="rId287" Type="http://schemas.openxmlformats.org/officeDocument/2006/relationships/hyperlink" Target="https://www.soccerstats.com/h2h.asp?league=hungary2&amp;fmid=27&amp;t1id=6&amp;t2id=15&amp;ly=2026" TargetMode="External"/><Relationship Id="rId410" Type="http://schemas.openxmlformats.org/officeDocument/2006/relationships/hyperlink" Target="https://www.soccerstats.com/h2h.asp?league=serbia&amp;fmid=34&amp;t1id=7&amp;t2id=13&amp;ly=2026" TargetMode="External"/><Relationship Id="rId494" Type="http://schemas.openxmlformats.org/officeDocument/2006/relationships/hyperlink" Target="https://www.soccerstats.com/pmatch.asp?league=australia7&amp;stats=91-7-10-2026" TargetMode="External"/><Relationship Id="rId508" Type="http://schemas.openxmlformats.org/officeDocument/2006/relationships/hyperlink" Target="https://www.soccerstats.com/h2h.asp?league=germany4&amp;fmid=22&amp;t1id=11&amp;t2id=6&amp;ly=2026" TargetMode="External"/><Relationship Id="rId715" Type="http://schemas.openxmlformats.org/officeDocument/2006/relationships/hyperlink" Target="https://www.soccerstats.com/h2h.asp?league=belgium2&amp;fmid=6&amp;t1id=11&amp;t2id=12&amp;ly=2026" TargetMode="External"/><Relationship Id="rId922" Type="http://schemas.openxmlformats.org/officeDocument/2006/relationships/hyperlink" Target="https://www.soccerstats.com/pmatch.asp?league=usa&amp;stats=284-21-1-2026" TargetMode="External"/><Relationship Id="rId147" Type="http://schemas.openxmlformats.org/officeDocument/2006/relationships/hyperlink" Target="https://www.soccerstats.com/pmatch.asp?league=china&amp;stats=184-9-8-2026" TargetMode="External"/><Relationship Id="rId354" Type="http://schemas.openxmlformats.org/officeDocument/2006/relationships/hyperlink" Target="https://www.soccerstats.com/pmatch.asp?league=norway2&amp;stats=139-5-1-2026" TargetMode="External"/><Relationship Id="rId799" Type="http://schemas.openxmlformats.org/officeDocument/2006/relationships/hyperlink" Target="https://www.soccerstats.com/pmatch.asp?league=germany5&amp;stats=37-8-2-2027" TargetMode="External"/><Relationship Id="rId51" Type="http://schemas.openxmlformats.org/officeDocument/2006/relationships/hyperlink" Target="https://www.soccerstats.com/h2h.asp?league=england5&amp;fmid=15&amp;t1id=24&amp;t2id=9&amp;ly=2026" TargetMode="External"/><Relationship Id="rId561" Type="http://schemas.openxmlformats.org/officeDocument/2006/relationships/hyperlink" Target="https://www.soccerstats.com/pmatch.asp?league=belarus&amp;stats=141-12-7-2026" TargetMode="External"/><Relationship Id="rId659" Type="http://schemas.openxmlformats.org/officeDocument/2006/relationships/hyperlink" Target="https://www.soccerstats.com/h2h.asp?league=spain&amp;fmid=3&amp;t1id=5&amp;t2id=6&amp;ly=2026" TargetMode="External"/><Relationship Id="rId866" Type="http://schemas.openxmlformats.org/officeDocument/2006/relationships/hyperlink" Target="https://www.soccerstats.com/h2h.asp?league=poland3&amp;fmid=36&amp;t1id=12&amp;t2id=5&amp;ly=2026" TargetMode="External"/><Relationship Id="rId214" Type="http://schemas.openxmlformats.org/officeDocument/2006/relationships/hyperlink" Target="https://www.soccerstats.com/h2h.asp?league=england9&amp;fmid=30&amp;t1id=2&amp;t2id=13&amp;ly=2026" TargetMode="External"/><Relationship Id="rId298" Type="http://schemas.openxmlformats.org/officeDocument/2006/relationships/hyperlink" Target="https://www.soccerstats.com/pmatch.asp?league=ireland3&amp;stats=89-4-2-2026" TargetMode="External"/><Relationship Id="rId421" Type="http://schemas.openxmlformats.org/officeDocument/2006/relationships/hyperlink" Target="https://www.soccerstats.com/h2h.asp?league=southafrica&amp;fmid=18&amp;t1id=2&amp;t2id=13&amp;ly=2026" TargetMode="External"/><Relationship Id="rId519" Type="http://schemas.openxmlformats.org/officeDocument/2006/relationships/hyperlink" Target="https://www.soccerstats.com/h2h.asp?league=spain2&amp;fmid=1&amp;t1id=1&amp;t2id=2&amp;ly=2026" TargetMode="External"/><Relationship Id="rId158" Type="http://schemas.openxmlformats.org/officeDocument/2006/relationships/hyperlink" Target="https://www.soccerstats.com/h2h.asp?league=czechrepublic&amp;fmid=29&amp;t1id=2&amp;t2id=11&amp;ly=2026" TargetMode="External"/><Relationship Id="rId726" Type="http://schemas.openxmlformats.org/officeDocument/2006/relationships/hyperlink" Target="https://www.soccerstats.com/pmatch.asp?league=brazil3&amp;stats=164-4-20-2026" TargetMode="External"/><Relationship Id="rId933" Type="http://schemas.openxmlformats.org/officeDocument/2006/relationships/hyperlink" Target="https://www.soccerstats.com/pmatch.asp?league=usa3&amp;stats=198-12-14-2026" TargetMode="External"/><Relationship Id="rId62" Type="http://schemas.openxmlformats.org/officeDocument/2006/relationships/hyperlink" Target="https://www.soccerstats.com/h2h.asp?league=netherlands2&amp;fmid=17&amp;t1id=18&amp;t2id=5&amp;ly=2026" TargetMode="External"/><Relationship Id="rId365" Type="http://schemas.openxmlformats.org/officeDocument/2006/relationships/hyperlink" Target="https://www.soccerstats.com/h2h.asp?league=paraguay2&amp;fmid=27&amp;t1id=9&amp;t2id=2&amp;ly=2026" TargetMode="External"/><Relationship Id="rId572" Type="http://schemas.openxmlformats.org/officeDocument/2006/relationships/hyperlink" Target="https://www.soccerstats.com/pmatch.asp?league=chile2&amp;stats=155-15-2-2026" TargetMode="External"/><Relationship Id="rId225" Type="http://schemas.openxmlformats.org/officeDocument/2006/relationships/hyperlink" Target="https://www.soccerstats.com/h2h.asp?league=england10&amp;fmid=29&amp;t1id=6&amp;t2id=7&amp;ly=2026" TargetMode="External"/><Relationship Id="rId432" Type="http://schemas.openxmlformats.org/officeDocument/2006/relationships/hyperlink" Target="https://www.soccerstats.com/pmatch.asp?league=southkorea2&amp;stats=170-3-6-2026" TargetMode="External"/><Relationship Id="rId877" Type="http://schemas.openxmlformats.org/officeDocument/2006/relationships/hyperlink" Target="https://www.soccerstats.com/h2h.asp?league=slovakia&amp;fmid=23&amp;t1id=1&amp;t2id=6&amp;ly=2026" TargetMode="External"/><Relationship Id="rId737" Type="http://schemas.openxmlformats.org/officeDocument/2006/relationships/hyperlink" Target="https://www.soccerstats.com/h2h.asp?league=bulgaria2&amp;fmid=29&amp;t1id=17&amp;t2id=11&amp;ly=2026" TargetMode="External"/><Relationship Id="rId944" Type="http://schemas.openxmlformats.org/officeDocument/2006/relationships/hyperlink" Target="https://www.soccerstats.com/h2h.asp?league=spain2&amp;fmid=11&amp;t1id=21&amp;t2id=22&amp;ly=2026" TargetMode="External"/><Relationship Id="rId73" Type="http://schemas.openxmlformats.org/officeDocument/2006/relationships/hyperlink" Target="https://www.soccerstats.com/pmatch.asp?league=argentina3&amp;stats=441-34-3-2026" TargetMode="External"/><Relationship Id="rId169" Type="http://schemas.openxmlformats.org/officeDocument/2006/relationships/hyperlink" Target="https://www.soccerstats.com/h2h.asp?league=denmark2&amp;fmid=21&amp;t1id=4&amp;t2id=12&amp;ly=2026" TargetMode="External"/><Relationship Id="rId376" Type="http://schemas.openxmlformats.org/officeDocument/2006/relationships/hyperlink" Target="https://www.soccerstats.com/h2h.asp?league=poland&amp;fmid=29&amp;t1id=17&amp;t2id=8&amp;ly=2026" TargetMode="External"/><Relationship Id="rId583" Type="http://schemas.openxmlformats.org/officeDocument/2006/relationships/hyperlink" Target="https://www.soccerstats.com/h2h.asp?league=denmark&amp;fmid=17&amp;t1id=1&amp;t2id=3&amp;ly=2026" TargetMode="External"/><Relationship Id="rId790" Type="http://schemas.openxmlformats.org/officeDocument/2006/relationships/hyperlink" Target="https://www.soccerstats.com/h2h.asp?league=germany3&amp;fmid=18&amp;t1id=16&amp;t2id=1&amp;ly=2026" TargetMode="External"/><Relationship Id="rId804" Type="http://schemas.openxmlformats.org/officeDocument/2006/relationships/hyperlink" Target="https://www.soccerstats.com/h2h.asp?league=guatemala&amp;fmid=20&amp;t1id=12&amp;t2id=9&amp;ly=2026" TargetMode="External"/><Relationship Id="rId4" Type="http://schemas.openxmlformats.org/officeDocument/2006/relationships/hyperlink" Target="https://www.soccerstats.com/h2h.asp?league=netherlands&amp;fmid=12&amp;t1id=16&amp;t2id=9&amp;ly=2026" TargetMode="External"/><Relationship Id="rId236" Type="http://schemas.openxmlformats.org/officeDocument/2006/relationships/hyperlink" Target="https://www.soccerstats.com/pmatch.asp?league=finland&amp;stats=118-9-4-2026" TargetMode="External"/><Relationship Id="rId443" Type="http://schemas.openxmlformats.org/officeDocument/2006/relationships/hyperlink" Target="https://www.soccerstats.com/pmatch.asp?league=sweden3&amp;stats=133-13-11-2026" TargetMode="External"/><Relationship Id="rId650" Type="http://schemas.openxmlformats.org/officeDocument/2006/relationships/hyperlink" Target="https://www.soccerstats.com/h2h.asp?league=turkey2&amp;fmid=15&amp;t1id=6&amp;t2id=11&amp;ly=2026" TargetMode="External"/><Relationship Id="rId888" Type="http://schemas.openxmlformats.org/officeDocument/2006/relationships/hyperlink" Target="https://www.soccerstats.com/pmatch.asp?league=southkorea2&amp;stats=174-17-10-2026" TargetMode="External"/><Relationship Id="rId303" Type="http://schemas.openxmlformats.org/officeDocument/2006/relationships/hyperlink" Target="https://www.soccerstats.com/h2h.asp?league=japan&amp;fmid=15&amp;t1id=8&amp;t2id=19&amp;ly=2026" TargetMode="External"/><Relationship Id="rId748" Type="http://schemas.openxmlformats.org/officeDocument/2006/relationships/hyperlink" Target="https://www.soccerstats.com/pmatch.asp?league=chile2&amp;stats=167-8-13-2026" TargetMode="External"/><Relationship Id="rId955" Type="http://schemas.openxmlformats.org/officeDocument/2006/relationships/hyperlink" Target="https://www.soccerstats.com/pmatch.asp?league=brazil3&amp;stats=170-8-14-2026" TargetMode="External"/><Relationship Id="rId84" Type="http://schemas.openxmlformats.org/officeDocument/2006/relationships/hyperlink" Target="https://www.soccerstats.com/pmatch.asp?league=australia5&amp;stats=120-3-7-2026" TargetMode="External"/><Relationship Id="rId387" Type="http://schemas.openxmlformats.org/officeDocument/2006/relationships/hyperlink" Target="https://www.soccerstats.com/h2h.asp?league=portugal2&amp;fmid=10&amp;t1id=12&amp;t2id=5&amp;ly=2026" TargetMode="External"/><Relationship Id="rId510" Type="http://schemas.openxmlformats.org/officeDocument/2006/relationships/hyperlink" Target="https://www.soccerstats.com/h2h.asp?league=germany4&amp;fmid=21&amp;t1id=3&amp;t2id=16&amp;ly=2026" TargetMode="External"/><Relationship Id="rId594" Type="http://schemas.openxmlformats.org/officeDocument/2006/relationships/hyperlink" Target="https://www.soccerstats.com/pmatch.asp?league=finland2&amp;stats=91-10-2-2026" TargetMode="External"/><Relationship Id="rId608" Type="http://schemas.openxmlformats.org/officeDocument/2006/relationships/hyperlink" Target="https://www.soccerstats.com/pmatch.asp?league=germany5&amp;stats=44-18-1-2027" TargetMode="External"/><Relationship Id="rId815" Type="http://schemas.openxmlformats.org/officeDocument/2006/relationships/hyperlink" Target="https://www.soccerstats.com/h2h.asp?league=japan2&amp;fmid=20&amp;t1id=2&amp;t2id=15&amp;ly=2026" TargetMode="External"/><Relationship Id="rId247" Type="http://schemas.openxmlformats.org/officeDocument/2006/relationships/hyperlink" Target="https://www.soccerstats.com/pmatch.asp?league=finland5&amp;stats=82-5-9-2026" TargetMode="External"/><Relationship Id="rId899" Type="http://schemas.openxmlformats.org/officeDocument/2006/relationships/hyperlink" Target="https://www.soccerstats.com/pmatch.asp?league=sweden3&amp;stats=136-3-5-2026" TargetMode="External"/><Relationship Id="rId107" Type="http://schemas.openxmlformats.org/officeDocument/2006/relationships/hyperlink" Target="https://www.soccerstats.com/pmatch.asp?league=belarus&amp;stats=143-15-11-2026" TargetMode="External"/><Relationship Id="rId454" Type="http://schemas.openxmlformats.org/officeDocument/2006/relationships/hyperlink" Target="https://www.soccerstats.com/h2h.asp?league=turkey&amp;fmid=3&amp;t1id=5&amp;t2id=6&amp;ly=2026" TargetMode="External"/><Relationship Id="rId661" Type="http://schemas.openxmlformats.org/officeDocument/2006/relationships/hyperlink" Target="https://www.soccerstats.com/h2h.asp?league=spain&amp;fmid=5&amp;t1id=9&amp;t2id=10&amp;ly=2026" TargetMode="External"/><Relationship Id="rId759" Type="http://schemas.openxmlformats.org/officeDocument/2006/relationships/hyperlink" Target="https://www.soccerstats.com/h2h.asp?league=croatia&amp;fmid=12&amp;t1id=1&amp;t2id=6&amp;ly=2026" TargetMode="External"/><Relationship Id="rId966" Type="http://schemas.openxmlformats.org/officeDocument/2006/relationships/hyperlink" Target="https://www.soccerstats.com/h2h.asp?league=denmark&amp;fmid=22&amp;t1id=4&amp;t2id=5&amp;ly=2026" TargetMode="External"/><Relationship Id="rId11" Type="http://schemas.openxmlformats.org/officeDocument/2006/relationships/hyperlink" Target="https://www.soccerstats.com/h2h.asp?league=england2&amp;fmid=8&amp;t1id=15&amp;t2id=16&amp;ly=2026" TargetMode="External"/><Relationship Id="rId314" Type="http://schemas.openxmlformats.org/officeDocument/2006/relationships/hyperlink" Target="https://www.soccerstats.com/h2h.asp?league=japan2&amp;fmid=17&amp;t1id=10&amp;t2id=19&amp;ly=2026" TargetMode="External"/><Relationship Id="rId398" Type="http://schemas.openxmlformats.org/officeDocument/2006/relationships/hyperlink" Target="https://www.soccerstats.com/h2h.asp?league=saudiarabia&amp;fmid=8&amp;t1id=15&amp;t2id=16&amp;ly=2026" TargetMode="External"/><Relationship Id="rId521" Type="http://schemas.openxmlformats.org/officeDocument/2006/relationships/hyperlink" Target="https://www.soccerstats.com/h2h.asp?league=france2&amp;fmid=17&amp;t1id=10&amp;t2id=5&amp;ly=2026" TargetMode="External"/><Relationship Id="rId619" Type="http://schemas.openxmlformats.org/officeDocument/2006/relationships/hyperlink" Target="https://www.soccerstats.com/h2h.asp?league=germany8&amp;fmid=32&amp;t1id=4&amp;t2id=17&amp;ly=2026" TargetMode="External"/><Relationship Id="rId95" Type="http://schemas.openxmlformats.org/officeDocument/2006/relationships/hyperlink" Target="https://www.soccerstats.com/pmatch.asp?league=australia11&amp;stats=218-13-9-2026" TargetMode="External"/><Relationship Id="rId160" Type="http://schemas.openxmlformats.org/officeDocument/2006/relationships/hyperlink" Target="https://www.soccerstats.com/h2h.asp?league=czechrepublic&amp;fmid=26&amp;t1id=10&amp;t2id=12&amp;ly=2026" TargetMode="External"/><Relationship Id="rId826" Type="http://schemas.openxmlformats.org/officeDocument/2006/relationships/hyperlink" Target="https://www.soccerstats.com/h2h.asp?league=mexico&amp;fmid=29&amp;t1id=13&amp;t2id=9&amp;ly=2026" TargetMode="External"/><Relationship Id="rId258" Type="http://schemas.openxmlformats.org/officeDocument/2006/relationships/hyperlink" Target="https://www.soccerstats.com/h2h.asp?league=germany3&amp;fmid=12&amp;t1id=10&amp;t2id=13&amp;ly=2026" TargetMode="External"/><Relationship Id="rId465" Type="http://schemas.openxmlformats.org/officeDocument/2006/relationships/hyperlink" Target="https://www.soccerstats.com/h2h.asp?league=uruguay3&amp;fmid=2&amp;t1id=3&amp;t2id=4&amp;ly=2026" TargetMode="External"/><Relationship Id="rId672" Type="http://schemas.openxmlformats.org/officeDocument/2006/relationships/hyperlink" Target="https://www.soccerstats.com/h2h.asp?league=spain2&amp;fmid=6&amp;t1id=11&amp;t2id=12&amp;ly=2026" TargetMode="External"/><Relationship Id="rId22" Type="http://schemas.openxmlformats.org/officeDocument/2006/relationships/hyperlink" Target="https://www.soccerstats.com/h2h.asp?league=england3&amp;fmid=11&amp;t1id=21&amp;t2id=22&amp;ly=2026" TargetMode="External"/><Relationship Id="rId118" Type="http://schemas.openxmlformats.org/officeDocument/2006/relationships/hyperlink" Target="https://www.soccerstats.com/h2h.asp?league=bosnia&amp;fmid=7&amp;t1id=8&amp;t2id=5&amp;ly=2026" TargetMode="External"/><Relationship Id="rId325" Type="http://schemas.openxmlformats.org/officeDocument/2006/relationships/hyperlink" Target="https://www.soccerstats.com/pmatch.asp?league=kazakhstan&amp;stats=35-9-14-2026" TargetMode="External"/><Relationship Id="rId532" Type="http://schemas.openxmlformats.org/officeDocument/2006/relationships/hyperlink" Target="https://www.soccerstats.com/h2h.asp?league=netherlands2&amp;fmid=15&amp;t1id=20&amp;t2id=15&amp;ly=2026" TargetMode="External"/><Relationship Id="rId977" Type="http://schemas.openxmlformats.org/officeDocument/2006/relationships/hyperlink" Target="https://www.soccerstats.com/pmatch.asp?league=iceland2&amp;stats=112-12-4-2026" TargetMode="External"/><Relationship Id="rId171" Type="http://schemas.openxmlformats.org/officeDocument/2006/relationships/hyperlink" Target="https://www.soccerstats.com/h2h.asp?league=denmark2&amp;fmid=23&amp;t1id=10&amp;t2id=5&amp;ly=2026" TargetMode="External"/><Relationship Id="rId837" Type="http://schemas.openxmlformats.org/officeDocument/2006/relationships/hyperlink" Target="https://www.soccerstats.com/pmatch.asp?league=norway&amp;stats=141-5-15-2026" TargetMode="External"/><Relationship Id="rId269" Type="http://schemas.openxmlformats.org/officeDocument/2006/relationships/hyperlink" Target="https://www.soccerstats.com/h2h.asp?league=germany6&amp;fmid=21&amp;t1id=7&amp;t2id=2&amp;ly=2026" TargetMode="External"/><Relationship Id="rId476" Type="http://schemas.openxmlformats.org/officeDocument/2006/relationships/hyperlink" Target="https://www.soccerstats.com/pmatch.asp?league=usa2&amp;stats=235-5-22-2026" TargetMode="External"/><Relationship Id="rId683" Type="http://schemas.openxmlformats.org/officeDocument/2006/relationships/hyperlink" Target="https://www.soccerstats.com/pmatch.asp?league=argentina2&amp;stats=67-22-4-2026" TargetMode="External"/><Relationship Id="rId890" Type="http://schemas.openxmlformats.org/officeDocument/2006/relationships/hyperlink" Target="https://www.soccerstats.com/pmatch.asp?league=southkorea2&amp;stats=176-4-2-2026" TargetMode="External"/><Relationship Id="rId904" Type="http://schemas.openxmlformats.org/officeDocument/2006/relationships/hyperlink" Target="https://www.soccerstats.com/h2h.asp?league=turkey&amp;fmid=6&amp;t1id=11&amp;t2id=12&amp;ly=2026" TargetMode="External"/><Relationship Id="rId33" Type="http://schemas.openxmlformats.org/officeDocument/2006/relationships/hyperlink" Target="https://www.soccerstats.com/h2h.asp?league=england4&amp;fmid=11&amp;t1id=21&amp;t2id=22&amp;ly=2026" TargetMode="External"/><Relationship Id="rId129" Type="http://schemas.openxmlformats.org/officeDocument/2006/relationships/hyperlink" Target="https://www.soccerstats.com/pmatch.asp?league=brazil3&amp;stats=168-3-11-2026" TargetMode="External"/><Relationship Id="rId336" Type="http://schemas.openxmlformats.org/officeDocument/2006/relationships/hyperlink" Target="https://www.soccerstats.com/h2h.asp?league=netherlands3&amp;fmid=2&amp;t1id=3&amp;t2id=4&amp;ly=2026" TargetMode="External"/><Relationship Id="rId543" Type="http://schemas.openxmlformats.org/officeDocument/2006/relationships/hyperlink" Target="https://www.soccerstats.com/pmatch.asp?league=australia3&amp;stats=165-9-8-2026" TargetMode="External"/><Relationship Id="rId988" Type="http://schemas.openxmlformats.org/officeDocument/2006/relationships/hyperlink" Target="https://www.soccerstats.com/pmatch.asp?league=romania&amp;stats=38-9-8-2027" TargetMode="External"/><Relationship Id="rId182" Type="http://schemas.openxmlformats.org/officeDocument/2006/relationships/hyperlink" Target="https://www.soccerstats.com/h2h.asp?league=england6&amp;fmid=19&amp;t1id=22&amp;t2id=11&amp;ly=2026" TargetMode="External"/><Relationship Id="rId403" Type="http://schemas.openxmlformats.org/officeDocument/2006/relationships/hyperlink" Target="https://www.soccerstats.com/h2h.asp?league=scotland4&amp;fmid=15&amp;t1id=9&amp;t2id=7&amp;ly=2026" TargetMode="External"/><Relationship Id="rId750" Type="http://schemas.openxmlformats.org/officeDocument/2006/relationships/hyperlink" Target="https://www.soccerstats.com/pmatch.asp?league=china2&amp;stats=149-13-7-2026" TargetMode="External"/><Relationship Id="rId848" Type="http://schemas.openxmlformats.org/officeDocument/2006/relationships/hyperlink" Target="https://www.soccerstats.com/pmatch.asp?league=norway4&amp;stats=107-3-1-2026" TargetMode="External"/><Relationship Id="rId487" Type="http://schemas.openxmlformats.org/officeDocument/2006/relationships/hyperlink" Target="https://www.soccerstats.com/pmatch.asp?league=usa6&amp;stats=152-10-3-2026" TargetMode="External"/><Relationship Id="rId610" Type="http://schemas.openxmlformats.org/officeDocument/2006/relationships/hyperlink" Target="https://www.soccerstats.com/h2h.asp?league=germany6&amp;fmid=27&amp;t1id=1&amp;t2id=5&amp;ly=2026" TargetMode="External"/><Relationship Id="rId694" Type="http://schemas.openxmlformats.org/officeDocument/2006/relationships/hyperlink" Target="https://www.soccerstats.com/pmatch.asp?league=australia7&amp;stats=131-4-9-2026" TargetMode="External"/><Relationship Id="rId708" Type="http://schemas.openxmlformats.org/officeDocument/2006/relationships/hyperlink" Target="https://www.soccerstats.com/pmatch.asp?league=belarus&amp;stats=137-4-2-2026" TargetMode="External"/><Relationship Id="rId915" Type="http://schemas.openxmlformats.org/officeDocument/2006/relationships/hyperlink" Target="https://www.soccerstats.com/h2h.asp?league=uruguay3&amp;fmid=6&amp;t1id=11&amp;t2id=12&amp;ly=2026" TargetMode="External"/><Relationship Id="rId347" Type="http://schemas.openxmlformats.org/officeDocument/2006/relationships/hyperlink" Target="https://www.soccerstats.com/h2h.asp?league=northmacedonia&amp;fmid=15&amp;t1id=7&amp;t2id=10&amp;ly=2026" TargetMode="External"/><Relationship Id="rId44" Type="http://schemas.openxmlformats.org/officeDocument/2006/relationships/hyperlink" Target="https://www.soccerstats.com/h2h.asp?league=england5&amp;fmid=21&amp;t1id=14&amp;t2id=1&amp;ly=2026" TargetMode="External"/><Relationship Id="rId554" Type="http://schemas.openxmlformats.org/officeDocument/2006/relationships/hyperlink" Target="https://www.soccerstats.com/h2h.asp?league=austria2&amp;fmid=19&amp;t1id=12&amp;t2id=8&amp;ly=2026" TargetMode="External"/><Relationship Id="rId761" Type="http://schemas.openxmlformats.org/officeDocument/2006/relationships/hyperlink" Target="https://www.soccerstats.com/h2h.asp?league=denmark&amp;fmid=18&amp;t1id=10&amp;t2id=12&amp;ly=2026" TargetMode="External"/><Relationship Id="rId859" Type="http://schemas.openxmlformats.org/officeDocument/2006/relationships/hyperlink" Target="https://www.soccerstats.com/h2h.asp?league=poland&amp;fmid=30&amp;t1id=7&amp;t2id=15&amp;ly=2026" TargetMode="External"/><Relationship Id="rId193" Type="http://schemas.openxmlformats.org/officeDocument/2006/relationships/hyperlink" Target="https://www.soccerstats.com/h2h.asp?league=england7&amp;fmid=19&amp;t1id=8&amp;t2id=15&amp;ly=2026" TargetMode="External"/><Relationship Id="rId207" Type="http://schemas.openxmlformats.org/officeDocument/2006/relationships/hyperlink" Target="https://www.soccerstats.com/h2h.asp?league=england8&amp;fmid=437&amp;t1id=14&amp;t2id=6&amp;ly=2026" TargetMode="External"/><Relationship Id="rId414" Type="http://schemas.openxmlformats.org/officeDocument/2006/relationships/hyperlink" Target="https://www.soccerstats.com/h2h.asp?league=serbia&amp;fmid=31&amp;t1id=5&amp;t2id=12&amp;ly=2026" TargetMode="External"/><Relationship Id="rId498" Type="http://schemas.openxmlformats.org/officeDocument/2006/relationships/hyperlink" Target="https://www.soccerstats.com/leagueview_team.asp?league=copasudamericana&amp;team1id=38&amp;team2id=8&amp;fmid=114" TargetMode="External"/><Relationship Id="rId621" Type="http://schemas.openxmlformats.org/officeDocument/2006/relationships/hyperlink" Target="https://www.soccerstats.com/h2h.asp?league=germany8&amp;fmid=34&amp;t1id=2&amp;t2id=15&amp;ly=2026" TargetMode="External"/><Relationship Id="rId260" Type="http://schemas.openxmlformats.org/officeDocument/2006/relationships/hyperlink" Target="https://www.soccerstats.com/h2h.asp?league=germany3&amp;fmid=14&amp;t1id=18&amp;t2id=3&amp;ly=2026" TargetMode="External"/><Relationship Id="rId719" Type="http://schemas.openxmlformats.org/officeDocument/2006/relationships/hyperlink" Target="https://www.soccerstats.com/pmatch.asp?league=brazil&amp;stats=229-14-12-2026" TargetMode="External"/><Relationship Id="rId926" Type="http://schemas.openxmlformats.org/officeDocument/2006/relationships/hyperlink" Target="https://www.soccerstats.com/pmatch.asp?league=usa2&amp;stats=240-11-13-2026" TargetMode="External"/><Relationship Id="rId55" Type="http://schemas.openxmlformats.org/officeDocument/2006/relationships/hyperlink" Target="https://www.soccerstats.com/h2h.asp?league=spain2&amp;fmid=4&amp;t1id=7&amp;t2id=8&amp;ly=2026" TargetMode="External"/><Relationship Id="rId120" Type="http://schemas.openxmlformats.org/officeDocument/2006/relationships/hyperlink" Target="https://www.soccerstats.com/h2h.asp?league=bosnia&amp;fmid=6&amp;t1id=9&amp;t2id=7&amp;ly=2026" TargetMode="External"/><Relationship Id="rId358" Type="http://schemas.openxmlformats.org/officeDocument/2006/relationships/hyperlink" Target="https://www.soccerstats.com/pmatch.asp?league=norway3&amp;stats=109-11-14-2026" TargetMode="External"/><Relationship Id="rId565" Type="http://schemas.openxmlformats.org/officeDocument/2006/relationships/hyperlink" Target="https://www.soccerstats.com/h2h.asp?league=belgium2&amp;fmid=2&amp;t1id=3&amp;t2id=4&amp;ly=2026" TargetMode="External"/><Relationship Id="rId772" Type="http://schemas.openxmlformats.org/officeDocument/2006/relationships/hyperlink" Target="https://www.soccerstats.com/pmatch.asp?league=estonia&amp;stats=115-6-7-2026" TargetMode="External"/><Relationship Id="rId218" Type="http://schemas.openxmlformats.org/officeDocument/2006/relationships/hyperlink" Target="https://www.soccerstats.com/h2h.asp?league=england9&amp;fmid=26&amp;t1id=12&amp;t2id=17&amp;ly=2026" TargetMode="External"/><Relationship Id="rId425" Type="http://schemas.openxmlformats.org/officeDocument/2006/relationships/hyperlink" Target="https://www.soccerstats.com/h2h.asp?league=southafrica&amp;fmid=20&amp;t1id=6&amp;t2id=9&amp;ly=2026" TargetMode="External"/><Relationship Id="rId632" Type="http://schemas.openxmlformats.org/officeDocument/2006/relationships/hyperlink" Target="https://www.soccerstats.com/h2h.asp?league=poland3&amp;fmid=35&amp;t1id=8&amp;t2id=3&amp;ly=2026" TargetMode="External"/><Relationship Id="rId271" Type="http://schemas.openxmlformats.org/officeDocument/2006/relationships/hyperlink" Target="https://www.soccerstats.com/h2h.asp?league=germany6&amp;fmid=20&amp;t1id=4&amp;t2id=18&amp;ly=2026" TargetMode="External"/><Relationship Id="rId937" Type="http://schemas.openxmlformats.org/officeDocument/2006/relationships/hyperlink" Target="https://www.soccerstats.com/h2h.asp?league=usa7&amp;fmid=4&amp;t1id=7&amp;t2id=8&amp;ly=2026" TargetMode="External"/><Relationship Id="rId66" Type="http://schemas.openxmlformats.org/officeDocument/2006/relationships/hyperlink" Target="https://www.soccerstats.com/pmatch.asp?league=argentina2&amp;stats=63-3-26-2026" TargetMode="External"/><Relationship Id="rId131" Type="http://schemas.openxmlformats.org/officeDocument/2006/relationships/hyperlink" Target="https://www.soccerstats.com/pmatch.asp?league=brazil5&amp;stats=139-3-16-2026" TargetMode="External"/><Relationship Id="rId369" Type="http://schemas.openxmlformats.org/officeDocument/2006/relationships/hyperlink" Target="https://www.soccerstats.com/pmatch.asp?league=peru2&amp;stats=37-11-8-2026" TargetMode="External"/><Relationship Id="rId576" Type="http://schemas.openxmlformats.org/officeDocument/2006/relationships/hyperlink" Target="https://www.soccerstats.com/pmatch.asp?league=china&amp;stats=179-14-6-2026" TargetMode="External"/><Relationship Id="rId783" Type="http://schemas.openxmlformats.org/officeDocument/2006/relationships/hyperlink" Target="https://www.soccerstats.com/pmatch.asp?league=finland3&amp;stats=117-11-3-2026" TargetMode="External"/><Relationship Id="rId990" Type="http://schemas.openxmlformats.org/officeDocument/2006/relationships/hyperlink" Target="https://www.soccerstats.com/pmatch.asp?league=serbia&amp;stats=34-7-13-2027" TargetMode="External"/><Relationship Id="rId229" Type="http://schemas.openxmlformats.org/officeDocument/2006/relationships/hyperlink" Target="https://www.soccerstats.com/h2h.asp?league=england10&amp;fmid=25&amp;t1id=12&amp;t2id=3&amp;ly=2026" TargetMode="External"/><Relationship Id="rId436" Type="http://schemas.openxmlformats.org/officeDocument/2006/relationships/hyperlink" Target="https://www.soccerstats.com/pmatch.asp?league=sweden2&amp;stats=150-10-2-2026" TargetMode="External"/><Relationship Id="rId643" Type="http://schemas.openxmlformats.org/officeDocument/2006/relationships/hyperlink" Target="https://www.soccerstats.com/pmatch.asp?league=sweden&amp;stats=132-11-6-2026" TargetMode="External"/><Relationship Id="rId850" Type="http://schemas.openxmlformats.org/officeDocument/2006/relationships/hyperlink" Target="https://www.soccerstats.com/pmatch.asp?league=norway4&amp;stats=109-6-10-2026" TargetMode="External"/><Relationship Id="rId948" Type="http://schemas.openxmlformats.org/officeDocument/2006/relationships/hyperlink" Target="https://www.soccerstats.com/pmatch.asp?league=argentina2&amp;stats=62-17-25-2026" TargetMode="External"/><Relationship Id="rId77" Type="http://schemas.openxmlformats.org/officeDocument/2006/relationships/hyperlink" Target="https://www.soccerstats.com/h2h.asp?league=armenia&amp;fmid=18&amp;t1id=9&amp;t2id=12&amp;ly=2026" TargetMode="External"/><Relationship Id="rId282" Type="http://schemas.openxmlformats.org/officeDocument/2006/relationships/hyperlink" Target="https://www.soccerstats.com/h2h.asp?league=hungary2&amp;fmid=30&amp;t1id=2&amp;t2id=3&amp;ly=2026" TargetMode="External"/><Relationship Id="rId503" Type="http://schemas.openxmlformats.org/officeDocument/2006/relationships/hyperlink" Target="https://www.soccerstats.com/leagueview_team.asp?league=copalibertadores&amp;team1id=20&amp;team2id=24&amp;fmid=100" TargetMode="External"/><Relationship Id="rId587" Type="http://schemas.openxmlformats.org/officeDocument/2006/relationships/hyperlink" Target="https://www.soccerstats.com/h2h.asp?league=denmark3&amp;fmid=16&amp;t1id=11&amp;t2id=6&amp;ly=2026" TargetMode="External"/><Relationship Id="rId710" Type="http://schemas.openxmlformats.org/officeDocument/2006/relationships/hyperlink" Target="https://www.soccerstats.com/pmatch.asp?league=belarus&amp;stats=138-6-1-2026" TargetMode="External"/><Relationship Id="rId808" Type="http://schemas.openxmlformats.org/officeDocument/2006/relationships/hyperlink" Target="https://www.soccerstats.com/h2h.asp?league=hungary&amp;fmid=20&amp;t1id=6&amp;t2id=7&amp;ly=2026" TargetMode="External"/><Relationship Id="rId8" Type="http://schemas.openxmlformats.org/officeDocument/2006/relationships/hyperlink" Target="https://www.soccerstats.com/h2h.asp?league=portugal&amp;fmid=18&amp;t1id=4&amp;t2id=5&amp;ly=2026" TargetMode="External"/><Relationship Id="rId142" Type="http://schemas.openxmlformats.org/officeDocument/2006/relationships/hyperlink" Target="https://www.soccerstats.com/pmatch.asp?league=chile2&amp;stats=163-9-16-2026" TargetMode="External"/><Relationship Id="rId447" Type="http://schemas.openxmlformats.org/officeDocument/2006/relationships/hyperlink" Target="https://www.soccerstats.com/pmatch.asp?league=sweden4&amp;stats=133-4-16-2026" TargetMode="External"/><Relationship Id="rId794" Type="http://schemas.openxmlformats.org/officeDocument/2006/relationships/hyperlink" Target="https://www.soccerstats.com/h2h.asp?league=germany4&amp;fmid=28&amp;t1id=16&amp;t2id=14&amp;ly=2026" TargetMode="External"/><Relationship Id="rId654" Type="http://schemas.openxmlformats.org/officeDocument/2006/relationships/hyperlink" Target="https://www.soccerstats.com/h2h.asp?league=wales&amp;fmid=21&amp;t1id=8&amp;t2id=2&amp;ly=2026" TargetMode="External"/><Relationship Id="rId861" Type="http://schemas.openxmlformats.org/officeDocument/2006/relationships/hyperlink" Target="https://www.soccerstats.com/h2h.asp?league=poland2&amp;fmid=28&amp;t1id=8&amp;t2id=11&amp;ly=2026" TargetMode="External"/><Relationship Id="rId959" Type="http://schemas.openxmlformats.org/officeDocument/2006/relationships/hyperlink" Target="https://www.soccerstats.com/pmatch.asp?league=bulgaria2&amp;stats=35-8-14-2027" TargetMode="External"/><Relationship Id="rId293" Type="http://schemas.openxmlformats.org/officeDocument/2006/relationships/hyperlink" Target="https://www.soccerstats.com/pmatch.asp?league=iceland3&amp;stats=102-3-9-2026" TargetMode="External"/><Relationship Id="rId307" Type="http://schemas.openxmlformats.org/officeDocument/2006/relationships/hyperlink" Target="https://www.soccerstats.com/h2h.asp?league=japan&amp;fmid=20&amp;t1id=4&amp;t2id=15&amp;ly=2026" TargetMode="External"/><Relationship Id="rId514" Type="http://schemas.openxmlformats.org/officeDocument/2006/relationships/hyperlink" Target="https://www.soccerstats.com/h2h.asp?league=southafrica&amp;fmid=13&amp;t1id=10&amp;t2id=7&amp;ly=2026" TargetMode="External"/><Relationship Id="rId721" Type="http://schemas.openxmlformats.org/officeDocument/2006/relationships/hyperlink" Target="https://www.soccerstats.com/pmatch.asp?league=brazil&amp;stats=222-1-19-2026" TargetMode="External"/><Relationship Id="rId88" Type="http://schemas.openxmlformats.org/officeDocument/2006/relationships/hyperlink" Target="https://www.soccerstats.com/pmatch.asp?league=australia6&amp;stats=127-2-7-2026" TargetMode="External"/><Relationship Id="rId153" Type="http://schemas.openxmlformats.org/officeDocument/2006/relationships/hyperlink" Target="https://www.soccerstats.com/h2h.asp?league=costarica&amp;fmid=16&amp;t1id=9&amp;t2id=1&amp;ly=2026" TargetMode="External"/><Relationship Id="rId360" Type="http://schemas.openxmlformats.org/officeDocument/2006/relationships/hyperlink" Target="https://www.soccerstats.com/pmatch.asp?league=norway11&amp;stats=75-2-3-2026" TargetMode="External"/><Relationship Id="rId598" Type="http://schemas.openxmlformats.org/officeDocument/2006/relationships/hyperlink" Target="https://www.soccerstats.com/h2h.asp?league=france3&amp;fmid=15&amp;t1id=10&amp;t2id=7&amp;ly=2026" TargetMode="External"/><Relationship Id="rId819" Type="http://schemas.openxmlformats.org/officeDocument/2006/relationships/hyperlink" Target="https://www.soccerstats.com/h2h.asp?league=japan3&amp;fmid=20&amp;t1id=10&amp;t2id=15&amp;ly=2026" TargetMode="External"/><Relationship Id="rId220" Type="http://schemas.openxmlformats.org/officeDocument/2006/relationships/hyperlink" Target="https://www.soccerstats.com/h2h.asp?league=england9&amp;fmid=24&amp;t1id=14&amp;t2id=11&amp;ly=2026" TargetMode="External"/><Relationship Id="rId458" Type="http://schemas.openxmlformats.org/officeDocument/2006/relationships/hyperlink" Target="https://www.soccerstats.com/h2h.asp?league=turkey2&amp;fmid=19&amp;t1id=14&amp;t2id=7&amp;ly=2026" TargetMode="External"/><Relationship Id="rId665" Type="http://schemas.openxmlformats.org/officeDocument/2006/relationships/hyperlink" Target="https://www.soccerstats.com/h2h.asp?league=netherlands&amp;fmid=18&amp;t1id=14&amp;t2id=17&amp;ly=2026" TargetMode="External"/><Relationship Id="rId872" Type="http://schemas.openxmlformats.org/officeDocument/2006/relationships/hyperlink" Target="https://www.soccerstats.com/pmatch.asp?league=romania&amp;stats=39-13-6-2027" TargetMode="External"/><Relationship Id="rId15" Type="http://schemas.openxmlformats.org/officeDocument/2006/relationships/hyperlink" Target="https://www.soccerstats.com/h2h.asp?league=england2&amp;fmid=4&amp;t1id=7&amp;t2id=8&amp;ly=2026" TargetMode="External"/><Relationship Id="rId318" Type="http://schemas.openxmlformats.org/officeDocument/2006/relationships/hyperlink" Target="https://www.soccerstats.com/h2h.asp?league=japan3&amp;fmid=12&amp;t1id=16&amp;t2id=9&amp;ly=2026" TargetMode="External"/><Relationship Id="rId525" Type="http://schemas.openxmlformats.org/officeDocument/2006/relationships/hyperlink" Target="https://www.soccerstats.com/h2h.asp?league=france2&amp;fmid=13&amp;t1id=18&amp;t2id=9&amp;ly=2026" TargetMode="External"/><Relationship Id="rId732" Type="http://schemas.openxmlformats.org/officeDocument/2006/relationships/hyperlink" Target="https://www.soccerstats.com/pmatch.asp?league=brazil5&amp;stats=142-5-12-2026" TargetMode="External"/><Relationship Id="rId99" Type="http://schemas.openxmlformats.org/officeDocument/2006/relationships/hyperlink" Target="https://www.soccerstats.com/h2h.asp?league=austria&amp;fmid=14&amp;t1id=7&amp;t2id=9&amp;ly=2026" TargetMode="External"/><Relationship Id="rId164" Type="http://schemas.openxmlformats.org/officeDocument/2006/relationships/hyperlink" Target="https://www.soccerstats.com/h2h.asp?league=czechrepublic&amp;fmid=25&amp;t1id=7&amp;t2id=13&amp;ly=2026" TargetMode="External"/><Relationship Id="rId371" Type="http://schemas.openxmlformats.org/officeDocument/2006/relationships/hyperlink" Target="https://www.soccerstats.com/pmatch.asp?league=peru2&amp;stats=45-13-2-2026" TargetMode="External"/><Relationship Id="rId469" Type="http://schemas.openxmlformats.org/officeDocument/2006/relationships/hyperlink" Target="https://www.soccerstats.com/pmatch.asp?league=usa&amp;stats=277-24-9-2026" TargetMode="External"/><Relationship Id="rId676" Type="http://schemas.openxmlformats.org/officeDocument/2006/relationships/hyperlink" Target="https://www.soccerstats.com/h2h.asp?league=germany2&amp;fmid=16&amp;t1id=6&amp;t2id=13&amp;ly=2026" TargetMode="External"/><Relationship Id="rId883" Type="http://schemas.openxmlformats.org/officeDocument/2006/relationships/hyperlink" Target="https://www.soccerstats.com/h2h.asp?league=southafrica&amp;fmid=23&amp;t1id=14&amp;t2id=3&amp;ly=2026" TargetMode="External"/><Relationship Id="rId26" Type="http://schemas.openxmlformats.org/officeDocument/2006/relationships/hyperlink" Target="https://www.soccerstats.com/h2h.asp?league=england3&amp;fmid=7&amp;t1id=13&amp;t2id=14&amp;ly=2026" TargetMode="External"/><Relationship Id="rId231" Type="http://schemas.openxmlformats.org/officeDocument/2006/relationships/hyperlink" Target="https://www.soccerstats.com/h2h.asp?league=england10&amp;fmid=23&amp;t1id=1&amp;t2id=17&amp;ly=2026" TargetMode="External"/><Relationship Id="rId329" Type="http://schemas.openxmlformats.org/officeDocument/2006/relationships/hyperlink" Target="https://www.soccerstats.com/h2h.asp?league=moldova&amp;fmid=30&amp;t1id=1&amp;t2id=7&amp;ly=2026" TargetMode="External"/><Relationship Id="rId536" Type="http://schemas.openxmlformats.org/officeDocument/2006/relationships/hyperlink" Target="https://www.soccerstats.com/h2h.asp?league=netherlands2&amp;fmid=11&amp;t1id=8&amp;t2id=13&amp;ly=2026" TargetMode="External"/><Relationship Id="rId175" Type="http://schemas.openxmlformats.org/officeDocument/2006/relationships/hyperlink" Target="https://www.soccerstats.com/pmatch.asp?league=ecuador&amp;stats=193-6-2-2026" TargetMode="External"/><Relationship Id="rId743" Type="http://schemas.openxmlformats.org/officeDocument/2006/relationships/hyperlink" Target="https://www.soccerstats.com/pmatch.asp?league=chile&amp;stats=146-14-16-2026" TargetMode="External"/><Relationship Id="rId950" Type="http://schemas.openxmlformats.org/officeDocument/2006/relationships/hyperlink" Target="https://www.soccerstats.com/pmatch.asp?league=argentina2&amp;stats=73-11-5-2026" TargetMode="External"/><Relationship Id="rId382" Type="http://schemas.openxmlformats.org/officeDocument/2006/relationships/hyperlink" Target="https://www.soccerstats.com/h2h.asp?league=poland3&amp;fmid=31&amp;t1id=16&amp;t2id=1&amp;ly=2026" TargetMode="External"/><Relationship Id="rId603" Type="http://schemas.openxmlformats.org/officeDocument/2006/relationships/hyperlink" Target="https://www.soccerstats.com/h2h.asp?league=france3&amp;fmid=13&amp;t1id=14&amp;t2id=11&amp;ly=2026" TargetMode="External"/><Relationship Id="rId687" Type="http://schemas.openxmlformats.org/officeDocument/2006/relationships/hyperlink" Target="https://www.soccerstats.com/pmatch.asp?league=argentina3&amp;stats=437-24-13-2026" TargetMode="External"/><Relationship Id="rId810" Type="http://schemas.openxmlformats.org/officeDocument/2006/relationships/hyperlink" Target="https://www.soccerstats.com/h2h.asp?league=hungary2&amp;fmid=32&amp;t1id=11&amp;t2id=16&amp;ly=2026" TargetMode="External"/><Relationship Id="rId908" Type="http://schemas.openxmlformats.org/officeDocument/2006/relationships/hyperlink" Target="https://www.soccerstats.com/h2h.asp?league=turkey2&amp;fmid=20&amp;t1id=10&amp;t2id=19&amp;ly=2026" TargetMode="External"/><Relationship Id="rId242" Type="http://schemas.openxmlformats.org/officeDocument/2006/relationships/hyperlink" Target="https://www.soccerstats.com/pmatch.asp?league=finland3&amp;stats=116-1-7-2026" TargetMode="External"/><Relationship Id="rId894" Type="http://schemas.openxmlformats.org/officeDocument/2006/relationships/hyperlink" Target="https://www.soccerstats.com/pmatch.asp?league=sweden&amp;stats=135-15-10-2026" TargetMode="External"/><Relationship Id="rId37" Type="http://schemas.openxmlformats.org/officeDocument/2006/relationships/hyperlink" Target="https://www.soccerstats.com/h2h.asp?league=england4&amp;fmid=7&amp;t1id=13&amp;t2id=14&amp;ly=2026" TargetMode="External"/><Relationship Id="rId102" Type="http://schemas.openxmlformats.org/officeDocument/2006/relationships/hyperlink" Target="https://www.soccerstats.com/h2h.asp?league=austria2&amp;fmid=20&amp;t1id=14&amp;t2id=9&amp;ly=2026" TargetMode="External"/><Relationship Id="rId547" Type="http://schemas.openxmlformats.org/officeDocument/2006/relationships/hyperlink" Target="https://www.soccerstats.com/pmatch.asp?league=australia4&amp;stats=127-9-5-2026" TargetMode="External"/><Relationship Id="rId754" Type="http://schemas.openxmlformats.org/officeDocument/2006/relationships/hyperlink" Target="https://www.soccerstats.com/h2h.asp?league=colombia2&amp;fmid=42&amp;t1id=2&amp;t2id=4&amp;ly=2026" TargetMode="External"/><Relationship Id="rId961" Type="http://schemas.openxmlformats.org/officeDocument/2006/relationships/hyperlink" Target="https://www.soccerstats.com/pmatch.asp?league=chile2&amp;stats=165-2-6-2026" TargetMode="External"/><Relationship Id="rId90" Type="http://schemas.openxmlformats.org/officeDocument/2006/relationships/hyperlink" Target="https://www.soccerstats.com/pmatch.asp?league=australia6&amp;stats=131-10-5-2026" TargetMode="External"/><Relationship Id="rId186" Type="http://schemas.openxmlformats.org/officeDocument/2006/relationships/hyperlink" Target="https://www.soccerstats.com/h2h.asp?league=england6&amp;fmid=15&amp;t1id=4&amp;t2id=5&amp;ly=2026" TargetMode="External"/><Relationship Id="rId393" Type="http://schemas.openxmlformats.org/officeDocument/2006/relationships/hyperlink" Target="https://www.soccerstats.com/h2h.asp?league=russia&amp;fmid=27&amp;t1id=1&amp;t2id=7&amp;ly=2026" TargetMode="External"/><Relationship Id="rId407" Type="http://schemas.openxmlformats.org/officeDocument/2006/relationships/hyperlink" Target="https://www.soccerstats.com/h2h.asp?league=scotland4&amp;fmid=11&amp;t1id=8&amp;t2id=10&amp;ly=2026" TargetMode="External"/><Relationship Id="rId614" Type="http://schemas.openxmlformats.org/officeDocument/2006/relationships/hyperlink" Target="https://www.soccerstats.com/h2h.asp?league=germany8&amp;fmid=33&amp;t1id=16&amp;t2id=7&amp;ly=2026" TargetMode="External"/><Relationship Id="rId821" Type="http://schemas.openxmlformats.org/officeDocument/2006/relationships/hyperlink" Target="https://www.soccerstats.com/pmatch.asp?league=kazakhstan&amp;stats=37-3-12-2026" TargetMode="External"/><Relationship Id="rId253" Type="http://schemas.openxmlformats.org/officeDocument/2006/relationships/hyperlink" Target="https://www.soccerstats.com/pmatch.asp?league=finland6&amp;stats=83-3-6-2026" TargetMode="External"/><Relationship Id="rId460" Type="http://schemas.openxmlformats.org/officeDocument/2006/relationships/hyperlink" Target="https://www.soccerstats.com/h2h.asp?league=turkey2&amp;fmid=18&amp;t1id=16&amp;t2id=13&amp;ly=2026" TargetMode="External"/><Relationship Id="rId698" Type="http://schemas.openxmlformats.org/officeDocument/2006/relationships/hyperlink" Target="https://www.soccerstats.com/pmatch.asp?league=australia7&amp;stats=127-5-7-2026" TargetMode="External"/><Relationship Id="rId919" Type="http://schemas.openxmlformats.org/officeDocument/2006/relationships/hyperlink" Target="https://www.soccerstats.com/pmatch.asp?league=usa&amp;stats=282-30-22-2026" TargetMode="External"/><Relationship Id="rId48" Type="http://schemas.openxmlformats.org/officeDocument/2006/relationships/hyperlink" Target="https://www.soccerstats.com/h2h.asp?league=england5&amp;fmid=18&amp;t1id=22&amp;t2id=3&amp;ly=2026" TargetMode="External"/><Relationship Id="rId113" Type="http://schemas.openxmlformats.org/officeDocument/2006/relationships/hyperlink" Target="https://www.soccerstats.com/h2h.asp?league=belgium2&amp;fmid=3&amp;t1id=5&amp;t2id=6&amp;ly=2026" TargetMode="External"/><Relationship Id="rId320" Type="http://schemas.openxmlformats.org/officeDocument/2006/relationships/hyperlink" Target="https://www.soccerstats.com/h2h.asp?league=japan3&amp;fmid=13&amp;t1id=6&amp;t2id=19&amp;ly=2026" TargetMode="External"/><Relationship Id="rId558" Type="http://schemas.openxmlformats.org/officeDocument/2006/relationships/hyperlink" Target="https://www.soccerstats.com/h2h.asp?league=azerbaijan&amp;fmid=3&amp;t1id=5&amp;t2id=6&amp;ly=2026" TargetMode="External"/><Relationship Id="rId765" Type="http://schemas.openxmlformats.org/officeDocument/2006/relationships/hyperlink" Target="https://www.soccerstats.com/h2h.asp?league=denmark2&amp;fmid=24&amp;t1id=6&amp;t2id=2&amp;ly=2026" TargetMode="External"/><Relationship Id="rId972" Type="http://schemas.openxmlformats.org/officeDocument/2006/relationships/hyperlink" Target="https://www.soccerstats.com/h2h.asp?league=hungary&amp;fmid=18&amp;t1id=10&amp;t2id=8&amp;ly=2026" TargetMode="External"/><Relationship Id="rId197" Type="http://schemas.openxmlformats.org/officeDocument/2006/relationships/hyperlink" Target="https://www.soccerstats.com/h2h.asp?league=england7&amp;fmid=15&amp;t1id=22&amp;t2id=5&amp;ly=2026" TargetMode="External"/><Relationship Id="rId418" Type="http://schemas.openxmlformats.org/officeDocument/2006/relationships/hyperlink" Target="https://www.soccerstats.com/h2h.asp?league=slovakia&amp;fmid=22&amp;t1id=5&amp;t2id=3&amp;ly=2026" TargetMode="External"/><Relationship Id="rId625" Type="http://schemas.openxmlformats.org/officeDocument/2006/relationships/hyperlink" Target="https://www.soccerstats.com/h2h.asp?league=japan&amp;fmid=11&amp;t1id=17&amp;t2id=13&amp;ly=2026" TargetMode="External"/><Relationship Id="rId832" Type="http://schemas.openxmlformats.org/officeDocument/2006/relationships/hyperlink" Target="https://www.soccerstats.com/h2h.asp?league=montenegro&amp;fmid=11&amp;t1id=2&amp;t2id=4&amp;ly=2026" TargetMode="External"/><Relationship Id="rId264" Type="http://schemas.openxmlformats.org/officeDocument/2006/relationships/hyperlink" Target="https://www.soccerstats.com/h2h.asp?league=germany4&amp;fmid=27&amp;t1id=2&amp;t2id=13&amp;ly=2026" TargetMode="External"/><Relationship Id="rId471" Type="http://schemas.openxmlformats.org/officeDocument/2006/relationships/hyperlink" Target="https://www.soccerstats.com/pmatch.asp?league=usa&amp;stats=273-7-3-2026" TargetMode="External"/><Relationship Id="rId59" Type="http://schemas.openxmlformats.org/officeDocument/2006/relationships/hyperlink" Target="https://www.soccerstats.com/h2h.asp?league=germany2&amp;fmid=14&amp;t1id=2&amp;t2id=9&amp;ly=2026" TargetMode="External"/><Relationship Id="rId124" Type="http://schemas.openxmlformats.org/officeDocument/2006/relationships/hyperlink" Target="https://www.soccerstats.com/pmatch.asp?league=brazil2&amp;stats=214-6-9-2026" TargetMode="External"/><Relationship Id="rId569" Type="http://schemas.openxmlformats.org/officeDocument/2006/relationships/hyperlink" Target="https://www.soccerstats.com/h2h.asp?league=bulgaria&amp;fmid=34&amp;t1id=2&amp;t2id=10&amp;ly=2026" TargetMode="External"/><Relationship Id="rId776" Type="http://schemas.openxmlformats.org/officeDocument/2006/relationships/hyperlink" Target="https://www.soccerstats.com/pmatch.asp?league=faroeislands&amp;stats=94-1-8-2026" TargetMode="External"/><Relationship Id="rId983" Type="http://schemas.openxmlformats.org/officeDocument/2006/relationships/hyperlink" Target="https://www.soccerstats.com/pmatch.asp?league=mexico&amp;stats=33-14-15-2026" TargetMode="External"/><Relationship Id="rId331" Type="http://schemas.openxmlformats.org/officeDocument/2006/relationships/hyperlink" Target="https://www.soccerstats.com/h2h.asp?league=netherlands3&amp;fmid=1&amp;t1id=1&amp;t2id=2&amp;ly=2026" TargetMode="External"/><Relationship Id="rId429" Type="http://schemas.openxmlformats.org/officeDocument/2006/relationships/hyperlink" Target="https://www.soccerstats.com/pmatch.asp?league=southkorea2&amp;stats=169-15-8-2026" TargetMode="External"/><Relationship Id="rId636" Type="http://schemas.openxmlformats.org/officeDocument/2006/relationships/hyperlink" Target="https://www.soccerstats.com/h2h.asp?league=russia&amp;fmid=25&amp;t1id=11&amp;t2id=13&amp;ly=2026" TargetMode="External"/><Relationship Id="rId843" Type="http://schemas.openxmlformats.org/officeDocument/2006/relationships/hyperlink" Target="https://www.soccerstats.com/pmatch.asp?league=norway2&amp;stats=138-14-3-2026" TargetMode="External"/><Relationship Id="rId275" Type="http://schemas.openxmlformats.org/officeDocument/2006/relationships/hyperlink" Target="https://www.soccerstats.com/h2h.asp?league=germany7&amp;fmid=13&amp;t1id=8&amp;t2id=9&amp;ly=2026" TargetMode="External"/><Relationship Id="rId482" Type="http://schemas.openxmlformats.org/officeDocument/2006/relationships/hyperlink" Target="https://www.soccerstats.com/pmatch.asp?league=usa3&amp;stats=194-2-16-2026" TargetMode="External"/><Relationship Id="rId703" Type="http://schemas.openxmlformats.org/officeDocument/2006/relationships/hyperlink" Target="https://www.soccerstats.com/pmatch.asp?league=australia11&amp;stats=223-14-10-2026" TargetMode="External"/><Relationship Id="rId910" Type="http://schemas.openxmlformats.org/officeDocument/2006/relationships/hyperlink" Target="https://www.soccerstats.com/h2h.asp?league=turkey2&amp;fmid=11&amp;t1id=12&amp;t2id=3&amp;ly=2026" TargetMode="External"/><Relationship Id="rId135" Type="http://schemas.openxmlformats.org/officeDocument/2006/relationships/hyperlink" Target="https://www.soccerstats.com/pmatch.asp?league=brazil5&amp;stats=136-1-10-2026" TargetMode="External"/><Relationship Id="rId342" Type="http://schemas.openxmlformats.org/officeDocument/2006/relationships/hyperlink" Target="https://www.soccerstats.com/h2h.asp?league=northernireland&amp;fmid=9&amp;t1id=2&amp;t2id=10&amp;ly=2026" TargetMode="External"/><Relationship Id="rId787" Type="http://schemas.openxmlformats.org/officeDocument/2006/relationships/hyperlink" Target="https://www.soccerstats.com/pmatch.asp?league=finland6&amp;stats=85-2-4-2026" TargetMode="External"/><Relationship Id="rId994" Type="http://schemas.openxmlformats.org/officeDocument/2006/relationships/hyperlink" Target="https://www.soccerstats.com/h2h.asp?league=ukraine&amp;fmid=23&amp;t1id=8&amp;t2id=1&amp;ly=2026" TargetMode="External"/><Relationship Id="rId202" Type="http://schemas.openxmlformats.org/officeDocument/2006/relationships/hyperlink" Target="https://www.soccerstats.com/h2h.asp?league=england8&amp;fmid=442&amp;t1id=22&amp;t2id=2&amp;ly=2026" TargetMode="External"/><Relationship Id="rId647" Type="http://schemas.openxmlformats.org/officeDocument/2006/relationships/hyperlink" Target="https://www.soccerstats.com/pmatch.asp?league=sweden4&amp;stats=129-10-8-2026" TargetMode="External"/><Relationship Id="rId854" Type="http://schemas.openxmlformats.org/officeDocument/2006/relationships/hyperlink" Target="https://www.soccerstats.com/h2h.asp?league=paraguay2&amp;fmid=30&amp;t1id=11&amp;t2id=8&amp;ly=2026" TargetMode="External"/><Relationship Id="rId286" Type="http://schemas.openxmlformats.org/officeDocument/2006/relationships/hyperlink" Target="https://www.soccerstats.com/h2h.asp?league=hungary2&amp;fmid=26&amp;t1id=1&amp;t2id=13&amp;ly=2026" TargetMode="External"/><Relationship Id="rId493" Type="http://schemas.openxmlformats.org/officeDocument/2006/relationships/hyperlink" Target="https://www.soccerstats.com/pmatch.asp?league=argentina2&amp;stats=57-20-23-2026" TargetMode="External"/><Relationship Id="rId507" Type="http://schemas.openxmlformats.org/officeDocument/2006/relationships/hyperlink" Target="https://www.soccerstats.com/h2h.asp?league=germany4&amp;fmid=20&amp;t1id=9&amp;t2id=14&amp;ly=2026" TargetMode="External"/><Relationship Id="rId714" Type="http://schemas.openxmlformats.org/officeDocument/2006/relationships/hyperlink" Target="https://www.soccerstats.com/h2h.asp?league=belgium&amp;fmid=18&amp;t1id=10&amp;t2id=3&amp;ly=2026" TargetMode="External"/><Relationship Id="rId921" Type="http://schemas.openxmlformats.org/officeDocument/2006/relationships/hyperlink" Target="https://www.soccerstats.com/pmatch.asp?league=usa&amp;stats=283-19-23-2026" TargetMode="External"/><Relationship Id="rId50" Type="http://schemas.openxmlformats.org/officeDocument/2006/relationships/hyperlink" Target="https://www.soccerstats.com/h2h.asp?league=england5&amp;fmid=16&amp;t1id=20&amp;t2id=23&amp;ly=2026" TargetMode="External"/><Relationship Id="rId146" Type="http://schemas.openxmlformats.org/officeDocument/2006/relationships/hyperlink" Target="https://www.soccerstats.com/pmatch.asp?league=china&amp;stats=183-7-12-2026" TargetMode="External"/><Relationship Id="rId353" Type="http://schemas.openxmlformats.org/officeDocument/2006/relationships/hyperlink" Target="https://www.soccerstats.com/pmatch.asp?league=norway2&amp;stats=140-9-7-2026" TargetMode="External"/><Relationship Id="rId560" Type="http://schemas.openxmlformats.org/officeDocument/2006/relationships/hyperlink" Target="https://www.soccerstats.com/h2h.asp?league=azerbaijan&amp;fmid=1&amp;t1id=1&amp;t2id=2&amp;ly=2026" TargetMode="External"/><Relationship Id="rId798" Type="http://schemas.openxmlformats.org/officeDocument/2006/relationships/hyperlink" Target="https://www.soccerstats.com/pmatch.asp?league=germany5&amp;stats=41-12-16-2027" TargetMode="External"/><Relationship Id="rId213" Type="http://schemas.openxmlformats.org/officeDocument/2006/relationships/hyperlink" Target="https://www.soccerstats.com/h2h.asp?league=england9&amp;fmid=31&amp;t1id=4&amp;t2id=1&amp;ly=2026" TargetMode="External"/><Relationship Id="rId420" Type="http://schemas.openxmlformats.org/officeDocument/2006/relationships/hyperlink" Target="https://www.soccerstats.com/h2h.asp?league=slovenia&amp;fmid=25&amp;t1id=7&amp;t2id=10&amp;ly=2026" TargetMode="External"/><Relationship Id="rId658" Type="http://schemas.openxmlformats.org/officeDocument/2006/relationships/hyperlink" Target="https://www.soccerstats.com/h2h.asp?league=wales&amp;fmid=17&amp;t1id=14&amp;t2id=5&amp;ly=2026" TargetMode="External"/><Relationship Id="rId865" Type="http://schemas.openxmlformats.org/officeDocument/2006/relationships/hyperlink" Target="https://www.soccerstats.com/h2h.asp?league=poland3&amp;fmid=29&amp;t1id=9&amp;t2id=13&amp;ly=2026" TargetMode="External"/><Relationship Id="rId297" Type="http://schemas.openxmlformats.org/officeDocument/2006/relationships/hyperlink" Target="https://www.soccerstats.com/pmatch.asp?league=ireland3&amp;stats=90-10-9-2026" TargetMode="External"/><Relationship Id="rId518" Type="http://schemas.openxmlformats.org/officeDocument/2006/relationships/hyperlink" Target="https://www.soccerstats.com/h2h.asp?league=england2&amp;fmid=1&amp;t1id=1&amp;t2id=2&amp;ly=2026" TargetMode="External"/><Relationship Id="rId725" Type="http://schemas.openxmlformats.org/officeDocument/2006/relationships/hyperlink" Target="https://www.soccerstats.com/pmatch.asp?league=brazil2&amp;stats=212-2-17-2026" TargetMode="External"/><Relationship Id="rId932" Type="http://schemas.openxmlformats.org/officeDocument/2006/relationships/hyperlink" Target="https://www.soccerstats.com/pmatch.asp?league=usa3&amp;stats=195-10-13-2026" TargetMode="External"/><Relationship Id="rId157" Type="http://schemas.openxmlformats.org/officeDocument/2006/relationships/hyperlink" Target="https://www.soccerstats.com/h2h.asp?league=czechrepublic&amp;fmid=28&amp;t1id=4&amp;t2id=15&amp;ly=2026" TargetMode="External"/><Relationship Id="rId364" Type="http://schemas.openxmlformats.org/officeDocument/2006/relationships/hyperlink" Target="https://www.soccerstats.com/pmatch.asp?league=norway11&amp;stats=71-7-1-2026" TargetMode="External"/><Relationship Id="rId61" Type="http://schemas.openxmlformats.org/officeDocument/2006/relationships/hyperlink" Target="https://www.soccerstats.com/h2h.asp?league=germany2&amp;fmid=15&amp;t1id=12&amp;t2id=5&amp;ly=2026" TargetMode="External"/><Relationship Id="rId571" Type="http://schemas.openxmlformats.org/officeDocument/2006/relationships/hyperlink" Target="https://www.soccerstats.com/pmatch.asp?league=chile&amp;stats=145-7-11-2026" TargetMode="External"/><Relationship Id="rId669" Type="http://schemas.openxmlformats.org/officeDocument/2006/relationships/hyperlink" Target="https://www.soccerstats.com/h2h.asp?league=portugal&amp;fmid=15&amp;t1id=10&amp;t2id=13&amp;ly=2026" TargetMode="External"/><Relationship Id="rId876" Type="http://schemas.openxmlformats.org/officeDocument/2006/relationships/hyperlink" Target="https://www.soccerstats.com/h2h.asp?league=russia&amp;fmid=32&amp;t1id=2&amp;t2id=9&amp;ly=2026" TargetMode="External"/><Relationship Id="rId19" Type="http://schemas.openxmlformats.org/officeDocument/2006/relationships/hyperlink" Target="https://www.soccerstats.com/h2h.asp?league=england3&amp;fmid=2&amp;t1id=3&amp;t2id=4&amp;ly=2026" TargetMode="External"/><Relationship Id="rId224" Type="http://schemas.openxmlformats.org/officeDocument/2006/relationships/hyperlink" Target="https://www.soccerstats.com/h2h.asp?league=england10&amp;fmid=30&amp;t1id=18&amp;t2id=19&amp;ly=2026" TargetMode="External"/><Relationship Id="rId431" Type="http://schemas.openxmlformats.org/officeDocument/2006/relationships/hyperlink" Target="https://www.soccerstats.com/pmatch.asp?league=southkorea2&amp;stats=171-1-11-2026" TargetMode="External"/><Relationship Id="rId529" Type="http://schemas.openxmlformats.org/officeDocument/2006/relationships/hyperlink" Target="https://www.soccerstats.com/h2h.asp?league=germany2&amp;fmid=10&amp;t1id=4&amp;t2id=1&amp;ly=2026" TargetMode="External"/><Relationship Id="rId736" Type="http://schemas.openxmlformats.org/officeDocument/2006/relationships/hyperlink" Target="https://www.soccerstats.com/h2h.asp?league=bulgaria2&amp;fmid=28&amp;t1id=5&amp;t2id=3&amp;ly=2026" TargetMode="External"/><Relationship Id="rId168" Type="http://schemas.openxmlformats.org/officeDocument/2006/relationships/hyperlink" Target="https://www.soccerstats.com/h2h.asp?league=czechrepublic2&amp;fmid=31&amp;t1id=2&amp;t2id=15&amp;ly=2026" TargetMode="External"/><Relationship Id="rId943" Type="http://schemas.openxmlformats.org/officeDocument/2006/relationships/hyperlink" Target="https://www.soccerstats.com/h2h.asp?league=spain2&amp;fmid=10&amp;t1id=19&amp;t2id=20&amp;ly=2026" TargetMode="External"/><Relationship Id="rId72" Type="http://schemas.openxmlformats.org/officeDocument/2006/relationships/hyperlink" Target="https://www.soccerstats.com/pmatch.asp?league=argentina3&amp;stats=434-23-14-2026" TargetMode="External"/><Relationship Id="rId375" Type="http://schemas.openxmlformats.org/officeDocument/2006/relationships/hyperlink" Target="https://www.soccerstats.com/pmatch.asp?league=peru2&amp;stats=38-7-16-2026" TargetMode="External"/><Relationship Id="rId582" Type="http://schemas.openxmlformats.org/officeDocument/2006/relationships/hyperlink" Target="https://www.soccerstats.com/h2h.asp?league=czechrepublic2&amp;fmid=25&amp;t1id=6&amp;t2id=14&amp;ly=2026" TargetMode="External"/><Relationship Id="rId803" Type="http://schemas.openxmlformats.org/officeDocument/2006/relationships/hyperlink" Target="https://www.soccerstats.com/h2h.asp?league=germany7&amp;fmid=16&amp;t1id=16&amp;t2id=7&amp;ly=2026" TargetMode="External"/><Relationship Id="rId3" Type="http://schemas.openxmlformats.org/officeDocument/2006/relationships/hyperlink" Target="https://www.soccerstats.com/h2h.asp?league=netherlands&amp;fmid=11&amp;t1id=6&amp;t2id=3&amp;ly=2026" TargetMode="External"/><Relationship Id="rId235" Type="http://schemas.openxmlformats.org/officeDocument/2006/relationships/hyperlink" Target="https://www.soccerstats.com/pmatch.asp?league=estonia2&amp;stats=163-3-5-2026" TargetMode="External"/><Relationship Id="rId442" Type="http://schemas.openxmlformats.org/officeDocument/2006/relationships/hyperlink" Target="https://www.soccerstats.com/pmatch.asp?league=sweden3&amp;stats=130-8-6-2026" TargetMode="External"/><Relationship Id="rId887" Type="http://schemas.openxmlformats.org/officeDocument/2006/relationships/hyperlink" Target="https://www.soccerstats.com/pmatch.asp?league=southkorea2&amp;stats=175-7-13-2026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25" name="AutoShape 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26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27" name="AutoShape 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28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29" name="AutoShape 5" descr="NETHERLANDS"/>
        <xdr:cNvSpPr>
          <a:spLocks noChangeAspect="1" noChangeArrowheads="1"/>
        </xdr:cNvSpPr>
      </xdr:nvSpPr>
      <xdr:spPr bwMode="auto">
        <a:xfrm>
          <a:off x="0" y="60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30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60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31" name="AutoShape 7" descr="NETHERLANDS"/>
        <xdr:cNvSpPr>
          <a:spLocks noChangeAspect="1" noChangeArrowheads="1"/>
        </xdr:cNvSpPr>
      </xdr:nvSpPr>
      <xdr:spPr bwMode="auto">
        <a:xfrm>
          <a:off x="0" y="853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32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853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33" name="AutoShape 9" descr="NETHERLANDS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34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35" name="AutoShape 11" descr="NETHERLANDS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36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37" name="AutoShape 13" descr="PORTUGAL"/>
        <xdr:cNvSpPr>
          <a:spLocks noChangeAspect="1" noChangeArrowheads="1"/>
        </xdr:cNvSpPr>
      </xdr:nvSpPr>
      <xdr:spPr bwMode="auto">
        <a:xfrm>
          <a:off x="0" y="153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38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153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39" name="AutoShape 15" descr="PORTUGAL"/>
        <xdr:cNvSpPr>
          <a:spLocks noChangeAspect="1" noChangeArrowheads="1"/>
        </xdr:cNvSpPr>
      </xdr:nvSpPr>
      <xdr:spPr bwMode="auto">
        <a:xfrm>
          <a:off x="0" y="17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40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17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41" name="AutoShape 17" descr="PORTUGAL"/>
        <xdr:cNvSpPr>
          <a:spLocks noChangeAspect="1" noChangeArrowheads="1"/>
        </xdr:cNvSpPr>
      </xdr:nvSpPr>
      <xdr:spPr bwMode="auto">
        <a:xfrm>
          <a:off x="0" y="20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42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20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43" name="AutoShape 19" descr="ENGLAND2"/>
        <xdr:cNvSpPr>
          <a:spLocks noChangeAspect="1" noChangeArrowheads="1"/>
        </xdr:cNvSpPr>
      </xdr:nvSpPr>
      <xdr:spPr bwMode="auto">
        <a:xfrm>
          <a:off x="0" y="220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44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45" name="AutoShape 21" descr="ENGLAND2"/>
        <xdr:cNvSpPr>
          <a:spLocks noChangeAspect="1" noChangeArrowheads="1"/>
        </xdr:cNvSpPr>
      </xdr:nvSpPr>
      <xdr:spPr bwMode="auto">
        <a:xfrm>
          <a:off x="0" y="23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46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23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47" name="AutoShape 23" descr="ENGLAND2"/>
        <xdr:cNvSpPr>
          <a:spLocks noChangeAspect="1" noChangeArrowheads="1"/>
        </xdr:cNvSpPr>
      </xdr:nvSpPr>
      <xdr:spPr bwMode="auto">
        <a:xfrm>
          <a:off x="0" y="25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48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49" name="AutoShape 25" descr="ENGLAND2"/>
        <xdr:cNvSpPr>
          <a:spLocks noChangeAspect="1" noChangeArrowheads="1"/>
        </xdr:cNvSpPr>
      </xdr:nvSpPr>
      <xdr:spPr bwMode="auto">
        <a:xfrm>
          <a:off x="0" y="27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50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51" name="AutoShape 27" descr="ENGLAND2"/>
        <xdr:cNvSpPr>
          <a:spLocks noChangeAspect="1" noChangeArrowheads="1"/>
        </xdr:cNvSpPr>
      </xdr:nvSpPr>
      <xdr:spPr bwMode="auto">
        <a:xfrm>
          <a:off x="0" y="29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52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53" name="AutoShape 29" descr="ENGLAND2"/>
        <xdr:cNvSpPr>
          <a:spLocks noChangeAspect="1" noChangeArrowheads="1"/>
        </xdr:cNvSpPr>
      </xdr:nvSpPr>
      <xdr:spPr bwMode="auto">
        <a:xfrm>
          <a:off x="0" y="31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54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55" name="AutoShape 31" descr="ENGLAND2"/>
        <xdr:cNvSpPr>
          <a:spLocks noChangeAspect="1" noChangeArrowheads="1"/>
        </xdr:cNvSpPr>
      </xdr:nvSpPr>
      <xdr:spPr bwMode="auto">
        <a:xfrm>
          <a:off x="0" y="333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56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33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57" name="AutoShape 33" descr="ENGLAND2"/>
        <xdr:cNvSpPr>
          <a:spLocks noChangeAspect="1" noChangeArrowheads="1"/>
        </xdr:cNvSpPr>
      </xdr:nvSpPr>
      <xdr:spPr bwMode="auto">
        <a:xfrm>
          <a:off x="0" y="351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58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51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59" name="AutoShape 35" descr="ENGLAND3"/>
        <xdr:cNvSpPr>
          <a:spLocks noChangeAspect="1" noChangeArrowheads="1"/>
        </xdr:cNvSpPr>
      </xdr:nvSpPr>
      <xdr:spPr bwMode="auto">
        <a:xfrm>
          <a:off x="0" y="37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60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7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61" name="AutoShape 37" descr="ENGLAND3"/>
        <xdr:cNvSpPr>
          <a:spLocks noChangeAspect="1" noChangeArrowheads="1"/>
        </xdr:cNvSpPr>
      </xdr:nvSpPr>
      <xdr:spPr bwMode="auto">
        <a:xfrm>
          <a:off x="0" y="39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62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9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63" name="AutoShape 39" descr="ENGLAND3"/>
        <xdr:cNvSpPr>
          <a:spLocks noChangeAspect="1" noChangeArrowheads="1"/>
        </xdr:cNvSpPr>
      </xdr:nvSpPr>
      <xdr:spPr bwMode="auto">
        <a:xfrm>
          <a:off x="0" y="419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64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65" name="AutoShape 41" descr="ENGLAND3"/>
        <xdr:cNvSpPr>
          <a:spLocks noChangeAspect="1" noChangeArrowheads="1"/>
        </xdr:cNvSpPr>
      </xdr:nvSpPr>
      <xdr:spPr bwMode="auto">
        <a:xfrm>
          <a:off x="0" y="436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66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436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67" name="AutoShape 43" descr="ENGLAND3"/>
        <xdr:cNvSpPr>
          <a:spLocks noChangeAspect="1" noChangeArrowheads="1"/>
        </xdr:cNvSpPr>
      </xdr:nvSpPr>
      <xdr:spPr bwMode="auto">
        <a:xfrm>
          <a:off x="0" y="454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68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454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69" name="AutoShape 45" descr="ENGLAND3"/>
        <xdr:cNvSpPr>
          <a:spLocks noChangeAspect="1" noChangeArrowheads="1"/>
        </xdr:cNvSpPr>
      </xdr:nvSpPr>
      <xdr:spPr bwMode="auto">
        <a:xfrm>
          <a:off x="0" y="471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70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471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71" name="AutoShape 47" descr="ENGLAND3"/>
        <xdr:cNvSpPr>
          <a:spLocks noChangeAspect="1" noChangeArrowheads="1"/>
        </xdr:cNvSpPr>
      </xdr:nvSpPr>
      <xdr:spPr bwMode="auto">
        <a:xfrm>
          <a:off x="0" y="489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72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489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73" name="AutoShape 49" descr="ENGLAND3"/>
        <xdr:cNvSpPr>
          <a:spLocks noChangeAspect="1" noChangeArrowheads="1"/>
        </xdr:cNvSpPr>
      </xdr:nvSpPr>
      <xdr:spPr bwMode="auto">
        <a:xfrm>
          <a:off x="0" y="514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74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51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75" name="AutoShape 51" descr="ENGLAND3"/>
        <xdr:cNvSpPr>
          <a:spLocks noChangeAspect="1" noChangeArrowheads="1"/>
        </xdr:cNvSpPr>
      </xdr:nvSpPr>
      <xdr:spPr bwMode="auto">
        <a:xfrm>
          <a:off x="0" y="539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76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539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77" name="AutoShape 53" descr="ENGLAND3"/>
        <xdr:cNvSpPr>
          <a:spLocks noChangeAspect="1" noChangeArrowheads="1"/>
        </xdr:cNvSpPr>
      </xdr:nvSpPr>
      <xdr:spPr bwMode="auto">
        <a:xfrm>
          <a:off x="0" y="564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78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564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79" name="AutoShape 55" descr="ENGLAND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80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81" name="AutoShape 57" descr="ENGLAND3"/>
        <xdr:cNvSpPr>
          <a:spLocks noChangeAspect="1" noChangeArrowheads="1"/>
        </xdr:cNvSpPr>
      </xdr:nvSpPr>
      <xdr:spPr bwMode="auto">
        <a:xfrm>
          <a:off x="0" y="599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82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599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83" name="AutoShape 59" descr="ENGLAND4"/>
        <xdr:cNvSpPr>
          <a:spLocks noChangeAspect="1" noChangeArrowheads="1"/>
        </xdr:cNvSpPr>
      </xdr:nvSpPr>
      <xdr:spPr bwMode="auto">
        <a:xfrm>
          <a:off x="0" y="617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84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85" name="AutoShape 61" descr="ENGLAND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86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87" name="AutoShape 63" descr="ENGLAND4"/>
        <xdr:cNvSpPr>
          <a:spLocks noChangeAspect="1" noChangeArrowheads="1"/>
        </xdr:cNvSpPr>
      </xdr:nvSpPr>
      <xdr:spPr bwMode="auto">
        <a:xfrm>
          <a:off x="0" y="652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88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652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89" name="AutoShape 65" descr="ENGLAND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90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91" name="AutoShape 67" descr="ENGLAND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92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93" name="AutoShape 69" descr="ENGLAND4"/>
        <xdr:cNvSpPr>
          <a:spLocks noChangeAspect="1" noChangeArrowheads="1"/>
        </xdr:cNvSpPr>
      </xdr:nvSpPr>
      <xdr:spPr bwMode="auto">
        <a:xfrm>
          <a:off x="0" y="71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94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71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95" name="AutoShape 71" descr="ENGLAND4"/>
        <xdr:cNvSpPr>
          <a:spLocks noChangeAspect="1" noChangeArrowheads="1"/>
        </xdr:cNvSpPr>
      </xdr:nvSpPr>
      <xdr:spPr bwMode="auto">
        <a:xfrm>
          <a:off x="0" y="72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96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72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97" name="AutoShape 73" descr="ENGLAND4"/>
        <xdr:cNvSpPr>
          <a:spLocks noChangeAspect="1" noChangeArrowheads="1"/>
        </xdr:cNvSpPr>
      </xdr:nvSpPr>
      <xdr:spPr bwMode="auto">
        <a:xfrm>
          <a:off x="0" y="755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98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755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99" name="AutoShape 75" descr="ENGLAND4"/>
        <xdr:cNvSpPr>
          <a:spLocks noChangeAspect="1" noChangeArrowheads="1"/>
        </xdr:cNvSpPr>
      </xdr:nvSpPr>
      <xdr:spPr bwMode="auto">
        <a:xfrm>
          <a:off x="0" y="77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00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77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01" name="AutoShape 77" descr="ENGLAND4"/>
        <xdr:cNvSpPr>
          <a:spLocks noChangeAspect="1" noChangeArrowheads="1"/>
        </xdr:cNvSpPr>
      </xdr:nvSpPr>
      <xdr:spPr bwMode="auto">
        <a:xfrm>
          <a:off x="0" y="79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02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79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03" name="AutoShape 79" descr="ENGLAND4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04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05" name="AutoShape 81" descr="ENGLAND4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06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07" name="AutoShape 83" descr="ENGLAND5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08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09" name="AutoShape 85" descr="ENGLAND5"/>
        <xdr:cNvSpPr>
          <a:spLocks noChangeAspect="1" noChangeArrowheads="1"/>
        </xdr:cNvSpPr>
      </xdr:nvSpPr>
      <xdr:spPr bwMode="auto">
        <a:xfrm>
          <a:off x="0" y="875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10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875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11" name="AutoShape 87" descr="ENGLAND5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12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13" name="AutoShape 89" descr="ENGLAND5"/>
        <xdr:cNvSpPr>
          <a:spLocks noChangeAspect="1" noChangeArrowheads="1"/>
        </xdr:cNvSpPr>
      </xdr:nvSpPr>
      <xdr:spPr bwMode="auto">
        <a:xfrm>
          <a:off x="0" y="910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14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910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15" name="AutoShape 91" descr="ENGLAND5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16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17" name="AutoShape 93" descr="ENGLAND5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18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19" name="AutoShape 95" descr="ENGLAND5"/>
        <xdr:cNvSpPr>
          <a:spLocks noChangeAspect="1" noChangeArrowheads="1"/>
        </xdr:cNvSpPr>
      </xdr:nvSpPr>
      <xdr:spPr bwMode="auto">
        <a:xfrm>
          <a:off x="0" y="986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20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986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21" name="AutoShape 97" descr="ENGLAND5"/>
        <xdr:cNvSpPr>
          <a:spLocks noChangeAspect="1" noChangeArrowheads="1"/>
        </xdr:cNvSpPr>
      </xdr:nvSpPr>
      <xdr:spPr bwMode="auto">
        <a:xfrm>
          <a:off x="0" y="1003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22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1003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23" name="AutoShape 99" descr="ENGLAND5"/>
        <xdr:cNvSpPr>
          <a:spLocks noChangeAspect="1" noChangeArrowheads="1"/>
        </xdr:cNvSpPr>
      </xdr:nvSpPr>
      <xdr:spPr bwMode="auto">
        <a:xfrm>
          <a:off x="0" y="1021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24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1021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25" name="AutoShape 101" descr="ENGLAND5"/>
        <xdr:cNvSpPr>
          <a:spLocks noChangeAspect="1" noChangeArrowheads="1"/>
        </xdr:cNvSpPr>
      </xdr:nvSpPr>
      <xdr:spPr bwMode="auto">
        <a:xfrm>
          <a:off x="0" y="1038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26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1038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27" name="AutoShape 103" descr="ENGLAND5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28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29" name="AutoShape 105" descr="ENGLAND5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30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31" name="AutoShape 107" descr="SPAIN2"/>
        <xdr:cNvSpPr>
          <a:spLocks noChangeAspect="1" noChangeArrowheads="1"/>
        </xdr:cNvSpPr>
      </xdr:nvSpPr>
      <xdr:spPr bwMode="auto">
        <a:xfrm>
          <a:off x="0" y="109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32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109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33" name="AutoShape 109" descr="SPAIN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34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35" name="AutoShape 111" descr="SPAIN2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36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37" name="AutoShape 113" descr="SPAIN2"/>
        <xdr:cNvSpPr>
          <a:spLocks noChangeAspect="1" noChangeArrowheads="1"/>
        </xdr:cNvSpPr>
      </xdr:nvSpPr>
      <xdr:spPr bwMode="auto">
        <a:xfrm>
          <a:off x="0" y="114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38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114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39" name="AutoShape 115" descr="GERMANY2"/>
        <xdr:cNvSpPr>
          <a:spLocks noChangeAspect="1" noChangeArrowheads="1"/>
        </xdr:cNvSpPr>
      </xdr:nvSpPr>
      <xdr:spPr bwMode="auto">
        <a:xfrm>
          <a:off x="0" y="116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40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116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41" name="AutoShape 117" descr="GERMANY2"/>
        <xdr:cNvSpPr>
          <a:spLocks noChangeAspect="1" noChangeArrowheads="1"/>
        </xdr:cNvSpPr>
      </xdr:nvSpPr>
      <xdr:spPr bwMode="auto">
        <a:xfrm>
          <a:off x="0" y="1186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42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1186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43" name="AutoShape 119" descr="GERMANY2"/>
        <xdr:cNvSpPr>
          <a:spLocks noChangeAspect="1" noChangeArrowheads="1"/>
        </xdr:cNvSpPr>
      </xdr:nvSpPr>
      <xdr:spPr bwMode="auto">
        <a:xfrm>
          <a:off x="0" y="1203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44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1203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45" name="AutoShape 121" descr="GERMANY2"/>
        <xdr:cNvSpPr>
          <a:spLocks noChangeAspect="1" noChangeArrowheads="1"/>
        </xdr:cNvSpPr>
      </xdr:nvSpPr>
      <xdr:spPr bwMode="auto">
        <a:xfrm>
          <a:off x="0" y="1221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46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1221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47" name="AutoShape 123" descr="NETHERLANDS2"/>
        <xdr:cNvSpPr>
          <a:spLocks noChangeAspect="1" noChangeArrowheads="1"/>
        </xdr:cNvSpPr>
      </xdr:nvSpPr>
      <xdr:spPr bwMode="auto">
        <a:xfrm>
          <a:off x="0" y="1239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48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1239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49" name="AutoShape 125" descr="ARGENTINA2"/>
        <xdr:cNvSpPr>
          <a:spLocks noChangeAspect="1" noChangeArrowheads="1"/>
        </xdr:cNvSpPr>
      </xdr:nvSpPr>
      <xdr:spPr bwMode="auto">
        <a:xfrm>
          <a:off x="0" y="125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50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125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51" name="AutoShape 127" descr="ARGENTINA2"/>
        <xdr:cNvSpPr>
          <a:spLocks noChangeAspect="1" noChangeArrowheads="1"/>
        </xdr:cNvSpPr>
      </xdr:nvSpPr>
      <xdr:spPr bwMode="auto">
        <a:xfrm>
          <a:off x="0" y="1274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52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1274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53" name="AutoShape 129" descr="ARGENTINA2"/>
        <xdr:cNvSpPr>
          <a:spLocks noChangeAspect="1" noChangeArrowheads="1"/>
        </xdr:cNvSpPr>
      </xdr:nvSpPr>
      <xdr:spPr bwMode="auto">
        <a:xfrm>
          <a:off x="0" y="129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54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129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55" name="AutoShape 131" descr="ARGENTINA2"/>
        <xdr:cNvSpPr>
          <a:spLocks noChangeAspect="1" noChangeArrowheads="1"/>
        </xdr:cNvSpPr>
      </xdr:nvSpPr>
      <xdr:spPr bwMode="auto">
        <a:xfrm>
          <a:off x="0" y="131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56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131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57" name="AutoShape 133" descr="ARGENTINA2"/>
        <xdr:cNvSpPr>
          <a:spLocks noChangeAspect="1" noChangeArrowheads="1"/>
        </xdr:cNvSpPr>
      </xdr:nvSpPr>
      <xdr:spPr bwMode="auto">
        <a:xfrm>
          <a:off x="0" y="1334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58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1334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59" name="AutoShape 135" descr="ARGENTINA3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60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61" name="AutoShape 137" descr="ARGENTINA3"/>
        <xdr:cNvSpPr>
          <a:spLocks noChangeAspect="1" noChangeArrowheads="1"/>
        </xdr:cNvSpPr>
      </xdr:nvSpPr>
      <xdr:spPr bwMode="auto">
        <a:xfrm>
          <a:off x="0" y="137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62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137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63" name="AutoShape 139" descr="ARGENTINA3"/>
        <xdr:cNvSpPr>
          <a:spLocks noChangeAspect="1" noChangeArrowheads="1"/>
        </xdr:cNvSpPr>
      </xdr:nvSpPr>
      <xdr:spPr bwMode="auto">
        <a:xfrm>
          <a:off x="0" y="1402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64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1402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65" name="AutoShape 141" descr="ARGENTINA3"/>
        <xdr:cNvSpPr>
          <a:spLocks noChangeAspect="1" noChangeArrowheads="1"/>
        </xdr:cNvSpPr>
      </xdr:nvSpPr>
      <xdr:spPr bwMode="auto">
        <a:xfrm>
          <a:off x="0" y="1427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66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1427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67" name="AutoShape 143" descr="ARGENTINA3"/>
        <xdr:cNvSpPr>
          <a:spLocks noChangeAspect="1" noChangeArrowheads="1"/>
        </xdr:cNvSpPr>
      </xdr:nvSpPr>
      <xdr:spPr bwMode="auto">
        <a:xfrm>
          <a:off x="0" y="1444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68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1444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69" name="AutoShape 145" descr="ARGENTINA3"/>
        <xdr:cNvSpPr>
          <a:spLocks noChangeAspect="1" noChangeArrowheads="1"/>
        </xdr:cNvSpPr>
      </xdr:nvSpPr>
      <xdr:spPr bwMode="auto">
        <a:xfrm>
          <a:off x="0" y="1462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70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1462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71" name="AutoShape 147" descr="ARGENTINA3"/>
        <xdr:cNvSpPr>
          <a:spLocks noChangeAspect="1" noChangeArrowheads="1"/>
        </xdr:cNvSpPr>
      </xdr:nvSpPr>
      <xdr:spPr bwMode="auto">
        <a:xfrm>
          <a:off x="0" y="1479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72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1479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73" name="AutoShape 149" descr="ARGENTINA3"/>
        <xdr:cNvSpPr>
          <a:spLocks noChangeAspect="1" noChangeArrowheads="1"/>
        </xdr:cNvSpPr>
      </xdr:nvSpPr>
      <xdr:spPr bwMode="auto">
        <a:xfrm>
          <a:off x="0" y="1504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74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1504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75" name="AutoShape 151" descr="ARMENIA"/>
        <xdr:cNvSpPr>
          <a:spLocks noChangeAspect="1" noChangeArrowheads="1"/>
        </xdr:cNvSpPr>
      </xdr:nvSpPr>
      <xdr:spPr bwMode="auto">
        <a:xfrm>
          <a:off x="0" y="152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76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152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77" name="AutoShape 153" descr="ARMENIA"/>
        <xdr:cNvSpPr>
          <a:spLocks noChangeAspect="1" noChangeArrowheads="1"/>
        </xdr:cNvSpPr>
      </xdr:nvSpPr>
      <xdr:spPr bwMode="auto">
        <a:xfrm>
          <a:off x="0" y="1547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78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1547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79" name="AutoShape 155" descr="AUSTRALIA3"/>
        <xdr:cNvSpPr>
          <a:spLocks noChangeAspect="1" noChangeArrowheads="1"/>
        </xdr:cNvSpPr>
      </xdr:nvSpPr>
      <xdr:spPr bwMode="auto">
        <a:xfrm>
          <a:off x="0" y="1572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80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1572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81" name="AutoShape 157" descr="AUSTRALIA3"/>
        <xdr:cNvSpPr>
          <a:spLocks noChangeAspect="1" noChangeArrowheads="1"/>
        </xdr:cNvSpPr>
      </xdr:nvSpPr>
      <xdr:spPr bwMode="auto">
        <a:xfrm>
          <a:off x="0" y="1597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82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1597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83" name="AutoShape 159" descr="AUSTRALIA3"/>
        <xdr:cNvSpPr>
          <a:spLocks noChangeAspect="1" noChangeArrowheads="1"/>
        </xdr:cNvSpPr>
      </xdr:nvSpPr>
      <xdr:spPr bwMode="auto">
        <a:xfrm>
          <a:off x="0" y="162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84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162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85" name="AutoShape 161" descr="AUSTRALIA5"/>
        <xdr:cNvSpPr>
          <a:spLocks noChangeAspect="1" noChangeArrowheads="1"/>
        </xdr:cNvSpPr>
      </xdr:nvSpPr>
      <xdr:spPr bwMode="auto">
        <a:xfrm>
          <a:off x="0" y="164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86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164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87" name="AutoShape 163" descr="AUSTRALIA5"/>
        <xdr:cNvSpPr>
          <a:spLocks noChangeAspect="1" noChangeArrowheads="1"/>
        </xdr:cNvSpPr>
      </xdr:nvSpPr>
      <xdr:spPr bwMode="auto">
        <a:xfrm>
          <a:off x="0" y="165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88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165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89" name="AutoShape 165" descr="AUSTRALIA5"/>
        <xdr:cNvSpPr>
          <a:spLocks noChangeAspect="1" noChangeArrowheads="1"/>
        </xdr:cNvSpPr>
      </xdr:nvSpPr>
      <xdr:spPr bwMode="auto">
        <a:xfrm>
          <a:off x="0" y="1675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90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1675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91" name="AutoShape 167" descr="AUSTRALIA5"/>
        <xdr:cNvSpPr>
          <a:spLocks noChangeAspect="1" noChangeArrowheads="1"/>
        </xdr:cNvSpPr>
      </xdr:nvSpPr>
      <xdr:spPr bwMode="auto">
        <a:xfrm>
          <a:off x="0" y="170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92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170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93" name="AutoShape 169" descr="AUSTRALIA5"/>
        <xdr:cNvSpPr>
          <a:spLocks noChangeAspect="1" noChangeArrowheads="1"/>
        </xdr:cNvSpPr>
      </xdr:nvSpPr>
      <xdr:spPr bwMode="auto">
        <a:xfrm>
          <a:off x="0" y="171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94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171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95" name="AutoShape 171" descr="AUSTRALIA6"/>
        <xdr:cNvSpPr>
          <a:spLocks noChangeAspect="1" noChangeArrowheads="1"/>
        </xdr:cNvSpPr>
      </xdr:nvSpPr>
      <xdr:spPr bwMode="auto">
        <a:xfrm>
          <a:off x="0" y="1743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96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1743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97" name="AutoShape 173" descr="AUSTRALIA6"/>
        <xdr:cNvSpPr>
          <a:spLocks noChangeAspect="1" noChangeArrowheads="1"/>
        </xdr:cNvSpPr>
      </xdr:nvSpPr>
      <xdr:spPr bwMode="auto">
        <a:xfrm>
          <a:off x="0" y="176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98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176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199" name="AutoShape 175" descr="AUSTRALIA6"/>
        <xdr:cNvSpPr>
          <a:spLocks noChangeAspect="1" noChangeArrowheads="1"/>
        </xdr:cNvSpPr>
      </xdr:nvSpPr>
      <xdr:spPr bwMode="auto">
        <a:xfrm>
          <a:off x="0" y="178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00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178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01" name="AutoShape 177" descr="AUSTRALIA6"/>
        <xdr:cNvSpPr>
          <a:spLocks noChangeAspect="1" noChangeArrowheads="1"/>
        </xdr:cNvSpPr>
      </xdr:nvSpPr>
      <xdr:spPr bwMode="auto">
        <a:xfrm>
          <a:off x="0" y="181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02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181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03" name="AutoShape 179" descr="AUSTRALIA6"/>
        <xdr:cNvSpPr>
          <a:spLocks noChangeAspect="1" noChangeArrowheads="1"/>
        </xdr:cNvSpPr>
      </xdr:nvSpPr>
      <xdr:spPr bwMode="auto">
        <a:xfrm>
          <a:off x="0" y="183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04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183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05" name="AutoShape 181" descr="AUSTRALIA6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06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07" name="AutoShape 183" descr="AUSTRALIA10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08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09" name="AutoShape 185" descr="AUSTRALIA10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10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11" name="AutoShape 187" descr="AUSTRALIA10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12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13" name="AutoShape 189" descr="AUSTRALIA11"/>
        <xdr:cNvSpPr>
          <a:spLocks noChangeAspect="1" noChangeArrowheads="1"/>
        </xdr:cNvSpPr>
      </xdr:nvSpPr>
      <xdr:spPr bwMode="auto">
        <a:xfrm>
          <a:off x="0" y="19621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14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196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15" name="AutoShape 191" descr="AUSTRALIA11"/>
        <xdr:cNvSpPr>
          <a:spLocks noChangeAspect="1" noChangeArrowheads="1"/>
        </xdr:cNvSpPr>
      </xdr:nvSpPr>
      <xdr:spPr bwMode="auto">
        <a:xfrm>
          <a:off x="0" y="1987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16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1987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17" name="AutoShape 193" descr="AUSTRALIA11"/>
        <xdr:cNvSpPr>
          <a:spLocks noChangeAspect="1" noChangeArrowheads="1"/>
        </xdr:cNvSpPr>
      </xdr:nvSpPr>
      <xdr:spPr bwMode="auto">
        <a:xfrm>
          <a:off x="0" y="2004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18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2004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19" name="AutoShape 195" descr="AUSTRALIA11"/>
        <xdr:cNvSpPr>
          <a:spLocks noChangeAspect="1" noChangeArrowheads="1"/>
        </xdr:cNvSpPr>
      </xdr:nvSpPr>
      <xdr:spPr bwMode="auto">
        <a:xfrm>
          <a:off x="0" y="2029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20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2029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21" name="AutoShape 197" descr="AUSTRIA"/>
        <xdr:cNvSpPr>
          <a:spLocks noChangeAspect="1" noChangeArrowheads="1"/>
        </xdr:cNvSpPr>
      </xdr:nvSpPr>
      <xdr:spPr bwMode="auto">
        <a:xfrm>
          <a:off x="0" y="2055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22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2055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23" name="AutoShape 199" descr="AUSTRIA"/>
        <xdr:cNvSpPr>
          <a:spLocks noChangeAspect="1" noChangeArrowheads="1"/>
        </xdr:cNvSpPr>
      </xdr:nvSpPr>
      <xdr:spPr bwMode="auto">
        <a:xfrm>
          <a:off x="0" y="2080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24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2080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25" name="AutoShape 201" descr="AUSTRIA2"/>
        <xdr:cNvSpPr>
          <a:spLocks noChangeAspect="1" noChangeArrowheads="1"/>
        </xdr:cNvSpPr>
      </xdr:nvSpPr>
      <xdr:spPr bwMode="auto">
        <a:xfrm>
          <a:off x="0" y="2097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26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2097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27" name="AutoShape 203" descr="AUSTRIA2"/>
        <xdr:cNvSpPr>
          <a:spLocks noChangeAspect="1" noChangeArrowheads="1"/>
        </xdr:cNvSpPr>
      </xdr:nvSpPr>
      <xdr:spPr bwMode="auto">
        <a:xfrm>
          <a:off x="0" y="2115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28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2115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29" name="AutoShape 205" descr="AUSTRIA2"/>
        <xdr:cNvSpPr>
          <a:spLocks noChangeAspect="1" noChangeArrowheads="1"/>
        </xdr:cNvSpPr>
      </xdr:nvSpPr>
      <xdr:spPr bwMode="auto">
        <a:xfrm>
          <a:off x="0" y="2140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30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2140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31" name="AutoShape 207" descr="AUSTRIA2"/>
        <xdr:cNvSpPr>
          <a:spLocks noChangeAspect="1" noChangeArrowheads="1"/>
        </xdr:cNvSpPr>
      </xdr:nvSpPr>
      <xdr:spPr bwMode="auto">
        <a:xfrm>
          <a:off x="0" y="2165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32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2165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33" name="AutoShape 209" descr="AUSTRIA2"/>
        <xdr:cNvSpPr>
          <a:spLocks noChangeAspect="1" noChangeArrowheads="1"/>
        </xdr:cNvSpPr>
      </xdr:nvSpPr>
      <xdr:spPr bwMode="auto">
        <a:xfrm>
          <a:off x="0" y="2183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34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2183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35" name="AutoShape 211" descr="BELARUS"/>
        <xdr:cNvSpPr>
          <a:spLocks noChangeAspect="1" noChangeArrowheads="1"/>
        </xdr:cNvSpPr>
      </xdr:nvSpPr>
      <xdr:spPr bwMode="auto">
        <a:xfrm>
          <a:off x="0" y="22006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36" name="AutoShape 212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2200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37" name="AutoShape 213" descr="BELARUS"/>
        <xdr:cNvSpPr>
          <a:spLocks noChangeAspect="1" noChangeArrowheads="1"/>
        </xdr:cNvSpPr>
      </xdr:nvSpPr>
      <xdr:spPr bwMode="auto">
        <a:xfrm>
          <a:off x="0" y="22181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38" name="AutoShape 214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22181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39" name="AutoShape 215" descr="BELARUS"/>
        <xdr:cNvSpPr>
          <a:spLocks noChangeAspect="1" noChangeArrowheads="1"/>
        </xdr:cNvSpPr>
      </xdr:nvSpPr>
      <xdr:spPr bwMode="auto">
        <a:xfrm>
          <a:off x="0" y="2243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40" name="AutoShape 216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2243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41" name="AutoShape 217" descr="BELGIUM"/>
        <xdr:cNvSpPr>
          <a:spLocks noChangeAspect="1" noChangeArrowheads="1"/>
        </xdr:cNvSpPr>
      </xdr:nvSpPr>
      <xdr:spPr bwMode="auto">
        <a:xfrm>
          <a:off x="0" y="2260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42" name="AutoShape 218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2260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43" name="AutoShape 219" descr="BELGIUM"/>
        <xdr:cNvSpPr>
          <a:spLocks noChangeAspect="1" noChangeArrowheads="1"/>
        </xdr:cNvSpPr>
      </xdr:nvSpPr>
      <xdr:spPr bwMode="auto">
        <a:xfrm>
          <a:off x="0" y="2286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44" name="AutoShape 220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2286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45" name="AutoShape 221" descr="BELGIUM"/>
        <xdr:cNvSpPr>
          <a:spLocks noChangeAspect="1" noChangeArrowheads="1"/>
        </xdr:cNvSpPr>
      </xdr:nvSpPr>
      <xdr:spPr bwMode="auto">
        <a:xfrm>
          <a:off x="0" y="2303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46" name="AutoShape 222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2303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47" name="AutoShape 223" descr="BELGIUM"/>
        <xdr:cNvSpPr>
          <a:spLocks noChangeAspect="1" noChangeArrowheads="1"/>
        </xdr:cNvSpPr>
      </xdr:nvSpPr>
      <xdr:spPr bwMode="auto">
        <a:xfrm>
          <a:off x="0" y="2321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48" name="AutoShape 224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2321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49" name="AutoShape 225" descr="BELGIUM2"/>
        <xdr:cNvSpPr>
          <a:spLocks noChangeAspect="1" noChangeArrowheads="1"/>
        </xdr:cNvSpPr>
      </xdr:nvSpPr>
      <xdr:spPr bwMode="auto">
        <a:xfrm>
          <a:off x="0" y="2338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50" name="AutoShape 226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2338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51" name="AutoShape 227" descr="BELGIUM2"/>
        <xdr:cNvSpPr>
          <a:spLocks noChangeAspect="1" noChangeArrowheads="1"/>
        </xdr:cNvSpPr>
      </xdr:nvSpPr>
      <xdr:spPr bwMode="auto">
        <a:xfrm>
          <a:off x="0" y="2356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52" name="AutoShape 228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2356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53" name="AutoShape 229" descr="BELGIUM2"/>
        <xdr:cNvSpPr>
          <a:spLocks noChangeAspect="1" noChangeArrowheads="1"/>
        </xdr:cNvSpPr>
      </xdr:nvSpPr>
      <xdr:spPr bwMode="auto">
        <a:xfrm>
          <a:off x="0" y="237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54" name="AutoShape 230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237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55" name="AutoShape 231" descr="BOSNIA"/>
        <xdr:cNvSpPr>
          <a:spLocks noChangeAspect="1" noChangeArrowheads="1"/>
        </xdr:cNvSpPr>
      </xdr:nvSpPr>
      <xdr:spPr bwMode="auto">
        <a:xfrm>
          <a:off x="0" y="2391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56" name="AutoShape 232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2391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57" name="AutoShape 233" descr="BOSNIA"/>
        <xdr:cNvSpPr>
          <a:spLocks noChangeAspect="1" noChangeArrowheads="1"/>
        </xdr:cNvSpPr>
      </xdr:nvSpPr>
      <xdr:spPr bwMode="auto">
        <a:xfrm>
          <a:off x="0" y="241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58" name="AutoShape 23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241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59" name="AutoShape 235" descr="BOSNIA"/>
        <xdr:cNvSpPr>
          <a:spLocks noChangeAspect="1" noChangeArrowheads="1"/>
        </xdr:cNvSpPr>
      </xdr:nvSpPr>
      <xdr:spPr bwMode="auto">
        <a:xfrm>
          <a:off x="0" y="2433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60" name="AutoShape 236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2433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61" name="AutoShape 237" descr="BOSNIA"/>
        <xdr:cNvSpPr>
          <a:spLocks noChangeAspect="1" noChangeArrowheads="1"/>
        </xdr:cNvSpPr>
      </xdr:nvSpPr>
      <xdr:spPr bwMode="auto">
        <a:xfrm>
          <a:off x="0" y="245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62" name="AutoShape 238" descr="https://www.soccerstats.com/img/own/sshplogo.png">
          <a:hlinkClick xmlns:r="http://schemas.openxmlformats.org/officeDocument/2006/relationships" r:id="rId119"/>
        </xdr:cNvPr>
        <xdr:cNvSpPr>
          <a:spLocks noChangeAspect="1" noChangeArrowheads="1"/>
        </xdr:cNvSpPr>
      </xdr:nvSpPr>
      <xdr:spPr bwMode="auto">
        <a:xfrm>
          <a:off x="13411200" y="245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63" name="AutoShape 239" descr="BOSNIA"/>
        <xdr:cNvSpPr>
          <a:spLocks noChangeAspect="1" noChangeArrowheads="1"/>
        </xdr:cNvSpPr>
      </xdr:nvSpPr>
      <xdr:spPr bwMode="auto">
        <a:xfrm>
          <a:off x="0" y="248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64" name="AutoShape 240" descr="https://www.soccerstats.com/img/own/sshplogo.png">
          <a:hlinkClick xmlns:r="http://schemas.openxmlformats.org/officeDocument/2006/relationships" r:id="rId120"/>
        </xdr:cNvPr>
        <xdr:cNvSpPr>
          <a:spLocks noChangeAspect="1" noChangeArrowheads="1"/>
        </xdr:cNvSpPr>
      </xdr:nvSpPr>
      <xdr:spPr bwMode="auto">
        <a:xfrm>
          <a:off x="13411200" y="248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65" name="AutoShape 241" descr="BRAZIL"/>
        <xdr:cNvSpPr>
          <a:spLocks noChangeAspect="1" noChangeArrowheads="1"/>
        </xdr:cNvSpPr>
      </xdr:nvSpPr>
      <xdr:spPr bwMode="auto">
        <a:xfrm>
          <a:off x="0" y="250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66" name="AutoShape 242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250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67" name="AutoShape 243" descr="BRAZIL"/>
        <xdr:cNvSpPr>
          <a:spLocks noChangeAspect="1" noChangeArrowheads="1"/>
        </xdr:cNvSpPr>
      </xdr:nvSpPr>
      <xdr:spPr bwMode="auto">
        <a:xfrm>
          <a:off x="0" y="251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68" name="AutoShape 244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251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69" name="AutoShape 245" descr="BRAZIL2"/>
        <xdr:cNvSpPr>
          <a:spLocks noChangeAspect="1" noChangeArrowheads="1"/>
        </xdr:cNvSpPr>
      </xdr:nvSpPr>
      <xdr:spPr bwMode="auto">
        <a:xfrm>
          <a:off x="0" y="253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70" name="AutoShape 246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253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71" name="AutoShape 247" descr="BRAZIL2"/>
        <xdr:cNvSpPr>
          <a:spLocks noChangeAspect="1" noChangeArrowheads="1"/>
        </xdr:cNvSpPr>
      </xdr:nvSpPr>
      <xdr:spPr bwMode="auto">
        <a:xfrm>
          <a:off x="0" y="255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72" name="AutoShape 248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255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73" name="AutoShape 249" descr="BRAZIL2"/>
        <xdr:cNvSpPr>
          <a:spLocks noChangeAspect="1" noChangeArrowheads="1"/>
        </xdr:cNvSpPr>
      </xdr:nvSpPr>
      <xdr:spPr bwMode="auto">
        <a:xfrm>
          <a:off x="0" y="257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74" name="AutoShape 250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257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75" name="AutoShape 251" descr="BRAZIL2"/>
        <xdr:cNvSpPr>
          <a:spLocks noChangeAspect="1" noChangeArrowheads="1"/>
        </xdr:cNvSpPr>
      </xdr:nvSpPr>
      <xdr:spPr bwMode="auto">
        <a:xfrm>
          <a:off x="0" y="258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76" name="AutoShape 252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258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77" name="AutoShape 253" descr="BRAZIL3"/>
        <xdr:cNvSpPr>
          <a:spLocks noChangeAspect="1" noChangeArrowheads="1"/>
        </xdr:cNvSpPr>
      </xdr:nvSpPr>
      <xdr:spPr bwMode="auto">
        <a:xfrm>
          <a:off x="0" y="2606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78" name="AutoShape 254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2606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79" name="AutoShape 255" descr="BRAZIL3"/>
        <xdr:cNvSpPr>
          <a:spLocks noChangeAspect="1" noChangeArrowheads="1"/>
        </xdr:cNvSpPr>
      </xdr:nvSpPr>
      <xdr:spPr bwMode="auto">
        <a:xfrm>
          <a:off x="0" y="2624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80" name="AutoShape 256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2624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81" name="AutoShape 257" descr="BRAZIL3"/>
        <xdr:cNvSpPr>
          <a:spLocks noChangeAspect="1" noChangeArrowheads="1"/>
        </xdr:cNvSpPr>
      </xdr:nvSpPr>
      <xdr:spPr bwMode="auto">
        <a:xfrm>
          <a:off x="0" y="2649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82" name="AutoShape 258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2649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83" name="AutoShape 259" descr="BRAZIL3"/>
        <xdr:cNvSpPr>
          <a:spLocks noChangeAspect="1" noChangeArrowheads="1"/>
        </xdr:cNvSpPr>
      </xdr:nvSpPr>
      <xdr:spPr bwMode="auto">
        <a:xfrm>
          <a:off x="0" y="2667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84" name="AutoShape 260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266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85" name="AutoShape 261" descr="BRAZIL5"/>
        <xdr:cNvSpPr>
          <a:spLocks noChangeAspect="1" noChangeArrowheads="1"/>
        </xdr:cNvSpPr>
      </xdr:nvSpPr>
      <xdr:spPr bwMode="auto">
        <a:xfrm>
          <a:off x="0" y="2684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86" name="AutoShape 262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2684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87" name="AutoShape 263" descr="BRAZIL5"/>
        <xdr:cNvSpPr>
          <a:spLocks noChangeAspect="1" noChangeArrowheads="1"/>
        </xdr:cNvSpPr>
      </xdr:nvSpPr>
      <xdr:spPr bwMode="auto">
        <a:xfrm>
          <a:off x="0" y="2709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88" name="AutoShape 264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2709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89" name="AutoShape 265" descr="BRAZIL5"/>
        <xdr:cNvSpPr>
          <a:spLocks noChangeAspect="1" noChangeArrowheads="1"/>
        </xdr:cNvSpPr>
      </xdr:nvSpPr>
      <xdr:spPr bwMode="auto">
        <a:xfrm>
          <a:off x="0" y="2734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90" name="AutoShape 266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2734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91" name="AutoShape 267" descr="BRAZIL5"/>
        <xdr:cNvSpPr>
          <a:spLocks noChangeAspect="1" noChangeArrowheads="1"/>
        </xdr:cNvSpPr>
      </xdr:nvSpPr>
      <xdr:spPr bwMode="auto">
        <a:xfrm>
          <a:off x="0" y="275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92" name="AutoShape 268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275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93" name="AutoShape 269" descr="BRAZIL5"/>
        <xdr:cNvSpPr>
          <a:spLocks noChangeAspect="1" noChangeArrowheads="1"/>
        </xdr:cNvSpPr>
      </xdr:nvSpPr>
      <xdr:spPr bwMode="auto">
        <a:xfrm>
          <a:off x="0" y="2785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94" name="AutoShape 270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2785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95" name="AutoShape 271" descr="BRAZIL5"/>
        <xdr:cNvSpPr>
          <a:spLocks noChangeAspect="1" noChangeArrowheads="1"/>
        </xdr:cNvSpPr>
      </xdr:nvSpPr>
      <xdr:spPr bwMode="auto">
        <a:xfrm>
          <a:off x="0" y="2802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96" name="AutoShape 272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2802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97" name="AutoShape 273" descr="BULGARIA"/>
        <xdr:cNvSpPr>
          <a:spLocks noChangeAspect="1" noChangeArrowheads="1"/>
        </xdr:cNvSpPr>
      </xdr:nvSpPr>
      <xdr:spPr bwMode="auto">
        <a:xfrm>
          <a:off x="0" y="2827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298" name="AutoShape 274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2827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99" name="AutoShape 275" descr="BULGARIA"/>
        <xdr:cNvSpPr>
          <a:spLocks noChangeAspect="1" noChangeArrowheads="1"/>
        </xdr:cNvSpPr>
      </xdr:nvSpPr>
      <xdr:spPr bwMode="auto">
        <a:xfrm>
          <a:off x="0" y="2845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00" name="AutoShape 276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2845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01" name="AutoShape 277" descr="CANADA"/>
        <xdr:cNvSpPr>
          <a:spLocks noChangeAspect="1" noChangeArrowheads="1"/>
        </xdr:cNvSpPr>
      </xdr:nvSpPr>
      <xdr:spPr bwMode="auto">
        <a:xfrm>
          <a:off x="0" y="286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02" name="AutoShape 278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286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03" name="AutoShape 279" descr="CANADA"/>
        <xdr:cNvSpPr>
          <a:spLocks noChangeAspect="1" noChangeArrowheads="1"/>
        </xdr:cNvSpPr>
      </xdr:nvSpPr>
      <xdr:spPr bwMode="auto">
        <a:xfrm>
          <a:off x="0" y="2880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04" name="AutoShape 280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2880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05" name="AutoShape 281" descr="CHILE"/>
        <xdr:cNvSpPr>
          <a:spLocks noChangeAspect="1" noChangeArrowheads="1"/>
        </xdr:cNvSpPr>
      </xdr:nvSpPr>
      <xdr:spPr bwMode="auto">
        <a:xfrm>
          <a:off x="0" y="2897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06" name="AutoShape 282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2897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07" name="AutoShape 283" descr="CHILE2"/>
        <xdr:cNvSpPr>
          <a:spLocks noChangeAspect="1" noChangeArrowheads="1"/>
        </xdr:cNvSpPr>
      </xdr:nvSpPr>
      <xdr:spPr bwMode="auto">
        <a:xfrm>
          <a:off x="0" y="29154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08" name="AutoShape 284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29154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09" name="AutoShape 285" descr="CHINA"/>
        <xdr:cNvSpPr>
          <a:spLocks noChangeAspect="1" noChangeArrowheads="1"/>
        </xdr:cNvSpPr>
      </xdr:nvSpPr>
      <xdr:spPr bwMode="auto">
        <a:xfrm>
          <a:off x="0" y="2932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10" name="AutoShape 286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2932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11" name="AutoShape 287" descr="CHINA"/>
        <xdr:cNvSpPr>
          <a:spLocks noChangeAspect="1" noChangeArrowheads="1"/>
        </xdr:cNvSpPr>
      </xdr:nvSpPr>
      <xdr:spPr bwMode="auto">
        <a:xfrm>
          <a:off x="0" y="2958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12" name="AutoShape 288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2958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13" name="AutoShape 289" descr="CHINA"/>
        <xdr:cNvSpPr>
          <a:spLocks noChangeAspect="1" noChangeArrowheads="1"/>
        </xdr:cNvSpPr>
      </xdr:nvSpPr>
      <xdr:spPr bwMode="auto">
        <a:xfrm>
          <a:off x="0" y="2983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14" name="AutoShape 290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2983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15" name="AutoShape 291" descr="CHINA"/>
        <xdr:cNvSpPr>
          <a:spLocks noChangeAspect="1" noChangeArrowheads="1"/>
        </xdr:cNvSpPr>
      </xdr:nvSpPr>
      <xdr:spPr bwMode="auto">
        <a:xfrm>
          <a:off x="0" y="3000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16" name="AutoShape 292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3000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17" name="AutoShape 293" descr="CHINA"/>
        <xdr:cNvSpPr>
          <a:spLocks noChangeAspect="1" noChangeArrowheads="1"/>
        </xdr:cNvSpPr>
      </xdr:nvSpPr>
      <xdr:spPr bwMode="auto">
        <a:xfrm>
          <a:off x="0" y="3018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18" name="AutoShape 294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3018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19" name="AutoShape 295" descr="CHINA2"/>
        <xdr:cNvSpPr>
          <a:spLocks noChangeAspect="1" noChangeArrowheads="1"/>
        </xdr:cNvSpPr>
      </xdr:nvSpPr>
      <xdr:spPr bwMode="auto">
        <a:xfrm>
          <a:off x="0" y="3043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20" name="AutoShape 296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3043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21" name="AutoShape 297" descr="CHINA2"/>
        <xdr:cNvSpPr>
          <a:spLocks noChangeAspect="1" noChangeArrowheads="1"/>
        </xdr:cNvSpPr>
      </xdr:nvSpPr>
      <xdr:spPr bwMode="auto">
        <a:xfrm>
          <a:off x="0" y="3068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22" name="AutoShape 298" descr="https://www.soccerstats.com/img/own/sshplogo.png">
          <a:hlinkClick xmlns:r="http://schemas.openxmlformats.org/officeDocument/2006/relationships" r:id="rId149"/>
        </xdr:cNvPr>
        <xdr:cNvSpPr>
          <a:spLocks noChangeAspect="1" noChangeArrowheads="1"/>
        </xdr:cNvSpPr>
      </xdr:nvSpPr>
      <xdr:spPr bwMode="auto">
        <a:xfrm>
          <a:off x="13411200" y="3068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23" name="AutoShape 299" descr="CHINA2"/>
        <xdr:cNvSpPr>
          <a:spLocks noChangeAspect="1" noChangeArrowheads="1"/>
        </xdr:cNvSpPr>
      </xdr:nvSpPr>
      <xdr:spPr bwMode="auto">
        <a:xfrm>
          <a:off x="0" y="30937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24" name="AutoShape 300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3093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25" name="AutoShape 301" descr="CHINA2"/>
        <xdr:cNvSpPr>
          <a:spLocks noChangeAspect="1" noChangeArrowheads="1"/>
        </xdr:cNvSpPr>
      </xdr:nvSpPr>
      <xdr:spPr bwMode="auto">
        <a:xfrm>
          <a:off x="0" y="3118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26" name="AutoShape 302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3118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27" name="AutoShape 303" descr="COLOMBIA2"/>
        <xdr:cNvSpPr>
          <a:spLocks noChangeAspect="1" noChangeArrowheads="1"/>
        </xdr:cNvSpPr>
      </xdr:nvSpPr>
      <xdr:spPr bwMode="auto">
        <a:xfrm>
          <a:off x="0" y="3144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28" name="AutoShape 304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3144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29" name="AutoShape 305" descr="COSTARICA"/>
        <xdr:cNvSpPr>
          <a:spLocks noChangeAspect="1" noChangeArrowheads="1"/>
        </xdr:cNvSpPr>
      </xdr:nvSpPr>
      <xdr:spPr bwMode="auto">
        <a:xfrm>
          <a:off x="0" y="3161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30" name="AutoShape 306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3161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31" name="AutoShape 307" descr="COSTARICA"/>
        <xdr:cNvSpPr>
          <a:spLocks noChangeAspect="1" noChangeArrowheads="1"/>
        </xdr:cNvSpPr>
      </xdr:nvSpPr>
      <xdr:spPr bwMode="auto">
        <a:xfrm>
          <a:off x="0" y="3179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32" name="AutoShape 308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3179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33" name="AutoShape 309" descr="CROATIA"/>
        <xdr:cNvSpPr>
          <a:spLocks noChangeAspect="1" noChangeArrowheads="1"/>
        </xdr:cNvSpPr>
      </xdr:nvSpPr>
      <xdr:spPr bwMode="auto">
        <a:xfrm>
          <a:off x="0" y="3196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34" name="AutoShape 310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3196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35" name="AutoShape 311" descr="CROATIA"/>
        <xdr:cNvSpPr>
          <a:spLocks noChangeAspect="1" noChangeArrowheads="1"/>
        </xdr:cNvSpPr>
      </xdr:nvSpPr>
      <xdr:spPr bwMode="auto">
        <a:xfrm>
          <a:off x="0" y="3221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36" name="AutoShape 312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3221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37" name="AutoShape 313" descr="CZECHREPUBLIC"/>
        <xdr:cNvSpPr>
          <a:spLocks noChangeAspect="1" noChangeArrowheads="1"/>
        </xdr:cNvSpPr>
      </xdr:nvSpPr>
      <xdr:spPr bwMode="auto">
        <a:xfrm>
          <a:off x="0" y="3239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38" name="AutoShape 314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3239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39" name="AutoShape 315" descr="CZECHREPUBLIC"/>
        <xdr:cNvSpPr>
          <a:spLocks noChangeAspect="1" noChangeArrowheads="1"/>
        </xdr:cNvSpPr>
      </xdr:nvSpPr>
      <xdr:spPr bwMode="auto">
        <a:xfrm>
          <a:off x="0" y="3256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40" name="AutoShape 316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3256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41" name="AutoShape 317" descr="CZECHREPUBLIC"/>
        <xdr:cNvSpPr>
          <a:spLocks noChangeAspect="1" noChangeArrowheads="1"/>
        </xdr:cNvSpPr>
      </xdr:nvSpPr>
      <xdr:spPr bwMode="auto">
        <a:xfrm>
          <a:off x="0" y="327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42" name="AutoShape 318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327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43" name="AutoShape 319" descr="CZECHREPUBLIC"/>
        <xdr:cNvSpPr>
          <a:spLocks noChangeAspect="1" noChangeArrowheads="1"/>
        </xdr:cNvSpPr>
      </xdr:nvSpPr>
      <xdr:spPr bwMode="auto">
        <a:xfrm>
          <a:off x="0" y="329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44" name="AutoShape 320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329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45" name="AutoShape 321" descr="CZECHREPUBLIC"/>
        <xdr:cNvSpPr>
          <a:spLocks noChangeAspect="1" noChangeArrowheads="1"/>
        </xdr:cNvSpPr>
      </xdr:nvSpPr>
      <xdr:spPr bwMode="auto">
        <a:xfrm>
          <a:off x="0" y="332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46" name="AutoShape 322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332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47" name="AutoShape 323" descr="CZECHREPUBLIC"/>
        <xdr:cNvSpPr>
          <a:spLocks noChangeAspect="1" noChangeArrowheads="1"/>
        </xdr:cNvSpPr>
      </xdr:nvSpPr>
      <xdr:spPr bwMode="auto">
        <a:xfrm>
          <a:off x="0" y="334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48" name="AutoShape 324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334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49" name="AutoShape 325" descr="CZECHREPUBLIC"/>
        <xdr:cNvSpPr>
          <a:spLocks noChangeAspect="1" noChangeArrowheads="1"/>
        </xdr:cNvSpPr>
      </xdr:nvSpPr>
      <xdr:spPr bwMode="auto">
        <a:xfrm>
          <a:off x="0" y="3367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50" name="AutoShape 326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3367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51" name="AutoShape 327" descr="CZECHREPUBLIC"/>
        <xdr:cNvSpPr>
          <a:spLocks noChangeAspect="1" noChangeArrowheads="1"/>
        </xdr:cNvSpPr>
      </xdr:nvSpPr>
      <xdr:spPr bwMode="auto">
        <a:xfrm>
          <a:off x="0" y="3384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52" name="AutoShape 328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3384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53" name="AutoShape 329" descr="CZECHREPUBLIC2"/>
        <xdr:cNvSpPr>
          <a:spLocks noChangeAspect="1" noChangeArrowheads="1"/>
        </xdr:cNvSpPr>
      </xdr:nvSpPr>
      <xdr:spPr bwMode="auto">
        <a:xfrm>
          <a:off x="0" y="3409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54" name="AutoShape 330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340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55" name="AutoShape 331" descr="CZECHREPUBLIC2"/>
        <xdr:cNvSpPr>
          <a:spLocks noChangeAspect="1" noChangeArrowheads="1"/>
        </xdr:cNvSpPr>
      </xdr:nvSpPr>
      <xdr:spPr bwMode="auto">
        <a:xfrm>
          <a:off x="0" y="3435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56" name="AutoShape 332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3435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57" name="AutoShape 333" descr="CZECHREPUBLIC2"/>
        <xdr:cNvSpPr>
          <a:spLocks noChangeAspect="1" noChangeArrowheads="1"/>
        </xdr:cNvSpPr>
      </xdr:nvSpPr>
      <xdr:spPr bwMode="auto">
        <a:xfrm>
          <a:off x="0" y="3452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58" name="AutoShape 334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3452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59" name="AutoShape 335" descr="CZECHREPUBLIC2"/>
        <xdr:cNvSpPr>
          <a:spLocks noChangeAspect="1" noChangeArrowheads="1"/>
        </xdr:cNvSpPr>
      </xdr:nvSpPr>
      <xdr:spPr bwMode="auto">
        <a:xfrm>
          <a:off x="0" y="3477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60" name="AutoShape 336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3477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61" name="AutoShape 337" descr="DENMARK2"/>
        <xdr:cNvSpPr>
          <a:spLocks noChangeAspect="1" noChangeArrowheads="1"/>
        </xdr:cNvSpPr>
      </xdr:nvSpPr>
      <xdr:spPr bwMode="auto">
        <a:xfrm>
          <a:off x="0" y="3495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62" name="AutoShape 338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3495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63" name="AutoShape 339" descr="DENMARK2"/>
        <xdr:cNvSpPr>
          <a:spLocks noChangeAspect="1" noChangeArrowheads="1"/>
        </xdr:cNvSpPr>
      </xdr:nvSpPr>
      <xdr:spPr bwMode="auto">
        <a:xfrm>
          <a:off x="0" y="3520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64" name="AutoShape 340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3520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65" name="AutoShape 341" descr="DENMARK2"/>
        <xdr:cNvSpPr>
          <a:spLocks noChangeAspect="1" noChangeArrowheads="1"/>
        </xdr:cNvSpPr>
      </xdr:nvSpPr>
      <xdr:spPr bwMode="auto">
        <a:xfrm>
          <a:off x="0" y="3537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66" name="AutoShape 342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3537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67" name="AutoShape 343" descr="DENMARK3"/>
        <xdr:cNvSpPr>
          <a:spLocks noChangeAspect="1" noChangeArrowheads="1"/>
        </xdr:cNvSpPr>
      </xdr:nvSpPr>
      <xdr:spPr bwMode="auto">
        <a:xfrm>
          <a:off x="0" y="3555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68" name="AutoShape 344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3555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69" name="AutoShape 345" descr="DENMARK3"/>
        <xdr:cNvSpPr>
          <a:spLocks noChangeAspect="1" noChangeArrowheads="1"/>
        </xdr:cNvSpPr>
      </xdr:nvSpPr>
      <xdr:spPr bwMode="auto">
        <a:xfrm>
          <a:off x="0" y="3573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70" name="AutoShape 346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3573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71" name="AutoShape 347" descr="ECUADOR"/>
        <xdr:cNvSpPr>
          <a:spLocks noChangeAspect="1" noChangeArrowheads="1"/>
        </xdr:cNvSpPr>
      </xdr:nvSpPr>
      <xdr:spPr bwMode="auto">
        <a:xfrm>
          <a:off x="0" y="3590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72" name="AutoShape 348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3590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73" name="AutoShape 349" descr="ECUADOR"/>
        <xdr:cNvSpPr>
          <a:spLocks noChangeAspect="1" noChangeArrowheads="1"/>
        </xdr:cNvSpPr>
      </xdr:nvSpPr>
      <xdr:spPr bwMode="auto">
        <a:xfrm>
          <a:off x="0" y="3608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74" name="AutoShape 350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360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75" name="AutoShape 351" descr="ECUADOR"/>
        <xdr:cNvSpPr>
          <a:spLocks noChangeAspect="1" noChangeArrowheads="1"/>
        </xdr:cNvSpPr>
      </xdr:nvSpPr>
      <xdr:spPr bwMode="auto">
        <a:xfrm>
          <a:off x="0" y="3625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76" name="AutoShape 352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3625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77" name="AutoShape 353" descr="ENGLAND6"/>
        <xdr:cNvSpPr>
          <a:spLocks noChangeAspect="1" noChangeArrowheads="1"/>
        </xdr:cNvSpPr>
      </xdr:nvSpPr>
      <xdr:spPr bwMode="auto">
        <a:xfrm>
          <a:off x="0" y="3650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78" name="AutoShape 354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3650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79" name="AutoShape 355" descr="ENGLAND6"/>
        <xdr:cNvSpPr>
          <a:spLocks noChangeAspect="1" noChangeArrowheads="1"/>
        </xdr:cNvSpPr>
      </xdr:nvSpPr>
      <xdr:spPr bwMode="auto">
        <a:xfrm>
          <a:off x="0" y="3675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80" name="AutoShape 356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3675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81" name="AutoShape 357" descr="ENGLAND6"/>
        <xdr:cNvSpPr>
          <a:spLocks noChangeAspect="1" noChangeArrowheads="1"/>
        </xdr:cNvSpPr>
      </xdr:nvSpPr>
      <xdr:spPr bwMode="auto">
        <a:xfrm>
          <a:off x="0" y="3701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82" name="AutoShape 358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3701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83" name="AutoShape 359" descr="ENGLAND6"/>
        <xdr:cNvSpPr>
          <a:spLocks noChangeAspect="1" noChangeArrowheads="1"/>
        </xdr:cNvSpPr>
      </xdr:nvSpPr>
      <xdr:spPr bwMode="auto">
        <a:xfrm>
          <a:off x="0" y="3718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84" name="AutoShape 360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3718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85" name="AutoShape 361" descr="ENGLAND6"/>
        <xdr:cNvSpPr>
          <a:spLocks noChangeAspect="1" noChangeArrowheads="1"/>
        </xdr:cNvSpPr>
      </xdr:nvSpPr>
      <xdr:spPr bwMode="auto">
        <a:xfrm>
          <a:off x="0" y="3743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86" name="AutoShape 362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3743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87" name="AutoShape 363" descr="ENGLAND6"/>
        <xdr:cNvSpPr>
          <a:spLocks noChangeAspect="1" noChangeArrowheads="1"/>
        </xdr:cNvSpPr>
      </xdr:nvSpPr>
      <xdr:spPr bwMode="auto">
        <a:xfrm>
          <a:off x="0" y="3761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88" name="AutoShape 364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3761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89" name="AutoShape 365" descr="ENGLAND6"/>
        <xdr:cNvSpPr>
          <a:spLocks noChangeAspect="1" noChangeArrowheads="1"/>
        </xdr:cNvSpPr>
      </xdr:nvSpPr>
      <xdr:spPr bwMode="auto">
        <a:xfrm>
          <a:off x="0" y="3778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90" name="AutoShape 366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3778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91" name="AutoShape 367" descr="ENGLAND6"/>
        <xdr:cNvSpPr>
          <a:spLocks noChangeAspect="1" noChangeArrowheads="1"/>
        </xdr:cNvSpPr>
      </xdr:nvSpPr>
      <xdr:spPr bwMode="auto">
        <a:xfrm>
          <a:off x="0" y="3796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92" name="AutoShape 368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3796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93" name="AutoShape 369" descr="ENGLAND6"/>
        <xdr:cNvSpPr>
          <a:spLocks noChangeAspect="1" noChangeArrowheads="1"/>
        </xdr:cNvSpPr>
      </xdr:nvSpPr>
      <xdr:spPr bwMode="auto">
        <a:xfrm>
          <a:off x="0" y="3813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94" name="AutoShape 370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3813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95" name="AutoShape 371" descr="ENGLAND6"/>
        <xdr:cNvSpPr>
          <a:spLocks noChangeAspect="1" noChangeArrowheads="1"/>
        </xdr:cNvSpPr>
      </xdr:nvSpPr>
      <xdr:spPr bwMode="auto">
        <a:xfrm>
          <a:off x="0" y="3831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96" name="AutoShape 372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3831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97" name="AutoShape 373" descr="ENGLAND6"/>
        <xdr:cNvSpPr>
          <a:spLocks noChangeAspect="1" noChangeArrowheads="1"/>
        </xdr:cNvSpPr>
      </xdr:nvSpPr>
      <xdr:spPr bwMode="auto">
        <a:xfrm>
          <a:off x="0" y="3848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98" name="AutoShape 374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3848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399" name="AutoShape 375" descr="ENGLAND6"/>
        <xdr:cNvSpPr>
          <a:spLocks noChangeAspect="1" noChangeArrowheads="1"/>
        </xdr:cNvSpPr>
      </xdr:nvSpPr>
      <xdr:spPr bwMode="auto">
        <a:xfrm>
          <a:off x="0" y="3874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00" name="AutoShape 376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3874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01" name="AutoShape 377" descr="ENGLAND7"/>
        <xdr:cNvSpPr>
          <a:spLocks noChangeAspect="1" noChangeArrowheads="1"/>
        </xdr:cNvSpPr>
      </xdr:nvSpPr>
      <xdr:spPr bwMode="auto">
        <a:xfrm>
          <a:off x="0" y="3899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02" name="AutoShape 378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3899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03" name="AutoShape 379" descr="ENGLAND7"/>
        <xdr:cNvSpPr>
          <a:spLocks noChangeAspect="1" noChangeArrowheads="1"/>
        </xdr:cNvSpPr>
      </xdr:nvSpPr>
      <xdr:spPr bwMode="auto">
        <a:xfrm>
          <a:off x="0" y="3924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04" name="AutoShape 380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392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05" name="AutoShape 381" descr="ENGLAND7"/>
        <xdr:cNvSpPr>
          <a:spLocks noChangeAspect="1" noChangeArrowheads="1"/>
        </xdr:cNvSpPr>
      </xdr:nvSpPr>
      <xdr:spPr bwMode="auto">
        <a:xfrm>
          <a:off x="0" y="3949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06" name="AutoShape 382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3949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07" name="AutoShape 383" descr="ENGLAND7"/>
        <xdr:cNvSpPr>
          <a:spLocks noChangeAspect="1" noChangeArrowheads="1"/>
        </xdr:cNvSpPr>
      </xdr:nvSpPr>
      <xdr:spPr bwMode="auto">
        <a:xfrm>
          <a:off x="0" y="3974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08" name="AutoShape 384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397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09" name="AutoShape 385" descr="ENGLAND7"/>
        <xdr:cNvSpPr>
          <a:spLocks noChangeAspect="1" noChangeArrowheads="1"/>
        </xdr:cNvSpPr>
      </xdr:nvSpPr>
      <xdr:spPr bwMode="auto">
        <a:xfrm>
          <a:off x="0" y="3999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10" name="AutoShape 386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3999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11" name="AutoShape 387" descr="ENGLAND7"/>
        <xdr:cNvSpPr>
          <a:spLocks noChangeAspect="1" noChangeArrowheads="1"/>
        </xdr:cNvSpPr>
      </xdr:nvSpPr>
      <xdr:spPr bwMode="auto">
        <a:xfrm>
          <a:off x="0" y="4017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12" name="AutoShape 388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4017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13" name="AutoShape 389" descr="ENGLAND7"/>
        <xdr:cNvSpPr>
          <a:spLocks noChangeAspect="1" noChangeArrowheads="1"/>
        </xdr:cNvSpPr>
      </xdr:nvSpPr>
      <xdr:spPr bwMode="auto">
        <a:xfrm>
          <a:off x="0" y="4042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14" name="AutoShape 390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404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15" name="AutoShape 391" descr="ENGLAND7"/>
        <xdr:cNvSpPr>
          <a:spLocks noChangeAspect="1" noChangeArrowheads="1"/>
        </xdr:cNvSpPr>
      </xdr:nvSpPr>
      <xdr:spPr bwMode="auto">
        <a:xfrm>
          <a:off x="0" y="4059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16" name="AutoShape 392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4059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17" name="AutoShape 393" descr="ENGLAND7"/>
        <xdr:cNvSpPr>
          <a:spLocks noChangeAspect="1" noChangeArrowheads="1"/>
        </xdr:cNvSpPr>
      </xdr:nvSpPr>
      <xdr:spPr bwMode="auto">
        <a:xfrm>
          <a:off x="0" y="4085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18" name="AutoShape 394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4085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19" name="AutoShape 395" descr="ENGLAND7"/>
        <xdr:cNvSpPr>
          <a:spLocks noChangeAspect="1" noChangeArrowheads="1"/>
        </xdr:cNvSpPr>
      </xdr:nvSpPr>
      <xdr:spPr bwMode="auto">
        <a:xfrm>
          <a:off x="0" y="4102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20" name="AutoShape 396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410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21" name="AutoShape 397" descr="ENGLAND7"/>
        <xdr:cNvSpPr>
          <a:spLocks noChangeAspect="1" noChangeArrowheads="1"/>
        </xdr:cNvSpPr>
      </xdr:nvSpPr>
      <xdr:spPr bwMode="auto">
        <a:xfrm>
          <a:off x="0" y="412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22" name="AutoShape 398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412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23" name="AutoShape 399" descr="ENGLAND8"/>
        <xdr:cNvSpPr>
          <a:spLocks noChangeAspect="1" noChangeArrowheads="1"/>
        </xdr:cNvSpPr>
      </xdr:nvSpPr>
      <xdr:spPr bwMode="auto">
        <a:xfrm>
          <a:off x="0" y="4152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24" name="AutoShape 400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415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25" name="AutoShape 401" descr="ENGLAND8"/>
        <xdr:cNvSpPr>
          <a:spLocks noChangeAspect="1" noChangeArrowheads="1"/>
        </xdr:cNvSpPr>
      </xdr:nvSpPr>
      <xdr:spPr bwMode="auto">
        <a:xfrm>
          <a:off x="0" y="41704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26" name="AutoShape 402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41704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27" name="AutoShape 403" descr="ENGLAND8"/>
        <xdr:cNvSpPr>
          <a:spLocks noChangeAspect="1" noChangeArrowheads="1"/>
        </xdr:cNvSpPr>
      </xdr:nvSpPr>
      <xdr:spPr bwMode="auto">
        <a:xfrm>
          <a:off x="0" y="4187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28" name="AutoShape 404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4187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29" name="AutoShape 405" descr="ENGLAND8"/>
        <xdr:cNvSpPr>
          <a:spLocks noChangeAspect="1" noChangeArrowheads="1"/>
        </xdr:cNvSpPr>
      </xdr:nvSpPr>
      <xdr:spPr bwMode="auto">
        <a:xfrm>
          <a:off x="0" y="4213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30" name="AutoShape 406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4213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31" name="AutoShape 407" descr="ENGLAND8"/>
        <xdr:cNvSpPr>
          <a:spLocks noChangeAspect="1" noChangeArrowheads="1"/>
        </xdr:cNvSpPr>
      </xdr:nvSpPr>
      <xdr:spPr bwMode="auto">
        <a:xfrm>
          <a:off x="0" y="4238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32" name="AutoShape 408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4238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33" name="AutoShape 409" descr="ENGLAND8"/>
        <xdr:cNvSpPr>
          <a:spLocks noChangeAspect="1" noChangeArrowheads="1"/>
        </xdr:cNvSpPr>
      </xdr:nvSpPr>
      <xdr:spPr bwMode="auto">
        <a:xfrm>
          <a:off x="0" y="4263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34" name="AutoShape 410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4263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35" name="AutoShape 411" descr="ENGLAND8"/>
        <xdr:cNvSpPr>
          <a:spLocks noChangeAspect="1" noChangeArrowheads="1"/>
        </xdr:cNvSpPr>
      </xdr:nvSpPr>
      <xdr:spPr bwMode="auto">
        <a:xfrm>
          <a:off x="0" y="4288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36" name="AutoShape 412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4288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37" name="AutoShape 413" descr="ENGLAND8"/>
        <xdr:cNvSpPr>
          <a:spLocks noChangeAspect="1" noChangeArrowheads="1"/>
        </xdr:cNvSpPr>
      </xdr:nvSpPr>
      <xdr:spPr bwMode="auto">
        <a:xfrm>
          <a:off x="0" y="4306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38" name="AutoShape 414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4306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39" name="AutoShape 415" descr="ENGLAND8"/>
        <xdr:cNvSpPr>
          <a:spLocks noChangeAspect="1" noChangeArrowheads="1"/>
        </xdr:cNvSpPr>
      </xdr:nvSpPr>
      <xdr:spPr bwMode="auto">
        <a:xfrm>
          <a:off x="0" y="4323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40" name="AutoShape 416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4323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41" name="AutoShape 417" descr="ENGLAND8"/>
        <xdr:cNvSpPr>
          <a:spLocks noChangeAspect="1" noChangeArrowheads="1"/>
        </xdr:cNvSpPr>
      </xdr:nvSpPr>
      <xdr:spPr bwMode="auto">
        <a:xfrm>
          <a:off x="0" y="4341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42" name="AutoShape 418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4341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43" name="AutoShape 419" descr="ENGLAND8"/>
        <xdr:cNvSpPr>
          <a:spLocks noChangeAspect="1" noChangeArrowheads="1"/>
        </xdr:cNvSpPr>
      </xdr:nvSpPr>
      <xdr:spPr bwMode="auto">
        <a:xfrm>
          <a:off x="0" y="4366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44" name="AutoShape 420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4366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45" name="AutoShape 421" descr="ENGLAND9"/>
        <xdr:cNvSpPr>
          <a:spLocks noChangeAspect="1" noChangeArrowheads="1"/>
        </xdr:cNvSpPr>
      </xdr:nvSpPr>
      <xdr:spPr bwMode="auto">
        <a:xfrm>
          <a:off x="0" y="4383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46" name="AutoShape 422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4383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47" name="AutoShape 423" descr="ENGLAND9"/>
        <xdr:cNvSpPr>
          <a:spLocks noChangeAspect="1" noChangeArrowheads="1"/>
        </xdr:cNvSpPr>
      </xdr:nvSpPr>
      <xdr:spPr bwMode="auto">
        <a:xfrm>
          <a:off x="0" y="4408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48" name="AutoShape 424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4408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49" name="AutoShape 425" descr="ENGLAND9"/>
        <xdr:cNvSpPr>
          <a:spLocks noChangeAspect="1" noChangeArrowheads="1"/>
        </xdr:cNvSpPr>
      </xdr:nvSpPr>
      <xdr:spPr bwMode="auto">
        <a:xfrm>
          <a:off x="0" y="4434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50" name="AutoShape 426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4434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51" name="AutoShape 427" descr="ENGLAND9"/>
        <xdr:cNvSpPr>
          <a:spLocks noChangeAspect="1" noChangeArrowheads="1"/>
        </xdr:cNvSpPr>
      </xdr:nvSpPr>
      <xdr:spPr bwMode="auto">
        <a:xfrm>
          <a:off x="0" y="4451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52" name="AutoShape 428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4451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53" name="AutoShape 429" descr="ENGLAND9"/>
        <xdr:cNvSpPr>
          <a:spLocks noChangeAspect="1" noChangeArrowheads="1"/>
        </xdr:cNvSpPr>
      </xdr:nvSpPr>
      <xdr:spPr bwMode="auto">
        <a:xfrm>
          <a:off x="0" y="4476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54" name="AutoShape 430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55" name="AutoShape 431" descr="ENGLAND9"/>
        <xdr:cNvSpPr>
          <a:spLocks noChangeAspect="1" noChangeArrowheads="1"/>
        </xdr:cNvSpPr>
      </xdr:nvSpPr>
      <xdr:spPr bwMode="auto">
        <a:xfrm>
          <a:off x="0" y="4501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56" name="AutoShape 432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4501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57" name="AutoShape 433" descr="ENGLAND9"/>
        <xdr:cNvSpPr>
          <a:spLocks noChangeAspect="1" noChangeArrowheads="1"/>
        </xdr:cNvSpPr>
      </xdr:nvSpPr>
      <xdr:spPr bwMode="auto">
        <a:xfrm>
          <a:off x="0" y="4527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58" name="AutoShape 434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4527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59" name="AutoShape 435" descr="ENGLAND9"/>
        <xdr:cNvSpPr>
          <a:spLocks noChangeAspect="1" noChangeArrowheads="1"/>
        </xdr:cNvSpPr>
      </xdr:nvSpPr>
      <xdr:spPr bwMode="auto">
        <a:xfrm>
          <a:off x="0" y="4552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60" name="AutoShape 436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4552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61" name="AutoShape 437" descr="ENGLAND9"/>
        <xdr:cNvSpPr>
          <a:spLocks noChangeAspect="1" noChangeArrowheads="1"/>
        </xdr:cNvSpPr>
      </xdr:nvSpPr>
      <xdr:spPr bwMode="auto">
        <a:xfrm>
          <a:off x="0" y="4569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62" name="AutoShape 438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4569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63" name="AutoShape 439" descr="ENGLAND9"/>
        <xdr:cNvSpPr>
          <a:spLocks noChangeAspect="1" noChangeArrowheads="1"/>
        </xdr:cNvSpPr>
      </xdr:nvSpPr>
      <xdr:spPr bwMode="auto">
        <a:xfrm>
          <a:off x="0" y="4594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64" name="AutoShape 440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4594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65" name="AutoShape 441" descr="ENGLAND10"/>
        <xdr:cNvSpPr>
          <a:spLocks noChangeAspect="1" noChangeArrowheads="1"/>
        </xdr:cNvSpPr>
      </xdr:nvSpPr>
      <xdr:spPr bwMode="auto">
        <a:xfrm>
          <a:off x="0" y="4612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66" name="AutoShape 442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4612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67" name="AutoShape 443" descr="ENGLAND10"/>
        <xdr:cNvSpPr>
          <a:spLocks noChangeAspect="1" noChangeArrowheads="1"/>
        </xdr:cNvSpPr>
      </xdr:nvSpPr>
      <xdr:spPr bwMode="auto">
        <a:xfrm>
          <a:off x="0" y="4637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68" name="AutoShape 444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4637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69" name="AutoShape 445" descr="ENGLAND10"/>
        <xdr:cNvSpPr>
          <a:spLocks noChangeAspect="1" noChangeArrowheads="1"/>
        </xdr:cNvSpPr>
      </xdr:nvSpPr>
      <xdr:spPr bwMode="auto">
        <a:xfrm>
          <a:off x="0" y="4655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70" name="AutoShape 446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4655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71" name="AutoShape 447" descr="ENGLAND10"/>
        <xdr:cNvSpPr>
          <a:spLocks noChangeAspect="1" noChangeArrowheads="1"/>
        </xdr:cNvSpPr>
      </xdr:nvSpPr>
      <xdr:spPr bwMode="auto">
        <a:xfrm>
          <a:off x="0" y="468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72" name="AutoShape 448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468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73" name="AutoShape 449" descr="ENGLAND10"/>
        <xdr:cNvSpPr>
          <a:spLocks noChangeAspect="1" noChangeArrowheads="1"/>
        </xdr:cNvSpPr>
      </xdr:nvSpPr>
      <xdr:spPr bwMode="auto">
        <a:xfrm>
          <a:off x="0" y="4705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74" name="AutoShape 450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470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75" name="AutoShape 451" descr="ENGLAND10"/>
        <xdr:cNvSpPr>
          <a:spLocks noChangeAspect="1" noChangeArrowheads="1"/>
        </xdr:cNvSpPr>
      </xdr:nvSpPr>
      <xdr:spPr bwMode="auto">
        <a:xfrm>
          <a:off x="0" y="4722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76" name="AutoShape 452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4722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77" name="AutoShape 453" descr="ENGLAND10"/>
        <xdr:cNvSpPr>
          <a:spLocks noChangeAspect="1" noChangeArrowheads="1"/>
        </xdr:cNvSpPr>
      </xdr:nvSpPr>
      <xdr:spPr bwMode="auto">
        <a:xfrm>
          <a:off x="0" y="474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78" name="AutoShape 454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474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79" name="AutoShape 455" descr="ENGLAND10"/>
        <xdr:cNvSpPr>
          <a:spLocks noChangeAspect="1" noChangeArrowheads="1"/>
        </xdr:cNvSpPr>
      </xdr:nvSpPr>
      <xdr:spPr bwMode="auto">
        <a:xfrm>
          <a:off x="0" y="477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80" name="AutoShape 456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477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81" name="AutoShape 457" descr="ENGLAND10"/>
        <xdr:cNvSpPr>
          <a:spLocks noChangeAspect="1" noChangeArrowheads="1"/>
        </xdr:cNvSpPr>
      </xdr:nvSpPr>
      <xdr:spPr bwMode="auto">
        <a:xfrm>
          <a:off x="0" y="4790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82" name="AutoShape 458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4790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83" name="AutoShape 459" descr="ENGLAND10"/>
        <xdr:cNvSpPr>
          <a:spLocks noChangeAspect="1" noChangeArrowheads="1"/>
        </xdr:cNvSpPr>
      </xdr:nvSpPr>
      <xdr:spPr bwMode="auto">
        <a:xfrm>
          <a:off x="0" y="481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84" name="AutoShape 460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481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85" name="AutoShape 461" descr="ENGLAND10"/>
        <xdr:cNvSpPr>
          <a:spLocks noChangeAspect="1" noChangeArrowheads="1"/>
        </xdr:cNvSpPr>
      </xdr:nvSpPr>
      <xdr:spPr bwMode="auto">
        <a:xfrm>
          <a:off x="0" y="484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86" name="AutoShape 462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484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87" name="AutoShape 463" descr="ESTONIA2"/>
        <xdr:cNvSpPr>
          <a:spLocks noChangeAspect="1" noChangeArrowheads="1"/>
        </xdr:cNvSpPr>
      </xdr:nvSpPr>
      <xdr:spPr bwMode="auto">
        <a:xfrm>
          <a:off x="0" y="486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88" name="AutoShape 464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486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89" name="AutoShape 465" descr="ESTONIA2"/>
        <xdr:cNvSpPr>
          <a:spLocks noChangeAspect="1" noChangeArrowheads="1"/>
        </xdr:cNvSpPr>
      </xdr:nvSpPr>
      <xdr:spPr bwMode="auto">
        <a:xfrm>
          <a:off x="0" y="488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90" name="AutoShape 466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488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91" name="AutoShape 467" descr="ESTONIA2"/>
        <xdr:cNvSpPr>
          <a:spLocks noChangeAspect="1" noChangeArrowheads="1"/>
        </xdr:cNvSpPr>
      </xdr:nvSpPr>
      <xdr:spPr bwMode="auto">
        <a:xfrm>
          <a:off x="0" y="490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92" name="AutoShape 468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490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93" name="AutoShape 469" descr="ESTONIA2"/>
        <xdr:cNvSpPr>
          <a:spLocks noChangeAspect="1" noChangeArrowheads="1"/>
        </xdr:cNvSpPr>
      </xdr:nvSpPr>
      <xdr:spPr bwMode="auto">
        <a:xfrm>
          <a:off x="0" y="491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94" name="AutoShape 470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491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95" name="AutoShape 471" descr="FINLAND"/>
        <xdr:cNvSpPr>
          <a:spLocks noChangeAspect="1" noChangeArrowheads="1"/>
        </xdr:cNvSpPr>
      </xdr:nvSpPr>
      <xdr:spPr bwMode="auto">
        <a:xfrm>
          <a:off x="0" y="493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96" name="AutoShape 472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493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97" name="AutoShape 473" descr="FINLAND2"/>
        <xdr:cNvSpPr>
          <a:spLocks noChangeAspect="1" noChangeArrowheads="1"/>
        </xdr:cNvSpPr>
      </xdr:nvSpPr>
      <xdr:spPr bwMode="auto">
        <a:xfrm>
          <a:off x="0" y="495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498" name="AutoShape 474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495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99" name="AutoShape 475" descr="FINLAND2"/>
        <xdr:cNvSpPr>
          <a:spLocks noChangeAspect="1" noChangeArrowheads="1"/>
        </xdr:cNvSpPr>
      </xdr:nvSpPr>
      <xdr:spPr bwMode="auto">
        <a:xfrm>
          <a:off x="0" y="497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00" name="AutoShape 476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497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01" name="AutoShape 477" descr="FINLAND2"/>
        <xdr:cNvSpPr>
          <a:spLocks noChangeAspect="1" noChangeArrowheads="1"/>
        </xdr:cNvSpPr>
      </xdr:nvSpPr>
      <xdr:spPr bwMode="auto">
        <a:xfrm>
          <a:off x="0" y="4988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02" name="AutoShape 478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4988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03" name="AutoShape 479" descr="FINLAND3"/>
        <xdr:cNvSpPr>
          <a:spLocks noChangeAspect="1" noChangeArrowheads="1"/>
        </xdr:cNvSpPr>
      </xdr:nvSpPr>
      <xdr:spPr bwMode="auto">
        <a:xfrm>
          <a:off x="0" y="5006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04" name="AutoShape 480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5006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05" name="AutoShape 481" descr="FINLAND3"/>
        <xdr:cNvSpPr>
          <a:spLocks noChangeAspect="1" noChangeArrowheads="1"/>
        </xdr:cNvSpPr>
      </xdr:nvSpPr>
      <xdr:spPr bwMode="auto">
        <a:xfrm>
          <a:off x="0" y="5023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06" name="AutoShape 482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5023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07" name="AutoShape 483" descr="FINLAND3"/>
        <xdr:cNvSpPr>
          <a:spLocks noChangeAspect="1" noChangeArrowheads="1"/>
        </xdr:cNvSpPr>
      </xdr:nvSpPr>
      <xdr:spPr bwMode="auto">
        <a:xfrm>
          <a:off x="0" y="504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08" name="AutoShape 484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504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09" name="AutoShape 485" descr="FINLAND4"/>
        <xdr:cNvSpPr>
          <a:spLocks noChangeAspect="1" noChangeArrowheads="1"/>
        </xdr:cNvSpPr>
      </xdr:nvSpPr>
      <xdr:spPr bwMode="auto">
        <a:xfrm>
          <a:off x="0" y="5058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10" name="AutoShape 486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5058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11" name="AutoShape 487" descr="FINLAND4"/>
        <xdr:cNvSpPr>
          <a:spLocks noChangeAspect="1" noChangeArrowheads="1"/>
        </xdr:cNvSpPr>
      </xdr:nvSpPr>
      <xdr:spPr bwMode="auto">
        <a:xfrm>
          <a:off x="0" y="5076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12" name="AutoShape 488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5076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13" name="AutoShape 489" descr="FINLAND4"/>
        <xdr:cNvSpPr>
          <a:spLocks noChangeAspect="1" noChangeArrowheads="1"/>
        </xdr:cNvSpPr>
      </xdr:nvSpPr>
      <xdr:spPr bwMode="auto">
        <a:xfrm>
          <a:off x="0" y="5093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14" name="AutoShape 490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5093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15" name="AutoShape 491" descr="FINLAND5"/>
        <xdr:cNvSpPr>
          <a:spLocks noChangeAspect="1" noChangeArrowheads="1"/>
        </xdr:cNvSpPr>
      </xdr:nvSpPr>
      <xdr:spPr bwMode="auto">
        <a:xfrm>
          <a:off x="0" y="511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16" name="AutoShape 492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511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17" name="AutoShape 493" descr="FINLAND5"/>
        <xdr:cNvSpPr>
          <a:spLocks noChangeAspect="1" noChangeArrowheads="1"/>
        </xdr:cNvSpPr>
      </xdr:nvSpPr>
      <xdr:spPr bwMode="auto">
        <a:xfrm>
          <a:off x="0" y="5129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18" name="AutoShape 494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5129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19" name="AutoShape 495" descr="FINLAND5"/>
        <xdr:cNvSpPr>
          <a:spLocks noChangeAspect="1" noChangeArrowheads="1"/>
        </xdr:cNvSpPr>
      </xdr:nvSpPr>
      <xdr:spPr bwMode="auto">
        <a:xfrm>
          <a:off x="0" y="5146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20" name="AutoShape 496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5146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21" name="AutoShape 497" descr="FINLAND5"/>
        <xdr:cNvSpPr>
          <a:spLocks noChangeAspect="1" noChangeArrowheads="1"/>
        </xdr:cNvSpPr>
      </xdr:nvSpPr>
      <xdr:spPr bwMode="auto">
        <a:xfrm>
          <a:off x="0" y="516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22" name="AutoShape 498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516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23" name="AutoShape 499" descr="FINLAND5"/>
        <xdr:cNvSpPr>
          <a:spLocks noChangeAspect="1" noChangeArrowheads="1"/>
        </xdr:cNvSpPr>
      </xdr:nvSpPr>
      <xdr:spPr bwMode="auto">
        <a:xfrm>
          <a:off x="0" y="518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24" name="AutoShape 500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518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25" name="AutoShape 501" descr="FINLAND6"/>
        <xdr:cNvSpPr>
          <a:spLocks noChangeAspect="1" noChangeArrowheads="1"/>
        </xdr:cNvSpPr>
      </xdr:nvSpPr>
      <xdr:spPr bwMode="auto">
        <a:xfrm>
          <a:off x="0" y="5199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26" name="AutoShape 502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5199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27" name="AutoShape 503" descr="FINLAND6"/>
        <xdr:cNvSpPr>
          <a:spLocks noChangeAspect="1" noChangeArrowheads="1"/>
        </xdr:cNvSpPr>
      </xdr:nvSpPr>
      <xdr:spPr bwMode="auto">
        <a:xfrm>
          <a:off x="0" y="5216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28" name="AutoShape 504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5216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29" name="AutoShape 505" descr="FINLAND6"/>
        <xdr:cNvSpPr>
          <a:spLocks noChangeAspect="1" noChangeArrowheads="1"/>
        </xdr:cNvSpPr>
      </xdr:nvSpPr>
      <xdr:spPr bwMode="auto">
        <a:xfrm>
          <a:off x="0" y="5234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30" name="AutoShape 506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5234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31" name="AutoShape 507" descr="GEORGIA"/>
        <xdr:cNvSpPr>
          <a:spLocks noChangeAspect="1" noChangeArrowheads="1"/>
        </xdr:cNvSpPr>
      </xdr:nvSpPr>
      <xdr:spPr bwMode="auto">
        <a:xfrm>
          <a:off x="0" y="5251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32" name="AutoShape 508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5251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33" name="AutoShape 509" descr="GEORGIA"/>
        <xdr:cNvSpPr>
          <a:spLocks noChangeAspect="1" noChangeArrowheads="1"/>
        </xdr:cNvSpPr>
      </xdr:nvSpPr>
      <xdr:spPr bwMode="auto">
        <a:xfrm>
          <a:off x="0" y="5276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34" name="AutoShape 510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35" name="AutoShape 511" descr="GERMANY3"/>
        <xdr:cNvSpPr>
          <a:spLocks noChangeAspect="1" noChangeArrowheads="1"/>
        </xdr:cNvSpPr>
      </xdr:nvSpPr>
      <xdr:spPr bwMode="auto">
        <a:xfrm>
          <a:off x="0" y="530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36" name="AutoShape 512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530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37" name="AutoShape 513" descr="GERMANY3"/>
        <xdr:cNvSpPr>
          <a:spLocks noChangeAspect="1" noChangeArrowheads="1"/>
        </xdr:cNvSpPr>
      </xdr:nvSpPr>
      <xdr:spPr bwMode="auto">
        <a:xfrm>
          <a:off x="0" y="5327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38" name="AutoShape 514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5327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39" name="AutoShape 515" descr="GERMANY3"/>
        <xdr:cNvSpPr>
          <a:spLocks noChangeAspect="1" noChangeArrowheads="1"/>
        </xdr:cNvSpPr>
      </xdr:nvSpPr>
      <xdr:spPr bwMode="auto">
        <a:xfrm>
          <a:off x="0" y="5344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40" name="AutoShape 516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5344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41" name="AutoShape 517" descr="GERMANY3"/>
        <xdr:cNvSpPr>
          <a:spLocks noChangeAspect="1" noChangeArrowheads="1"/>
        </xdr:cNvSpPr>
      </xdr:nvSpPr>
      <xdr:spPr bwMode="auto">
        <a:xfrm>
          <a:off x="0" y="536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42" name="AutoShape 518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536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43" name="AutoShape 519" descr="GERMANY3"/>
        <xdr:cNvSpPr>
          <a:spLocks noChangeAspect="1" noChangeArrowheads="1"/>
        </xdr:cNvSpPr>
      </xdr:nvSpPr>
      <xdr:spPr bwMode="auto">
        <a:xfrm>
          <a:off x="0" y="538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44" name="AutoShape 520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538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45" name="AutoShape 521" descr="GERMANY3"/>
        <xdr:cNvSpPr>
          <a:spLocks noChangeAspect="1" noChangeArrowheads="1"/>
        </xdr:cNvSpPr>
      </xdr:nvSpPr>
      <xdr:spPr bwMode="auto">
        <a:xfrm>
          <a:off x="0" y="540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46" name="AutoShape 522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540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47" name="AutoShape 523" descr="GERMANY4"/>
        <xdr:cNvSpPr>
          <a:spLocks noChangeAspect="1" noChangeArrowheads="1"/>
        </xdr:cNvSpPr>
      </xdr:nvSpPr>
      <xdr:spPr bwMode="auto">
        <a:xfrm>
          <a:off x="0" y="5430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48" name="AutoShape 524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5430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49" name="AutoShape 525" descr="GERMANY4"/>
        <xdr:cNvSpPr>
          <a:spLocks noChangeAspect="1" noChangeArrowheads="1"/>
        </xdr:cNvSpPr>
      </xdr:nvSpPr>
      <xdr:spPr bwMode="auto">
        <a:xfrm>
          <a:off x="0" y="5447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50" name="AutoShape 526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5447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51" name="AutoShape 527" descr="GERMANY4"/>
        <xdr:cNvSpPr>
          <a:spLocks noChangeAspect="1" noChangeArrowheads="1"/>
        </xdr:cNvSpPr>
      </xdr:nvSpPr>
      <xdr:spPr bwMode="auto">
        <a:xfrm>
          <a:off x="0" y="5472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52" name="AutoShape 528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5472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53" name="AutoShape 529" descr="GERMANY4"/>
        <xdr:cNvSpPr>
          <a:spLocks noChangeAspect="1" noChangeArrowheads="1"/>
        </xdr:cNvSpPr>
      </xdr:nvSpPr>
      <xdr:spPr bwMode="auto">
        <a:xfrm>
          <a:off x="0" y="5490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54" name="AutoShape 530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549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55" name="AutoShape 531" descr="GERMANY5"/>
        <xdr:cNvSpPr>
          <a:spLocks noChangeAspect="1" noChangeArrowheads="1"/>
        </xdr:cNvSpPr>
      </xdr:nvSpPr>
      <xdr:spPr bwMode="auto">
        <a:xfrm>
          <a:off x="0" y="5515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56" name="AutoShape 532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5515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57" name="AutoShape 533" descr="GERMANY5"/>
        <xdr:cNvSpPr>
          <a:spLocks noChangeAspect="1" noChangeArrowheads="1"/>
        </xdr:cNvSpPr>
      </xdr:nvSpPr>
      <xdr:spPr bwMode="auto">
        <a:xfrm>
          <a:off x="0" y="5532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58" name="AutoShape 534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5532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59" name="AutoShape 535" descr="GERMANY5"/>
        <xdr:cNvSpPr>
          <a:spLocks noChangeAspect="1" noChangeArrowheads="1"/>
        </xdr:cNvSpPr>
      </xdr:nvSpPr>
      <xdr:spPr bwMode="auto">
        <a:xfrm>
          <a:off x="0" y="555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60" name="AutoShape 536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555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61" name="AutoShape 537" descr="GERMANY6"/>
        <xdr:cNvSpPr>
          <a:spLocks noChangeAspect="1" noChangeArrowheads="1"/>
        </xdr:cNvSpPr>
      </xdr:nvSpPr>
      <xdr:spPr bwMode="auto">
        <a:xfrm>
          <a:off x="0" y="5575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62" name="AutoShape 538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5575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63" name="AutoShape 539" descr="GERMANY6"/>
        <xdr:cNvSpPr>
          <a:spLocks noChangeAspect="1" noChangeArrowheads="1"/>
        </xdr:cNvSpPr>
      </xdr:nvSpPr>
      <xdr:spPr bwMode="auto">
        <a:xfrm>
          <a:off x="0" y="5593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64" name="AutoShape 540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559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65" name="AutoShape 541" descr="GERMANY6"/>
        <xdr:cNvSpPr>
          <a:spLocks noChangeAspect="1" noChangeArrowheads="1"/>
        </xdr:cNvSpPr>
      </xdr:nvSpPr>
      <xdr:spPr bwMode="auto">
        <a:xfrm>
          <a:off x="0" y="561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66" name="AutoShape 542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561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67" name="AutoShape 543" descr="GERMANY6"/>
        <xdr:cNvSpPr>
          <a:spLocks noChangeAspect="1" noChangeArrowheads="1"/>
        </xdr:cNvSpPr>
      </xdr:nvSpPr>
      <xdr:spPr bwMode="auto">
        <a:xfrm>
          <a:off x="0" y="5635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68" name="AutoShape 544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5635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69" name="AutoShape 545" descr="GERMANY7"/>
        <xdr:cNvSpPr>
          <a:spLocks noChangeAspect="1" noChangeArrowheads="1"/>
        </xdr:cNvSpPr>
      </xdr:nvSpPr>
      <xdr:spPr bwMode="auto">
        <a:xfrm>
          <a:off x="0" y="5660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70" name="AutoShape 546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5660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71" name="AutoShape 547" descr="GERMANY7"/>
        <xdr:cNvSpPr>
          <a:spLocks noChangeAspect="1" noChangeArrowheads="1"/>
        </xdr:cNvSpPr>
      </xdr:nvSpPr>
      <xdr:spPr bwMode="auto">
        <a:xfrm>
          <a:off x="0" y="567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72" name="AutoShape 548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567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73" name="AutoShape 549" descr="GERMANY7"/>
        <xdr:cNvSpPr>
          <a:spLocks noChangeAspect="1" noChangeArrowheads="1"/>
        </xdr:cNvSpPr>
      </xdr:nvSpPr>
      <xdr:spPr bwMode="auto">
        <a:xfrm>
          <a:off x="0" y="569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74" name="AutoShape 550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56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75" name="AutoShape 551" descr="GERMANY7"/>
        <xdr:cNvSpPr>
          <a:spLocks noChangeAspect="1" noChangeArrowheads="1"/>
        </xdr:cNvSpPr>
      </xdr:nvSpPr>
      <xdr:spPr bwMode="auto">
        <a:xfrm>
          <a:off x="0" y="5721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76" name="AutoShape 552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5721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77" name="AutoShape 553" descr="GERMANY7"/>
        <xdr:cNvSpPr>
          <a:spLocks noChangeAspect="1" noChangeArrowheads="1"/>
        </xdr:cNvSpPr>
      </xdr:nvSpPr>
      <xdr:spPr bwMode="auto">
        <a:xfrm>
          <a:off x="0" y="5738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78" name="AutoShape 554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5738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79" name="AutoShape 555" descr="GUATEMALA"/>
        <xdr:cNvSpPr>
          <a:spLocks noChangeAspect="1" noChangeArrowheads="1"/>
        </xdr:cNvSpPr>
      </xdr:nvSpPr>
      <xdr:spPr bwMode="auto">
        <a:xfrm>
          <a:off x="0" y="57561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80" name="AutoShape 556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57561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81" name="AutoShape 557" descr="GUATEMALA"/>
        <xdr:cNvSpPr>
          <a:spLocks noChangeAspect="1" noChangeArrowheads="1"/>
        </xdr:cNvSpPr>
      </xdr:nvSpPr>
      <xdr:spPr bwMode="auto">
        <a:xfrm>
          <a:off x="0" y="5781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82" name="AutoShape 558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5781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83" name="AutoShape 559" descr="HUNGARY"/>
        <xdr:cNvSpPr>
          <a:spLocks noChangeAspect="1" noChangeArrowheads="1"/>
        </xdr:cNvSpPr>
      </xdr:nvSpPr>
      <xdr:spPr bwMode="auto">
        <a:xfrm>
          <a:off x="0" y="57988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84" name="AutoShape 560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57988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85" name="AutoShape 561" descr="HUNGARY"/>
        <xdr:cNvSpPr>
          <a:spLocks noChangeAspect="1" noChangeArrowheads="1"/>
        </xdr:cNvSpPr>
      </xdr:nvSpPr>
      <xdr:spPr bwMode="auto">
        <a:xfrm>
          <a:off x="0" y="5823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86" name="AutoShape 562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5823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87" name="AutoShape 563" descr="HUNGARY2"/>
        <xdr:cNvSpPr>
          <a:spLocks noChangeAspect="1" noChangeArrowheads="1"/>
        </xdr:cNvSpPr>
      </xdr:nvSpPr>
      <xdr:spPr bwMode="auto">
        <a:xfrm>
          <a:off x="0" y="5841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88" name="AutoShape 564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5841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89" name="AutoShape 565" descr="HUNGARY2"/>
        <xdr:cNvSpPr>
          <a:spLocks noChangeAspect="1" noChangeArrowheads="1"/>
        </xdr:cNvSpPr>
      </xdr:nvSpPr>
      <xdr:spPr bwMode="auto">
        <a:xfrm>
          <a:off x="0" y="5859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90" name="AutoShape 566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5859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91" name="AutoShape 567" descr="HUNGARY2"/>
        <xdr:cNvSpPr>
          <a:spLocks noChangeAspect="1" noChangeArrowheads="1"/>
        </xdr:cNvSpPr>
      </xdr:nvSpPr>
      <xdr:spPr bwMode="auto">
        <a:xfrm>
          <a:off x="0" y="5876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92" name="AutoShape 568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5876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93" name="AutoShape 569" descr="HUNGARY2"/>
        <xdr:cNvSpPr>
          <a:spLocks noChangeAspect="1" noChangeArrowheads="1"/>
        </xdr:cNvSpPr>
      </xdr:nvSpPr>
      <xdr:spPr bwMode="auto">
        <a:xfrm>
          <a:off x="0" y="5901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94" name="AutoShape 570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5901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95" name="AutoShape 571" descr="HUNGARY2"/>
        <xdr:cNvSpPr>
          <a:spLocks noChangeAspect="1" noChangeArrowheads="1"/>
        </xdr:cNvSpPr>
      </xdr:nvSpPr>
      <xdr:spPr bwMode="auto">
        <a:xfrm>
          <a:off x="0" y="5919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96" name="AutoShape 572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5919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97" name="AutoShape 573" descr="HUNGARY2"/>
        <xdr:cNvSpPr>
          <a:spLocks noChangeAspect="1" noChangeArrowheads="1"/>
        </xdr:cNvSpPr>
      </xdr:nvSpPr>
      <xdr:spPr bwMode="auto">
        <a:xfrm>
          <a:off x="0" y="5944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98" name="AutoShape 574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5944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599" name="AutoShape 575" descr="ICELAND"/>
        <xdr:cNvSpPr>
          <a:spLocks noChangeAspect="1" noChangeArrowheads="1"/>
        </xdr:cNvSpPr>
      </xdr:nvSpPr>
      <xdr:spPr bwMode="auto">
        <a:xfrm>
          <a:off x="0" y="5961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00" name="AutoShape 576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5961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01" name="AutoShape 577" descr="ICELAND3"/>
        <xdr:cNvSpPr>
          <a:spLocks noChangeAspect="1" noChangeArrowheads="1"/>
        </xdr:cNvSpPr>
      </xdr:nvSpPr>
      <xdr:spPr bwMode="auto">
        <a:xfrm>
          <a:off x="0" y="5979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02" name="AutoShape 578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5979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03" name="AutoShape 579" descr="ICELAND3"/>
        <xdr:cNvSpPr>
          <a:spLocks noChangeAspect="1" noChangeArrowheads="1"/>
        </xdr:cNvSpPr>
      </xdr:nvSpPr>
      <xdr:spPr bwMode="auto">
        <a:xfrm>
          <a:off x="0" y="5996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04" name="AutoShape 580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5996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05" name="AutoShape 581" descr="ICELAND3"/>
        <xdr:cNvSpPr>
          <a:spLocks noChangeAspect="1" noChangeArrowheads="1"/>
        </xdr:cNvSpPr>
      </xdr:nvSpPr>
      <xdr:spPr bwMode="auto">
        <a:xfrm>
          <a:off x="0" y="6014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06" name="AutoShape 582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6014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07" name="AutoShape 583" descr="ICELAND3"/>
        <xdr:cNvSpPr>
          <a:spLocks noChangeAspect="1" noChangeArrowheads="1"/>
        </xdr:cNvSpPr>
      </xdr:nvSpPr>
      <xdr:spPr bwMode="auto">
        <a:xfrm>
          <a:off x="0" y="6039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08" name="AutoShape 584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6039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09" name="AutoShape 585" descr="ICELAND3"/>
        <xdr:cNvSpPr>
          <a:spLocks noChangeAspect="1" noChangeArrowheads="1"/>
        </xdr:cNvSpPr>
      </xdr:nvSpPr>
      <xdr:spPr bwMode="auto">
        <a:xfrm>
          <a:off x="0" y="6057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10" name="AutoShape 586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6057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11" name="AutoShape 587" descr="IRELAND3"/>
        <xdr:cNvSpPr>
          <a:spLocks noChangeAspect="1" noChangeArrowheads="1"/>
        </xdr:cNvSpPr>
      </xdr:nvSpPr>
      <xdr:spPr bwMode="auto">
        <a:xfrm>
          <a:off x="0" y="6082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12" name="AutoShape 588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6082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13" name="AutoShape 589" descr="IRELAND3"/>
        <xdr:cNvSpPr>
          <a:spLocks noChangeAspect="1" noChangeArrowheads="1"/>
        </xdr:cNvSpPr>
      </xdr:nvSpPr>
      <xdr:spPr bwMode="auto">
        <a:xfrm>
          <a:off x="0" y="6099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14" name="AutoShape 590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6099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15" name="AutoShape 591" descr="IRELAND3"/>
        <xdr:cNvSpPr>
          <a:spLocks noChangeAspect="1" noChangeArrowheads="1"/>
        </xdr:cNvSpPr>
      </xdr:nvSpPr>
      <xdr:spPr bwMode="auto">
        <a:xfrm>
          <a:off x="0" y="6124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16" name="AutoShape 592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6124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17" name="AutoShape 593" descr="IRELAND3"/>
        <xdr:cNvSpPr>
          <a:spLocks noChangeAspect="1" noChangeArrowheads="1"/>
        </xdr:cNvSpPr>
      </xdr:nvSpPr>
      <xdr:spPr bwMode="auto">
        <a:xfrm>
          <a:off x="0" y="6150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18" name="AutoShape 594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6150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19" name="AutoShape 595" descr="IRELAND3"/>
        <xdr:cNvSpPr>
          <a:spLocks noChangeAspect="1" noChangeArrowheads="1"/>
        </xdr:cNvSpPr>
      </xdr:nvSpPr>
      <xdr:spPr bwMode="auto">
        <a:xfrm>
          <a:off x="0" y="6175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20" name="AutoShape 596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6175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21" name="AutoShape 597" descr="IRELAND3"/>
        <xdr:cNvSpPr>
          <a:spLocks noChangeAspect="1" noChangeArrowheads="1"/>
        </xdr:cNvSpPr>
      </xdr:nvSpPr>
      <xdr:spPr bwMode="auto">
        <a:xfrm>
          <a:off x="0" y="6192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22" name="AutoShape 598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6192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23" name="AutoShape 599" descr="JAPAN"/>
        <xdr:cNvSpPr>
          <a:spLocks noChangeAspect="1" noChangeArrowheads="1"/>
        </xdr:cNvSpPr>
      </xdr:nvSpPr>
      <xdr:spPr bwMode="auto">
        <a:xfrm>
          <a:off x="0" y="6217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24" name="AutoShape 600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6217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25" name="AutoShape 601" descr="JAPAN"/>
        <xdr:cNvSpPr>
          <a:spLocks noChangeAspect="1" noChangeArrowheads="1"/>
        </xdr:cNvSpPr>
      </xdr:nvSpPr>
      <xdr:spPr bwMode="auto">
        <a:xfrm>
          <a:off x="0" y="6243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26" name="AutoShape 602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6243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27" name="AutoShape 603" descr="JAPAN"/>
        <xdr:cNvSpPr>
          <a:spLocks noChangeAspect="1" noChangeArrowheads="1"/>
        </xdr:cNvSpPr>
      </xdr:nvSpPr>
      <xdr:spPr bwMode="auto">
        <a:xfrm>
          <a:off x="0" y="6268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28" name="AutoShape 604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6268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29" name="AutoShape 605" descr="JAPAN"/>
        <xdr:cNvSpPr>
          <a:spLocks noChangeAspect="1" noChangeArrowheads="1"/>
        </xdr:cNvSpPr>
      </xdr:nvSpPr>
      <xdr:spPr bwMode="auto">
        <a:xfrm>
          <a:off x="0" y="6293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30" name="AutoShape 606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6293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31" name="AutoShape 607" descr="JAPAN"/>
        <xdr:cNvSpPr>
          <a:spLocks noChangeAspect="1" noChangeArrowheads="1"/>
        </xdr:cNvSpPr>
      </xdr:nvSpPr>
      <xdr:spPr bwMode="auto">
        <a:xfrm>
          <a:off x="0" y="631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32" name="AutoShape 608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631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33" name="AutoShape 609" descr="JAPAN"/>
        <xdr:cNvSpPr>
          <a:spLocks noChangeAspect="1" noChangeArrowheads="1"/>
        </xdr:cNvSpPr>
      </xdr:nvSpPr>
      <xdr:spPr bwMode="auto">
        <a:xfrm>
          <a:off x="0" y="6343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34" name="AutoShape 610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634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35" name="AutoShape 611" descr="JAPAN"/>
        <xdr:cNvSpPr>
          <a:spLocks noChangeAspect="1" noChangeArrowheads="1"/>
        </xdr:cNvSpPr>
      </xdr:nvSpPr>
      <xdr:spPr bwMode="auto">
        <a:xfrm>
          <a:off x="0" y="6368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36" name="AutoShape 612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6368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37" name="AutoShape 613" descr="JAPAN"/>
        <xdr:cNvSpPr>
          <a:spLocks noChangeAspect="1" noChangeArrowheads="1"/>
        </xdr:cNvSpPr>
      </xdr:nvSpPr>
      <xdr:spPr bwMode="auto">
        <a:xfrm>
          <a:off x="0" y="6386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38" name="AutoShape 614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6386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39" name="AutoShape 615" descr="JAPAN"/>
        <xdr:cNvSpPr>
          <a:spLocks noChangeAspect="1" noChangeArrowheads="1"/>
        </xdr:cNvSpPr>
      </xdr:nvSpPr>
      <xdr:spPr bwMode="auto">
        <a:xfrm>
          <a:off x="0" y="6403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40" name="AutoShape 616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6403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41" name="AutoShape 617" descr="JAPAN2"/>
        <xdr:cNvSpPr>
          <a:spLocks noChangeAspect="1" noChangeArrowheads="1"/>
        </xdr:cNvSpPr>
      </xdr:nvSpPr>
      <xdr:spPr bwMode="auto">
        <a:xfrm>
          <a:off x="0" y="6421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42" name="AutoShape 618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6421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43" name="AutoShape 619" descr="JAPAN2"/>
        <xdr:cNvSpPr>
          <a:spLocks noChangeAspect="1" noChangeArrowheads="1"/>
        </xdr:cNvSpPr>
      </xdr:nvSpPr>
      <xdr:spPr bwMode="auto">
        <a:xfrm>
          <a:off x="0" y="6446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44" name="AutoShape 620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6446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45" name="AutoShape 621" descr="JAPAN2"/>
        <xdr:cNvSpPr>
          <a:spLocks noChangeAspect="1" noChangeArrowheads="1"/>
        </xdr:cNvSpPr>
      </xdr:nvSpPr>
      <xdr:spPr bwMode="auto">
        <a:xfrm>
          <a:off x="0" y="6464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46" name="AutoShape 622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6464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47" name="AutoShape 623" descr="JAPAN2"/>
        <xdr:cNvSpPr>
          <a:spLocks noChangeAspect="1" noChangeArrowheads="1"/>
        </xdr:cNvSpPr>
      </xdr:nvSpPr>
      <xdr:spPr bwMode="auto">
        <a:xfrm>
          <a:off x="0" y="64815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48" name="AutoShape 624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64815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49" name="AutoShape 625" descr="JAPAN2"/>
        <xdr:cNvSpPr>
          <a:spLocks noChangeAspect="1" noChangeArrowheads="1"/>
        </xdr:cNvSpPr>
      </xdr:nvSpPr>
      <xdr:spPr bwMode="auto">
        <a:xfrm>
          <a:off x="0" y="6506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50" name="AutoShape 626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6506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51" name="AutoShape 627" descr="JAPAN2"/>
        <xdr:cNvSpPr>
          <a:spLocks noChangeAspect="1" noChangeArrowheads="1"/>
        </xdr:cNvSpPr>
      </xdr:nvSpPr>
      <xdr:spPr bwMode="auto">
        <a:xfrm>
          <a:off x="0" y="6524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52" name="AutoShape 628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6524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53" name="AutoShape 629" descr="JAPAN2"/>
        <xdr:cNvSpPr>
          <a:spLocks noChangeAspect="1" noChangeArrowheads="1"/>
        </xdr:cNvSpPr>
      </xdr:nvSpPr>
      <xdr:spPr bwMode="auto">
        <a:xfrm>
          <a:off x="0" y="654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54" name="AutoShape 630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654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55" name="AutoShape 631" descr="JAPAN2"/>
        <xdr:cNvSpPr>
          <a:spLocks noChangeAspect="1" noChangeArrowheads="1"/>
        </xdr:cNvSpPr>
      </xdr:nvSpPr>
      <xdr:spPr bwMode="auto">
        <a:xfrm>
          <a:off x="0" y="6574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56" name="AutoShape 632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6574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57" name="AutoShape 633" descr="JAPAN3"/>
        <xdr:cNvSpPr>
          <a:spLocks noChangeAspect="1" noChangeArrowheads="1"/>
        </xdr:cNvSpPr>
      </xdr:nvSpPr>
      <xdr:spPr bwMode="auto">
        <a:xfrm>
          <a:off x="0" y="659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58" name="AutoShape 634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659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59" name="AutoShape 635" descr="JAPAN3"/>
        <xdr:cNvSpPr>
          <a:spLocks noChangeAspect="1" noChangeArrowheads="1"/>
        </xdr:cNvSpPr>
      </xdr:nvSpPr>
      <xdr:spPr bwMode="auto">
        <a:xfrm>
          <a:off x="0" y="6624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60" name="AutoShape 636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6624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61" name="AutoShape 637" descr="JAPAN3"/>
        <xdr:cNvSpPr>
          <a:spLocks noChangeAspect="1" noChangeArrowheads="1"/>
        </xdr:cNvSpPr>
      </xdr:nvSpPr>
      <xdr:spPr bwMode="auto">
        <a:xfrm>
          <a:off x="0" y="664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62" name="AutoShape 638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664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63" name="AutoShape 639" descr="JAPAN3"/>
        <xdr:cNvSpPr>
          <a:spLocks noChangeAspect="1" noChangeArrowheads="1"/>
        </xdr:cNvSpPr>
      </xdr:nvSpPr>
      <xdr:spPr bwMode="auto">
        <a:xfrm>
          <a:off x="0" y="6667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64" name="AutoShape 640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6667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65" name="AutoShape 641" descr="JAPAN3"/>
        <xdr:cNvSpPr>
          <a:spLocks noChangeAspect="1" noChangeArrowheads="1"/>
        </xdr:cNvSpPr>
      </xdr:nvSpPr>
      <xdr:spPr bwMode="auto">
        <a:xfrm>
          <a:off x="0" y="6685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66" name="AutoShape 642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6685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67" name="AutoShape 643" descr="JAPAN3"/>
        <xdr:cNvSpPr>
          <a:spLocks noChangeAspect="1" noChangeArrowheads="1"/>
        </xdr:cNvSpPr>
      </xdr:nvSpPr>
      <xdr:spPr bwMode="auto">
        <a:xfrm>
          <a:off x="0" y="670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68" name="AutoShape 644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670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69" name="AutoShape 645" descr="KAZAKHSTAN"/>
        <xdr:cNvSpPr>
          <a:spLocks noChangeAspect="1" noChangeArrowheads="1"/>
        </xdr:cNvSpPr>
      </xdr:nvSpPr>
      <xdr:spPr bwMode="auto">
        <a:xfrm>
          <a:off x="0" y="6727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70" name="AutoShape 646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6727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71" name="AutoShape 647" descr="KAZAKHSTAN"/>
        <xdr:cNvSpPr>
          <a:spLocks noChangeAspect="1" noChangeArrowheads="1"/>
        </xdr:cNvSpPr>
      </xdr:nvSpPr>
      <xdr:spPr bwMode="auto">
        <a:xfrm>
          <a:off x="0" y="674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72" name="AutoShape 648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674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73" name="AutoShape 649" descr="KAZAKHSTAN"/>
        <xdr:cNvSpPr>
          <a:spLocks noChangeAspect="1" noChangeArrowheads="1"/>
        </xdr:cNvSpPr>
      </xdr:nvSpPr>
      <xdr:spPr bwMode="auto">
        <a:xfrm>
          <a:off x="0" y="6762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74" name="AutoShape 650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676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75" name="AutoShape 651" descr="KAZAKHSTAN"/>
        <xdr:cNvSpPr>
          <a:spLocks noChangeAspect="1" noChangeArrowheads="1"/>
        </xdr:cNvSpPr>
      </xdr:nvSpPr>
      <xdr:spPr bwMode="auto">
        <a:xfrm>
          <a:off x="0" y="678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76" name="AutoShape 652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678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77" name="AutoShape 653" descr="MEXICO"/>
        <xdr:cNvSpPr>
          <a:spLocks noChangeAspect="1" noChangeArrowheads="1"/>
        </xdr:cNvSpPr>
      </xdr:nvSpPr>
      <xdr:spPr bwMode="auto">
        <a:xfrm>
          <a:off x="0" y="6797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78" name="AutoShape 654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6797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79" name="AutoShape 655" descr="MOLDOVA"/>
        <xdr:cNvSpPr>
          <a:spLocks noChangeAspect="1" noChangeArrowheads="1"/>
        </xdr:cNvSpPr>
      </xdr:nvSpPr>
      <xdr:spPr bwMode="auto">
        <a:xfrm>
          <a:off x="0" y="6815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80" name="AutoShape 656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6815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81" name="AutoShape 657" descr="MOLDOVA"/>
        <xdr:cNvSpPr>
          <a:spLocks noChangeAspect="1" noChangeArrowheads="1"/>
        </xdr:cNvSpPr>
      </xdr:nvSpPr>
      <xdr:spPr bwMode="auto">
        <a:xfrm>
          <a:off x="0" y="6840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82" name="AutoShape 658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6840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83" name="AutoShape 659" descr="MONTENEGRO"/>
        <xdr:cNvSpPr>
          <a:spLocks noChangeAspect="1" noChangeArrowheads="1"/>
        </xdr:cNvSpPr>
      </xdr:nvSpPr>
      <xdr:spPr bwMode="auto">
        <a:xfrm>
          <a:off x="0" y="686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84" name="AutoShape 660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686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85" name="AutoShape 661" descr="NETHERLANDS3"/>
        <xdr:cNvSpPr>
          <a:spLocks noChangeAspect="1" noChangeArrowheads="1"/>
        </xdr:cNvSpPr>
      </xdr:nvSpPr>
      <xdr:spPr bwMode="auto">
        <a:xfrm>
          <a:off x="0" y="688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86" name="AutoShape 662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688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87" name="AutoShape 663" descr="NETHERLANDS3"/>
        <xdr:cNvSpPr>
          <a:spLocks noChangeAspect="1" noChangeArrowheads="1"/>
        </xdr:cNvSpPr>
      </xdr:nvSpPr>
      <xdr:spPr bwMode="auto">
        <a:xfrm>
          <a:off x="0" y="6908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88" name="AutoShape 664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6908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89" name="AutoShape 665" descr="NETHERLANDS3"/>
        <xdr:cNvSpPr>
          <a:spLocks noChangeAspect="1" noChangeArrowheads="1"/>
        </xdr:cNvSpPr>
      </xdr:nvSpPr>
      <xdr:spPr bwMode="auto">
        <a:xfrm>
          <a:off x="0" y="6933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90" name="AutoShape 666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6933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91" name="AutoShape 667" descr="NETHERLANDS3"/>
        <xdr:cNvSpPr>
          <a:spLocks noChangeAspect="1" noChangeArrowheads="1"/>
        </xdr:cNvSpPr>
      </xdr:nvSpPr>
      <xdr:spPr bwMode="auto">
        <a:xfrm>
          <a:off x="0" y="6950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92" name="AutoShape 668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6950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93" name="AutoShape 669" descr="NETHERLANDS3"/>
        <xdr:cNvSpPr>
          <a:spLocks noChangeAspect="1" noChangeArrowheads="1"/>
        </xdr:cNvSpPr>
      </xdr:nvSpPr>
      <xdr:spPr bwMode="auto">
        <a:xfrm>
          <a:off x="0" y="6976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94" name="AutoShape 670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6976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95" name="AutoShape 671" descr="NETHERLANDS3"/>
        <xdr:cNvSpPr>
          <a:spLocks noChangeAspect="1" noChangeArrowheads="1"/>
        </xdr:cNvSpPr>
      </xdr:nvSpPr>
      <xdr:spPr bwMode="auto">
        <a:xfrm>
          <a:off x="0" y="7001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96" name="AutoShape 672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7001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97" name="AutoShape 673" descr="NETHERLANDS3"/>
        <xdr:cNvSpPr>
          <a:spLocks noChangeAspect="1" noChangeArrowheads="1"/>
        </xdr:cNvSpPr>
      </xdr:nvSpPr>
      <xdr:spPr bwMode="auto">
        <a:xfrm>
          <a:off x="0" y="7018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698" name="AutoShape 674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7018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99" name="AutoShape 675" descr="NETHERLANDS3"/>
        <xdr:cNvSpPr>
          <a:spLocks noChangeAspect="1" noChangeArrowheads="1"/>
        </xdr:cNvSpPr>
      </xdr:nvSpPr>
      <xdr:spPr bwMode="auto">
        <a:xfrm>
          <a:off x="0" y="7036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00" name="AutoShape 676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7036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01" name="AutoShape 677" descr="NETHERLANDS3"/>
        <xdr:cNvSpPr>
          <a:spLocks noChangeAspect="1" noChangeArrowheads="1"/>
        </xdr:cNvSpPr>
      </xdr:nvSpPr>
      <xdr:spPr bwMode="auto">
        <a:xfrm>
          <a:off x="0" y="7061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02" name="AutoShape 678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7061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03" name="AutoShape 679" descr="NORTHERNIRELAND"/>
        <xdr:cNvSpPr>
          <a:spLocks noChangeAspect="1" noChangeArrowheads="1"/>
        </xdr:cNvSpPr>
      </xdr:nvSpPr>
      <xdr:spPr bwMode="auto">
        <a:xfrm>
          <a:off x="0" y="7078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04" name="AutoShape 680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7078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05" name="AutoShape 681" descr="NORTHERNIRELAND"/>
        <xdr:cNvSpPr>
          <a:spLocks noChangeAspect="1" noChangeArrowheads="1"/>
        </xdr:cNvSpPr>
      </xdr:nvSpPr>
      <xdr:spPr bwMode="auto">
        <a:xfrm>
          <a:off x="0" y="7096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06" name="AutoShape 682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7096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07" name="AutoShape 683" descr="NORTHERNIRELAND"/>
        <xdr:cNvSpPr>
          <a:spLocks noChangeAspect="1" noChangeArrowheads="1"/>
        </xdr:cNvSpPr>
      </xdr:nvSpPr>
      <xdr:spPr bwMode="auto">
        <a:xfrm>
          <a:off x="0" y="711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08" name="AutoShape 684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711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09" name="AutoShape 685" descr="NORTHERNIRELAND"/>
        <xdr:cNvSpPr>
          <a:spLocks noChangeAspect="1" noChangeArrowheads="1"/>
        </xdr:cNvSpPr>
      </xdr:nvSpPr>
      <xdr:spPr bwMode="auto">
        <a:xfrm>
          <a:off x="0" y="7139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10" name="AutoShape 686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7139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11" name="AutoShape 687" descr="NORTHERNIRELAND"/>
        <xdr:cNvSpPr>
          <a:spLocks noChangeAspect="1" noChangeArrowheads="1"/>
        </xdr:cNvSpPr>
      </xdr:nvSpPr>
      <xdr:spPr bwMode="auto">
        <a:xfrm>
          <a:off x="0" y="7164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12" name="AutoShape 688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7164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13" name="AutoShape 689" descr="NORTHERNIRELAND"/>
        <xdr:cNvSpPr>
          <a:spLocks noChangeAspect="1" noChangeArrowheads="1"/>
        </xdr:cNvSpPr>
      </xdr:nvSpPr>
      <xdr:spPr bwMode="auto">
        <a:xfrm>
          <a:off x="0" y="7181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14" name="AutoShape 690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7181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15" name="AutoShape 691" descr="NORTHMACEDONIA"/>
        <xdr:cNvSpPr>
          <a:spLocks noChangeAspect="1" noChangeArrowheads="1"/>
        </xdr:cNvSpPr>
      </xdr:nvSpPr>
      <xdr:spPr bwMode="auto">
        <a:xfrm>
          <a:off x="0" y="7199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16" name="AutoShape 692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7199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17" name="AutoShape 693" descr="NORTHMACEDONIA"/>
        <xdr:cNvSpPr>
          <a:spLocks noChangeAspect="1" noChangeArrowheads="1"/>
        </xdr:cNvSpPr>
      </xdr:nvSpPr>
      <xdr:spPr bwMode="auto">
        <a:xfrm>
          <a:off x="0" y="721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18" name="AutoShape 694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721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19" name="AutoShape 695" descr="NORTHMACEDONIA"/>
        <xdr:cNvSpPr>
          <a:spLocks noChangeAspect="1" noChangeArrowheads="1"/>
        </xdr:cNvSpPr>
      </xdr:nvSpPr>
      <xdr:spPr bwMode="auto">
        <a:xfrm>
          <a:off x="0" y="7242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20" name="AutoShape 696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7242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21" name="AutoShape 697" descr="NORTHMACEDONIA"/>
        <xdr:cNvSpPr>
          <a:spLocks noChangeAspect="1" noChangeArrowheads="1"/>
        </xdr:cNvSpPr>
      </xdr:nvSpPr>
      <xdr:spPr bwMode="auto">
        <a:xfrm>
          <a:off x="0" y="7259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22" name="AutoShape 698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7259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23" name="AutoShape 699" descr="NORTHMACEDONIA"/>
        <xdr:cNvSpPr>
          <a:spLocks noChangeAspect="1" noChangeArrowheads="1"/>
        </xdr:cNvSpPr>
      </xdr:nvSpPr>
      <xdr:spPr bwMode="auto">
        <a:xfrm>
          <a:off x="0" y="727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24" name="AutoShape 700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727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25" name="AutoShape 701" descr="NORWAY"/>
        <xdr:cNvSpPr>
          <a:spLocks noChangeAspect="1" noChangeArrowheads="1"/>
        </xdr:cNvSpPr>
      </xdr:nvSpPr>
      <xdr:spPr bwMode="auto">
        <a:xfrm>
          <a:off x="0" y="7302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26" name="AutoShape 702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7302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27" name="AutoShape 703" descr="NORWAY2"/>
        <xdr:cNvSpPr>
          <a:spLocks noChangeAspect="1" noChangeArrowheads="1"/>
        </xdr:cNvSpPr>
      </xdr:nvSpPr>
      <xdr:spPr bwMode="auto">
        <a:xfrm>
          <a:off x="0" y="73197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28" name="AutoShape 704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7319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29" name="AutoShape 705" descr="NORWAY2"/>
        <xdr:cNvSpPr>
          <a:spLocks noChangeAspect="1" noChangeArrowheads="1"/>
        </xdr:cNvSpPr>
      </xdr:nvSpPr>
      <xdr:spPr bwMode="auto">
        <a:xfrm>
          <a:off x="0" y="7337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30" name="AutoShape 706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7337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31" name="AutoShape 707" descr="NORWAY2"/>
        <xdr:cNvSpPr>
          <a:spLocks noChangeAspect="1" noChangeArrowheads="1"/>
        </xdr:cNvSpPr>
      </xdr:nvSpPr>
      <xdr:spPr bwMode="auto">
        <a:xfrm>
          <a:off x="0" y="735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32" name="AutoShape 708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735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33" name="AutoShape 709" descr="NORWAY3"/>
        <xdr:cNvSpPr>
          <a:spLocks noChangeAspect="1" noChangeArrowheads="1"/>
        </xdr:cNvSpPr>
      </xdr:nvSpPr>
      <xdr:spPr bwMode="auto">
        <a:xfrm>
          <a:off x="0" y="737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34" name="AutoShape 710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737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35" name="AutoShape 711" descr="NORWAY3"/>
        <xdr:cNvSpPr>
          <a:spLocks noChangeAspect="1" noChangeArrowheads="1"/>
        </xdr:cNvSpPr>
      </xdr:nvSpPr>
      <xdr:spPr bwMode="auto">
        <a:xfrm>
          <a:off x="0" y="738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36" name="AutoShape 712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738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37" name="AutoShape 713" descr="NORWAY3"/>
        <xdr:cNvSpPr>
          <a:spLocks noChangeAspect="1" noChangeArrowheads="1"/>
        </xdr:cNvSpPr>
      </xdr:nvSpPr>
      <xdr:spPr bwMode="auto">
        <a:xfrm>
          <a:off x="0" y="740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38" name="AutoShape 714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740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39" name="AutoShape 715" descr="NORWAY3"/>
        <xdr:cNvSpPr>
          <a:spLocks noChangeAspect="1" noChangeArrowheads="1"/>
        </xdr:cNvSpPr>
      </xdr:nvSpPr>
      <xdr:spPr bwMode="auto">
        <a:xfrm>
          <a:off x="0" y="742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40" name="AutoShape 716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742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41" name="AutoShape 717" descr="NORWAY4"/>
        <xdr:cNvSpPr>
          <a:spLocks noChangeAspect="1" noChangeArrowheads="1"/>
        </xdr:cNvSpPr>
      </xdr:nvSpPr>
      <xdr:spPr bwMode="auto">
        <a:xfrm>
          <a:off x="0" y="744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42" name="AutoShape 718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744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43" name="AutoShape 719" descr="NORWAY11"/>
        <xdr:cNvSpPr>
          <a:spLocks noChangeAspect="1" noChangeArrowheads="1"/>
        </xdr:cNvSpPr>
      </xdr:nvSpPr>
      <xdr:spPr bwMode="auto">
        <a:xfrm>
          <a:off x="0" y="745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44" name="AutoShape 720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745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45" name="AutoShape 721" descr="NORWAY11"/>
        <xdr:cNvSpPr>
          <a:spLocks noChangeAspect="1" noChangeArrowheads="1"/>
        </xdr:cNvSpPr>
      </xdr:nvSpPr>
      <xdr:spPr bwMode="auto">
        <a:xfrm>
          <a:off x="0" y="747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46" name="AutoShape 722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747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47" name="AutoShape 723" descr="NORWAY11"/>
        <xdr:cNvSpPr>
          <a:spLocks noChangeAspect="1" noChangeArrowheads="1"/>
        </xdr:cNvSpPr>
      </xdr:nvSpPr>
      <xdr:spPr bwMode="auto">
        <a:xfrm>
          <a:off x="0" y="750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48" name="AutoShape 724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750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49" name="AutoShape 725" descr="NORWAY11"/>
        <xdr:cNvSpPr>
          <a:spLocks noChangeAspect="1" noChangeArrowheads="1"/>
        </xdr:cNvSpPr>
      </xdr:nvSpPr>
      <xdr:spPr bwMode="auto">
        <a:xfrm>
          <a:off x="0" y="7527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50" name="AutoShape 726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7527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51" name="AutoShape 727" descr="NORWAY11"/>
        <xdr:cNvSpPr>
          <a:spLocks noChangeAspect="1" noChangeArrowheads="1"/>
        </xdr:cNvSpPr>
      </xdr:nvSpPr>
      <xdr:spPr bwMode="auto">
        <a:xfrm>
          <a:off x="0" y="7545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52" name="AutoShape 728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7545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53" name="AutoShape 729" descr="PARAGUAY2"/>
        <xdr:cNvSpPr>
          <a:spLocks noChangeAspect="1" noChangeArrowheads="1"/>
        </xdr:cNvSpPr>
      </xdr:nvSpPr>
      <xdr:spPr bwMode="auto">
        <a:xfrm>
          <a:off x="0" y="7562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54" name="AutoShape 730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756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55" name="AutoShape 731" descr="PARAGUAY2"/>
        <xdr:cNvSpPr>
          <a:spLocks noChangeAspect="1" noChangeArrowheads="1"/>
        </xdr:cNvSpPr>
      </xdr:nvSpPr>
      <xdr:spPr bwMode="auto">
        <a:xfrm>
          <a:off x="0" y="7580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56" name="AutoShape 732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7580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57" name="AutoShape 733" descr="PERU2"/>
        <xdr:cNvSpPr>
          <a:spLocks noChangeAspect="1" noChangeArrowheads="1"/>
        </xdr:cNvSpPr>
      </xdr:nvSpPr>
      <xdr:spPr bwMode="auto">
        <a:xfrm>
          <a:off x="0" y="7597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58" name="AutoShape 734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7597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59" name="AutoShape 735" descr="PERU2"/>
        <xdr:cNvSpPr>
          <a:spLocks noChangeAspect="1" noChangeArrowheads="1"/>
        </xdr:cNvSpPr>
      </xdr:nvSpPr>
      <xdr:spPr bwMode="auto">
        <a:xfrm>
          <a:off x="0" y="7615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60" name="AutoShape 736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7615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61" name="AutoShape 737" descr="PERU2"/>
        <xdr:cNvSpPr>
          <a:spLocks noChangeAspect="1" noChangeArrowheads="1"/>
        </xdr:cNvSpPr>
      </xdr:nvSpPr>
      <xdr:spPr bwMode="auto">
        <a:xfrm>
          <a:off x="0" y="7632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62" name="AutoShape 738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7632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63" name="AutoShape 739" descr="PERU2"/>
        <xdr:cNvSpPr>
          <a:spLocks noChangeAspect="1" noChangeArrowheads="1"/>
        </xdr:cNvSpPr>
      </xdr:nvSpPr>
      <xdr:spPr bwMode="auto">
        <a:xfrm>
          <a:off x="0" y="765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64" name="AutoShape 740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765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65" name="AutoShape 741" descr="PERU2"/>
        <xdr:cNvSpPr>
          <a:spLocks noChangeAspect="1" noChangeArrowheads="1"/>
        </xdr:cNvSpPr>
      </xdr:nvSpPr>
      <xdr:spPr bwMode="auto">
        <a:xfrm>
          <a:off x="0" y="767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66" name="AutoShape 742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767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67" name="AutoShape 743" descr="PERU2"/>
        <xdr:cNvSpPr>
          <a:spLocks noChangeAspect="1" noChangeArrowheads="1"/>
        </xdr:cNvSpPr>
      </xdr:nvSpPr>
      <xdr:spPr bwMode="auto">
        <a:xfrm>
          <a:off x="0" y="769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68" name="AutoShape 744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769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69" name="AutoShape 745" descr="PERU2"/>
        <xdr:cNvSpPr>
          <a:spLocks noChangeAspect="1" noChangeArrowheads="1"/>
        </xdr:cNvSpPr>
      </xdr:nvSpPr>
      <xdr:spPr bwMode="auto">
        <a:xfrm>
          <a:off x="0" y="771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70" name="AutoShape 746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771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71" name="AutoShape 747" descr="PERU2"/>
        <xdr:cNvSpPr>
          <a:spLocks noChangeAspect="1" noChangeArrowheads="1"/>
        </xdr:cNvSpPr>
      </xdr:nvSpPr>
      <xdr:spPr bwMode="auto">
        <a:xfrm>
          <a:off x="0" y="772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72" name="AutoShape 748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772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73" name="AutoShape 749" descr="PERU2"/>
        <xdr:cNvSpPr>
          <a:spLocks noChangeAspect="1" noChangeArrowheads="1"/>
        </xdr:cNvSpPr>
      </xdr:nvSpPr>
      <xdr:spPr bwMode="auto">
        <a:xfrm>
          <a:off x="0" y="7753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74" name="AutoShape 750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775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75" name="AutoShape 751" descr="POLAND"/>
        <xdr:cNvSpPr>
          <a:spLocks noChangeAspect="1" noChangeArrowheads="1"/>
        </xdr:cNvSpPr>
      </xdr:nvSpPr>
      <xdr:spPr bwMode="auto">
        <a:xfrm>
          <a:off x="0" y="7778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76" name="AutoShape 752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7778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77" name="AutoShape 753" descr="POLAND"/>
        <xdr:cNvSpPr>
          <a:spLocks noChangeAspect="1" noChangeArrowheads="1"/>
        </xdr:cNvSpPr>
      </xdr:nvSpPr>
      <xdr:spPr bwMode="auto">
        <a:xfrm>
          <a:off x="0" y="7803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78" name="AutoShape 754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7803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79" name="AutoShape 755" descr="POLAND"/>
        <xdr:cNvSpPr>
          <a:spLocks noChangeAspect="1" noChangeArrowheads="1"/>
        </xdr:cNvSpPr>
      </xdr:nvSpPr>
      <xdr:spPr bwMode="auto">
        <a:xfrm>
          <a:off x="0" y="7821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80" name="AutoShape 756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782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81" name="AutoShape 757" descr="POLAND2"/>
        <xdr:cNvSpPr>
          <a:spLocks noChangeAspect="1" noChangeArrowheads="1"/>
        </xdr:cNvSpPr>
      </xdr:nvSpPr>
      <xdr:spPr bwMode="auto">
        <a:xfrm>
          <a:off x="0" y="7838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82" name="AutoShape 758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7838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83" name="AutoShape 759" descr="POLAND2"/>
        <xdr:cNvSpPr>
          <a:spLocks noChangeAspect="1" noChangeArrowheads="1"/>
        </xdr:cNvSpPr>
      </xdr:nvSpPr>
      <xdr:spPr bwMode="auto">
        <a:xfrm>
          <a:off x="0" y="7863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84" name="AutoShape 760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786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85" name="AutoShape 761" descr="POLAND2"/>
        <xdr:cNvSpPr>
          <a:spLocks noChangeAspect="1" noChangeArrowheads="1"/>
        </xdr:cNvSpPr>
      </xdr:nvSpPr>
      <xdr:spPr bwMode="auto">
        <a:xfrm>
          <a:off x="0" y="7881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86" name="AutoShape 762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7881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87" name="AutoShape 763" descr="POLAND3"/>
        <xdr:cNvSpPr>
          <a:spLocks noChangeAspect="1" noChangeArrowheads="1"/>
        </xdr:cNvSpPr>
      </xdr:nvSpPr>
      <xdr:spPr bwMode="auto">
        <a:xfrm>
          <a:off x="0" y="7906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88" name="AutoShape 764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7906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89" name="AutoShape 765" descr="POLAND3"/>
        <xdr:cNvSpPr>
          <a:spLocks noChangeAspect="1" noChangeArrowheads="1"/>
        </xdr:cNvSpPr>
      </xdr:nvSpPr>
      <xdr:spPr bwMode="auto">
        <a:xfrm>
          <a:off x="0" y="7931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90" name="AutoShape 766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7931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91" name="AutoShape 767" descr="POLAND3"/>
        <xdr:cNvSpPr>
          <a:spLocks noChangeAspect="1" noChangeArrowheads="1"/>
        </xdr:cNvSpPr>
      </xdr:nvSpPr>
      <xdr:spPr bwMode="auto">
        <a:xfrm>
          <a:off x="0" y="7956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92" name="AutoShape 768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7956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93" name="AutoShape 769" descr="POLAND3"/>
        <xdr:cNvSpPr>
          <a:spLocks noChangeAspect="1" noChangeArrowheads="1"/>
        </xdr:cNvSpPr>
      </xdr:nvSpPr>
      <xdr:spPr bwMode="auto">
        <a:xfrm>
          <a:off x="0" y="7981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94" name="AutoShape 770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798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95" name="AutoShape 771" descr="POLAND3"/>
        <xdr:cNvSpPr>
          <a:spLocks noChangeAspect="1" noChangeArrowheads="1"/>
        </xdr:cNvSpPr>
      </xdr:nvSpPr>
      <xdr:spPr bwMode="auto">
        <a:xfrm>
          <a:off x="0" y="8007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96" name="AutoShape 772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8007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97" name="AutoShape 773" descr="PORTUGAL2"/>
        <xdr:cNvSpPr>
          <a:spLocks noChangeAspect="1" noChangeArrowheads="1"/>
        </xdr:cNvSpPr>
      </xdr:nvSpPr>
      <xdr:spPr bwMode="auto">
        <a:xfrm>
          <a:off x="0" y="8032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98" name="AutoShape 774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8032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799" name="AutoShape 775" descr="PORTUGAL2"/>
        <xdr:cNvSpPr>
          <a:spLocks noChangeAspect="1" noChangeArrowheads="1"/>
        </xdr:cNvSpPr>
      </xdr:nvSpPr>
      <xdr:spPr bwMode="auto">
        <a:xfrm>
          <a:off x="0" y="8049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00" name="AutoShape 776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8049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01" name="AutoShape 777" descr="PORTUGAL2"/>
        <xdr:cNvSpPr>
          <a:spLocks noChangeAspect="1" noChangeArrowheads="1"/>
        </xdr:cNvSpPr>
      </xdr:nvSpPr>
      <xdr:spPr bwMode="auto">
        <a:xfrm>
          <a:off x="0" y="8074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02" name="AutoShape 778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8074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03" name="AutoShape 779" descr="ROMANIA"/>
        <xdr:cNvSpPr>
          <a:spLocks noChangeAspect="1" noChangeArrowheads="1"/>
        </xdr:cNvSpPr>
      </xdr:nvSpPr>
      <xdr:spPr bwMode="auto">
        <a:xfrm>
          <a:off x="0" y="8092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04" name="AutoShape 780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8092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05" name="AutoShape 781" descr="ROMANIA"/>
        <xdr:cNvSpPr>
          <a:spLocks noChangeAspect="1" noChangeArrowheads="1"/>
        </xdr:cNvSpPr>
      </xdr:nvSpPr>
      <xdr:spPr bwMode="auto">
        <a:xfrm>
          <a:off x="0" y="8109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06" name="AutoShape 782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8109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07" name="AutoShape 783" descr="RUSSIA"/>
        <xdr:cNvSpPr>
          <a:spLocks noChangeAspect="1" noChangeArrowheads="1"/>
        </xdr:cNvSpPr>
      </xdr:nvSpPr>
      <xdr:spPr bwMode="auto">
        <a:xfrm>
          <a:off x="0" y="8135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08" name="AutoShape 784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8135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09" name="AutoShape 785" descr="RUSSIA"/>
        <xdr:cNvSpPr>
          <a:spLocks noChangeAspect="1" noChangeArrowheads="1"/>
        </xdr:cNvSpPr>
      </xdr:nvSpPr>
      <xdr:spPr bwMode="auto">
        <a:xfrm>
          <a:off x="0" y="8160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10" name="AutoShape 786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8160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11" name="AutoShape 787" descr="RUSSIA"/>
        <xdr:cNvSpPr>
          <a:spLocks noChangeAspect="1" noChangeArrowheads="1"/>
        </xdr:cNvSpPr>
      </xdr:nvSpPr>
      <xdr:spPr bwMode="auto">
        <a:xfrm>
          <a:off x="0" y="8185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12" name="AutoShape 788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8185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13" name="AutoShape 789" descr="RUSSIA"/>
        <xdr:cNvSpPr>
          <a:spLocks noChangeAspect="1" noChangeArrowheads="1"/>
        </xdr:cNvSpPr>
      </xdr:nvSpPr>
      <xdr:spPr bwMode="auto">
        <a:xfrm>
          <a:off x="0" y="8202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14" name="AutoShape 790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8202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15" name="AutoShape 791" descr="SAUDIARABIA"/>
        <xdr:cNvSpPr>
          <a:spLocks noChangeAspect="1" noChangeArrowheads="1"/>
        </xdr:cNvSpPr>
      </xdr:nvSpPr>
      <xdr:spPr bwMode="auto">
        <a:xfrm>
          <a:off x="0" y="8228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16" name="AutoShape 792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8228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17" name="AutoShape 793" descr="SAUDIARABIA"/>
        <xdr:cNvSpPr>
          <a:spLocks noChangeAspect="1" noChangeArrowheads="1"/>
        </xdr:cNvSpPr>
      </xdr:nvSpPr>
      <xdr:spPr bwMode="auto">
        <a:xfrm>
          <a:off x="0" y="8245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18" name="AutoShape 794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8245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19" name="AutoShape 795" descr="SAUDIARABIA"/>
        <xdr:cNvSpPr>
          <a:spLocks noChangeAspect="1" noChangeArrowheads="1"/>
        </xdr:cNvSpPr>
      </xdr:nvSpPr>
      <xdr:spPr bwMode="auto">
        <a:xfrm>
          <a:off x="0" y="8263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20" name="AutoShape 796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8263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21" name="AutoShape 797" descr="SCOTLAND3"/>
        <xdr:cNvSpPr>
          <a:spLocks noChangeAspect="1" noChangeArrowheads="1"/>
        </xdr:cNvSpPr>
      </xdr:nvSpPr>
      <xdr:spPr bwMode="auto">
        <a:xfrm>
          <a:off x="0" y="8280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22" name="AutoShape 798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8280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23" name="AutoShape 799" descr="SCOTLAND3"/>
        <xdr:cNvSpPr>
          <a:spLocks noChangeAspect="1" noChangeArrowheads="1"/>
        </xdr:cNvSpPr>
      </xdr:nvSpPr>
      <xdr:spPr bwMode="auto">
        <a:xfrm>
          <a:off x="0" y="8298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24" name="AutoShape 800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8298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25" name="AutoShape 801" descr="SCOTLAND3"/>
        <xdr:cNvSpPr>
          <a:spLocks noChangeAspect="1" noChangeArrowheads="1"/>
        </xdr:cNvSpPr>
      </xdr:nvSpPr>
      <xdr:spPr bwMode="auto">
        <a:xfrm>
          <a:off x="0" y="8315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26" name="AutoShape 802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8315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27" name="AutoShape 803" descr="SCOTLAND3"/>
        <xdr:cNvSpPr>
          <a:spLocks noChangeAspect="1" noChangeArrowheads="1"/>
        </xdr:cNvSpPr>
      </xdr:nvSpPr>
      <xdr:spPr bwMode="auto">
        <a:xfrm>
          <a:off x="0" y="8333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28" name="AutoShape 804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8333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29" name="AutoShape 805" descr="SCOTLAND4"/>
        <xdr:cNvSpPr>
          <a:spLocks noChangeAspect="1" noChangeArrowheads="1"/>
        </xdr:cNvSpPr>
      </xdr:nvSpPr>
      <xdr:spPr bwMode="auto">
        <a:xfrm>
          <a:off x="0" y="8350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30" name="AutoShape 806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8350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31" name="AutoShape 807" descr="SCOTLAND4"/>
        <xdr:cNvSpPr>
          <a:spLocks noChangeAspect="1" noChangeArrowheads="1"/>
        </xdr:cNvSpPr>
      </xdr:nvSpPr>
      <xdr:spPr bwMode="auto">
        <a:xfrm>
          <a:off x="0" y="8375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32" name="AutoShape 808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8375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33" name="AutoShape 809" descr="SCOTLAND4"/>
        <xdr:cNvSpPr>
          <a:spLocks noChangeAspect="1" noChangeArrowheads="1"/>
        </xdr:cNvSpPr>
      </xdr:nvSpPr>
      <xdr:spPr bwMode="auto">
        <a:xfrm>
          <a:off x="0" y="8401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34" name="AutoShape 810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8401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35" name="AutoShape 811" descr="SCOTLAND4"/>
        <xdr:cNvSpPr>
          <a:spLocks noChangeAspect="1" noChangeArrowheads="1"/>
        </xdr:cNvSpPr>
      </xdr:nvSpPr>
      <xdr:spPr bwMode="auto">
        <a:xfrm>
          <a:off x="0" y="8418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36" name="AutoShape 812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8418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37" name="AutoShape 813" descr="SCOTLAND4"/>
        <xdr:cNvSpPr>
          <a:spLocks noChangeAspect="1" noChangeArrowheads="1"/>
        </xdr:cNvSpPr>
      </xdr:nvSpPr>
      <xdr:spPr bwMode="auto">
        <a:xfrm>
          <a:off x="0" y="8443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38" name="AutoShape 814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8443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39" name="AutoShape 815" descr="SERBIA"/>
        <xdr:cNvSpPr>
          <a:spLocks noChangeAspect="1" noChangeArrowheads="1"/>
        </xdr:cNvSpPr>
      </xdr:nvSpPr>
      <xdr:spPr bwMode="auto">
        <a:xfrm>
          <a:off x="0" y="8461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40" name="AutoShape 816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8461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41" name="AutoShape 817" descr="SERBIA"/>
        <xdr:cNvSpPr>
          <a:spLocks noChangeAspect="1" noChangeArrowheads="1"/>
        </xdr:cNvSpPr>
      </xdr:nvSpPr>
      <xdr:spPr bwMode="auto">
        <a:xfrm>
          <a:off x="0" y="8478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42" name="AutoShape 818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8478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43" name="AutoShape 819" descr="SERBIA"/>
        <xdr:cNvSpPr>
          <a:spLocks noChangeAspect="1" noChangeArrowheads="1"/>
        </xdr:cNvSpPr>
      </xdr:nvSpPr>
      <xdr:spPr bwMode="auto">
        <a:xfrm>
          <a:off x="0" y="8503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44" name="AutoShape 820" descr="https://www.soccerstats.com/img/own/sshplogo.png">
          <a:hlinkClick xmlns:r="http://schemas.openxmlformats.org/officeDocument/2006/relationships" r:id="rId410"/>
        </xdr:cNvPr>
        <xdr:cNvSpPr>
          <a:spLocks noChangeAspect="1" noChangeArrowheads="1"/>
        </xdr:cNvSpPr>
      </xdr:nvSpPr>
      <xdr:spPr bwMode="auto">
        <a:xfrm>
          <a:off x="13411200" y="8503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45" name="AutoShape 821" descr="SERBIA"/>
        <xdr:cNvSpPr>
          <a:spLocks noChangeAspect="1" noChangeArrowheads="1"/>
        </xdr:cNvSpPr>
      </xdr:nvSpPr>
      <xdr:spPr bwMode="auto">
        <a:xfrm>
          <a:off x="0" y="8521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46" name="AutoShape 822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8521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47" name="AutoShape 823" descr="SERBIA"/>
        <xdr:cNvSpPr>
          <a:spLocks noChangeAspect="1" noChangeArrowheads="1"/>
        </xdr:cNvSpPr>
      </xdr:nvSpPr>
      <xdr:spPr bwMode="auto">
        <a:xfrm>
          <a:off x="0" y="8538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48" name="AutoShape 824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8538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49" name="AutoShape 825" descr="SERBIA"/>
        <xdr:cNvSpPr>
          <a:spLocks noChangeAspect="1" noChangeArrowheads="1"/>
        </xdr:cNvSpPr>
      </xdr:nvSpPr>
      <xdr:spPr bwMode="auto">
        <a:xfrm>
          <a:off x="0" y="8556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50" name="AutoShape 826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8556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51" name="AutoShape 827" descr="SERBIA"/>
        <xdr:cNvSpPr>
          <a:spLocks noChangeAspect="1" noChangeArrowheads="1"/>
        </xdr:cNvSpPr>
      </xdr:nvSpPr>
      <xdr:spPr bwMode="auto">
        <a:xfrm>
          <a:off x="0" y="8574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52" name="AutoShape 82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8574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53" name="AutoShape 829" descr="SLOVAKIA"/>
        <xdr:cNvSpPr>
          <a:spLocks noChangeAspect="1" noChangeArrowheads="1"/>
        </xdr:cNvSpPr>
      </xdr:nvSpPr>
      <xdr:spPr bwMode="auto">
        <a:xfrm>
          <a:off x="0" y="8599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54" name="AutoShape 830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8599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55" name="AutoShape 831" descr="SLOVAKIA"/>
        <xdr:cNvSpPr>
          <a:spLocks noChangeAspect="1" noChangeArrowheads="1"/>
        </xdr:cNvSpPr>
      </xdr:nvSpPr>
      <xdr:spPr bwMode="auto">
        <a:xfrm>
          <a:off x="0" y="8624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56" name="AutoShape 832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8624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57" name="AutoShape 833" descr="SLOVAKIA"/>
        <xdr:cNvSpPr>
          <a:spLocks noChangeAspect="1" noChangeArrowheads="1"/>
        </xdr:cNvSpPr>
      </xdr:nvSpPr>
      <xdr:spPr bwMode="auto">
        <a:xfrm>
          <a:off x="0" y="8641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58" name="AutoShape 834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8641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59" name="AutoShape 835" descr="SLOVAKIA"/>
        <xdr:cNvSpPr>
          <a:spLocks noChangeAspect="1" noChangeArrowheads="1"/>
        </xdr:cNvSpPr>
      </xdr:nvSpPr>
      <xdr:spPr bwMode="auto">
        <a:xfrm>
          <a:off x="0" y="8659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60" name="AutoShape 836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8659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61" name="AutoShape 837" descr="SLOVENIA"/>
        <xdr:cNvSpPr>
          <a:spLocks noChangeAspect="1" noChangeArrowheads="1"/>
        </xdr:cNvSpPr>
      </xdr:nvSpPr>
      <xdr:spPr bwMode="auto">
        <a:xfrm>
          <a:off x="0" y="86768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62" name="AutoShape 838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86768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63" name="AutoShape 839" descr="SLOVENIA"/>
        <xdr:cNvSpPr>
          <a:spLocks noChangeAspect="1" noChangeArrowheads="1"/>
        </xdr:cNvSpPr>
      </xdr:nvSpPr>
      <xdr:spPr bwMode="auto">
        <a:xfrm>
          <a:off x="0" y="8694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64" name="AutoShape 840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8694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65" name="AutoShape 841" descr="SOUTHAFRICA"/>
        <xdr:cNvSpPr>
          <a:spLocks noChangeAspect="1" noChangeArrowheads="1"/>
        </xdr:cNvSpPr>
      </xdr:nvSpPr>
      <xdr:spPr bwMode="auto">
        <a:xfrm>
          <a:off x="0" y="87119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66" name="AutoShape 842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87119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67" name="AutoShape 843" descr="SOUTHAFRICA"/>
        <xdr:cNvSpPr>
          <a:spLocks noChangeAspect="1" noChangeArrowheads="1"/>
        </xdr:cNvSpPr>
      </xdr:nvSpPr>
      <xdr:spPr bwMode="auto">
        <a:xfrm>
          <a:off x="0" y="8729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68" name="AutoShape 844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8729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69" name="AutoShape 845" descr="SOUTHAFRICA"/>
        <xdr:cNvSpPr>
          <a:spLocks noChangeAspect="1" noChangeArrowheads="1"/>
        </xdr:cNvSpPr>
      </xdr:nvSpPr>
      <xdr:spPr bwMode="auto">
        <a:xfrm>
          <a:off x="0" y="8746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70" name="AutoShape 846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8746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71" name="AutoShape 847" descr="SOUTHAFRICA"/>
        <xdr:cNvSpPr>
          <a:spLocks noChangeAspect="1" noChangeArrowheads="1"/>
        </xdr:cNvSpPr>
      </xdr:nvSpPr>
      <xdr:spPr bwMode="auto">
        <a:xfrm>
          <a:off x="0" y="8764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72" name="AutoShape 848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8764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73" name="AutoShape 849" descr="SOUTHAFRICA"/>
        <xdr:cNvSpPr>
          <a:spLocks noChangeAspect="1" noChangeArrowheads="1"/>
        </xdr:cNvSpPr>
      </xdr:nvSpPr>
      <xdr:spPr bwMode="auto">
        <a:xfrm>
          <a:off x="0" y="878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74" name="AutoShape 850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878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75" name="AutoShape 851" descr="SOUTHKOREA"/>
        <xdr:cNvSpPr>
          <a:spLocks noChangeAspect="1" noChangeArrowheads="1"/>
        </xdr:cNvSpPr>
      </xdr:nvSpPr>
      <xdr:spPr bwMode="auto">
        <a:xfrm>
          <a:off x="0" y="879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76" name="AutoShape 852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879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77" name="AutoShape 853" descr="SOUTHKOREA"/>
        <xdr:cNvSpPr>
          <a:spLocks noChangeAspect="1" noChangeArrowheads="1"/>
        </xdr:cNvSpPr>
      </xdr:nvSpPr>
      <xdr:spPr bwMode="auto">
        <a:xfrm>
          <a:off x="0" y="8824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78" name="AutoShape 854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8824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79" name="AutoShape 855" descr="SOUTHKOREA"/>
        <xdr:cNvSpPr>
          <a:spLocks noChangeAspect="1" noChangeArrowheads="1"/>
        </xdr:cNvSpPr>
      </xdr:nvSpPr>
      <xdr:spPr bwMode="auto">
        <a:xfrm>
          <a:off x="0" y="8842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80" name="AutoShape 856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8842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81" name="AutoShape 857" descr="SOUTHKOREA2"/>
        <xdr:cNvSpPr>
          <a:spLocks noChangeAspect="1" noChangeArrowheads="1"/>
        </xdr:cNvSpPr>
      </xdr:nvSpPr>
      <xdr:spPr bwMode="auto">
        <a:xfrm>
          <a:off x="0" y="8867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82" name="AutoShape 858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8867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83" name="AutoShape 859" descr="SOUTHKOREA2"/>
        <xdr:cNvSpPr>
          <a:spLocks noChangeAspect="1" noChangeArrowheads="1"/>
        </xdr:cNvSpPr>
      </xdr:nvSpPr>
      <xdr:spPr bwMode="auto">
        <a:xfrm>
          <a:off x="0" y="888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84" name="AutoShape 860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888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85" name="AutoShape 861" descr="SOUTHKOREA2"/>
        <xdr:cNvSpPr>
          <a:spLocks noChangeAspect="1" noChangeArrowheads="1"/>
        </xdr:cNvSpPr>
      </xdr:nvSpPr>
      <xdr:spPr bwMode="auto">
        <a:xfrm>
          <a:off x="0" y="890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86" name="AutoShape 862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890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87" name="AutoShape 863" descr="SOUTHKOREA2"/>
        <xdr:cNvSpPr>
          <a:spLocks noChangeAspect="1" noChangeArrowheads="1"/>
        </xdr:cNvSpPr>
      </xdr:nvSpPr>
      <xdr:spPr bwMode="auto">
        <a:xfrm>
          <a:off x="0" y="891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88" name="AutoShape 864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891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89" name="AutoShape 865" descr="SOUTHKOREA4"/>
        <xdr:cNvSpPr>
          <a:spLocks noChangeAspect="1" noChangeArrowheads="1"/>
        </xdr:cNvSpPr>
      </xdr:nvSpPr>
      <xdr:spPr bwMode="auto">
        <a:xfrm>
          <a:off x="0" y="8945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90" name="AutoShape 866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8945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91" name="AutoShape 867" descr="SOUTHKOREA4"/>
        <xdr:cNvSpPr>
          <a:spLocks noChangeAspect="1" noChangeArrowheads="1"/>
        </xdr:cNvSpPr>
      </xdr:nvSpPr>
      <xdr:spPr bwMode="auto">
        <a:xfrm>
          <a:off x="0" y="8970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92" name="AutoShape 868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8970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93" name="AutoShape 869" descr="SWEDEN"/>
        <xdr:cNvSpPr>
          <a:spLocks noChangeAspect="1" noChangeArrowheads="1"/>
        </xdr:cNvSpPr>
      </xdr:nvSpPr>
      <xdr:spPr bwMode="auto">
        <a:xfrm>
          <a:off x="0" y="8987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94" name="AutoShape 870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8987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95" name="AutoShape 871" descr="SWEDEN2"/>
        <xdr:cNvSpPr>
          <a:spLocks noChangeAspect="1" noChangeArrowheads="1"/>
        </xdr:cNvSpPr>
      </xdr:nvSpPr>
      <xdr:spPr bwMode="auto">
        <a:xfrm>
          <a:off x="0" y="9005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96" name="AutoShape 872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9005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97" name="AutoShape 873" descr="SWEDEN2"/>
        <xdr:cNvSpPr>
          <a:spLocks noChangeAspect="1" noChangeArrowheads="1"/>
        </xdr:cNvSpPr>
      </xdr:nvSpPr>
      <xdr:spPr bwMode="auto">
        <a:xfrm>
          <a:off x="0" y="9022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898" name="AutoShape 874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9022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99" name="AutoShape 875" descr="SWEDEN2"/>
        <xdr:cNvSpPr>
          <a:spLocks noChangeAspect="1" noChangeArrowheads="1"/>
        </xdr:cNvSpPr>
      </xdr:nvSpPr>
      <xdr:spPr bwMode="auto">
        <a:xfrm>
          <a:off x="0" y="9040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00" name="AutoShape 876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9040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01" name="AutoShape 877" descr="SWEDEN2"/>
        <xdr:cNvSpPr>
          <a:spLocks noChangeAspect="1" noChangeArrowheads="1"/>
        </xdr:cNvSpPr>
      </xdr:nvSpPr>
      <xdr:spPr bwMode="auto">
        <a:xfrm>
          <a:off x="0" y="9065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02" name="AutoShape 878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9065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03" name="AutoShape 879" descr="SWEDEN2"/>
        <xdr:cNvSpPr>
          <a:spLocks noChangeAspect="1" noChangeArrowheads="1"/>
        </xdr:cNvSpPr>
      </xdr:nvSpPr>
      <xdr:spPr bwMode="auto">
        <a:xfrm>
          <a:off x="0" y="9083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04" name="AutoShape 880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9083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05" name="AutoShape 881" descr="SWEDEN3"/>
        <xdr:cNvSpPr>
          <a:spLocks noChangeAspect="1" noChangeArrowheads="1"/>
        </xdr:cNvSpPr>
      </xdr:nvSpPr>
      <xdr:spPr bwMode="auto">
        <a:xfrm>
          <a:off x="0" y="9100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06" name="AutoShape 882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9100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07" name="AutoShape 883" descr="SWEDEN3"/>
        <xdr:cNvSpPr>
          <a:spLocks noChangeAspect="1" noChangeArrowheads="1"/>
        </xdr:cNvSpPr>
      </xdr:nvSpPr>
      <xdr:spPr bwMode="auto">
        <a:xfrm>
          <a:off x="0" y="9118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08" name="AutoShape 884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9118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09" name="AutoShape 885" descr="SWEDEN3"/>
        <xdr:cNvSpPr>
          <a:spLocks noChangeAspect="1" noChangeArrowheads="1"/>
        </xdr:cNvSpPr>
      </xdr:nvSpPr>
      <xdr:spPr bwMode="auto">
        <a:xfrm>
          <a:off x="0" y="913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10" name="AutoShape 886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913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11" name="AutoShape 887" descr="SWEDEN3"/>
        <xdr:cNvSpPr>
          <a:spLocks noChangeAspect="1" noChangeArrowheads="1"/>
        </xdr:cNvSpPr>
      </xdr:nvSpPr>
      <xdr:spPr bwMode="auto">
        <a:xfrm>
          <a:off x="0" y="915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12" name="AutoShape 888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915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13" name="AutoShape 889" descr="SWEDEN4"/>
        <xdr:cNvSpPr>
          <a:spLocks noChangeAspect="1" noChangeArrowheads="1"/>
        </xdr:cNvSpPr>
      </xdr:nvSpPr>
      <xdr:spPr bwMode="auto">
        <a:xfrm>
          <a:off x="0" y="9170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14" name="AutoShape 890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9170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15" name="AutoShape 891" descr="SWEDEN4"/>
        <xdr:cNvSpPr>
          <a:spLocks noChangeAspect="1" noChangeArrowheads="1"/>
        </xdr:cNvSpPr>
      </xdr:nvSpPr>
      <xdr:spPr bwMode="auto">
        <a:xfrm>
          <a:off x="0" y="9188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16" name="AutoShape 892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9188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17" name="AutoShape 893" descr="SWEDEN4"/>
        <xdr:cNvSpPr>
          <a:spLocks noChangeAspect="1" noChangeArrowheads="1"/>
        </xdr:cNvSpPr>
      </xdr:nvSpPr>
      <xdr:spPr bwMode="auto">
        <a:xfrm>
          <a:off x="0" y="9205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18" name="AutoShape 894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9205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19" name="AutoShape 895" descr="SWEDEN4"/>
        <xdr:cNvSpPr>
          <a:spLocks noChangeAspect="1" noChangeArrowheads="1"/>
        </xdr:cNvSpPr>
      </xdr:nvSpPr>
      <xdr:spPr bwMode="auto">
        <a:xfrm>
          <a:off x="0" y="9223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20" name="AutoShape 896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9223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21" name="AutoShape 897" descr="SWEDEN11"/>
        <xdr:cNvSpPr>
          <a:spLocks noChangeAspect="1" noChangeArrowheads="1"/>
        </xdr:cNvSpPr>
      </xdr:nvSpPr>
      <xdr:spPr bwMode="auto">
        <a:xfrm>
          <a:off x="0" y="9240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22" name="AutoShape 898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9240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23" name="AutoShape 899" descr="SWEDEN11"/>
        <xdr:cNvSpPr>
          <a:spLocks noChangeAspect="1" noChangeArrowheads="1"/>
        </xdr:cNvSpPr>
      </xdr:nvSpPr>
      <xdr:spPr bwMode="auto">
        <a:xfrm>
          <a:off x="0" y="9258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24" name="AutoShape 900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925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25" name="AutoShape 901" descr="SWEDEN11"/>
        <xdr:cNvSpPr>
          <a:spLocks noChangeAspect="1" noChangeArrowheads="1"/>
        </xdr:cNvSpPr>
      </xdr:nvSpPr>
      <xdr:spPr bwMode="auto">
        <a:xfrm>
          <a:off x="0" y="9275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26" name="AutoShape 902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9275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27" name="AutoShape 903" descr="SWEDEN11"/>
        <xdr:cNvSpPr>
          <a:spLocks noChangeAspect="1" noChangeArrowheads="1"/>
        </xdr:cNvSpPr>
      </xdr:nvSpPr>
      <xdr:spPr bwMode="auto">
        <a:xfrm>
          <a:off x="0" y="9300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28" name="AutoShape 904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9300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29" name="AutoShape 905" descr="SWEDEN11"/>
        <xdr:cNvSpPr>
          <a:spLocks noChangeAspect="1" noChangeArrowheads="1"/>
        </xdr:cNvSpPr>
      </xdr:nvSpPr>
      <xdr:spPr bwMode="auto">
        <a:xfrm>
          <a:off x="0" y="9326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30" name="AutoShape 906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9326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31" name="AutoShape 907" descr="TURKEY"/>
        <xdr:cNvSpPr>
          <a:spLocks noChangeAspect="1" noChangeArrowheads="1"/>
        </xdr:cNvSpPr>
      </xdr:nvSpPr>
      <xdr:spPr bwMode="auto">
        <a:xfrm>
          <a:off x="0" y="9351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32" name="AutoShape 908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9351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33" name="AutoShape 909" descr="TURKEY"/>
        <xdr:cNvSpPr>
          <a:spLocks noChangeAspect="1" noChangeArrowheads="1"/>
        </xdr:cNvSpPr>
      </xdr:nvSpPr>
      <xdr:spPr bwMode="auto">
        <a:xfrm>
          <a:off x="0" y="9368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34" name="AutoShape 910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9368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35" name="AutoShape 911" descr="TURKEY"/>
        <xdr:cNvSpPr>
          <a:spLocks noChangeAspect="1" noChangeArrowheads="1"/>
        </xdr:cNvSpPr>
      </xdr:nvSpPr>
      <xdr:spPr bwMode="auto">
        <a:xfrm>
          <a:off x="0" y="938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36" name="AutoShape 912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938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37" name="AutoShape 913" descr="TURKEY"/>
        <xdr:cNvSpPr>
          <a:spLocks noChangeAspect="1" noChangeArrowheads="1"/>
        </xdr:cNvSpPr>
      </xdr:nvSpPr>
      <xdr:spPr bwMode="auto">
        <a:xfrm>
          <a:off x="0" y="940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38" name="AutoShape 914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940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39" name="AutoShape 915" descr="TURKEY2"/>
        <xdr:cNvSpPr>
          <a:spLocks noChangeAspect="1" noChangeArrowheads="1"/>
        </xdr:cNvSpPr>
      </xdr:nvSpPr>
      <xdr:spPr bwMode="auto">
        <a:xfrm>
          <a:off x="0" y="942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40" name="AutoShape 916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942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41" name="AutoShape 917" descr="TURKEY2"/>
        <xdr:cNvSpPr>
          <a:spLocks noChangeAspect="1" noChangeArrowheads="1"/>
        </xdr:cNvSpPr>
      </xdr:nvSpPr>
      <xdr:spPr bwMode="auto">
        <a:xfrm>
          <a:off x="0" y="944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42" name="AutoShape 918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944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43" name="AutoShape 919" descr="TURKEY2"/>
        <xdr:cNvSpPr>
          <a:spLocks noChangeAspect="1" noChangeArrowheads="1"/>
        </xdr:cNvSpPr>
      </xdr:nvSpPr>
      <xdr:spPr bwMode="auto">
        <a:xfrm>
          <a:off x="0" y="946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44" name="AutoShape 920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946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45" name="AutoShape 921" descr="TURKEY2"/>
        <xdr:cNvSpPr>
          <a:spLocks noChangeAspect="1" noChangeArrowheads="1"/>
        </xdr:cNvSpPr>
      </xdr:nvSpPr>
      <xdr:spPr bwMode="auto">
        <a:xfrm>
          <a:off x="0" y="948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46" name="AutoShape 922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948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47" name="AutoShape 923" descr="UKRAINE"/>
        <xdr:cNvSpPr>
          <a:spLocks noChangeAspect="1" noChangeArrowheads="1"/>
        </xdr:cNvSpPr>
      </xdr:nvSpPr>
      <xdr:spPr bwMode="auto">
        <a:xfrm>
          <a:off x="0" y="9499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48" name="AutoShape 924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9499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49" name="AutoShape 925" descr="UKRAINE"/>
        <xdr:cNvSpPr>
          <a:spLocks noChangeAspect="1" noChangeArrowheads="1"/>
        </xdr:cNvSpPr>
      </xdr:nvSpPr>
      <xdr:spPr bwMode="auto">
        <a:xfrm>
          <a:off x="0" y="9516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50" name="AutoShape 926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9516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51" name="AutoShape 927" descr="UKRAINE"/>
        <xdr:cNvSpPr>
          <a:spLocks noChangeAspect="1" noChangeArrowheads="1"/>
        </xdr:cNvSpPr>
      </xdr:nvSpPr>
      <xdr:spPr bwMode="auto">
        <a:xfrm>
          <a:off x="0" y="9534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52" name="AutoShape 928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9534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53" name="AutoShape 929" descr="URUGUAY3"/>
        <xdr:cNvSpPr>
          <a:spLocks noChangeAspect="1" noChangeArrowheads="1"/>
        </xdr:cNvSpPr>
      </xdr:nvSpPr>
      <xdr:spPr bwMode="auto">
        <a:xfrm>
          <a:off x="0" y="9551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54" name="AutoShape 930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9551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55" name="AutoShape 931" descr="URUGUAY3"/>
        <xdr:cNvSpPr>
          <a:spLocks noChangeAspect="1" noChangeArrowheads="1"/>
        </xdr:cNvSpPr>
      </xdr:nvSpPr>
      <xdr:spPr bwMode="auto">
        <a:xfrm>
          <a:off x="0" y="95768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56" name="AutoShape 932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957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57" name="AutoShape 933" descr="URUGUAY3"/>
        <xdr:cNvSpPr>
          <a:spLocks noChangeAspect="1" noChangeArrowheads="1"/>
        </xdr:cNvSpPr>
      </xdr:nvSpPr>
      <xdr:spPr bwMode="auto">
        <a:xfrm>
          <a:off x="0" y="95943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58" name="AutoShape 934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95943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59" name="AutoShape 935" descr="USA"/>
        <xdr:cNvSpPr>
          <a:spLocks noChangeAspect="1" noChangeArrowheads="1"/>
        </xdr:cNvSpPr>
      </xdr:nvSpPr>
      <xdr:spPr bwMode="auto">
        <a:xfrm>
          <a:off x="0" y="9611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60" name="AutoShape 936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9611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61" name="AutoShape 937" descr="USA"/>
        <xdr:cNvSpPr>
          <a:spLocks noChangeAspect="1" noChangeArrowheads="1"/>
        </xdr:cNvSpPr>
      </xdr:nvSpPr>
      <xdr:spPr bwMode="auto">
        <a:xfrm>
          <a:off x="0" y="9629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62" name="AutoShape 938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9629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63" name="AutoShape 939" descr="USA"/>
        <xdr:cNvSpPr>
          <a:spLocks noChangeAspect="1" noChangeArrowheads="1"/>
        </xdr:cNvSpPr>
      </xdr:nvSpPr>
      <xdr:spPr bwMode="auto">
        <a:xfrm>
          <a:off x="0" y="9646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64" name="AutoShape 940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9646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65" name="AutoShape 941" descr="USA"/>
        <xdr:cNvSpPr>
          <a:spLocks noChangeAspect="1" noChangeArrowheads="1"/>
        </xdr:cNvSpPr>
      </xdr:nvSpPr>
      <xdr:spPr bwMode="auto">
        <a:xfrm>
          <a:off x="0" y="9672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66" name="AutoShape 942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9672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67" name="AutoShape 943" descr="USA"/>
        <xdr:cNvSpPr>
          <a:spLocks noChangeAspect="1" noChangeArrowheads="1"/>
        </xdr:cNvSpPr>
      </xdr:nvSpPr>
      <xdr:spPr bwMode="auto">
        <a:xfrm>
          <a:off x="0" y="9689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68" name="AutoShape 944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9689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69" name="AutoShape 945" descr="USA2"/>
        <xdr:cNvSpPr>
          <a:spLocks noChangeAspect="1" noChangeArrowheads="1"/>
        </xdr:cNvSpPr>
      </xdr:nvSpPr>
      <xdr:spPr bwMode="auto">
        <a:xfrm>
          <a:off x="0" y="9707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70" name="AutoShape 946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9707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71" name="AutoShape 947" descr="USA2"/>
        <xdr:cNvSpPr>
          <a:spLocks noChangeAspect="1" noChangeArrowheads="1"/>
        </xdr:cNvSpPr>
      </xdr:nvSpPr>
      <xdr:spPr bwMode="auto">
        <a:xfrm>
          <a:off x="0" y="9724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72" name="AutoShape 948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9724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73" name="AutoShape 949" descr="USA2"/>
        <xdr:cNvSpPr>
          <a:spLocks noChangeAspect="1" noChangeArrowheads="1"/>
        </xdr:cNvSpPr>
      </xdr:nvSpPr>
      <xdr:spPr bwMode="auto">
        <a:xfrm>
          <a:off x="0" y="9742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74" name="AutoShape 950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9742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75" name="AutoShape 951" descr="USA2"/>
        <xdr:cNvSpPr>
          <a:spLocks noChangeAspect="1" noChangeArrowheads="1"/>
        </xdr:cNvSpPr>
      </xdr:nvSpPr>
      <xdr:spPr bwMode="auto">
        <a:xfrm>
          <a:off x="0" y="9759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76" name="AutoShape 952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9759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77" name="AutoShape 953" descr="USA2"/>
        <xdr:cNvSpPr>
          <a:spLocks noChangeAspect="1" noChangeArrowheads="1"/>
        </xdr:cNvSpPr>
      </xdr:nvSpPr>
      <xdr:spPr bwMode="auto">
        <a:xfrm>
          <a:off x="0" y="9777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78" name="AutoShape 954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9777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79" name="AutoShape 955" descr="USA3"/>
        <xdr:cNvSpPr>
          <a:spLocks noChangeAspect="1" noChangeArrowheads="1"/>
        </xdr:cNvSpPr>
      </xdr:nvSpPr>
      <xdr:spPr bwMode="auto">
        <a:xfrm>
          <a:off x="0" y="9794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80" name="AutoShape 956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9794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81" name="AutoShape 957" descr="USA3"/>
        <xdr:cNvSpPr>
          <a:spLocks noChangeAspect="1" noChangeArrowheads="1"/>
        </xdr:cNvSpPr>
      </xdr:nvSpPr>
      <xdr:spPr bwMode="auto">
        <a:xfrm>
          <a:off x="0" y="9812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82" name="AutoShape 958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9812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83" name="AutoShape 959" descr="USA3"/>
        <xdr:cNvSpPr>
          <a:spLocks noChangeAspect="1" noChangeArrowheads="1"/>
        </xdr:cNvSpPr>
      </xdr:nvSpPr>
      <xdr:spPr bwMode="auto">
        <a:xfrm>
          <a:off x="0" y="9829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84" name="AutoShape 960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9829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85" name="AutoShape 961" descr="USA3"/>
        <xdr:cNvSpPr>
          <a:spLocks noChangeAspect="1" noChangeArrowheads="1"/>
        </xdr:cNvSpPr>
      </xdr:nvSpPr>
      <xdr:spPr bwMode="auto">
        <a:xfrm>
          <a:off x="0" y="9847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86" name="AutoShape 962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9847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87" name="AutoShape 963" descr="USA3"/>
        <xdr:cNvSpPr>
          <a:spLocks noChangeAspect="1" noChangeArrowheads="1"/>
        </xdr:cNvSpPr>
      </xdr:nvSpPr>
      <xdr:spPr bwMode="auto">
        <a:xfrm>
          <a:off x="0" y="9872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88" name="AutoShape 964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9872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89" name="AutoShape 965" descr="USA6"/>
        <xdr:cNvSpPr>
          <a:spLocks noChangeAspect="1" noChangeArrowheads="1"/>
        </xdr:cNvSpPr>
      </xdr:nvSpPr>
      <xdr:spPr bwMode="auto">
        <a:xfrm>
          <a:off x="0" y="9897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90" name="AutoShape 966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9897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91" name="AutoShape 967" descr="USA6"/>
        <xdr:cNvSpPr>
          <a:spLocks noChangeAspect="1" noChangeArrowheads="1"/>
        </xdr:cNvSpPr>
      </xdr:nvSpPr>
      <xdr:spPr bwMode="auto">
        <a:xfrm>
          <a:off x="0" y="99227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92" name="AutoShape 968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99227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93" name="AutoShape 969" descr="USA6"/>
        <xdr:cNvSpPr>
          <a:spLocks noChangeAspect="1" noChangeArrowheads="1"/>
        </xdr:cNvSpPr>
      </xdr:nvSpPr>
      <xdr:spPr bwMode="auto">
        <a:xfrm>
          <a:off x="0" y="99479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94" name="AutoShape 970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9947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95" name="AutoShape 971" descr="USA6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96" name="AutoShape 972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97" name="AutoShape 973" descr="USA6"/>
        <xdr:cNvSpPr>
          <a:spLocks noChangeAspect="1" noChangeArrowheads="1"/>
        </xdr:cNvSpPr>
      </xdr:nvSpPr>
      <xdr:spPr bwMode="auto">
        <a:xfrm>
          <a:off x="0" y="9998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98" name="AutoShape 974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9998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999" name="AutoShape 975" descr="USA7"/>
        <xdr:cNvSpPr>
          <a:spLocks noChangeAspect="1" noChangeArrowheads="1"/>
        </xdr:cNvSpPr>
      </xdr:nvSpPr>
      <xdr:spPr bwMode="auto">
        <a:xfrm>
          <a:off x="0" y="1002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00" name="AutoShape 976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1002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01" name="AutoShape 977" descr="USA7"/>
        <xdr:cNvSpPr>
          <a:spLocks noChangeAspect="1" noChangeArrowheads="1"/>
        </xdr:cNvSpPr>
      </xdr:nvSpPr>
      <xdr:spPr bwMode="auto">
        <a:xfrm>
          <a:off x="0" y="1004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02" name="AutoShape 978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1004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03" name="AutoShape 979" descr="USA7"/>
        <xdr:cNvSpPr>
          <a:spLocks noChangeAspect="1" noChangeArrowheads="1"/>
        </xdr:cNvSpPr>
      </xdr:nvSpPr>
      <xdr:spPr bwMode="auto">
        <a:xfrm>
          <a:off x="0" y="1005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04" name="AutoShape 980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1005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05" name="AutoShape 981" descr="WALES"/>
        <xdr:cNvSpPr>
          <a:spLocks noChangeAspect="1" noChangeArrowheads="1"/>
        </xdr:cNvSpPr>
      </xdr:nvSpPr>
      <xdr:spPr bwMode="auto">
        <a:xfrm>
          <a:off x="0" y="10083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06" name="AutoShape 982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10083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07" name="AutoShape 983" descr="WALES"/>
        <xdr:cNvSpPr>
          <a:spLocks noChangeAspect="1" noChangeArrowheads="1"/>
        </xdr:cNvSpPr>
      </xdr:nvSpPr>
      <xdr:spPr bwMode="auto">
        <a:xfrm>
          <a:off x="0" y="10101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08" name="AutoShape 984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0101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09" name="AutoShape 985" descr="ARGENTINA2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0" name="AutoShape 986" descr="https://www.soccerstats.com/img/own/sshplogo.png">
          <a:hlinkClick xmlns:r="http://schemas.openxmlformats.org/officeDocument/2006/relationships" r:id="rId493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11" name="AutoShape 987" descr="AUSTRALIA7"/>
        <xdr:cNvSpPr>
          <a:spLocks noChangeAspect="1" noChangeArrowheads="1"/>
        </xdr:cNvSpPr>
      </xdr:nvSpPr>
      <xdr:spPr bwMode="auto">
        <a:xfrm>
          <a:off x="0" y="42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2" name="AutoShape 988" descr="https://www.soccerstats.com/img/own/sshplogo.png">
          <a:hlinkClick xmlns:r="http://schemas.openxmlformats.org/officeDocument/2006/relationships" r:id="rId494"/>
        </xdr:cNvPr>
        <xdr:cNvSpPr>
          <a:spLocks noChangeAspect="1" noChangeArrowheads="1"/>
        </xdr:cNvSpPr>
      </xdr:nvSpPr>
      <xdr:spPr bwMode="auto">
        <a:xfrm>
          <a:off x="13411200" y="42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13" name="AutoShape 989" descr="AUSTRALIA10"/>
        <xdr:cNvSpPr>
          <a:spLocks noChangeAspect="1" noChangeArrowheads="1"/>
        </xdr:cNvSpPr>
      </xdr:nvSpPr>
      <xdr:spPr bwMode="auto">
        <a:xfrm>
          <a:off x="0" y="67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4" name="AutoShape 990" descr="https://www.soccerstats.com/img/own/sshplogo.png">
          <a:hlinkClick xmlns:r="http://schemas.openxmlformats.org/officeDocument/2006/relationships" r:id="rId495"/>
        </xdr:cNvPr>
        <xdr:cNvSpPr>
          <a:spLocks noChangeAspect="1" noChangeArrowheads="1"/>
        </xdr:cNvSpPr>
      </xdr:nvSpPr>
      <xdr:spPr bwMode="auto">
        <a:xfrm>
          <a:off x="13411200" y="67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15" name="AutoShape 991" descr="CHILE2"/>
        <xdr:cNvSpPr>
          <a:spLocks noChangeAspect="1" noChangeArrowheads="1"/>
        </xdr:cNvSpPr>
      </xdr:nvSpPr>
      <xdr:spPr bwMode="auto">
        <a:xfrm>
          <a:off x="0" y="92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6" name="AutoShape 992" descr="https://www.soccerstats.com/img/own/sshplogo.png">
          <a:hlinkClick xmlns:r="http://schemas.openxmlformats.org/officeDocument/2006/relationships" r:id="rId496"/>
        </xdr:cNvPr>
        <xdr:cNvSpPr>
          <a:spLocks noChangeAspect="1" noChangeArrowheads="1"/>
        </xdr:cNvSpPr>
      </xdr:nvSpPr>
      <xdr:spPr bwMode="auto">
        <a:xfrm>
          <a:off x="13411200" y="92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17" name="AutoShape 993" descr="CHILE2"/>
        <xdr:cNvSpPr>
          <a:spLocks noChangeAspect="1" noChangeArrowheads="1"/>
        </xdr:cNvSpPr>
      </xdr:nvSpPr>
      <xdr:spPr bwMode="auto">
        <a:xfrm>
          <a:off x="0" y="110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8" name="AutoShape 994" descr="https://www.soccerstats.com/img/own/sshplogo.png">
          <a:hlinkClick xmlns:r="http://schemas.openxmlformats.org/officeDocument/2006/relationships" r:id="rId497"/>
        </xdr:cNvPr>
        <xdr:cNvSpPr>
          <a:spLocks noChangeAspect="1" noChangeArrowheads="1"/>
        </xdr:cNvSpPr>
      </xdr:nvSpPr>
      <xdr:spPr bwMode="auto">
        <a:xfrm>
          <a:off x="1341120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9" name="AutoShape 995" descr="https://www.soccerstats.com/img/own/sshplogo.png">
          <a:hlinkClick xmlns:r="http://schemas.openxmlformats.org/officeDocument/2006/relationships" r:id="rId498" tooltip="Bolivar vs Sao Paulo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0" name="AutoShape 996" descr="https://www.soccerstats.com/img/own/sshplogo.png">
          <a:hlinkClick xmlns:r="http://schemas.openxmlformats.org/officeDocument/2006/relationships" r:id="rId499" tooltip="Bragantino vs Atletico MG"/>
        </xdr:cNvPr>
        <xdr:cNvSpPr>
          <a:spLocks noChangeAspect="1" noChangeArrowheads="1"/>
        </xdr:cNvSpPr>
      </xdr:nvSpPr>
      <xdr:spPr bwMode="auto">
        <a:xfrm>
          <a:off x="13411200" y="1623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1" name="AutoShape 997" descr="https://www.soccerstats.com/img/own/sshplogo.png">
          <a:hlinkClick xmlns:r="http://schemas.openxmlformats.org/officeDocument/2006/relationships" r:id="rId500" tooltip="Tigre vs Montevideo City"/>
        </xdr:cNvPr>
        <xdr:cNvSpPr>
          <a:spLocks noChangeAspect="1" noChangeArrowheads="1"/>
        </xdr:cNvSpPr>
      </xdr:nvSpPr>
      <xdr:spPr bwMode="auto">
        <a:xfrm>
          <a:off x="13411200" y="196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2" name="AutoShape 998" descr="https://www.soccerstats.com/img/own/sshplogo.png">
          <a:hlinkClick xmlns:r="http://schemas.openxmlformats.org/officeDocument/2006/relationships" r:id="rId501" tooltip="Deportes Tolima vs I. del Valle"/>
        </xdr:cNvPr>
        <xdr:cNvSpPr>
          <a:spLocks noChangeAspect="1" noChangeArrowheads="1"/>
        </xdr:cNvSpPr>
      </xdr:nvSpPr>
      <xdr:spPr bwMode="auto">
        <a:xfrm>
          <a:off x="13411200" y="230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3" name="AutoShape 999" descr="https://www.soccerstats.com/img/own/sshplogo.png">
          <a:hlinkClick xmlns:r="http://schemas.openxmlformats.org/officeDocument/2006/relationships" r:id="rId502" tooltip="Estudiantes vs U. Catolica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4" name="AutoShape 1000" descr="https://www.soccerstats.com/img/own/sshplogo.png">
          <a:hlinkClick xmlns:r="http://schemas.openxmlformats.org/officeDocument/2006/relationships" r:id="rId503" tooltip="Palmeiras vs Cerro Porteno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5" name="AutoShape 1001" descr="https://www.soccerstats.com/img/own/sshplogo.png">
          <a:hlinkClick xmlns:r="http://schemas.openxmlformats.org/officeDocument/2006/relationships" r:id="rId504" tooltip="Platense vs Coquimbo Unido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26" name="AutoShape 1002" descr="GERMANY4"/>
        <xdr:cNvSpPr>
          <a:spLocks noChangeAspect="1" noChangeArrowheads="1"/>
        </xdr:cNvSpPr>
      </xdr:nvSpPr>
      <xdr:spPr bwMode="auto">
        <a:xfrm>
          <a:off x="0" y="323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7" name="AutoShape 1003" descr="https://www.soccerstats.com/img/own/sshplogo.png">
          <a:hlinkClick xmlns:r="http://schemas.openxmlformats.org/officeDocument/2006/relationships" r:id="rId505"/>
        </xdr:cNvPr>
        <xdr:cNvSpPr>
          <a:spLocks noChangeAspect="1" noChangeArrowheads="1"/>
        </xdr:cNvSpPr>
      </xdr:nvSpPr>
      <xdr:spPr bwMode="auto">
        <a:xfrm>
          <a:off x="1341120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28" name="AutoShape 1004" descr="GERMANY4"/>
        <xdr:cNvSpPr>
          <a:spLocks noChangeAspect="1" noChangeArrowheads="1"/>
        </xdr:cNvSpPr>
      </xdr:nvSpPr>
      <xdr:spPr bwMode="auto">
        <a:xfrm>
          <a:off x="0" y="348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29" name="AutoShape 1005" descr="https://www.soccerstats.com/img/own/sshplogo.png">
          <a:hlinkClick xmlns:r="http://schemas.openxmlformats.org/officeDocument/2006/relationships" r:id="rId506"/>
        </xdr:cNvPr>
        <xdr:cNvSpPr>
          <a:spLocks noChangeAspect="1" noChangeArrowheads="1"/>
        </xdr:cNvSpPr>
      </xdr:nvSpPr>
      <xdr:spPr bwMode="auto">
        <a:xfrm>
          <a:off x="13411200" y="348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30" name="AutoShape 1006" descr="GERMANY4"/>
        <xdr:cNvSpPr>
          <a:spLocks noChangeAspect="1" noChangeArrowheads="1"/>
        </xdr:cNvSpPr>
      </xdr:nvSpPr>
      <xdr:spPr bwMode="auto">
        <a:xfrm>
          <a:off x="0" y="36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31" name="AutoShape 1007" descr="https://www.soccerstats.com/img/own/sshplogo.png">
          <a:hlinkClick xmlns:r="http://schemas.openxmlformats.org/officeDocument/2006/relationships" r:id="rId507"/>
        </xdr:cNvPr>
        <xdr:cNvSpPr>
          <a:spLocks noChangeAspect="1" noChangeArrowheads="1"/>
        </xdr:cNvSpPr>
      </xdr:nvSpPr>
      <xdr:spPr bwMode="auto">
        <a:xfrm>
          <a:off x="13411200" y="36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32" name="AutoShape 1008" descr="GERMANY4"/>
        <xdr:cNvSpPr>
          <a:spLocks noChangeAspect="1" noChangeArrowheads="1"/>
        </xdr:cNvSpPr>
      </xdr:nvSpPr>
      <xdr:spPr bwMode="auto">
        <a:xfrm>
          <a:off x="0" y="39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33" name="AutoShape 1009" descr="https://www.soccerstats.com/img/own/sshplogo.png">
          <a:hlinkClick xmlns:r="http://schemas.openxmlformats.org/officeDocument/2006/relationships" r:id="rId508"/>
        </xdr:cNvPr>
        <xdr:cNvSpPr>
          <a:spLocks noChangeAspect="1" noChangeArrowheads="1"/>
        </xdr:cNvSpPr>
      </xdr:nvSpPr>
      <xdr:spPr bwMode="auto">
        <a:xfrm>
          <a:off x="13411200" y="39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34" name="AutoShape 1010" descr="GERMANY4"/>
        <xdr:cNvSpPr>
          <a:spLocks noChangeAspect="1" noChangeArrowheads="1"/>
        </xdr:cNvSpPr>
      </xdr:nvSpPr>
      <xdr:spPr bwMode="auto">
        <a:xfrm>
          <a:off x="0" y="409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35" name="AutoShape 1011" descr="https://www.soccerstats.com/img/own/sshplogo.png">
          <a:hlinkClick xmlns:r="http://schemas.openxmlformats.org/officeDocument/2006/relationships" r:id="rId509"/>
        </xdr:cNvPr>
        <xdr:cNvSpPr>
          <a:spLocks noChangeAspect="1" noChangeArrowheads="1"/>
        </xdr:cNvSpPr>
      </xdr:nvSpPr>
      <xdr:spPr bwMode="auto">
        <a:xfrm>
          <a:off x="13411200" y="409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36" name="AutoShape 1012" descr="GERMANY4"/>
        <xdr:cNvSpPr>
          <a:spLocks noChangeAspect="1" noChangeArrowheads="1"/>
        </xdr:cNvSpPr>
      </xdr:nvSpPr>
      <xdr:spPr bwMode="auto">
        <a:xfrm>
          <a:off x="0" y="43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37" name="AutoShape 1013" descr="https://www.soccerstats.com/img/own/sshplogo.png">
          <a:hlinkClick xmlns:r="http://schemas.openxmlformats.org/officeDocument/2006/relationships" r:id="rId510"/>
        </xdr:cNvPr>
        <xdr:cNvSpPr>
          <a:spLocks noChangeAspect="1" noChangeArrowheads="1"/>
        </xdr:cNvSpPr>
      </xdr:nvSpPr>
      <xdr:spPr bwMode="auto">
        <a:xfrm>
          <a:off x="13411200" y="43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38" name="AutoShape 1014" descr="GERMANY4"/>
        <xdr:cNvSpPr>
          <a:spLocks noChangeAspect="1" noChangeArrowheads="1"/>
        </xdr:cNvSpPr>
      </xdr:nvSpPr>
      <xdr:spPr bwMode="auto">
        <a:xfrm>
          <a:off x="0" y="45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39" name="AutoShape 1015" descr="https://www.soccerstats.com/img/own/sshplogo.png">
          <a:hlinkClick xmlns:r="http://schemas.openxmlformats.org/officeDocument/2006/relationships" r:id="rId511"/>
        </xdr:cNvPr>
        <xdr:cNvSpPr>
          <a:spLocks noChangeAspect="1" noChangeArrowheads="1"/>
        </xdr:cNvSpPr>
      </xdr:nvSpPr>
      <xdr:spPr bwMode="auto">
        <a:xfrm>
          <a:off x="13411200" y="45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40" name="AutoShape 1016" descr="SOUTHAFRICA"/>
        <xdr:cNvSpPr>
          <a:spLocks noChangeAspect="1" noChangeArrowheads="1"/>
        </xdr:cNvSpPr>
      </xdr:nvSpPr>
      <xdr:spPr bwMode="auto">
        <a:xfrm>
          <a:off x="0" y="484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41" name="AutoShape 1017" descr="https://www.soccerstats.com/img/own/sshplogo.png">
          <a:hlinkClick xmlns:r="http://schemas.openxmlformats.org/officeDocument/2006/relationships" r:id="rId512"/>
        </xdr:cNvPr>
        <xdr:cNvSpPr>
          <a:spLocks noChangeAspect="1" noChangeArrowheads="1"/>
        </xdr:cNvSpPr>
      </xdr:nvSpPr>
      <xdr:spPr bwMode="auto">
        <a:xfrm>
          <a:off x="13411200" y="484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42" name="AutoShape 1018" descr="SOUTHAFRICA"/>
        <xdr:cNvSpPr>
          <a:spLocks noChangeAspect="1" noChangeArrowheads="1"/>
        </xdr:cNvSpPr>
      </xdr:nvSpPr>
      <xdr:spPr bwMode="auto">
        <a:xfrm>
          <a:off x="0" y="509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43" name="AutoShape 1019" descr="https://www.soccerstats.com/img/own/sshplogo.png">
          <a:hlinkClick xmlns:r="http://schemas.openxmlformats.org/officeDocument/2006/relationships" r:id="rId513"/>
        </xdr:cNvPr>
        <xdr:cNvSpPr>
          <a:spLocks noChangeAspect="1" noChangeArrowheads="1"/>
        </xdr:cNvSpPr>
      </xdr:nvSpPr>
      <xdr:spPr bwMode="auto">
        <a:xfrm>
          <a:off x="13411200" y="509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44" name="AutoShape 1020" descr="SOUTHAFRICA"/>
        <xdr:cNvSpPr>
          <a:spLocks noChangeAspect="1" noChangeArrowheads="1"/>
        </xdr:cNvSpPr>
      </xdr:nvSpPr>
      <xdr:spPr bwMode="auto">
        <a:xfrm>
          <a:off x="0" y="534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45" name="AutoShape 1021" descr="https://www.soccerstats.com/img/own/sshplogo.png">
          <a:hlinkClick xmlns:r="http://schemas.openxmlformats.org/officeDocument/2006/relationships" r:id="rId514"/>
        </xdr:cNvPr>
        <xdr:cNvSpPr>
          <a:spLocks noChangeAspect="1" noChangeArrowheads="1"/>
        </xdr:cNvSpPr>
      </xdr:nvSpPr>
      <xdr:spPr bwMode="auto">
        <a:xfrm>
          <a:off x="13411200" y="534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46" name="AutoShape 1022" descr="SOUTHAFRICA"/>
        <xdr:cNvSpPr>
          <a:spLocks noChangeAspect="1" noChangeArrowheads="1"/>
        </xdr:cNvSpPr>
      </xdr:nvSpPr>
      <xdr:spPr bwMode="auto">
        <a:xfrm>
          <a:off x="0" y="5524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47" name="AutoShape 1023" descr="https://www.soccerstats.com/img/own/sshplogo.png">
          <a:hlinkClick xmlns:r="http://schemas.openxmlformats.org/officeDocument/2006/relationships" r:id="rId515"/>
        </xdr:cNvPr>
        <xdr:cNvSpPr>
          <a:spLocks noChangeAspect="1" noChangeArrowheads="1"/>
        </xdr:cNvSpPr>
      </xdr:nvSpPr>
      <xdr:spPr bwMode="auto">
        <a:xfrm>
          <a:off x="13411200" y="552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4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5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9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1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2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3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4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5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6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7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8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9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4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5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6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7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8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9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40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41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42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43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44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45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46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47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48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49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50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51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52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53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54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55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56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57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58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59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0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24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48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49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50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51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52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53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54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55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56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57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58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59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60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61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62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63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64" name="AutoShape 80" descr="https://www.soccerstats.com/img/own/sshplogo.png">
          <a:hlinkClick xmlns:r="http://schemas.openxmlformats.org/officeDocument/2006/relationships" r:id="rId555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65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66" name="AutoShape 82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67" name="AutoShape 83" descr="AZERBAIJAN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68" name="AutoShape 84" descr="https://www.soccerstats.com/img/own/sshplogo.png">
          <a:hlinkClick xmlns:r="http://schemas.openxmlformats.org/officeDocument/2006/relationships" r:id="rId557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69" name="AutoShape 85" descr="AZERBAIJAN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70" name="AutoShape 86" descr="https://www.soccerstats.com/img/own/sshplogo.png">
          <a:hlinkClick xmlns:r="http://schemas.openxmlformats.org/officeDocument/2006/relationships" r:id="rId558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71" name="AutoShape 87" descr="AZERBAIJAN"/>
        <xdr:cNvSpPr>
          <a:spLocks noChangeAspect="1" noChangeArrowheads="1"/>
        </xdr:cNvSpPr>
      </xdr:nvSpPr>
      <xdr:spPr bwMode="auto">
        <a:xfrm>
          <a:off x="0" y="885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72" name="AutoShape 88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85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73" name="AutoShape 89" descr="AZERBAIJAN"/>
        <xdr:cNvSpPr>
          <a:spLocks noChangeAspect="1" noChangeArrowheads="1"/>
        </xdr:cNvSpPr>
      </xdr:nvSpPr>
      <xdr:spPr bwMode="auto">
        <a:xfrm>
          <a:off x="0" y="902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74" name="AutoShape 90" descr="https://www.soccerstats.com/img/own/sshplogo.png">
          <a:hlinkClick xmlns:r="http://schemas.openxmlformats.org/officeDocument/2006/relationships" r:id="rId560"/>
        </xdr:cNvPr>
        <xdr:cNvSpPr>
          <a:spLocks noChangeAspect="1" noChangeArrowheads="1"/>
        </xdr:cNvSpPr>
      </xdr:nvSpPr>
      <xdr:spPr bwMode="auto">
        <a:xfrm>
          <a:off x="13411200" y="902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75" name="AutoShape 91" descr="BELARUS"/>
        <xdr:cNvSpPr>
          <a:spLocks noChangeAspect="1" noChangeArrowheads="1"/>
        </xdr:cNvSpPr>
      </xdr:nvSpPr>
      <xdr:spPr bwMode="auto">
        <a:xfrm>
          <a:off x="0" y="920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76" name="AutoShape 92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920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77" name="AutoShape 93" descr="BELARUS"/>
        <xdr:cNvSpPr>
          <a:spLocks noChangeAspect="1" noChangeArrowheads="1"/>
        </xdr:cNvSpPr>
      </xdr:nvSpPr>
      <xdr:spPr bwMode="auto">
        <a:xfrm>
          <a:off x="0" y="93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78" name="AutoShape 94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93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79" name="AutoShape 95" descr="BELGIUM"/>
        <xdr:cNvSpPr>
          <a:spLocks noChangeAspect="1" noChangeArrowheads="1"/>
        </xdr:cNvSpPr>
      </xdr:nvSpPr>
      <xdr:spPr bwMode="auto">
        <a:xfrm>
          <a:off x="0" y="96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80" name="AutoShape 96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96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81" name="AutoShape 97" descr="BELGIUM2"/>
        <xdr:cNvSpPr>
          <a:spLocks noChangeAspect="1" noChangeArrowheads="1"/>
        </xdr:cNvSpPr>
      </xdr:nvSpPr>
      <xdr:spPr bwMode="auto">
        <a:xfrm>
          <a:off x="0" y="988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82" name="AutoShape 98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88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83" name="AutoShape 99" descr="BELGIUM2"/>
        <xdr:cNvSpPr>
          <a:spLocks noChangeAspect="1" noChangeArrowheads="1"/>
        </xdr:cNvSpPr>
      </xdr:nvSpPr>
      <xdr:spPr bwMode="auto">
        <a:xfrm>
          <a:off x="0" y="100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84" name="AutoShape 100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100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85" name="AutoShape 101" descr="BRAZIL2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86" name="AutoShape 102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87" name="AutoShape 103" descr="BRAZIL2"/>
        <xdr:cNvSpPr>
          <a:spLocks noChangeAspect="1" noChangeArrowheads="1"/>
        </xdr:cNvSpPr>
      </xdr:nvSpPr>
      <xdr:spPr bwMode="auto">
        <a:xfrm>
          <a:off x="0" y="1048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88" name="AutoShape 104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1048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89" name="AutoShape 105" descr="BRAZIL2"/>
        <xdr:cNvSpPr>
          <a:spLocks noChangeAspect="1" noChangeArrowheads="1"/>
        </xdr:cNvSpPr>
      </xdr:nvSpPr>
      <xdr:spPr bwMode="auto">
        <a:xfrm>
          <a:off x="0" y="1066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90" name="AutoShape 106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66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91" name="AutoShape 107" descr="BULGARIA"/>
        <xdr:cNvSpPr>
          <a:spLocks noChangeAspect="1" noChangeArrowheads="1"/>
        </xdr:cNvSpPr>
      </xdr:nvSpPr>
      <xdr:spPr bwMode="auto">
        <a:xfrm>
          <a:off x="0" y="10835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92" name="AutoShape 108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835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93" name="AutoShape 109" descr="BULGARIA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94" name="AutoShape 110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95" name="AutoShape 111" descr="CHILE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96" name="AutoShape 112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97" name="AutoShape 113" descr="CHILE2"/>
        <xdr:cNvSpPr>
          <a:spLocks noChangeAspect="1" noChangeArrowheads="1"/>
        </xdr:cNvSpPr>
      </xdr:nvSpPr>
      <xdr:spPr bwMode="auto">
        <a:xfrm>
          <a:off x="0" y="11513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98" name="AutoShape 114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1513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99" name="AutoShape 115" descr="CHILE2"/>
        <xdr:cNvSpPr>
          <a:spLocks noChangeAspect="1" noChangeArrowheads="1"/>
        </xdr:cNvSpPr>
      </xdr:nvSpPr>
      <xdr:spPr bwMode="auto">
        <a:xfrm>
          <a:off x="0" y="1176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00" name="AutoShape 116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76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01" name="AutoShape 117" descr="CHINA"/>
        <xdr:cNvSpPr>
          <a:spLocks noChangeAspect="1" noChangeArrowheads="1"/>
        </xdr:cNvSpPr>
      </xdr:nvSpPr>
      <xdr:spPr bwMode="auto">
        <a:xfrm>
          <a:off x="0" y="1194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02" name="AutoShape 118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94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03" name="AutoShape 119" descr="CHINA"/>
        <xdr:cNvSpPr>
          <a:spLocks noChangeAspect="1" noChangeArrowheads="1"/>
        </xdr:cNvSpPr>
      </xdr:nvSpPr>
      <xdr:spPr bwMode="auto">
        <a:xfrm>
          <a:off x="0" y="1219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04" name="AutoShape 120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219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05" name="AutoShape 121" descr="CHINA"/>
        <xdr:cNvSpPr>
          <a:spLocks noChangeAspect="1" noChangeArrowheads="1"/>
        </xdr:cNvSpPr>
      </xdr:nvSpPr>
      <xdr:spPr bwMode="auto">
        <a:xfrm>
          <a:off x="0" y="12443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06" name="AutoShape 122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2443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07" name="AutoShape 123" descr="COLOMBIA2"/>
        <xdr:cNvSpPr>
          <a:spLocks noChangeAspect="1" noChangeArrowheads="1"/>
        </xdr:cNvSpPr>
      </xdr:nvSpPr>
      <xdr:spPr bwMode="auto">
        <a:xfrm>
          <a:off x="0" y="1269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08" name="AutoShape 124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69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09" name="AutoShape 125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9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10" name="AutoShape 126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328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11" name="AutoShape 127" descr="CROATIA"/>
        <xdr:cNvSpPr>
          <a:spLocks noChangeAspect="1" noChangeArrowheads="1"/>
        </xdr:cNvSpPr>
      </xdr:nvSpPr>
      <xdr:spPr bwMode="auto">
        <a:xfrm>
          <a:off x="0" y="135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12" name="AutoShape 128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5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13" name="AutoShape 129" descr="CZECHREPUBLIC2"/>
        <xdr:cNvSpPr>
          <a:spLocks noChangeAspect="1" noChangeArrowheads="1"/>
        </xdr:cNvSpPr>
      </xdr:nvSpPr>
      <xdr:spPr bwMode="auto">
        <a:xfrm>
          <a:off x="0" y="1379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14" name="AutoShape 130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79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15" name="AutoShape 131" descr="CZECHREPUBLIC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16" name="AutoShape 132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17" name="AutoShape 133" descr="DENMARK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18" name="AutoShape 134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19" name="AutoShape 135" descr="DENMARK2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20" name="AutoShape 136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21" name="AutoShape 137" descr="DENMARK2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22" name="AutoShape 138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23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24" name="AutoShape 140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25" name="AutoShape 141" descr="DENMARK3"/>
        <xdr:cNvSpPr>
          <a:spLocks noChangeAspect="1" noChangeArrowheads="1"/>
        </xdr:cNvSpPr>
      </xdr:nvSpPr>
      <xdr:spPr bwMode="auto">
        <a:xfrm>
          <a:off x="0" y="149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26" name="AutoShape 142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9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27" name="AutoShape 143" descr="DENMARK3"/>
        <xdr:cNvSpPr>
          <a:spLocks noChangeAspect="1" noChangeArrowheads="1"/>
        </xdr:cNvSpPr>
      </xdr:nvSpPr>
      <xdr:spPr bwMode="auto">
        <a:xfrm>
          <a:off x="0" y="1509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28" name="AutoShape 144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509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29" name="AutoShape 145" descr="DENMARK3"/>
        <xdr:cNvSpPr>
          <a:spLocks noChangeAspect="1" noChangeArrowheads="1"/>
        </xdr:cNvSpPr>
      </xdr:nvSpPr>
      <xdr:spPr bwMode="auto">
        <a:xfrm>
          <a:off x="0" y="1527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30" name="AutoShape 146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527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31" name="AutoShape 147" descr="ENGLAND7"/>
        <xdr:cNvSpPr>
          <a:spLocks noChangeAspect="1" noChangeArrowheads="1"/>
        </xdr:cNvSpPr>
      </xdr:nvSpPr>
      <xdr:spPr bwMode="auto">
        <a:xfrm>
          <a:off x="0" y="155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32" name="AutoShape 148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55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33" name="AutoShape 149" descr="ENGLAND9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34" name="AutoShape 150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35" name="AutoShape 151" descr="ESTONIA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36" name="AutoShape 152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37" name="AutoShape 153" descr="FINLAND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38" name="AutoShape 154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39" name="AutoShape 155" descr="FINLAND2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40" name="AutoShape 156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41" name="AutoShape 157" descr="FRANCE3"/>
        <xdr:cNvSpPr>
          <a:spLocks noChangeAspect="1" noChangeArrowheads="1"/>
        </xdr:cNvSpPr>
      </xdr:nvSpPr>
      <xdr:spPr bwMode="auto">
        <a:xfrm>
          <a:off x="0" y="1647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42" name="AutoShape 158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647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43" name="AutoShape 159" descr="FRANCE3"/>
        <xdr:cNvSpPr>
          <a:spLocks noChangeAspect="1" noChangeArrowheads="1"/>
        </xdr:cNvSpPr>
      </xdr:nvSpPr>
      <xdr:spPr bwMode="auto">
        <a:xfrm>
          <a:off x="0" y="1664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44" name="AutoShape 160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64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45" name="AutoShape 161" descr="FRANCE3"/>
        <xdr:cNvSpPr>
          <a:spLocks noChangeAspect="1" noChangeArrowheads="1"/>
        </xdr:cNvSpPr>
      </xdr:nvSpPr>
      <xdr:spPr bwMode="auto">
        <a:xfrm>
          <a:off x="0" y="1682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46" name="AutoShape 162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82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47" name="AutoShape 163" descr="FRANCE3"/>
        <xdr:cNvSpPr>
          <a:spLocks noChangeAspect="1" noChangeArrowheads="1"/>
        </xdr:cNvSpPr>
      </xdr:nvSpPr>
      <xdr:spPr bwMode="auto">
        <a:xfrm>
          <a:off x="0" y="1707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48" name="AutoShape 164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707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49" name="AutoShape 165" descr="FRANCE3"/>
        <xdr:cNvSpPr>
          <a:spLocks noChangeAspect="1" noChangeArrowheads="1"/>
        </xdr:cNvSpPr>
      </xdr:nvSpPr>
      <xdr:spPr bwMode="auto">
        <a:xfrm>
          <a:off x="0" y="1725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50" name="AutoShape 166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725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51" name="AutoShape 167" descr="FRANCE3"/>
        <xdr:cNvSpPr>
          <a:spLocks noChangeAspect="1" noChangeArrowheads="1"/>
        </xdr:cNvSpPr>
      </xdr:nvSpPr>
      <xdr:spPr bwMode="auto">
        <a:xfrm>
          <a:off x="0" y="1750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52" name="AutoShape 168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750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53" name="AutoShape 169" descr="FRANCE3"/>
        <xdr:cNvSpPr>
          <a:spLocks noChangeAspect="1" noChangeArrowheads="1"/>
        </xdr:cNvSpPr>
      </xdr:nvSpPr>
      <xdr:spPr bwMode="auto">
        <a:xfrm>
          <a:off x="0" y="1767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54" name="AutoShape 170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67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55" name="AutoShape 171" descr="FRANCE3"/>
        <xdr:cNvSpPr>
          <a:spLocks noChangeAspect="1" noChangeArrowheads="1"/>
        </xdr:cNvSpPr>
      </xdr:nvSpPr>
      <xdr:spPr bwMode="auto">
        <a:xfrm>
          <a:off x="0" y="1792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56" name="AutoShape 172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92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57" name="AutoShape 173" descr="FRANCE3"/>
        <xdr:cNvSpPr>
          <a:spLocks noChangeAspect="1" noChangeArrowheads="1"/>
        </xdr:cNvSpPr>
      </xdr:nvSpPr>
      <xdr:spPr bwMode="auto">
        <a:xfrm>
          <a:off x="0" y="1810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58" name="AutoShape 174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810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59" name="AutoShape 175" descr="GERMANY3"/>
        <xdr:cNvSpPr>
          <a:spLocks noChangeAspect="1" noChangeArrowheads="1"/>
        </xdr:cNvSpPr>
      </xdr:nvSpPr>
      <xdr:spPr bwMode="auto">
        <a:xfrm>
          <a:off x="0" y="1828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60" name="AutoShape 176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828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61" name="AutoShape 177" descr="GERMANY5"/>
        <xdr:cNvSpPr>
          <a:spLocks noChangeAspect="1" noChangeArrowheads="1"/>
        </xdr:cNvSpPr>
      </xdr:nvSpPr>
      <xdr:spPr bwMode="auto">
        <a:xfrm>
          <a:off x="0" y="1853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62" name="AutoShape 178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53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63" name="AutoShape 179" descr="GERMANY5"/>
        <xdr:cNvSpPr>
          <a:spLocks noChangeAspect="1" noChangeArrowheads="1"/>
        </xdr:cNvSpPr>
      </xdr:nvSpPr>
      <xdr:spPr bwMode="auto">
        <a:xfrm>
          <a:off x="0" y="1870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64" name="AutoShape 180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70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65" name="AutoShape 181" descr="GERMANY5"/>
        <xdr:cNvSpPr>
          <a:spLocks noChangeAspect="1" noChangeArrowheads="1"/>
        </xdr:cNvSpPr>
      </xdr:nvSpPr>
      <xdr:spPr bwMode="auto">
        <a:xfrm>
          <a:off x="0" y="18958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66" name="AutoShape 182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958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67" name="AutoShape 183" descr="GERMANY5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68" name="AutoShape 184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69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70" name="AutoShape 186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71" name="AutoShape 187" descr="GERMANY6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72" name="AutoShape 188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73" name="AutoShape 189" descr="GERMANY6"/>
        <xdr:cNvSpPr>
          <a:spLocks noChangeAspect="1" noChangeArrowheads="1"/>
        </xdr:cNvSpPr>
      </xdr:nvSpPr>
      <xdr:spPr bwMode="auto">
        <a:xfrm>
          <a:off x="0" y="19735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74" name="AutoShape 190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73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75" name="AutoShape 191" descr="GERMANY6"/>
        <xdr:cNvSpPr>
          <a:spLocks noChangeAspect="1" noChangeArrowheads="1"/>
        </xdr:cNvSpPr>
      </xdr:nvSpPr>
      <xdr:spPr bwMode="auto">
        <a:xfrm>
          <a:off x="0" y="19911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76" name="AutoShape 192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91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77" name="AutoShape 193" descr="GERMANY7"/>
        <xdr:cNvSpPr>
          <a:spLocks noChangeAspect="1" noChangeArrowheads="1"/>
        </xdr:cNvSpPr>
      </xdr:nvSpPr>
      <xdr:spPr bwMode="auto">
        <a:xfrm>
          <a:off x="0" y="2008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78" name="AutoShape 194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2008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79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80" name="AutoShape 196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81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82" name="AutoShape 198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83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84" name="AutoShape 200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85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86" name="AutoShape 202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87" name="AutoShape 203" descr="GERMANY8"/>
        <xdr:cNvSpPr>
          <a:spLocks noChangeAspect="1" noChangeArrowheads="1"/>
        </xdr:cNvSpPr>
      </xdr:nvSpPr>
      <xdr:spPr bwMode="auto">
        <a:xfrm>
          <a:off x="0" y="2103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88" name="AutoShape 204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103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89" name="AutoShape 205" descr="GERMANY8"/>
        <xdr:cNvSpPr>
          <a:spLocks noChangeAspect="1" noChangeArrowheads="1"/>
        </xdr:cNvSpPr>
      </xdr:nvSpPr>
      <xdr:spPr bwMode="auto">
        <a:xfrm>
          <a:off x="0" y="2121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90" name="AutoShape 206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121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91" name="AutoShape 207" descr="GERMANY8"/>
        <xdr:cNvSpPr>
          <a:spLocks noChangeAspect="1" noChangeArrowheads="1"/>
        </xdr:cNvSpPr>
      </xdr:nvSpPr>
      <xdr:spPr bwMode="auto">
        <a:xfrm>
          <a:off x="0" y="2138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92" name="AutoShape 208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138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93" name="AutoShape 209" descr="GERMANY8"/>
        <xdr:cNvSpPr>
          <a:spLocks noChangeAspect="1" noChangeArrowheads="1"/>
        </xdr:cNvSpPr>
      </xdr:nvSpPr>
      <xdr:spPr bwMode="auto">
        <a:xfrm>
          <a:off x="0" y="2164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94" name="AutoShape 210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64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95" name="AutoShape 211" descr="GERMANY8"/>
        <xdr:cNvSpPr>
          <a:spLocks noChangeAspect="1" noChangeArrowheads="1"/>
        </xdr:cNvSpPr>
      </xdr:nvSpPr>
      <xdr:spPr bwMode="auto">
        <a:xfrm>
          <a:off x="0" y="2181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96" name="AutoShape 212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81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97" name="AutoShape 213" descr="HUNGARY"/>
        <xdr:cNvSpPr>
          <a:spLocks noChangeAspect="1" noChangeArrowheads="1"/>
        </xdr:cNvSpPr>
      </xdr:nvSpPr>
      <xdr:spPr bwMode="auto">
        <a:xfrm>
          <a:off x="0" y="2206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198" name="AutoShape 214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206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199" name="AutoShape 215" descr="ICELAND3"/>
        <xdr:cNvSpPr>
          <a:spLocks noChangeAspect="1" noChangeArrowheads="1"/>
        </xdr:cNvSpPr>
      </xdr:nvSpPr>
      <xdr:spPr bwMode="auto">
        <a:xfrm>
          <a:off x="0" y="2224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00" name="AutoShape 216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224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01" name="AutoShape 217" descr="JAPAN"/>
        <xdr:cNvSpPr>
          <a:spLocks noChangeAspect="1" noChangeArrowheads="1"/>
        </xdr:cNvSpPr>
      </xdr:nvSpPr>
      <xdr:spPr bwMode="auto">
        <a:xfrm>
          <a:off x="0" y="2249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02" name="AutoShape 218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249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03" name="AutoShape 219" descr="NORWAY"/>
        <xdr:cNvSpPr>
          <a:spLocks noChangeAspect="1" noChangeArrowheads="1"/>
        </xdr:cNvSpPr>
      </xdr:nvSpPr>
      <xdr:spPr bwMode="auto">
        <a:xfrm>
          <a:off x="0" y="2274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04" name="AutoShape 220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7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05" name="AutoShape 221" descr="NORWAY11"/>
        <xdr:cNvSpPr>
          <a:spLocks noChangeAspect="1" noChangeArrowheads="1"/>
        </xdr:cNvSpPr>
      </xdr:nvSpPr>
      <xdr:spPr bwMode="auto">
        <a:xfrm>
          <a:off x="0" y="2292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06" name="AutoShape 222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92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07" name="AutoShape 223" descr="PARAGUAY2"/>
        <xdr:cNvSpPr>
          <a:spLocks noChangeAspect="1" noChangeArrowheads="1"/>
        </xdr:cNvSpPr>
      </xdr:nvSpPr>
      <xdr:spPr bwMode="auto">
        <a:xfrm>
          <a:off x="0" y="2317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08" name="AutoShape 224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317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09" name="AutoShape 225" descr="POLAND"/>
        <xdr:cNvSpPr>
          <a:spLocks noChangeAspect="1" noChangeArrowheads="1"/>
        </xdr:cNvSpPr>
      </xdr:nvSpPr>
      <xdr:spPr bwMode="auto">
        <a:xfrm>
          <a:off x="0" y="2334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10" name="AutoShape 226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334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11" name="AutoShape 227" descr="POLAND2"/>
        <xdr:cNvSpPr>
          <a:spLocks noChangeAspect="1" noChangeArrowheads="1"/>
        </xdr:cNvSpPr>
      </xdr:nvSpPr>
      <xdr:spPr bwMode="auto">
        <a:xfrm>
          <a:off x="0" y="2359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12" name="AutoShape 228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59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13" name="AutoShape 229" descr="POLAND2"/>
        <xdr:cNvSpPr>
          <a:spLocks noChangeAspect="1" noChangeArrowheads="1"/>
        </xdr:cNvSpPr>
      </xdr:nvSpPr>
      <xdr:spPr bwMode="auto">
        <a:xfrm>
          <a:off x="0" y="2377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14" name="AutoShape 230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77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15" name="AutoShape 231" descr="POLAND3"/>
        <xdr:cNvSpPr>
          <a:spLocks noChangeAspect="1" noChangeArrowheads="1"/>
        </xdr:cNvSpPr>
      </xdr:nvSpPr>
      <xdr:spPr bwMode="auto">
        <a:xfrm>
          <a:off x="0" y="2402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16" name="AutoShape 232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402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17" name="AutoShape 233" descr="PORTUGAL2"/>
        <xdr:cNvSpPr>
          <a:spLocks noChangeAspect="1" noChangeArrowheads="1"/>
        </xdr:cNvSpPr>
      </xdr:nvSpPr>
      <xdr:spPr bwMode="auto">
        <a:xfrm>
          <a:off x="0" y="2427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18" name="AutoShape 234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427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19" name="AutoShape 235" descr="ROMANIA"/>
        <xdr:cNvSpPr>
          <a:spLocks noChangeAspect="1" noChangeArrowheads="1"/>
        </xdr:cNvSpPr>
      </xdr:nvSpPr>
      <xdr:spPr bwMode="auto">
        <a:xfrm>
          <a:off x="0" y="2445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20" name="AutoShape 236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445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21" name="AutoShape 237" descr="ROMANIA"/>
        <xdr:cNvSpPr>
          <a:spLocks noChangeAspect="1" noChangeArrowheads="1"/>
        </xdr:cNvSpPr>
      </xdr:nvSpPr>
      <xdr:spPr bwMode="auto">
        <a:xfrm>
          <a:off x="0" y="2462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22" name="AutoShape 238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62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23" name="AutoShape 239" descr="RUSSIA"/>
        <xdr:cNvSpPr>
          <a:spLocks noChangeAspect="1" noChangeArrowheads="1"/>
        </xdr:cNvSpPr>
      </xdr:nvSpPr>
      <xdr:spPr bwMode="auto">
        <a:xfrm>
          <a:off x="0" y="2487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24" name="AutoShape 240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87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25" name="AutoShape 241" descr="SAUDIARABI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26" name="AutoShape 242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27" name="AutoShape 243" descr="SAUDIARABIA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28" name="AutoShape 244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29" name="AutoShape 245" descr="SAUDIARABIA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30" name="AutoShape 246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31" name="AutoShape 247" descr="SOUTHAFRICA"/>
        <xdr:cNvSpPr>
          <a:spLocks noChangeAspect="1" noChangeArrowheads="1"/>
        </xdr:cNvSpPr>
      </xdr:nvSpPr>
      <xdr:spPr bwMode="auto">
        <a:xfrm>
          <a:off x="0" y="2565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32" name="AutoShape 248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65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33" name="AutoShape 249" descr="SOUTHKOREA4"/>
        <xdr:cNvSpPr>
          <a:spLocks noChangeAspect="1" noChangeArrowheads="1"/>
        </xdr:cNvSpPr>
      </xdr:nvSpPr>
      <xdr:spPr bwMode="auto">
        <a:xfrm>
          <a:off x="0" y="2583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34" name="AutoShape 250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8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35" name="AutoShape 251" descr="SOUTHKOREA4"/>
        <xdr:cNvSpPr>
          <a:spLocks noChangeAspect="1" noChangeArrowheads="1"/>
        </xdr:cNvSpPr>
      </xdr:nvSpPr>
      <xdr:spPr bwMode="auto">
        <a:xfrm>
          <a:off x="0" y="2600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36" name="AutoShape 252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600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37" name="AutoShape 253" descr="SWEDEN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38" name="AutoShape 254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39" name="AutoShape 255" descr="SWEDEN2"/>
        <xdr:cNvSpPr>
          <a:spLocks noChangeAspect="1" noChangeArrowheads="1"/>
        </xdr:cNvSpPr>
      </xdr:nvSpPr>
      <xdr:spPr bwMode="auto">
        <a:xfrm>
          <a:off x="0" y="2643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40" name="AutoShape 256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643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41" name="AutoShape 257" descr="SWEDEN2"/>
        <xdr:cNvSpPr>
          <a:spLocks noChangeAspect="1" noChangeArrowheads="1"/>
        </xdr:cNvSpPr>
      </xdr:nvSpPr>
      <xdr:spPr bwMode="auto">
        <a:xfrm>
          <a:off x="0" y="2660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42" name="AutoShape 258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60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43" name="AutoShape 259" descr="SWEDEN3"/>
        <xdr:cNvSpPr>
          <a:spLocks noChangeAspect="1" noChangeArrowheads="1"/>
        </xdr:cNvSpPr>
      </xdr:nvSpPr>
      <xdr:spPr bwMode="auto">
        <a:xfrm>
          <a:off x="0" y="2678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44" name="AutoShape 260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78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45" name="AutoShape 261" descr="SWEDEN4"/>
        <xdr:cNvSpPr>
          <a:spLocks noChangeAspect="1" noChangeArrowheads="1"/>
        </xdr:cNvSpPr>
      </xdr:nvSpPr>
      <xdr:spPr bwMode="auto">
        <a:xfrm>
          <a:off x="0" y="2703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46" name="AutoShape 262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703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47" name="AutoShape 263" descr="SWEDEN11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48" name="AutoShape 264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49" name="AutoShape 265" descr="TURKEY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50" name="AutoShape 266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51" name="AutoShape 267" descr="TURKEY2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52" name="AutoShape 268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53" name="AutoShape 269" descr="UKRAINE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54" name="AutoShape 270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55" name="AutoShape 271" descr="URUGUAY3"/>
        <xdr:cNvSpPr>
          <a:spLocks noChangeAspect="1" noChangeArrowheads="1"/>
        </xdr:cNvSpPr>
      </xdr:nvSpPr>
      <xdr:spPr bwMode="auto">
        <a:xfrm>
          <a:off x="0" y="2798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56" name="AutoShape 272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98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57" name="AutoShape 273" descr="WALES"/>
        <xdr:cNvSpPr>
          <a:spLocks noChangeAspect="1" noChangeArrowheads="1"/>
        </xdr:cNvSpPr>
      </xdr:nvSpPr>
      <xdr:spPr bwMode="auto">
        <a:xfrm>
          <a:off x="0" y="2816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58" name="AutoShape 274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816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59" name="AutoShape 275" descr="WALES"/>
        <xdr:cNvSpPr>
          <a:spLocks noChangeAspect="1" noChangeArrowheads="1"/>
        </xdr:cNvSpPr>
      </xdr:nvSpPr>
      <xdr:spPr bwMode="auto">
        <a:xfrm>
          <a:off x="0" y="2833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60" name="AutoShape 276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833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61" name="AutoShape 277" descr="WALES"/>
        <xdr:cNvSpPr>
          <a:spLocks noChangeAspect="1" noChangeArrowheads="1"/>
        </xdr:cNvSpPr>
      </xdr:nvSpPr>
      <xdr:spPr bwMode="auto">
        <a:xfrm>
          <a:off x="0" y="2859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62" name="AutoShape 278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59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63" name="AutoShape 279" descr="WALES"/>
        <xdr:cNvSpPr>
          <a:spLocks noChangeAspect="1" noChangeArrowheads="1"/>
        </xdr:cNvSpPr>
      </xdr:nvSpPr>
      <xdr:spPr bwMode="auto">
        <a:xfrm>
          <a:off x="0" y="2884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64" name="AutoShape 280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84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65" name="AutoShape 281" descr="WALES"/>
        <xdr:cNvSpPr>
          <a:spLocks noChangeAspect="1" noChangeArrowheads="1"/>
        </xdr:cNvSpPr>
      </xdr:nvSpPr>
      <xdr:spPr bwMode="auto">
        <a:xfrm>
          <a:off x="0" y="2909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66" name="AutoShape 282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909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67" name="AutoShape 283" descr="WALES"/>
        <xdr:cNvSpPr>
          <a:spLocks noChangeAspect="1" noChangeArrowheads="1"/>
        </xdr:cNvSpPr>
      </xdr:nvSpPr>
      <xdr:spPr bwMode="auto">
        <a:xfrm>
          <a:off x="0" y="2926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68" name="AutoShape 284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926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69" name="AutoShape 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70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71" name="AutoShape 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72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73" name="AutoShape 5" descr="NETHERLANDS"/>
        <xdr:cNvSpPr>
          <a:spLocks noChangeAspect="1" noChangeArrowheads="1"/>
        </xdr:cNvSpPr>
      </xdr:nvSpPr>
      <xdr:spPr bwMode="auto">
        <a:xfrm>
          <a:off x="0" y="60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74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60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75" name="AutoShape 7" descr="NETHERLANDS"/>
        <xdr:cNvSpPr>
          <a:spLocks noChangeAspect="1" noChangeArrowheads="1"/>
        </xdr:cNvSpPr>
      </xdr:nvSpPr>
      <xdr:spPr bwMode="auto">
        <a:xfrm>
          <a:off x="0" y="853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76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853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77" name="AutoShape 9" descr="NETHERLANDS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78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79" name="AutoShape 11" descr="NETHERLANDS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80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81" name="AutoShape 13" descr="PORTUGAL"/>
        <xdr:cNvSpPr>
          <a:spLocks noChangeAspect="1" noChangeArrowheads="1"/>
        </xdr:cNvSpPr>
      </xdr:nvSpPr>
      <xdr:spPr bwMode="auto">
        <a:xfrm>
          <a:off x="0" y="153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82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153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83" name="AutoShape 15" descr="PORTUGAL"/>
        <xdr:cNvSpPr>
          <a:spLocks noChangeAspect="1" noChangeArrowheads="1"/>
        </xdr:cNvSpPr>
      </xdr:nvSpPr>
      <xdr:spPr bwMode="auto">
        <a:xfrm>
          <a:off x="0" y="17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84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17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85" name="AutoShape 17" descr="PORTUGAL"/>
        <xdr:cNvSpPr>
          <a:spLocks noChangeAspect="1" noChangeArrowheads="1"/>
        </xdr:cNvSpPr>
      </xdr:nvSpPr>
      <xdr:spPr bwMode="auto">
        <a:xfrm>
          <a:off x="0" y="20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86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20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87" name="AutoShape 19" descr="ENGLAND2"/>
        <xdr:cNvSpPr>
          <a:spLocks noChangeAspect="1" noChangeArrowheads="1"/>
        </xdr:cNvSpPr>
      </xdr:nvSpPr>
      <xdr:spPr bwMode="auto">
        <a:xfrm>
          <a:off x="0" y="220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88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89" name="AutoShape 21" descr="ENGLAND2"/>
        <xdr:cNvSpPr>
          <a:spLocks noChangeAspect="1" noChangeArrowheads="1"/>
        </xdr:cNvSpPr>
      </xdr:nvSpPr>
      <xdr:spPr bwMode="auto">
        <a:xfrm>
          <a:off x="0" y="23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90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23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91" name="AutoShape 23" descr="ENGLAND2"/>
        <xdr:cNvSpPr>
          <a:spLocks noChangeAspect="1" noChangeArrowheads="1"/>
        </xdr:cNvSpPr>
      </xdr:nvSpPr>
      <xdr:spPr bwMode="auto">
        <a:xfrm>
          <a:off x="0" y="25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92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93" name="AutoShape 25" descr="ENGLAND2"/>
        <xdr:cNvSpPr>
          <a:spLocks noChangeAspect="1" noChangeArrowheads="1"/>
        </xdr:cNvSpPr>
      </xdr:nvSpPr>
      <xdr:spPr bwMode="auto">
        <a:xfrm>
          <a:off x="0" y="27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94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95" name="AutoShape 27" descr="ENGLAND2"/>
        <xdr:cNvSpPr>
          <a:spLocks noChangeAspect="1" noChangeArrowheads="1"/>
        </xdr:cNvSpPr>
      </xdr:nvSpPr>
      <xdr:spPr bwMode="auto">
        <a:xfrm>
          <a:off x="0" y="29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96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97" name="AutoShape 29" descr="ENGLAND2"/>
        <xdr:cNvSpPr>
          <a:spLocks noChangeAspect="1" noChangeArrowheads="1"/>
        </xdr:cNvSpPr>
      </xdr:nvSpPr>
      <xdr:spPr bwMode="auto">
        <a:xfrm>
          <a:off x="0" y="31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98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99" name="AutoShape 31" descr="ENGLAND2"/>
        <xdr:cNvSpPr>
          <a:spLocks noChangeAspect="1" noChangeArrowheads="1"/>
        </xdr:cNvSpPr>
      </xdr:nvSpPr>
      <xdr:spPr bwMode="auto">
        <a:xfrm>
          <a:off x="0" y="333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00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33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01" name="AutoShape 33" descr="ENGLAND2"/>
        <xdr:cNvSpPr>
          <a:spLocks noChangeAspect="1" noChangeArrowheads="1"/>
        </xdr:cNvSpPr>
      </xdr:nvSpPr>
      <xdr:spPr bwMode="auto">
        <a:xfrm>
          <a:off x="0" y="351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02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51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03" name="AutoShape 35" descr="ENGLAND3"/>
        <xdr:cNvSpPr>
          <a:spLocks noChangeAspect="1" noChangeArrowheads="1"/>
        </xdr:cNvSpPr>
      </xdr:nvSpPr>
      <xdr:spPr bwMode="auto">
        <a:xfrm>
          <a:off x="0" y="37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04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7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05" name="AutoShape 37" descr="ENGLAND3"/>
        <xdr:cNvSpPr>
          <a:spLocks noChangeAspect="1" noChangeArrowheads="1"/>
        </xdr:cNvSpPr>
      </xdr:nvSpPr>
      <xdr:spPr bwMode="auto">
        <a:xfrm>
          <a:off x="0" y="39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06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9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07" name="AutoShape 39" descr="ENGLAND3"/>
        <xdr:cNvSpPr>
          <a:spLocks noChangeAspect="1" noChangeArrowheads="1"/>
        </xdr:cNvSpPr>
      </xdr:nvSpPr>
      <xdr:spPr bwMode="auto">
        <a:xfrm>
          <a:off x="0" y="419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08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09" name="AutoShape 41" descr="ENGLAND3"/>
        <xdr:cNvSpPr>
          <a:spLocks noChangeAspect="1" noChangeArrowheads="1"/>
        </xdr:cNvSpPr>
      </xdr:nvSpPr>
      <xdr:spPr bwMode="auto">
        <a:xfrm>
          <a:off x="0" y="436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10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436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11" name="AutoShape 43" descr="ENGLAND3"/>
        <xdr:cNvSpPr>
          <a:spLocks noChangeAspect="1" noChangeArrowheads="1"/>
        </xdr:cNvSpPr>
      </xdr:nvSpPr>
      <xdr:spPr bwMode="auto">
        <a:xfrm>
          <a:off x="0" y="454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12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454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13" name="AutoShape 45" descr="ENGLAND3"/>
        <xdr:cNvSpPr>
          <a:spLocks noChangeAspect="1" noChangeArrowheads="1"/>
        </xdr:cNvSpPr>
      </xdr:nvSpPr>
      <xdr:spPr bwMode="auto">
        <a:xfrm>
          <a:off x="0" y="471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14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471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15" name="AutoShape 47" descr="ENGLAND3"/>
        <xdr:cNvSpPr>
          <a:spLocks noChangeAspect="1" noChangeArrowheads="1"/>
        </xdr:cNvSpPr>
      </xdr:nvSpPr>
      <xdr:spPr bwMode="auto">
        <a:xfrm>
          <a:off x="0" y="489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16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489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17" name="AutoShape 49" descr="ENGLAND3"/>
        <xdr:cNvSpPr>
          <a:spLocks noChangeAspect="1" noChangeArrowheads="1"/>
        </xdr:cNvSpPr>
      </xdr:nvSpPr>
      <xdr:spPr bwMode="auto">
        <a:xfrm>
          <a:off x="0" y="514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18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51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19" name="AutoShape 51" descr="ENGLAND3"/>
        <xdr:cNvSpPr>
          <a:spLocks noChangeAspect="1" noChangeArrowheads="1"/>
        </xdr:cNvSpPr>
      </xdr:nvSpPr>
      <xdr:spPr bwMode="auto">
        <a:xfrm>
          <a:off x="0" y="539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20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539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21" name="AutoShape 53" descr="ENGLAND3"/>
        <xdr:cNvSpPr>
          <a:spLocks noChangeAspect="1" noChangeArrowheads="1"/>
        </xdr:cNvSpPr>
      </xdr:nvSpPr>
      <xdr:spPr bwMode="auto">
        <a:xfrm>
          <a:off x="0" y="564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22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564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23" name="AutoShape 55" descr="ENGLAND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24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25" name="AutoShape 57" descr="ENGLAND3"/>
        <xdr:cNvSpPr>
          <a:spLocks noChangeAspect="1" noChangeArrowheads="1"/>
        </xdr:cNvSpPr>
      </xdr:nvSpPr>
      <xdr:spPr bwMode="auto">
        <a:xfrm>
          <a:off x="0" y="599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26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599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27" name="AutoShape 59" descr="ENGLAND4"/>
        <xdr:cNvSpPr>
          <a:spLocks noChangeAspect="1" noChangeArrowheads="1"/>
        </xdr:cNvSpPr>
      </xdr:nvSpPr>
      <xdr:spPr bwMode="auto">
        <a:xfrm>
          <a:off x="0" y="617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28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29" name="AutoShape 61" descr="ENGLAND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30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31" name="AutoShape 63" descr="ENGLAND4"/>
        <xdr:cNvSpPr>
          <a:spLocks noChangeAspect="1" noChangeArrowheads="1"/>
        </xdr:cNvSpPr>
      </xdr:nvSpPr>
      <xdr:spPr bwMode="auto">
        <a:xfrm>
          <a:off x="0" y="652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32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652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33" name="AutoShape 65" descr="ENGLAND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34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35" name="AutoShape 67" descr="ENGLAND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36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37" name="AutoShape 69" descr="ENGLAND4"/>
        <xdr:cNvSpPr>
          <a:spLocks noChangeAspect="1" noChangeArrowheads="1"/>
        </xdr:cNvSpPr>
      </xdr:nvSpPr>
      <xdr:spPr bwMode="auto">
        <a:xfrm>
          <a:off x="0" y="71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38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71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39" name="AutoShape 71" descr="ENGLAND4"/>
        <xdr:cNvSpPr>
          <a:spLocks noChangeAspect="1" noChangeArrowheads="1"/>
        </xdr:cNvSpPr>
      </xdr:nvSpPr>
      <xdr:spPr bwMode="auto">
        <a:xfrm>
          <a:off x="0" y="72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40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72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41" name="AutoShape 73" descr="ENGLAND4"/>
        <xdr:cNvSpPr>
          <a:spLocks noChangeAspect="1" noChangeArrowheads="1"/>
        </xdr:cNvSpPr>
      </xdr:nvSpPr>
      <xdr:spPr bwMode="auto">
        <a:xfrm>
          <a:off x="0" y="755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42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755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43" name="AutoShape 75" descr="ENGLAND4"/>
        <xdr:cNvSpPr>
          <a:spLocks noChangeAspect="1" noChangeArrowheads="1"/>
        </xdr:cNvSpPr>
      </xdr:nvSpPr>
      <xdr:spPr bwMode="auto">
        <a:xfrm>
          <a:off x="0" y="77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44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77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45" name="AutoShape 77" descr="ENGLAND4"/>
        <xdr:cNvSpPr>
          <a:spLocks noChangeAspect="1" noChangeArrowheads="1"/>
        </xdr:cNvSpPr>
      </xdr:nvSpPr>
      <xdr:spPr bwMode="auto">
        <a:xfrm>
          <a:off x="0" y="79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46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79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47" name="AutoShape 79" descr="ENGLAND4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48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49" name="AutoShape 81" descr="ENGLAND4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50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51" name="AutoShape 83" descr="ENGLAND5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52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53" name="AutoShape 85" descr="ENGLAND5"/>
        <xdr:cNvSpPr>
          <a:spLocks noChangeAspect="1" noChangeArrowheads="1"/>
        </xdr:cNvSpPr>
      </xdr:nvSpPr>
      <xdr:spPr bwMode="auto">
        <a:xfrm>
          <a:off x="0" y="875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54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875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55" name="AutoShape 87" descr="ENGLAND5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56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57" name="AutoShape 89" descr="ENGLAND5"/>
        <xdr:cNvSpPr>
          <a:spLocks noChangeAspect="1" noChangeArrowheads="1"/>
        </xdr:cNvSpPr>
      </xdr:nvSpPr>
      <xdr:spPr bwMode="auto">
        <a:xfrm>
          <a:off x="0" y="910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58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910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59" name="AutoShape 91" descr="ENGLAND5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60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61" name="AutoShape 93" descr="ENGLAND5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62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63" name="AutoShape 95" descr="ENGLAND5"/>
        <xdr:cNvSpPr>
          <a:spLocks noChangeAspect="1" noChangeArrowheads="1"/>
        </xdr:cNvSpPr>
      </xdr:nvSpPr>
      <xdr:spPr bwMode="auto">
        <a:xfrm>
          <a:off x="0" y="986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64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986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65" name="AutoShape 97" descr="ENGLAND5"/>
        <xdr:cNvSpPr>
          <a:spLocks noChangeAspect="1" noChangeArrowheads="1"/>
        </xdr:cNvSpPr>
      </xdr:nvSpPr>
      <xdr:spPr bwMode="auto">
        <a:xfrm>
          <a:off x="0" y="1003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66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1003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67" name="AutoShape 99" descr="ENGLAND5"/>
        <xdr:cNvSpPr>
          <a:spLocks noChangeAspect="1" noChangeArrowheads="1"/>
        </xdr:cNvSpPr>
      </xdr:nvSpPr>
      <xdr:spPr bwMode="auto">
        <a:xfrm>
          <a:off x="0" y="1021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68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1021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69" name="AutoShape 101" descr="ENGLAND5"/>
        <xdr:cNvSpPr>
          <a:spLocks noChangeAspect="1" noChangeArrowheads="1"/>
        </xdr:cNvSpPr>
      </xdr:nvSpPr>
      <xdr:spPr bwMode="auto">
        <a:xfrm>
          <a:off x="0" y="1038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70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1038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71" name="AutoShape 103" descr="ENGLAND5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72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73" name="AutoShape 105" descr="ENGLAND5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74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75" name="AutoShape 107" descr="SPAIN2"/>
        <xdr:cNvSpPr>
          <a:spLocks noChangeAspect="1" noChangeArrowheads="1"/>
        </xdr:cNvSpPr>
      </xdr:nvSpPr>
      <xdr:spPr bwMode="auto">
        <a:xfrm>
          <a:off x="0" y="109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76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109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77" name="AutoShape 109" descr="SPAIN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78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79" name="AutoShape 111" descr="SPAIN2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80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81" name="AutoShape 113" descr="SPAIN2"/>
        <xdr:cNvSpPr>
          <a:spLocks noChangeAspect="1" noChangeArrowheads="1"/>
        </xdr:cNvSpPr>
      </xdr:nvSpPr>
      <xdr:spPr bwMode="auto">
        <a:xfrm>
          <a:off x="0" y="114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82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114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83" name="AutoShape 115" descr="GERMANY2"/>
        <xdr:cNvSpPr>
          <a:spLocks noChangeAspect="1" noChangeArrowheads="1"/>
        </xdr:cNvSpPr>
      </xdr:nvSpPr>
      <xdr:spPr bwMode="auto">
        <a:xfrm>
          <a:off x="0" y="116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84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116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85" name="AutoShape 117" descr="GERMANY2"/>
        <xdr:cNvSpPr>
          <a:spLocks noChangeAspect="1" noChangeArrowheads="1"/>
        </xdr:cNvSpPr>
      </xdr:nvSpPr>
      <xdr:spPr bwMode="auto">
        <a:xfrm>
          <a:off x="0" y="1186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86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1186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87" name="AutoShape 119" descr="GERMANY2"/>
        <xdr:cNvSpPr>
          <a:spLocks noChangeAspect="1" noChangeArrowheads="1"/>
        </xdr:cNvSpPr>
      </xdr:nvSpPr>
      <xdr:spPr bwMode="auto">
        <a:xfrm>
          <a:off x="0" y="1203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88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1203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89" name="AutoShape 121" descr="GERMANY2"/>
        <xdr:cNvSpPr>
          <a:spLocks noChangeAspect="1" noChangeArrowheads="1"/>
        </xdr:cNvSpPr>
      </xdr:nvSpPr>
      <xdr:spPr bwMode="auto">
        <a:xfrm>
          <a:off x="0" y="1221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90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1221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91" name="AutoShape 123" descr="NETHERLANDS2"/>
        <xdr:cNvSpPr>
          <a:spLocks noChangeAspect="1" noChangeArrowheads="1"/>
        </xdr:cNvSpPr>
      </xdr:nvSpPr>
      <xdr:spPr bwMode="auto">
        <a:xfrm>
          <a:off x="0" y="1239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92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1239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93" name="AutoShape 125" descr="ARGENTINA2"/>
        <xdr:cNvSpPr>
          <a:spLocks noChangeAspect="1" noChangeArrowheads="1"/>
        </xdr:cNvSpPr>
      </xdr:nvSpPr>
      <xdr:spPr bwMode="auto">
        <a:xfrm>
          <a:off x="0" y="125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94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125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95" name="AutoShape 127" descr="ARGENTINA2"/>
        <xdr:cNvSpPr>
          <a:spLocks noChangeAspect="1" noChangeArrowheads="1"/>
        </xdr:cNvSpPr>
      </xdr:nvSpPr>
      <xdr:spPr bwMode="auto">
        <a:xfrm>
          <a:off x="0" y="1274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96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1274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97" name="AutoShape 129" descr="ARGENTINA2"/>
        <xdr:cNvSpPr>
          <a:spLocks noChangeAspect="1" noChangeArrowheads="1"/>
        </xdr:cNvSpPr>
      </xdr:nvSpPr>
      <xdr:spPr bwMode="auto">
        <a:xfrm>
          <a:off x="0" y="129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398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129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399" name="AutoShape 131" descr="ARGENTINA2"/>
        <xdr:cNvSpPr>
          <a:spLocks noChangeAspect="1" noChangeArrowheads="1"/>
        </xdr:cNvSpPr>
      </xdr:nvSpPr>
      <xdr:spPr bwMode="auto">
        <a:xfrm>
          <a:off x="0" y="131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00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131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01" name="AutoShape 133" descr="ARGENTINA2"/>
        <xdr:cNvSpPr>
          <a:spLocks noChangeAspect="1" noChangeArrowheads="1"/>
        </xdr:cNvSpPr>
      </xdr:nvSpPr>
      <xdr:spPr bwMode="auto">
        <a:xfrm>
          <a:off x="0" y="1334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02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1334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03" name="AutoShape 135" descr="ARGENTINA3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04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05" name="AutoShape 137" descr="ARGENTINA3"/>
        <xdr:cNvSpPr>
          <a:spLocks noChangeAspect="1" noChangeArrowheads="1"/>
        </xdr:cNvSpPr>
      </xdr:nvSpPr>
      <xdr:spPr bwMode="auto">
        <a:xfrm>
          <a:off x="0" y="137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06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137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07" name="AutoShape 139" descr="ARGENTINA3"/>
        <xdr:cNvSpPr>
          <a:spLocks noChangeAspect="1" noChangeArrowheads="1"/>
        </xdr:cNvSpPr>
      </xdr:nvSpPr>
      <xdr:spPr bwMode="auto">
        <a:xfrm>
          <a:off x="0" y="1402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08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1402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09" name="AutoShape 141" descr="ARGENTINA3"/>
        <xdr:cNvSpPr>
          <a:spLocks noChangeAspect="1" noChangeArrowheads="1"/>
        </xdr:cNvSpPr>
      </xdr:nvSpPr>
      <xdr:spPr bwMode="auto">
        <a:xfrm>
          <a:off x="0" y="1427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10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1427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11" name="AutoShape 143" descr="ARGENTINA3"/>
        <xdr:cNvSpPr>
          <a:spLocks noChangeAspect="1" noChangeArrowheads="1"/>
        </xdr:cNvSpPr>
      </xdr:nvSpPr>
      <xdr:spPr bwMode="auto">
        <a:xfrm>
          <a:off x="0" y="1444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12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1444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13" name="AutoShape 145" descr="ARGENTINA3"/>
        <xdr:cNvSpPr>
          <a:spLocks noChangeAspect="1" noChangeArrowheads="1"/>
        </xdr:cNvSpPr>
      </xdr:nvSpPr>
      <xdr:spPr bwMode="auto">
        <a:xfrm>
          <a:off x="0" y="1462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14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1462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15" name="AutoShape 147" descr="ARGENTINA3"/>
        <xdr:cNvSpPr>
          <a:spLocks noChangeAspect="1" noChangeArrowheads="1"/>
        </xdr:cNvSpPr>
      </xdr:nvSpPr>
      <xdr:spPr bwMode="auto">
        <a:xfrm>
          <a:off x="0" y="1479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16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1479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17" name="AutoShape 149" descr="ARGENTINA3"/>
        <xdr:cNvSpPr>
          <a:spLocks noChangeAspect="1" noChangeArrowheads="1"/>
        </xdr:cNvSpPr>
      </xdr:nvSpPr>
      <xdr:spPr bwMode="auto">
        <a:xfrm>
          <a:off x="0" y="1504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18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1504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19" name="AutoShape 151" descr="ARMENIA"/>
        <xdr:cNvSpPr>
          <a:spLocks noChangeAspect="1" noChangeArrowheads="1"/>
        </xdr:cNvSpPr>
      </xdr:nvSpPr>
      <xdr:spPr bwMode="auto">
        <a:xfrm>
          <a:off x="0" y="152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20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152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21" name="AutoShape 153" descr="ARMENIA"/>
        <xdr:cNvSpPr>
          <a:spLocks noChangeAspect="1" noChangeArrowheads="1"/>
        </xdr:cNvSpPr>
      </xdr:nvSpPr>
      <xdr:spPr bwMode="auto">
        <a:xfrm>
          <a:off x="0" y="1547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22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1547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23" name="AutoShape 155" descr="AUSTRALIA3"/>
        <xdr:cNvSpPr>
          <a:spLocks noChangeAspect="1" noChangeArrowheads="1"/>
        </xdr:cNvSpPr>
      </xdr:nvSpPr>
      <xdr:spPr bwMode="auto">
        <a:xfrm>
          <a:off x="0" y="1572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24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1572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25" name="AutoShape 157" descr="AUSTRALIA3"/>
        <xdr:cNvSpPr>
          <a:spLocks noChangeAspect="1" noChangeArrowheads="1"/>
        </xdr:cNvSpPr>
      </xdr:nvSpPr>
      <xdr:spPr bwMode="auto">
        <a:xfrm>
          <a:off x="0" y="1597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26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1597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27" name="AutoShape 159" descr="AUSTRALIA3"/>
        <xdr:cNvSpPr>
          <a:spLocks noChangeAspect="1" noChangeArrowheads="1"/>
        </xdr:cNvSpPr>
      </xdr:nvSpPr>
      <xdr:spPr bwMode="auto">
        <a:xfrm>
          <a:off x="0" y="162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28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162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29" name="AutoShape 161" descr="AUSTRALIA5"/>
        <xdr:cNvSpPr>
          <a:spLocks noChangeAspect="1" noChangeArrowheads="1"/>
        </xdr:cNvSpPr>
      </xdr:nvSpPr>
      <xdr:spPr bwMode="auto">
        <a:xfrm>
          <a:off x="0" y="164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30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164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31" name="AutoShape 163" descr="AUSTRALIA5"/>
        <xdr:cNvSpPr>
          <a:spLocks noChangeAspect="1" noChangeArrowheads="1"/>
        </xdr:cNvSpPr>
      </xdr:nvSpPr>
      <xdr:spPr bwMode="auto">
        <a:xfrm>
          <a:off x="0" y="165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32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165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33" name="AutoShape 165" descr="AUSTRALIA5"/>
        <xdr:cNvSpPr>
          <a:spLocks noChangeAspect="1" noChangeArrowheads="1"/>
        </xdr:cNvSpPr>
      </xdr:nvSpPr>
      <xdr:spPr bwMode="auto">
        <a:xfrm>
          <a:off x="0" y="1675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34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1675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35" name="AutoShape 167" descr="AUSTRALIA5"/>
        <xdr:cNvSpPr>
          <a:spLocks noChangeAspect="1" noChangeArrowheads="1"/>
        </xdr:cNvSpPr>
      </xdr:nvSpPr>
      <xdr:spPr bwMode="auto">
        <a:xfrm>
          <a:off x="0" y="170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36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170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37" name="AutoShape 169" descr="AUSTRALIA5"/>
        <xdr:cNvSpPr>
          <a:spLocks noChangeAspect="1" noChangeArrowheads="1"/>
        </xdr:cNvSpPr>
      </xdr:nvSpPr>
      <xdr:spPr bwMode="auto">
        <a:xfrm>
          <a:off x="0" y="171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38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171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39" name="AutoShape 171" descr="AUSTRALIA6"/>
        <xdr:cNvSpPr>
          <a:spLocks noChangeAspect="1" noChangeArrowheads="1"/>
        </xdr:cNvSpPr>
      </xdr:nvSpPr>
      <xdr:spPr bwMode="auto">
        <a:xfrm>
          <a:off x="0" y="1743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40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1743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41" name="AutoShape 173" descr="AUSTRALIA6"/>
        <xdr:cNvSpPr>
          <a:spLocks noChangeAspect="1" noChangeArrowheads="1"/>
        </xdr:cNvSpPr>
      </xdr:nvSpPr>
      <xdr:spPr bwMode="auto">
        <a:xfrm>
          <a:off x="0" y="176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42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176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43" name="AutoShape 175" descr="AUSTRALIA6"/>
        <xdr:cNvSpPr>
          <a:spLocks noChangeAspect="1" noChangeArrowheads="1"/>
        </xdr:cNvSpPr>
      </xdr:nvSpPr>
      <xdr:spPr bwMode="auto">
        <a:xfrm>
          <a:off x="0" y="178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44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178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45" name="AutoShape 177" descr="AUSTRALIA6"/>
        <xdr:cNvSpPr>
          <a:spLocks noChangeAspect="1" noChangeArrowheads="1"/>
        </xdr:cNvSpPr>
      </xdr:nvSpPr>
      <xdr:spPr bwMode="auto">
        <a:xfrm>
          <a:off x="0" y="181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46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181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47" name="AutoShape 179" descr="AUSTRALIA6"/>
        <xdr:cNvSpPr>
          <a:spLocks noChangeAspect="1" noChangeArrowheads="1"/>
        </xdr:cNvSpPr>
      </xdr:nvSpPr>
      <xdr:spPr bwMode="auto">
        <a:xfrm>
          <a:off x="0" y="183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48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183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49" name="AutoShape 181" descr="AUSTRALIA6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50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51" name="AutoShape 183" descr="AUSTRALIA10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52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53" name="AutoShape 185" descr="AUSTRALIA10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54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55" name="AutoShape 187" descr="AUSTRALIA10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56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57" name="AutoShape 189" descr="AUSTRALIA11"/>
        <xdr:cNvSpPr>
          <a:spLocks noChangeAspect="1" noChangeArrowheads="1"/>
        </xdr:cNvSpPr>
      </xdr:nvSpPr>
      <xdr:spPr bwMode="auto">
        <a:xfrm>
          <a:off x="0" y="19621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58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196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59" name="AutoShape 191" descr="AUSTRALIA11"/>
        <xdr:cNvSpPr>
          <a:spLocks noChangeAspect="1" noChangeArrowheads="1"/>
        </xdr:cNvSpPr>
      </xdr:nvSpPr>
      <xdr:spPr bwMode="auto">
        <a:xfrm>
          <a:off x="0" y="1987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60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1987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61" name="AutoShape 193" descr="AUSTRALIA11"/>
        <xdr:cNvSpPr>
          <a:spLocks noChangeAspect="1" noChangeArrowheads="1"/>
        </xdr:cNvSpPr>
      </xdr:nvSpPr>
      <xdr:spPr bwMode="auto">
        <a:xfrm>
          <a:off x="0" y="2004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62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2004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63" name="AutoShape 195" descr="AUSTRALIA11"/>
        <xdr:cNvSpPr>
          <a:spLocks noChangeAspect="1" noChangeArrowheads="1"/>
        </xdr:cNvSpPr>
      </xdr:nvSpPr>
      <xdr:spPr bwMode="auto">
        <a:xfrm>
          <a:off x="0" y="2029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64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2029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65" name="AutoShape 197" descr="AUSTRIA"/>
        <xdr:cNvSpPr>
          <a:spLocks noChangeAspect="1" noChangeArrowheads="1"/>
        </xdr:cNvSpPr>
      </xdr:nvSpPr>
      <xdr:spPr bwMode="auto">
        <a:xfrm>
          <a:off x="0" y="2055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66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2055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67" name="AutoShape 199" descr="AUSTRIA"/>
        <xdr:cNvSpPr>
          <a:spLocks noChangeAspect="1" noChangeArrowheads="1"/>
        </xdr:cNvSpPr>
      </xdr:nvSpPr>
      <xdr:spPr bwMode="auto">
        <a:xfrm>
          <a:off x="0" y="2080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68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2080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69" name="AutoShape 201" descr="AUSTRIA2"/>
        <xdr:cNvSpPr>
          <a:spLocks noChangeAspect="1" noChangeArrowheads="1"/>
        </xdr:cNvSpPr>
      </xdr:nvSpPr>
      <xdr:spPr bwMode="auto">
        <a:xfrm>
          <a:off x="0" y="2097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70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2097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71" name="AutoShape 203" descr="AUSTRIA2"/>
        <xdr:cNvSpPr>
          <a:spLocks noChangeAspect="1" noChangeArrowheads="1"/>
        </xdr:cNvSpPr>
      </xdr:nvSpPr>
      <xdr:spPr bwMode="auto">
        <a:xfrm>
          <a:off x="0" y="2115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72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2115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73" name="AutoShape 205" descr="AUSTRIA2"/>
        <xdr:cNvSpPr>
          <a:spLocks noChangeAspect="1" noChangeArrowheads="1"/>
        </xdr:cNvSpPr>
      </xdr:nvSpPr>
      <xdr:spPr bwMode="auto">
        <a:xfrm>
          <a:off x="0" y="2140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74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2140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75" name="AutoShape 207" descr="AUSTRIA2"/>
        <xdr:cNvSpPr>
          <a:spLocks noChangeAspect="1" noChangeArrowheads="1"/>
        </xdr:cNvSpPr>
      </xdr:nvSpPr>
      <xdr:spPr bwMode="auto">
        <a:xfrm>
          <a:off x="0" y="2165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76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2165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77" name="AutoShape 209" descr="AUSTRIA2"/>
        <xdr:cNvSpPr>
          <a:spLocks noChangeAspect="1" noChangeArrowheads="1"/>
        </xdr:cNvSpPr>
      </xdr:nvSpPr>
      <xdr:spPr bwMode="auto">
        <a:xfrm>
          <a:off x="0" y="2183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78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2183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79" name="AutoShape 211" descr="BELARUS"/>
        <xdr:cNvSpPr>
          <a:spLocks noChangeAspect="1" noChangeArrowheads="1"/>
        </xdr:cNvSpPr>
      </xdr:nvSpPr>
      <xdr:spPr bwMode="auto">
        <a:xfrm>
          <a:off x="0" y="22006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80" name="AutoShape 212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2200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81" name="AutoShape 213" descr="BELARUS"/>
        <xdr:cNvSpPr>
          <a:spLocks noChangeAspect="1" noChangeArrowheads="1"/>
        </xdr:cNvSpPr>
      </xdr:nvSpPr>
      <xdr:spPr bwMode="auto">
        <a:xfrm>
          <a:off x="0" y="22181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82" name="AutoShape 214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22181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83" name="AutoShape 215" descr="BELARUS"/>
        <xdr:cNvSpPr>
          <a:spLocks noChangeAspect="1" noChangeArrowheads="1"/>
        </xdr:cNvSpPr>
      </xdr:nvSpPr>
      <xdr:spPr bwMode="auto">
        <a:xfrm>
          <a:off x="0" y="2243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84" name="AutoShape 216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2243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85" name="AutoShape 217" descr="BELGIUM"/>
        <xdr:cNvSpPr>
          <a:spLocks noChangeAspect="1" noChangeArrowheads="1"/>
        </xdr:cNvSpPr>
      </xdr:nvSpPr>
      <xdr:spPr bwMode="auto">
        <a:xfrm>
          <a:off x="0" y="2260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86" name="AutoShape 218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2260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87" name="AutoShape 219" descr="BELGIUM"/>
        <xdr:cNvSpPr>
          <a:spLocks noChangeAspect="1" noChangeArrowheads="1"/>
        </xdr:cNvSpPr>
      </xdr:nvSpPr>
      <xdr:spPr bwMode="auto">
        <a:xfrm>
          <a:off x="0" y="2286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88" name="AutoShape 220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2286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89" name="AutoShape 221" descr="BELGIUM"/>
        <xdr:cNvSpPr>
          <a:spLocks noChangeAspect="1" noChangeArrowheads="1"/>
        </xdr:cNvSpPr>
      </xdr:nvSpPr>
      <xdr:spPr bwMode="auto">
        <a:xfrm>
          <a:off x="0" y="2303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90" name="AutoShape 222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2303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91" name="AutoShape 223" descr="BELGIUM"/>
        <xdr:cNvSpPr>
          <a:spLocks noChangeAspect="1" noChangeArrowheads="1"/>
        </xdr:cNvSpPr>
      </xdr:nvSpPr>
      <xdr:spPr bwMode="auto">
        <a:xfrm>
          <a:off x="0" y="2321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92" name="AutoShape 224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2321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93" name="AutoShape 225" descr="BELGIUM2"/>
        <xdr:cNvSpPr>
          <a:spLocks noChangeAspect="1" noChangeArrowheads="1"/>
        </xdr:cNvSpPr>
      </xdr:nvSpPr>
      <xdr:spPr bwMode="auto">
        <a:xfrm>
          <a:off x="0" y="2338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94" name="AutoShape 226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2338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95" name="AutoShape 227" descr="BELGIUM2"/>
        <xdr:cNvSpPr>
          <a:spLocks noChangeAspect="1" noChangeArrowheads="1"/>
        </xdr:cNvSpPr>
      </xdr:nvSpPr>
      <xdr:spPr bwMode="auto">
        <a:xfrm>
          <a:off x="0" y="2356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96" name="AutoShape 228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2356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97" name="AutoShape 229" descr="BELGIUM2"/>
        <xdr:cNvSpPr>
          <a:spLocks noChangeAspect="1" noChangeArrowheads="1"/>
        </xdr:cNvSpPr>
      </xdr:nvSpPr>
      <xdr:spPr bwMode="auto">
        <a:xfrm>
          <a:off x="0" y="237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498" name="AutoShape 230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237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499" name="AutoShape 231" descr="BOSNIA"/>
        <xdr:cNvSpPr>
          <a:spLocks noChangeAspect="1" noChangeArrowheads="1"/>
        </xdr:cNvSpPr>
      </xdr:nvSpPr>
      <xdr:spPr bwMode="auto">
        <a:xfrm>
          <a:off x="0" y="2391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00" name="AutoShape 232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2391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01" name="AutoShape 233" descr="BOSNIA"/>
        <xdr:cNvSpPr>
          <a:spLocks noChangeAspect="1" noChangeArrowheads="1"/>
        </xdr:cNvSpPr>
      </xdr:nvSpPr>
      <xdr:spPr bwMode="auto">
        <a:xfrm>
          <a:off x="0" y="241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02" name="AutoShape 23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241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03" name="AutoShape 235" descr="BOSNIA"/>
        <xdr:cNvSpPr>
          <a:spLocks noChangeAspect="1" noChangeArrowheads="1"/>
        </xdr:cNvSpPr>
      </xdr:nvSpPr>
      <xdr:spPr bwMode="auto">
        <a:xfrm>
          <a:off x="0" y="2433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04" name="AutoShape 236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2433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05" name="AutoShape 237" descr="BOSNIA"/>
        <xdr:cNvSpPr>
          <a:spLocks noChangeAspect="1" noChangeArrowheads="1"/>
        </xdr:cNvSpPr>
      </xdr:nvSpPr>
      <xdr:spPr bwMode="auto">
        <a:xfrm>
          <a:off x="0" y="245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06" name="AutoShape 238" descr="https://www.soccerstats.com/img/own/sshplogo.png">
          <a:hlinkClick xmlns:r="http://schemas.openxmlformats.org/officeDocument/2006/relationships" r:id="rId119"/>
        </xdr:cNvPr>
        <xdr:cNvSpPr>
          <a:spLocks noChangeAspect="1" noChangeArrowheads="1"/>
        </xdr:cNvSpPr>
      </xdr:nvSpPr>
      <xdr:spPr bwMode="auto">
        <a:xfrm>
          <a:off x="13411200" y="245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07" name="AutoShape 239" descr="BOSNIA"/>
        <xdr:cNvSpPr>
          <a:spLocks noChangeAspect="1" noChangeArrowheads="1"/>
        </xdr:cNvSpPr>
      </xdr:nvSpPr>
      <xdr:spPr bwMode="auto">
        <a:xfrm>
          <a:off x="0" y="248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08" name="AutoShape 240" descr="https://www.soccerstats.com/img/own/sshplogo.png">
          <a:hlinkClick xmlns:r="http://schemas.openxmlformats.org/officeDocument/2006/relationships" r:id="rId120"/>
        </xdr:cNvPr>
        <xdr:cNvSpPr>
          <a:spLocks noChangeAspect="1" noChangeArrowheads="1"/>
        </xdr:cNvSpPr>
      </xdr:nvSpPr>
      <xdr:spPr bwMode="auto">
        <a:xfrm>
          <a:off x="13411200" y="248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09" name="AutoShape 241" descr="BRAZIL"/>
        <xdr:cNvSpPr>
          <a:spLocks noChangeAspect="1" noChangeArrowheads="1"/>
        </xdr:cNvSpPr>
      </xdr:nvSpPr>
      <xdr:spPr bwMode="auto">
        <a:xfrm>
          <a:off x="0" y="250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10" name="AutoShape 242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250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11" name="AutoShape 243" descr="BRAZIL"/>
        <xdr:cNvSpPr>
          <a:spLocks noChangeAspect="1" noChangeArrowheads="1"/>
        </xdr:cNvSpPr>
      </xdr:nvSpPr>
      <xdr:spPr bwMode="auto">
        <a:xfrm>
          <a:off x="0" y="251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12" name="AutoShape 244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251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13" name="AutoShape 245" descr="BRAZIL2"/>
        <xdr:cNvSpPr>
          <a:spLocks noChangeAspect="1" noChangeArrowheads="1"/>
        </xdr:cNvSpPr>
      </xdr:nvSpPr>
      <xdr:spPr bwMode="auto">
        <a:xfrm>
          <a:off x="0" y="253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14" name="AutoShape 246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253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15" name="AutoShape 247" descr="BRAZIL2"/>
        <xdr:cNvSpPr>
          <a:spLocks noChangeAspect="1" noChangeArrowheads="1"/>
        </xdr:cNvSpPr>
      </xdr:nvSpPr>
      <xdr:spPr bwMode="auto">
        <a:xfrm>
          <a:off x="0" y="255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16" name="AutoShape 248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255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17" name="AutoShape 249" descr="BRAZIL2"/>
        <xdr:cNvSpPr>
          <a:spLocks noChangeAspect="1" noChangeArrowheads="1"/>
        </xdr:cNvSpPr>
      </xdr:nvSpPr>
      <xdr:spPr bwMode="auto">
        <a:xfrm>
          <a:off x="0" y="257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18" name="AutoShape 250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257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19" name="AutoShape 251" descr="BRAZIL2"/>
        <xdr:cNvSpPr>
          <a:spLocks noChangeAspect="1" noChangeArrowheads="1"/>
        </xdr:cNvSpPr>
      </xdr:nvSpPr>
      <xdr:spPr bwMode="auto">
        <a:xfrm>
          <a:off x="0" y="258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20" name="AutoShape 252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258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21" name="AutoShape 253" descr="BRAZIL3"/>
        <xdr:cNvSpPr>
          <a:spLocks noChangeAspect="1" noChangeArrowheads="1"/>
        </xdr:cNvSpPr>
      </xdr:nvSpPr>
      <xdr:spPr bwMode="auto">
        <a:xfrm>
          <a:off x="0" y="2606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22" name="AutoShape 254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2606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23" name="AutoShape 255" descr="BRAZIL3"/>
        <xdr:cNvSpPr>
          <a:spLocks noChangeAspect="1" noChangeArrowheads="1"/>
        </xdr:cNvSpPr>
      </xdr:nvSpPr>
      <xdr:spPr bwMode="auto">
        <a:xfrm>
          <a:off x="0" y="2624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24" name="AutoShape 256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2624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25" name="AutoShape 257" descr="BRAZIL3"/>
        <xdr:cNvSpPr>
          <a:spLocks noChangeAspect="1" noChangeArrowheads="1"/>
        </xdr:cNvSpPr>
      </xdr:nvSpPr>
      <xdr:spPr bwMode="auto">
        <a:xfrm>
          <a:off x="0" y="2649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26" name="AutoShape 258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2649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27" name="AutoShape 259" descr="BRAZIL3"/>
        <xdr:cNvSpPr>
          <a:spLocks noChangeAspect="1" noChangeArrowheads="1"/>
        </xdr:cNvSpPr>
      </xdr:nvSpPr>
      <xdr:spPr bwMode="auto">
        <a:xfrm>
          <a:off x="0" y="2667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28" name="AutoShape 260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266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29" name="AutoShape 261" descr="BRAZIL5"/>
        <xdr:cNvSpPr>
          <a:spLocks noChangeAspect="1" noChangeArrowheads="1"/>
        </xdr:cNvSpPr>
      </xdr:nvSpPr>
      <xdr:spPr bwMode="auto">
        <a:xfrm>
          <a:off x="0" y="2684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30" name="AutoShape 262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2684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31" name="AutoShape 263" descr="BRAZIL5"/>
        <xdr:cNvSpPr>
          <a:spLocks noChangeAspect="1" noChangeArrowheads="1"/>
        </xdr:cNvSpPr>
      </xdr:nvSpPr>
      <xdr:spPr bwMode="auto">
        <a:xfrm>
          <a:off x="0" y="2709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32" name="AutoShape 264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2709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33" name="AutoShape 265" descr="BRAZIL5"/>
        <xdr:cNvSpPr>
          <a:spLocks noChangeAspect="1" noChangeArrowheads="1"/>
        </xdr:cNvSpPr>
      </xdr:nvSpPr>
      <xdr:spPr bwMode="auto">
        <a:xfrm>
          <a:off x="0" y="2734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34" name="AutoShape 266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2734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35" name="AutoShape 267" descr="BRAZIL5"/>
        <xdr:cNvSpPr>
          <a:spLocks noChangeAspect="1" noChangeArrowheads="1"/>
        </xdr:cNvSpPr>
      </xdr:nvSpPr>
      <xdr:spPr bwMode="auto">
        <a:xfrm>
          <a:off x="0" y="275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36" name="AutoShape 268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275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37" name="AutoShape 269" descr="BRAZIL5"/>
        <xdr:cNvSpPr>
          <a:spLocks noChangeAspect="1" noChangeArrowheads="1"/>
        </xdr:cNvSpPr>
      </xdr:nvSpPr>
      <xdr:spPr bwMode="auto">
        <a:xfrm>
          <a:off x="0" y="2785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38" name="AutoShape 270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2785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39" name="AutoShape 271" descr="BRAZIL5"/>
        <xdr:cNvSpPr>
          <a:spLocks noChangeAspect="1" noChangeArrowheads="1"/>
        </xdr:cNvSpPr>
      </xdr:nvSpPr>
      <xdr:spPr bwMode="auto">
        <a:xfrm>
          <a:off x="0" y="2802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40" name="AutoShape 272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2802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41" name="AutoShape 273" descr="BULGARIA"/>
        <xdr:cNvSpPr>
          <a:spLocks noChangeAspect="1" noChangeArrowheads="1"/>
        </xdr:cNvSpPr>
      </xdr:nvSpPr>
      <xdr:spPr bwMode="auto">
        <a:xfrm>
          <a:off x="0" y="2827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42" name="AutoShape 274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2827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43" name="AutoShape 275" descr="BULGARIA"/>
        <xdr:cNvSpPr>
          <a:spLocks noChangeAspect="1" noChangeArrowheads="1"/>
        </xdr:cNvSpPr>
      </xdr:nvSpPr>
      <xdr:spPr bwMode="auto">
        <a:xfrm>
          <a:off x="0" y="2845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44" name="AutoShape 276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2845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45" name="AutoShape 277" descr="CANADA"/>
        <xdr:cNvSpPr>
          <a:spLocks noChangeAspect="1" noChangeArrowheads="1"/>
        </xdr:cNvSpPr>
      </xdr:nvSpPr>
      <xdr:spPr bwMode="auto">
        <a:xfrm>
          <a:off x="0" y="286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46" name="AutoShape 278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286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47" name="AutoShape 279" descr="CANADA"/>
        <xdr:cNvSpPr>
          <a:spLocks noChangeAspect="1" noChangeArrowheads="1"/>
        </xdr:cNvSpPr>
      </xdr:nvSpPr>
      <xdr:spPr bwMode="auto">
        <a:xfrm>
          <a:off x="0" y="2880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48" name="AutoShape 280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2880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49" name="AutoShape 281" descr="CHILE"/>
        <xdr:cNvSpPr>
          <a:spLocks noChangeAspect="1" noChangeArrowheads="1"/>
        </xdr:cNvSpPr>
      </xdr:nvSpPr>
      <xdr:spPr bwMode="auto">
        <a:xfrm>
          <a:off x="0" y="2897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50" name="AutoShape 282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2897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51" name="AutoShape 283" descr="CHILE2"/>
        <xdr:cNvSpPr>
          <a:spLocks noChangeAspect="1" noChangeArrowheads="1"/>
        </xdr:cNvSpPr>
      </xdr:nvSpPr>
      <xdr:spPr bwMode="auto">
        <a:xfrm>
          <a:off x="0" y="29154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52" name="AutoShape 284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29154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53" name="AutoShape 285" descr="CHINA"/>
        <xdr:cNvSpPr>
          <a:spLocks noChangeAspect="1" noChangeArrowheads="1"/>
        </xdr:cNvSpPr>
      </xdr:nvSpPr>
      <xdr:spPr bwMode="auto">
        <a:xfrm>
          <a:off x="0" y="2932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54" name="AutoShape 286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2932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55" name="AutoShape 287" descr="CHINA"/>
        <xdr:cNvSpPr>
          <a:spLocks noChangeAspect="1" noChangeArrowheads="1"/>
        </xdr:cNvSpPr>
      </xdr:nvSpPr>
      <xdr:spPr bwMode="auto">
        <a:xfrm>
          <a:off x="0" y="2958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56" name="AutoShape 288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2958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57" name="AutoShape 289" descr="CHINA"/>
        <xdr:cNvSpPr>
          <a:spLocks noChangeAspect="1" noChangeArrowheads="1"/>
        </xdr:cNvSpPr>
      </xdr:nvSpPr>
      <xdr:spPr bwMode="auto">
        <a:xfrm>
          <a:off x="0" y="2983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58" name="AutoShape 290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2983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59" name="AutoShape 291" descr="CHINA"/>
        <xdr:cNvSpPr>
          <a:spLocks noChangeAspect="1" noChangeArrowheads="1"/>
        </xdr:cNvSpPr>
      </xdr:nvSpPr>
      <xdr:spPr bwMode="auto">
        <a:xfrm>
          <a:off x="0" y="3000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60" name="AutoShape 292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3000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61" name="AutoShape 293" descr="CHINA"/>
        <xdr:cNvSpPr>
          <a:spLocks noChangeAspect="1" noChangeArrowheads="1"/>
        </xdr:cNvSpPr>
      </xdr:nvSpPr>
      <xdr:spPr bwMode="auto">
        <a:xfrm>
          <a:off x="0" y="3018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62" name="AutoShape 294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3018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63" name="AutoShape 295" descr="CHINA2"/>
        <xdr:cNvSpPr>
          <a:spLocks noChangeAspect="1" noChangeArrowheads="1"/>
        </xdr:cNvSpPr>
      </xdr:nvSpPr>
      <xdr:spPr bwMode="auto">
        <a:xfrm>
          <a:off x="0" y="3043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64" name="AutoShape 296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3043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65" name="AutoShape 297" descr="CHINA2"/>
        <xdr:cNvSpPr>
          <a:spLocks noChangeAspect="1" noChangeArrowheads="1"/>
        </xdr:cNvSpPr>
      </xdr:nvSpPr>
      <xdr:spPr bwMode="auto">
        <a:xfrm>
          <a:off x="0" y="3068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66" name="AutoShape 298" descr="https://www.soccerstats.com/img/own/sshplogo.png">
          <a:hlinkClick xmlns:r="http://schemas.openxmlformats.org/officeDocument/2006/relationships" r:id="rId149"/>
        </xdr:cNvPr>
        <xdr:cNvSpPr>
          <a:spLocks noChangeAspect="1" noChangeArrowheads="1"/>
        </xdr:cNvSpPr>
      </xdr:nvSpPr>
      <xdr:spPr bwMode="auto">
        <a:xfrm>
          <a:off x="13411200" y="3068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67" name="AutoShape 299" descr="CHINA2"/>
        <xdr:cNvSpPr>
          <a:spLocks noChangeAspect="1" noChangeArrowheads="1"/>
        </xdr:cNvSpPr>
      </xdr:nvSpPr>
      <xdr:spPr bwMode="auto">
        <a:xfrm>
          <a:off x="0" y="30937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68" name="AutoShape 300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3093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69" name="AutoShape 301" descr="CHINA2"/>
        <xdr:cNvSpPr>
          <a:spLocks noChangeAspect="1" noChangeArrowheads="1"/>
        </xdr:cNvSpPr>
      </xdr:nvSpPr>
      <xdr:spPr bwMode="auto">
        <a:xfrm>
          <a:off x="0" y="3118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70" name="AutoShape 302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3118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71" name="AutoShape 303" descr="COLOMBIA2"/>
        <xdr:cNvSpPr>
          <a:spLocks noChangeAspect="1" noChangeArrowheads="1"/>
        </xdr:cNvSpPr>
      </xdr:nvSpPr>
      <xdr:spPr bwMode="auto">
        <a:xfrm>
          <a:off x="0" y="3144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72" name="AutoShape 304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3144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73" name="AutoShape 305" descr="COSTARICA"/>
        <xdr:cNvSpPr>
          <a:spLocks noChangeAspect="1" noChangeArrowheads="1"/>
        </xdr:cNvSpPr>
      </xdr:nvSpPr>
      <xdr:spPr bwMode="auto">
        <a:xfrm>
          <a:off x="0" y="3161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74" name="AutoShape 306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3161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75" name="AutoShape 307" descr="COSTARICA"/>
        <xdr:cNvSpPr>
          <a:spLocks noChangeAspect="1" noChangeArrowheads="1"/>
        </xdr:cNvSpPr>
      </xdr:nvSpPr>
      <xdr:spPr bwMode="auto">
        <a:xfrm>
          <a:off x="0" y="3179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76" name="AutoShape 308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3179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77" name="AutoShape 309" descr="CROATIA"/>
        <xdr:cNvSpPr>
          <a:spLocks noChangeAspect="1" noChangeArrowheads="1"/>
        </xdr:cNvSpPr>
      </xdr:nvSpPr>
      <xdr:spPr bwMode="auto">
        <a:xfrm>
          <a:off x="0" y="3196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78" name="AutoShape 310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3196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79" name="AutoShape 311" descr="CROATIA"/>
        <xdr:cNvSpPr>
          <a:spLocks noChangeAspect="1" noChangeArrowheads="1"/>
        </xdr:cNvSpPr>
      </xdr:nvSpPr>
      <xdr:spPr bwMode="auto">
        <a:xfrm>
          <a:off x="0" y="3221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80" name="AutoShape 312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3221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81" name="AutoShape 313" descr="CZECHREPUBLIC"/>
        <xdr:cNvSpPr>
          <a:spLocks noChangeAspect="1" noChangeArrowheads="1"/>
        </xdr:cNvSpPr>
      </xdr:nvSpPr>
      <xdr:spPr bwMode="auto">
        <a:xfrm>
          <a:off x="0" y="3239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82" name="AutoShape 314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3239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83" name="AutoShape 315" descr="CZECHREPUBLIC"/>
        <xdr:cNvSpPr>
          <a:spLocks noChangeAspect="1" noChangeArrowheads="1"/>
        </xdr:cNvSpPr>
      </xdr:nvSpPr>
      <xdr:spPr bwMode="auto">
        <a:xfrm>
          <a:off x="0" y="3256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84" name="AutoShape 316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3256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85" name="AutoShape 317" descr="CZECHREPUBLIC"/>
        <xdr:cNvSpPr>
          <a:spLocks noChangeAspect="1" noChangeArrowheads="1"/>
        </xdr:cNvSpPr>
      </xdr:nvSpPr>
      <xdr:spPr bwMode="auto">
        <a:xfrm>
          <a:off x="0" y="327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86" name="AutoShape 318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327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87" name="AutoShape 319" descr="CZECHREPUBLIC"/>
        <xdr:cNvSpPr>
          <a:spLocks noChangeAspect="1" noChangeArrowheads="1"/>
        </xdr:cNvSpPr>
      </xdr:nvSpPr>
      <xdr:spPr bwMode="auto">
        <a:xfrm>
          <a:off x="0" y="329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88" name="AutoShape 320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329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89" name="AutoShape 321" descr="CZECHREPUBLIC"/>
        <xdr:cNvSpPr>
          <a:spLocks noChangeAspect="1" noChangeArrowheads="1"/>
        </xdr:cNvSpPr>
      </xdr:nvSpPr>
      <xdr:spPr bwMode="auto">
        <a:xfrm>
          <a:off x="0" y="332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90" name="AutoShape 322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332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91" name="AutoShape 323" descr="CZECHREPUBLIC"/>
        <xdr:cNvSpPr>
          <a:spLocks noChangeAspect="1" noChangeArrowheads="1"/>
        </xdr:cNvSpPr>
      </xdr:nvSpPr>
      <xdr:spPr bwMode="auto">
        <a:xfrm>
          <a:off x="0" y="334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92" name="AutoShape 324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334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93" name="AutoShape 325" descr="CZECHREPUBLIC"/>
        <xdr:cNvSpPr>
          <a:spLocks noChangeAspect="1" noChangeArrowheads="1"/>
        </xdr:cNvSpPr>
      </xdr:nvSpPr>
      <xdr:spPr bwMode="auto">
        <a:xfrm>
          <a:off x="0" y="3367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94" name="AutoShape 326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3367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95" name="AutoShape 327" descr="CZECHREPUBLIC"/>
        <xdr:cNvSpPr>
          <a:spLocks noChangeAspect="1" noChangeArrowheads="1"/>
        </xdr:cNvSpPr>
      </xdr:nvSpPr>
      <xdr:spPr bwMode="auto">
        <a:xfrm>
          <a:off x="0" y="3384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96" name="AutoShape 328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3384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97" name="AutoShape 329" descr="CZECHREPUBLIC2"/>
        <xdr:cNvSpPr>
          <a:spLocks noChangeAspect="1" noChangeArrowheads="1"/>
        </xdr:cNvSpPr>
      </xdr:nvSpPr>
      <xdr:spPr bwMode="auto">
        <a:xfrm>
          <a:off x="0" y="3409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598" name="AutoShape 330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340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599" name="AutoShape 331" descr="CZECHREPUBLIC2"/>
        <xdr:cNvSpPr>
          <a:spLocks noChangeAspect="1" noChangeArrowheads="1"/>
        </xdr:cNvSpPr>
      </xdr:nvSpPr>
      <xdr:spPr bwMode="auto">
        <a:xfrm>
          <a:off x="0" y="3435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00" name="AutoShape 332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3435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01" name="AutoShape 333" descr="CZECHREPUBLIC2"/>
        <xdr:cNvSpPr>
          <a:spLocks noChangeAspect="1" noChangeArrowheads="1"/>
        </xdr:cNvSpPr>
      </xdr:nvSpPr>
      <xdr:spPr bwMode="auto">
        <a:xfrm>
          <a:off x="0" y="3452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02" name="AutoShape 334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3452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03" name="AutoShape 335" descr="CZECHREPUBLIC2"/>
        <xdr:cNvSpPr>
          <a:spLocks noChangeAspect="1" noChangeArrowheads="1"/>
        </xdr:cNvSpPr>
      </xdr:nvSpPr>
      <xdr:spPr bwMode="auto">
        <a:xfrm>
          <a:off x="0" y="3477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04" name="AutoShape 336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3477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05" name="AutoShape 337" descr="DENMARK2"/>
        <xdr:cNvSpPr>
          <a:spLocks noChangeAspect="1" noChangeArrowheads="1"/>
        </xdr:cNvSpPr>
      </xdr:nvSpPr>
      <xdr:spPr bwMode="auto">
        <a:xfrm>
          <a:off x="0" y="3495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06" name="AutoShape 338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3495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07" name="AutoShape 339" descr="DENMARK2"/>
        <xdr:cNvSpPr>
          <a:spLocks noChangeAspect="1" noChangeArrowheads="1"/>
        </xdr:cNvSpPr>
      </xdr:nvSpPr>
      <xdr:spPr bwMode="auto">
        <a:xfrm>
          <a:off x="0" y="3520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08" name="AutoShape 340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3520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09" name="AutoShape 341" descr="DENMARK2"/>
        <xdr:cNvSpPr>
          <a:spLocks noChangeAspect="1" noChangeArrowheads="1"/>
        </xdr:cNvSpPr>
      </xdr:nvSpPr>
      <xdr:spPr bwMode="auto">
        <a:xfrm>
          <a:off x="0" y="3537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10" name="AutoShape 342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3537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11" name="AutoShape 343" descr="DENMARK3"/>
        <xdr:cNvSpPr>
          <a:spLocks noChangeAspect="1" noChangeArrowheads="1"/>
        </xdr:cNvSpPr>
      </xdr:nvSpPr>
      <xdr:spPr bwMode="auto">
        <a:xfrm>
          <a:off x="0" y="3555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12" name="AutoShape 344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3555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13" name="AutoShape 345" descr="DENMARK3"/>
        <xdr:cNvSpPr>
          <a:spLocks noChangeAspect="1" noChangeArrowheads="1"/>
        </xdr:cNvSpPr>
      </xdr:nvSpPr>
      <xdr:spPr bwMode="auto">
        <a:xfrm>
          <a:off x="0" y="3573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14" name="AutoShape 346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3573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15" name="AutoShape 347" descr="ECUADOR"/>
        <xdr:cNvSpPr>
          <a:spLocks noChangeAspect="1" noChangeArrowheads="1"/>
        </xdr:cNvSpPr>
      </xdr:nvSpPr>
      <xdr:spPr bwMode="auto">
        <a:xfrm>
          <a:off x="0" y="3590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16" name="AutoShape 348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3590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17" name="AutoShape 349" descr="ECUADOR"/>
        <xdr:cNvSpPr>
          <a:spLocks noChangeAspect="1" noChangeArrowheads="1"/>
        </xdr:cNvSpPr>
      </xdr:nvSpPr>
      <xdr:spPr bwMode="auto">
        <a:xfrm>
          <a:off x="0" y="3608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18" name="AutoShape 350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360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19" name="AutoShape 351" descr="ECUADOR"/>
        <xdr:cNvSpPr>
          <a:spLocks noChangeAspect="1" noChangeArrowheads="1"/>
        </xdr:cNvSpPr>
      </xdr:nvSpPr>
      <xdr:spPr bwMode="auto">
        <a:xfrm>
          <a:off x="0" y="3625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20" name="AutoShape 352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3625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21" name="AutoShape 353" descr="ENGLAND6"/>
        <xdr:cNvSpPr>
          <a:spLocks noChangeAspect="1" noChangeArrowheads="1"/>
        </xdr:cNvSpPr>
      </xdr:nvSpPr>
      <xdr:spPr bwMode="auto">
        <a:xfrm>
          <a:off x="0" y="3650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22" name="AutoShape 354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3650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23" name="AutoShape 355" descr="ENGLAND6"/>
        <xdr:cNvSpPr>
          <a:spLocks noChangeAspect="1" noChangeArrowheads="1"/>
        </xdr:cNvSpPr>
      </xdr:nvSpPr>
      <xdr:spPr bwMode="auto">
        <a:xfrm>
          <a:off x="0" y="3675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24" name="AutoShape 356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3675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25" name="AutoShape 357" descr="ENGLAND6"/>
        <xdr:cNvSpPr>
          <a:spLocks noChangeAspect="1" noChangeArrowheads="1"/>
        </xdr:cNvSpPr>
      </xdr:nvSpPr>
      <xdr:spPr bwMode="auto">
        <a:xfrm>
          <a:off x="0" y="3701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26" name="AutoShape 358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3701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27" name="AutoShape 359" descr="ENGLAND6"/>
        <xdr:cNvSpPr>
          <a:spLocks noChangeAspect="1" noChangeArrowheads="1"/>
        </xdr:cNvSpPr>
      </xdr:nvSpPr>
      <xdr:spPr bwMode="auto">
        <a:xfrm>
          <a:off x="0" y="3718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28" name="AutoShape 360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3718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29" name="AutoShape 361" descr="ENGLAND6"/>
        <xdr:cNvSpPr>
          <a:spLocks noChangeAspect="1" noChangeArrowheads="1"/>
        </xdr:cNvSpPr>
      </xdr:nvSpPr>
      <xdr:spPr bwMode="auto">
        <a:xfrm>
          <a:off x="0" y="3743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30" name="AutoShape 362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3743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31" name="AutoShape 363" descr="ENGLAND6"/>
        <xdr:cNvSpPr>
          <a:spLocks noChangeAspect="1" noChangeArrowheads="1"/>
        </xdr:cNvSpPr>
      </xdr:nvSpPr>
      <xdr:spPr bwMode="auto">
        <a:xfrm>
          <a:off x="0" y="3761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32" name="AutoShape 364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3761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33" name="AutoShape 365" descr="ENGLAND6"/>
        <xdr:cNvSpPr>
          <a:spLocks noChangeAspect="1" noChangeArrowheads="1"/>
        </xdr:cNvSpPr>
      </xdr:nvSpPr>
      <xdr:spPr bwMode="auto">
        <a:xfrm>
          <a:off x="0" y="3778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34" name="AutoShape 366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3778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35" name="AutoShape 367" descr="ENGLAND6"/>
        <xdr:cNvSpPr>
          <a:spLocks noChangeAspect="1" noChangeArrowheads="1"/>
        </xdr:cNvSpPr>
      </xdr:nvSpPr>
      <xdr:spPr bwMode="auto">
        <a:xfrm>
          <a:off x="0" y="3796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36" name="AutoShape 368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3796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37" name="AutoShape 369" descr="ENGLAND6"/>
        <xdr:cNvSpPr>
          <a:spLocks noChangeAspect="1" noChangeArrowheads="1"/>
        </xdr:cNvSpPr>
      </xdr:nvSpPr>
      <xdr:spPr bwMode="auto">
        <a:xfrm>
          <a:off x="0" y="3813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38" name="AutoShape 370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3813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39" name="AutoShape 371" descr="ENGLAND6"/>
        <xdr:cNvSpPr>
          <a:spLocks noChangeAspect="1" noChangeArrowheads="1"/>
        </xdr:cNvSpPr>
      </xdr:nvSpPr>
      <xdr:spPr bwMode="auto">
        <a:xfrm>
          <a:off x="0" y="3831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40" name="AutoShape 372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3831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41" name="AutoShape 373" descr="ENGLAND6"/>
        <xdr:cNvSpPr>
          <a:spLocks noChangeAspect="1" noChangeArrowheads="1"/>
        </xdr:cNvSpPr>
      </xdr:nvSpPr>
      <xdr:spPr bwMode="auto">
        <a:xfrm>
          <a:off x="0" y="3848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42" name="AutoShape 374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3848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43" name="AutoShape 375" descr="ENGLAND6"/>
        <xdr:cNvSpPr>
          <a:spLocks noChangeAspect="1" noChangeArrowheads="1"/>
        </xdr:cNvSpPr>
      </xdr:nvSpPr>
      <xdr:spPr bwMode="auto">
        <a:xfrm>
          <a:off x="0" y="3874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44" name="AutoShape 376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3874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45" name="AutoShape 377" descr="ENGLAND7"/>
        <xdr:cNvSpPr>
          <a:spLocks noChangeAspect="1" noChangeArrowheads="1"/>
        </xdr:cNvSpPr>
      </xdr:nvSpPr>
      <xdr:spPr bwMode="auto">
        <a:xfrm>
          <a:off x="0" y="3899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46" name="AutoShape 378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3899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47" name="AutoShape 379" descr="ENGLAND7"/>
        <xdr:cNvSpPr>
          <a:spLocks noChangeAspect="1" noChangeArrowheads="1"/>
        </xdr:cNvSpPr>
      </xdr:nvSpPr>
      <xdr:spPr bwMode="auto">
        <a:xfrm>
          <a:off x="0" y="3924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48" name="AutoShape 380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392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49" name="AutoShape 381" descr="ENGLAND7"/>
        <xdr:cNvSpPr>
          <a:spLocks noChangeAspect="1" noChangeArrowheads="1"/>
        </xdr:cNvSpPr>
      </xdr:nvSpPr>
      <xdr:spPr bwMode="auto">
        <a:xfrm>
          <a:off x="0" y="3949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50" name="AutoShape 382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3949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51" name="AutoShape 383" descr="ENGLAND7"/>
        <xdr:cNvSpPr>
          <a:spLocks noChangeAspect="1" noChangeArrowheads="1"/>
        </xdr:cNvSpPr>
      </xdr:nvSpPr>
      <xdr:spPr bwMode="auto">
        <a:xfrm>
          <a:off x="0" y="3974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52" name="AutoShape 384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397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53" name="AutoShape 385" descr="ENGLAND7"/>
        <xdr:cNvSpPr>
          <a:spLocks noChangeAspect="1" noChangeArrowheads="1"/>
        </xdr:cNvSpPr>
      </xdr:nvSpPr>
      <xdr:spPr bwMode="auto">
        <a:xfrm>
          <a:off x="0" y="3999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54" name="AutoShape 386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3999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55" name="AutoShape 387" descr="ENGLAND7"/>
        <xdr:cNvSpPr>
          <a:spLocks noChangeAspect="1" noChangeArrowheads="1"/>
        </xdr:cNvSpPr>
      </xdr:nvSpPr>
      <xdr:spPr bwMode="auto">
        <a:xfrm>
          <a:off x="0" y="4017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56" name="AutoShape 388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4017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57" name="AutoShape 389" descr="ENGLAND7"/>
        <xdr:cNvSpPr>
          <a:spLocks noChangeAspect="1" noChangeArrowheads="1"/>
        </xdr:cNvSpPr>
      </xdr:nvSpPr>
      <xdr:spPr bwMode="auto">
        <a:xfrm>
          <a:off x="0" y="4042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58" name="AutoShape 390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404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59" name="AutoShape 391" descr="ENGLAND7"/>
        <xdr:cNvSpPr>
          <a:spLocks noChangeAspect="1" noChangeArrowheads="1"/>
        </xdr:cNvSpPr>
      </xdr:nvSpPr>
      <xdr:spPr bwMode="auto">
        <a:xfrm>
          <a:off x="0" y="4059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60" name="AutoShape 392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4059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61" name="AutoShape 393" descr="ENGLAND7"/>
        <xdr:cNvSpPr>
          <a:spLocks noChangeAspect="1" noChangeArrowheads="1"/>
        </xdr:cNvSpPr>
      </xdr:nvSpPr>
      <xdr:spPr bwMode="auto">
        <a:xfrm>
          <a:off x="0" y="4085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62" name="AutoShape 394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4085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63" name="AutoShape 395" descr="ENGLAND7"/>
        <xdr:cNvSpPr>
          <a:spLocks noChangeAspect="1" noChangeArrowheads="1"/>
        </xdr:cNvSpPr>
      </xdr:nvSpPr>
      <xdr:spPr bwMode="auto">
        <a:xfrm>
          <a:off x="0" y="4102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64" name="AutoShape 396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410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65" name="AutoShape 397" descr="ENGLAND7"/>
        <xdr:cNvSpPr>
          <a:spLocks noChangeAspect="1" noChangeArrowheads="1"/>
        </xdr:cNvSpPr>
      </xdr:nvSpPr>
      <xdr:spPr bwMode="auto">
        <a:xfrm>
          <a:off x="0" y="412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66" name="AutoShape 398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412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67" name="AutoShape 399" descr="ENGLAND8"/>
        <xdr:cNvSpPr>
          <a:spLocks noChangeAspect="1" noChangeArrowheads="1"/>
        </xdr:cNvSpPr>
      </xdr:nvSpPr>
      <xdr:spPr bwMode="auto">
        <a:xfrm>
          <a:off x="0" y="4152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68" name="AutoShape 400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415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69" name="AutoShape 401" descr="ENGLAND8"/>
        <xdr:cNvSpPr>
          <a:spLocks noChangeAspect="1" noChangeArrowheads="1"/>
        </xdr:cNvSpPr>
      </xdr:nvSpPr>
      <xdr:spPr bwMode="auto">
        <a:xfrm>
          <a:off x="0" y="41704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70" name="AutoShape 402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41704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71" name="AutoShape 403" descr="ENGLAND8"/>
        <xdr:cNvSpPr>
          <a:spLocks noChangeAspect="1" noChangeArrowheads="1"/>
        </xdr:cNvSpPr>
      </xdr:nvSpPr>
      <xdr:spPr bwMode="auto">
        <a:xfrm>
          <a:off x="0" y="4187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72" name="AutoShape 404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4187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73" name="AutoShape 405" descr="ENGLAND8"/>
        <xdr:cNvSpPr>
          <a:spLocks noChangeAspect="1" noChangeArrowheads="1"/>
        </xdr:cNvSpPr>
      </xdr:nvSpPr>
      <xdr:spPr bwMode="auto">
        <a:xfrm>
          <a:off x="0" y="4213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74" name="AutoShape 406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4213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75" name="AutoShape 407" descr="ENGLAND8"/>
        <xdr:cNvSpPr>
          <a:spLocks noChangeAspect="1" noChangeArrowheads="1"/>
        </xdr:cNvSpPr>
      </xdr:nvSpPr>
      <xdr:spPr bwMode="auto">
        <a:xfrm>
          <a:off x="0" y="4238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76" name="AutoShape 408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4238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77" name="AutoShape 409" descr="ENGLAND8"/>
        <xdr:cNvSpPr>
          <a:spLocks noChangeAspect="1" noChangeArrowheads="1"/>
        </xdr:cNvSpPr>
      </xdr:nvSpPr>
      <xdr:spPr bwMode="auto">
        <a:xfrm>
          <a:off x="0" y="4263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78" name="AutoShape 410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4263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79" name="AutoShape 411" descr="ENGLAND8"/>
        <xdr:cNvSpPr>
          <a:spLocks noChangeAspect="1" noChangeArrowheads="1"/>
        </xdr:cNvSpPr>
      </xdr:nvSpPr>
      <xdr:spPr bwMode="auto">
        <a:xfrm>
          <a:off x="0" y="4288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80" name="AutoShape 412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4288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81" name="AutoShape 413" descr="ENGLAND8"/>
        <xdr:cNvSpPr>
          <a:spLocks noChangeAspect="1" noChangeArrowheads="1"/>
        </xdr:cNvSpPr>
      </xdr:nvSpPr>
      <xdr:spPr bwMode="auto">
        <a:xfrm>
          <a:off x="0" y="4306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82" name="AutoShape 414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4306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83" name="AutoShape 415" descr="ENGLAND8"/>
        <xdr:cNvSpPr>
          <a:spLocks noChangeAspect="1" noChangeArrowheads="1"/>
        </xdr:cNvSpPr>
      </xdr:nvSpPr>
      <xdr:spPr bwMode="auto">
        <a:xfrm>
          <a:off x="0" y="4323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84" name="AutoShape 416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4323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85" name="AutoShape 417" descr="ENGLAND8"/>
        <xdr:cNvSpPr>
          <a:spLocks noChangeAspect="1" noChangeArrowheads="1"/>
        </xdr:cNvSpPr>
      </xdr:nvSpPr>
      <xdr:spPr bwMode="auto">
        <a:xfrm>
          <a:off x="0" y="4341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86" name="AutoShape 418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4341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87" name="AutoShape 419" descr="ENGLAND8"/>
        <xdr:cNvSpPr>
          <a:spLocks noChangeAspect="1" noChangeArrowheads="1"/>
        </xdr:cNvSpPr>
      </xdr:nvSpPr>
      <xdr:spPr bwMode="auto">
        <a:xfrm>
          <a:off x="0" y="4366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88" name="AutoShape 420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4366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89" name="AutoShape 421" descr="ENGLAND9"/>
        <xdr:cNvSpPr>
          <a:spLocks noChangeAspect="1" noChangeArrowheads="1"/>
        </xdr:cNvSpPr>
      </xdr:nvSpPr>
      <xdr:spPr bwMode="auto">
        <a:xfrm>
          <a:off x="0" y="4383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90" name="AutoShape 422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4383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91" name="AutoShape 423" descr="ENGLAND9"/>
        <xdr:cNvSpPr>
          <a:spLocks noChangeAspect="1" noChangeArrowheads="1"/>
        </xdr:cNvSpPr>
      </xdr:nvSpPr>
      <xdr:spPr bwMode="auto">
        <a:xfrm>
          <a:off x="0" y="4408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92" name="AutoShape 424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4408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93" name="AutoShape 425" descr="ENGLAND9"/>
        <xdr:cNvSpPr>
          <a:spLocks noChangeAspect="1" noChangeArrowheads="1"/>
        </xdr:cNvSpPr>
      </xdr:nvSpPr>
      <xdr:spPr bwMode="auto">
        <a:xfrm>
          <a:off x="0" y="4434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94" name="AutoShape 426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4434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95" name="AutoShape 427" descr="ENGLAND9"/>
        <xdr:cNvSpPr>
          <a:spLocks noChangeAspect="1" noChangeArrowheads="1"/>
        </xdr:cNvSpPr>
      </xdr:nvSpPr>
      <xdr:spPr bwMode="auto">
        <a:xfrm>
          <a:off x="0" y="4451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96" name="AutoShape 428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4451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97" name="AutoShape 429" descr="ENGLAND9"/>
        <xdr:cNvSpPr>
          <a:spLocks noChangeAspect="1" noChangeArrowheads="1"/>
        </xdr:cNvSpPr>
      </xdr:nvSpPr>
      <xdr:spPr bwMode="auto">
        <a:xfrm>
          <a:off x="0" y="4476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698" name="AutoShape 430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699" name="AutoShape 431" descr="ENGLAND9"/>
        <xdr:cNvSpPr>
          <a:spLocks noChangeAspect="1" noChangeArrowheads="1"/>
        </xdr:cNvSpPr>
      </xdr:nvSpPr>
      <xdr:spPr bwMode="auto">
        <a:xfrm>
          <a:off x="0" y="4501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00" name="AutoShape 432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4501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01" name="AutoShape 433" descr="ENGLAND9"/>
        <xdr:cNvSpPr>
          <a:spLocks noChangeAspect="1" noChangeArrowheads="1"/>
        </xdr:cNvSpPr>
      </xdr:nvSpPr>
      <xdr:spPr bwMode="auto">
        <a:xfrm>
          <a:off x="0" y="4527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02" name="AutoShape 434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4527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03" name="AutoShape 435" descr="ENGLAND9"/>
        <xdr:cNvSpPr>
          <a:spLocks noChangeAspect="1" noChangeArrowheads="1"/>
        </xdr:cNvSpPr>
      </xdr:nvSpPr>
      <xdr:spPr bwMode="auto">
        <a:xfrm>
          <a:off x="0" y="4552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04" name="AutoShape 436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4552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05" name="AutoShape 437" descr="ENGLAND9"/>
        <xdr:cNvSpPr>
          <a:spLocks noChangeAspect="1" noChangeArrowheads="1"/>
        </xdr:cNvSpPr>
      </xdr:nvSpPr>
      <xdr:spPr bwMode="auto">
        <a:xfrm>
          <a:off x="0" y="4569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06" name="AutoShape 438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4569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07" name="AutoShape 439" descr="ENGLAND9"/>
        <xdr:cNvSpPr>
          <a:spLocks noChangeAspect="1" noChangeArrowheads="1"/>
        </xdr:cNvSpPr>
      </xdr:nvSpPr>
      <xdr:spPr bwMode="auto">
        <a:xfrm>
          <a:off x="0" y="4594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08" name="AutoShape 440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4594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09" name="AutoShape 441" descr="ENGLAND10"/>
        <xdr:cNvSpPr>
          <a:spLocks noChangeAspect="1" noChangeArrowheads="1"/>
        </xdr:cNvSpPr>
      </xdr:nvSpPr>
      <xdr:spPr bwMode="auto">
        <a:xfrm>
          <a:off x="0" y="4612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10" name="AutoShape 442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4612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11" name="AutoShape 443" descr="ENGLAND10"/>
        <xdr:cNvSpPr>
          <a:spLocks noChangeAspect="1" noChangeArrowheads="1"/>
        </xdr:cNvSpPr>
      </xdr:nvSpPr>
      <xdr:spPr bwMode="auto">
        <a:xfrm>
          <a:off x="0" y="4637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12" name="AutoShape 444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4637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13" name="AutoShape 445" descr="ENGLAND10"/>
        <xdr:cNvSpPr>
          <a:spLocks noChangeAspect="1" noChangeArrowheads="1"/>
        </xdr:cNvSpPr>
      </xdr:nvSpPr>
      <xdr:spPr bwMode="auto">
        <a:xfrm>
          <a:off x="0" y="4655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14" name="AutoShape 446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4655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15" name="AutoShape 447" descr="ENGLAND10"/>
        <xdr:cNvSpPr>
          <a:spLocks noChangeAspect="1" noChangeArrowheads="1"/>
        </xdr:cNvSpPr>
      </xdr:nvSpPr>
      <xdr:spPr bwMode="auto">
        <a:xfrm>
          <a:off x="0" y="468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16" name="AutoShape 448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468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17" name="AutoShape 449" descr="ENGLAND10"/>
        <xdr:cNvSpPr>
          <a:spLocks noChangeAspect="1" noChangeArrowheads="1"/>
        </xdr:cNvSpPr>
      </xdr:nvSpPr>
      <xdr:spPr bwMode="auto">
        <a:xfrm>
          <a:off x="0" y="4705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18" name="AutoShape 450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470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19" name="AutoShape 451" descr="ENGLAND10"/>
        <xdr:cNvSpPr>
          <a:spLocks noChangeAspect="1" noChangeArrowheads="1"/>
        </xdr:cNvSpPr>
      </xdr:nvSpPr>
      <xdr:spPr bwMode="auto">
        <a:xfrm>
          <a:off x="0" y="4722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20" name="AutoShape 452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4722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21" name="AutoShape 453" descr="ENGLAND10"/>
        <xdr:cNvSpPr>
          <a:spLocks noChangeAspect="1" noChangeArrowheads="1"/>
        </xdr:cNvSpPr>
      </xdr:nvSpPr>
      <xdr:spPr bwMode="auto">
        <a:xfrm>
          <a:off x="0" y="474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22" name="AutoShape 454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474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23" name="AutoShape 455" descr="ENGLAND10"/>
        <xdr:cNvSpPr>
          <a:spLocks noChangeAspect="1" noChangeArrowheads="1"/>
        </xdr:cNvSpPr>
      </xdr:nvSpPr>
      <xdr:spPr bwMode="auto">
        <a:xfrm>
          <a:off x="0" y="477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24" name="AutoShape 456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477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25" name="AutoShape 457" descr="ENGLAND10"/>
        <xdr:cNvSpPr>
          <a:spLocks noChangeAspect="1" noChangeArrowheads="1"/>
        </xdr:cNvSpPr>
      </xdr:nvSpPr>
      <xdr:spPr bwMode="auto">
        <a:xfrm>
          <a:off x="0" y="4790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26" name="AutoShape 458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4790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27" name="AutoShape 459" descr="ENGLAND10"/>
        <xdr:cNvSpPr>
          <a:spLocks noChangeAspect="1" noChangeArrowheads="1"/>
        </xdr:cNvSpPr>
      </xdr:nvSpPr>
      <xdr:spPr bwMode="auto">
        <a:xfrm>
          <a:off x="0" y="481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28" name="AutoShape 460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481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29" name="AutoShape 461" descr="ENGLAND10"/>
        <xdr:cNvSpPr>
          <a:spLocks noChangeAspect="1" noChangeArrowheads="1"/>
        </xdr:cNvSpPr>
      </xdr:nvSpPr>
      <xdr:spPr bwMode="auto">
        <a:xfrm>
          <a:off x="0" y="484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30" name="AutoShape 462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484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31" name="AutoShape 463" descr="ESTONIA2"/>
        <xdr:cNvSpPr>
          <a:spLocks noChangeAspect="1" noChangeArrowheads="1"/>
        </xdr:cNvSpPr>
      </xdr:nvSpPr>
      <xdr:spPr bwMode="auto">
        <a:xfrm>
          <a:off x="0" y="486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32" name="AutoShape 464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486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33" name="AutoShape 465" descr="ESTONIA2"/>
        <xdr:cNvSpPr>
          <a:spLocks noChangeAspect="1" noChangeArrowheads="1"/>
        </xdr:cNvSpPr>
      </xdr:nvSpPr>
      <xdr:spPr bwMode="auto">
        <a:xfrm>
          <a:off x="0" y="488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34" name="AutoShape 466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488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35" name="AutoShape 467" descr="ESTONIA2"/>
        <xdr:cNvSpPr>
          <a:spLocks noChangeAspect="1" noChangeArrowheads="1"/>
        </xdr:cNvSpPr>
      </xdr:nvSpPr>
      <xdr:spPr bwMode="auto">
        <a:xfrm>
          <a:off x="0" y="490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36" name="AutoShape 468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490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37" name="AutoShape 469" descr="ESTONIA2"/>
        <xdr:cNvSpPr>
          <a:spLocks noChangeAspect="1" noChangeArrowheads="1"/>
        </xdr:cNvSpPr>
      </xdr:nvSpPr>
      <xdr:spPr bwMode="auto">
        <a:xfrm>
          <a:off x="0" y="491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38" name="AutoShape 470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491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39" name="AutoShape 471" descr="FINLAND"/>
        <xdr:cNvSpPr>
          <a:spLocks noChangeAspect="1" noChangeArrowheads="1"/>
        </xdr:cNvSpPr>
      </xdr:nvSpPr>
      <xdr:spPr bwMode="auto">
        <a:xfrm>
          <a:off x="0" y="493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40" name="AutoShape 472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493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41" name="AutoShape 473" descr="FINLAND2"/>
        <xdr:cNvSpPr>
          <a:spLocks noChangeAspect="1" noChangeArrowheads="1"/>
        </xdr:cNvSpPr>
      </xdr:nvSpPr>
      <xdr:spPr bwMode="auto">
        <a:xfrm>
          <a:off x="0" y="495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42" name="AutoShape 474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495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43" name="AutoShape 475" descr="FINLAND2"/>
        <xdr:cNvSpPr>
          <a:spLocks noChangeAspect="1" noChangeArrowheads="1"/>
        </xdr:cNvSpPr>
      </xdr:nvSpPr>
      <xdr:spPr bwMode="auto">
        <a:xfrm>
          <a:off x="0" y="497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44" name="AutoShape 476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497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45" name="AutoShape 477" descr="FINLAND2"/>
        <xdr:cNvSpPr>
          <a:spLocks noChangeAspect="1" noChangeArrowheads="1"/>
        </xdr:cNvSpPr>
      </xdr:nvSpPr>
      <xdr:spPr bwMode="auto">
        <a:xfrm>
          <a:off x="0" y="4988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46" name="AutoShape 478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4988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47" name="AutoShape 479" descr="FINLAND3"/>
        <xdr:cNvSpPr>
          <a:spLocks noChangeAspect="1" noChangeArrowheads="1"/>
        </xdr:cNvSpPr>
      </xdr:nvSpPr>
      <xdr:spPr bwMode="auto">
        <a:xfrm>
          <a:off x="0" y="5006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48" name="AutoShape 480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5006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49" name="AutoShape 481" descr="FINLAND3"/>
        <xdr:cNvSpPr>
          <a:spLocks noChangeAspect="1" noChangeArrowheads="1"/>
        </xdr:cNvSpPr>
      </xdr:nvSpPr>
      <xdr:spPr bwMode="auto">
        <a:xfrm>
          <a:off x="0" y="5023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50" name="AutoShape 482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5023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51" name="AutoShape 483" descr="FINLAND3"/>
        <xdr:cNvSpPr>
          <a:spLocks noChangeAspect="1" noChangeArrowheads="1"/>
        </xdr:cNvSpPr>
      </xdr:nvSpPr>
      <xdr:spPr bwMode="auto">
        <a:xfrm>
          <a:off x="0" y="504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52" name="AutoShape 484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504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53" name="AutoShape 485" descr="FINLAND4"/>
        <xdr:cNvSpPr>
          <a:spLocks noChangeAspect="1" noChangeArrowheads="1"/>
        </xdr:cNvSpPr>
      </xdr:nvSpPr>
      <xdr:spPr bwMode="auto">
        <a:xfrm>
          <a:off x="0" y="5058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54" name="AutoShape 486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5058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55" name="AutoShape 487" descr="FINLAND4"/>
        <xdr:cNvSpPr>
          <a:spLocks noChangeAspect="1" noChangeArrowheads="1"/>
        </xdr:cNvSpPr>
      </xdr:nvSpPr>
      <xdr:spPr bwMode="auto">
        <a:xfrm>
          <a:off x="0" y="5076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56" name="AutoShape 488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5076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57" name="AutoShape 489" descr="FINLAND4"/>
        <xdr:cNvSpPr>
          <a:spLocks noChangeAspect="1" noChangeArrowheads="1"/>
        </xdr:cNvSpPr>
      </xdr:nvSpPr>
      <xdr:spPr bwMode="auto">
        <a:xfrm>
          <a:off x="0" y="5093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58" name="AutoShape 490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5093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59" name="AutoShape 491" descr="FINLAND5"/>
        <xdr:cNvSpPr>
          <a:spLocks noChangeAspect="1" noChangeArrowheads="1"/>
        </xdr:cNvSpPr>
      </xdr:nvSpPr>
      <xdr:spPr bwMode="auto">
        <a:xfrm>
          <a:off x="0" y="511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60" name="AutoShape 492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511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61" name="AutoShape 493" descr="FINLAND5"/>
        <xdr:cNvSpPr>
          <a:spLocks noChangeAspect="1" noChangeArrowheads="1"/>
        </xdr:cNvSpPr>
      </xdr:nvSpPr>
      <xdr:spPr bwMode="auto">
        <a:xfrm>
          <a:off x="0" y="5129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62" name="AutoShape 494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5129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63" name="AutoShape 495" descr="FINLAND5"/>
        <xdr:cNvSpPr>
          <a:spLocks noChangeAspect="1" noChangeArrowheads="1"/>
        </xdr:cNvSpPr>
      </xdr:nvSpPr>
      <xdr:spPr bwMode="auto">
        <a:xfrm>
          <a:off x="0" y="5146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64" name="AutoShape 496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5146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65" name="AutoShape 497" descr="FINLAND5"/>
        <xdr:cNvSpPr>
          <a:spLocks noChangeAspect="1" noChangeArrowheads="1"/>
        </xdr:cNvSpPr>
      </xdr:nvSpPr>
      <xdr:spPr bwMode="auto">
        <a:xfrm>
          <a:off x="0" y="516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66" name="AutoShape 498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516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67" name="AutoShape 499" descr="FINLAND5"/>
        <xdr:cNvSpPr>
          <a:spLocks noChangeAspect="1" noChangeArrowheads="1"/>
        </xdr:cNvSpPr>
      </xdr:nvSpPr>
      <xdr:spPr bwMode="auto">
        <a:xfrm>
          <a:off x="0" y="518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68" name="AutoShape 500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518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69" name="AutoShape 501" descr="FINLAND6"/>
        <xdr:cNvSpPr>
          <a:spLocks noChangeAspect="1" noChangeArrowheads="1"/>
        </xdr:cNvSpPr>
      </xdr:nvSpPr>
      <xdr:spPr bwMode="auto">
        <a:xfrm>
          <a:off x="0" y="5199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70" name="AutoShape 502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5199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71" name="AutoShape 503" descr="FINLAND6"/>
        <xdr:cNvSpPr>
          <a:spLocks noChangeAspect="1" noChangeArrowheads="1"/>
        </xdr:cNvSpPr>
      </xdr:nvSpPr>
      <xdr:spPr bwMode="auto">
        <a:xfrm>
          <a:off x="0" y="5216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72" name="AutoShape 504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5216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73" name="AutoShape 505" descr="FINLAND6"/>
        <xdr:cNvSpPr>
          <a:spLocks noChangeAspect="1" noChangeArrowheads="1"/>
        </xdr:cNvSpPr>
      </xdr:nvSpPr>
      <xdr:spPr bwMode="auto">
        <a:xfrm>
          <a:off x="0" y="5234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74" name="AutoShape 506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5234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75" name="AutoShape 507" descr="GEORGIA"/>
        <xdr:cNvSpPr>
          <a:spLocks noChangeAspect="1" noChangeArrowheads="1"/>
        </xdr:cNvSpPr>
      </xdr:nvSpPr>
      <xdr:spPr bwMode="auto">
        <a:xfrm>
          <a:off x="0" y="5251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76" name="AutoShape 508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5251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77" name="AutoShape 509" descr="GEORGIA"/>
        <xdr:cNvSpPr>
          <a:spLocks noChangeAspect="1" noChangeArrowheads="1"/>
        </xdr:cNvSpPr>
      </xdr:nvSpPr>
      <xdr:spPr bwMode="auto">
        <a:xfrm>
          <a:off x="0" y="5276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78" name="AutoShape 510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79" name="AutoShape 511" descr="GERMANY3"/>
        <xdr:cNvSpPr>
          <a:spLocks noChangeAspect="1" noChangeArrowheads="1"/>
        </xdr:cNvSpPr>
      </xdr:nvSpPr>
      <xdr:spPr bwMode="auto">
        <a:xfrm>
          <a:off x="0" y="530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80" name="AutoShape 512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530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81" name="AutoShape 513" descr="GERMANY3"/>
        <xdr:cNvSpPr>
          <a:spLocks noChangeAspect="1" noChangeArrowheads="1"/>
        </xdr:cNvSpPr>
      </xdr:nvSpPr>
      <xdr:spPr bwMode="auto">
        <a:xfrm>
          <a:off x="0" y="5327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82" name="AutoShape 514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5327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83" name="AutoShape 515" descr="GERMANY3"/>
        <xdr:cNvSpPr>
          <a:spLocks noChangeAspect="1" noChangeArrowheads="1"/>
        </xdr:cNvSpPr>
      </xdr:nvSpPr>
      <xdr:spPr bwMode="auto">
        <a:xfrm>
          <a:off x="0" y="5344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84" name="AutoShape 516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5344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85" name="AutoShape 517" descr="GERMANY3"/>
        <xdr:cNvSpPr>
          <a:spLocks noChangeAspect="1" noChangeArrowheads="1"/>
        </xdr:cNvSpPr>
      </xdr:nvSpPr>
      <xdr:spPr bwMode="auto">
        <a:xfrm>
          <a:off x="0" y="536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86" name="AutoShape 518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536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87" name="AutoShape 519" descr="GERMANY3"/>
        <xdr:cNvSpPr>
          <a:spLocks noChangeAspect="1" noChangeArrowheads="1"/>
        </xdr:cNvSpPr>
      </xdr:nvSpPr>
      <xdr:spPr bwMode="auto">
        <a:xfrm>
          <a:off x="0" y="538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88" name="AutoShape 520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538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89" name="AutoShape 521" descr="GERMANY3"/>
        <xdr:cNvSpPr>
          <a:spLocks noChangeAspect="1" noChangeArrowheads="1"/>
        </xdr:cNvSpPr>
      </xdr:nvSpPr>
      <xdr:spPr bwMode="auto">
        <a:xfrm>
          <a:off x="0" y="540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90" name="AutoShape 522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540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91" name="AutoShape 523" descr="GERMANY4"/>
        <xdr:cNvSpPr>
          <a:spLocks noChangeAspect="1" noChangeArrowheads="1"/>
        </xdr:cNvSpPr>
      </xdr:nvSpPr>
      <xdr:spPr bwMode="auto">
        <a:xfrm>
          <a:off x="0" y="5430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92" name="AutoShape 524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5430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93" name="AutoShape 525" descr="GERMANY4"/>
        <xdr:cNvSpPr>
          <a:spLocks noChangeAspect="1" noChangeArrowheads="1"/>
        </xdr:cNvSpPr>
      </xdr:nvSpPr>
      <xdr:spPr bwMode="auto">
        <a:xfrm>
          <a:off x="0" y="5447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94" name="AutoShape 526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5447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95" name="AutoShape 527" descr="GERMANY4"/>
        <xdr:cNvSpPr>
          <a:spLocks noChangeAspect="1" noChangeArrowheads="1"/>
        </xdr:cNvSpPr>
      </xdr:nvSpPr>
      <xdr:spPr bwMode="auto">
        <a:xfrm>
          <a:off x="0" y="5472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96" name="AutoShape 528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5472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97" name="AutoShape 529" descr="GERMANY4"/>
        <xdr:cNvSpPr>
          <a:spLocks noChangeAspect="1" noChangeArrowheads="1"/>
        </xdr:cNvSpPr>
      </xdr:nvSpPr>
      <xdr:spPr bwMode="auto">
        <a:xfrm>
          <a:off x="0" y="5490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798" name="AutoShape 530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549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799" name="AutoShape 531" descr="GERMANY5"/>
        <xdr:cNvSpPr>
          <a:spLocks noChangeAspect="1" noChangeArrowheads="1"/>
        </xdr:cNvSpPr>
      </xdr:nvSpPr>
      <xdr:spPr bwMode="auto">
        <a:xfrm>
          <a:off x="0" y="5515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00" name="AutoShape 532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5515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01" name="AutoShape 533" descr="GERMANY5"/>
        <xdr:cNvSpPr>
          <a:spLocks noChangeAspect="1" noChangeArrowheads="1"/>
        </xdr:cNvSpPr>
      </xdr:nvSpPr>
      <xdr:spPr bwMode="auto">
        <a:xfrm>
          <a:off x="0" y="5532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02" name="AutoShape 534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5532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03" name="AutoShape 535" descr="GERMANY5"/>
        <xdr:cNvSpPr>
          <a:spLocks noChangeAspect="1" noChangeArrowheads="1"/>
        </xdr:cNvSpPr>
      </xdr:nvSpPr>
      <xdr:spPr bwMode="auto">
        <a:xfrm>
          <a:off x="0" y="555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04" name="AutoShape 536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555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05" name="AutoShape 537" descr="GERMANY6"/>
        <xdr:cNvSpPr>
          <a:spLocks noChangeAspect="1" noChangeArrowheads="1"/>
        </xdr:cNvSpPr>
      </xdr:nvSpPr>
      <xdr:spPr bwMode="auto">
        <a:xfrm>
          <a:off x="0" y="5575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06" name="AutoShape 538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5575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07" name="AutoShape 539" descr="GERMANY6"/>
        <xdr:cNvSpPr>
          <a:spLocks noChangeAspect="1" noChangeArrowheads="1"/>
        </xdr:cNvSpPr>
      </xdr:nvSpPr>
      <xdr:spPr bwMode="auto">
        <a:xfrm>
          <a:off x="0" y="5593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08" name="AutoShape 540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559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09" name="AutoShape 541" descr="GERMANY6"/>
        <xdr:cNvSpPr>
          <a:spLocks noChangeAspect="1" noChangeArrowheads="1"/>
        </xdr:cNvSpPr>
      </xdr:nvSpPr>
      <xdr:spPr bwMode="auto">
        <a:xfrm>
          <a:off x="0" y="561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10" name="AutoShape 542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561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11" name="AutoShape 543" descr="GERMANY6"/>
        <xdr:cNvSpPr>
          <a:spLocks noChangeAspect="1" noChangeArrowheads="1"/>
        </xdr:cNvSpPr>
      </xdr:nvSpPr>
      <xdr:spPr bwMode="auto">
        <a:xfrm>
          <a:off x="0" y="5635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12" name="AutoShape 544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5635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13" name="AutoShape 545" descr="GERMANY7"/>
        <xdr:cNvSpPr>
          <a:spLocks noChangeAspect="1" noChangeArrowheads="1"/>
        </xdr:cNvSpPr>
      </xdr:nvSpPr>
      <xdr:spPr bwMode="auto">
        <a:xfrm>
          <a:off x="0" y="5660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14" name="AutoShape 546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5660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15" name="AutoShape 547" descr="GERMANY7"/>
        <xdr:cNvSpPr>
          <a:spLocks noChangeAspect="1" noChangeArrowheads="1"/>
        </xdr:cNvSpPr>
      </xdr:nvSpPr>
      <xdr:spPr bwMode="auto">
        <a:xfrm>
          <a:off x="0" y="567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16" name="AutoShape 548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567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17" name="AutoShape 549" descr="GERMANY7"/>
        <xdr:cNvSpPr>
          <a:spLocks noChangeAspect="1" noChangeArrowheads="1"/>
        </xdr:cNvSpPr>
      </xdr:nvSpPr>
      <xdr:spPr bwMode="auto">
        <a:xfrm>
          <a:off x="0" y="569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18" name="AutoShape 550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56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19" name="AutoShape 551" descr="GERMANY7"/>
        <xdr:cNvSpPr>
          <a:spLocks noChangeAspect="1" noChangeArrowheads="1"/>
        </xdr:cNvSpPr>
      </xdr:nvSpPr>
      <xdr:spPr bwMode="auto">
        <a:xfrm>
          <a:off x="0" y="5721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20" name="AutoShape 552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5721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21" name="AutoShape 553" descr="GERMANY7"/>
        <xdr:cNvSpPr>
          <a:spLocks noChangeAspect="1" noChangeArrowheads="1"/>
        </xdr:cNvSpPr>
      </xdr:nvSpPr>
      <xdr:spPr bwMode="auto">
        <a:xfrm>
          <a:off x="0" y="5738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22" name="AutoShape 554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5738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23" name="AutoShape 555" descr="GUATEMALA"/>
        <xdr:cNvSpPr>
          <a:spLocks noChangeAspect="1" noChangeArrowheads="1"/>
        </xdr:cNvSpPr>
      </xdr:nvSpPr>
      <xdr:spPr bwMode="auto">
        <a:xfrm>
          <a:off x="0" y="57561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24" name="AutoShape 556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57561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25" name="AutoShape 557" descr="GUATEMALA"/>
        <xdr:cNvSpPr>
          <a:spLocks noChangeAspect="1" noChangeArrowheads="1"/>
        </xdr:cNvSpPr>
      </xdr:nvSpPr>
      <xdr:spPr bwMode="auto">
        <a:xfrm>
          <a:off x="0" y="5781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26" name="AutoShape 558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5781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27" name="AutoShape 559" descr="HUNGARY"/>
        <xdr:cNvSpPr>
          <a:spLocks noChangeAspect="1" noChangeArrowheads="1"/>
        </xdr:cNvSpPr>
      </xdr:nvSpPr>
      <xdr:spPr bwMode="auto">
        <a:xfrm>
          <a:off x="0" y="57988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28" name="AutoShape 560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57988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29" name="AutoShape 561" descr="HUNGARY"/>
        <xdr:cNvSpPr>
          <a:spLocks noChangeAspect="1" noChangeArrowheads="1"/>
        </xdr:cNvSpPr>
      </xdr:nvSpPr>
      <xdr:spPr bwMode="auto">
        <a:xfrm>
          <a:off x="0" y="5823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30" name="AutoShape 562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5823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31" name="AutoShape 563" descr="HUNGARY2"/>
        <xdr:cNvSpPr>
          <a:spLocks noChangeAspect="1" noChangeArrowheads="1"/>
        </xdr:cNvSpPr>
      </xdr:nvSpPr>
      <xdr:spPr bwMode="auto">
        <a:xfrm>
          <a:off x="0" y="5841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32" name="AutoShape 564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5841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33" name="AutoShape 565" descr="HUNGARY2"/>
        <xdr:cNvSpPr>
          <a:spLocks noChangeAspect="1" noChangeArrowheads="1"/>
        </xdr:cNvSpPr>
      </xdr:nvSpPr>
      <xdr:spPr bwMode="auto">
        <a:xfrm>
          <a:off x="0" y="5859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34" name="AutoShape 566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5859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35" name="AutoShape 567" descr="HUNGARY2"/>
        <xdr:cNvSpPr>
          <a:spLocks noChangeAspect="1" noChangeArrowheads="1"/>
        </xdr:cNvSpPr>
      </xdr:nvSpPr>
      <xdr:spPr bwMode="auto">
        <a:xfrm>
          <a:off x="0" y="5876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36" name="AutoShape 568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5876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37" name="AutoShape 569" descr="HUNGARY2"/>
        <xdr:cNvSpPr>
          <a:spLocks noChangeAspect="1" noChangeArrowheads="1"/>
        </xdr:cNvSpPr>
      </xdr:nvSpPr>
      <xdr:spPr bwMode="auto">
        <a:xfrm>
          <a:off x="0" y="5901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38" name="AutoShape 570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5901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39" name="AutoShape 571" descr="HUNGARY2"/>
        <xdr:cNvSpPr>
          <a:spLocks noChangeAspect="1" noChangeArrowheads="1"/>
        </xdr:cNvSpPr>
      </xdr:nvSpPr>
      <xdr:spPr bwMode="auto">
        <a:xfrm>
          <a:off x="0" y="5919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40" name="AutoShape 572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5919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41" name="AutoShape 573" descr="HUNGARY2"/>
        <xdr:cNvSpPr>
          <a:spLocks noChangeAspect="1" noChangeArrowheads="1"/>
        </xdr:cNvSpPr>
      </xdr:nvSpPr>
      <xdr:spPr bwMode="auto">
        <a:xfrm>
          <a:off x="0" y="5944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42" name="AutoShape 574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5944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43" name="AutoShape 575" descr="ICELAND"/>
        <xdr:cNvSpPr>
          <a:spLocks noChangeAspect="1" noChangeArrowheads="1"/>
        </xdr:cNvSpPr>
      </xdr:nvSpPr>
      <xdr:spPr bwMode="auto">
        <a:xfrm>
          <a:off x="0" y="5961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44" name="AutoShape 576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5961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45" name="AutoShape 577" descr="ICELAND3"/>
        <xdr:cNvSpPr>
          <a:spLocks noChangeAspect="1" noChangeArrowheads="1"/>
        </xdr:cNvSpPr>
      </xdr:nvSpPr>
      <xdr:spPr bwMode="auto">
        <a:xfrm>
          <a:off x="0" y="5979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46" name="AutoShape 578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5979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47" name="AutoShape 579" descr="ICELAND3"/>
        <xdr:cNvSpPr>
          <a:spLocks noChangeAspect="1" noChangeArrowheads="1"/>
        </xdr:cNvSpPr>
      </xdr:nvSpPr>
      <xdr:spPr bwMode="auto">
        <a:xfrm>
          <a:off x="0" y="5996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48" name="AutoShape 580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5996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49" name="AutoShape 581" descr="ICELAND3"/>
        <xdr:cNvSpPr>
          <a:spLocks noChangeAspect="1" noChangeArrowheads="1"/>
        </xdr:cNvSpPr>
      </xdr:nvSpPr>
      <xdr:spPr bwMode="auto">
        <a:xfrm>
          <a:off x="0" y="6014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50" name="AutoShape 582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6014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51" name="AutoShape 583" descr="ICELAND3"/>
        <xdr:cNvSpPr>
          <a:spLocks noChangeAspect="1" noChangeArrowheads="1"/>
        </xdr:cNvSpPr>
      </xdr:nvSpPr>
      <xdr:spPr bwMode="auto">
        <a:xfrm>
          <a:off x="0" y="6039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52" name="AutoShape 584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6039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53" name="AutoShape 585" descr="ICELAND3"/>
        <xdr:cNvSpPr>
          <a:spLocks noChangeAspect="1" noChangeArrowheads="1"/>
        </xdr:cNvSpPr>
      </xdr:nvSpPr>
      <xdr:spPr bwMode="auto">
        <a:xfrm>
          <a:off x="0" y="6057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54" name="AutoShape 586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6057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55" name="AutoShape 587" descr="IRELAND3"/>
        <xdr:cNvSpPr>
          <a:spLocks noChangeAspect="1" noChangeArrowheads="1"/>
        </xdr:cNvSpPr>
      </xdr:nvSpPr>
      <xdr:spPr bwMode="auto">
        <a:xfrm>
          <a:off x="0" y="6082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56" name="AutoShape 588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6082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57" name="AutoShape 589" descr="IRELAND3"/>
        <xdr:cNvSpPr>
          <a:spLocks noChangeAspect="1" noChangeArrowheads="1"/>
        </xdr:cNvSpPr>
      </xdr:nvSpPr>
      <xdr:spPr bwMode="auto">
        <a:xfrm>
          <a:off x="0" y="6099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58" name="AutoShape 590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6099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59" name="AutoShape 591" descr="IRELAND3"/>
        <xdr:cNvSpPr>
          <a:spLocks noChangeAspect="1" noChangeArrowheads="1"/>
        </xdr:cNvSpPr>
      </xdr:nvSpPr>
      <xdr:spPr bwMode="auto">
        <a:xfrm>
          <a:off x="0" y="6124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60" name="AutoShape 592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6124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61" name="AutoShape 593" descr="IRELAND3"/>
        <xdr:cNvSpPr>
          <a:spLocks noChangeAspect="1" noChangeArrowheads="1"/>
        </xdr:cNvSpPr>
      </xdr:nvSpPr>
      <xdr:spPr bwMode="auto">
        <a:xfrm>
          <a:off x="0" y="6150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62" name="AutoShape 594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6150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63" name="AutoShape 595" descr="IRELAND3"/>
        <xdr:cNvSpPr>
          <a:spLocks noChangeAspect="1" noChangeArrowheads="1"/>
        </xdr:cNvSpPr>
      </xdr:nvSpPr>
      <xdr:spPr bwMode="auto">
        <a:xfrm>
          <a:off x="0" y="6175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64" name="AutoShape 596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6175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65" name="AutoShape 597" descr="IRELAND3"/>
        <xdr:cNvSpPr>
          <a:spLocks noChangeAspect="1" noChangeArrowheads="1"/>
        </xdr:cNvSpPr>
      </xdr:nvSpPr>
      <xdr:spPr bwMode="auto">
        <a:xfrm>
          <a:off x="0" y="6192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66" name="AutoShape 598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6192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67" name="AutoShape 599" descr="JAPAN"/>
        <xdr:cNvSpPr>
          <a:spLocks noChangeAspect="1" noChangeArrowheads="1"/>
        </xdr:cNvSpPr>
      </xdr:nvSpPr>
      <xdr:spPr bwMode="auto">
        <a:xfrm>
          <a:off x="0" y="6217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68" name="AutoShape 600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6217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69" name="AutoShape 601" descr="JAPAN"/>
        <xdr:cNvSpPr>
          <a:spLocks noChangeAspect="1" noChangeArrowheads="1"/>
        </xdr:cNvSpPr>
      </xdr:nvSpPr>
      <xdr:spPr bwMode="auto">
        <a:xfrm>
          <a:off x="0" y="6243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70" name="AutoShape 602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6243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71" name="AutoShape 603" descr="JAPAN"/>
        <xdr:cNvSpPr>
          <a:spLocks noChangeAspect="1" noChangeArrowheads="1"/>
        </xdr:cNvSpPr>
      </xdr:nvSpPr>
      <xdr:spPr bwMode="auto">
        <a:xfrm>
          <a:off x="0" y="6268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72" name="AutoShape 604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6268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73" name="AutoShape 605" descr="JAPAN"/>
        <xdr:cNvSpPr>
          <a:spLocks noChangeAspect="1" noChangeArrowheads="1"/>
        </xdr:cNvSpPr>
      </xdr:nvSpPr>
      <xdr:spPr bwMode="auto">
        <a:xfrm>
          <a:off x="0" y="6293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74" name="AutoShape 606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6293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75" name="AutoShape 607" descr="JAPAN"/>
        <xdr:cNvSpPr>
          <a:spLocks noChangeAspect="1" noChangeArrowheads="1"/>
        </xdr:cNvSpPr>
      </xdr:nvSpPr>
      <xdr:spPr bwMode="auto">
        <a:xfrm>
          <a:off x="0" y="631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76" name="AutoShape 608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631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77" name="AutoShape 609" descr="JAPAN"/>
        <xdr:cNvSpPr>
          <a:spLocks noChangeAspect="1" noChangeArrowheads="1"/>
        </xdr:cNvSpPr>
      </xdr:nvSpPr>
      <xdr:spPr bwMode="auto">
        <a:xfrm>
          <a:off x="0" y="6343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78" name="AutoShape 610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634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79" name="AutoShape 611" descr="JAPAN"/>
        <xdr:cNvSpPr>
          <a:spLocks noChangeAspect="1" noChangeArrowheads="1"/>
        </xdr:cNvSpPr>
      </xdr:nvSpPr>
      <xdr:spPr bwMode="auto">
        <a:xfrm>
          <a:off x="0" y="6368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80" name="AutoShape 612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6368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81" name="AutoShape 613" descr="JAPAN"/>
        <xdr:cNvSpPr>
          <a:spLocks noChangeAspect="1" noChangeArrowheads="1"/>
        </xdr:cNvSpPr>
      </xdr:nvSpPr>
      <xdr:spPr bwMode="auto">
        <a:xfrm>
          <a:off x="0" y="6386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82" name="AutoShape 614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6386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83" name="AutoShape 615" descr="JAPAN"/>
        <xdr:cNvSpPr>
          <a:spLocks noChangeAspect="1" noChangeArrowheads="1"/>
        </xdr:cNvSpPr>
      </xdr:nvSpPr>
      <xdr:spPr bwMode="auto">
        <a:xfrm>
          <a:off x="0" y="6403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84" name="AutoShape 616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6403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85" name="AutoShape 617" descr="JAPAN2"/>
        <xdr:cNvSpPr>
          <a:spLocks noChangeAspect="1" noChangeArrowheads="1"/>
        </xdr:cNvSpPr>
      </xdr:nvSpPr>
      <xdr:spPr bwMode="auto">
        <a:xfrm>
          <a:off x="0" y="6421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86" name="AutoShape 618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6421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87" name="AutoShape 619" descr="JAPAN2"/>
        <xdr:cNvSpPr>
          <a:spLocks noChangeAspect="1" noChangeArrowheads="1"/>
        </xdr:cNvSpPr>
      </xdr:nvSpPr>
      <xdr:spPr bwMode="auto">
        <a:xfrm>
          <a:off x="0" y="6446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88" name="AutoShape 620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6446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89" name="AutoShape 621" descr="JAPAN2"/>
        <xdr:cNvSpPr>
          <a:spLocks noChangeAspect="1" noChangeArrowheads="1"/>
        </xdr:cNvSpPr>
      </xdr:nvSpPr>
      <xdr:spPr bwMode="auto">
        <a:xfrm>
          <a:off x="0" y="6464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90" name="AutoShape 622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6464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91" name="AutoShape 623" descr="JAPAN2"/>
        <xdr:cNvSpPr>
          <a:spLocks noChangeAspect="1" noChangeArrowheads="1"/>
        </xdr:cNvSpPr>
      </xdr:nvSpPr>
      <xdr:spPr bwMode="auto">
        <a:xfrm>
          <a:off x="0" y="64815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92" name="AutoShape 624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64815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93" name="AutoShape 625" descr="JAPAN2"/>
        <xdr:cNvSpPr>
          <a:spLocks noChangeAspect="1" noChangeArrowheads="1"/>
        </xdr:cNvSpPr>
      </xdr:nvSpPr>
      <xdr:spPr bwMode="auto">
        <a:xfrm>
          <a:off x="0" y="6506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94" name="AutoShape 626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6506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95" name="AutoShape 627" descr="JAPAN2"/>
        <xdr:cNvSpPr>
          <a:spLocks noChangeAspect="1" noChangeArrowheads="1"/>
        </xdr:cNvSpPr>
      </xdr:nvSpPr>
      <xdr:spPr bwMode="auto">
        <a:xfrm>
          <a:off x="0" y="6524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96" name="AutoShape 628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6524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97" name="AutoShape 629" descr="JAPAN2"/>
        <xdr:cNvSpPr>
          <a:spLocks noChangeAspect="1" noChangeArrowheads="1"/>
        </xdr:cNvSpPr>
      </xdr:nvSpPr>
      <xdr:spPr bwMode="auto">
        <a:xfrm>
          <a:off x="0" y="654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898" name="AutoShape 630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654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899" name="AutoShape 631" descr="JAPAN2"/>
        <xdr:cNvSpPr>
          <a:spLocks noChangeAspect="1" noChangeArrowheads="1"/>
        </xdr:cNvSpPr>
      </xdr:nvSpPr>
      <xdr:spPr bwMode="auto">
        <a:xfrm>
          <a:off x="0" y="6574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00" name="AutoShape 632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6574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01" name="AutoShape 633" descr="JAPAN3"/>
        <xdr:cNvSpPr>
          <a:spLocks noChangeAspect="1" noChangeArrowheads="1"/>
        </xdr:cNvSpPr>
      </xdr:nvSpPr>
      <xdr:spPr bwMode="auto">
        <a:xfrm>
          <a:off x="0" y="659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02" name="AutoShape 634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659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03" name="AutoShape 635" descr="JAPAN3"/>
        <xdr:cNvSpPr>
          <a:spLocks noChangeAspect="1" noChangeArrowheads="1"/>
        </xdr:cNvSpPr>
      </xdr:nvSpPr>
      <xdr:spPr bwMode="auto">
        <a:xfrm>
          <a:off x="0" y="6624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04" name="AutoShape 636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6624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05" name="AutoShape 637" descr="JAPAN3"/>
        <xdr:cNvSpPr>
          <a:spLocks noChangeAspect="1" noChangeArrowheads="1"/>
        </xdr:cNvSpPr>
      </xdr:nvSpPr>
      <xdr:spPr bwMode="auto">
        <a:xfrm>
          <a:off x="0" y="664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06" name="AutoShape 638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664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07" name="AutoShape 639" descr="JAPAN3"/>
        <xdr:cNvSpPr>
          <a:spLocks noChangeAspect="1" noChangeArrowheads="1"/>
        </xdr:cNvSpPr>
      </xdr:nvSpPr>
      <xdr:spPr bwMode="auto">
        <a:xfrm>
          <a:off x="0" y="6667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08" name="AutoShape 640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6667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09" name="AutoShape 641" descr="JAPAN3"/>
        <xdr:cNvSpPr>
          <a:spLocks noChangeAspect="1" noChangeArrowheads="1"/>
        </xdr:cNvSpPr>
      </xdr:nvSpPr>
      <xdr:spPr bwMode="auto">
        <a:xfrm>
          <a:off x="0" y="6685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10" name="AutoShape 642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6685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11" name="AutoShape 643" descr="JAPAN3"/>
        <xdr:cNvSpPr>
          <a:spLocks noChangeAspect="1" noChangeArrowheads="1"/>
        </xdr:cNvSpPr>
      </xdr:nvSpPr>
      <xdr:spPr bwMode="auto">
        <a:xfrm>
          <a:off x="0" y="670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12" name="AutoShape 644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670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13" name="AutoShape 645" descr="KAZAKHSTAN"/>
        <xdr:cNvSpPr>
          <a:spLocks noChangeAspect="1" noChangeArrowheads="1"/>
        </xdr:cNvSpPr>
      </xdr:nvSpPr>
      <xdr:spPr bwMode="auto">
        <a:xfrm>
          <a:off x="0" y="6727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14" name="AutoShape 646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6727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15" name="AutoShape 647" descr="KAZAKHSTAN"/>
        <xdr:cNvSpPr>
          <a:spLocks noChangeAspect="1" noChangeArrowheads="1"/>
        </xdr:cNvSpPr>
      </xdr:nvSpPr>
      <xdr:spPr bwMode="auto">
        <a:xfrm>
          <a:off x="0" y="674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16" name="AutoShape 648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674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17" name="AutoShape 649" descr="KAZAKHSTAN"/>
        <xdr:cNvSpPr>
          <a:spLocks noChangeAspect="1" noChangeArrowheads="1"/>
        </xdr:cNvSpPr>
      </xdr:nvSpPr>
      <xdr:spPr bwMode="auto">
        <a:xfrm>
          <a:off x="0" y="6762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18" name="AutoShape 650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676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19" name="AutoShape 651" descr="KAZAKHSTAN"/>
        <xdr:cNvSpPr>
          <a:spLocks noChangeAspect="1" noChangeArrowheads="1"/>
        </xdr:cNvSpPr>
      </xdr:nvSpPr>
      <xdr:spPr bwMode="auto">
        <a:xfrm>
          <a:off x="0" y="678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20" name="AutoShape 652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678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21" name="AutoShape 653" descr="MEXICO"/>
        <xdr:cNvSpPr>
          <a:spLocks noChangeAspect="1" noChangeArrowheads="1"/>
        </xdr:cNvSpPr>
      </xdr:nvSpPr>
      <xdr:spPr bwMode="auto">
        <a:xfrm>
          <a:off x="0" y="6797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22" name="AutoShape 654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6797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23" name="AutoShape 655" descr="MOLDOVA"/>
        <xdr:cNvSpPr>
          <a:spLocks noChangeAspect="1" noChangeArrowheads="1"/>
        </xdr:cNvSpPr>
      </xdr:nvSpPr>
      <xdr:spPr bwMode="auto">
        <a:xfrm>
          <a:off x="0" y="6815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24" name="AutoShape 656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6815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25" name="AutoShape 657" descr="MOLDOVA"/>
        <xdr:cNvSpPr>
          <a:spLocks noChangeAspect="1" noChangeArrowheads="1"/>
        </xdr:cNvSpPr>
      </xdr:nvSpPr>
      <xdr:spPr bwMode="auto">
        <a:xfrm>
          <a:off x="0" y="6840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26" name="AutoShape 658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6840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27" name="AutoShape 659" descr="MONTENEGRO"/>
        <xdr:cNvSpPr>
          <a:spLocks noChangeAspect="1" noChangeArrowheads="1"/>
        </xdr:cNvSpPr>
      </xdr:nvSpPr>
      <xdr:spPr bwMode="auto">
        <a:xfrm>
          <a:off x="0" y="686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28" name="AutoShape 660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686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29" name="AutoShape 661" descr="NETHERLANDS3"/>
        <xdr:cNvSpPr>
          <a:spLocks noChangeAspect="1" noChangeArrowheads="1"/>
        </xdr:cNvSpPr>
      </xdr:nvSpPr>
      <xdr:spPr bwMode="auto">
        <a:xfrm>
          <a:off x="0" y="688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30" name="AutoShape 662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688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31" name="AutoShape 663" descr="NETHERLANDS3"/>
        <xdr:cNvSpPr>
          <a:spLocks noChangeAspect="1" noChangeArrowheads="1"/>
        </xdr:cNvSpPr>
      </xdr:nvSpPr>
      <xdr:spPr bwMode="auto">
        <a:xfrm>
          <a:off x="0" y="6908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32" name="AutoShape 664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6908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33" name="AutoShape 665" descr="NETHERLANDS3"/>
        <xdr:cNvSpPr>
          <a:spLocks noChangeAspect="1" noChangeArrowheads="1"/>
        </xdr:cNvSpPr>
      </xdr:nvSpPr>
      <xdr:spPr bwMode="auto">
        <a:xfrm>
          <a:off x="0" y="6933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34" name="AutoShape 666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6933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35" name="AutoShape 667" descr="NETHERLANDS3"/>
        <xdr:cNvSpPr>
          <a:spLocks noChangeAspect="1" noChangeArrowheads="1"/>
        </xdr:cNvSpPr>
      </xdr:nvSpPr>
      <xdr:spPr bwMode="auto">
        <a:xfrm>
          <a:off x="0" y="6950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36" name="AutoShape 668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6950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37" name="AutoShape 669" descr="NETHERLANDS3"/>
        <xdr:cNvSpPr>
          <a:spLocks noChangeAspect="1" noChangeArrowheads="1"/>
        </xdr:cNvSpPr>
      </xdr:nvSpPr>
      <xdr:spPr bwMode="auto">
        <a:xfrm>
          <a:off x="0" y="6976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38" name="AutoShape 670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6976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39" name="AutoShape 671" descr="NETHERLANDS3"/>
        <xdr:cNvSpPr>
          <a:spLocks noChangeAspect="1" noChangeArrowheads="1"/>
        </xdr:cNvSpPr>
      </xdr:nvSpPr>
      <xdr:spPr bwMode="auto">
        <a:xfrm>
          <a:off x="0" y="7001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40" name="AutoShape 672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7001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41" name="AutoShape 673" descr="NETHERLANDS3"/>
        <xdr:cNvSpPr>
          <a:spLocks noChangeAspect="1" noChangeArrowheads="1"/>
        </xdr:cNvSpPr>
      </xdr:nvSpPr>
      <xdr:spPr bwMode="auto">
        <a:xfrm>
          <a:off x="0" y="7018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42" name="AutoShape 674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7018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43" name="AutoShape 675" descr="NETHERLANDS3"/>
        <xdr:cNvSpPr>
          <a:spLocks noChangeAspect="1" noChangeArrowheads="1"/>
        </xdr:cNvSpPr>
      </xdr:nvSpPr>
      <xdr:spPr bwMode="auto">
        <a:xfrm>
          <a:off x="0" y="7036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44" name="AutoShape 676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7036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45" name="AutoShape 677" descr="NETHERLANDS3"/>
        <xdr:cNvSpPr>
          <a:spLocks noChangeAspect="1" noChangeArrowheads="1"/>
        </xdr:cNvSpPr>
      </xdr:nvSpPr>
      <xdr:spPr bwMode="auto">
        <a:xfrm>
          <a:off x="0" y="7061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46" name="AutoShape 678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7061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47" name="AutoShape 679" descr="NORTHERNIRELAND"/>
        <xdr:cNvSpPr>
          <a:spLocks noChangeAspect="1" noChangeArrowheads="1"/>
        </xdr:cNvSpPr>
      </xdr:nvSpPr>
      <xdr:spPr bwMode="auto">
        <a:xfrm>
          <a:off x="0" y="7078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48" name="AutoShape 680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7078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49" name="AutoShape 681" descr="NORTHERNIRELAND"/>
        <xdr:cNvSpPr>
          <a:spLocks noChangeAspect="1" noChangeArrowheads="1"/>
        </xdr:cNvSpPr>
      </xdr:nvSpPr>
      <xdr:spPr bwMode="auto">
        <a:xfrm>
          <a:off x="0" y="7096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50" name="AutoShape 682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7096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51" name="AutoShape 683" descr="NORTHERNIRELAND"/>
        <xdr:cNvSpPr>
          <a:spLocks noChangeAspect="1" noChangeArrowheads="1"/>
        </xdr:cNvSpPr>
      </xdr:nvSpPr>
      <xdr:spPr bwMode="auto">
        <a:xfrm>
          <a:off x="0" y="711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52" name="AutoShape 684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711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53" name="AutoShape 685" descr="NORTHERNIRELAND"/>
        <xdr:cNvSpPr>
          <a:spLocks noChangeAspect="1" noChangeArrowheads="1"/>
        </xdr:cNvSpPr>
      </xdr:nvSpPr>
      <xdr:spPr bwMode="auto">
        <a:xfrm>
          <a:off x="0" y="7139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54" name="AutoShape 686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7139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55" name="AutoShape 687" descr="NORTHERNIRELAND"/>
        <xdr:cNvSpPr>
          <a:spLocks noChangeAspect="1" noChangeArrowheads="1"/>
        </xdr:cNvSpPr>
      </xdr:nvSpPr>
      <xdr:spPr bwMode="auto">
        <a:xfrm>
          <a:off x="0" y="7164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56" name="AutoShape 688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7164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57" name="AutoShape 689" descr="NORTHERNIRELAND"/>
        <xdr:cNvSpPr>
          <a:spLocks noChangeAspect="1" noChangeArrowheads="1"/>
        </xdr:cNvSpPr>
      </xdr:nvSpPr>
      <xdr:spPr bwMode="auto">
        <a:xfrm>
          <a:off x="0" y="7181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58" name="AutoShape 690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7181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59" name="AutoShape 691" descr="NORTHMACEDONIA"/>
        <xdr:cNvSpPr>
          <a:spLocks noChangeAspect="1" noChangeArrowheads="1"/>
        </xdr:cNvSpPr>
      </xdr:nvSpPr>
      <xdr:spPr bwMode="auto">
        <a:xfrm>
          <a:off x="0" y="7199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60" name="AutoShape 692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7199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61" name="AutoShape 693" descr="NORTHMACEDONIA"/>
        <xdr:cNvSpPr>
          <a:spLocks noChangeAspect="1" noChangeArrowheads="1"/>
        </xdr:cNvSpPr>
      </xdr:nvSpPr>
      <xdr:spPr bwMode="auto">
        <a:xfrm>
          <a:off x="0" y="721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62" name="AutoShape 694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721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63" name="AutoShape 695" descr="NORTHMACEDONIA"/>
        <xdr:cNvSpPr>
          <a:spLocks noChangeAspect="1" noChangeArrowheads="1"/>
        </xdr:cNvSpPr>
      </xdr:nvSpPr>
      <xdr:spPr bwMode="auto">
        <a:xfrm>
          <a:off x="0" y="7242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64" name="AutoShape 696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7242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65" name="AutoShape 697" descr="NORTHMACEDONIA"/>
        <xdr:cNvSpPr>
          <a:spLocks noChangeAspect="1" noChangeArrowheads="1"/>
        </xdr:cNvSpPr>
      </xdr:nvSpPr>
      <xdr:spPr bwMode="auto">
        <a:xfrm>
          <a:off x="0" y="7259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66" name="AutoShape 698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7259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67" name="AutoShape 699" descr="NORTHMACEDONIA"/>
        <xdr:cNvSpPr>
          <a:spLocks noChangeAspect="1" noChangeArrowheads="1"/>
        </xdr:cNvSpPr>
      </xdr:nvSpPr>
      <xdr:spPr bwMode="auto">
        <a:xfrm>
          <a:off x="0" y="727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68" name="AutoShape 700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727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69" name="AutoShape 701" descr="NORWAY"/>
        <xdr:cNvSpPr>
          <a:spLocks noChangeAspect="1" noChangeArrowheads="1"/>
        </xdr:cNvSpPr>
      </xdr:nvSpPr>
      <xdr:spPr bwMode="auto">
        <a:xfrm>
          <a:off x="0" y="7302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70" name="AutoShape 702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7302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71" name="AutoShape 703" descr="NORWAY2"/>
        <xdr:cNvSpPr>
          <a:spLocks noChangeAspect="1" noChangeArrowheads="1"/>
        </xdr:cNvSpPr>
      </xdr:nvSpPr>
      <xdr:spPr bwMode="auto">
        <a:xfrm>
          <a:off x="0" y="73197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72" name="AutoShape 704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7319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73" name="AutoShape 705" descr="NORWAY2"/>
        <xdr:cNvSpPr>
          <a:spLocks noChangeAspect="1" noChangeArrowheads="1"/>
        </xdr:cNvSpPr>
      </xdr:nvSpPr>
      <xdr:spPr bwMode="auto">
        <a:xfrm>
          <a:off x="0" y="7337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74" name="AutoShape 706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7337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75" name="AutoShape 707" descr="NORWAY2"/>
        <xdr:cNvSpPr>
          <a:spLocks noChangeAspect="1" noChangeArrowheads="1"/>
        </xdr:cNvSpPr>
      </xdr:nvSpPr>
      <xdr:spPr bwMode="auto">
        <a:xfrm>
          <a:off x="0" y="735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76" name="AutoShape 708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735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77" name="AutoShape 709" descr="NORWAY3"/>
        <xdr:cNvSpPr>
          <a:spLocks noChangeAspect="1" noChangeArrowheads="1"/>
        </xdr:cNvSpPr>
      </xdr:nvSpPr>
      <xdr:spPr bwMode="auto">
        <a:xfrm>
          <a:off x="0" y="737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78" name="AutoShape 710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737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79" name="AutoShape 711" descr="NORWAY3"/>
        <xdr:cNvSpPr>
          <a:spLocks noChangeAspect="1" noChangeArrowheads="1"/>
        </xdr:cNvSpPr>
      </xdr:nvSpPr>
      <xdr:spPr bwMode="auto">
        <a:xfrm>
          <a:off x="0" y="738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80" name="AutoShape 712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738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81" name="AutoShape 713" descr="NORWAY3"/>
        <xdr:cNvSpPr>
          <a:spLocks noChangeAspect="1" noChangeArrowheads="1"/>
        </xdr:cNvSpPr>
      </xdr:nvSpPr>
      <xdr:spPr bwMode="auto">
        <a:xfrm>
          <a:off x="0" y="740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82" name="AutoShape 714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740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83" name="AutoShape 715" descr="NORWAY3"/>
        <xdr:cNvSpPr>
          <a:spLocks noChangeAspect="1" noChangeArrowheads="1"/>
        </xdr:cNvSpPr>
      </xdr:nvSpPr>
      <xdr:spPr bwMode="auto">
        <a:xfrm>
          <a:off x="0" y="742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84" name="AutoShape 716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742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85" name="AutoShape 717" descr="NORWAY4"/>
        <xdr:cNvSpPr>
          <a:spLocks noChangeAspect="1" noChangeArrowheads="1"/>
        </xdr:cNvSpPr>
      </xdr:nvSpPr>
      <xdr:spPr bwMode="auto">
        <a:xfrm>
          <a:off x="0" y="744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86" name="AutoShape 718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744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87" name="AutoShape 719" descr="NORWAY11"/>
        <xdr:cNvSpPr>
          <a:spLocks noChangeAspect="1" noChangeArrowheads="1"/>
        </xdr:cNvSpPr>
      </xdr:nvSpPr>
      <xdr:spPr bwMode="auto">
        <a:xfrm>
          <a:off x="0" y="745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88" name="AutoShape 720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745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89" name="AutoShape 721" descr="NORWAY11"/>
        <xdr:cNvSpPr>
          <a:spLocks noChangeAspect="1" noChangeArrowheads="1"/>
        </xdr:cNvSpPr>
      </xdr:nvSpPr>
      <xdr:spPr bwMode="auto">
        <a:xfrm>
          <a:off x="0" y="747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90" name="AutoShape 722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747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91" name="AutoShape 723" descr="NORWAY11"/>
        <xdr:cNvSpPr>
          <a:spLocks noChangeAspect="1" noChangeArrowheads="1"/>
        </xdr:cNvSpPr>
      </xdr:nvSpPr>
      <xdr:spPr bwMode="auto">
        <a:xfrm>
          <a:off x="0" y="750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92" name="AutoShape 724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750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93" name="AutoShape 725" descr="NORWAY11"/>
        <xdr:cNvSpPr>
          <a:spLocks noChangeAspect="1" noChangeArrowheads="1"/>
        </xdr:cNvSpPr>
      </xdr:nvSpPr>
      <xdr:spPr bwMode="auto">
        <a:xfrm>
          <a:off x="0" y="7527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94" name="AutoShape 726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7527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95" name="AutoShape 727" descr="NORWAY11"/>
        <xdr:cNvSpPr>
          <a:spLocks noChangeAspect="1" noChangeArrowheads="1"/>
        </xdr:cNvSpPr>
      </xdr:nvSpPr>
      <xdr:spPr bwMode="auto">
        <a:xfrm>
          <a:off x="0" y="7545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96" name="AutoShape 728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7545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97" name="AutoShape 729" descr="PARAGUAY2"/>
        <xdr:cNvSpPr>
          <a:spLocks noChangeAspect="1" noChangeArrowheads="1"/>
        </xdr:cNvSpPr>
      </xdr:nvSpPr>
      <xdr:spPr bwMode="auto">
        <a:xfrm>
          <a:off x="0" y="7562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998" name="AutoShape 730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756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999" name="AutoShape 731" descr="PARAGUAY2"/>
        <xdr:cNvSpPr>
          <a:spLocks noChangeAspect="1" noChangeArrowheads="1"/>
        </xdr:cNvSpPr>
      </xdr:nvSpPr>
      <xdr:spPr bwMode="auto">
        <a:xfrm>
          <a:off x="0" y="7580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00" name="AutoShape 732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7580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01" name="AutoShape 733" descr="PERU2"/>
        <xdr:cNvSpPr>
          <a:spLocks noChangeAspect="1" noChangeArrowheads="1"/>
        </xdr:cNvSpPr>
      </xdr:nvSpPr>
      <xdr:spPr bwMode="auto">
        <a:xfrm>
          <a:off x="0" y="7597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02" name="AutoShape 734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7597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03" name="AutoShape 735" descr="PERU2"/>
        <xdr:cNvSpPr>
          <a:spLocks noChangeAspect="1" noChangeArrowheads="1"/>
        </xdr:cNvSpPr>
      </xdr:nvSpPr>
      <xdr:spPr bwMode="auto">
        <a:xfrm>
          <a:off x="0" y="7615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04" name="AutoShape 736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7615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05" name="AutoShape 737" descr="PERU2"/>
        <xdr:cNvSpPr>
          <a:spLocks noChangeAspect="1" noChangeArrowheads="1"/>
        </xdr:cNvSpPr>
      </xdr:nvSpPr>
      <xdr:spPr bwMode="auto">
        <a:xfrm>
          <a:off x="0" y="7632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06" name="AutoShape 738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7632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07" name="AutoShape 739" descr="PERU2"/>
        <xdr:cNvSpPr>
          <a:spLocks noChangeAspect="1" noChangeArrowheads="1"/>
        </xdr:cNvSpPr>
      </xdr:nvSpPr>
      <xdr:spPr bwMode="auto">
        <a:xfrm>
          <a:off x="0" y="765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08" name="AutoShape 740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765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09" name="AutoShape 741" descr="PERU2"/>
        <xdr:cNvSpPr>
          <a:spLocks noChangeAspect="1" noChangeArrowheads="1"/>
        </xdr:cNvSpPr>
      </xdr:nvSpPr>
      <xdr:spPr bwMode="auto">
        <a:xfrm>
          <a:off x="0" y="767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10" name="AutoShape 742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767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11" name="AutoShape 743" descr="PERU2"/>
        <xdr:cNvSpPr>
          <a:spLocks noChangeAspect="1" noChangeArrowheads="1"/>
        </xdr:cNvSpPr>
      </xdr:nvSpPr>
      <xdr:spPr bwMode="auto">
        <a:xfrm>
          <a:off x="0" y="769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12" name="AutoShape 744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769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13" name="AutoShape 745" descr="PERU2"/>
        <xdr:cNvSpPr>
          <a:spLocks noChangeAspect="1" noChangeArrowheads="1"/>
        </xdr:cNvSpPr>
      </xdr:nvSpPr>
      <xdr:spPr bwMode="auto">
        <a:xfrm>
          <a:off x="0" y="771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14" name="AutoShape 746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771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15" name="AutoShape 747" descr="PERU2"/>
        <xdr:cNvSpPr>
          <a:spLocks noChangeAspect="1" noChangeArrowheads="1"/>
        </xdr:cNvSpPr>
      </xdr:nvSpPr>
      <xdr:spPr bwMode="auto">
        <a:xfrm>
          <a:off x="0" y="772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16" name="AutoShape 748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772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17" name="AutoShape 749" descr="PERU2"/>
        <xdr:cNvSpPr>
          <a:spLocks noChangeAspect="1" noChangeArrowheads="1"/>
        </xdr:cNvSpPr>
      </xdr:nvSpPr>
      <xdr:spPr bwMode="auto">
        <a:xfrm>
          <a:off x="0" y="7753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18" name="AutoShape 750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775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19" name="AutoShape 751" descr="POLAND"/>
        <xdr:cNvSpPr>
          <a:spLocks noChangeAspect="1" noChangeArrowheads="1"/>
        </xdr:cNvSpPr>
      </xdr:nvSpPr>
      <xdr:spPr bwMode="auto">
        <a:xfrm>
          <a:off x="0" y="7778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20" name="AutoShape 752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7778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21" name="AutoShape 753" descr="POLAND"/>
        <xdr:cNvSpPr>
          <a:spLocks noChangeAspect="1" noChangeArrowheads="1"/>
        </xdr:cNvSpPr>
      </xdr:nvSpPr>
      <xdr:spPr bwMode="auto">
        <a:xfrm>
          <a:off x="0" y="7803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22" name="AutoShape 754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7803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23" name="AutoShape 755" descr="POLAND"/>
        <xdr:cNvSpPr>
          <a:spLocks noChangeAspect="1" noChangeArrowheads="1"/>
        </xdr:cNvSpPr>
      </xdr:nvSpPr>
      <xdr:spPr bwMode="auto">
        <a:xfrm>
          <a:off x="0" y="7821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24" name="AutoShape 756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782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25" name="AutoShape 757" descr="POLAND2"/>
        <xdr:cNvSpPr>
          <a:spLocks noChangeAspect="1" noChangeArrowheads="1"/>
        </xdr:cNvSpPr>
      </xdr:nvSpPr>
      <xdr:spPr bwMode="auto">
        <a:xfrm>
          <a:off x="0" y="7838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26" name="AutoShape 758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7838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27" name="AutoShape 759" descr="POLAND2"/>
        <xdr:cNvSpPr>
          <a:spLocks noChangeAspect="1" noChangeArrowheads="1"/>
        </xdr:cNvSpPr>
      </xdr:nvSpPr>
      <xdr:spPr bwMode="auto">
        <a:xfrm>
          <a:off x="0" y="7863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28" name="AutoShape 760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786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29" name="AutoShape 761" descr="POLAND2"/>
        <xdr:cNvSpPr>
          <a:spLocks noChangeAspect="1" noChangeArrowheads="1"/>
        </xdr:cNvSpPr>
      </xdr:nvSpPr>
      <xdr:spPr bwMode="auto">
        <a:xfrm>
          <a:off x="0" y="7881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30" name="AutoShape 762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7881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31" name="AutoShape 763" descr="POLAND3"/>
        <xdr:cNvSpPr>
          <a:spLocks noChangeAspect="1" noChangeArrowheads="1"/>
        </xdr:cNvSpPr>
      </xdr:nvSpPr>
      <xdr:spPr bwMode="auto">
        <a:xfrm>
          <a:off x="0" y="7906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32" name="AutoShape 764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7906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33" name="AutoShape 765" descr="POLAND3"/>
        <xdr:cNvSpPr>
          <a:spLocks noChangeAspect="1" noChangeArrowheads="1"/>
        </xdr:cNvSpPr>
      </xdr:nvSpPr>
      <xdr:spPr bwMode="auto">
        <a:xfrm>
          <a:off x="0" y="7931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34" name="AutoShape 766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7931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35" name="AutoShape 767" descr="POLAND3"/>
        <xdr:cNvSpPr>
          <a:spLocks noChangeAspect="1" noChangeArrowheads="1"/>
        </xdr:cNvSpPr>
      </xdr:nvSpPr>
      <xdr:spPr bwMode="auto">
        <a:xfrm>
          <a:off x="0" y="7956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36" name="AutoShape 768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7956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37" name="AutoShape 769" descr="POLAND3"/>
        <xdr:cNvSpPr>
          <a:spLocks noChangeAspect="1" noChangeArrowheads="1"/>
        </xdr:cNvSpPr>
      </xdr:nvSpPr>
      <xdr:spPr bwMode="auto">
        <a:xfrm>
          <a:off x="0" y="7981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38" name="AutoShape 770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798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39" name="AutoShape 771" descr="POLAND3"/>
        <xdr:cNvSpPr>
          <a:spLocks noChangeAspect="1" noChangeArrowheads="1"/>
        </xdr:cNvSpPr>
      </xdr:nvSpPr>
      <xdr:spPr bwMode="auto">
        <a:xfrm>
          <a:off x="0" y="8007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40" name="AutoShape 772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8007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41" name="AutoShape 773" descr="PORTUGAL2"/>
        <xdr:cNvSpPr>
          <a:spLocks noChangeAspect="1" noChangeArrowheads="1"/>
        </xdr:cNvSpPr>
      </xdr:nvSpPr>
      <xdr:spPr bwMode="auto">
        <a:xfrm>
          <a:off x="0" y="8032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42" name="AutoShape 774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8032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43" name="AutoShape 775" descr="PORTUGAL2"/>
        <xdr:cNvSpPr>
          <a:spLocks noChangeAspect="1" noChangeArrowheads="1"/>
        </xdr:cNvSpPr>
      </xdr:nvSpPr>
      <xdr:spPr bwMode="auto">
        <a:xfrm>
          <a:off x="0" y="8049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44" name="AutoShape 776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8049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45" name="AutoShape 777" descr="PORTUGAL2"/>
        <xdr:cNvSpPr>
          <a:spLocks noChangeAspect="1" noChangeArrowheads="1"/>
        </xdr:cNvSpPr>
      </xdr:nvSpPr>
      <xdr:spPr bwMode="auto">
        <a:xfrm>
          <a:off x="0" y="8074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46" name="AutoShape 778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8074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47" name="AutoShape 779" descr="ROMANIA"/>
        <xdr:cNvSpPr>
          <a:spLocks noChangeAspect="1" noChangeArrowheads="1"/>
        </xdr:cNvSpPr>
      </xdr:nvSpPr>
      <xdr:spPr bwMode="auto">
        <a:xfrm>
          <a:off x="0" y="8092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48" name="AutoShape 780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8092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49" name="AutoShape 781" descr="ROMANIA"/>
        <xdr:cNvSpPr>
          <a:spLocks noChangeAspect="1" noChangeArrowheads="1"/>
        </xdr:cNvSpPr>
      </xdr:nvSpPr>
      <xdr:spPr bwMode="auto">
        <a:xfrm>
          <a:off x="0" y="8109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50" name="AutoShape 782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8109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51" name="AutoShape 783" descr="RUSSIA"/>
        <xdr:cNvSpPr>
          <a:spLocks noChangeAspect="1" noChangeArrowheads="1"/>
        </xdr:cNvSpPr>
      </xdr:nvSpPr>
      <xdr:spPr bwMode="auto">
        <a:xfrm>
          <a:off x="0" y="8135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52" name="AutoShape 784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8135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53" name="AutoShape 785" descr="RUSSIA"/>
        <xdr:cNvSpPr>
          <a:spLocks noChangeAspect="1" noChangeArrowheads="1"/>
        </xdr:cNvSpPr>
      </xdr:nvSpPr>
      <xdr:spPr bwMode="auto">
        <a:xfrm>
          <a:off x="0" y="8160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54" name="AutoShape 786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8160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55" name="AutoShape 787" descr="RUSSIA"/>
        <xdr:cNvSpPr>
          <a:spLocks noChangeAspect="1" noChangeArrowheads="1"/>
        </xdr:cNvSpPr>
      </xdr:nvSpPr>
      <xdr:spPr bwMode="auto">
        <a:xfrm>
          <a:off x="0" y="8185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56" name="AutoShape 788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8185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57" name="AutoShape 789" descr="RUSSIA"/>
        <xdr:cNvSpPr>
          <a:spLocks noChangeAspect="1" noChangeArrowheads="1"/>
        </xdr:cNvSpPr>
      </xdr:nvSpPr>
      <xdr:spPr bwMode="auto">
        <a:xfrm>
          <a:off x="0" y="8202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58" name="AutoShape 790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8202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59" name="AutoShape 791" descr="SAUDIARABIA"/>
        <xdr:cNvSpPr>
          <a:spLocks noChangeAspect="1" noChangeArrowheads="1"/>
        </xdr:cNvSpPr>
      </xdr:nvSpPr>
      <xdr:spPr bwMode="auto">
        <a:xfrm>
          <a:off x="0" y="8228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60" name="AutoShape 792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8228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61" name="AutoShape 793" descr="SAUDIARABIA"/>
        <xdr:cNvSpPr>
          <a:spLocks noChangeAspect="1" noChangeArrowheads="1"/>
        </xdr:cNvSpPr>
      </xdr:nvSpPr>
      <xdr:spPr bwMode="auto">
        <a:xfrm>
          <a:off x="0" y="8245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62" name="AutoShape 794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8245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63" name="AutoShape 795" descr="SAUDIARABIA"/>
        <xdr:cNvSpPr>
          <a:spLocks noChangeAspect="1" noChangeArrowheads="1"/>
        </xdr:cNvSpPr>
      </xdr:nvSpPr>
      <xdr:spPr bwMode="auto">
        <a:xfrm>
          <a:off x="0" y="8263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64" name="AutoShape 796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8263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65" name="AutoShape 797" descr="SCOTLAND3"/>
        <xdr:cNvSpPr>
          <a:spLocks noChangeAspect="1" noChangeArrowheads="1"/>
        </xdr:cNvSpPr>
      </xdr:nvSpPr>
      <xdr:spPr bwMode="auto">
        <a:xfrm>
          <a:off x="0" y="8280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66" name="AutoShape 798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8280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67" name="AutoShape 799" descr="SCOTLAND3"/>
        <xdr:cNvSpPr>
          <a:spLocks noChangeAspect="1" noChangeArrowheads="1"/>
        </xdr:cNvSpPr>
      </xdr:nvSpPr>
      <xdr:spPr bwMode="auto">
        <a:xfrm>
          <a:off x="0" y="8298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68" name="AutoShape 800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8298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69" name="AutoShape 801" descr="SCOTLAND3"/>
        <xdr:cNvSpPr>
          <a:spLocks noChangeAspect="1" noChangeArrowheads="1"/>
        </xdr:cNvSpPr>
      </xdr:nvSpPr>
      <xdr:spPr bwMode="auto">
        <a:xfrm>
          <a:off x="0" y="8315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70" name="AutoShape 802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8315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71" name="AutoShape 803" descr="SCOTLAND3"/>
        <xdr:cNvSpPr>
          <a:spLocks noChangeAspect="1" noChangeArrowheads="1"/>
        </xdr:cNvSpPr>
      </xdr:nvSpPr>
      <xdr:spPr bwMode="auto">
        <a:xfrm>
          <a:off x="0" y="8333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72" name="AutoShape 804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8333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73" name="AutoShape 805" descr="SCOTLAND4"/>
        <xdr:cNvSpPr>
          <a:spLocks noChangeAspect="1" noChangeArrowheads="1"/>
        </xdr:cNvSpPr>
      </xdr:nvSpPr>
      <xdr:spPr bwMode="auto">
        <a:xfrm>
          <a:off x="0" y="8350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74" name="AutoShape 806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8350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75" name="AutoShape 807" descr="SCOTLAND4"/>
        <xdr:cNvSpPr>
          <a:spLocks noChangeAspect="1" noChangeArrowheads="1"/>
        </xdr:cNvSpPr>
      </xdr:nvSpPr>
      <xdr:spPr bwMode="auto">
        <a:xfrm>
          <a:off x="0" y="8375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76" name="AutoShape 808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8375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77" name="AutoShape 809" descr="SCOTLAND4"/>
        <xdr:cNvSpPr>
          <a:spLocks noChangeAspect="1" noChangeArrowheads="1"/>
        </xdr:cNvSpPr>
      </xdr:nvSpPr>
      <xdr:spPr bwMode="auto">
        <a:xfrm>
          <a:off x="0" y="8401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78" name="AutoShape 810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8401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79" name="AutoShape 811" descr="SCOTLAND4"/>
        <xdr:cNvSpPr>
          <a:spLocks noChangeAspect="1" noChangeArrowheads="1"/>
        </xdr:cNvSpPr>
      </xdr:nvSpPr>
      <xdr:spPr bwMode="auto">
        <a:xfrm>
          <a:off x="0" y="8418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80" name="AutoShape 812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8418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81" name="AutoShape 813" descr="SCOTLAND4"/>
        <xdr:cNvSpPr>
          <a:spLocks noChangeAspect="1" noChangeArrowheads="1"/>
        </xdr:cNvSpPr>
      </xdr:nvSpPr>
      <xdr:spPr bwMode="auto">
        <a:xfrm>
          <a:off x="0" y="8443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82" name="AutoShape 814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8443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83" name="AutoShape 815" descr="SERBIA"/>
        <xdr:cNvSpPr>
          <a:spLocks noChangeAspect="1" noChangeArrowheads="1"/>
        </xdr:cNvSpPr>
      </xdr:nvSpPr>
      <xdr:spPr bwMode="auto">
        <a:xfrm>
          <a:off x="0" y="8461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84" name="AutoShape 816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8461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85" name="AutoShape 817" descr="SERBIA"/>
        <xdr:cNvSpPr>
          <a:spLocks noChangeAspect="1" noChangeArrowheads="1"/>
        </xdr:cNvSpPr>
      </xdr:nvSpPr>
      <xdr:spPr bwMode="auto">
        <a:xfrm>
          <a:off x="0" y="8478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86" name="AutoShape 818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8478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87" name="AutoShape 819" descr="SERBIA"/>
        <xdr:cNvSpPr>
          <a:spLocks noChangeAspect="1" noChangeArrowheads="1"/>
        </xdr:cNvSpPr>
      </xdr:nvSpPr>
      <xdr:spPr bwMode="auto">
        <a:xfrm>
          <a:off x="0" y="8496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88" name="AutoShape 820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8496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89" name="AutoShape 821" descr="SLOVAKIA"/>
        <xdr:cNvSpPr>
          <a:spLocks noChangeAspect="1" noChangeArrowheads="1"/>
        </xdr:cNvSpPr>
      </xdr:nvSpPr>
      <xdr:spPr bwMode="auto">
        <a:xfrm>
          <a:off x="0" y="8513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90" name="AutoShape 822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8513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91" name="AutoShape 823" descr="SLOVAKIA"/>
        <xdr:cNvSpPr>
          <a:spLocks noChangeAspect="1" noChangeArrowheads="1"/>
        </xdr:cNvSpPr>
      </xdr:nvSpPr>
      <xdr:spPr bwMode="auto">
        <a:xfrm>
          <a:off x="0" y="8538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92" name="AutoShape 824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8538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93" name="AutoShape 825" descr="SLOVAKIA"/>
        <xdr:cNvSpPr>
          <a:spLocks noChangeAspect="1" noChangeArrowheads="1"/>
        </xdr:cNvSpPr>
      </xdr:nvSpPr>
      <xdr:spPr bwMode="auto">
        <a:xfrm>
          <a:off x="0" y="8556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94" name="AutoShape 826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8556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95" name="AutoShape 827" descr="SLOVAKIA"/>
        <xdr:cNvSpPr>
          <a:spLocks noChangeAspect="1" noChangeArrowheads="1"/>
        </xdr:cNvSpPr>
      </xdr:nvSpPr>
      <xdr:spPr bwMode="auto">
        <a:xfrm>
          <a:off x="0" y="8574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96" name="AutoShape 828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8574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97" name="AutoShape 829" descr="SLOVENIA"/>
        <xdr:cNvSpPr>
          <a:spLocks noChangeAspect="1" noChangeArrowheads="1"/>
        </xdr:cNvSpPr>
      </xdr:nvSpPr>
      <xdr:spPr bwMode="auto">
        <a:xfrm>
          <a:off x="0" y="8591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098" name="AutoShape 830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8591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099" name="AutoShape 831" descr="SLOVENIA"/>
        <xdr:cNvSpPr>
          <a:spLocks noChangeAspect="1" noChangeArrowheads="1"/>
        </xdr:cNvSpPr>
      </xdr:nvSpPr>
      <xdr:spPr bwMode="auto">
        <a:xfrm>
          <a:off x="0" y="860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00" name="AutoShape 832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860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01" name="AutoShape 833" descr="SOUTHAFRICA"/>
        <xdr:cNvSpPr>
          <a:spLocks noChangeAspect="1" noChangeArrowheads="1"/>
        </xdr:cNvSpPr>
      </xdr:nvSpPr>
      <xdr:spPr bwMode="auto">
        <a:xfrm>
          <a:off x="0" y="862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02" name="AutoShape 834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862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03" name="AutoShape 835" descr="SOUTHAFRICA"/>
        <xdr:cNvSpPr>
          <a:spLocks noChangeAspect="1" noChangeArrowheads="1"/>
        </xdr:cNvSpPr>
      </xdr:nvSpPr>
      <xdr:spPr bwMode="auto">
        <a:xfrm>
          <a:off x="0" y="864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04" name="AutoShape 836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864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05" name="AutoShape 837" descr="SOUTHAFRICA"/>
        <xdr:cNvSpPr>
          <a:spLocks noChangeAspect="1" noChangeArrowheads="1"/>
        </xdr:cNvSpPr>
      </xdr:nvSpPr>
      <xdr:spPr bwMode="auto">
        <a:xfrm>
          <a:off x="0" y="866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06" name="AutoShape 838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866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07" name="AutoShape 839" descr="SOUTHAFRICA"/>
        <xdr:cNvSpPr>
          <a:spLocks noChangeAspect="1" noChangeArrowheads="1"/>
        </xdr:cNvSpPr>
      </xdr:nvSpPr>
      <xdr:spPr bwMode="auto">
        <a:xfrm>
          <a:off x="0" y="867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08" name="AutoShape 840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867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09" name="AutoShape 841" descr="SOUTHAFRICA"/>
        <xdr:cNvSpPr>
          <a:spLocks noChangeAspect="1" noChangeArrowheads="1"/>
        </xdr:cNvSpPr>
      </xdr:nvSpPr>
      <xdr:spPr bwMode="auto">
        <a:xfrm>
          <a:off x="0" y="869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10" name="AutoShape 842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869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11" name="AutoShape 843" descr="SOUTHKOREA"/>
        <xdr:cNvSpPr>
          <a:spLocks noChangeAspect="1" noChangeArrowheads="1"/>
        </xdr:cNvSpPr>
      </xdr:nvSpPr>
      <xdr:spPr bwMode="auto">
        <a:xfrm>
          <a:off x="0" y="8714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12" name="AutoShape 844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8714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13" name="AutoShape 845" descr="SOUTHKOREA"/>
        <xdr:cNvSpPr>
          <a:spLocks noChangeAspect="1" noChangeArrowheads="1"/>
        </xdr:cNvSpPr>
      </xdr:nvSpPr>
      <xdr:spPr bwMode="auto">
        <a:xfrm>
          <a:off x="0" y="873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14" name="AutoShape 846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873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15" name="AutoShape 847" descr="SOUTHKOREA"/>
        <xdr:cNvSpPr>
          <a:spLocks noChangeAspect="1" noChangeArrowheads="1"/>
        </xdr:cNvSpPr>
      </xdr:nvSpPr>
      <xdr:spPr bwMode="auto">
        <a:xfrm>
          <a:off x="0" y="875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16" name="AutoShape 848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875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17" name="AutoShape 849" descr="SOUTHKOREA2"/>
        <xdr:cNvSpPr>
          <a:spLocks noChangeAspect="1" noChangeArrowheads="1"/>
        </xdr:cNvSpPr>
      </xdr:nvSpPr>
      <xdr:spPr bwMode="auto">
        <a:xfrm>
          <a:off x="0" y="878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18" name="AutoShape 850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878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19" name="AutoShape 851" descr="SOUTHKOREA2"/>
        <xdr:cNvSpPr>
          <a:spLocks noChangeAspect="1" noChangeArrowheads="1"/>
        </xdr:cNvSpPr>
      </xdr:nvSpPr>
      <xdr:spPr bwMode="auto">
        <a:xfrm>
          <a:off x="0" y="879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20" name="AutoShape 852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879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21" name="AutoShape 853" descr="SOUTHKOREA2"/>
        <xdr:cNvSpPr>
          <a:spLocks noChangeAspect="1" noChangeArrowheads="1"/>
        </xdr:cNvSpPr>
      </xdr:nvSpPr>
      <xdr:spPr bwMode="auto">
        <a:xfrm>
          <a:off x="0" y="881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22" name="AutoShape 854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881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23" name="AutoShape 855" descr="SOUTHKOREA2"/>
        <xdr:cNvSpPr>
          <a:spLocks noChangeAspect="1" noChangeArrowheads="1"/>
        </xdr:cNvSpPr>
      </xdr:nvSpPr>
      <xdr:spPr bwMode="auto">
        <a:xfrm>
          <a:off x="0" y="883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24" name="AutoShape 856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883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25" name="AutoShape 857" descr="SOUTHKOREA4"/>
        <xdr:cNvSpPr>
          <a:spLocks noChangeAspect="1" noChangeArrowheads="1"/>
        </xdr:cNvSpPr>
      </xdr:nvSpPr>
      <xdr:spPr bwMode="auto">
        <a:xfrm>
          <a:off x="0" y="8859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26" name="AutoShape 858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8859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27" name="AutoShape 859" descr="SOUTHKOREA4"/>
        <xdr:cNvSpPr>
          <a:spLocks noChangeAspect="1" noChangeArrowheads="1"/>
        </xdr:cNvSpPr>
      </xdr:nvSpPr>
      <xdr:spPr bwMode="auto">
        <a:xfrm>
          <a:off x="0" y="888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28" name="AutoShape 860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888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29" name="AutoShape 861" descr="SWEDEN"/>
        <xdr:cNvSpPr>
          <a:spLocks noChangeAspect="1" noChangeArrowheads="1"/>
        </xdr:cNvSpPr>
      </xdr:nvSpPr>
      <xdr:spPr bwMode="auto">
        <a:xfrm>
          <a:off x="0" y="890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30" name="AutoShape 862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890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31" name="AutoShape 863" descr="SWEDEN2"/>
        <xdr:cNvSpPr>
          <a:spLocks noChangeAspect="1" noChangeArrowheads="1"/>
        </xdr:cNvSpPr>
      </xdr:nvSpPr>
      <xdr:spPr bwMode="auto">
        <a:xfrm>
          <a:off x="0" y="891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32" name="AutoShape 864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891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33" name="AutoShape 865" descr="SWEDEN2"/>
        <xdr:cNvSpPr>
          <a:spLocks noChangeAspect="1" noChangeArrowheads="1"/>
        </xdr:cNvSpPr>
      </xdr:nvSpPr>
      <xdr:spPr bwMode="auto">
        <a:xfrm>
          <a:off x="0" y="8937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34" name="AutoShape 866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8937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35" name="AutoShape 867" descr="SWEDEN2"/>
        <xdr:cNvSpPr>
          <a:spLocks noChangeAspect="1" noChangeArrowheads="1"/>
        </xdr:cNvSpPr>
      </xdr:nvSpPr>
      <xdr:spPr bwMode="auto">
        <a:xfrm>
          <a:off x="0" y="8955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36" name="AutoShape 868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8955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37" name="AutoShape 869" descr="SWEDEN2"/>
        <xdr:cNvSpPr>
          <a:spLocks noChangeAspect="1" noChangeArrowheads="1"/>
        </xdr:cNvSpPr>
      </xdr:nvSpPr>
      <xdr:spPr bwMode="auto">
        <a:xfrm>
          <a:off x="0" y="8980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38" name="AutoShape 870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8980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39" name="AutoShape 871" descr="SWEDEN2"/>
        <xdr:cNvSpPr>
          <a:spLocks noChangeAspect="1" noChangeArrowheads="1"/>
        </xdr:cNvSpPr>
      </xdr:nvSpPr>
      <xdr:spPr bwMode="auto">
        <a:xfrm>
          <a:off x="0" y="8997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40" name="AutoShape 872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8997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41" name="AutoShape 873" descr="SWEDEN3"/>
        <xdr:cNvSpPr>
          <a:spLocks noChangeAspect="1" noChangeArrowheads="1"/>
        </xdr:cNvSpPr>
      </xdr:nvSpPr>
      <xdr:spPr bwMode="auto">
        <a:xfrm>
          <a:off x="0" y="9015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42" name="AutoShape 874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9015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43" name="AutoShape 875" descr="SWEDEN3"/>
        <xdr:cNvSpPr>
          <a:spLocks noChangeAspect="1" noChangeArrowheads="1"/>
        </xdr:cNvSpPr>
      </xdr:nvSpPr>
      <xdr:spPr bwMode="auto">
        <a:xfrm>
          <a:off x="0" y="9032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44" name="AutoShape 876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9032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45" name="AutoShape 877" descr="SWEDEN3"/>
        <xdr:cNvSpPr>
          <a:spLocks noChangeAspect="1" noChangeArrowheads="1"/>
        </xdr:cNvSpPr>
      </xdr:nvSpPr>
      <xdr:spPr bwMode="auto">
        <a:xfrm>
          <a:off x="0" y="9050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46" name="AutoShape 878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9050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47" name="AutoShape 879" descr="SWEDEN3"/>
        <xdr:cNvSpPr>
          <a:spLocks noChangeAspect="1" noChangeArrowheads="1"/>
        </xdr:cNvSpPr>
      </xdr:nvSpPr>
      <xdr:spPr bwMode="auto">
        <a:xfrm>
          <a:off x="0" y="906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48" name="AutoShape 880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906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49" name="AutoShape 881" descr="SWEDEN4"/>
        <xdr:cNvSpPr>
          <a:spLocks noChangeAspect="1" noChangeArrowheads="1"/>
        </xdr:cNvSpPr>
      </xdr:nvSpPr>
      <xdr:spPr bwMode="auto">
        <a:xfrm>
          <a:off x="0" y="908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50" name="AutoShape 882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908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51" name="AutoShape 883" descr="SWEDEN4"/>
        <xdr:cNvSpPr>
          <a:spLocks noChangeAspect="1" noChangeArrowheads="1"/>
        </xdr:cNvSpPr>
      </xdr:nvSpPr>
      <xdr:spPr bwMode="auto">
        <a:xfrm>
          <a:off x="0" y="9102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52" name="AutoShape 884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9102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53" name="AutoShape 885" descr="SWEDEN4"/>
        <xdr:cNvSpPr>
          <a:spLocks noChangeAspect="1" noChangeArrowheads="1"/>
        </xdr:cNvSpPr>
      </xdr:nvSpPr>
      <xdr:spPr bwMode="auto">
        <a:xfrm>
          <a:off x="0" y="9120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54" name="AutoShape 886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9120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55" name="AutoShape 887" descr="SWEDEN4"/>
        <xdr:cNvSpPr>
          <a:spLocks noChangeAspect="1" noChangeArrowheads="1"/>
        </xdr:cNvSpPr>
      </xdr:nvSpPr>
      <xdr:spPr bwMode="auto">
        <a:xfrm>
          <a:off x="0" y="9137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56" name="AutoShape 888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9137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57" name="AutoShape 889" descr="SWEDEN11"/>
        <xdr:cNvSpPr>
          <a:spLocks noChangeAspect="1" noChangeArrowheads="1"/>
        </xdr:cNvSpPr>
      </xdr:nvSpPr>
      <xdr:spPr bwMode="auto">
        <a:xfrm>
          <a:off x="0" y="9155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58" name="AutoShape 890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9155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59" name="AutoShape 891" descr="SWEDEN11"/>
        <xdr:cNvSpPr>
          <a:spLocks noChangeAspect="1" noChangeArrowheads="1"/>
        </xdr:cNvSpPr>
      </xdr:nvSpPr>
      <xdr:spPr bwMode="auto">
        <a:xfrm>
          <a:off x="0" y="9172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60" name="AutoShape 892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9172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61" name="AutoShape 893" descr="SWEDEN11"/>
        <xdr:cNvSpPr>
          <a:spLocks noChangeAspect="1" noChangeArrowheads="1"/>
        </xdr:cNvSpPr>
      </xdr:nvSpPr>
      <xdr:spPr bwMode="auto">
        <a:xfrm>
          <a:off x="0" y="91904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62" name="AutoShape 894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91904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63" name="AutoShape 895" descr="SWEDEN11"/>
        <xdr:cNvSpPr>
          <a:spLocks noChangeAspect="1" noChangeArrowheads="1"/>
        </xdr:cNvSpPr>
      </xdr:nvSpPr>
      <xdr:spPr bwMode="auto">
        <a:xfrm>
          <a:off x="0" y="9215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64" name="AutoShape 896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9215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65" name="AutoShape 897" descr="SWEDEN11"/>
        <xdr:cNvSpPr>
          <a:spLocks noChangeAspect="1" noChangeArrowheads="1"/>
        </xdr:cNvSpPr>
      </xdr:nvSpPr>
      <xdr:spPr bwMode="auto">
        <a:xfrm>
          <a:off x="0" y="9240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66" name="AutoShape 898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9240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67" name="AutoShape 899" descr="TURKEY"/>
        <xdr:cNvSpPr>
          <a:spLocks noChangeAspect="1" noChangeArrowheads="1"/>
        </xdr:cNvSpPr>
      </xdr:nvSpPr>
      <xdr:spPr bwMode="auto">
        <a:xfrm>
          <a:off x="0" y="9265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68" name="AutoShape 900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926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69" name="AutoShape 901" descr="TURKEY"/>
        <xdr:cNvSpPr>
          <a:spLocks noChangeAspect="1" noChangeArrowheads="1"/>
        </xdr:cNvSpPr>
      </xdr:nvSpPr>
      <xdr:spPr bwMode="auto">
        <a:xfrm>
          <a:off x="0" y="9283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70" name="AutoShape 902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9283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71" name="AutoShape 903" descr="TURKEY"/>
        <xdr:cNvSpPr>
          <a:spLocks noChangeAspect="1" noChangeArrowheads="1"/>
        </xdr:cNvSpPr>
      </xdr:nvSpPr>
      <xdr:spPr bwMode="auto">
        <a:xfrm>
          <a:off x="0" y="9300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72" name="AutoShape 904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9300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73" name="AutoShape 905" descr="TURKEY"/>
        <xdr:cNvSpPr>
          <a:spLocks noChangeAspect="1" noChangeArrowheads="1"/>
        </xdr:cNvSpPr>
      </xdr:nvSpPr>
      <xdr:spPr bwMode="auto">
        <a:xfrm>
          <a:off x="0" y="9318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74" name="AutoShape 906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9318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75" name="AutoShape 907" descr="TURKEY2"/>
        <xdr:cNvSpPr>
          <a:spLocks noChangeAspect="1" noChangeArrowheads="1"/>
        </xdr:cNvSpPr>
      </xdr:nvSpPr>
      <xdr:spPr bwMode="auto">
        <a:xfrm>
          <a:off x="0" y="933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76" name="AutoShape 908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933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77" name="AutoShape 909" descr="TURKEY2"/>
        <xdr:cNvSpPr>
          <a:spLocks noChangeAspect="1" noChangeArrowheads="1"/>
        </xdr:cNvSpPr>
      </xdr:nvSpPr>
      <xdr:spPr bwMode="auto">
        <a:xfrm>
          <a:off x="0" y="936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78" name="AutoShape 910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936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79" name="AutoShape 911" descr="TURKEY2"/>
        <xdr:cNvSpPr>
          <a:spLocks noChangeAspect="1" noChangeArrowheads="1"/>
        </xdr:cNvSpPr>
      </xdr:nvSpPr>
      <xdr:spPr bwMode="auto">
        <a:xfrm>
          <a:off x="0" y="9378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80" name="AutoShape 912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9378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81" name="AutoShape 913" descr="TURKEY2"/>
        <xdr:cNvSpPr>
          <a:spLocks noChangeAspect="1" noChangeArrowheads="1"/>
        </xdr:cNvSpPr>
      </xdr:nvSpPr>
      <xdr:spPr bwMode="auto">
        <a:xfrm>
          <a:off x="0" y="9396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82" name="AutoShape 914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9396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83" name="AutoShape 915" descr="UKRAINE"/>
        <xdr:cNvSpPr>
          <a:spLocks noChangeAspect="1" noChangeArrowheads="1"/>
        </xdr:cNvSpPr>
      </xdr:nvSpPr>
      <xdr:spPr bwMode="auto">
        <a:xfrm>
          <a:off x="0" y="9413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84" name="AutoShape 916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9413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85" name="AutoShape 917" descr="UKRAINE"/>
        <xdr:cNvSpPr>
          <a:spLocks noChangeAspect="1" noChangeArrowheads="1"/>
        </xdr:cNvSpPr>
      </xdr:nvSpPr>
      <xdr:spPr bwMode="auto">
        <a:xfrm>
          <a:off x="0" y="943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86" name="AutoShape 918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943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87" name="AutoShape 919" descr="UKRAINE"/>
        <xdr:cNvSpPr>
          <a:spLocks noChangeAspect="1" noChangeArrowheads="1"/>
        </xdr:cNvSpPr>
      </xdr:nvSpPr>
      <xdr:spPr bwMode="auto">
        <a:xfrm>
          <a:off x="0" y="9448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88" name="AutoShape 920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9448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89" name="AutoShape 921" descr="URUGUAY3"/>
        <xdr:cNvSpPr>
          <a:spLocks noChangeAspect="1" noChangeArrowheads="1"/>
        </xdr:cNvSpPr>
      </xdr:nvSpPr>
      <xdr:spPr bwMode="auto">
        <a:xfrm>
          <a:off x="0" y="9466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90" name="AutoShape 922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9466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91" name="AutoShape 923" descr="URUGUAY3"/>
        <xdr:cNvSpPr>
          <a:spLocks noChangeAspect="1" noChangeArrowheads="1"/>
        </xdr:cNvSpPr>
      </xdr:nvSpPr>
      <xdr:spPr bwMode="auto">
        <a:xfrm>
          <a:off x="0" y="9491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92" name="AutoShape 924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9491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93" name="AutoShape 925" descr="URUGUAY3"/>
        <xdr:cNvSpPr>
          <a:spLocks noChangeAspect="1" noChangeArrowheads="1"/>
        </xdr:cNvSpPr>
      </xdr:nvSpPr>
      <xdr:spPr bwMode="auto">
        <a:xfrm>
          <a:off x="0" y="9508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94" name="AutoShape 926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9508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95" name="AutoShape 927" descr="USA"/>
        <xdr:cNvSpPr>
          <a:spLocks noChangeAspect="1" noChangeArrowheads="1"/>
        </xdr:cNvSpPr>
      </xdr:nvSpPr>
      <xdr:spPr bwMode="auto">
        <a:xfrm>
          <a:off x="0" y="9526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96" name="AutoShape 928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9526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97" name="AutoShape 929" descr="USA"/>
        <xdr:cNvSpPr>
          <a:spLocks noChangeAspect="1" noChangeArrowheads="1"/>
        </xdr:cNvSpPr>
      </xdr:nvSpPr>
      <xdr:spPr bwMode="auto">
        <a:xfrm>
          <a:off x="0" y="9544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198" name="AutoShape 930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9544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199" name="AutoShape 931" descr="USA"/>
        <xdr:cNvSpPr>
          <a:spLocks noChangeAspect="1" noChangeArrowheads="1"/>
        </xdr:cNvSpPr>
      </xdr:nvSpPr>
      <xdr:spPr bwMode="auto">
        <a:xfrm>
          <a:off x="0" y="9561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00" name="AutoShape 932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9561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01" name="AutoShape 933" descr="USA"/>
        <xdr:cNvSpPr>
          <a:spLocks noChangeAspect="1" noChangeArrowheads="1"/>
        </xdr:cNvSpPr>
      </xdr:nvSpPr>
      <xdr:spPr bwMode="auto">
        <a:xfrm>
          <a:off x="0" y="9586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02" name="AutoShape 934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9586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03" name="AutoShape 935" descr="USA"/>
        <xdr:cNvSpPr>
          <a:spLocks noChangeAspect="1" noChangeArrowheads="1"/>
        </xdr:cNvSpPr>
      </xdr:nvSpPr>
      <xdr:spPr bwMode="auto">
        <a:xfrm>
          <a:off x="0" y="9604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04" name="AutoShape 936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9604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05" name="AutoShape 937" descr="USA2"/>
        <xdr:cNvSpPr>
          <a:spLocks noChangeAspect="1" noChangeArrowheads="1"/>
        </xdr:cNvSpPr>
      </xdr:nvSpPr>
      <xdr:spPr bwMode="auto">
        <a:xfrm>
          <a:off x="0" y="9621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06" name="AutoShape 938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9621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07" name="AutoShape 939" descr="USA2"/>
        <xdr:cNvSpPr>
          <a:spLocks noChangeAspect="1" noChangeArrowheads="1"/>
        </xdr:cNvSpPr>
      </xdr:nvSpPr>
      <xdr:spPr bwMode="auto">
        <a:xfrm>
          <a:off x="0" y="9639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08" name="AutoShape 940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9639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09" name="AutoShape 941" descr="USA2"/>
        <xdr:cNvSpPr>
          <a:spLocks noChangeAspect="1" noChangeArrowheads="1"/>
        </xdr:cNvSpPr>
      </xdr:nvSpPr>
      <xdr:spPr bwMode="auto">
        <a:xfrm>
          <a:off x="0" y="9656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10" name="AutoShape 942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9656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11" name="AutoShape 943" descr="USA2"/>
        <xdr:cNvSpPr>
          <a:spLocks noChangeAspect="1" noChangeArrowheads="1"/>
        </xdr:cNvSpPr>
      </xdr:nvSpPr>
      <xdr:spPr bwMode="auto">
        <a:xfrm>
          <a:off x="0" y="9674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12" name="AutoShape 944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9674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13" name="AutoShape 945" descr="USA2"/>
        <xdr:cNvSpPr>
          <a:spLocks noChangeAspect="1" noChangeArrowheads="1"/>
        </xdr:cNvSpPr>
      </xdr:nvSpPr>
      <xdr:spPr bwMode="auto">
        <a:xfrm>
          <a:off x="0" y="9691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14" name="AutoShape 946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9691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15" name="AutoShape 947" descr="USA3"/>
        <xdr:cNvSpPr>
          <a:spLocks noChangeAspect="1" noChangeArrowheads="1"/>
        </xdr:cNvSpPr>
      </xdr:nvSpPr>
      <xdr:spPr bwMode="auto">
        <a:xfrm>
          <a:off x="0" y="9709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16" name="AutoShape 948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9709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17" name="AutoShape 949" descr="USA3"/>
        <xdr:cNvSpPr>
          <a:spLocks noChangeAspect="1" noChangeArrowheads="1"/>
        </xdr:cNvSpPr>
      </xdr:nvSpPr>
      <xdr:spPr bwMode="auto">
        <a:xfrm>
          <a:off x="0" y="9726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18" name="AutoShape 950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9726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19" name="AutoShape 951" descr="USA3"/>
        <xdr:cNvSpPr>
          <a:spLocks noChangeAspect="1" noChangeArrowheads="1"/>
        </xdr:cNvSpPr>
      </xdr:nvSpPr>
      <xdr:spPr bwMode="auto">
        <a:xfrm>
          <a:off x="0" y="9744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20" name="AutoShape 952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9744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21" name="AutoShape 953" descr="USA3"/>
        <xdr:cNvSpPr>
          <a:spLocks noChangeAspect="1" noChangeArrowheads="1"/>
        </xdr:cNvSpPr>
      </xdr:nvSpPr>
      <xdr:spPr bwMode="auto">
        <a:xfrm>
          <a:off x="0" y="9761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22" name="AutoShape 954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9761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23" name="AutoShape 955" descr="USA3"/>
        <xdr:cNvSpPr>
          <a:spLocks noChangeAspect="1" noChangeArrowheads="1"/>
        </xdr:cNvSpPr>
      </xdr:nvSpPr>
      <xdr:spPr bwMode="auto">
        <a:xfrm>
          <a:off x="0" y="9787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24" name="AutoShape 956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9787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25" name="AutoShape 957" descr="USA6"/>
        <xdr:cNvSpPr>
          <a:spLocks noChangeAspect="1" noChangeArrowheads="1"/>
        </xdr:cNvSpPr>
      </xdr:nvSpPr>
      <xdr:spPr bwMode="auto">
        <a:xfrm>
          <a:off x="0" y="9812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26" name="AutoShape 958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9812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27" name="AutoShape 959" descr="USA6"/>
        <xdr:cNvSpPr>
          <a:spLocks noChangeAspect="1" noChangeArrowheads="1"/>
        </xdr:cNvSpPr>
      </xdr:nvSpPr>
      <xdr:spPr bwMode="auto">
        <a:xfrm>
          <a:off x="0" y="9837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28" name="AutoShape 960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9837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29" name="AutoShape 961" descr="USA6"/>
        <xdr:cNvSpPr>
          <a:spLocks noChangeAspect="1" noChangeArrowheads="1"/>
        </xdr:cNvSpPr>
      </xdr:nvSpPr>
      <xdr:spPr bwMode="auto">
        <a:xfrm>
          <a:off x="0" y="9862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30" name="AutoShape 962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9862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31" name="AutoShape 963" descr="USA6"/>
        <xdr:cNvSpPr>
          <a:spLocks noChangeAspect="1" noChangeArrowheads="1"/>
        </xdr:cNvSpPr>
      </xdr:nvSpPr>
      <xdr:spPr bwMode="auto">
        <a:xfrm>
          <a:off x="0" y="9887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32" name="AutoShape 964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9887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33" name="AutoShape 965" descr="USA6"/>
        <xdr:cNvSpPr>
          <a:spLocks noChangeAspect="1" noChangeArrowheads="1"/>
        </xdr:cNvSpPr>
      </xdr:nvSpPr>
      <xdr:spPr bwMode="auto">
        <a:xfrm>
          <a:off x="0" y="9912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34" name="AutoShape 966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9912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35" name="AutoShape 967" descr="USA7"/>
        <xdr:cNvSpPr>
          <a:spLocks noChangeAspect="1" noChangeArrowheads="1"/>
        </xdr:cNvSpPr>
      </xdr:nvSpPr>
      <xdr:spPr bwMode="auto">
        <a:xfrm>
          <a:off x="0" y="9938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36" name="AutoShape 968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9938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37" name="AutoShape 969" descr="USA7"/>
        <xdr:cNvSpPr>
          <a:spLocks noChangeAspect="1" noChangeArrowheads="1"/>
        </xdr:cNvSpPr>
      </xdr:nvSpPr>
      <xdr:spPr bwMode="auto">
        <a:xfrm>
          <a:off x="0" y="9955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38" name="AutoShape 970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9955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39" name="AutoShape 971" descr="USA7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40" name="AutoShape 972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41" name="AutoShape 973" descr="WALES"/>
        <xdr:cNvSpPr>
          <a:spLocks noChangeAspect="1" noChangeArrowheads="1"/>
        </xdr:cNvSpPr>
      </xdr:nvSpPr>
      <xdr:spPr bwMode="auto">
        <a:xfrm>
          <a:off x="0" y="9998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42" name="AutoShape 974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9998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43" name="AutoShape 975" descr="WALES"/>
        <xdr:cNvSpPr>
          <a:spLocks noChangeAspect="1" noChangeArrowheads="1"/>
        </xdr:cNvSpPr>
      </xdr:nvSpPr>
      <xdr:spPr bwMode="auto">
        <a:xfrm>
          <a:off x="0" y="10015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44" name="AutoShape 976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0015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45" name="AutoShape 977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46" name="AutoShape 978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47" name="AutoShape 979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48" name="AutoShape 980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49" name="AutoShape 981" descr="SPAIN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50" name="AutoShape 982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51" name="AutoShape 983" descr="NETHERLANDS"/>
        <xdr:cNvSpPr>
          <a:spLocks noChangeAspect="1" noChangeArrowheads="1"/>
        </xdr:cNvSpPr>
      </xdr:nvSpPr>
      <xdr:spPr bwMode="auto">
        <a:xfrm>
          <a:off x="0" y="70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52" name="AutoShape 984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70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53" name="AutoShape 985" descr="NETHERLANDS"/>
        <xdr:cNvSpPr>
          <a:spLocks noChangeAspect="1" noChangeArrowheads="1"/>
        </xdr:cNvSpPr>
      </xdr:nvSpPr>
      <xdr:spPr bwMode="auto">
        <a:xfrm>
          <a:off x="0" y="95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54" name="AutoShape 986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55" name="AutoShape 987" descr="NETHERLANDS"/>
        <xdr:cNvSpPr>
          <a:spLocks noChangeAspect="1" noChangeArrowheads="1"/>
        </xdr:cNvSpPr>
      </xdr:nvSpPr>
      <xdr:spPr bwMode="auto">
        <a:xfrm>
          <a:off x="0" y="112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56" name="AutoShape 988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12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57" name="AutoShape 989" descr="NETHERLANDS"/>
        <xdr:cNvSpPr>
          <a:spLocks noChangeAspect="1" noChangeArrowheads="1"/>
        </xdr:cNvSpPr>
      </xdr:nvSpPr>
      <xdr:spPr bwMode="auto">
        <a:xfrm>
          <a:off x="0" y="137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58" name="AutoShape 990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37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59" name="AutoShape 991" descr="PORTUGAL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60" name="AutoShape 992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61" name="AutoShape 993" descr="PORTUGAL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62" name="AutoShape 994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63" name="AutoShape 995" descr="PORTUGAL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64" name="AutoShape 996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65" name="AutoShape 997" descr="PORTUGAL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66" name="AutoShape 998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67" name="AutoShape 999" descr="ENGLAND2"/>
        <xdr:cNvSpPr>
          <a:spLocks noChangeAspect="1" noChangeArrowheads="1"/>
        </xdr:cNvSpPr>
      </xdr:nvSpPr>
      <xdr:spPr bwMode="auto">
        <a:xfrm>
          <a:off x="0" y="240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68" name="AutoShape 1000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240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69" name="AutoShape 1001" descr="ENGLAND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70" name="AutoShape 1002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71" name="AutoShape 1003" descr="SPAIN2"/>
        <xdr:cNvSpPr>
          <a:spLocks noChangeAspect="1" noChangeArrowheads="1"/>
        </xdr:cNvSpPr>
      </xdr:nvSpPr>
      <xdr:spPr bwMode="auto">
        <a:xfrm>
          <a:off x="0" y="283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72" name="AutoShape 1004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283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73" name="AutoShape 1005" descr="SPAIN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74" name="AutoShape 1006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75" name="AutoShape 1007" descr="SPAIN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76" name="AutoShape 1008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77" name="AutoShape 1009" descr="SPAIN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78" name="AutoShape 1010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79" name="AutoShape 1011" descr="GERMANY2"/>
        <xdr:cNvSpPr>
          <a:spLocks noChangeAspect="1" noChangeArrowheads="1"/>
        </xdr:cNvSpPr>
      </xdr:nvSpPr>
      <xdr:spPr bwMode="auto">
        <a:xfrm>
          <a:off x="0" y="353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80" name="AutoShape 1012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353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81" name="AutoShape 1013" descr="GERMANY2"/>
        <xdr:cNvSpPr>
          <a:spLocks noChangeAspect="1" noChangeArrowheads="1"/>
        </xdr:cNvSpPr>
      </xdr:nvSpPr>
      <xdr:spPr bwMode="auto">
        <a:xfrm>
          <a:off x="0" y="378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82" name="AutoShape 1014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378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83" name="AutoShape 1015" descr="GERMANY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84" name="AutoShape 1016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85" name="AutoShape 1017" descr="ARGENTINA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86" name="AutoShape 1018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87" name="AutoShape 1019" descr="ARGENTINA2"/>
        <xdr:cNvSpPr>
          <a:spLocks noChangeAspect="1" noChangeArrowheads="1"/>
        </xdr:cNvSpPr>
      </xdr:nvSpPr>
      <xdr:spPr bwMode="auto">
        <a:xfrm>
          <a:off x="0" y="438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88" name="AutoShape 1020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89" name="AutoShape 1021" descr="ARGENTINA2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90" name="AutoShape 1022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91" name="AutoShape 1023" descr="ARGENTINA2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44" name="AutoShape 1024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45" name="AutoShape 1025" descr="ARGENTINA2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46" name="AutoShape 1026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47" name="AutoShape 1027" descr="ARGENTINA3"/>
        <xdr:cNvSpPr>
          <a:spLocks noChangeAspect="1" noChangeArrowheads="1"/>
        </xdr:cNvSpPr>
      </xdr:nvSpPr>
      <xdr:spPr bwMode="auto">
        <a:xfrm>
          <a:off x="0" y="531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48" name="AutoShape 1028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531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49" name="AutoShape 1029" descr="ARGENTINA3"/>
        <xdr:cNvSpPr>
          <a:spLocks noChangeAspect="1" noChangeArrowheads="1"/>
        </xdr:cNvSpPr>
      </xdr:nvSpPr>
      <xdr:spPr bwMode="auto">
        <a:xfrm>
          <a:off x="0" y="557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50" name="AutoShape 1030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557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51" name="AutoShape 1031" descr="ARGENTINA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52" name="AutoShape 1032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53" name="AutoShape 1033" descr="ARGENTINA3"/>
        <xdr:cNvSpPr>
          <a:spLocks noChangeAspect="1" noChangeArrowheads="1"/>
        </xdr:cNvSpPr>
      </xdr:nvSpPr>
      <xdr:spPr bwMode="auto">
        <a:xfrm>
          <a:off x="0" y="607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54" name="AutoShape 1034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607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55" name="AutoShape 1035" descr="ARGENTINA3"/>
        <xdr:cNvSpPr>
          <a:spLocks noChangeAspect="1" noChangeArrowheads="1"/>
        </xdr:cNvSpPr>
      </xdr:nvSpPr>
      <xdr:spPr bwMode="auto">
        <a:xfrm>
          <a:off x="0" y="632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56" name="AutoShape 1036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632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57" name="AutoShape 1037" descr="ARGENTINA3"/>
        <xdr:cNvSpPr>
          <a:spLocks noChangeAspect="1" noChangeArrowheads="1"/>
        </xdr:cNvSpPr>
      </xdr:nvSpPr>
      <xdr:spPr bwMode="auto">
        <a:xfrm>
          <a:off x="0" y="657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58" name="AutoShape 1038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657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59" name="AutoShape 1039" descr="ARGENTINA3"/>
        <xdr:cNvSpPr>
          <a:spLocks noChangeAspect="1" noChangeArrowheads="1"/>
        </xdr:cNvSpPr>
      </xdr:nvSpPr>
      <xdr:spPr bwMode="auto">
        <a:xfrm>
          <a:off x="0" y="675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60" name="AutoShape 1040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675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61" name="AutoShape 1041" descr="ARMENIA"/>
        <xdr:cNvSpPr>
          <a:spLocks noChangeAspect="1" noChangeArrowheads="1"/>
        </xdr:cNvSpPr>
      </xdr:nvSpPr>
      <xdr:spPr bwMode="auto">
        <a:xfrm>
          <a:off x="0" y="692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62" name="AutoShape 1042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692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63" name="AutoShape 1043" descr="AUSTRALIA3"/>
        <xdr:cNvSpPr>
          <a:spLocks noChangeAspect="1" noChangeArrowheads="1"/>
        </xdr:cNvSpPr>
      </xdr:nvSpPr>
      <xdr:spPr bwMode="auto">
        <a:xfrm>
          <a:off x="0" y="710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64" name="AutoShape 1044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710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65" name="AutoShape 1045" descr="AUSTRALIA7"/>
        <xdr:cNvSpPr>
          <a:spLocks noChangeAspect="1" noChangeArrowheads="1"/>
        </xdr:cNvSpPr>
      </xdr:nvSpPr>
      <xdr:spPr bwMode="auto">
        <a:xfrm>
          <a:off x="0" y="735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66" name="AutoShape 1046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67" name="AutoShape 1047" descr="AUSTRALIA7"/>
        <xdr:cNvSpPr>
          <a:spLocks noChangeAspect="1" noChangeArrowheads="1"/>
        </xdr:cNvSpPr>
      </xdr:nvSpPr>
      <xdr:spPr bwMode="auto">
        <a:xfrm>
          <a:off x="0" y="76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68" name="AutoShape 1048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76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69" name="AutoShape 1049" descr="AUSTRALIA7"/>
        <xdr:cNvSpPr>
          <a:spLocks noChangeAspect="1" noChangeArrowheads="1"/>
        </xdr:cNvSpPr>
      </xdr:nvSpPr>
      <xdr:spPr bwMode="auto">
        <a:xfrm>
          <a:off x="0" y="78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70" name="AutoShape 1050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78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71" name="AutoShape 1051" descr="AUSTRALIA7"/>
        <xdr:cNvSpPr>
          <a:spLocks noChangeAspect="1" noChangeArrowheads="1"/>
        </xdr:cNvSpPr>
      </xdr:nvSpPr>
      <xdr:spPr bwMode="auto">
        <a:xfrm>
          <a:off x="0" y="81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72" name="AutoShape 1052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81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73" name="AutoShape 1053" descr="AUSTRALIA7"/>
        <xdr:cNvSpPr>
          <a:spLocks noChangeAspect="1" noChangeArrowheads="1"/>
        </xdr:cNvSpPr>
      </xdr:nvSpPr>
      <xdr:spPr bwMode="auto">
        <a:xfrm>
          <a:off x="0" y="83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74" name="AutoShape 1054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83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75" name="AutoShape 1055" descr="AUSTRALIA7"/>
        <xdr:cNvSpPr>
          <a:spLocks noChangeAspect="1" noChangeArrowheads="1"/>
        </xdr:cNvSpPr>
      </xdr:nvSpPr>
      <xdr:spPr bwMode="auto">
        <a:xfrm>
          <a:off x="0" y="85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76" name="AutoShape 1056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85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77" name="AutoShape 1057" descr="AUSTRALIA10"/>
        <xdr:cNvSpPr>
          <a:spLocks noChangeAspect="1" noChangeArrowheads="1"/>
        </xdr:cNvSpPr>
      </xdr:nvSpPr>
      <xdr:spPr bwMode="auto">
        <a:xfrm>
          <a:off x="0" y="870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78" name="AutoShape 1058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870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79" name="AutoShape 1059" descr="AUSTRALIA10"/>
        <xdr:cNvSpPr>
          <a:spLocks noChangeAspect="1" noChangeArrowheads="1"/>
        </xdr:cNvSpPr>
      </xdr:nvSpPr>
      <xdr:spPr bwMode="auto">
        <a:xfrm>
          <a:off x="0" y="89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80" name="AutoShape 1060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81" name="AutoShape 1061" descr="AUSTRALIA11"/>
        <xdr:cNvSpPr>
          <a:spLocks noChangeAspect="1" noChangeArrowheads="1"/>
        </xdr:cNvSpPr>
      </xdr:nvSpPr>
      <xdr:spPr bwMode="auto">
        <a:xfrm>
          <a:off x="0" y="921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82" name="AutoShape 1062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921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83" name="AutoShape 1063" descr="AUSTRALIA11"/>
        <xdr:cNvSpPr>
          <a:spLocks noChangeAspect="1" noChangeArrowheads="1"/>
        </xdr:cNvSpPr>
      </xdr:nvSpPr>
      <xdr:spPr bwMode="auto">
        <a:xfrm>
          <a:off x="0" y="946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84" name="AutoShape 1064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946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85" name="AutoShape 1065" descr="AUSTRALIA11"/>
        <xdr:cNvSpPr>
          <a:spLocks noChangeAspect="1" noChangeArrowheads="1"/>
        </xdr:cNvSpPr>
      </xdr:nvSpPr>
      <xdr:spPr bwMode="auto">
        <a:xfrm>
          <a:off x="0" y="963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86" name="AutoShape 1066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963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87" name="AutoShape 1067" descr="AUSTRIA"/>
        <xdr:cNvSpPr>
          <a:spLocks noChangeAspect="1" noChangeArrowheads="1"/>
        </xdr:cNvSpPr>
      </xdr:nvSpPr>
      <xdr:spPr bwMode="auto">
        <a:xfrm>
          <a:off x="0" y="98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88" name="AutoShape 1068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98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89" name="AutoShape 1069" descr="AUSTRIA"/>
        <xdr:cNvSpPr>
          <a:spLocks noChangeAspect="1" noChangeArrowheads="1"/>
        </xdr:cNvSpPr>
      </xdr:nvSpPr>
      <xdr:spPr bwMode="auto">
        <a:xfrm>
          <a:off x="0" y="100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90" name="AutoShape 1070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00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91" name="AutoShape 1071" descr="AUSTRIA"/>
        <xdr:cNvSpPr>
          <a:spLocks noChangeAspect="1" noChangeArrowheads="1"/>
        </xdr:cNvSpPr>
      </xdr:nvSpPr>
      <xdr:spPr bwMode="auto">
        <a:xfrm>
          <a:off x="0" y="102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92" name="AutoShape 1072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02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93" name="AutoShape 1073" descr="AUSTRIA2"/>
        <xdr:cNvSpPr>
          <a:spLocks noChangeAspect="1" noChangeArrowheads="1"/>
        </xdr:cNvSpPr>
      </xdr:nvSpPr>
      <xdr:spPr bwMode="auto">
        <a:xfrm>
          <a:off x="0" y="104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94" name="AutoShape 1074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04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95" name="AutoShape 1075" descr="BELARUS"/>
        <xdr:cNvSpPr>
          <a:spLocks noChangeAspect="1" noChangeArrowheads="1"/>
        </xdr:cNvSpPr>
      </xdr:nvSpPr>
      <xdr:spPr bwMode="auto">
        <a:xfrm>
          <a:off x="0" y="105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96" name="AutoShape 1076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05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97" name="AutoShape 1077" descr="BELARUS"/>
        <xdr:cNvSpPr>
          <a:spLocks noChangeAspect="1" noChangeArrowheads="1"/>
        </xdr:cNvSpPr>
      </xdr:nvSpPr>
      <xdr:spPr bwMode="auto">
        <a:xfrm>
          <a:off x="0" y="107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198" name="AutoShape 1078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07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199" name="AutoShape 1079" descr="BELARUS"/>
        <xdr:cNvSpPr>
          <a:spLocks noChangeAspect="1" noChangeArrowheads="1"/>
        </xdr:cNvSpPr>
      </xdr:nvSpPr>
      <xdr:spPr bwMode="auto">
        <a:xfrm>
          <a:off x="0" y="1101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00" name="AutoShape 1080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101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01" name="AutoShape 1081" descr="BELGIUM"/>
        <xdr:cNvSpPr>
          <a:spLocks noChangeAspect="1" noChangeArrowheads="1"/>
        </xdr:cNvSpPr>
      </xdr:nvSpPr>
      <xdr:spPr bwMode="auto">
        <a:xfrm>
          <a:off x="0" y="111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02" name="AutoShape 1082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11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03" name="AutoShape 1083" descr="BELGIUM"/>
        <xdr:cNvSpPr>
          <a:spLocks noChangeAspect="1" noChangeArrowheads="1"/>
        </xdr:cNvSpPr>
      </xdr:nvSpPr>
      <xdr:spPr bwMode="auto">
        <a:xfrm>
          <a:off x="0" y="113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04" name="AutoShape 1084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13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05" name="AutoShape 1085" descr="BELGIUM"/>
        <xdr:cNvSpPr>
          <a:spLocks noChangeAspect="1" noChangeArrowheads="1"/>
        </xdr:cNvSpPr>
      </xdr:nvSpPr>
      <xdr:spPr bwMode="auto">
        <a:xfrm>
          <a:off x="0" y="115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06" name="AutoShape 1086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15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07" name="AutoShape 1087" descr="BELGIUM"/>
        <xdr:cNvSpPr>
          <a:spLocks noChangeAspect="1" noChangeArrowheads="1"/>
        </xdr:cNvSpPr>
      </xdr:nvSpPr>
      <xdr:spPr bwMode="auto">
        <a:xfrm>
          <a:off x="0" y="117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08" name="AutoShape 1088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17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09" name="AutoShape 1089" descr="BELGIUM2"/>
        <xdr:cNvSpPr>
          <a:spLocks noChangeAspect="1" noChangeArrowheads="1"/>
        </xdr:cNvSpPr>
      </xdr:nvSpPr>
      <xdr:spPr bwMode="auto">
        <a:xfrm>
          <a:off x="0" y="119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10" name="AutoShape 1090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19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11" name="AutoShape 1091" descr="BRAZIL"/>
        <xdr:cNvSpPr>
          <a:spLocks noChangeAspect="1" noChangeArrowheads="1"/>
        </xdr:cNvSpPr>
      </xdr:nvSpPr>
      <xdr:spPr bwMode="auto">
        <a:xfrm>
          <a:off x="0" y="121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12" name="AutoShape 1092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21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13" name="AutoShape 1093" descr="BRAZIL"/>
        <xdr:cNvSpPr>
          <a:spLocks noChangeAspect="1" noChangeArrowheads="1"/>
        </xdr:cNvSpPr>
      </xdr:nvSpPr>
      <xdr:spPr bwMode="auto">
        <a:xfrm>
          <a:off x="0" y="123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14" name="AutoShape 1094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23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15" name="AutoShape 1095" descr="BRAZIL"/>
        <xdr:cNvSpPr>
          <a:spLocks noChangeAspect="1" noChangeArrowheads="1"/>
        </xdr:cNvSpPr>
      </xdr:nvSpPr>
      <xdr:spPr bwMode="auto">
        <a:xfrm>
          <a:off x="0" y="124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16" name="AutoShape 1096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24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17" name="AutoShape 1097" descr="BRAZIL"/>
        <xdr:cNvSpPr>
          <a:spLocks noChangeAspect="1" noChangeArrowheads="1"/>
        </xdr:cNvSpPr>
      </xdr:nvSpPr>
      <xdr:spPr bwMode="auto">
        <a:xfrm>
          <a:off x="0" y="126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18" name="AutoShape 1098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26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19" name="AutoShape 1099" descr="BRAZIL"/>
        <xdr:cNvSpPr>
          <a:spLocks noChangeAspect="1" noChangeArrowheads="1"/>
        </xdr:cNvSpPr>
      </xdr:nvSpPr>
      <xdr:spPr bwMode="auto">
        <a:xfrm>
          <a:off x="0" y="1292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20" name="AutoShape 1100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292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21" name="AutoShape 1101" descr="BRAZIL"/>
        <xdr:cNvSpPr>
          <a:spLocks noChangeAspect="1" noChangeArrowheads="1"/>
        </xdr:cNvSpPr>
      </xdr:nvSpPr>
      <xdr:spPr bwMode="auto">
        <a:xfrm>
          <a:off x="0" y="1309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22" name="AutoShape 1102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309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23" name="AutoShape 1103" descr="BRAZIL"/>
        <xdr:cNvSpPr>
          <a:spLocks noChangeAspect="1" noChangeArrowheads="1"/>
        </xdr:cNvSpPr>
      </xdr:nvSpPr>
      <xdr:spPr bwMode="auto">
        <a:xfrm>
          <a:off x="0" y="1327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24" name="AutoShape 1104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327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25" name="AutoShape 1105" descr="BRAZIL2"/>
        <xdr:cNvSpPr>
          <a:spLocks noChangeAspect="1" noChangeArrowheads="1"/>
        </xdr:cNvSpPr>
      </xdr:nvSpPr>
      <xdr:spPr bwMode="auto">
        <a:xfrm>
          <a:off x="0" y="1344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26" name="AutoShape 1106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344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27" name="AutoShape 1107" descr="BRAZIL2"/>
        <xdr:cNvSpPr>
          <a:spLocks noChangeAspect="1" noChangeArrowheads="1"/>
        </xdr:cNvSpPr>
      </xdr:nvSpPr>
      <xdr:spPr bwMode="auto">
        <a:xfrm>
          <a:off x="0" y="1362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28" name="AutoShape 1108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362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29" name="AutoShape 1109" descr="BRAZIL2"/>
        <xdr:cNvSpPr>
          <a:spLocks noChangeAspect="1" noChangeArrowheads="1"/>
        </xdr:cNvSpPr>
      </xdr:nvSpPr>
      <xdr:spPr bwMode="auto">
        <a:xfrm>
          <a:off x="0" y="137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30" name="AutoShape 1110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37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31" name="AutoShape 1111" descr="BRAZIL3"/>
        <xdr:cNvSpPr>
          <a:spLocks noChangeAspect="1" noChangeArrowheads="1"/>
        </xdr:cNvSpPr>
      </xdr:nvSpPr>
      <xdr:spPr bwMode="auto">
        <a:xfrm>
          <a:off x="0" y="1405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32" name="AutoShape 1112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05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33" name="AutoShape 1113" descr="BRAZIL3"/>
        <xdr:cNvSpPr>
          <a:spLocks noChangeAspect="1" noChangeArrowheads="1"/>
        </xdr:cNvSpPr>
      </xdr:nvSpPr>
      <xdr:spPr bwMode="auto">
        <a:xfrm>
          <a:off x="0" y="142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34" name="AutoShape 1114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35" name="AutoShape 1115" descr="BRAZIL3"/>
        <xdr:cNvSpPr>
          <a:spLocks noChangeAspect="1" noChangeArrowheads="1"/>
        </xdr:cNvSpPr>
      </xdr:nvSpPr>
      <xdr:spPr bwMode="auto">
        <a:xfrm>
          <a:off x="0" y="1440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36" name="AutoShape 1116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40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37" name="AutoShape 1117" descr="BRAZIL3"/>
        <xdr:cNvSpPr>
          <a:spLocks noChangeAspect="1" noChangeArrowheads="1"/>
        </xdr:cNvSpPr>
      </xdr:nvSpPr>
      <xdr:spPr bwMode="auto">
        <a:xfrm>
          <a:off x="0" y="1457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38" name="AutoShape 1118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57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39" name="AutoShape 1119" descr="BRAZIL5"/>
        <xdr:cNvSpPr>
          <a:spLocks noChangeAspect="1" noChangeArrowheads="1"/>
        </xdr:cNvSpPr>
      </xdr:nvSpPr>
      <xdr:spPr bwMode="auto">
        <a:xfrm>
          <a:off x="0" y="1475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40" name="AutoShape 1120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75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41" name="AutoShape 1121" descr="BRAZIL5"/>
        <xdr:cNvSpPr>
          <a:spLocks noChangeAspect="1" noChangeArrowheads="1"/>
        </xdr:cNvSpPr>
      </xdr:nvSpPr>
      <xdr:spPr bwMode="auto">
        <a:xfrm>
          <a:off x="0" y="1492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42" name="AutoShape 1122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92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43" name="AutoShape 1123" descr="BRAZIL5"/>
        <xdr:cNvSpPr>
          <a:spLocks noChangeAspect="1" noChangeArrowheads="1"/>
        </xdr:cNvSpPr>
      </xdr:nvSpPr>
      <xdr:spPr bwMode="auto">
        <a:xfrm>
          <a:off x="0" y="1510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44" name="AutoShape 1124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510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45" name="AutoShape 1125" descr="BULGARIA"/>
        <xdr:cNvSpPr>
          <a:spLocks noChangeAspect="1" noChangeArrowheads="1"/>
        </xdr:cNvSpPr>
      </xdr:nvSpPr>
      <xdr:spPr bwMode="auto">
        <a:xfrm>
          <a:off x="0" y="1527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46" name="AutoShape 1126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527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47" name="AutoShape 1127" descr="BULGARIA"/>
        <xdr:cNvSpPr>
          <a:spLocks noChangeAspect="1" noChangeArrowheads="1"/>
        </xdr:cNvSpPr>
      </xdr:nvSpPr>
      <xdr:spPr bwMode="auto">
        <a:xfrm>
          <a:off x="0" y="154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48" name="AutoShape 1128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54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49" name="AutoShape 1129" descr="BULGARIA2"/>
        <xdr:cNvSpPr>
          <a:spLocks noChangeAspect="1" noChangeArrowheads="1"/>
        </xdr:cNvSpPr>
      </xdr:nvSpPr>
      <xdr:spPr bwMode="auto">
        <a:xfrm>
          <a:off x="0" y="156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50" name="AutoShape 1130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56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51" name="AutoShape 1131" descr="BULGARIA2"/>
        <xdr:cNvSpPr>
          <a:spLocks noChangeAspect="1" noChangeArrowheads="1"/>
        </xdr:cNvSpPr>
      </xdr:nvSpPr>
      <xdr:spPr bwMode="auto">
        <a:xfrm>
          <a:off x="0" y="1588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52" name="AutoShape 1132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588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53" name="AutoShape 1133" descr="BULGARIA2"/>
        <xdr:cNvSpPr>
          <a:spLocks noChangeAspect="1" noChangeArrowheads="1"/>
        </xdr:cNvSpPr>
      </xdr:nvSpPr>
      <xdr:spPr bwMode="auto">
        <a:xfrm>
          <a:off x="0" y="161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54" name="AutoShape 1134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61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55" name="AutoShape 1135" descr="BULGARIA2"/>
        <xdr:cNvSpPr>
          <a:spLocks noChangeAspect="1" noChangeArrowheads="1"/>
        </xdr:cNvSpPr>
      </xdr:nvSpPr>
      <xdr:spPr bwMode="auto">
        <a:xfrm>
          <a:off x="0" y="1630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56" name="AutoShape 1136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630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57" name="AutoShape 1137" descr="BULGARIA2"/>
        <xdr:cNvSpPr>
          <a:spLocks noChangeAspect="1" noChangeArrowheads="1"/>
        </xdr:cNvSpPr>
      </xdr:nvSpPr>
      <xdr:spPr bwMode="auto">
        <a:xfrm>
          <a:off x="0" y="1648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58" name="AutoShape 1138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648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59" name="AutoShape 1139" descr="CANADA"/>
        <xdr:cNvSpPr>
          <a:spLocks noChangeAspect="1" noChangeArrowheads="1"/>
        </xdr:cNvSpPr>
      </xdr:nvSpPr>
      <xdr:spPr bwMode="auto">
        <a:xfrm>
          <a:off x="0" y="1665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60" name="AutoShape 1140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665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61" name="AutoShape 1141" descr="CANADA"/>
        <xdr:cNvSpPr>
          <a:spLocks noChangeAspect="1" noChangeArrowheads="1"/>
        </xdr:cNvSpPr>
      </xdr:nvSpPr>
      <xdr:spPr bwMode="auto">
        <a:xfrm>
          <a:off x="0" y="1690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62" name="AutoShape 1142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690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63" name="AutoShape 1143" descr="CHILE"/>
        <xdr:cNvSpPr>
          <a:spLocks noChangeAspect="1" noChangeArrowheads="1"/>
        </xdr:cNvSpPr>
      </xdr:nvSpPr>
      <xdr:spPr bwMode="auto">
        <a:xfrm>
          <a:off x="0" y="171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64" name="AutoShape 1144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71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65" name="AutoShape 1145" descr="CHILE"/>
        <xdr:cNvSpPr>
          <a:spLocks noChangeAspect="1" noChangeArrowheads="1"/>
        </xdr:cNvSpPr>
      </xdr:nvSpPr>
      <xdr:spPr bwMode="auto">
        <a:xfrm>
          <a:off x="0" y="174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66" name="AutoShape 1146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74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67" name="AutoShape 1147" descr="CHILE"/>
        <xdr:cNvSpPr>
          <a:spLocks noChangeAspect="1" noChangeArrowheads="1"/>
        </xdr:cNvSpPr>
      </xdr:nvSpPr>
      <xdr:spPr bwMode="auto">
        <a:xfrm>
          <a:off x="0" y="176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68" name="AutoShape 1148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76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69" name="AutoShape 1149" descr="CHILE"/>
        <xdr:cNvSpPr>
          <a:spLocks noChangeAspect="1" noChangeArrowheads="1"/>
        </xdr:cNvSpPr>
      </xdr:nvSpPr>
      <xdr:spPr bwMode="auto">
        <a:xfrm>
          <a:off x="0" y="178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70" name="AutoShape 1150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78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71" name="AutoShape 1151" descr="CHILE2"/>
        <xdr:cNvSpPr>
          <a:spLocks noChangeAspect="1" noChangeArrowheads="1"/>
        </xdr:cNvSpPr>
      </xdr:nvSpPr>
      <xdr:spPr bwMode="auto">
        <a:xfrm>
          <a:off x="0" y="180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72" name="AutoShape 1152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80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73" name="AutoShape 1153" descr="CHILE2"/>
        <xdr:cNvSpPr>
          <a:spLocks noChangeAspect="1" noChangeArrowheads="1"/>
        </xdr:cNvSpPr>
      </xdr:nvSpPr>
      <xdr:spPr bwMode="auto">
        <a:xfrm>
          <a:off x="0" y="182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74" name="AutoShape 1154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82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75" name="AutoShape 1155" descr="CHILE2"/>
        <xdr:cNvSpPr>
          <a:spLocks noChangeAspect="1" noChangeArrowheads="1"/>
        </xdr:cNvSpPr>
      </xdr:nvSpPr>
      <xdr:spPr bwMode="auto">
        <a:xfrm>
          <a:off x="0" y="184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76" name="AutoShape 1156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84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77" name="AutoShape 1157" descr="CHINA2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78" name="AutoShape 1158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79" name="AutoShape 1159" descr="CHINA2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80" name="AutoShape 1160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81" name="AutoShape 1161" descr="CHINA2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82" name="AutoShape 1162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83" name="AutoShape 1163" descr="CHINA2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84" name="AutoShape 1164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85" name="AutoShape 1165" descr="COLOMBIA2"/>
        <xdr:cNvSpPr>
          <a:spLocks noChangeAspect="1" noChangeArrowheads="1"/>
        </xdr:cNvSpPr>
      </xdr:nvSpPr>
      <xdr:spPr bwMode="auto">
        <a:xfrm>
          <a:off x="0" y="1954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86" name="AutoShape 1166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954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87" name="AutoShape 1167" descr="COLOMBIA2"/>
        <xdr:cNvSpPr>
          <a:spLocks noChangeAspect="1" noChangeArrowheads="1"/>
        </xdr:cNvSpPr>
      </xdr:nvSpPr>
      <xdr:spPr bwMode="auto">
        <a:xfrm>
          <a:off x="0" y="197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88" name="AutoShape 1168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97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89" name="AutoShape 1169" descr="COLOMBIA2"/>
        <xdr:cNvSpPr>
          <a:spLocks noChangeAspect="1" noChangeArrowheads="1"/>
        </xdr:cNvSpPr>
      </xdr:nvSpPr>
      <xdr:spPr bwMode="auto">
        <a:xfrm>
          <a:off x="0" y="1997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90" name="AutoShape 1170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997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91" name="AutoShape 1171" descr="COSTARICA"/>
        <xdr:cNvSpPr>
          <a:spLocks noChangeAspect="1" noChangeArrowheads="1"/>
        </xdr:cNvSpPr>
      </xdr:nvSpPr>
      <xdr:spPr bwMode="auto">
        <a:xfrm>
          <a:off x="0" y="2022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92" name="AutoShape 1172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2022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93" name="AutoShape 1173" descr="COSTARICA"/>
        <xdr:cNvSpPr>
          <a:spLocks noChangeAspect="1" noChangeArrowheads="1"/>
        </xdr:cNvSpPr>
      </xdr:nvSpPr>
      <xdr:spPr bwMode="auto">
        <a:xfrm>
          <a:off x="0" y="2039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94" name="AutoShape 1174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2039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95" name="AutoShape 1175" descr="CROATIA"/>
        <xdr:cNvSpPr>
          <a:spLocks noChangeAspect="1" noChangeArrowheads="1"/>
        </xdr:cNvSpPr>
      </xdr:nvSpPr>
      <xdr:spPr bwMode="auto">
        <a:xfrm>
          <a:off x="0" y="205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96" name="AutoShape 1176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205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97" name="AutoShape 1177" descr="CROATIA"/>
        <xdr:cNvSpPr>
          <a:spLocks noChangeAspect="1" noChangeArrowheads="1"/>
        </xdr:cNvSpPr>
      </xdr:nvSpPr>
      <xdr:spPr bwMode="auto">
        <a:xfrm>
          <a:off x="0" y="2074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298" name="AutoShape 1178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2074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299" name="AutoShape 1179" descr="CZECHREPUBLIC2"/>
        <xdr:cNvSpPr>
          <a:spLocks noChangeAspect="1" noChangeArrowheads="1"/>
        </xdr:cNvSpPr>
      </xdr:nvSpPr>
      <xdr:spPr bwMode="auto">
        <a:xfrm>
          <a:off x="0" y="209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00" name="AutoShape 1180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209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01" name="AutoShape 1181" descr="DENMARK"/>
        <xdr:cNvSpPr>
          <a:spLocks noChangeAspect="1" noChangeArrowheads="1"/>
        </xdr:cNvSpPr>
      </xdr:nvSpPr>
      <xdr:spPr bwMode="auto">
        <a:xfrm>
          <a:off x="0" y="2117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02" name="AutoShape 1182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2117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03" name="AutoShape 1183" descr="DENMARK"/>
        <xdr:cNvSpPr>
          <a:spLocks noChangeAspect="1" noChangeArrowheads="1"/>
        </xdr:cNvSpPr>
      </xdr:nvSpPr>
      <xdr:spPr bwMode="auto">
        <a:xfrm>
          <a:off x="0" y="213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04" name="AutoShape 1184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213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05" name="AutoShape 1185" descr="DENMARK"/>
        <xdr:cNvSpPr>
          <a:spLocks noChangeAspect="1" noChangeArrowheads="1"/>
        </xdr:cNvSpPr>
      </xdr:nvSpPr>
      <xdr:spPr bwMode="auto">
        <a:xfrm>
          <a:off x="0" y="2152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06" name="AutoShape 1186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215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07" name="AutoShape 1187" descr="DENMARK"/>
        <xdr:cNvSpPr>
          <a:spLocks noChangeAspect="1" noChangeArrowheads="1"/>
        </xdr:cNvSpPr>
      </xdr:nvSpPr>
      <xdr:spPr bwMode="auto">
        <a:xfrm>
          <a:off x="0" y="217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08" name="AutoShape 1188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217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09" name="AutoShape 1189" descr="DENMARK2"/>
        <xdr:cNvSpPr>
          <a:spLocks noChangeAspect="1" noChangeArrowheads="1"/>
        </xdr:cNvSpPr>
      </xdr:nvSpPr>
      <xdr:spPr bwMode="auto">
        <a:xfrm>
          <a:off x="0" y="220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10" name="AutoShape 1190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220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11" name="AutoShape 1191" descr="ECUADOR"/>
        <xdr:cNvSpPr>
          <a:spLocks noChangeAspect="1" noChangeArrowheads="1"/>
        </xdr:cNvSpPr>
      </xdr:nvSpPr>
      <xdr:spPr bwMode="auto">
        <a:xfrm>
          <a:off x="0" y="2228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12" name="AutoShape 1192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2228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13" name="AutoShape 1193" descr="ECUADOR"/>
        <xdr:cNvSpPr>
          <a:spLocks noChangeAspect="1" noChangeArrowheads="1"/>
        </xdr:cNvSpPr>
      </xdr:nvSpPr>
      <xdr:spPr bwMode="auto">
        <a:xfrm>
          <a:off x="0" y="2245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14" name="AutoShape 1194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2245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15" name="AutoShape 1195" descr="ECUADOR"/>
        <xdr:cNvSpPr>
          <a:spLocks noChangeAspect="1" noChangeArrowheads="1"/>
        </xdr:cNvSpPr>
      </xdr:nvSpPr>
      <xdr:spPr bwMode="auto">
        <a:xfrm>
          <a:off x="0" y="226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16" name="AutoShape 1196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226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17" name="AutoShape 1197" descr="ESTONIA"/>
        <xdr:cNvSpPr>
          <a:spLocks noChangeAspect="1" noChangeArrowheads="1"/>
        </xdr:cNvSpPr>
      </xdr:nvSpPr>
      <xdr:spPr bwMode="auto">
        <a:xfrm>
          <a:off x="0" y="228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18" name="AutoShape 1198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228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19" name="AutoShape 1199" descr="ESTONIA"/>
        <xdr:cNvSpPr>
          <a:spLocks noChangeAspect="1" noChangeArrowheads="1"/>
        </xdr:cNvSpPr>
      </xdr:nvSpPr>
      <xdr:spPr bwMode="auto">
        <a:xfrm>
          <a:off x="0" y="229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20" name="AutoShape 1200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229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21" name="AutoShape 1201" descr="ESTONIA"/>
        <xdr:cNvSpPr>
          <a:spLocks noChangeAspect="1" noChangeArrowheads="1"/>
        </xdr:cNvSpPr>
      </xdr:nvSpPr>
      <xdr:spPr bwMode="auto">
        <a:xfrm>
          <a:off x="0" y="2315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22" name="AutoShape 1202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2315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23" name="AutoShape 1203" descr="ESTONIA"/>
        <xdr:cNvSpPr>
          <a:spLocks noChangeAspect="1" noChangeArrowheads="1"/>
        </xdr:cNvSpPr>
      </xdr:nvSpPr>
      <xdr:spPr bwMode="auto">
        <a:xfrm>
          <a:off x="0" y="2333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24" name="AutoShape 1204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2333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25" name="AutoShape 1205" descr="FAROEISLANDS"/>
        <xdr:cNvSpPr>
          <a:spLocks noChangeAspect="1" noChangeArrowheads="1"/>
        </xdr:cNvSpPr>
      </xdr:nvSpPr>
      <xdr:spPr bwMode="auto">
        <a:xfrm>
          <a:off x="0" y="2350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26" name="AutoShape 1206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2350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27" name="AutoShape 1207" descr="FAROEISLANDS"/>
        <xdr:cNvSpPr>
          <a:spLocks noChangeAspect="1" noChangeArrowheads="1"/>
        </xdr:cNvSpPr>
      </xdr:nvSpPr>
      <xdr:spPr bwMode="auto">
        <a:xfrm>
          <a:off x="0" y="2368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28" name="AutoShape 1208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2368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29" name="AutoShape 1209" descr="FAROEISLANDS"/>
        <xdr:cNvSpPr>
          <a:spLocks noChangeAspect="1" noChangeArrowheads="1"/>
        </xdr:cNvSpPr>
      </xdr:nvSpPr>
      <xdr:spPr bwMode="auto">
        <a:xfrm>
          <a:off x="0" y="2385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30" name="AutoShape 1210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2385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31" name="AutoShape 1211" descr="FAROEISLANDS"/>
        <xdr:cNvSpPr>
          <a:spLocks noChangeAspect="1" noChangeArrowheads="1"/>
        </xdr:cNvSpPr>
      </xdr:nvSpPr>
      <xdr:spPr bwMode="auto">
        <a:xfrm>
          <a:off x="0" y="240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32" name="AutoShape 1212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240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33" name="AutoShape 1213" descr="FAROEISLANDS"/>
        <xdr:cNvSpPr>
          <a:spLocks noChangeAspect="1" noChangeArrowheads="1"/>
        </xdr:cNvSpPr>
      </xdr:nvSpPr>
      <xdr:spPr bwMode="auto">
        <a:xfrm>
          <a:off x="0" y="242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34" name="AutoShape 1214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242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35" name="AutoShape 1215" descr="FINLAND"/>
        <xdr:cNvSpPr>
          <a:spLocks noChangeAspect="1" noChangeArrowheads="1"/>
        </xdr:cNvSpPr>
      </xdr:nvSpPr>
      <xdr:spPr bwMode="auto">
        <a:xfrm>
          <a:off x="0" y="243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36" name="AutoShape 1216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243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37" name="AutoShape 1217" descr="FINLAND"/>
        <xdr:cNvSpPr>
          <a:spLocks noChangeAspect="1" noChangeArrowheads="1"/>
        </xdr:cNvSpPr>
      </xdr:nvSpPr>
      <xdr:spPr bwMode="auto">
        <a:xfrm>
          <a:off x="0" y="245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38" name="AutoShape 1218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245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39" name="AutoShape 1219" descr="FINLAND"/>
        <xdr:cNvSpPr>
          <a:spLocks noChangeAspect="1" noChangeArrowheads="1"/>
        </xdr:cNvSpPr>
      </xdr:nvSpPr>
      <xdr:spPr bwMode="auto">
        <a:xfrm>
          <a:off x="0" y="247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40" name="AutoShape 1220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247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41" name="AutoShape 1221" descr="FINLAND2"/>
        <xdr:cNvSpPr>
          <a:spLocks noChangeAspect="1" noChangeArrowheads="1"/>
        </xdr:cNvSpPr>
      </xdr:nvSpPr>
      <xdr:spPr bwMode="auto">
        <a:xfrm>
          <a:off x="0" y="249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42" name="AutoShape 1222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249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43" name="AutoShape 1223" descr="FINLAND3"/>
        <xdr:cNvSpPr>
          <a:spLocks noChangeAspect="1" noChangeArrowheads="1"/>
        </xdr:cNvSpPr>
      </xdr:nvSpPr>
      <xdr:spPr bwMode="auto">
        <a:xfrm>
          <a:off x="0" y="250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44" name="AutoShape 1224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250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45" name="AutoShape 1225" descr="FINLAND3"/>
        <xdr:cNvSpPr>
          <a:spLocks noChangeAspect="1" noChangeArrowheads="1"/>
        </xdr:cNvSpPr>
      </xdr:nvSpPr>
      <xdr:spPr bwMode="auto">
        <a:xfrm>
          <a:off x="0" y="252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46" name="AutoShape 1226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252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47" name="AutoShape 1227" descr="FINLAND3"/>
        <xdr:cNvSpPr>
          <a:spLocks noChangeAspect="1" noChangeArrowheads="1"/>
        </xdr:cNvSpPr>
      </xdr:nvSpPr>
      <xdr:spPr bwMode="auto">
        <a:xfrm>
          <a:off x="0" y="254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48" name="AutoShape 1228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254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49" name="AutoShape 1229" descr="FINLAND4"/>
        <xdr:cNvSpPr>
          <a:spLocks noChangeAspect="1" noChangeArrowheads="1"/>
        </xdr:cNvSpPr>
      </xdr:nvSpPr>
      <xdr:spPr bwMode="auto">
        <a:xfrm>
          <a:off x="0" y="256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50" name="AutoShape 1230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256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51" name="AutoShape 1231" descr="FINLAND6"/>
        <xdr:cNvSpPr>
          <a:spLocks noChangeAspect="1" noChangeArrowheads="1"/>
        </xdr:cNvSpPr>
      </xdr:nvSpPr>
      <xdr:spPr bwMode="auto">
        <a:xfrm>
          <a:off x="0" y="257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52" name="AutoShape 1232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257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53" name="AutoShape 1233" descr="FINLAND6"/>
        <xdr:cNvSpPr>
          <a:spLocks noChangeAspect="1" noChangeArrowheads="1"/>
        </xdr:cNvSpPr>
      </xdr:nvSpPr>
      <xdr:spPr bwMode="auto">
        <a:xfrm>
          <a:off x="0" y="259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54" name="AutoShape 1234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259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55" name="AutoShape 1235" descr="GEORGIA"/>
        <xdr:cNvSpPr>
          <a:spLocks noChangeAspect="1" noChangeArrowheads="1"/>
        </xdr:cNvSpPr>
      </xdr:nvSpPr>
      <xdr:spPr bwMode="auto">
        <a:xfrm>
          <a:off x="0" y="2621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56" name="AutoShape 1236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262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57" name="AutoShape 1237" descr="GEORGIA"/>
        <xdr:cNvSpPr>
          <a:spLocks noChangeAspect="1" noChangeArrowheads="1"/>
        </xdr:cNvSpPr>
      </xdr:nvSpPr>
      <xdr:spPr bwMode="auto">
        <a:xfrm>
          <a:off x="0" y="2638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58" name="AutoShape 1238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2638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59" name="AutoShape 1239" descr="GERMANY3"/>
        <xdr:cNvSpPr>
          <a:spLocks noChangeAspect="1" noChangeArrowheads="1"/>
        </xdr:cNvSpPr>
      </xdr:nvSpPr>
      <xdr:spPr bwMode="auto">
        <a:xfrm>
          <a:off x="0" y="2663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60" name="AutoShape 1240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2663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61" name="AutoShape 1241" descr="GERMANY3"/>
        <xdr:cNvSpPr>
          <a:spLocks noChangeAspect="1" noChangeArrowheads="1"/>
        </xdr:cNvSpPr>
      </xdr:nvSpPr>
      <xdr:spPr bwMode="auto">
        <a:xfrm>
          <a:off x="0" y="2689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62" name="AutoShape 1242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2689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63" name="AutoShape 1243" descr="GERMANY3"/>
        <xdr:cNvSpPr>
          <a:spLocks noChangeAspect="1" noChangeArrowheads="1"/>
        </xdr:cNvSpPr>
      </xdr:nvSpPr>
      <xdr:spPr bwMode="auto">
        <a:xfrm>
          <a:off x="0" y="27066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64" name="AutoShape 1244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2706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65" name="AutoShape 1245" descr="GERMANY4"/>
        <xdr:cNvSpPr>
          <a:spLocks noChangeAspect="1" noChangeArrowheads="1"/>
        </xdr:cNvSpPr>
      </xdr:nvSpPr>
      <xdr:spPr bwMode="auto">
        <a:xfrm>
          <a:off x="0" y="2731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66" name="AutoShape 1246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2731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67" name="AutoShape 1247" descr="GERMANY4"/>
        <xdr:cNvSpPr>
          <a:spLocks noChangeAspect="1" noChangeArrowheads="1"/>
        </xdr:cNvSpPr>
      </xdr:nvSpPr>
      <xdr:spPr bwMode="auto">
        <a:xfrm>
          <a:off x="0" y="275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68" name="AutoShape 1248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275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69" name="AutoShape 1249" descr="GERMANY4"/>
        <xdr:cNvSpPr>
          <a:spLocks noChangeAspect="1" noChangeArrowheads="1"/>
        </xdr:cNvSpPr>
      </xdr:nvSpPr>
      <xdr:spPr bwMode="auto">
        <a:xfrm>
          <a:off x="0" y="2782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70" name="AutoShape 1250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2782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71" name="AutoShape 1251" descr="GERMANY4"/>
        <xdr:cNvSpPr>
          <a:spLocks noChangeAspect="1" noChangeArrowheads="1"/>
        </xdr:cNvSpPr>
      </xdr:nvSpPr>
      <xdr:spPr bwMode="auto">
        <a:xfrm>
          <a:off x="0" y="280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72" name="AutoShape 1252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280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73" name="AutoShape 1253" descr="GERMANY4"/>
        <xdr:cNvSpPr>
          <a:spLocks noChangeAspect="1" noChangeArrowheads="1"/>
        </xdr:cNvSpPr>
      </xdr:nvSpPr>
      <xdr:spPr bwMode="auto">
        <a:xfrm>
          <a:off x="0" y="283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74" name="AutoShape 1254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283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75" name="AutoShape 1255" descr="GERMANY5"/>
        <xdr:cNvSpPr>
          <a:spLocks noChangeAspect="1" noChangeArrowheads="1"/>
        </xdr:cNvSpPr>
      </xdr:nvSpPr>
      <xdr:spPr bwMode="auto">
        <a:xfrm>
          <a:off x="0" y="284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76" name="AutoShape 1256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284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77" name="AutoShape 1257" descr="GERMANY5"/>
        <xdr:cNvSpPr>
          <a:spLocks noChangeAspect="1" noChangeArrowheads="1"/>
        </xdr:cNvSpPr>
      </xdr:nvSpPr>
      <xdr:spPr bwMode="auto">
        <a:xfrm>
          <a:off x="0" y="286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78" name="AutoShape 1258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286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79" name="AutoShape 1259" descr="GERMANY6"/>
        <xdr:cNvSpPr>
          <a:spLocks noChangeAspect="1" noChangeArrowheads="1"/>
        </xdr:cNvSpPr>
      </xdr:nvSpPr>
      <xdr:spPr bwMode="auto">
        <a:xfrm>
          <a:off x="0" y="289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80" name="AutoShape 1260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289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81" name="AutoShape 1261" descr="GERMANY7"/>
        <xdr:cNvSpPr>
          <a:spLocks noChangeAspect="1" noChangeArrowheads="1"/>
        </xdr:cNvSpPr>
      </xdr:nvSpPr>
      <xdr:spPr bwMode="auto">
        <a:xfrm>
          <a:off x="0" y="291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82" name="AutoShape 1262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291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83" name="AutoShape 1263" descr="GERMANY7"/>
        <xdr:cNvSpPr>
          <a:spLocks noChangeAspect="1" noChangeArrowheads="1"/>
        </xdr:cNvSpPr>
      </xdr:nvSpPr>
      <xdr:spPr bwMode="auto">
        <a:xfrm>
          <a:off x="0" y="2927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84" name="AutoShape 1264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2927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85" name="AutoShape 1265" descr="GERMANY7"/>
        <xdr:cNvSpPr>
          <a:spLocks noChangeAspect="1" noChangeArrowheads="1"/>
        </xdr:cNvSpPr>
      </xdr:nvSpPr>
      <xdr:spPr bwMode="auto">
        <a:xfrm>
          <a:off x="0" y="2945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86" name="AutoShape 1266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2945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87" name="AutoShape 1267" descr="GUATEMALA"/>
        <xdr:cNvSpPr>
          <a:spLocks noChangeAspect="1" noChangeArrowheads="1"/>
        </xdr:cNvSpPr>
      </xdr:nvSpPr>
      <xdr:spPr bwMode="auto">
        <a:xfrm>
          <a:off x="0" y="297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88" name="AutoShape 1268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297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89" name="AutoShape 1269" descr="GUATEMALA"/>
        <xdr:cNvSpPr>
          <a:spLocks noChangeAspect="1" noChangeArrowheads="1"/>
        </xdr:cNvSpPr>
      </xdr:nvSpPr>
      <xdr:spPr bwMode="auto">
        <a:xfrm>
          <a:off x="0" y="2995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90" name="AutoShape 1270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2995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91" name="AutoShape 1271" descr="GUATEMALA"/>
        <xdr:cNvSpPr>
          <a:spLocks noChangeAspect="1" noChangeArrowheads="1"/>
        </xdr:cNvSpPr>
      </xdr:nvSpPr>
      <xdr:spPr bwMode="auto">
        <a:xfrm>
          <a:off x="0" y="3012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92" name="AutoShape 1272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3012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93" name="AutoShape 1273" descr="HUNGARY"/>
        <xdr:cNvSpPr>
          <a:spLocks noChangeAspect="1" noChangeArrowheads="1"/>
        </xdr:cNvSpPr>
      </xdr:nvSpPr>
      <xdr:spPr bwMode="auto">
        <a:xfrm>
          <a:off x="0" y="3038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94" name="AutoShape 1274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3038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95" name="AutoShape 1275" descr="HUNGARY"/>
        <xdr:cNvSpPr>
          <a:spLocks noChangeAspect="1" noChangeArrowheads="1"/>
        </xdr:cNvSpPr>
      </xdr:nvSpPr>
      <xdr:spPr bwMode="auto">
        <a:xfrm>
          <a:off x="0" y="305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96" name="AutoShape 1276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305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97" name="AutoShape 1277" descr="HUNGARY2"/>
        <xdr:cNvSpPr>
          <a:spLocks noChangeAspect="1" noChangeArrowheads="1"/>
        </xdr:cNvSpPr>
      </xdr:nvSpPr>
      <xdr:spPr bwMode="auto">
        <a:xfrm>
          <a:off x="0" y="307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398" name="AutoShape 1278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307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399" name="AutoShape 1279" descr="HUNGARY2"/>
        <xdr:cNvSpPr>
          <a:spLocks noChangeAspect="1" noChangeArrowheads="1"/>
        </xdr:cNvSpPr>
      </xdr:nvSpPr>
      <xdr:spPr bwMode="auto">
        <a:xfrm>
          <a:off x="0" y="3090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00" name="AutoShape 1280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3090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01" name="AutoShape 1281" descr="ICELAND"/>
        <xdr:cNvSpPr>
          <a:spLocks noChangeAspect="1" noChangeArrowheads="1"/>
        </xdr:cNvSpPr>
      </xdr:nvSpPr>
      <xdr:spPr bwMode="auto">
        <a:xfrm>
          <a:off x="0" y="3108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02" name="AutoShape 1282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3108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03" name="AutoShape 1283" descr="ICELAND"/>
        <xdr:cNvSpPr>
          <a:spLocks noChangeAspect="1" noChangeArrowheads="1"/>
        </xdr:cNvSpPr>
      </xdr:nvSpPr>
      <xdr:spPr bwMode="auto">
        <a:xfrm>
          <a:off x="0" y="3125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04" name="AutoShape 1284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3125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05" name="AutoShape 1285" descr="ICELAND"/>
        <xdr:cNvSpPr>
          <a:spLocks noChangeAspect="1" noChangeArrowheads="1"/>
        </xdr:cNvSpPr>
      </xdr:nvSpPr>
      <xdr:spPr bwMode="auto">
        <a:xfrm>
          <a:off x="0" y="3143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06" name="AutoShape 1286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31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07" name="AutoShape 1287" descr="JAPAN2"/>
        <xdr:cNvSpPr>
          <a:spLocks noChangeAspect="1" noChangeArrowheads="1"/>
        </xdr:cNvSpPr>
      </xdr:nvSpPr>
      <xdr:spPr bwMode="auto">
        <a:xfrm>
          <a:off x="0" y="316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08" name="AutoShape 1288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316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09" name="AutoShape 1289" descr="JAPAN2"/>
        <xdr:cNvSpPr>
          <a:spLocks noChangeAspect="1" noChangeArrowheads="1"/>
        </xdr:cNvSpPr>
      </xdr:nvSpPr>
      <xdr:spPr bwMode="auto">
        <a:xfrm>
          <a:off x="0" y="318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10" name="AutoShape 1290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318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11" name="AutoShape 1291" descr="JAPAN3"/>
        <xdr:cNvSpPr>
          <a:spLocks noChangeAspect="1" noChangeArrowheads="1"/>
        </xdr:cNvSpPr>
      </xdr:nvSpPr>
      <xdr:spPr bwMode="auto">
        <a:xfrm>
          <a:off x="0" y="320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12" name="AutoShape 1292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320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13" name="AutoShape 1293" descr="JAPAN3"/>
        <xdr:cNvSpPr>
          <a:spLocks noChangeAspect="1" noChangeArrowheads="1"/>
        </xdr:cNvSpPr>
      </xdr:nvSpPr>
      <xdr:spPr bwMode="auto">
        <a:xfrm>
          <a:off x="0" y="322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14" name="AutoShape 1294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322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15" name="AutoShape 1295" descr="JAPAN3"/>
        <xdr:cNvSpPr>
          <a:spLocks noChangeAspect="1" noChangeArrowheads="1"/>
        </xdr:cNvSpPr>
      </xdr:nvSpPr>
      <xdr:spPr bwMode="auto">
        <a:xfrm>
          <a:off x="0" y="32537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16" name="AutoShape 1296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3253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17" name="AutoShape 1297" descr="JAPAN3"/>
        <xdr:cNvSpPr>
          <a:spLocks noChangeAspect="1" noChangeArrowheads="1"/>
        </xdr:cNvSpPr>
      </xdr:nvSpPr>
      <xdr:spPr bwMode="auto">
        <a:xfrm>
          <a:off x="0" y="3278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18" name="AutoShape 1298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3278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19" name="AutoShape 1299" descr="KAZAKHSTAN"/>
        <xdr:cNvSpPr>
          <a:spLocks noChangeAspect="1" noChangeArrowheads="1"/>
        </xdr:cNvSpPr>
      </xdr:nvSpPr>
      <xdr:spPr bwMode="auto">
        <a:xfrm>
          <a:off x="0" y="330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20" name="AutoShape 1300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330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21" name="AutoShape 1301" descr="KAZAKHSTAN"/>
        <xdr:cNvSpPr>
          <a:spLocks noChangeAspect="1" noChangeArrowheads="1"/>
        </xdr:cNvSpPr>
      </xdr:nvSpPr>
      <xdr:spPr bwMode="auto">
        <a:xfrm>
          <a:off x="0" y="3321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22" name="AutoShape 1302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3321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23" name="AutoShape 1303" descr="KAZAKHSTAN"/>
        <xdr:cNvSpPr>
          <a:spLocks noChangeAspect="1" noChangeArrowheads="1"/>
        </xdr:cNvSpPr>
      </xdr:nvSpPr>
      <xdr:spPr bwMode="auto">
        <a:xfrm>
          <a:off x="0" y="333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24" name="AutoShape 1304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333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25" name="AutoShape 1305" descr="KAZAKHSTAN"/>
        <xdr:cNvSpPr>
          <a:spLocks noChangeAspect="1" noChangeArrowheads="1"/>
        </xdr:cNvSpPr>
      </xdr:nvSpPr>
      <xdr:spPr bwMode="auto">
        <a:xfrm>
          <a:off x="0" y="335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26" name="AutoShape 1306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335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27" name="AutoShape 1307" descr="LITHUANIA"/>
        <xdr:cNvSpPr>
          <a:spLocks noChangeAspect="1" noChangeArrowheads="1"/>
        </xdr:cNvSpPr>
      </xdr:nvSpPr>
      <xdr:spPr bwMode="auto">
        <a:xfrm>
          <a:off x="0" y="338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28" name="AutoShape 1308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338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29" name="AutoShape 1309" descr="LITHUANIA"/>
        <xdr:cNvSpPr>
          <a:spLocks noChangeAspect="1" noChangeArrowheads="1"/>
        </xdr:cNvSpPr>
      </xdr:nvSpPr>
      <xdr:spPr bwMode="auto">
        <a:xfrm>
          <a:off x="0" y="340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30" name="AutoShape 1310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340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31" name="AutoShape 1311" descr="MEXICO"/>
        <xdr:cNvSpPr>
          <a:spLocks noChangeAspect="1" noChangeArrowheads="1"/>
        </xdr:cNvSpPr>
      </xdr:nvSpPr>
      <xdr:spPr bwMode="auto">
        <a:xfrm>
          <a:off x="0" y="3424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32" name="AutoShape 1312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3424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33" name="AutoShape 1313" descr="MEXICO"/>
        <xdr:cNvSpPr>
          <a:spLocks noChangeAspect="1" noChangeArrowheads="1"/>
        </xdr:cNvSpPr>
      </xdr:nvSpPr>
      <xdr:spPr bwMode="auto">
        <a:xfrm>
          <a:off x="0" y="344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34" name="AutoShape 1314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344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35" name="AutoShape 1315" descr="MEXICO"/>
        <xdr:cNvSpPr>
          <a:spLocks noChangeAspect="1" noChangeArrowheads="1"/>
        </xdr:cNvSpPr>
      </xdr:nvSpPr>
      <xdr:spPr bwMode="auto">
        <a:xfrm>
          <a:off x="0" y="3459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36" name="AutoShape 1316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3459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37" name="AutoShape 1317" descr="MEXICO"/>
        <xdr:cNvSpPr>
          <a:spLocks noChangeAspect="1" noChangeArrowheads="1"/>
        </xdr:cNvSpPr>
      </xdr:nvSpPr>
      <xdr:spPr bwMode="auto">
        <a:xfrm>
          <a:off x="0" y="348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38" name="AutoShape 1318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348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39" name="AutoShape 1319" descr="MOLDOVA"/>
        <xdr:cNvSpPr>
          <a:spLocks noChangeAspect="1" noChangeArrowheads="1"/>
        </xdr:cNvSpPr>
      </xdr:nvSpPr>
      <xdr:spPr bwMode="auto">
        <a:xfrm>
          <a:off x="0" y="350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40" name="AutoShape 1320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350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41" name="AutoShape 1321" descr="MOLDOVA"/>
        <xdr:cNvSpPr>
          <a:spLocks noChangeAspect="1" noChangeArrowheads="1"/>
        </xdr:cNvSpPr>
      </xdr:nvSpPr>
      <xdr:spPr bwMode="auto">
        <a:xfrm>
          <a:off x="0" y="351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42" name="AutoShape 1322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351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43" name="AutoShape 1323" descr="MONTENEGRO"/>
        <xdr:cNvSpPr>
          <a:spLocks noChangeAspect="1" noChangeArrowheads="1"/>
        </xdr:cNvSpPr>
      </xdr:nvSpPr>
      <xdr:spPr bwMode="auto">
        <a:xfrm>
          <a:off x="0" y="354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44" name="AutoShape 1324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354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45" name="AutoShape 1325" descr="MONTENEGRO"/>
        <xdr:cNvSpPr>
          <a:spLocks noChangeAspect="1" noChangeArrowheads="1"/>
        </xdr:cNvSpPr>
      </xdr:nvSpPr>
      <xdr:spPr bwMode="auto">
        <a:xfrm>
          <a:off x="0" y="356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46" name="AutoShape 1326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356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47" name="AutoShape 1327" descr="MONTENEGRO"/>
        <xdr:cNvSpPr>
          <a:spLocks noChangeAspect="1" noChangeArrowheads="1"/>
        </xdr:cNvSpPr>
      </xdr:nvSpPr>
      <xdr:spPr bwMode="auto">
        <a:xfrm>
          <a:off x="0" y="357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48" name="AutoShape 1328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357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49" name="AutoShape 1329" descr="NORWAY"/>
        <xdr:cNvSpPr>
          <a:spLocks noChangeAspect="1" noChangeArrowheads="1"/>
        </xdr:cNvSpPr>
      </xdr:nvSpPr>
      <xdr:spPr bwMode="auto">
        <a:xfrm>
          <a:off x="0" y="359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50" name="AutoShape 1330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359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51" name="AutoShape 1331" descr="NORWAY"/>
        <xdr:cNvSpPr>
          <a:spLocks noChangeAspect="1" noChangeArrowheads="1"/>
        </xdr:cNvSpPr>
      </xdr:nvSpPr>
      <xdr:spPr bwMode="auto">
        <a:xfrm>
          <a:off x="0" y="361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52" name="AutoShape 1332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361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53" name="AutoShape 1333" descr="NORWAY"/>
        <xdr:cNvSpPr>
          <a:spLocks noChangeAspect="1" noChangeArrowheads="1"/>
        </xdr:cNvSpPr>
      </xdr:nvSpPr>
      <xdr:spPr bwMode="auto">
        <a:xfrm>
          <a:off x="0" y="363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54" name="AutoShape 1334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363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55" name="AutoShape 1335" descr="NORWAY"/>
        <xdr:cNvSpPr>
          <a:spLocks noChangeAspect="1" noChangeArrowheads="1"/>
        </xdr:cNvSpPr>
      </xdr:nvSpPr>
      <xdr:spPr bwMode="auto">
        <a:xfrm>
          <a:off x="0" y="364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56" name="AutoShape 1336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364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57" name="AutoShape 1337" descr="NORWAY"/>
        <xdr:cNvSpPr>
          <a:spLocks noChangeAspect="1" noChangeArrowheads="1"/>
        </xdr:cNvSpPr>
      </xdr:nvSpPr>
      <xdr:spPr bwMode="auto">
        <a:xfrm>
          <a:off x="0" y="366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58" name="AutoShape 1338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366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59" name="AutoShape 1339" descr="NORWAY2"/>
        <xdr:cNvSpPr>
          <a:spLocks noChangeAspect="1" noChangeArrowheads="1"/>
        </xdr:cNvSpPr>
      </xdr:nvSpPr>
      <xdr:spPr bwMode="auto">
        <a:xfrm>
          <a:off x="0" y="3685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60" name="AutoShape 1340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3685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61" name="AutoShape 1341" descr="NORWAY2"/>
        <xdr:cNvSpPr>
          <a:spLocks noChangeAspect="1" noChangeArrowheads="1"/>
        </xdr:cNvSpPr>
      </xdr:nvSpPr>
      <xdr:spPr bwMode="auto">
        <a:xfrm>
          <a:off x="0" y="3702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62" name="AutoShape 1342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3702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63" name="AutoShape 1343" descr="NORWAY2"/>
        <xdr:cNvSpPr>
          <a:spLocks noChangeAspect="1" noChangeArrowheads="1"/>
        </xdr:cNvSpPr>
      </xdr:nvSpPr>
      <xdr:spPr bwMode="auto">
        <a:xfrm>
          <a:off x="0" y="3720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64" name="AutoShape 1344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3720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65" name="AutoShape 1345" descr="NORWAY2"/>
        <xdr:cNvSpPr>
          <a:spLocks noChangeAspect="1" noChangeArrowheads="1"/>
        </xdr:cNvSpPr>
      </xdr:nvSpPr>
      <xdr:spPr bwMode="auto">
        <a:xfrm>
          <a:off x="0" y="3737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66" name="AutoShape 1346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3737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67" name="AutoShape 1347" descr="NORWAY2"/>
        <xdr:cNvSpPr>
          <a:spLocks noChangeAspect="1" noChangeArrowheads="1"/>
        </xdr:cNvSpPr>
      </xdr:nvSpPr>
      <xdr:spPr bwMode="auto">
        <a:xfrm>
          <a:off x="0" y="3755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68" name="AutoShape 1348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3755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69" name="AutoShape 1349" descr="NORWAY3"/>
        <xdr:cNvSpPr>
          <a:spLocks noChangeAspect="1" noChangeArrowheads="1"/>
        </xdr:cNvSpPr>
      </xdr:nvSpPr>
      <xdr:spPr bwMode="auto">
        <a:xfrm>
          <a:off x="0" y="3772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70" name="AutoShape 1350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3772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71" name="AutoShape 1351" descr="NORWAY3"/>
        <xdr:cNvSpPr>
          <a:spLocks noChangeAspect="1" noChangeArrowheads="1"/>
        </xdr:cNvSpPr>
      </xdr:nvSpPr>
      <xdr:spPr bwMode="auto">
        <a:xfrm>
          <a:off x="0" y="3790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72" name="AutoShape 1352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3790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73" name="AutoShape 1353" descr="NORWAY3"/>
        <xdr:cNvSpPr>
          <a:spLocks noChangeAspect="1" noChangeArrowheads="1"/>
        </xdr:cNvSpPr>
      </xdr:nvSpPr>
      <xdr:spPr bwMode="auto">
        <a:xfrm>
          <a:off x="0" y="381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74" name="AutoShape 1354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381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75" name="AutoShape 1355" descr="NORWAY4"/>
        <xdr:cNvSpPr>
          <a:spLocks noChangeAspect="1" noChangeArrowheads="1"/>
        </xdr:cNvSpPr>
      </xdr:nvSpPr>
      <xdr:spPr bwMode="auto">
        <a:xfrm>
          <a:off x="0" y="383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76" name="AutoShape 1356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383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77" name="AutoShape 1357" descr="NORWAY4"/>
        <xdr:cNvSpPr>
          <a:spLocks noChangeAspect="1" noChangeArrowheads="1"/>
        </xdr:cNvSpPr>
      </xdr:nvSpPr>
      <xdr:spPr bwMode="auto">
        <a:xfrm>
          <a:off x="0" y="385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78" name="AutoShape 1358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385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79" name="AutoShape 1359" descr="NORWAY4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80" name="AutoShape 1360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81" name="AutoShape 1361" descr="NORWAY4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82" name="AutoShape 1362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83" name="AutoShape 1363" descr="NORWAY4"/>
        <xdr:cNvSpPr>
          <a:spLocks noChangeAspect="1" noChangeArrowheads="1"/>
        </xdr:cNvSpPr>
      </xdr:nvSpPr>
      <xdr:spPr bwMode="auto">
        <a:xfrm>
          <a:off x="0" y="391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84" name="AutoShape 1364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391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85" name="AutoShape 1365" descr="NORWAY4"/>
        <xdr:cNvSpPr>
          <a:spLocks noChangeAspect="1" noChangeArrowheads="1"/>
        </xdr:cNvSpPr>
      </xdr:nvSpPr>
      <xdr:spPr bwMode="auto">
        <a:xfrm>
          <a:off x="0" y="3928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86" name="AutoShape 1366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3928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87" name="AutoShape 1367" descr="PARAGUAY2"/>
        <xdr:cNvSpPr>
          <a:spLocks noChangeAspect="1" noChangeArrowheads="1"/>
        </xdr:cNvSpPr>
      </xdr:nvSpPr>
      <xdr:spPr bwMode="auto">
        <a:xfrm>
          <a:off x="0" y="3945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88" name="AutoShape 1368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3945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89" name="AutoShape 1369" descr="PARAGUAY2"/>
        <xdr:cNvSpPr>
          <a:spLocks noChangeAspect="1" noChangeArrowheads="1"/>
        </xdr:cNvSpPr>
      </xdr:nvSpPr>
      <xdr:spPr bwMode="auto">
        <a:xfrm>
          <a:off x="0" y="397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90" name="AutoShape 1370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397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91" name="AutoShape 1371" descr="PARAGUAY2"/>
        <xdr:cNvSpPr>
          <a:spLocks noChangeAspect="1" noChangeArrowheads="1"/>
        </xdr:cNvSpPr>
      </xdr:nvSpPr>
      <xdr:spPr bwMode="auto">
        <a:xfrm>
          <a:off x="0" y="398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92" name="AutoShape 1372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398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93" name="AutoShape 1373" descr="POLAND"/>
        <xdr:cNvSpPr>
          <a:spLocks noChangeAspect="1" noChangeArrowheads="1"/>
        </xdr:cNvSpPr>
      </xdr:nvSpPr>
      <xdr:spPr bwMode="auto">
        <a:xfrm>
          <a:off x="0" y="400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94" name="AutoShape 1374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400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95" name="AutoShape 1375" descr="POLAND"/>
        <xdr:cNvSpPr>
          <a:spLocks noChangeAspect="1" noChangeArrowheads="1"/>
        </xdr:cNvSpPr>
      </xdr:nvSpPr>
      <xdr:spPr bwMode="auto">
        <a:xfrm>
          <a:off x="0" y="402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96" name="AutoShape 1376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402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97" name="AutoShape 1377" descr="POLAND"/>
        <xdr:cNvSpPr>
          <a:spLocks noChangeAspect="1" noChangeArrowheads="1"/>
        </xdr:cNvSpPr>
      </xdr:nvSpPr>
      <xdr:spPr bwMode="auto">
        <a:xfrm>
          <a:off x="0" y="404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498" name="AutoShape 1378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404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499" name="AutoShape 1379" descr="POLAND"/>
        <xdr:cNvSpPr>
          <a:spLocks noChangeAspect="1" noChangeArrowheads="1"/>
        </xdr:cNvSpPr>
      </xdr:nvSpPr>
      <xdr:spPr bwMode="auto">
        <a:xfrm>
          <a:off x="0" y="406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00" name="AutoShape 1380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406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01" name="AutoShape 1381" descr="POLAND2"/>
        <xdr:cNvSpPr>
          <a:spLocks noChangeAspect="1" noChangeArrowheads="1"/>
        </xdr:cNvSpPr>
      </xdr:nvSpPr>
      <xdr:spPr bwMode="auto">
        <a:xfrm>
          <a:off x="0" y="408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02" name="AutoShape 1382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408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03" name="AutoShape 1383" descr="POLAND2"/>
        <xdr:cNvSpPr>
          <a:spLocks noChangeAspect="1" noChangeArrowheads="1"/>
        </xdr:cNvSpPr>
      </xdr:nvSpPr>
      <xdr:spPr bwMode="auto">
        <a:xfrm>
          <a:off x="0" y="4101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04" name="AutoShape 1384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4101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05" name="AutoShape 1385" descr="POLAND2"/>
        <xdr:cNvSpPr>
          <a:spLocks noChangeAspect="1" noChangeArrowheads="1"/>
        </xdr:cNvSpPr>
      </xdr:nvSpPr>
      <xdr:spPr bwMode="auto">
        <a:xfrm>
          <a:off x="0" y="412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06" name="AutoShape 1386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412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07" name="AutoShape 1387" descr="POLAND3"/>
        <xdr:cNvSpPr>
          <a:spLocks noChangeAspect="1" noChangeArrowheads="1"/>
        </xdr:cNvSpPr>
      </xdr:nvSpPr>
      <xdr:spPr bwMode="auto">
        <a:xfrm>
          <a:off x="0" y="415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08" name="AutoShape 1388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415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09" name="AutoShape 1389" descr="POLAND3"/>
        <xdr:cNvSpPr>
          <a:spLocks noChangeAspect="1" noChangeArrowheads="1"/>
        </xdr:cNvSpPr>
      </xdr:nvSpPr>
      <xdr:spPr bwMode="auto">
        <a:xfrm>
          <a:off x="0" y="417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10" name="AutoShape 1390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417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11" name="AutoShape 1391" descr="POLAND3"/>
        <xdr:cNvSpPr>
          <a:spLocks noChangeAspect="1" noChangeArrowheads="1"/>
        </xdr:cNvSpPr>
      </xdr:nvSpPr>
      <xdr:spPr bwMode="auto">
        <a:xfrm>
          <a:off x="0" y="420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12" name="AutoShape 1392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420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13" name="AutoShape 1393" descr="POLAND3"/>
        <xdr:cNvSpPr>
          <a:spLocks noChangeAspect="1" noChangeArrowheads="1"/>
        </xdr:cNvSpPr>
      </xdr:nvSpPr>
      <xdr:spPr bwMode="auto">
        <a:xfrm>
          <a:off x="0" y="422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14" name="AutoShape 1394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422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15" name="AutoShape 1395" descr="PORTUGAL2"/>
        <xdr:cNvSpPr>
          <a:spLocks noChangeAspect="1" noChangeArrowheads="1"/>
        </xdr:cNvSpPr>
      </xdr:nvSpPr>
      <xdr:spPr bwMode="auto">
        <a:xfrm>
          <a:off x="0" y="424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16" name="AutoShape 1396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424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17" name="AutoShape 1397" descr="PORTUGAL2"/>
        <xdr:cNvSpPr>
          <a:spLocks noChangeAspect="1" noChangeArrowheads="1"/>
        </xdr:cNvSpPr>
      </xdr:nvSpPr>
      <xdr:spPr bwMode="auto">
        <a:xfrm>
          <a:off x="0" y="426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18" name="AutoShape 1398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426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19" name="AutoShape 1399" descr="PORTUGAL2"/>
        <xdr:cNvSpPr>
          <a:spLocks noChangeAspect="1" noChangeArrowheads="1"/>
        </xdr:cNvSpPr>
      </xdr:nvSpPr>
      <xdr:spPr bwMode="auto">
        <a:xfrm>
          <a:off x="0" y="4287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20" name="AutoShape 1400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4287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21" name="AutoShape 1401" descr="PORTUGAL2"/>
        <xdr:cNvSpPr>
          <a:spLocks noChangeAspect="1" noChangeArrowheads="1"/>
        </xdr:cNvSpPr>
      </xdr:nvSpPr>
      <xdr:spPr bwMode="auto">
        <a:xfrm>
          <a:off x="0" y="4304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22" name="AutoShape 1402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4304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23" name="AutoShape 1403" descr="ROMANIA"/>
        <xdr:cNvSpPr>
          <a:spLocks noChangeAspect="1" noChangeArrowheads="1"/>
        </xdr:cNvSpPr>
      </xdr:nvSpPr>
      <xdr:spPr bwMode="auto">
        <a:xfrm>
          <a:off x="0" y="4322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24" name="AutoShape 1404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4322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25" name="AutoShape 1405" descr="ROMANIA"/>
        <xdr:cNvSpPr>
          <a:spLocks noChangeAspect="1" noChangeArrowheads="1"/>
        </xdr:cNvSpPr>
      </xdr:nvSpPr>
      <xdr:spPr bwMode="auto">
        <a:xfrm>
          <a:off x="0" y="4339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26" name="AutoShape 1406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4339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27" name="AutoShape 1407" descr="RUSSIA"/>
        <xdr:cNvSpPr>
          <a:spLocks noChangeAspect="1" noChangeArrowheads="1"/>
        </xdr:cNvSpPr>
      </xdr:nvSpPr>
      <xdr:spPr bwMode="auto">
        <a:xfrm>
          <a:off x="0" y="43571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28" name="AutoShape 1408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43571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29" name="AutoShape 1409" descr="RUSSIA"/>
        <xdr:cNvSpPr>
          <a:spLocks noChangeAspect="1" noChangeArrowheads="1"/>
        </xdr:cNvSpPr>
      </xdr:nvSpPr>
      <xdr:spPr bwMode="auto">
        <a:xfrm>
          <a:off x="0" y="4382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30" name="AutoShape 1410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4382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31" name="AutoShape 1411" descr="RUSSIA"/>
        <xdr:cNvSpPr>
          <a:spLocks noChangeAspect="1" noChangeArrowheads="1"/>
        </xdr:cNvSpPr>
      </xdr:nvSpPr>
      <xdr:spPr bwMode="auto">
        <a:xfrm>
          <a:off x="0" y="4407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32" name="AutoShape 1412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4407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33" name="AutoShape 1413" descr="SERBIA"/>
        <xdr:cNvSpPr>
          <a:spLocks noChangeAspect="1" noChangeArrowheads="1"/>
        </xdr:cNvSpPr>
      </xdr:nvSpPr>
      <xdr:spPr bwMode="auto">
        <a:xfrm>
          <a:off x="0" y="4432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34" name="AutoShape 1414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4432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35" name="AutoShape 1415" descr="SERBIA"/>
        <xdr:cNvSpPr>
          <a:spLocks noChangeAspect="1" noChangeArrowheads="1"/>
        </xdr:cNvSpPr>
      </xdr:nvSpPr>
      <xdr:spPr bwMode="auto">
        <a:xfrm>
          <a:off x="0" y="445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36" name="AutoShape 1416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445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37" name="AutoShape 1417" descr="SERBIA"/>
        <xdr:cNvSpPr>
          <a:spLocks noChangeAspect="1" noChangeArrowheads="1"/>
        </xdr:cNvSpPr>
      </xdr:nvSpPr>
      <xdr:spPr bwMode="auto">
        <a:xfrm>
          <a:off x="0" y="4475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38" name="AutoShape 141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4475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39" name="AutoShape 1419" descr="SLOVAKIA"/>
        <xdr:cNvSpPr>
          <a:spLocks noChangeAspect="1" noChangeArrowheads="1"/>
        </xdr:cNvSpPr>
      </xdr:nvSpPr>
      <xdr:spPr bwMode="auto">
        <a:xfrm>
          <a:off x="0" y="450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40" name="AutoShape 1420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450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41" name="AutoShape 1421" descr="SLOVAKIA"/>
        <xdr:cNvSpPr>
          <a:spLocks noChangeAspect="1" noChangeArrowheads="1"/>
        </xdr:cNvSpPr>
      </xdr:nvSpPr>
      <xdr:spPr bwMode="auto">
        <a:xfrm>
          <a:off x="0" y="4525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42" name="AutoShape 1422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4525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43" name="AutoShape 1423" descr="SLOVENIA"/>
        <xdr:cNvSpPr>
          <a:spLocks noChangeAspect="1" noChangeArrowheads="1"/>
        </xdr:cNvSpPr>
      </xdr:nvSpPr>
      <xdr:spPr bwMode="auto">
        <a:xfrm>
          <a:off x="0" y="4543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44" name="AutoShape 1424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4543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45" name="AutoShape 1425" descr="SLOVENIA"/>
        <xdr:cNvSpPr>
          <a:spLocks noChangeAspect="1" noChangeArrowheads="1"/>
        </xdr:cNvSpPr>
      </xdr:nvSpPr>
      <xdr:spPr bwMode="auto">
        <a:xfrm>
          <a:off x="0" y="4560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46" name="AutoShape 1426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4560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47" name="AutoShape 1427" descr="SLOVENIA"/>
        <xdr:cNvSpPr>
          <a:spLocks noChangeAspect="1" noChangeArrowheads="1"/>
        </xdr:cNvSpPr>
      </xdr:nvSpPr>
      <xdr:spPr bwMode="auto">
        <a:xfrm>
          <a:off x="0" y="4578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48" name="AutoShape 1428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4578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49" name="AutoShape 1429" descr="SOUTHAFRICA"/>
        <xdr:cNvSpPr>
          <a:spLocks noChangeAspect="1" noChangeArrowheads="1"/>
        </xdr:cNvSpPr>
      </xdr:nvSpPr>
      <xdr:spPr bwMode="auto">
        <a:xfrm>
          <a:off x="0" y="459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50" name="AutoShape 1430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459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51" name="AutoShape 1431" descr="SOUTHAFRICA"/>
        <xdr:cNvSpPr>
          <a:spLocks noChangeAspect="1" noChangeArrowheads="1"/>
        </xdr:cNvSpPr>
      </xdr:nvSpPr>
      <xdr:spPr bwMode="auto">
        <a:xfrm>
          <a:off x="0" y="462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52" name="AutoShape 1432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462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53" name="AutoShape 1433" descr="SOUTHKOREA"/>
        <xdr:cNvSpPr>
          <a:spLocks noChangeAspect="1" noChangeArrowheads="1"/>
        </xdr:cNvSpPr>
      </xdr:nvSpPr>
      <xdr:spPr bwMode="auto">
        <a:xfrm>
          <a:off x="0" y="464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54" name="AutoShape 1434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464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55" name="AutoShape 1435" descr="SOUTHKOREA"/>
        <xdr:cNvSpPr>
          <a:spLocks noChangeAspect="1" noChangeArrowheads="1"/>
        </xdr:cNvSpPr>
      </xdr:nvSpPr>
      <xdr:spPr bwMode="auto">
        <a:xfrm>
          <a:off x="0" y="466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56" name="AutoShape 1436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466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57" name="AutoShape 1437" descr="SOUTHKOREA"/>
        <xdr:cNvSpPr>
          <a:spLocks noChangeAspect="1" noChangeArrowheads="1"/>
        </xdr:cNvSpPr>
      </xdr:nvSpPr>
      <xdr:spPr bwMode="auto">
        <a:xfrm>
          <a:off x="0" y="4688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58" name="AutoShape 1438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4688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59" name="AutoShape 1439" descr="SOUTHKOREA2"/>
        <xdr:cNvSpPr>
          <a:spLocks noChangeAspect="1" noChangeArrowheads="1"/>
        </xdr:cNvSpPr>
      </xdr:nvSpPr>
      <xdr:spPr bwMode="auto">
        <a:xfrm>
          <a:off x="0" y="470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60" name="AutoShape 1440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470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61" name="AutoShape 1441" descr="SOUTHKOREA2"/>
        <xdr:cNvSpPr>
          <a:spLocks noChangeAspect="1" noChangeArrowheads="1"/>
        </xdr:cNvSpPr>
      </xdr:nvSpPr>
      <xdr:spPr bwMode="auto">
        <a:xfrm>
          <a:off x="0" y="472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62" name="AutoShape 1442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472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63" name="AutoShape 1443" descr="SOUTHKOREA2"/>
        <xdr:cNvSpPr>
          <a:spLocks noChangeAspect="1" noChangeArrowheads="1"/>
        </xdr:cNvSpPr>
      </xdr:nvSpPr>
      <xdr:spPr bwMode="auto">
        <a:xfrm>
          <a:off x="0" y="4741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64" name="AutoShape 1444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4741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65" name="AutoShape 1445" descr="SOUTHKOREA2"/>
        <xdr:cNvSpPr>
          <a:spLocks noChangeAspect="1" noChangeArrowheads="1"/>
        </xdr:cNvSpPr>
      </xdr:nvSpPr>
      <xdr:spPr bwMode="auto">
        <a:xfrm>
          <a:off x="0" y="4758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66" name="AutoShape 1446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4758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67" name="AutoShape 1447" descr="SWEDEN"/>
        <xdr:cNvSpPr>
          <a:spLocks noChangeAspect="1" noChangeArrowheads="1"/>
        </xdr:cNvSpPr>
      </xdr:nvSpPr>
      <xdr:spPr bwMode="auto">
        <a:xfrm>
          <a:off x="0" y="4783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68" name="AutoShape 1448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4783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69" name="AutoShape 1449" descr="SWEDEN"/>
        <xdr:cNvSpPr>
          <a:spLocks noChangeAspect="1" noChangeArrowheads="1"/>
        </xdr:cNvSpPr>
      </xdr:nvSpPr>
      <xdr:spPr bwMode="auto">
        <a:xfrm>
          <a:off x="0" y="480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70" name="AutoShape 1450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480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71" name="AutoShape 1451" descr="SWEDEN"/>
        <xdr:cNvSpPr>
          <a:spLocks noChangeAspect="1" noChangeArrowheads="1"/>
        </xdr:cNvSpPr>
      </xdr:nvSpPr>
      <xdr:spPr bwMode="auto">
        <a:xfrm>
          <a:off x="0" y="482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72" name="AutoShape 1452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482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73" name="AutoShape 1453" descr="SWEDEN"/>
        <xdr:cNvSpPr>
          <a:spLocks noChangeAspect="1" noChangeArrowheads="1"/>
        </xdr:cNvSpPr>
      </xdr:nvSpPr>
      <xdr:spPr bwMode="auto">
        <a:xfrm>
          <a:off x="0" y="4844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74" name="AutoShape 1454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4844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75" name="AutoShape 1455" descr="SWEDEN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76" name="AutoShape 1456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77" name="AutoShape 1457" descr="SWEDEN2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78" name="AutoShape 1458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79" name="AutoShape 1459" descr="SWEDEN3"/>
        <xdr:cNvSpPr>
          <a:spLocks noChangeAspect="1" noChangeArrowheads="1"/>
        </xdr:cNvSpPr>
      </xdr:nvSpPr>
      <xdr:spPr bwMode="auto">
        <a:xfrm>
          <a:off x="0" y="4896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80" name="AutoShape 1460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4896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81" name="AutoShape 1461" descr="SWEDEN3"/>
        <xdr:cNvSpPr>
          <a:spLocks noChangeAspect="1" noChangeArrowheads="1"/>
        </xdr:cNvSpPr>
      </xdr:nvSpPr>
      <xdr:spPr bwMode="auto">
        <a:xfrm>
          <a:off x="0" y="4914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82" name="AutoShape 1462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4914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83" name="AutoShape 1463" descr="SWEDEN3"/>
        <xdr:cNvSpPr>
          <a:spLocks noChangeAspect="1" noChangeArrowheads="1"/>
        </xdr:cNvSpPr>
      </xdr:nvSpPr>
      <xdr:spPr bwMode="auto">
        <a:xfrm>
          <a:off x="0" y="4939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84" name="AutoShape 1464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4939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85" name="AutoShape 1465" descr="SWEDEN4"/>
        <xdr:cNvSpPr>
          <a:spLocks noChangeAspect="1" noChangeArrowheads="1"/>
        </xdr:cNvSpPr>
      </xdr:nvSpPr>
      <xdr:spPr bwMode="auto">
        <a:xfrm>
          <a:off x="0" y="4956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86" name="AutoShape 1466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4956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87" name="AutoShape 1467" descr="SWEDEN4"/>
        <xdr:cNvSpPr>
          <a:spLocks noChangeAspect="1" noChangeArrowheads="1"/>
        </xdr:cNvSpPr>
      </xdr:nvSpPr>
      <xdr:spPr bwMode="auto">
        <a:xfrm>
          <a:off x="0" y="4974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88" name="AutoShape 1468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4974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89" name="AutoShape 1469" descr="SWEDEN4"/>
        <xdr:cNvSpPr>
          <a:spLocks noChangeAspect="1" noChangeArrowheads="1"/>
        </xdr:cNvSpPr>
      </xdr:nvSpPr>
      <xdr:spPr bwMode="auto">
        <a:xfrm>
          <a:off x="0" y="4991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90" name="AutoShape 1470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4991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91" name="AutoShape 1471" descr="SWEDEN11"/>
        <xdr:cNvSpPr>
          <a:spLocks noChangeAspect="1" noChangeArrowheads="1"/>
        </xdr:cNvSpPr>
      </xdr:nvSpPr>
      <xdr:spPr bwMode="auto">
        <a:xfrm>
          <a:off x="0" y="5009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92" name="AutoShape 1472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5009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93" name="AutoShape 1473" descr="TURKEY"/>
        <xdr:cNvSpPr>
          <a:spLocks noChangeAspect="1" noChangeArrowheads="1"/>
        </xdr:cNvSpPr>
      </xdr:nvSpPr>
      <xdr:spPr bwMode="auto">
        <a:xfrm>
          <a:off x="0" y="5034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94" name="AutoShape 1474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5034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95" name="AutoShape 1475" descr="TURKEY"/>
        <xdr:cNvSpPr>
          <a:spLocks noChangeAspect="1" noChangeArrowheads="1"/>
        </xdr:cNvSpPr>
      </xdr:nvSpPr>
      <xdr:spPr bwMode="auto">
        <a:xfrm>
          <a:off x="0" y="5052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96" name="AutoShape 1476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505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97" name="AutoShape 1477" descr="TURKEY"/>
        <xdr:cNvSpPr>
          <a:spLocks noChangeAspect="1" noChangeArrowheads="1"/>
        </xdr:cNvSpPr>
      </xdr:nvSpPr>
      <xdr:spPr bwMode="auto">
        <a:xfrm>
          <a:off x="0" y="5069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598" name="AutoShape 1478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5069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599" name="AutoShape 1479" descr="TURKEY2"/>
        <xdr:cNvSpPr>
          <a:spLocks noChangeAspect="1" noChangeArrowheads="1"/>
        </xdr:cNvSpPr>
      </xdr:nvSpPr>
      <xdr:spPr bwMode="auto">
        <a:xfrm>
          <a:off x="0" y="5087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00" name="AutoShape 1480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5087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01" name="AutoShape 1481" descr="TURKEY2"/>
        <xdr:cNvSpPr>
          <a:spLocks noChangeAspect="1" noChangeArrowheads="1"/>
        </xdr:cNvSpPr>
      </xdr:nvSpPr>
      <xdr:spPr bwMode="auto">
        <a:xfrm>
          <a:off x="0" y="5104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02" name="AutoShape 1482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510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03" name="AutoShape 1483" descr="TURKEY2"/>
        <xdr:cNvSpPr>
          <a:spLocks noChangeAspect="1" noChangeArrowheads="1"/>
        </xdr:cNvSpPr>
      </xdr:nvSpPr>
      <xdr:spPr bwMode="auto">
        <a:xfrm>
          <a:off x="0" y="5122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04" name="AutoShape 1484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5122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05" name="AutoShape 1485" descr="TURKEY2"/>
        <xdr:cNvSpPr>
          <a:spLocks noChangeAspect="1" noChangeArrowheads="1"/>
        </xdr:cNvSpPr>
      </xdr:nvSpPr>
      <xdr:spPr bwMode="auto">
        <a:xfrm>
          <a:off x="0" y="5139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06" name="AutoShape 1486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5139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07" name="AutoShape 1487" descr="UKRAINE"/>
        <xdr:cNvSpPr>
          <a:spLocks noChangeAspect="1" noChangeArrowheads="1"/>
        </xdr:cNvSpPr>
      </xdr:nvSpPr>
      <xdr:spPr bwMode="auto">
        <a:xfrm>
          <a:off x="0" y="516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08" name="AutoShape 1488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516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09" name="AutoShape 1489" descr="UKRAINE"/>
        <xdr:cNvSpPr>
          <a:spLocks noChangeAspect="1" noChangeArrowheads="1"/>
        </xdr:cNvSpPr>
      </xdr:nvSpPr>
      <xdr:spPr bwMode="auto">
        <a:xfrm>
          <a:off x="0" y="518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10" name="AutoShape 1490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518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11" name="AutoShape 1491" descr="UKRAINE"/>
        <xdr:cNvSpPr>
          <a:spLocks noChangeAspect="1" noChangeArrowheads="1"/>
        </xdr:cNvSpPr>
      </xdr:nvSpPr>
      <xdr:spPr bwMode="auto">
        <a:xfrm>
          <a:off x="0" y="5207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12" name="AutoShape 1492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5207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13" name="AutoShape 1493" descr="URUGUAY3"/>
        <xdr:cNvSpPr>
          <a:spLocks noChangeAspect="1" noChangeArrowheads="1"/>
        </xdr:cNvSpPr>
      </xdr:nvSpPr>
      <xdr:spPr bwMode="auto">
        <a:xfrm>
          <a:off x="0" y="523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14" name="AutoShape 1494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523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15" name="AutoShape 1495" descr="URUGUAY3"/>
        <xdr:cNvSpPr>
          <a:spLocks noChangeAspect="1" noChangeArrowheads="1"/>
        </xdr:cNvSpPr>
      </xdr:nvSpPr>
      <xdr:spPr bwMode="auto">
        <a:xfrm>
          <a:off x="0" y="525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16" name="AutoShape 1496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525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17" name="AutoShape 1497" descr="URUGUAY3"/>
        <xdr:cNvSpPr>
          <a:spLocks noChangeAspect="1" noChangeArrowheads="1"/>
        </xdr:cNvSpPr>
      </xdr:nvSpPr>
      <xdr:spPr bwMode="auto">
        <a:xfrm>
          <a:off x="0" y="527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18" name="AutoShape 1498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527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19" name="AutoShape 1499" descr="USA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20" name="AutoShape 1500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21" name="AutoShape 1501" descr="USA"/>
        <xdr:cNvSpPr>
          <a:spLocks noChangeAspect="1" noChangeArrowheads="1"/>
        </xdr:cNvSpPr>
      </xdr:nvSpPr>
      <xdr:spPr bwMode="auto">
        <a:xfrm>
          <a:off x="0" y="532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22" name="AutoShape 1502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532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23" name="AutoShape 1503" descr="USA"/>
        <xdr:cNvSpPr>
          <a:spLocks noChangeAspect="1" noChangeArrowheads="1"/>
        </xdr:cNvSpPr>
      </xdr:nvSpPr>
      <xdr:spPr bwMode="auto">
        <a:xfrm>
          <a:off x="0" y="534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24" name="AutoShape 1504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534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25" name="AutoShape 1505" descr="USA"/>
        <xdr:cNvSpPr>
          <a:spLocks noChangeAspect="1" noChangeArrowheads="1"/>
        </xdr:cNvSpPr>
      </xdr:nvSpPr>
      <xdr:spPr bwMode="auto">
        <a:xfrm>
          <a:off x="0" y="5368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26" name="AutoShape 1506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536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27" name="AutoShape 1507" descr="USA"/>
        <xdr:cNvSpPr>
          <a:spLocks noChangeAspect="1" noChangeArrowheads="1"/>
        </xdr:cNvSpPr>
      </xdr:nvSpPr>
      <xdr:spPr bwMode="auto">
        <a:xfrm>
          <a:off x="0" y="53934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28" name="AutoShape 1508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53934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29" name="AutoShape 1509" descr="USA"/>
        <xdr:cNvSpPr>
          <a:spLocks noChangeAspect="1" noChangeArrowheads="1"/>
        </xdr:cNvSpPr>
      </xdr:nvSpPr>
      <xdr:spPr bwMode="auto">
        <a:xfrm>
          <a:off x="0" y="5418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30" name="AutoShape 1510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5418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31" name="AutoShape 1511" descr="USA"/>
        <xdr:cNvSpPr>
          <a:spLocks noChangeAspect="1" noChangeArrowheads="1"/>
        </xdr:cNvSpPr>
      </xdr:nvSpPr>
      <xdr:spPr bwMode="auto">
        <a:xfrm>
          <a:off x="0" y="5443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32" name="AutoShape 1512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5443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33" name="AutoShape 1513" descr="USA"/>
        <xdr:cNvSpPr>
          <a:spLocks noChangeAspect="1" noChangeArrowheads="1"/>
        </xdr:cNvSpPr>
      </xdr:nvSpPr>
      <xdr:spPr bwMode="auto">
        <a:xfrm>
          <a:off x="0" y="5461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34" name="AutoShape 1514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5461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35" name="AutoShape 1515" descr="USA2"/>
        <xdr:cNvSpPr>
          <a:spLocks noChangeAspect="1" noChangeArrowheads="1"/>
        </xdr:cNvSpPr>
      </xdr:nvSpPr>
      <xdr:spPr bwMode="auto">
        <a:xfrm>
          <a:off x="0" y="5486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36" name="AutoShape 1516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548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37" name="AutoShape 1517" descr="USA2"/>
        <xdr:cNvSpPr>
          <a:spLocks noChangeAspect="1" noChangeArrowheads="1"/>
        </xdr:cNvSpPr>
      </xdr:nvSpPr>
      <xdr:spPr bwMode="auto">
        <a:xfrm>
          <a:off x="0" y="5511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38" name="AutoShape 1518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5511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39" name="AutoShape 1519" descr="USA2"/>
        <xdr:cNvSpPr>
          <a:spLocks noChangeAspect="1" noChangeArrowheads="1"/>
        </xdr:cNvSpPr>
      </xdr:nvSpPr>
      <xdr:spPr bwMode="auto">
        <a:xfrm>
          <a:off x="0" y="5529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40" name="AutoShape 1520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5529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41" name="AutoShape 1521" descr="USA2"/>
        <xdr:cNvSpPr>
          <a:spLocks noChangeAspect="1" noChangeArrowheads="1"/>
        </xdr:cNvSpPr>
      </xdr:nvSpPr>
      <xdr:spPr bwMode="auto">
        <a:xfrm>
          <a:off x="0" y="5546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42" name="AutoShape 1522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5546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43" name="AutoShape 1523" descr="USA2"/>
        <xdr:cNvSpPr>
          <a:spLocks noChangeAspect="1" noChangeArrowheads="1"/>
        </xdr:cNvSpPr>
      </xdr:nvSpPr>
      <xdr:spPr bwMode="auto">
        <a:xfrm>
          <a:off x="0" y="5571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44" name="AutoShape 1524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5571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45" name="AutoShape 1525" descr="USA2"/>
        <xdr:cNvSpPr>
          <a:spLocks noChangeAspect="1" noChangeArrowheads="1"/>
        </xdr:cNvSpPr>
      </xdr:nvSpPr>
      <xdr:spPr bwMode="auto">
        <a:xfrm>
          <a:off x="0" y="5596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46" name="AutoShape 1526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5596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47" name="AutoShape 1527" descr="USA2"/>
        <xdr:cNvSpPr>
          <a:spLocks noChangeAspect="1" noChangeArrowheads="1"/>
        </xdr:cNvSpPr>
      </xdr:nvSpPr>
      <xdr:spPr bwMode="auto">
        <a:xfrm>
          <a:off x="0" y="5614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48" name="AutoShape 1528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5614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49" name="AutoShape 1529" descr="USA3"/>
        <xdr:cNvSpPr>
          <a:spLocks noChangeAspect="1" noChangeArrowheads="1"/>
        </xdr:cNvSpPr>
      </xdr:nvSpPr>
      <xdr:spPr bwMode="auto">
        <a:xfrm>
          <a:off x="0" y="5639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50" name="AutoShape 1530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5639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51" name="AutoShape 1531" descr="USA3"/>
        <xdr:cNvSpPr>
          <a:spLocks noChangeAspect="1" noChangeArrowheads="1"/>
        </xdr:cNvSpPr>
      </xdr:nvSpPr>
      <xdr:spPr bwMode="auto">
        <a:xfrm>
          <a:off x="0" y="56647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52" name="AutoShape 1532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5664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53" name="AutoShape 1533" descr="USA3"/>
        <xdr:cNvSpPr>
          <a:spLocks noChangeAspect="1" noChangeArrowheads="1"/>
        </xdr:cNvSpPr>
      </xdr:nvSpPr>
      <xdr:spPr bwMode="auto">
        <a:xfrm>
          <a:off x="0" y="5689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54" name="AutoShape 1534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5689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55" name="AutoShape 1535" descr="USA6"/>
        <xdr:cNvSpPr>
          <a:spLocks noChangeAspect="1" noChangeArrowheads="1"/>
        </xdr:cNvSpPr>
      </xdr:nvSpPr>
      <xdr:spPr bwMode="auto">
        <a:xfrm>
          <a:off x="0" y="5715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56" name="AutoShape 1536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571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57" name="AutoShape 1537" descr="USA6"/>
        <xdr:cNvSpPr>
          <a:spLocks noChangeAspect="1" noChangeArrowheads="1"/>
        </xdr:cNvSpPr>
      </xdr:nvSpPr>
      <xdr:spPr bwMode="auto">
        <a:xfrm>
          <a:off x="0" y="5740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58" name="AutoShape 1538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5740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59" name="AutoShape 1539" descr="USA7"/>
        <xdr:cNvSpPr>
          <a:spLocks noChangeAspect="1" noChangeArrowheads="1"/>
        </xdr:cNvSpPr>
      </xdr:nvSpPr>
      <xdr:spPr bwMode="auto">
        <a:xfrm>
          <a:off x="0" y="5765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60" name="AutoShape 1540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5765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61" name="AutoShape 154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62" name="AutoShape 1542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63" name="AutoShape 154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64" name="AutoShape 1544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65" name="AutoShape 1545" descr="SPAIN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66" name="AutoShape 1546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67" name="AutoShape 1547" descr="NETHERLANDS"/>
        <xdr:cNvSpPr>
          <a:spLocks noChangeAspect="1" noChangeArrowheads="1"/>
        </xdr:cNvSpPr>
      </xdr:nvSpPr>
      <xdr:spPr bwMode="auto">
        <a:xfrm>
          <a:off x="0" y="70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68" name="AutoShape 1548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70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69" name="AutoShape 1549" descr="NETHERLANDS"/>
        <xdr:cNvSpPr>
          <a:spLocks noChangeAspect="1" noChangeArrowheads="1"/>
        </xdr:cNvSpPr>
      </xdr:nvSpPr>
      <xdr:spPr bwMode="auto">
        <a:xfrm>
          <a:off x="0" y="95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70" name="AutoShape 1550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71" name="AutoShape 1551" descr="NETHERLANDS"/>
        <xdr:cNvSpPr>
          <a:spLocks noChangeAspect="1" noChangeArrowheads="1"/>
        </xdr:cNvSpPr>
      </xdr:nvSpPr>
      <xdr:spPr bwMode="auto">
        <a:xfrm>
          <a:off x="0" y="112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72" name="AutoShape 1552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12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73" name="AutoShape 1553" descr="NETHERLANDS"/>
        <xdr:cNvSpPr>
          <a:spLocks noChangeAspect="1" noChangeArrowheads="1"/>
        </xdr:cNvSpPr>
      </xdr:nvSpPr>
      <xdr:spPr bwMode="auto">
        <a:xfrm>
          <a:off x="0" y="137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74" name="AutoShape 1554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37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75" name="AutoShape 1555" descr="PORTUGAL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76" name="AutoShape 1556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77" name="AutoShape 1557" descr="PORTUGAL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78" name="AutoShape 1558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79" name="AutoShape 1559" descr="PORTUGAL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80" name="AutoShape 1560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81" name="AutoShape 1561" descr="PORTUGAL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82" name="AutoShape 1562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83" name="AutoShape 1563" descr="ENGLAND2"/>
        <xdr:cNvSpPr>
          <a:spLocks noChangeAspect="1" noChangeArrowheads="1"/>
        </xdr:cNvSpPr>
      </xdr:nvSpPr>
      <xdr:spPr bwMode="auto">
        <a:xfrm>
          <a:off x="0" y="240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84" name="AutoShape 1564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240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85" name="AutoShape 1565" descr="ENGLAND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86" name="AutoShape 1566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87" name="AutoShape 1567" descr="SPAIN2"/>
        <xdr:cNvSpPr>
          <a:spLocks noChangeAspect="1" noChangeArrowheads="1"/>
        </xdr:cNvSpPr>
      </xdr:nvSpPr>
      <xdr:spPr bwMode="auto">
        <a:xfrm>
          <a:off x="0" y="283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88" name="AutoShape 1568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283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89" name="AutoShape 1569" descr="SPAIN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90" name="AutoShape 1570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91" name="AutoShape 1571" descr="SPAIN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92" name="AutoShape 1572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93" name="AutoShape 1573" descr="SPAIN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94" name="AutoShape 1574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95" name="AutoShape 1575" descr="GERMANY2"/>
        <xdr:cNvSpPr>
          <a:spLocks noChangeAspect="1" noChangeArrowheads="1"/>
        </xdr:cNvSpPr>
      </xdr:nvSpPr>
      <xdr:spPr bwMode="auto">
        <a:xfrm>
          <a:off x="0" y="353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96" name="AutoShape 1576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353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97" name="AutoShape 1577" descr="GERMANY2"/>
        <xdr:cNvSpPr>
          <a:spLocks noChangeAspect="1" noChangeArrowheads="1"/>
        </xdr:cNvSpPr>
      </xdr:nvSpPr>
      <xdr:spPr bwMode="auto">
        <a:xfrm>
          <a:off x="0" y="378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98" name="AutoShape 1578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378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99" name="AutoShape 1579" descr="GERMANY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00" name="AutoShape 1580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01" name="AutoShape 1581" descr="ARGENTINA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02" name="AutoShape 1582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03" name="AutoShape 1583" descr="ARGENTINA2"/>
        <xdr:cNvSpPr>
          <a:spLocks noChangeAspect="1" noChangeArrowheads="1"/>
        </xdr:cNvSpPr>
      </xdr:nvSpPr>
      <xdr:spPr bwMode="auto">
        <a:xfrm>
          <a:off x="0" y="438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04" name="AutoShape 1584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05" name="AutoShape 1585" descr="ARGENTINA2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06" name="AutoShape 1586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07" name="AutoShape 1587" descr="ARGENTINA2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08" name="AutoShape 1588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09" name="AutoShape 1589" descr="ARGENTINA2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10" name="AutoShape 1590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11" name="AutoShape 1591" descr="ARGENTINA3"/>
        <xdr:cNvSpPr>
          <a:spLocks noChangeAspect="1" noChangeArrowheads="1"/>
        </xdr:cNvSpPr>
      </xdr:nvSpPr>
      <xdr:spPr bwMode="auto">
        <a:xfrm>
          <a:off x="0" y="531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12" name="AutoShape 1592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531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13" name="AutoShape 1593" descr="ARGENTINA3"/>
        <xdr:cNvSpPr>
          <a:spLocks noChangeAspect="1" noChangeArrowheads="1"/>
        </xdr:cNvSpPr>
      </xdr:nvSpPr>
      <xdr:spPr bwMode="auto">
        <a:xfrm>
          <a:off x="0" y="557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14" name="AutoShape 1594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557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15" name="AutoShape 1595" descr="ARGENTINA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16" name="AutoShape 1596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17" name="AutoShape 1597" descr="ARGENTINA3"/>
        <xdr:cNvSpPr>
          <a:spLocks noChangeAspect="1" noChangeArrowheads="1"/>
        </xdr:cNvSpPr>
      </xdr:nvSpPr>
      <xdr:spPr bwMode="auto">
        <a:xfrm>
          <a:off x="0" y="607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18" name="AutoShape 1598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607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19" name="AutoShape 1599" descr="ARGENTINA3"/>
        <xdr:cNvSpPr>
          <a:spLocks noChangeAspect="1" noChangeArrowheads="1"/>
        </xdr:cNvSpPr>
      </xdr:nvSpPr>
      <xdr:spPr bwMode="auto">
        <a:xfrm>
          <a:off x="0" y="632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20" name="AutoShape 1600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632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21" name="AutoShape 1601" descr="ARGENTINA3"/>
        <xdr:cNvSpPr>
          <a:spLocks noChangeAspect="1" noChangeArrowheads="1"/>
        </xdr:cNvSpPr>
      </xdr:nvSpPr>
      <xdr:spPr bwMode="auto">
        <a:xfrm>
          <a:off x="0" y="657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22" name="AutoShape 1602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657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23" name="AutoShape 1603" descr="ARGENTINA3"/>
        <xdr:cNvSpPr>
          <a:spLocks noChangeAspect="1" noChangeArrowheads="1"/>
        </xdr:cNvSpPr>
      </xdr:nvSpPr>
      <xdr:spPr bwMode="auto">
        <a:xfrm>
          <a:off x="0" y="675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24" name="AutoShape 1604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675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25" name="AutoShape 1605" descr="ARMENIA"/>
        <xdr:cNvSpPr>
          <a:spLocks noChangeAspect="1" noChangeArrowheads="1"/>
        </xdr:cNvSpPr>
      </xdr:nvSpPr>
      <xdr:spPr bwMode="auto">
        <a:xfrm>
          <a:off x="0" y="692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26" name="AutoShape 1606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692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27" name="AutoShape 1607" descr="AUSTRALIA3"/>
        <xdr:cNvSpPr>
          <a:spLocks noChangeAspect="1" noChangeArrowheads="1"/>
        </xdr:cNvSpPr>
      </xdr:nvSpPr>
      <xdr:spPr bwMode="auto">
        <a:xfrm>
          <a:off x="0" y="710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28" name="AutoShape 1608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710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29" name="AutoShape 1609" descr="AUSTRALIA7"/>
        <xdr:cNvSpPr>
          <a:spLocks noChangeAspect="1" noChangeArrowheads="1"/>
        </xdr:cNvSpPr>
      </xdr:nvSpPr>
      <xdr:spPr bwMode="auto">
        <a:xfrm>
          <a:off x="0" y="735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30" name="AutoShape 1610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31" name="AutoShape 1611" descr="AUSTRALIA7"/>
        <xdr:cNvSpPr>
          <a:spLocks noChangeAspect="1" noChangeArrowheads="1"/>
        </xdr:cNvSpPr>
      </xdr:nvSpPr>
      <xdr:spPr bwMode="auto">
        <a:xfrm>
          <a:off x="0" y="76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32" name="AutoShape 1612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76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33" name="AutoShape 1613" descr="AUSTRALIA7"/>
        <xdr:cNvSpPr>
          <a:spLocks noChangeAspect="1" noChangeArrowheads="1"/>
        </xdr:cNvSpPr>
      </xdr:nvSpPr>
      <xdr:spPr bwMode="auto">
        <a:xfrm>
          <a:off x="0" y="78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34" name="AutoShape 1614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78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35" name="AutoShape 1615" descr="AUSTRALIA7"/>
        <xdr:cNvSpPr>
          <a:spLocks noChangeAspect="1" noChangeArrowheads="1"/>
        </xdr:cNvSpPr>
      </xdr:nvSpPr>
      <xdr:spPr bwMode="auto">
        <a:xfrm>
          <a:off x="0" y="81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36" name="AutoShape 1616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81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37" name="AutoShape 1617" descr="AUSTRALIA7"/>
        <xdr:cNvSpPr>
          <a:spLocks noChangeAspect="1" noChangeArrowheads="1"/>
        </xdr:cNvSpPr>
      </xdr:nvSpPr>
      <xdr:spPr bwMode="auto">
        <a:xfrm>
          <a:off x="0" y="83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38" name="AutoShape 1618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83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39" name="AutoShape 1619" descr="AUSTRALIA7"/>
        <xdr:cNvSpPr>
          <a:spLocks noChangeAspect="1" noChangeArrowheads="1"/>
        </xdr:cNvSpPr>
      </xdr:nvSpPr>
      <xdr:spPr bwMode="auto">
        <a:xfrm>
          <a:off x="0" y="85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40" name="AutoShape 1620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85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41" name="AutoShape 1621" descr="AUSTRALIA10"/>
        <xdr:cNvSpPr>
          <a:spLocks noChangeAspect="1" noChangeArrowheads="1"/>
        </xdr:cNvSpPr>
      </xdr:nvSpPr>
      <xdr:spPr bwMode="auto">
        <a:xfrm>
          <a:off x="0" y="870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42" name="AutoShape 1622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870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43" name="AutoShape 1623" descr="AUSTRALIA10"/>
        <xdr:cNvSpPr>
          <a:spLocks noChangeAspect="1" noChangeArrowheads="1"/>
        </xdr:cNvSpPr>
      </xdr:nvSpPr>
      <xdr:spPr bwMode="auto">
        <a:xfrm>
          <a:off x="0" y="89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44" name="AutoShape 1624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45" name="AutoShape 1625" descr="AUSTRALIA11"/>
        <xdr:cNvSpPr>
          <a:spLocks noChangeAspect="1" noChangeArrowheads="1"/>
        </xdr:cNvSpPr>
      </xdr:nvSpPr>
      <xdr:spPr bwMode="auto">
        <a:xfrm>
          <a:off x="0" y="921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46" name="AutoShape 1626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921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47" name="AutoShape 1627" descr="AUSTRALIA11"/>
        <xdr:cNvSpPr>
          <a:spLocks noChangeAspect="1" noChangeArrowheads="1"/>
        </xdr:cNvSpPr>
      </xdr:nvSpPr>
      <xdr:spPr bwMode="auto">
        <a:xfrm>
          <a:off x="0" y="946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48" name="AutoShape 1628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946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49" name="AutoShape 1629" descr="AUSTRALIA11"/>
        <xdr:cNvSpPr>
          <a:spLocks noChangeAspect="1" noChangeArrowheads="1"/>
        </xdr:cNvSpPr>
      </xdr:nvSpPr>
      <xdr:spPr bwMode="auto">
        <a:xfrm>
          <a:off x="0" y="963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50" name="AutoShape 1630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963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51" name="AutoShape 1631" descr="AUSTRIA"/>
        <xdr:cNvSpPr>
          <a:spLocks noChangeAspect="1" noChangeArrowheads="1"/>
        </xdr:cNvSpPr>
      </xdr:nvSpPr>
      <xdr:spPr bwMode="auto">
        <a:xfrm>
          <a:off x="0" y="98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52" name="AutoShape 1632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98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53" name="AutoShape 1633" descr="AUSTRIA"/>
        <xdr:cNvSpPr>
          <a:spLocks noChangeAspect="1" noChangeArrowheads="1"/>
        </xdr:cNvSpPr>
      </xdr:nvSpPr>
      <xdr:spPr bwMode="auto">
        <a:xfrm>
          <a:off x="0" y="100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54" name="AutoShape 1634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00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55" name="AutoShape 1635" descr="AUSTRIA"/>
        <xdr:cNvSpPr>
          <a:spLocks noChangeAspect="1" noChangeArrowheads="1"/>
        </xdr:cNvSpPr>
      </xdr:nvSpPr>
      <xdr:spPr bwMode="auto">
        <a:xfrm>
          <a:off x="0" y="102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56" name="AutoShape 1636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02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57" name="AutoShape 1637" descr="AUSTRIA2"/>
        <xdr:cNvSpPr>
          <a:spLocks noChangeAspect="1" noChangeArrowheads="1"/>
        </xdr:cNvSpPr>
      </xdr:nvSpPr>
      <xdr:spPr bwMode="auto">
        <a:xfrm>
          <a:off x="0" y="104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58" name="AutoShape 1638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04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59" name="AutoShape 1639" descr="BELARUS"/>
        <xdr:cNvSpPr>
          <a:spLocks noChangeAspect="1" noChangeArrowheads="1"/>
        </xdr:cNvSpPr>
      </xdr:nvSpPr>
      <xdr:spPr bwMode="auto">
        <a:xfrm>
          <a:off x="0" y="105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60" name="AutoShape 1640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05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61" name="AutoShape 1641" descr="BELARUS"/>
        <xdr:cNvSpPr>
          <a:spLocks noChangeAspect="1" noChangeArrowheads="1"/>
        </xdr:cNvSpPr>
      </xdr:nvSpPr>
      <xdr:spPr bwMode="auto">
        <a:xfrm>
          <a:off x="0" y="107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62" name="AutoShape 1642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07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63" name="AutoShape 1643" descr="BELARUS"/>
        <xdr:cNvSpPr>
          <a:spLocks noChangeAspect="1" noChangeArrowheads="1"/>
        </xdr:cNvSpPr>
      </xdr:nvSpPr>
      <xdr:spPr bwMode="auto">
        <a:xfrm>
          <a:off x="0" y="1101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64" name="AutoShape 1644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101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65" name="AutoShape 1645" descr="BELGIUM"/>
        <xdr:cNvSpPr>
          <a:spLocks noChangeAspect="1" noChangeArrowheads="1"/>
        </xdr:cNvSpPr>
      </xdr:nvSpPr>
      <xdr:spPr bwMode="auto">
        <a:xfrm>
          <a:off x="0" y="111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66" name="AutoShape 1646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11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67" name="AutoShape 1647" descr="BELGIUM"/>
        <xdr:cNvSpPr>
          <a:spLocks noChangeAspect="1" noChangeArrowheads="1"/>
        </xdr:cNvSpPr>
      </xdr:nvSpPr>
      <xdr:spPr bwMode="auto">
        <a:xfrm>
          <a:off x="0" y="113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68" name="AutoShape 1648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13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69" name="AutoShape 1649" descr="BELGIUM"/>
        <xdr:cNvSpPr>
          <a:spLocks noChangeAspect="1" noChangeArrowheads="1"/>
        </xdr:cNvSpPr>
      </xdr:nvSpPr>
      <xdr:spPr bwMode="auto">
        <a:xfrm>
          <a:off x="0" y="115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70" name="AutoShape 1650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15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71" name="AutoShape 1651" descr="BELGIUM"/>
        <xdr:cNvSpPr>
          <a:spLocks noChangeAspect="1" noChangeArrowheads="1"/>
        </xdr:cNvSpPr>
      </xdr:nvSpPr>
      <xdr:spPr bwMode="auto">
        <a:xfrm>
          <a:off x="0" y="117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72" name="AutoShape 1652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17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73" name="AutoShape 1653" descr="BELGIUM2"/>
        <xdr:cNvSpPr>
          <a:spLocks noChangeAspect="1" noChangeArrowheads="1"/>
        </xdr:cNvSpPr>
      </xdr:nvSpPr>
      <xdr:spPr bwMode="auto">
        <a:xfrm>
          <a:off x="0" y="119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74" name="AutoShape 1654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19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75" name="AutoShape 1655" descr="BRAZIL"/>
        <xdr:cNvSpPr>
          <a:spLocks noChangeAspect="1" noChangeArrowheads="1"/>
        </xdr:cNvSpPr>
      </xdr:nvSpPr>
      <xdr:spPr bwMode="auto">
        <a:xfrm>
          <a:off x="0" y="121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76" name="AutoShape 1656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21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77" name="AutoShape 1657" descr="BRAZIL"/>
        <xdr:cNvSpPr>
          <a:spLocks noChangeAspect="1" noChangeArrowheads="1"/>
        </xdr:cNvSpPr>
      </xdr:nvSpPr>
      <xdr:spPr bwMode="auto">
        <a:xfrm>
          <a:off x="0" y="123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78" name="AutoShape 1658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23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79" name="AutoShape 1659" descr="BRAZIL"/>
        <xdr:cNvSpPr>
          <a:spLocks noChangeAspect="1" noChangeArrowheads="1"/>
        </xdr:cNvSpPr>
      </xdr:nvSpPr>
      <xdr:spPr bwMode="auto">
        <a:xfrm>
          <a:off x="0" y="124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80" name="AutoShape 1660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24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81" name="AutoShape 1661" descr="BRAZIL"/>
        <xdr:cNvSpPr>
          <a:spLocks noChangeAspect="1" noChangeArrowheads="1"/>
        </xdr:cNvSpPr>
      </xdr:nvSpPr>
      <xdr:spPr bwMode="auto">
        <a:xfrm>
          <a:off x="0" y="126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82" name="AutoShape 1662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26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83" name="AutoShape 1663" descr="BRAZIL"/>
        <xdr:cNvSpPr>
          <a:spLocks noChangeAspect="1" noChangeArrowheads="1"/>
        </xdr:cNvSpPr>
      </xdr:nvSpPr>
      <xdr:spPr bwMode="auto">
        <a:xfrm>
          <a:off x="0" y="1292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84" name="AutoShape 1664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292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85" name="AutoShape 1665" descr="BRAZIL"/>
        <xdr:cNvSpPr>
          <a:spLocks noChangeAspect="1" noChangeArrowheads="1"/>
        </xdr:cNvSpPr>
      </xdr:nvSpPr>
      <xdr:spPr bwMode="auto">
        <a:xfrm>
          <a:off x="0" y="1309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86" name="AutoShape 1666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309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87" name="AutoShape 1667" descr="BRAZIL"/>
        <xdr:cNvSpPr>
          <a:spLocks noChangeAspect="1" noChangeArrowheads="1"/>
        </xdr:cNvSpPr>
      </xdr:nvSpPr>
      <xdr:spPr bwMode="auto">
        <a:xfrm>
          <a:off x="0" y="1327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88" name="AutoShape 1668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327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89" name="AutoShape 1669" descr="BRAZIL2"/>
        <xdr:cNvSpPr>
          <a:spLocks noChangeAspect="1" noChangeArrowheads="1"/>
        </xdr:cNvSpPr>
      </xdr:nvSpPr>
      <xdr:spPr bwMode="auto">
        <a:xfrm>
          <a:off x="0" y="1344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90" name="AutoShape 1670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344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91" name="AutoShape 1671" descr="BRAZIL2"/>
        <xdr:cNvSpPr>
          <a:spLocks noChangeAspect="1" noChangeArrowheads="1"/>
        </xdr:cNvSpPr>
      </xdr:nvSpPr>
      <xdr:spPr bwMode="auto">
        <a:xfrm>
          <a:off x="0" y="1362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92" name="AutoShape 1672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362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93" name="AutoShape 1673" descr="BRAZIL2"/>
        <xdr:cNvSpPr>
          <a:spLocks noChangeAspect="1" noChangeArrowheads="1"/>
        </xdr:cNvSpPr>
      </xdr:nvSpPr>
      <xdr:spPr bwMode="auto">
        <a:xfrm>
          <a:off x="0" y="137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94" name="AutoShape 1674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37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95" name="AutoShape 1675" descr="BRAZIL3"/>
        <xdr:cNvSpPr>
          <a:spLocks noChangeAspect="1" noChangeArrowheads="1"/>
        </xdr:cNvSpPr>
      </xdr:nvSpPr>
      <xdr:spPr bwMode="auto">
        <a:xfrm>
          <a:off x="0" y="1405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96" name="AutoShape 1676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05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97" name="AutoShape 1677" descr="BRAZIL3"/>
        <xdr:cNvSpPr>
          <a:spLocks noChangeAspect="1" noChangeArrowheads="1"/>
        </xdr:cNvSpPr>
      </xdr:nvSpPr>
      <xdr:spPr bwMode="auto">
        <a:xfrm>
          <a:off x="0" y="142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798" name="AutoShape 1678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799" name="AutoShape 1679" descr="BRAZIL3"/>
        <xdr:cNvSpPr>
          <a:spLocks noChangeAspect="1" noChangeArrowheads="1"/>
        </xdr:cNvSpPr>
      </xdr:nvSpPr>
      <xdr:spPr bwMode="auto">
        <a:xfrm>
          <a:off x="0" y="1440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00" name="AutoShape 1680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40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01" name="AutoShape 1681" descr="BRAZIL3"/>
        <xdr:cNvSpPr>
          <a:spLocks noChangeAspect="1" noChangeArrowheads="1"/>
        </xdr:cNvSpPr>
      </xdr:nvSpPr>
      <xdr:spPr bwMode="auto">
        <a:xfrm>
          <a:off x="0" y="1457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02" name="AutoShape 1682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57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03" name="AutoShape 1683" descr="BRAZIL5"/>
        <xdr:cNvSpPr>
          <a:spLocks noChangeAspect="1" noChangeArrowheads="1"/>
        </xdr:cNvSpPr>
      </xdr:nvSpPr>
      <xdr:spPr bwMode="auto">
        <a:xfrm>
          <a:off x="0" y="1475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04" name="AutoShape 1684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75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05" name="AutoShape 1685" descr="BRAZIL5"/>
        <xdr:cNvSpPr>
          <a:spLocks noChangeAspect="1" noChangeArrowheads="1"/>
        </xdr:cNvSpPr>
      </xdr:nvSpPr>
      <xdr:spPr bwMode="auto">
        <a:xfrm>
          <a:off x="0" y="1492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06" name="AutoShape 1686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92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07" name="AutoShape 1687" descr="BRAZIL5"/>
        <xdr:cNvSpPr>
          <a:spLocks noChangeAspect="1" noChangeArrowheads="1"/>
        </xdr:cNvSpPr>
      </xdr:nvSpPr>
      <xdr:spPr bwMode="auto">
        <a:xfrm>
          <a:off x="0" y="1510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08" name="AutoShape 1688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510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09" name="AutoShape 1689" descr="BULGARIA"/>
        <xdr:cNvSpPr>
          <a:spLocks noChangeAspect="1" noChangeArrowheads="1"/>
        </xdr:cNvSpPr>
      </xdr:nvSpPr>
      <xdr:spPr bwMode="auto">
        <a:xfrm>
          <a:off x="0" y="1527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10" name="AutoShape 1690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527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11" name="AutoShape 1691" descr="BULGARIA"/>
        <xdr:cNvSpPr>
          <a:spLocks noChangeAspect="1" noChangeArrowheads="1"/>
        </xdr:cNvSpPr>
      </xdr:nvSpPr>
      <xdr:spPr bwMode="auto">
        <a:xfrm>
          <a:off x="0" y="154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12" name="AutoShape 1692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54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13" name="AutoShape 1693" descr="BULGARIA2"/>
        <xdr:cNvSpPr>
          <a:spLocks noChangeAspect="1" noChangeArrowheads="1"/>
        </xdr:cNvSpPr>
      </xdr:nvSpPr>
      <xdr:spPr bwMode="auto">
        <a:xfrm>
          <a:off x="0" y="156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14" name="AutoShape 1694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56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15" name="AutoShape 1695" descr="BULGARIA2"/>
        <xdr:cNvSpPr>
          <a:spLocks noChangeAspect="1" noChangeArrowheads="1"/>
        </xdr:cNvSpPr>
      </xdr:nvSpPr>
      <xdr:spPr bwMode="auto">
        <a:xfrm>
          <a:off x="0" y="1588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16" name="AutoShape 1696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588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17" name="AutoShape 1697" descr="BULGARIA2"/>
        <xdr:cNvSpPr>
          <a:spLocks noChangeAspect="1" noChangeArrowheads="1"/>
        </xdr:cNvSpPr>
      </xdr:nvSpPr>
      <xdr:spPr bwMode="auto">
        <a:xfrm>
          <a:off x="0" y="161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18" name="AutoShape 1698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61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19" name="AutoShape 1699" descr="BULGARIA2"/>
        <xdr:cNvSpPr>
          <a:spLocks noChangeAspect="1" noChangeArrowheads="1"/>
        </xdr:cNvSpPr>
      </xdr:nvSpPr>
      <xdr:spPr bwMode="auto">
        <a:xfrm>
          <a:off x="0" y="1630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20" name="AutoShape 1700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630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21" name="AutoShape 1701" descr="BULGARIA2"/>
        <xdr:cNvSpPr>
          <a:spLocks noChangeAspect="1" noChangeArrowheads="1"/>
        </xdr:cNvSpPr>
      </xdr:nvSpPr>
      <xdr:spPr bwMode="auto">
        <a:xfrm>
          <a:off x="0" y="1648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22" name="AutoShape 1702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648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23" name="AutoShape 1703" descr="CANADA"/>
        <xdr:cNvSpPr>
          <a:spLocks noChangeAspect="1" noChangeArrowheads="1"/>
        </xdr:cNvSpPr>
      </xdr:nvSpPr>
      <xdr:spPr bwMode="auto">
        <a:xfrm>
          <a:off x="0" y="1665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24" name="AutoShape 1704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665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25" name="AutoShape 1705" descr="CANADA"/>
        <xdr:cNvSpPr>
          <a:spLocks noChangeAspect="1" noChangeArrowheads="1"/>
        </xdr:cNvSpPr>
      </xdr:nvSpPr>
      <xdr:spPr bwMode="auto">
        <a:xfrm>
          <a:off x="0" y="1690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26" name="AutoShape 1706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690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27" name="AutoShape 1707" descr="CHILE"/>
        <xdr:cNvSpPr>
          <a:spLocks noChangeAspect="1" noChangeArrowheads="1"/>
        </xdr:cNvSpPr>
      </xdr:nvSpPr>
      <xdr:spPr bwMode="auto">
        <a:xfrm>
          <a:off x="0" y="171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28" name="AutoShape 1708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71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29" name="AutoShape 1709" descr="CHILE"/>
        <xdr:cNvSpPr>
          <a:spLocks noChangeAspect="1" noChangeArrowheads="1"/>
        </xdr:cNvSpPr>
      </xdr:nvSpPr>
      <xdr:spPr bwMode="auto">
        <a:xfrm>
          <a:off x="0" y="174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30" name="AutoShape 1710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74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31" name="AutoShape 1711" descr="CHILE"/>
        <xdr:cNvSpPr>
          <a:spLocks noChangeAspect="1" noChangeArrowheads="1"/>
        </xdr:cNvSpPr>
      </xdr:nvSpPr>
      <xdr:spPr bwMode="auto">
        <a:xfrm>
          <a:off x="0" y="176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32" name="AutoShape 1712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76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33" name="AutoShape 1713" descr="CHILE"/>
        <xdr:cNvSpPr>
          <a:spLocks noChangeAspect="1" noChangeArrowheads="1"/>
        </xdr:cNvSpPr>
      </xdr:nvSpPr>
      <xdr:spPr bwMode="auto">
        <a:xfrm>
          <a:off x="0" y="178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34" name="AutoShape 1714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78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35" name="AutoShape 1715" descr="CHILE2"/>
        <xdr:cNvSpPr>
          <a:spLocks noChangeAspect="1" noChangeArrowheads="1"/>
        </xdr:cNvSpPr>
      </xdr:nvSpPr>
      <xdr:spPr bwMode="auto">
        <a:xfrm>
          <a:off x="0" y="180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36" name="AutoShape 1716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80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37" name="AutoShape 1717" descr="CHILE2"/>
        <xdr:cNvSpPr>
          <a:spLocks noChangeAspect="1" noChangeArrowheads="1"/>
        </xdr:cNvSpPr>
      </xdr:nvSpPr>
      <xdr:spPr bwMode="auto">
        <a:xfrm>
          <a:off x="0" y="182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38" name="AutoShape 1718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82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39" name="AutoShape 1719" descr="CHILE2"/>
        <xdr:cNvSpPr>
          <a:spLocks noChangeAspect="1" noChangeArrowheads="1"/>
        </xdr:cNvSpPr>
      </xdr:nvSpPr>
      <xdr:spPr bwMode="auto">
        <a:xfrm>
          <a:off x="0" y="184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40" name="AutoShape 1720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84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41" name="AutoShape 1721" descr="CHINA2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42" name="AutoShape 1722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43" name="AutoShape 1723" descr="CHINA2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44" name="AutoShape 1724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45" name="AutoShape 1725" descr="CHINA2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46" name="AutoShape 1726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47" name="AutoShape 1727" descr="CHINA2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48" name="AutoShape 1728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49" name="AutoShape 1729" descr="COLOMBIA2"/>
        <xdr:cNvSpPr>
          <a:spLocks noChangeAspect="1" noChangeArrowheads="1"/>
        </xdr:cNvSpPr>
      </xdr:nvSpPr>
      <xdr:spPr bwMode="auto">
        <a:xfrm>
          <a:off x="0" y="1954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50" name="AutoShape 1730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954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51" name="AutoShape 1731" descr="COLOMBIA2"/>
        <xdr:cNvSpPr>
          <a:spLocks noChangeAspect="1" noChangeArrowheads="1"/>
        </xdr:cNvSpPr>
      </xdr:nvSpPr>
      <xdr:spPr bwMode="auto">
        <a:xfrm>
          <a:off x="0" y="197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52" name="AutoShape 1732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97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53" name="AutoShape 1733" descr="COLOMBIA2"/>
        <xdr:cNvSpPr>
          <a:spLocks noChangeAspect="1" noChangeArrowheads="1"/>
        </xdr:cNvSpPr>
      </xdr:nvSpPr>
      <xdr:spPr bwMode="auto">
        <a:xfrm>
          <a:off x="0" y="1997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54" name="AutoShape 1734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997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55" name="AutoShape 1735" descr="COSTARICA"/>
        <xdr:cNvSpPr>
          <a:spLocks noChangeAspect="1" noChangeArrowheads="1"/>
        </xdr:cNvSpPr>
      </xdr:nvSpPr>
      <xdr:spPr bwMode="auto">
        <a:xfrm>
          <a:off x="0" y="2022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56" name="AutoShape 1736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2022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57" name="AutoShape 1737" descr="COSTARICA"/>
        <xdr:cNvSpPr>
          <a:spLocks noChangeAspect="1" noChangeArrowheads="1"/>
        </xdr:cNvSpPr>
      </xdr:nvSpPr>
      <xdr:spPr bwMode="auto">
        <a:xfrm>
          <a:off x="0" y="2039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58" name="AutoShape 1738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2039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59" name="AutoShape 1739" descr="CROATIA"/>
        <xdr:cNvSpPr>
          <a:spLocks noChangeAspect="1" noChangeArrowheads="1"/>
        </xdr:cNvSpPr>
      </xdr:nvSpPr>
      <xdr:spPr bwMode="auto">
        <a:xfrm>
          <a:off x="0" y="205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60" name="AutoShape 1740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205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61" name="AutoShape 1741" descr="CROATIA"/>
        <xdr:cNvSpPr>
          <a:spLocks noChangeAspect="1" noChangeArrowheads="1"/>
        </xdr:cNvSpPr>
      </xdr:nvSpPr>
      <xdr:spPr bwMode="auto">
        <a:xfrm>
          <a:off x="0" y="2074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62" name="AutoShape 1742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2074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63" name="AutoShape 1743" descr="CZECHREPUBLIC2"/>
        <xdr:cNvSpPr>
          <a:spLocks noChangeAspect="1" noChangeArrowheads="1"/>
        </xdr:cNvSpPr>
      </xdr:nvSpPr>
      <xdr:spPr bwMode="auto">
        <a:xfrm>
          <a:off x="0" y="209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64" name="AutoShape 1744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209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65" name="AutoShape 1745" descr="DENMARK"/>
        <xdr:cNvSpPr>
          <a:spLocks noChangeAspect="1" noChangeArrowheads="1"/>
        </xdr:cNvSpPr>
      </xdr:nvSpPr>
      <xdr:spPr bwMode="auto">
        <a:xfrm>
          <a:off x="0" y="2117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66" name="AutoShape 1746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2117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67" name="AutoShape 1747" descr="DENMARK"/>
        <xdr:cNvSpPr>
          <a:spLocks noChangeAspect="1" noChangeArrowheads="1"/>
        </xdr:cNvSpPr>
      </xdr:nvSpPr>
      <xdr:spPr bwMode="auto">
        <a:xfrm>
          <a:off x="0" y="213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68" name="AutoShape 1748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213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69" name="AutoShape 1749" descr="DENMARK"/>
        <xdr:cNvSpPr>
          <a:spLocks noChangeAspect="1" noChangeArrowheads="1"/>
        </xdr:cNvSpPr>
      </xdr:nvSpPr>
      <xdr:spPr bwMode="auto">
        <a:xfrm>
          <a:off x="0" y="2152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70" name="AutoShape 1750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215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71" name="AutoShape 1751" descr="DENMARK"/>
        <xdr:cNvSpPr>
          <a:spLocks noChangeAspect="1" noChangeArrowheads="1"/>
        </xdr:cNvSpPr>
      </xdr:nvSpPr>
      <xdr:spPr bwMode="auto">
        <a:xfrm>
          <a:off x="0" y="217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72" name="AutoShape 1752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217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73" name="AutoShape 1753" descr="DENMARK2"/>
        <xdr:cNvSpPr>
          <a:spLocks noChangeAspect="1" noChangeArrowheads="1"/>
        </xdr:cNvSpPr>
      </xdr:nvSpPr>
      <xdr:spPr bwMode="auto">
        <a:xfrm>
          <a:off x="0" y="220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74" name="AutoShape 1754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220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75" name="AutoShape 1755" descr="ECUADOR"/>
        <xdr:cNvSpPr>
          <a:spLocks noChangeAspect="1" noChangeArrowheads="1"/>
        </xdr:cNvSpPr>
      </xdr:nvSpPr>
      <xdr:spPr bwMode="auto">
        <a:xfrm>
          <a:off x="0" y="2228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76" name="AutoShape 1756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2228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77" name="AutoShape 1757" descr="ECUADOR"/>
        <xdr:cNvSpPr>
          <a:spLocks noChangeAspect="1" noChangeArrowheads="1"/>
        </xdr:cNvSpPr>
      </xdr:nvSpPr>
      <xdr:spPr bwMode="auto">
        <a:xfrm>
          <a:off x="0" y="2245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78" name="AutoShape 1758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2245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79" name="AutoShape 1759" descr="ECUADOR"/>
        <xdr:cNvSpPr>
          <a:spLocks noChangeAspect="1" noChangeArrowheads="1"/>
        </xdr:cNvSpPr>
      </xdr:nvSpPr>
      <xdr:spPr bwMode="auto">
        <a:xfrm>
          <a:off x="0" y="226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80" name="AutoShape 1760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226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81" name="AutoShape 1761" descr="ESTONIA"/>
        <xdr:cNvSpPr>
          <a:spLocks noChangeAspect="1" noChangeArrowheads="1"/>
        </xdr:cNvSpPr>
      </xdr:nvSpPr>
      <xdr:spPr bwMode="auto">
        <a:xfrm>
          <a:off x="0" y="228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82" name="AutoShape 1762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228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83" name="AutoShape 1763" descr="ESTONIA"/>
        <xdr:cNvSpPr>
          <a:spLocks noChangeAspect="1" noChangeArrowheads="1"/>
        </xdr:cNvSpPr>
      </xdr:nvSpPr>
      <xdr:spPr bwMode="auto">
        <a:xfrm>
          <a:off x="0" y="229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84" name="AutoShape 1764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229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85" name="AutoShape 1765" descr="ESTONIA"/>
        <xdr:cNvSpPr>
          <a:spLocks noChangeAspect="1" noChangeArrowheads="1"/>
        </xdr:cNvSpPr>
      </xdr:nvSpPr>
      <xdr:spPr bwMode="auto">
        <a:xfrm>
          <a:off x="0" y="2315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86" name="AutoShape 1766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2315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87" name="AutoShape 1767" descr="ESTONIA"/>
        <xdr:cNvSpPr>
          <a:spLocks noChangeAspect="1" noChangeArrowheads="1"/>
        </xdr:cNvSpPr>
      </xdr:nvSpPr>
      <xdr:spPr bwMode="auto">
        <a:xfrm>
          <a:off x="0" y="2333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88" name="AutoShape 1768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2333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89" name="AutoShape 1769" descr="FAROEISLANDS"/>
        <xdr:cNvSpPr>
          <a:spLocks noChangeAspect="1" noChangeArrowheads="1"/>
        </xdr:cNvSpPr>
      </xdr:nvSpPr>
      <xdr:spPr bwMode="auto">
        <a:xfrm>
          <a:off x="0" y="2350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90" name="AutoShape 1770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2350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91" name="AutoShape 1771" descr="FAROEISLANDS"/>
        <xdr:cNvSpPr>
          <a:spLocks noChangeAspect="1" noChangeArrowheads="1"/>
        </xdr:cNvSpPr>
      </xdr:nvSpPr>
      <xdr:spPr bwMode="auto">
        <a:xfrm>
          <a:off x="0" y="2368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92" name="AutoShape 1772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2368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93" name="AutoShape 1773" descr="FAROEISLANDS"/>
        <xdr:cNvSpPr>
          <a:spLocks noChangeAspect="1" noChangeArrowheads="1"/>
        </xdr:cNvSpPr>
      </xdr:nvSpPr>
      <xdr:spPr bwMode="auto">
        <a:xfrm>
          <a:off x="0" y="2385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94" name="AutoShape 1774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2385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95" name="AutoShape 1775" descr="FAROEISLANDS"/>
        <xdr:cNvSpPr>
          <a:spLocks noChangeAspect="1" noChangeArrowheads="1"/>
        </xdr:cNvSpPr>
      </xdr:nvSpPr>
      <xdr:spPr bwMode="auto">
        <a:xfrm>
          <a:off x="0" y="240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96" name="AutoShape 1776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240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97" name="AutoShape 1777" descr="FAROEISLANDS"/>
        <xdr:cNvSpPr>
          <a:spLocks noChangeAspect="1" noChangeArrowheads="1"/>
        </xdr:cNvSpPr>
      </xdr:nvSpPr>
      <xdr:spPr bwMode="auto">
        <a:xfrm>
          <a:off x="0" y="242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898" name="AutoShape 1778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242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899" name="AutoShape 1779" descr="FINLAND"/>
        <xdr:cNvSpPr>
          <a:spLocks noChangeAspect="1" noChangeArrowheads="1"/>
        </xdr:cNvSpPr>
      </xdr:nvSpPr>
      <xdr:spPr bwMode="auto">
        <a:xfrm>
          <a:off x="0" y="243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00" name="AutoShape 1780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243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01" name="AutoShape 1781" descr="FINLAND"/>
        <xdr:cNvSpPr>
          <a:spLocks noChangeAspect="1" noChangeArrowheads="1"/>
        </xdr:cNvSpPr>
      </xdr:nvSpPr>
      <xdr:spPr bwMode="auto">
        <a:xfrm>
          <a:off x="0" y="245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02" name="AutoShape 1782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245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03" name="AutoShape 1783" descr="FINLAND"/>
        <xdr:cNvSpPr>
          <a:spLocks noChangeAspect="1" noChangeArrowheads="1"/>
        </xdr:cNvSpPr>
      </xdr:nvSpPr>
      <xdr:spPr bwMode="auto">
        <a:xfrm>
          <a:off x="0" y="247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04" name="AutoShape 1784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247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05" name="AutoShape 1785" descr="FINLAND2"/>
        <xdr:cNvSpPr>
          <a:spLocks noChangeAspect="1" noChangeArrowheads="1"/>
        </xdr:cNvSpPr>
      </xdr:nvSpPr>
      <xdr:spPr bwMode="auto">
        <a:xfrm>
          <a:off x="0" y="249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06" name="AutoShape 1786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249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07" name="AutoShape 1787" descr="FINLAND3"/>
        <xdr:cNvSpPr>
          <a:spLocks noChangeAspect="1" noChangeArrowheads="1"/>
        </xdr:cNvSpPr>
      </xdr:nvSpPr>
      <xdr:spPr bwMode="auto">
        <a:xfrm>
          <a:off x="0" y="250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08" name="AutoShape 1788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250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09" name="AutoShape 1789" descr="FINLAND3"/>
        <xdr:cNvSpPr>
          <a:spLocks noChangeAspect="1" noChangeArrowheads="1"/>
        </xdr:cNvSpPr>
      </xdr:nvSpPr>
      <xdr:spPr bwMode="auto">
        <a:xfrm>
          <a:off x="0" y="252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10" name="AutoShape 1790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252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11" name="AutoShape 1791" descr="FINLAND3"/>
        <xdr:cNvSpPr>
          <a:spLocks noChangeAspect="1" noChangeArrowheads="1"/>
        </xdr:cNvSpPr>
      </xdr:nvSpPr>
      <xdr:spPr bwMode="auto">
        <a:xfrm>
          <a:off x="0" y="254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12" name="AutoShape 1792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254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13" name="AutoShape 1793" descr="FINLAND4"/>
        <xdr:cNvSpPr>
          <a:spLocks noChangeAspect="1" noChangeArrowheads="1"/>
        </xdr:cNvSpPr>
      </xdr:nvSpPr>
      <xdr:spPr bwMode="auto">
        <a:xfrm>
          <a:off x="0" y="256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14" name="AutoShape 1794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256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15" name="AutoShape 1795" descr="FINLAND6"/>
        <xdr:cNvSpPr>
          <a:spLocks noChangeAspect="1" noChangeArrowheads="1"/>
        </xdr:cNvSpPr>
      </xdr:nvSpPr>
      <xdr:spPr bwMode="auto">
        <a:xfrm>
          <a:off x="0" y="257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16" name="AutoShape 1796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257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17" name="AutoShape 1797" descr="FINLAND6"/>
        <xdr:cNvSpPr>
          <a:spLocks noChangeAspect="1" noChangeArrowheads="1"/>
        </xdr:cNvSpPr>
      </xdr:nvSpPr>
      <xdr:spPr bwMode="auto">
        <a:xfrm>
          <a:off x="0" y="259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18" name="AutoShape 1798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259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19" name="AutoShape 1799" descr="GEORGIA"/>
        <xdr:cNvSpPr>
          <a:spLocks noChangeAspect="1" noChangeArrowheads="1"/>
        </xdr:cNvSpPr>
      </xdr:nvSpPr>
      <xdr:spPr bwMode="auto">
        <a:xfrm>
          <a:off x="0" y="2621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20" name="AutoShape 1800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262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21" name="AutoShape 1801" descr="GEORGIA"/>
        <xdr:cNvSpPr>
          <a:spLocks noChangeAspect="1" noChangeArrowheads="1"/>
        </xdr:cNvSpPr>
      </xdr:nvSpPr>
      <xdr:spPr bwMode="auto">
        <a:xfrm>
          <a:off x="0" y="2638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22" name="AutoShape 1802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2638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23" name="AutoShape 1803" descr="GERMANY3"/>
        <xdr:cNvSpPr>
          <a:spLocks noChangeAspect="1" noChangeArrowheads="1"/>
        </xdr:cNvSpPr>
      </xdr:nvSpPr>
      <xdr:spPr bwMode="auto">
        <a:xfrm>
          <a:off x="0" y="2663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24" name="AutoShape 1804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2663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25" name="AutoShape 1805" descr="GERMANY3"/>
        <xdr:cNvSpPr>
          <a:spLocks noChangeAspect="1" noChangeArrowheads="1"/>
        </xdr:cNvSpPr>
      </xdr:nvSpPr>
      <xdr:spPr bwMode="auto">
        <a:xfrm>
          <a:off x="0" y="2689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26" name="AutoShape 1806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2689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27" name="AutoShape 1807" descr="GERMANY3"/>
        <xdr:cNvSpPr>
          <a:spLocks noChangeAspect="1" noChangeArrowheads="1"/>
        </xdr:cNvSpPr>
      </xdr:nvSpPr>
      <xdr:spPr bwMode="auto">
        <a:xfrm>
          <a:off x="0" y="27066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28" name="AutoShape 1808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2706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29" name="AutoShape 1809" descr="GERMANY4"/>
        <xdr:cNvSpPr>
          <a:spLocks noChangeAspect="1" noChangeArrowheads="1"/>
        </xdr:cNvSpPr>
      </xdr:nvSpPr>
      <xdr:spPr bwMode="auto">
        <a:xfrm>
          <a:off x="0" y="2731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30" name="AutoShape 1810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2731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31" name="AutoShape 1811" descr="GERMANY4"/>
        <xdr:cNvSpPr>
          <a:spLocks noChangeAspect="1" noChangeArrowheads="1"/>
        </xdr:cNvSpPr>
      </xdr:nvSpPr>
      <xdr:spPr bwMode="auto">
        <a:xfrm>
          <a:off x="0" y="275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32" name="AutoShape 1812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275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33" name="AutoShape 1813" descr="GERMANY4"/>
        <xdr:cNvSpPr>
          <a:spLocks noChangeAspect="1" noChangeArrowheads="1"/>
        </xdr:cNvSpPr>
      </xdr:nvSpPr>
      <xdr:spPr bwMode="auto">
        <a:xfrm>
          <a:off x="0" y="2782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34" name="AutoShape 1814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2782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35" name="AutoShape 1815" descr="GERMANY4"/>
        <xdr:cNvSpPr>
          <a:spLocks noChangeAspect="1" noChangeArrowheads="1"/>
        </xdr:cNvSpPr>
      </xdr:nvSpPr>
      <xdr:spPr bwMode="auto">
        <a:xfrm>
          <a:off x="0" y="280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36" name="AutoShape 1816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280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37" name="AutoShape 1817" descr="GERMANY4"/>
        <xdr:cNvSpPr>
          <a:spLocks noChangeAspect="1" noChangeArrowheads="1"/>
        </xdr:cNvSpPr>
      </xdr:nvSpPr>
      <xdr:spPr bwMode="auto">
        <a:xfrm>
          <a:off x="0" y="283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38" name="AutoShape 1818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283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39" name="AutoShape 1819" descr="GERMANY5"/>
        <xdr:cNvSpPr>
          <a:spLocks noChangeAspect="1" noChangeArrowheads="1"/>
        </xdr:cNvSpPr>
      </xdr:nvSpPr>
      <xdr:spPr bwMode="auto">
        <a:xfrm>
          <a:off x="0" y="284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40" name="AutoShape 1820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284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41" name="AutoShape 1821" descr="GERMANY5"/>
        <xdr:cNvSpPr>
          <a:spLocks noChangeAspect="1" noChangeArrowheads="1"/>
        </xdr:cNvSpPr>
      </xdr:nvSpPr>
      <xdr:spPr bwMode="auto">
        <a:xfrm>
          <a:off x="0" y="286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42" name="AutoShape 1822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286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43" name="AutoShape 1823" descr="GERMANY6"/>
        <xdr:cNvSpPr>
          <a:spLocks noChangeAspect="1" noChangeArrowheads="1"/>
        </xdr:cNvSpPr>
      </xdr:nvSpPr>
      <xdr:spPr bwMode="auto">
        <a:xfrm>
          <a:off x="0" y="289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44" name="AutoShape 1824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289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45" name="AutoShape 1825" descr="GERMANY7"/>
        <xdr:cNvSpPr>
          <a:spLocks noChangeAspect="1" noChangeArrowheads="1"/>
        </xdr:cNvSpPr>
      </xdr:nvSpPr>
      <xdr:spPr bwMode="auto">
        <a:xfrm>
          <a:off x="0" y="291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46" name="AutoShape 1826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291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47" name="AutoShape 1827" descr="GERMANY7"/>
        <xdr:cNvSpPr>
          <a:spLocks noChangeAspect="1" noChangeArrowheads="1"/>
        </xdr:cNvSpPr>
      </xdr:nvSpPr>
      <xdr:spPr bwMode="auto">
        <a:xfrm>
          <a:off x="0" y="2927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48" name="AutoShape 1828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2927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49" name="AutoShape 1829" descr="GERMANY7"/>
        <xdr:cNvSpPr>
          <a:spLocks noChangeAspect="1" noChangeArrowheads="1"/>
        </xdr:cNvSpPr>
      </xdr:nvSpPr>
      <xdr:spPr bwMode="auto">
        <a:xfrm>
          <a:off x="0" y="2945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50" name="AutoShape 1830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2945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51" name="AutoShape 1831" descr="GUATEMALA"/>
        <xdr:cNvSpPr>
          <a:spLocks noChangeAspect="1" noChangeArrowheads="1"/>
        </xdr:cNvSpPr>
      </xdr:nvSpPr>
      <xdr:spPr bwMode="auto">
        <a:xfrm>
          <a:off x="0" y="297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52" name="AutoShape 1832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297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53" name="AutoShape 1833" descr="GUATEMALA"/>
        <xdr:cNvSpPr>
          <a:spLocks noChangeAspect="1" noChangeArrowheads="1"/>
        </xdr:cNvSpPr>
      </xdr:nvSpPr>
      <xdr:spPr bwMode="auto">
        <a:xfrm>
          <a:off x="0" y="2995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54" name="AutoShape 1834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2995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55" name="AutoShape 1835" descr="GUATEMALA"/>
        <xdr:cNvSpPr>
          <a:spLocks noChangeAspect="1" noChangeArrowheads="1"/>
        </xdr:cNvSpPr>
      </xdr:nvSpPr>
      <xdr:spPr bwMode="auto">
        <a:xfrm>
          <a:off x="0" y="3012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56" name="AutoShape 1836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3012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57" name="AutoShape 1837" descr="HUNGARY"/>
        <xdr:cNvSpPr>
          <a:spLocks noChangeAspect="1" noChangeArrowheads="1"/>
        </xdr:cNvSpPr>
      </xdr:nvSpPr>
      <xdr:spPr bwMode="auto">
        <a:xfrm>
          <a:off x="0" y="3038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58" name="AutoShape 1838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3038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59" name="AutoShape 1839" descr="HUNGARY"/>
        <xdr:cNvSpPr>
          <a:spLocks noChangeAspect="1" noChangeArrowheads="1"/>
        </xdr:cNvSpPr>
      </xdr:nvSpPr>
      <xdr:spPr bwMode="auto">
        <a:xfrm>
          <a:off x="0" y="305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60" name="AutoShape 1840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305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61" name="AutoShape 1841" descr="HUNGARY2"/>
        <xdr:cNvSpPr>
          <a:spLocks noChangeAspect="1" noChangeArrowheads="1"/>
        </xdr:cNvSpPr>
      </xdr:nvSpPr>
      <xdr:spPr bwMode="auto">
        <a:xfrm>
          <a:off x="0" y="307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62" name="AutoShape 1842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307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63" name="AutoShape 1843" descr="HUNGARY2"/>
        <xdr:cNvSpPr>
          <a:spLocks noChangeAspect="1" noChangeArrowheads="1"/>
        </xdr:cNvSpPr>
      </xdr:nvSpPr>
      <xdr:spPr bwMode="auto">
        <a:xfrm>
          <a:off x="0" y="3090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64" name="AutoShape 1844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3090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65" name="AutoShape 1845" descr="ICELAND"/>
        <xdr:cNvSpPr>
          <a:spLocks noChangeAspect="1" noChangeArrowheads="1"/>
        </xdr:cNvSpPr>
      </xdr:nvSpPr>
      <xdr:spPr bwMode="auto">
        <a:xfrm>
          <a:off x="0" y="3108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66" name="AutoShape 1846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3108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67" name="AutoShape 1847" descr="ICELAND"/>
        <xdr:cNvSpPr>
          <a:spLocks noChangeAspect="1" noChangeArrowheads="1"/>
        </xdr:cNvSpPr>
      </xdr:nvSpPr>
      <xdr:spPr bwMode="auto">
        <a:xfrm>
          <a:off x="0" y="3125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68" name="AutoShape 1848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3125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69" name="AutoShape 1849" descr="ICELAND"/>
        <xdr:cNvSpPr>
          <a:spLocks noChangeAspect="1" noChangeArrowheads="1"/>
        </xdr:cNvSpPr>
      </xdr:nvSpPr>
      <xdr:spPr bwMode="auto">
        <a:xfrm>
          <a:off x="0" y="3143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70" name="AutoShape 1850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31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71" name="AutoShape 1851" descr="JAPAN2"/>
        <xdr:cNvSpPr>
          <a:spLocks noChangeAspect="1" noChangeArrowheads="1"/>
        </xdr:cNvSpPr>
      </xdr:nvSpPr>
      <xdr:spPr bwMode="auto">
        <a:xfrm>
          <a:off x="0" y="316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72" name="AutoShape 1852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316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73" name="AutoShape 1853" descr="JAPAN2"/>
        <xdr:cNvSpPr>
          <a:spLocks noChangeAspect="1" noChangeArrowheads="1"/>
        </xdr:cNvSpPr>
      </xdr:nvSpPr>
      <xdr:spPr bwMode="auto">
        <a:xfrm>
          <a:off x="0" y="318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74" name="AutoShape 1854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318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75" name="AutoShape 1855" descr="JAPAN3"/>
        <xdr:cNvSpPr>
          <a:spLocks noChangeAspect="1" noChangeArrowheads="1"/>
        </xdr:cNvSpPr>
      </xdr:nvSpPr>
      <xdr:spPr bwMode="auto">
        <a:xfrm>
          <a:off x="0" y="320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76" name="AutoShape 1856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320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77" name="AutoShape 1857" descr="JAPAN3"/>
        <xdr:cNvSpPr>
          <a:spLocks noChangeAspect="1" noChangeArrowheads="1"/>
        </xdr:cNvSpPr>
      </xdr:nvSpPr>
      <xdr:spPr bwMode="auto">
        <a:xfrm>
          <a:off x="0" y="322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78" name="AutoShape 1858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322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79" name="AutoShape 1859" descr="JAPAN3"/>
        <xdr:cNvSpPr>
          <a:spLocks noChangeAspect="1" noChangeArrowheads="1"/>
        </xdr:cNvSpPr>
      </xdr:nvSpPr>
      <xdr:spPr bwMode="auto">
        <a:xfrm>
          <a:off x="0" y="32537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80" name="AutoShape 1860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3253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81" name="AutoShape 1861" descr="JAPAN3"/>
        <xdr:cNvSpPr>
          <a:spLocks noChangeAspect="1" noChangeArrowheads="1"/>
        </xdr:cNvSpPr>
      </xdr:nvSpPr>
      <xdr:spPr bwMode="auto">
        <a:xfrm>
          <a:off x="0" y="3278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82" name="AutoShape 1862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3278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83" name="AutoShape 1863" descr="KAZAKHSTAN"/>
        <xdr:cNvSpPr>
          <a:spLocks noChangeAspect="1" noChangeArrowheads="1"/>
        </xdr:cNvSpPr>
      </xdr:nvSpPr>
      <xdr:spPr bwMode="auto">
        <a:xfrm>
          <a:off x="0" y="330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84" name="AutoShape 1864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330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85" name="AutoShape 1865" descr="KAZAKHSTAN"/>
        <xdr:cNvSpPr>
          <a:spLocks noChangeAspect="1" noChangeArrowheads="1"/>
        </xdr:cNvSpPr>
      </xdr:nvSpPr>
      <xdr:spPr bwMode="auto">
        <a:xfrm>
          <a:off x="0" y="3321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86" name="AutoShape 1866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3321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87" name="AutoShape 1867" descr="KAZAKHSTAN"/>
        <xdr:cNvSpPr>
          <a:spLocks noChangeAspect="1" noChangeArrowheads="1"/>
        </xdr:cNvSpPr>
      </xdr:nvSpPr>
      <xdr:spPr bwMode="auto">
        <a:xfrm>
          <a:off x="0" y="333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88" name="AutoShape 1868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333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89" name="AutoShape 1869" descr="KAZAKHSTAN"/>
        <xdr:cNvSpPr>
          <a:spLocks noChangeAspect="1" noChangeArrowheads="1"/>
        </xdr:cNvSpPr>
      </xdr:nvSpPr>
      <xdr:spPr bwMode="auto">
        <a:xfrm>
          <a:off x="0" y="335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90" name="AutoShape 1870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335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91" name="AutoShape 1871" descr="LITHUANIA"/>
        <xdr:cNvSpPr>
          <a:spLocks noChangeAspect="1" noChangeArrowheads="1"/>
        </xdr:cNvSpPr>
      </xdr:nvSpPr>
      <xdr:spPr bwMode="auto">
        <a:xfrm>
          <a:off x="0" y="338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92" name="AutoShape 1872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338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93" name="AutoShape 1873" descr="LITHUANIA"/>
        <xdr:cNvSpPr>
          <a:spLocks noChangeAspect="1" noChangeArrowheads="1"/>
        </xdr:cNvSpPr>
      </xdr:nvSpPr>
      <xdr:spPr bwMode="auto">
        <a:xfrm>
          <a:off x="0" y="340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94" name="AutoShape 1874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340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95" name="AutoShape 1875" descr="MEXICO"/>
        <xdr:cNvSpPr>
          <a:spLocks noChangeAspect="1" noChangeArrowheads="1"/>
        </xdr:cNvSpPr>
      </xdr:nvSpPr>
      <xdr:spPr bwMode="auto">
        <a:xfrm>
          <a:off x="0" y="3424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96" name="AutoShape 1876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3424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97" name="AutoShape 1877" descr="MEXICO"/>
        <xdr:cNvSpPr>
          <a:spLocks noChangeAspect="1" noChangeArrowheads="1"/>
        </xdr:cNvSpPr>
      </xdr:nvSpPr>
      <xdr:spPr bwMode="auto">
        <a:xfrm>
          <a:off x="0" y="344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998" name="AutoShape 1878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344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999" name="AutoShape 1879" descr="MEXICO"/>
        <xdr:cNvSpPr>
          <a:spLocks noChangeAspect="1" noChangeArrowheads="1"/>
        </xdr:cNvSpPr>
      </xdr:nvSpPr>
      <xdr:spPr bwMode="auto">
        <a:xfrm>
          <a:off x="0" y="3459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00" name="AutoShape 1880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3459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01" name="AutoShape 1881" descr="MEXICO"/>
        <xdr:cNvSpPr>
          <a:spLocks noChangeAspect="1" noChangeArrowheads="1"/>
        </xdr:cNvSpPr>
      </xdr:nvSpPr>
      <xdr:spPr bwMode="auto">
        <a:xfrm>
          <a:off x="0" y="348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02" name="AutoShape 1882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348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03" name="AutoShape 1883" descr="MOLDOVA"/>
        <xdr:cNvSpPr>
          <a:spLocks noChangeAspect="1" noChangeArrowheads="1"/>
        </xdr:cNvSpPr>
      </xdr:nvSpPr>
      <xdr:spPr bwMode="auto">
        <a:xfrm>
          <a:off x="0" y="350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04" name="AutoShape 1884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350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05" name="AutoShape 1885" descr="MOLDOVA"/>
        <xdr:cNvSpPr>
          <a:spLocks noChangeAspect="1" noChangeArrowheads="1"/>
        </xdr:cNvSpPr>
      </xdr:nvSpPr>
      <xdr:spPr bwMode="auto">
        <a:xfrm>
          <a:off x="0" y="351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06" name="AutoShape 1886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351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07" name="AutoShape 1887" descr="MONTENEGRO"/>
        <xdr:cNvSpPr>
          <a:spLocks noChangeAspect="1" noChangeArrowheads="1"/>
        </xdr:cNvSpPr>
      </xdr:nvSpPr>
      <xdr:spPr bwMode="auto">
        <a:xfrm>
          <a:off x="0" y="354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08" name="AutoShape 1888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354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09" name="AutoShape 1889" descr="MONTENEGRO"/>
        <xdr:cNvSpPr>
          <a:spLocks noChangeAspect="1" noChangeArrowheads="1"/>
        </xdr:cNvSpPr>
      </xdr:nvSpPr>
      <xdr:spPr bwMode="auto">
        <a:xfrm>
          <a:off x="0" y="356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10" name="AutoShape 1890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356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11" name="AutoShape 1891" descr="MONTENEGRO"/>
        <xdr:cNvSpPr>
          <a:spLocks noChangeAspect="1" noChangeArrowheads="1"/>
        </xdr:cNvSpPr>
      </xdr:nvSpPr>
      <xdr:spPr bwMode="auto">
        <a:xfrm>
          <a:off x="0" y="357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12" name="AutoShape 1892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357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13" name="AutoShape 1893" descr="NORWAY"/>
        <xdr:cNvSpPr>
          <a:spLocks noChangeAspect="1" noChangeArrowheads="1"/>
        </xdr:cNvSpPr>
      </xdr:nvSpPr>
      <xdr:spPr bwMode="auto">
        <a:xfrm>
          <a:off x="0" y="359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14" name="AutoShape 1894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359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15" name="AutoShape 1895" descr="NORWAY"/>
        <xdr:cNvSpPr>
          <a:spLocks noChangeAspect="1" noChangeArrowheads="1"/>
        </xdr:cNvSpPr>
      </xdr:nvSpPr>
      <xdr:spPr bwMode="auto">
        <a:xfrm>
          <a:off x="0" y="361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16" name="AutoShape 1896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361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17" name="AutoShape 1897" descr="NORWAY"/>
        <xdr:cNvSpPr>
          <a:spLocks noChangeAspect="1" noChangeArrowheads="1"/>
        </xdr:cNvSpPr>
      </xdr:nvSpPr>
      <xdr:spPr bwMode="auto">
        <a:xfrm>
          <a:off x="0" y="363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18" name="AutoShape 1898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363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19" name="AutoShape 1899" descr="NORWAY"/>
        <xdr:cNvSpPr>
          <a:spLocks noChangeAspect="1" noChangeArrowheads="1"/>
        </xdr:cNvSpPr>
      </xdr:nvSpPr>
      <xdr:spPr bwMode="auto">
        <a:xfrm>
          <a:off x="0" y="364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20" name="AutoShape 1900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364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21" name="AutoShape 1901" descr="NORWAY"/>
        <xdr:cNvSpPr>
          <a:spLocks noChangeAspect="1" noChangeArrowheads="1"/>
        </xdr:cNvSpPr>
      </xdr:nvSpPr>
      <xdr:spPr bwMode="auto">
        <a:xfrm>
          <a:off x="0" y="366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22" name="AutoShape 1902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366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23" name="AutoShape 1903" descr="NORWAY2"/>
        <xdr:cNvSpPr>
          <a:spLocks noChangeAspect="1" noChangeArrowheads="1"/>
        </xdr:cNvSpPr>
      </xdr:nvSpPr>
      <xdr:spPr bwMode="auto">
        <a:xfrm>
          <a:off x="0" y="3685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24" name="AutoShape 1904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3685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25" name="AutoShape 1905" descr="NORWAY2"/>
        <xdr:cNvSpPr>
          <a:spLocks noChangeAspect="1" noChangeArrowheads="1"/>
        </xdr:cNvSpPr>
      </xdr:nvSpPr>
      <xdr:spPr bwMode="auto">
        <a:xfrm>
          <a:off x="0" y="3702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26" name="AutoShape 1906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3702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27" name="AutoShape 1907" descr="NORWAY2"/>
        <xdr:cNvSpPr>
          <a:spLocks noChangeAspect="1" noChangeArrowheads="1"/>
        </xdr:cNvSpPr>
      </xdr:nvSpPr>
      <xdr:spPr bwMode="auto">
        <a:xfrm>
          <a:off x="0" y="3720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28" name="AutoShape 1908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3720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29" name="AutoShape 1909" descr="NORWAY2"/>
        <xdr:cNvSpPr>
          <a:spLocks noChangeAspect="1" noChangeArrowheads="1"/>
        </xdr:cNvSpPr>
      </xdr:nvSpPr>
      <xdr:spPr bwMode="auto">
        <a:xfrm>
          <a:off x="0" y="3737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30" name="AutoShape 1910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3737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31" name="AutoShape 1911" descr="NORWAY2"/>
        <xdr:cNvSpPr>
          <a:spLocks noChangeAspect="1" noChangeArrowheads="1"/>
        </xdr:cNvSpPr>
      </xdr:nvSpPr>
      <xdr:spPr bwMode="auto">
        <a:xfrm>
          <a:off x="0" y="3755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32" name="AutoShape 1912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3755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33" name="AutoShape 1913" descr="NORWAY3"/>
        <xdr:cNvSpPr>
          <a:spLocks noChangeAspect="1" noChangeArrowheads="1"/>
        </xdr:cNvSpPr>
      </xdr:nvSpPr>
      <xdr:spPr bwMode="auto">
        <a:xfrm>
          <a:off x="0" y="3772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34" name="AutoShape 1914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3772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35" name="AutoShape 1915" descr="NORWAY3"/>
        <xdr:cNvSpPr>
          <a:spLocks noChangeAspect="1" noChangeArrowheads="1"/>
        </xdr:cNvSpPr>
      </xdr:nvSpPr>
      <xdr:spPr bwMode="auto">
        <a:xfrm>
          <a:off x="0" y="3790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36" name="AutoShape 1916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3790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37" name="AutoShape 1917" descr="NORWAY3"/>
        <xdr:cNvSpPr>
          <a:spLocks noChangeAspect="1" noChangeArrowheads="1"/>
        </xdr:cNvSpPr>
      </xdr:nvSpPr>
      <xdr:spPr bwMode="auto">
        <a:xfrm>
          <a:off x="0" y="381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38" name="AutoShape 1918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381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39" name="AutoShape 1919" descr="NORWAY4"/>
        <xdr:cNvSpPr>
          <a:spLocks noChangeAspect="1" noChangeArrowheads="1"/>
        </xdr:cNvSpPr>
      </xdr:nvSpPr>
      <xdr:spPr bwMode="auto">
        <a:xfrm>
          <a:off x="0" y="383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40" name="AutoShape 1920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383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41" name="AutoShape 1921" descr="NORWAY4"/>
        <xdr:cNvSpPr>
          <a:spLocks noChangeAspect="1" noChangeArrowheads="1"/>
        </xdr:cNvSpPr>
      </xdr:nvSpPr>
      <xdr:spPr bwMode="auto">
        <a:xfrm>
          <a:off x="0" y="385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42" name="AutoShape 1922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385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43" name="AutoShape 1923" descr="NORWAY4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44" name="AutoShape 1924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45" name="AutoShape 1925" descr="NORWAY4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46" name="AutoShape 1926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47" name="AutoShape 1927" descr="NORWAY4"/>
        <xdr:cNvSpPr>
          <a:spLocks noChangeAspect="1" noChangeArrowheads="1"/>
        </xdr:cNvSpPr>
      </xdr:nvSpPr>
      <xdr:spPr bwMode="auto">
        <a:xfrm>
          <a:off x="0" y="391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48" name="AutoShape 1928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391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49" name="AutoShape 1929" descr="NORWAY4"/>
        <xdr:cNvSpPr>
          <a:spLocks noChangeAspect="1" noChangeArrowheads="1"/>
        </xdr:cNvSpPr>
      </xdr:nvSpPr>
      <xdr:spPr bwMode="auto">
        <a:xfrm>
          <a:off x="0" y="3928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50" name="AutoShape 1930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3928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51" name="AutoShape 1931" descr="PARAGUAY2"/>
        <xdr:cNvSpPr>
          <a:spLocks noChangeAspect="1" noChangeArrowheads="1"/>
        </xdr:cNvSpPr>
      </xdr:nvSpPr>
      <xdr:spPr bwMode="auto">
        <a:xfrm>
          <a:off x="0" y="3945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52" name="AutoShape 1932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3945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53" name="AutoShape 1933" descr="PARAGUAY2"/>
        <xdr:cNvSpPr>
          <a:spLocks noChangeAspect="1" noChangeArrowheads="1"/>
        </xdr:cNvSpPr>
      </xdr:nvSpPr>
      <xdr:spPr bwMode="auto">
        <a:xfrm>
          <a:off x="0" y="397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54" name="AutoShape 1934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397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55" name="AutoShape 1935" descr="PARAGUAY2"/>
        <xdr:cNvSpPr>
          <a:spLocks noChangeAspect="1" noChangeArrowheads="1"/>
        </xdr:cNvSpPr>
      </xdr:nvSpPr>
      <xdr:spPr bwMode="auto">
        <a:xfrm>
          <a:off x="0" y="398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56" name="AutoShape 1936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398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57" name="AutoShape 1937" descr="POLAND"/>
        <xdr:cNvSpPr>
          <a:spLocks noChangeAspect="1" noChangeArrowheads="1"/>
        </xdr:cNvSpPr>
      </xdr:nvSpPr>
      <xdr:spPr bwMode="auto">
        <a:xfrm>
          <a:off x="0" y="400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58" name="AutoShape 1938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400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59" name="AutoShape 1939" descr="POLAND"/>
        <xdr:cNvSpPr>
          <a:spLocks noChangeAspect="1" noChangeArrowheads="1"/>
        </xdr:cNvSpPr>
      </xdr:nvSpPr>
      <xdr:spPr bwMode="auto">
        <a:xfrm>
          <a:off x="0" y="402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60" name="AutoShape 1940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402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61" name="AutoShape 1941" descr="POLAND"/>
        <xdr:cNvSpPr>
          <a:spLocks noChangeAspect="1" noChangeArrowheads="1"/>
        </xdr:cNvSpPr>
      </xdr:nvSpPr>
      <xdr:spPr bwMode="auto">
        <a:xfrm>
          <a:off x="0" y="404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62" name="AutoShape 1942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404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63" name="AutoShape 1943" descr="POLAND"/>
        <xdr:cNvSpPr>
          <a:spLocks noChangeAspect="1" noChangeArrowheads="1"/>
        </xdr:cNvSpPr>
      </xdr:nvSpPr>
      <xdr:spPr bwMode="auto">
        <a:xfrm>
          <a:off x="0" y="406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64" name="AutoShape 1944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406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65" name="AutoShape 1945" descr="POLAND2"/>
        <xdr:cNvSpPr>
          <a:spLocks noChangeAspect="1" noChangeArrowheads="1"/>
        </xdr:cNvSpPr>
      </xdr:nvSpPr>
      <xdr:spPr bwMode="auto">
        <a:xfrm>
          <a:off x="0" y="408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66" name="AutoShape 1946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408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67" name="AutoShape 1947" descr="POLAND2"/>
        <xdr:cNvSpPr>
          <a:spLocks noChangeAspect="1" noChangeArrowheads="1"/>
        </xdr:cNvSpPr>
      </xdr:nvSpPr>
      <xdr:spPr bwMode="auto">
        <a:xfrm>
          <a:off x="0" y="4101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68" name="AutoShape 1948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4101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69" name="AutoShape 1949" descr="POLAND2"/>
        <xdr:cNvSpPr>
          <a:spLocks noChangeAspect="1" noChangeArrowheads="1"/>
        </xdr:cNvSpPr>
      </xdr:nvSpPr>
      <xdr:spPr bwMode="auto">
        <a:xfrm>
          <a:off x="0" y="412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70" name="AutoShape 1950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412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71" name="AutoShape 1951" descr="POLAND3"/>
        <xdr:cNvSpPr>
          <a:spLocks noChangeAspect="1" noChangeArrowheads="1"/>
        </xdr:cNvSpPr>
      </xdr:nvSpPr>
      <xdr:spPr bwMode="auto">
        <a:xfrm>
          <a:off x="0" y="415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72" name="AutoShape 1952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415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73" name="AutoShape 1953" descr="POLAND3"/>
        <xdr:cNvSpPr>
          <a:spLocks noChangeAspect="1" noChangeArrowheads="1"/>
        </xdr:cNvSpPr>
      </xdr:nvSpPr>
      <xdr:spPr bwMode="auto">
        <a:xfrm>
          <a:off x="0" y="417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74" name="AutoShape 1954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417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75" name="AutoShape 1955" descr="POLAND3"/>
        <xdr:cNvSpPr>
          <a:spLocks noChangeAspect="1" noChangeArrowheads="1"/>
        </xdr:cNvSpPr>
      </xdr:nvSpPr>
      <xdr:spPr bwMode="auto">
        <a:xfrm>
          <a:off x="0" y="420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76" name="AutoShape 1956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420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77" name="AutoShape 1957" descr="POLAND3"/>
        <xdr:cNvSpPr>
          <a:spLocks noChangeAspect="1" noChangeArrowheads="1"/>
        </xdr:cNvSpPr>
      </xdr:nvSpPr>
      <xdr:spPr bwMode="auto">
        <a:xfrm>
          <a:off x="0" y="422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78" name="AutoShape 1958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422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79" name="AutoShape 1959" descr="PORTUGAL2"/>
        <xdr:cNvSpPr>
          <a:spLocks noChangeAspect="1" noChangeArrowheads="1"/>
        </xdr:cNvSpPr>
      </xdr:nvSpPr>
      <xdr:spPr bwMode="auto">
        <a:xfrm>
          <a:off x="0" y="424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80" name="AutoShape 1960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424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81" name="AutoShape 1961" descr="PORTUGAL2"/>
        <xdr:cNvSpPr>
          <a:spLocks noChangeAspect="1" noChangeArrowheads="1"/>
        </xdr:cNvSpPr>
      </xdr:nvSpPr>
      <xdr:spPr bwMode="auto">
        <a:xfrm>
          <a:off x="0" y="426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82" name="AutoShape 1962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426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83" name="AutoShape 1963" descr="PORTUGAL2"/>
        <xdr:cNvSpPr>
          <a:spLocks noChangeAspect="1" noChangeArrowheads="1"/>
        </xdr:cNvSpPr>
      </xdr:nvSpPr>
      <xdr:spPr bwMode="auto">
        <a:xfrm>
          <a:off x="0" y="4287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84" name="AutoShape 1964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4287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85" name="AutoShape 1965" descr="PORTUGAL2"/>
        <xdr:cNvSpPr>
          <a:spLocks noChangeAspect="1" noChangeArrowheads="1"/>
        </xdr:cNvSpPr>
      </xdr:nvSpPr>
      <xdr:spPr bwMode="auto">
        <a:xfrm>
          <a:off x="0" y="4304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86" name="AutoShape 1966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4304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87" name="AutoShape 1967" descr="ROMANIA"/>
        <xdr:cNvSpPr>
          <a:spLocks noChangeAspect="1" noChangeArrowheads="1"/>
        </xdr:cNvSpPr>
      </xdr:nvSpPr>
      <xdr:spPr bwMode="auto">
        <a:xfrm>
          <a:off x="0" y="4322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88" name="AutoShape 1968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4322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89" name="AutoShape 1969" descr="ROMANIA"/>
        <xdr:cNvSpPr>
          <a:spLocks noChangeAspect="1" noChangeArrowheads="1"/>
        </xdr:cNvSpPr>
      </xdr:nvSpPr>
      <xdr:spPr bwMode="auto">
        <a:xfrm>
          <a:off x="0" y="4339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90" name="AutoShape 1970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4339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91" name="AutoShape 1971" descr="RUSSIA"/>
        <xdr:cNvSpPr>
          <a:spLocks noChangeAspect="1" noChangeArrowheads="1"/>
        </xdr:cNvSpPr>
      </xdr:nvSpPr>
      <xdr:spPr bwMode="auto">
        <a:xfrm>
          <a:off x="0" y="43571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92" name="AutoShape 1972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43571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93" name="AutoShape 1973" descr="RUSSIA"/>
        <xdr:cNvSpPr>
          <a:spLocks noChangeAspect="1" noChangeArrowheads="1"/>
        </xdr:cNvSpPr>
      </xdr:nvSpPr>
      <xdr:spPr bwMode="auto">
        <a:xfrm>
          <a:off x="0" y="4382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94" name="AutoShape 1974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4382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95" name="AutoShape 1975" descr="RUSSIA"/>
        <xdr:cNvSpPr>
          <a:spLocks noChangeAspect="1" noChangeArrowheads="1"/>
        </xdr:cNvSpPr>
      </xdr:nvSpPr>
      <xdr:spPr bwMode="auto">
        <a:xfrm>
          <a:off x="0" y="4407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96" name="AutoShape 1976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4407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97" name="AutoShape 1977" descr="SERBIA"/>
        <xdr:cNvSpPr>
          <a:spLocks noChangeAspect="1" noChangeArrowheads="1"/>
        </xdr:cNvSpPr>
      </xdr:nvSpPr>
      <xdr:spPr bwMode="auto">
        <a:xfrm>
          <a:off x="0" y="4432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098" name="AutoShape 1978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4432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099" name="AutoShape 1979" descr="SERBIA"/>
        <xdr:cNvSpPr>
          <a:spLocks noChangeAspect="1" noChangeArrowheads="1"/>
        </xdr:cNvSpPr>
      </xdr:nvSpPr>
      <xdr:spPr bwMode="auto">
        <a:xfrm>
          <a:off x="0" y="445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00" name="AutoShape 1980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445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01" name="AutoShape 1981" descr="SERBIA"/>
        <xdr:cNvSpPr>
          <a:spLocks noChangeAspect="1" noChangeArrowheads="1"/>
        </xdr:cNvSpPr>
      </xdr:nvSpPr>
      <xdr:spPr bwMode="auto">
        <a:xfrm>
          <a:off x="0" y="4475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02" name="AutoShape 1982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4475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03" name="AutoShape 1983" descr="SLOVAKIA"/>
        <xdr:cNvSpPr>
          <a:spLocks noChangeAspect="1" noChangeArrowheads="1"/>
        </xdr:cNvSpPr>
      </xdr:nvSpPr>
      <xdr:spPr bwMode="auto">
        <a:xfrm>
          <a:off x="0" y="450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04" name="AutoShape 1984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450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05" name="AutoShape 1985" descr="SLOVAKIA"/>
        <xdr:cNvSpPr>
          <a:spLocks noChangeAspect="1" noChangeArrowheads="1"/>
        </xdr:cNvSpPr>
      </xdr:nvSpPr>
      <xdr:spPr bwMode="auto">
        <a:xfrm>
          <a:off x="0" y="4525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06" name="AutoShape 1986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4525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07" name="AutoShape 1987" descr="SLOVENIA"/>
        <xdr:cNvSpPr>
          <a:spLocks noChangeAspect="1" noChangeArrowheads="1"/>
        </xdr:cNvSpPr>
      </xdr:nvSpPr>
      <xdr:spPr bwMode="auto">
        <a:xfrm>
          <a:off x="0" y="4543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08" name="AutoShape 1988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4543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09" name="AutoShape 1989" descr="SLOVENIA"/>
        <xdr:cNvSpPr>
          <a:spLocks noChangeAspect="1" noChangeArrowheads="1"/>
        </xdr:cNvSpPr>
      </xdr:nvSpPr>
      <xdr:spPr bwMode="auto">
        <a:xfrm>
          <a:off x="0" y="4560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10" name="AutoShape 1990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4560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11" name="AutoShape 1991" descr="SLOVENIA"/>
        <xdr:cNvSpPr>
          <a:spLocks noChangeAspect="1" noChangeArrowheads="1"/>
        </xdr:cNvSpPr>
      </xdr:nvSpPr>
      <xdr:spPr bwMode="auto">
        <a:xfrm>
          <a:off x="0" y="4578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12" name="AutoShape 1992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4578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13" name="AutoShape 1993" descr="SOUTHAFRICA"/>
        <xdr:cNvSpPr>
          <a:spLocks noChangeAspect="1" noChangeArrowheads="1"/>
        </xdr:cNvSpPr>
      </xdr:nvSpPr>
      <xdr:spPr bwMode="auto">
        <a:xfrm>
          <a:off x="0" y="459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14" name="AutoShape 1994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459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15" name="AutoShape 1995" descr="SOUTHAFRICA"/>
        <xdr:cNvSpPr>
          <a:spLocks noChangeAspect="1" noChangeArrowheads="1"/>
        </xdr:cNvSpPr>
      </xdr:nvSpPr>
      <xdr:spPr bwMode="auto">
        <a:xfrm>
          <a:off x="0" y="462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16" name="AutoShape 1996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462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17" name="AutoShape 1997" descr="SOUTHKOREA"/>
        <xdr:cNvSpPr>
          <a:spLocks noChangeAspect="1" noChangeArrowheads="1"/>
        </xdr:cNvSpPr>
      </xdr:nvSpPr>
      <xdr:spPr bwMode="auto">
        <a:xfrm>
          <a:off x="0" y="464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18" name="AutoShape 1998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464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19" name="AutoShape 1999" descr="SOUTHKOREA"/>
        <xdr:cNvSpPr>
          <a:spLocks noChangeAspect="1" noChangeArrowheads="1"/>
        </xdr:cNvSpPr>
      </xdr:nvSpPr>
      <xdr:spPr bwMode="auto">
        <a:xfrm>
          <a:off x="0" y="466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20" name="AutoShape 2000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466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21" name="AutoShape 2001" descr="SOUTHKOREA"/>
        <xdr:cNvSpPr>
          <a:spLocks noChangeAspect="1" noChangeArrowheads="1"/>
        </xdr:cNvSpPr>
      </xdr:nvSpPr>
      <xdr:spPr bwMode="auto">
        <a:xfrm>
          <a:off x="0" y="4688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22" name="AutoShape 2002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4688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23" name="AutoShape 2003" descr="SOUTHKOREA2"/>
        <xdr:cNvSpPr>
          <a:spLocks noChangeAspect="1" noChangeArrowheads="1"/>
        </xdr:cNvSpPr>
      </xdr:nvSpPr>
      <xdr:spPr bwMode="auto">
        <a:xfrm>
          <a:off x="0" y="470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24" name="AutoShape 2004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470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25" name="AutoShape 2005" descr="SOUTHKOREA2"/>
        <xdr:cNvSpPr>
          <a:spLocks noChangeAspect="1" noChangeArrowheads="1"/>
        </xdr:cNvSpPr>
      </xdr:nvSpPr>
      <xdr:spPr bwMode="auto">
        <a:xfrm>
          <a:off x="0" y="472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26" name="AutoShape 2006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472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27" name="AutoShape 2007" descr="SOUTHKOREA2"/>
        <xdr:cNvSpPr>
          <a:spLocks noChangeAspect="1" noChangeArrowheads="1"/>
        </xdr:cNvSpPr>
      </xdr:nvSpPr>
      <xdr:spPr bwMode="auto">
        <a:xfrm>
          <a:off x="0" y="4741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28" name="AutoShape 2008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4741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29" name="AutoShape 2009" descr="SOUTHKOREA2"/>
        <xdr:cNvSpPr>
          <a:spLocks noChangeAspect="1" noChangeArrowheads="1"/>
        </xdr:cNvSpPr>
      </xdr:nvSpPr>
      <xdr:spPr bwMode="auto">
        <a:xfrm>
          <a:off x="0" y="4758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30" name="AutoShape 2010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4758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31" name="AutoShape 2011" descr="SWEDEN"/>
        <xdr:cNvSpPr>
          <a:spLocks noChangeAspect="1" noChangeArrowheads="1"/>
        </xdr:cNvSpPr>
      </xdr:nvSpPr>
      <xdr:spPr bwMode="auto">
        <a:xfrm>
          <a:off x="0" y="4783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32" name="AutoShape 2012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4783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33" name="AutoShape 2013" descr="SWEDEN"/>
        <xdr:cNvSpPr>
          <a:spLocks noChangeAspect="1" noChangeArrowheads="1"/>
        </xdr:cNvSpPr>
      </xdr:nvSpPr>
      <xdr:spPr bwMode="auto">
        <a:xfrm>
          <a:off x="0" y="480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34" name="AutoShape 2014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480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35" name="AutoShape 2015" descr="SWEDEN"/>
        <xdr:cNvSpPr>
          <a:spLocks noChangeAspect="1" noChangeArrowheads="1"/>
        </xdr:cNvSpPr>
      </xdr:nvSpPr>
      <xdr:spPr bwMode="auto">
        <a:xfrm>
          <a:off x="0" y="482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36" name="AutoShape 2016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482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37" name="AutoShape 2017" descr="SWEDEN"/>
        <xdr:cNvSpPr>
          <a:spLocks noChangeAspect="1" noChangeArrowheads="1"/>
        </xdr:cNvSpPr>
      </xdr:nvSpPr>
      <xdr:spPr bwMode="auto">
        <a:xfrm>
          <a:off x="0" y="4844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38" name="AutoShape 2018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4844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39" name="AutoShape 2019" descr="SWEDEN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40" name="AutoShape 2020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41" name="AutoShape 2021" descr="SWEDEN2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42" name="AutoShape 2022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43" name="AutoShape 2023" descr="SWEDEN3"/>
        <xdr:cNvSpPr>
          <a:spLocks noChangeAspect="1" noChangeArrowheads="1"/>
        </xdr:cNvSpPr>
      </xdr:nvSpPr>
      <xdr:spPr bwMode="auto">
        <a:xfrm>
          <a:off x="0" y="4896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44" name="AutoShape 2024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4896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45" name="AutoShape 2025" descr="SWEDEN3"/>
        <xdr:cNvSpPr>
          <a:spLocks noChangeAspect="1" noChangeArrowheads="1"/>
        </xdr:cNvSpPr>
      </xdr:nvSpPr>
      <xdr:spPr bwMode="auto">
        <a:xfrm>
          <a:off x="0" y="4914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46" name="AutoShape 2026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4914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47" name="AutoShape 2027" descr="SWEDEN3"/>
        <xdr:cNvSpPr>
          <a:spLocks noChangeAspect="1" noChangeArrowheads="1"/>
        </xdr:cNvSpPr>
      </xdr:nvSpPr>
      <xdr:spPr bwMode="auto">
        <a:xfrm>
          <a:off x="0" y="4939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48" name="AutoShape 2028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4939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49" name="AutoShape 2029" descr="SWEDEN4"/>
        <xdr:cNvSpPr>
          <a:spLocks noChangeAspect="1" noChangeArrowheads="1"/>
        </xdr:cNvSpPr>
      </xdr:nvSpPr>
      <xdr:spPr bwMode="auto">
        <a:xfrm>
          <a:off x="0" y="4956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50" name="AutoShape 2030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4956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51" name="AutoShape 2031" descr="SWEDEN4"/>
        <xdr:cNvSpPr>
          <a:spLocks noChangeAspect="1" noChangeArrowheads="1"/>
        </xdr:cNvSpPr>
      </xdr:nvSpPr>
      <xdr:spPr bwMode="auto">
        <a:xfrm>
          <a:off x="0" y="4974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52" name="AutoShape 2032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4974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53" name="AutoShape 2033" descr="SWEDEN4"/>
        <xdr:cNvSpPr>
          <a:spLocks noChangeAspect="1" noChangeArrowheads="1"/>
        </xdr:cNvSpPr>
      </xdr:nvSpPr>
      <xdr:spPr bwMode="auto">
        <a:xfrm>
          <a:off x="0" y="4991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54" name="AutoShape 2034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4991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55" name="AutoShape 2035" descr="SWEDEN11"/>
        <xdr:cNvSpPr>
          <a:spLocks noChangeAspect="1" noChangeArrowheads="1"/>
        </xdr:cNvSpPr>
      </xdr:nvSpPr>
      <xdr:spPr bwMode="auto">
        <a:xfrm>
          <a:off x="0" y="5009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56" name="AutoShape 2036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5009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57" name="AutoShape 2037" descr="TURKEY"/>
        <xdr:cNvSpPr>
          <a:spLocks noChangeAspect="1" noChangeArrowheads="1"/>
        </xdr:cNvSpPr>
      </xdr:nvSpPr>
      <xdr:spPr bwMode="auto">
        <a:xfrm>
          <a:off x="0" y="5034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58" name="AutoShape 2038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5034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59" name="AutoShape 2039" descr="TURKEY"/>
        <xdr:cNvSpPr>
          <a:spLocks noChangeAspect="1" noChangeArrowheads="1"/>
        </xdr:cNvSpPr>
      </xdr:nvSpPr>
      <xdr:spPr bwMode="auto">
        <a:xfrm>
          <a:off x="0" y="5052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60" name="AutoShape 2040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505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61" name="AutoShape 2041" descr="TURKEY"/>
        <xdr:cNvSpPr>
          <a:spLocks noChangeAspect="1" noChangeArrowheads="1"/>
        </xdr:cNvSpPr>
      </xdr:nvSpPr>
      <xdr:spPr bwMode="auto">
        <a:xfrm>
          <a:off x="0" y="5069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62" name="AutoShape 2042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5069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63" name="AutoShape 2043" descr="TURKEY2"/>
        <xdr:cNvSpPr>
          <a:spLocks noChangeAspect="1" noChangeArrowheads="1"/>
        </xdr:cNvSpPr>
      </xdr:nvSpPr>
      <xdr:spPr bwMode="auto">
        <a:xfrm>
          <a:off x="0" y="5087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64" name="AutoShape 2044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5087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65" name="AutoShape 2045" descr="TURKEY2"/>
        <xdr:cNvSpPr>
          <a:spLocks noChangeAspect="1" noChangeArrowheads="1"/>
        </xdr:cNvSpPr>
      </xdr:nvSpPr>
      <xdr:spPr bwMode="auto">
        <a:xfrm>
          <a:off x="0" y="5104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66" name="AutoShape 2046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510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67" name="AutoShape 2047" descr="TURKEY2"/>
        <xdr:cNvSpPr>
          <a:spLocks noChangeAspect="1" noChangeArrowheads="1"/>
        </xdr:cNvSpPr>
      </xdr:nvSpPr>
      <xdr:spPr bwMode="auto">
        <a:xfrm>
          <a:off x="0" y="5122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68" name="AutoShape 2048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5122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69" name="AutoShape 2049" descr="TURKEY2"/>
        <xdr:cNvSpPr>
          <a:spLocks noChangeAspect="1" noChangeArrowheads="1"/>
        </xdr:cNvSpPr>
      </xdr:nvSpPr>
      <xdr:spPr bwMode="auto">
        <a:xfrm>
          <a:off x="0" y="5139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70" name="AutoShape 2050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5139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71" name="AutoShape 2051" descr="UKRAINE"/>
        <xdr:cNvSpPr>
          <a:spLocks noChangeAspect="1" noChangeArrowheads="1"/>
        </xdr:cNvSpPr>
      </xdr:nvSpPr>
      <xdr:spPr bwMode="auto">
        <a:xfrm>
          <a:off x="0" y="516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72" name="AutoShape 2052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516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73" name="AutoShape 2053" descr="UKRAINE"/>
        <xdr:cNvSpPr>
          <a:spLocks noChangeAspect="1" noChangeArrowheads="1"/>
        </xdr:cNvSpPr>
      </xdr:nvSpPr>
      <xdr:spPr bwMode="auto">
        <a:xfrm>
          <a:off x="0" y="518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74" name="AutoShape 2054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518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75" name="AutoShape 2055" descr="UKRAINE"/>
        <xdr:cNvSpPr>
          <a:spLocks noChangeAspect="1" noChangeArrowheads="1"/>
        </xdr:cNvSpPr>
      </xdr:nvSpPr>
      <xdr:spPr bwMode="auto">
        <a:xfrm>
          <a:off x="0" y="5207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76" name="AutoShape 2056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5207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77" name="AutoShape 2057" descr="URUGUAY3"/>
        <xdr:cNvSpPr>
          <a:spLocks noChangeAspect="1" noChangeArrowheads="1"/>
        </xdr:cNvSpPr>
      </xdr:nvSpPr>
      <xdr:spPr bwMode="auto">
        <a:xfrm>
          <a:off x="0" y="523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78" name="AutoShape 2058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523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79" name="AutoShape 2059" descr="URUGUAY3"/>
        <xdr:cNvSpPr>
          <a:spLocks noChangeAspect="1" noChangeArrowheads="1"/>
        </xdr:cNvSpPr>
      </xdr:nvSpPr>
      <xdr:spPr bwMode="auto">
        <a:xfrm>
          <a:off x="0" y="525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80" name="AutoShape 2060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525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81" name="AutoShape 2061" descr="URUGUAY3"/>
        <xdr:cNvSpPr>
          <a:spLocks noChangeAspect="1" noChangeArrowheads="1"/>
        </xdr:cNvSpPr>
      </xdr:nvSpPr>
      <xdr:spPr bwMode="auto">
        <a:xfrm>
          <a:off x="0" y="527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82" name="AutoShape 2062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527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83" name="AutoShape 2063" descr="USA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84" name="AutoShape 2064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85" name="AutoShape 2065" descr="USA"/>
        <xdr:cNvSpPr>
          <a:spLocks noChangeAspect="1" noChangeArrowheads="1"/>
        </xdr:cNvSpPr>
      </xdr:nvSpPr>
      <xdr:spPr bwMode="auto">
        <a:xfrm>
          <a:off x="0" y="532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86" name="AutoShape 2066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532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87" name="AutoShape 2067" descr="USA"/>
        <xdr:cNvSpPr>
          <a:spLocks noChangeAspect="1" noChangeArrowheads="1"/>
        </xdr:cNvSpPr>
      </xdr:nvSpPr>
      <xdr:spPr bwMode="auto">
        <a:xfrm>
          <a:off x="0" y="534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88" name="AutoShape 2068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534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89" name="AutoShape 2069" descr="USA"/>
        <xdr:cNvSpPr>
          <a:spLocks noChangeAspect="1" noChangeArrowheads="1"/>
        </xdr:cNvSpPr>
      </xdr:nvSpPr>
      <xdr:spPr bwMode="auto">
        <a:xfrm>
          <a:off x="0" y="5368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90" name="AutoShape 2070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536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91" name="AutoShape 2071" descr="USA"/>
        <xdr:cNvSpPr>
          <a:spLocks noChangeAspect="1" noChangeArrowheads="1"/>
        </xdr:cNvSpPr>
      </xdr:nvSpPr>
      <xdr:spPr bwMode="auto">
        <a:xfrm>
          <a:off x="0" y="53934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92" name="AutoShape 2072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53934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93" name="AutoShape 2073" descr="USA"/>
        <xdr:cNvSpPr>
          <a:spLocks noChangeAspect="1" noChangeArrowheads="1"/>
        </xdr:cNvSpPr>
      </xdr:nvSpPr>
      <xdr:spPr bwMode="auto">
        <a:xfrm>
          <a:off x="0" y="5418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94" name="AutoShape 2074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5418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95" name="AutoShape 2075" descr="USA"/>
        <xdr:cNvSpPr>
          <a:spLocks noChangeAspect="1" noChangeArrowheads="1"/>
        </xdr:cNvSpPr>
      </xdr:nvSpPr>
      <xdr:spPr bwMode="auto">
        <a:xfrm>
          <a:off x="0" y="5443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96" name="AutoShape 2076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5443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97" name="AutoShape 2077" descr="USA"/>
        <xdr:cNvSpPr>
          <a:spLocks noChangeAspect="1" noChangeArrowheads="1"/>
        </xdr:cNvSpPr>
      </xdr:nvSpPr>
      <xdr:spPr bwMode="auto">
        <a:xfrm>
          <a:off x="0" y="5461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198" name="AutoShape 2078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5461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199" name="AutoShape 2079" descr="USA2"/>
        <xdr:cNvSpPr>
          <a:spLocks noChangeAspect="1" noChangeArrowheads="1"/>
        </xdr:cNvSpPr>
      </xdr:nvSpPr>
      <xdr:spPr bwMode="auto">
        <a:xfrm>
          <a:off x="0" y="5486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00" name="AutoShape 2080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548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01" name="AutoShape 2081" descr="USA2"/>
        <xdr:cNvSpPr>
          <a:spLocks noChangeAspect="1" noChangeArrowheads="1"/>
        </xdr:cNvSpPr>
      </xdr:nvSpPr>
      <xdr:spPr bwMode="auto">
        <a:xfrm>
          <a:off x="0" y="5511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02" name="AutoShape 2082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5511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03" name="AutoShape 2083" descr="USA2"/>
        <xdr:cNvSpPr>
          <a:spLocks noChangeAspect="1" noChangeArrowheads="1"/>
        </xdr:cNvSpPr>
      </xdr:nvSpPr>
      <xdr:spPr bwMode="auto">
        <a:xfrm>
          <a:off x="0" y="5529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04" name="AutoShape 2084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5529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05" name="AutoShape 2085" descr="USA2"/>
        <xdr:cNvSpPr>
          <a:spLocks noChangeAspect="1" noChangeArrowheads="1"/>
        </xdr:cNvSpPr>
      </xdr:nvSpPr>
      <xdr:spPr bwMode="auto">
        <a:xfrm>
          <a:off x="0" y="5546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06" name="AutoShape 2086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5546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07" name="AutoShape 2087" descr="USA2"/>
        <xdr:cNvSpPr>
          <a:spLocks noChangeAspect="1" noChangeArrowheads="1"/>
        </xdr:cNvSpPr>
      </xdr:nvSpPr>
      <xdr:spPr bwMode="auto">
        <a:xfrm>
          <a:off x="0" y="5571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08" name="AutoShape 2088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5571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09" name="AutoShape 2089" descr="USA2"/>
        <xdr:cNvSpPr>
          <a:spLocks noChangeAspect="1" noChangeArrowheads="1"/>
        </xdr:cNvSpPr>
      </xdr:nvSpPr>
      <xdr:spPr bwMode="auto">
        <a:xfrm>
          <a:off x="0" y="5596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10" name="AutoShape 2090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5596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11" name="AutoShape 2091" descr="USA2"/>
        <xdr:cNvSpPr>
          <a:spLocks noChangeAspect="1" noChangeArrowheads="1"/>
        </xdr:cNvSpPr>
      </xdr:nvSpPr>
      <xdr:spPr bwMode="auto">
        <a:xfrm>
          <a:off x="0" y="5614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12" name="AutoShape 2092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5614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13" name="AutoShape 2093" descr="USA3"/>
        <xdr:cNvSpPr>
          <a:spLocks noChangeAspect="1" noChangeArrowheads="1"/>
        </xdr:cNvSpPr>
      </xdr:nvSpPr>
      <xdr:spPr bwMode="auto">
        <a:xfrm>
          <a:off x="0" y="5639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14" name="AutoShape 2094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5639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15" name="AutoShape 2095" descr="USA3"/>
        <xdr:cNvSpPr>
          <a:spLocks noChangeAspect="1" noChangeArrowheads="1"/>
        </xdr:cNvSpPr>
      </xdr:nvSpPr>
      <xdr:spPr bwMode="auto">
        <a:xfrm>
          <a:off x="0" y="56647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16" name="AutoShape 2096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5664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17" name="AutoShape 2097" descr="USA3"/>
        <xdr:cNvSpPr>
          <a:spLocks noChangeAspect="1" noChangeArrowheads="1"/>
        </xdr:cNvSpPr>
      </xdr:nvSpPr>
      <xdr:spPr bwMode="auto">
        <a:xfrm>
          <a:off x="0" y="5689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18" name="AutoShape 2098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5689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19" name="AutoShape 2099" descr="USA6"/>
        <xdr:cNvSpPr>
          <a:spLocks noChangeAspect="1" noChangeArrowheads="1"/>
        </xdr:cNvSpPr>
      </xdr:nvSpPr>
      <xdr:spPr bwMode="auto">
        <a:xfrm>
          <a:off x="0" y="5715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20" name="AutoShape 2100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571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21" name="AutoShape 2101" descr="USA6"/>
        <xdr:cNvSpPr>
          <a:spLocks noChangeAspect="1" noChangeArrowheads="1"/>
        </xdr:cNvSpPr>
      </xdr:nvSpPr>
      <xdr:spPr bwMode="auto">
        <a:xfrm>
          <a:off x="0" y="5740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22" name="AutoShape 2102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5740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23" name="AutoShape 2103" descr="USA7"/>
        <xdr:cNvSpPr>
          <a:spLocks noChangeAspect="1" noChangeArrowheads="1"/>
        </xdr:cNvSpPr>
      </xdr:nvSpPr>
      <xdr:spPr bwMode="auto">
        <a:xfrm>
          <a:off x="0" y="5765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24" name="AutoShape 2104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5765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92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93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94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95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96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97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98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99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00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01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02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03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04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05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06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07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08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09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10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11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12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13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14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15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16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17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18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19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20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21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22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23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24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25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326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327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25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26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27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28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29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30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31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32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33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34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35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36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37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38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39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40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41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42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43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44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45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46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47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48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49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50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51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52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53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54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55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56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57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58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59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60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61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62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63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64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65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66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67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68" name="AutoShape 80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69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70" name="AutoShape 82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71" name="AutoShape 83" descr="BELARUS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72" name="AutoShape 84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73" name="AutoShape 85" descr="BELARUS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74" name="AutoShape 86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75" name="AutoShape 87" descr="BELGIUM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76" name="AutoShape 88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77" name="AutoShape 89" descr="BELGIUM2"/>
        <xdr:cNvSpPr>
          <a:spLocks noChangeAspect="1" noChangeArrowheads="1"/>
        </xdr:cNvSpPr>
      </xdr:nvSpPr>
      <xdr:spPr bwMode="auto">
        <a:xfrm>
          <a:off x="0" y="918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78" name="AutoShape 90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79" name="AutoShape 91" descr="BELGIUM2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80" name="AutoShape 92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81" name="AutoShape 93" descr="BOSNIA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82" name="AutoShape 9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83" name="AutoShape 95" descr="BRAZIL2"/>
        <xdr:cNvSpPr>
          <a:spLocks noChangeAspect="1" noChangeArrowheads="1"/>
        </xdr:cNvSpPr>
      </xdr:nvSpPr>
      <xdr:spPr bwMode="auto">
        <a:xfrm>
          <a:off x="0" y="978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84" name="AutoShape 96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978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85" name="AutoShape 97" descr="BRAZIL2"/>
        <xdr:cNvSpPr>
          <a:spLocks noChangeAspect="1" noChangeArrowheads="1"/>
        </xdr:cNvSpPr>
      </xdr:nvSpPr>
      <xdr:spPr bwMode="auto">
        <a:xfrm>
          <a:off x="0" y="995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86" name="AutoShape 98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995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87" name="AutoShape 99" descr="BRAZIL2"/>
        <xdr:cNvSpPr>
          <a:spLocks noChangeAspect="1" noChangeArrowheads="1"/>
        </xdr:cNvSpPr>
      </xdr:nvSpPr>
      <xdr:spPr bwMode="auto">
        <a:xfrm>
          <a:off x="0" y="1013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88" name="AutoShape 100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13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89" name="AutoShape 101" descr="BULGARIA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90" name="AutoShape 102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91" name="AutoShape 103" descr="BULGARIA2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92" name="AutoShape 104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93" name="AutoShape 105" descr="CHILE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94" name="AutoShape 106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95" name="AutoShape 107" descr="CHILE2"/>
        <xdr:cNvSpPr>
          <a:spLocks noChangeAspect="1" noChangeArrowheads="1"/>
        </xdr:cNvSpPr>
      </xdr:nvSpPr>
      <xdr:spPr bwMode="auto">
        <a:xfrm>
          <a:off x="0" y="1098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96" name="AutoShape 108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098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97" name="AutoShape 109" descr="CHILE2"/>
        <xdr:cNvSpPr>
          <a:spLocks noChangeAspect="1" noChangeArrowheads="1"/>
        </xdr:cNvSpPr>
      </xdr:nvSpPr>
      <xdr:spPr bwMode="auto">
        <a:xfrm>
          <a:off x="0" y="1123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298" name="AutoShape 110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23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299" name="AutoShape 111" descr="CHINA"/>
        <xdr:cNvSpPr>
          <a:spLocks noChangeAspect="1" noChangeArrowheads="1"/>
        </xdr:cNvSpPr>
      </xdr:nvSpPr>
      <xdr:spPr bwMode="auto">
        <a:xfrm>
          <a:off x="0" y="1141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00" name="AutoShape 112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41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01" name="AutoShape 113" descr="CHINA"/>
        <xdr:cNvSpPr>
          <a:spLocks noChangeAspect="1" noChangeArrowheads="1"/>
        </xdr:cNvSpPr>
      </xdr:nvSpPr>
      <xdr:spPr bwMode="auto">
        <a:xfrm>
          <a:off x="0" y="1166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02" name="AutoShape 114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166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03" name="AutoShape 115" descr="CHINA"/>
        <xdr:cNvSpPr>
          <a:spLocks noChangeAspect="1" noChangeArrowheads="1"/>
        </xdr:cNvSpPr>
      </xdr:nvSpPr>
      <xdr:spPr bwMode="auto">
        <a:xfrm>
          <a:off x="0" y="1191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04" name="AutoShape 116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191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05" name="AutoShape 117" descr="COLOMBIA2"/>
        <xdr:cNvSpPr>
          <a:spLocks noChangeAspect="1" noChangeArrowheads="1"/>
        </xdr:cNvSpPr>
      </xdr:nvSpPr>
      <xdr:spPr bwMode="auto">
        <a:xfrm>
          <a:off x="0" y="1216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06" name="AutoShape 118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16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07" name="AutoShape 119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4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08" name="AutoShape 120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276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09" name="AutoShape 121" descr="CROATIA"/>
        <xdr:cNvSpPr>
          <a:spLocks noChangeAspect="1" noChangeArrowheads="1"/>
        </xdr:cNvSpPr>
      </xdr:nvSpPr>
      <xdr:spPr bwMode="auto">
        <a:xfrm>
          <a:off x="0" y="130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10" name="AutoShape 122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0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11" name="AutoShape 123" descr="CZECHREPUBLIC2"/>
        <xdr:cNvSpPr>
          <a:spLocks noChangeAspect="1" noChangeArrowheads="1"/>
        </xdr:cNvSpPr>
      </xdr:nvSpPr>
      <xdr:spPr bwMode="auto">
        <a:xfrm>
          <a:off x="0" y="1326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12" name="AutoShape 124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26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13" name="AutoShape 125" descr="CZECHREPUBLIC2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14" name="AutoShape 126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15" name="AutoShape 127" descr="DENMARK"/>
        <xdr:cNvSpPr>
          <a:spLocks noChangeAspect="1" noChangeArrowheads="1"/>
        </xdr:cNvSpPr>
      </xdr:nvSpPr>
      <xdr:spPr bwMode="auto">
        <a:xfrm>
          <a:off x="0" y="1369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16" name="AutoShape 128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369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17" name="AutoShape 129" descr="DENMARK2"/>
        <xdr:cNvSpPr>
          <a:spLocks noChangeAspect="1" noChangeArrowheads="1"/>
        </xdr:cNvSpPr>
      </xdr:nvSpPr>
      <xdr:spPr bwMode="auto">
        <a:xfrm>
          <a:off x="0" y="1386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18" name="AutoShape 130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386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19" name="AutoShape 131" descr="DENMARK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20" name="AutoShape 132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21" name="AutoShape 133" descr="DENMARK3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22" name="AutoShape 134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23" name="AutoShape 135" descr="DENMARK3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24" name="AutoShape 136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25" name="AutoShape 137" descr="DENMARK3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26" name="AutoShape 138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27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28" name="AutoShape 140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29" name="AutoShape 141" descr="ENGLAND7"/>
        <xdr:cNvSpPr>
          <a:spLocks noChangeAspect="1" noChangeArrowheads="1"/>
        </xdr:cNvSpPr>
      </xdr:nvSpPr>
      <xdr:spPr bwMode="auto">
        <a:xfrm>
          <a:off x="0" y="1499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30" name="AutoShape 142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499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31" name="AutoShape 143" descr="ENGLAND9"/>
        <xdr:cNvSpPr>
          <a:spLocks noChangeAspect="1" noChangeArrowheads="1"/>
        </xdr:cNvSpPr>
      </xdr:nvSpPr>
      <xdr:spPr bwMode="auto">
        <a:xfrm>
          <a:off x="0" y="1524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32" name="AutoShape 144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24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33" name="AutoShape 145" descr="ESTONIA"/>
        <xdr:cNvSpPr>
          <a:spLocks noChangeAspect="1" noChangeArrowheads="1"/>
        </xdr:cNvSpPr>
      </xdr:nvSpPr>
      <xdr:spPr bwMode="auto">
        <a:xfrm>
          <a:off x="0" y="1542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34" name="AutoShape 146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42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35" name="AutoShape 147" descr="FINLAND"/>
        <xdr:cNvSpPr>
          <a:spLocks noChangeAspect="1" noChangeArrowheads="1"/>
        </xdr:cNvSpPr>
      </xdr:nvSpPr>
      <xdr:spPr bwMode="auto">
        <a:xfrm>
          <a:off x="0" y="1559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36" name="AutoShape 148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559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37" name="AutoShape 149" descr="FINLAND2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38" name="AutoShape 150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39" name="AutoShape 151" descr="FRANCE3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40" name="AutoShape 152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41" name="AutoShape 153" descr="FRANCE3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42" name="AutoShape 154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43" name="AutoShape 155" descr="FRANCE3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44" name="AutoShape 156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45" name="AutoShape 157" descr="FRANCE3"/>
        <xdr:cNvSpPr>
          <a:spLocks noChangeAspect="1" noChangeArrowheads="1"/>
        </xdr:cNvSpPr>
      </xdr:nvSpPr>
      <xdr:spPr bwMode="auto">
        <a:xfrm>
          <a:off x="0" y="1655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46" name="AutoShape 158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655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47" name="AutoShape 159" descr="FRANCE3"/>
        <xdr:cNvSpPr>
          <a:spLocks noChangeAspect="1" noChangeArrowheads="1"/>
        </xdr:cNvSpPr>
      </xdr:nvSpPr>
      <xdr:spPr bwMode="auto">
        <a:xfrm>
          <a:off x="0" y="1672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48" name="AutoShape 160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672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49" name="AutoShape 161" descr="FRANCE3"/>
        <xdr:cNvSpPr>
          <a:spLocks noChangeAspect="1" noChangeArrowheads="1"/>
        </xdr:cNvSpPr>
      </xdr:nvSpPr>
      <xdr:spPr bwMode="auto">
        <a:xfrm>
          <a:off x="0" y="1697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50" name="AutoShape 162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697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51" name="AutoShape 163" descr="FRANCE3"/>
        <xdr:cNvSpPr>
          <a:spLocks noChangeAspect="1" noChangeArrowheads="1"/>
        </xdr:cNvSpPr>
      </xdr:nvSpPr>
      <xdr:spPr bwMode="auto">
        <a:xfrm>
          <a:off x="0" y="1715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52" name="AutoShape 164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1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53" name="AutoShape 165" descr="FRANCE3"/>
        <xdr:cNvSpPr>
          <a:spLocks noChangeAspect="1" noChangeArrowheads="1"/>
        </xdr:cNvSpPr>
      </xdr:nvSpPr>
      <xdr:spPr bwMode="auto">
        <a:xfrm>
          <a:off x="0" y="174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54" name="AutoShape 166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4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55" name="AutoShape 167" descr="FRANCE3"/>
        <xdr:cNvSpPr>
          <a:spLocks noChangeAspect="1" noChangeArrowheads="1"/>
        </xdr:cNvSpPr>
      </xdr:nvSpPr>
      <xdr:spPr bwMode="auto">
        <a:xfrm>
          <a:off x="0" y="1757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56" name="AutoShape 168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757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57" name="AutoShape 169" descr="GERMANY3"/>
        <xdr:cNvSpPr>
          <a:spLocks noChangeAspect="1" noChangeArrowheads="1"/>
        </xdr:cNvSpPr>
      </xdr:nvSpPr>
      <xdr:spPr bwMode="auto">
        <a:xfrm>
          <a:off x="0" y="1775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58" name="AutoShape 170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775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59" name="AutoShape 171" descr="GERMANY5"/>
        <xdr:cNvSpPr>
          <a:spLocks noChangeAspect="1" noChangeArrowheads="1"/>
        </xdr:cNvSpPr>
      </xdr:nvSpPr>
      <xdr:spPr bwMode="auto">
        <a:xfrm>
          <a:off x="0" y="180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60" name="AutoShape 172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0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61" name="AutoShape 173" descr="GERMANY5"/>
        <xdr:cNvSpPr>
          <a:spLocks noChangeAspect="1" noChangeArrowheads="1"/>
        </xdr:cNvSpPr>
      </xdr:nvSpPr>
      <xdr:spPr bwMode="auto">
        <a:xfrm>
          <a:off x="0" y="1818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62" name="AutoShape 174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18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63" name="AutoShape 175" descr="GERMANY5"/>
        <xdr:cNvSpPr>
          <a:spLocks noChangeAspect="1" noChangeArrowheads="1"/>
        </xdr:cNvSpPr>
      </xdr:nvSpPr>
      <xdr:spPr bwMode="auto">
        <a:xfrm>
          <a:off x="0" y="1843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64" name="AutoShape 176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43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65" name="AutoShape 177" descr="GERMANY5"/>
        <xdr:cNvSpPr>
          <a:spLocks noChangeAspect="1" noChangeArrowheads="1"/>
        </xdr:cNvSpPr>
      </xdr:nvSpPr>
      <xdr:spPr bwMode="auto">
        <a:xfrm>
          <a:off x="0" y="186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66" name="AutoShape 178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86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67" name="AutoShape 179" descr="GERMANY6"/>
        <xdr:cNvSpPr>
          <a:spLocks noChangeAspect="1" noChangeArrowheads="1"/>
        </xdr:cNvSpPr>
      </xdr:nvSpPr>
      <xdr:spPr bwMode="auto">
        <a:xfrm>
          <a:off x="0" y="188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68" name="AutoShape 180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88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69" name="AutoShape 181" descr="GERMANY6"/>
        <xdr:cNvSpPr>
          <a:spLocks noChangeAspect="1" noChangeArrowheads="1"/>
        </xdr:cNvSpPr>
      </xdr:nvSpPr>
      <xdr:spPr bwMode="auto">
        <a:xfrm>
          <a:off x="0" y="1903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70" name="AutoShape 182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03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71" name="AutoShape 183" descr="GERMANY6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72" name="AutoShape 184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73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74" name="AutoShape 186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75" name="AutoShape 187" descr="GERMANY7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76" name="AutoShape 188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77" name="AutoShape 189" descr="GERMANY8"/>
        <xdr:cNvSpPr>
          <a:spLocks noChangeAspect="1" noChangeArrowheads="1"/>
        </xdr:cNvSpPr>
      </xdr:nvSpPr>
      <xdr:spPr bwMode="auto">
        <a:xfrm>
          <a:off x="0" y="1981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78" name="AutoShape 190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198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79" name="AutoShape 191" descr="GERMANY8"/>
        <xdr:cNvSpPr>
          <a:spLocks noChangeAspect="1" noChangeArrowheads="1"/>
        </xdr:cNvSpPr>
      </xdr:nvSpPr>
      <xdr:spPr bwMode="auto">
        <a:xfrm>
          <a:off x="0" y="1998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80" name="AutoShape 192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1998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81" name="AutoShape 193" descr="GERMANY8"/>
        <xdr:cNvSpPr>
          <a:spLocks noChangeAspect="1" noChangeArrowheads="1"/>
        </xdr:cNvSpPr>
      </xdr:nvSpPr>
      <xdr:spPr bwMode="auto">
        <a:xfrm>
          <a:off x="0" y="2016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82" name="AutoShape 194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16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83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84" name="AutoShape 196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85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86" name="AutoShape 198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87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88" name="AutoShape 200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89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90" name="AutoShape 202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91" name="AutoShape 203" descr="GERMANY8"/>
        <xdr:cNvSpPr>
          <a:spLocks noChangeAspect="1" noChangeArrowheads="1"/>
        </xdr:cNvSpPr>
      </xdr:nvSpPr>
      <xdr:spPr bwMode="auto">
        <a:xfrm>
          <a:off x="0" y="21115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92" name="AutoShape 204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115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93" name="AutoShape 205" descr="GERMANY8"/>
        <xdr:cNvSpPr>
          <a:spLocks noChangeAspect="1" noChangeArrowheads="1"/>
        </xdr:cNvSpPr>
      </xdr:nvSpPr>
      <xdr:spPr bwMode="auto">
        <a:xfrm>
          <a:off x="0" y="2129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94" name="AutoShape 206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29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95" name="AutoShape 207" descr="HUNGARY"/>
        <xdr:cNvSpPr>
          <a:spLocks noChangeAspect="1" noChangeArrowheads="1"/>
        </xdr:cNvSpPr>
      </xdr:nvSpPr>
      <xdr:spPr bwMode="auto">
        <a:xfrm>
          <a:off x="0" y="2154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96" name="AutoShape 208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154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97" name="AutoShape 209" descr="ICELAND3"/>
        <xdr:cNvSpPr>
          <a:spLocks noChangeAspect="1" noChangeArrowheads="1"/>
        </xdr:cNvSpPr>
      </xdr:nvSpPr>
      <xdr:spPr bwMode="auto">
        <a:xfrm>
          <a:off x="0" y="2171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398" name="AutoShape 210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171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399" name="AutoShape 211" descr="JAPAN"/>
        <xdr:cNvSpPr>
          <a:spLocks noChangeAspect="1" noChangeArrowheads="1"/>
        </xdr:cNvSpPr>
      </xdr:nvSpPr>
      <xdr:spPr bwMode="auto">
        <a:xfrm>
          <a:off x="0" y="2196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00" name="AutoShape 212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196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01" name="AutoShape 213" descr="NORWAY"/>
        <xdr:cNvSpPr>
          <a:spLocks noChangeAspect="1" noChangeArrowheads="1"/>
        </xdr:cNvSpPr>
      </xdr:nvSpPr>
      <xdr:spPr bwMode="auto">
        <a:xfrm>
          <a:off x="0" y="2221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02" name="AutoShape 214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21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03" name="AutoShape 215" descr="NORWAY11"/>
        <xdr:cNvSpPr>
          <a:spLocks noChangeAspect="1" noChangeArrowheads="1"/>
        </xdr:cNvSpPr>
      </xdr:nvSpPr>
      <xdr:spPr bwMode="auto">
        <a:xfrm>
          <a:off x="0" y="2239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04" name="AutoShape 216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39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05" name="AutoShape 217" descr="PARAGUAY2"/>
        <xdr:cNvSpPr>
          <a:spLocks noChangeAspect="1" noChangeArrowheads="1"/>
        </xdr:cNvSpPr>
      </xdr:nvSpPr>
      <xdr:spPr bwMode="auto">
        <a:xfrm>
          <a:off x="0" y="2264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06" name="AutoShape 218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264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07" name="AutoShape 219" descr="POLAND"/>
        <xdr:cNvSpPr>
          <a:spLocks noChangeAspect="1" noChangeArrowheads="1"/>
        </xdr:cNvSpPr>
      </xdr:nvSpPr>
      <xdr:spPr bwMode="auto">
        <a:xfrm>
          <a:off x="0" y="2282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08" name="AutoShape 220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282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09" name="AutoShape 221" descr="POLAND2"/>
        <xdr:cNvSpPr>
          <a:spLocks noChangeAspect="1" noChangeArrowheads="1"/>
        </xdr:cNvSpPr>
      </xdr:nvSpPr>
      <xdr:spPr bwMode="auto">
        <a:xfrm>
          <a:off x="0" y="2307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10" name="AutoShape 222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07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11" name="AutoShape 223" descr="POLAND2"/>
        <xdr:cNvSpPr>
          <a:spLocks noChangeAspect="1" noChangeArrowheads="1"/>
        </xdr:cNvSpPr>
      </xdr:nvSpPr>
      <xdr:spPr bwMode="auto">
        <a:xfrm>
          <a:off x="0" y="2324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12" name="AutoShape 224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24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13" name="AutoShape 225" descr="POLAND3"/>
        <xdr:cNvSpPr>
          <a:spLocks noChangeAspect="1" noChangeArrowheads="1"/>
        </xdr:cNvSpPr>
      </xdr:nvSpPr>
      <xdr:spPr bwMode="auto">
        <a:xfrm>
          <a:off x="0" y="2350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14" name="AutoShape 226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350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15" name="AutoShape 227" descr="PORTUGAL2"/>
        <xdr:cNvSpPr>
          <a:spLocks noChangeAspect="1" noChangeArrowheads="1"/>
        </xdr:cNvSpPr>
      </xdr:nvSpPr>
      <xdr:spPr bwMode="auto">
        <a:xfrm>
          <a:off x="0" y="2375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16" name="AutoShape 228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375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17" name="AutoShape 229" descr="ROMANIA"/>
        <xdr:cNvSpPr>
          <a:spLocks noChangeAspect="1" noChangeArrowheads="1"/>
        </xdr:cNvSpPr>
      </xdr:nvSpPr>
      <xdr:spPr bwMode="auto">
        <a:xfrm>
          <a:off x="0" y="2392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18" name="AutoShape 230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392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19" name="AutoShape 231" descr="ROMANIA"/>
        <xdr:cNvSpPr>
          <a:spLocks noChangeAspect="1" noChangeArrowheads="1"/>
        </xdr:cNvSpPr>
      </xdr:nvSpPr>
      <xdr:spPr bwMode="auto">
        <a:xfrm>
          <a:off x="0" y="2410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20" name="AutoShape 232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10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21" name="AutoShape 233" descr="RUSSIA"/>
        <xdr:cNvSpPr>
          <a:spLocks noChangeAspect="1" noChangeArrowheads="1"/>
        </xdr:cNvSpPr>
      </xdr:nvSpPr>
      <xdr:spPr bwMode="auto">
        <a:xfrm>
          <a:off x="0" y="2435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22" name="AutoShape 234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35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23" name="AutoShape 235" descr="SAUDIARABIA"/>
        <xdr:cNvSpPr>
          <a:spLocks noChangeAspect="1" noChangeArrowheads="1"/>
        </xdr:cNvSpPr>
      </xdr:nvSpPr>
      <xdr:spPr bwMode="auto">
        <a:xfrm>
          <a:off x="0" y="2460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24" name="AutoShape 236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460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25" name="AutoShape 237" descr="SAUDIARABIA"/>
        <xdr:cNvSpPr>
          <a:spLocks noChangeAspect="1" noChangeArrowheads="1"/>
        </xdr:cNvSpPr>
      </xdr:nvSpPr>
      <xdr:spPr bwMode="auto">
        <a:xfrm>
          <a:off x="0" y="2478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26" name="AutoShape 238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478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27" name="AutoShape 239" descr="SAUDIARABIA"/>
        <xdr:cNvSpPr>
          <a:spLocks noChangeAspect="1" noChangeArrowheads="1"/>
        </xdr:cNvSpPr>
      </xdr:nvSpPr>
      <xdr:spPr bwMode="auto">
        <a:xfrm>
          <a:off x="0" y="2495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28" name="AutoShape 240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49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29" name="AutoShape 241" descr="SOUTHAFRIC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30" name="AutoShape 242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31" name="AutoShape 243" descr="SOUTHKOREA4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32" name="AutoShape 244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33" name="AutoShape 245" descr="SOUTHKOREA4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34" name="AutoShape 246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35" name="AutoShape 247" descr="SWEDEN"/>
        <xdr:cNvSpPr>
          <a:spLocks noChangeAspect="1" noChangeArrowheads="1"/>
        </xdr:cNvSpPr>
      </xdr:nvSpPr>
      <xdr:spPr bwMode="auto">
        <a:xfrm>
          <a:off x="0" y="2573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36" name="AutoShape 248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573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37" name="AutoShape 249" descr="SWEDEN2"/>
        <xdr:cNvSpPr>
          <a:spLocks noChangeAspect="1" noChangeArrowheads="1"/>
        </xdr:cNvSpPr>
      </xdr:nvSpPr>
      <xdr:spPr bwMode="auto">
        <a:xfrm>
          <a:off x="0" y="2590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38" name="AutoShape 250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59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39" name="AutoShape 251" descr="SWEDEN2"/>
        <xdr:cNvSpPr>
          <a:spLocks noChangeAspect="1" noChangeArrowheads="1"/>
        </xdr:cNvSpPr>
      </xdr:nvSpPr>
      <xdr:spPr bwMode="auto">
        <a:xfrm>
          <a:off x="0" y="2608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40" name="AutoShape 252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08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41" name="AutoShape 253" descr="SWEDEN3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42" name="AutoShape 254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43" name="AutoShape 255" descr="SWEDEN4"/>
        <xdr:cNvSpPr>
          <a:spLocks noChangeAspect="1" noChangeArrowheads="1"/>
        </xdr:cNvSpPr>
      </xdr:nvSpPr>
      <xdr:spPr bwMode="auto">
        <a:xfrm>
          <a:off x="0" y="2650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44" name="AutoShape 256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650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45" name="AutoShape 257" descr="SWEDEN11"/>
        <xdr:cNvSpPr>
          <a:spLocks noChangeAspect="1" noChangeArrowheads="1"/>
        </xdr:cNvSpPr>
      </xdr:nvSpPr>
      <xdr:spPr bwMode="auto">
        <a:xfrm>
          <a:off x="0" y="2676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46" name="AutoShape 258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676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47" name="AutoShape 259" descr="TURKEY"/>
        <xdr:cNvSpPr>
          <a:spLocks noChangeAspect="1" noChangeArrowheads="1"/>
        </xdr:cNvSpPr>
      </xdr:nvSpPr>
      <xdr:spPr bwMode="auto">
        <a:xfrm>
          <a:off x="0" y="2693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48" name="AutoShape 260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693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49" name="AutoShape 261" descr="TURKEY2"/>
        <xdr:cNvSpPr>
          <a:spLocks noChangeAspect="1" noChangeArrowheads="1"/>
        </xdr:cNvSpPr>
      </xdr:nvSpPr>
      <xdr:spPr bwMode="auto">
        <a:xfrm>
          <a:off x="0" y="2711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50" name="AutoShape 262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11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51" name="AutoShape 263" descr="UKRAINE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52" name="AutoShape 264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53" name="AutoShape 265" descr="URUGUAY3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54" name="AutoShape 266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55" name="AutoShape 267" descr="WALES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56" name="AutoShape 268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57" name="AutoShape 269" descr="WALES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58" name="AutoShape 270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59" name="AutoShape 271" descr="WALES"/>
        <xdr:cNvSpPr>
          <a:spLocks noChangeAspect="1" noChangeArrowheads="1"/>
        </xdr:cNvSpPr>
      </xdr:nvSpPr>
      <xdr:spPr bwMode="auto">
        <a:xfrm>
          <a:off x="0" y="2806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60" name="AutoShape 272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06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61" name="AutoShape 273" descr="WALES"/>
        <xdr:cNvSpPr>
          <a:spLocks noChangeAspect="1" noChangeArrowheads="1"/>
        </xdr:cNvSpPr>
      </xdr:nvSpPr>
      <xdr:spPr bwMode="auto">
        <a:xfrm>
          <a:off x="0" y="2831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62" name="AutoShape 274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31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63" name="AutoShape 275" descr="WALES"/>
        <xdr:cNvSpPr>
          <a:spLocks noChangeAspect="1" noChangeArrowheads="1"/>
        </xdr:cNvSpPr>
      </xdr:nvSpPr>
      <xdr:spPr bwMode="auto">
        <a:xfrm>
          <a:off x="0" y="2856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64" name="AutoShape 276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856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65" name="AutoShape 277" descr="WALES"/>
        <xdr:cNvSpPr>
          <a:spLocks noChangeAspect="1" noChangeArrowheads="1"/>
        </xdr:cNvSpPr>
      </xdr:nvSpPr>
      <xdr:spPr bwMode="auto">
        <a:xfrm>
          <a:off x="0" y="2874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66" name="AutoShape 278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874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67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68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69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70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71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72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73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74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75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76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77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78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79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80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81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82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83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84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85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86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87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88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89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90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91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92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93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94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95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96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97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98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99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00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01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02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03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04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05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06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07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08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09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10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11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12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13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14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15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16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17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18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19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20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21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22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23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24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25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26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27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28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29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30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31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32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33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34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35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36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37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38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39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40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41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42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43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44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45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46" name="AutoShape 80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47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48" name="AutoShape 82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49" name="AutoShape 83" descr="BELARUS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50" name="AutoShape 84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51" name="AutoShape 85" descr="BELARUS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52" name="AutoShape 86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53" name="AutoShape 87" descr="BELGIUM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54" name="AutoShape 88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55" name="AutoShape 89" descr="BELGIUM2"/>
        <xdr:cNvSpPr>
          <a:spLocks noChangeAspect="1" noChangeArrowheads="1"/>
        </xdr:cNvSpPr>
      </xdr:nvSpPr>
      <xdr:spPr bwMode="auto">
        <a:xfrm>
          <a:off x="0" y="918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56" name="AutoShape 90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57" name="AutoShape 91" descr="BELGIUM2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58" name="AutoShape 92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59" name="AutoShape 93" descr="BOSNIA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60" name="AutoShape 9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61" name="AutoShape 95" descr="BRAZIL2"/>
        <xdr:cNvSpPr>
          <a:spLocks noChangeAspect="1" noChangeArrowheads="1"/>
        </xdr:cNvSpPr>
      </xdr:nvSpPr>
      <xdr:spPr bwMode="auto">
        <a:xfrm>
          <a:off x="0" y="978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62" name="AutoShape 96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978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63" name="AutoShape 97" descr="BRAZIL2"/>
        <xdr:cNvSpPr>
          <a:spLocks noChangeAspect="1" noChangeArrowheads="1"/>
        </xdr:cNvSpPr>
      </xdr:nvSpPr>
      <xdr:spPr bwMode="auto">
        <a:xfrm>
          <a:off x="0" y="995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64" name="AutoShape 98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995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65" name="AutoShape 99" descr="BRAZIL2"/>
        <xdr:cNvSpPr>
          <a:spLocks noChangeAspect="1" noChangeArrowheads="1"/>
        </xdr:cNvSpPr>
      </xdr:nvSpPr>
      <xdr:spPr bwMode="auto">
        <a:xfrm>
          <a:off x="0" y="1013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66" name="AutoShape 100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13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67" name="AutoShape 101" descr="BULGARIA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68" name="AutoShape 102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69" name="AutoShape 103" descr="BULGARIA2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70" name="AutoShape 104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71" name="AutoShape 105" descr="CHILE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72" name="AutoShape 106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73" name="AutoShape 107" descr="CHILE2"/>
        <xdr:cNvSpPr>
          <a:spLocks noChangeAspect="1" noChangeArrowheads="1"/>
        </xdr:cNvSpPr>
      </xdr:nvSpPr>
      <xdr:spPr bwMode="auto">
        <a:xfrm>
          <a:off x="0" y="1098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74" name="AutoShape 108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098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75" name="AutoShape 109" descr="CHILE2"/>
        <xdr:cNvSpPr>
          <a:spLocks noChangeAspect="1" noChangeArrowheads="1"/>
        </xdr:cNvSpPr>
      </xdr:nvSpPr>
      <xdr:spPr bwMode="auto">
        <a:xfrm>
          <a:off x="0" y="1123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76" name="AutoShape 110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23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77" name="AutoShape 111" descr="CHINA"/>
        <xdr:cNvSpPr>
          <a:spLocks noChangeAspect="1" noChangeArrowheads="1"/>
        </xdr:cNvSpPr>
      </xdr:nvSpPr>
      <xdr:spPr bwMode="auto">
        <a:xfrm>
          <a:off x="0" y="1141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78" name="AutoShape 112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41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79" name="AutoShape 113" descr="CHINA"/>
        <xdr:cNvSpPr>
          <a:spLocks noChangeAspect="1" noChangeArrowheads="1"/>
        </xdr:cNvSpPr>
      </xdr:nvSpPr>
      <xdr:spPr bwMode="auto">
        <a:xfrm>
          <a:off x="0" y="1166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80" name="AutoShape 114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166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81" name="AutoShape 115" descr="CHINA"/>
        <xdr:cNvSpPr>
          <a:spLocks noChangeAspect="1" noChangeArrowheads="1"/>
        </xdr:cNvSpPr>
      </xdr:nvSpPr>
      <xdr:spPr bwMode="auto">
        <a:xfrm>
          <a:off x="0" y="1191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82" name="AutoShape 116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191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83" name="AutoShape 117" descr="COLOMBIA2"/>
        <xdr:cNvSpPr>
          <a:spLocks noChangeAspect="1" noChangeArrowheads="1"/>
        </xdr:cNvSpPr>
      </xdr:nvSpPr>
      <xdr:spPr bwMode="auto">
        <a:xfrm>
          <a:off x="0" y="1216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84" name="AutoShape 118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16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85" name="AutoShape 119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4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86" name="AutoShape 120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276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87" name="AutoShape 121" descr="CROATIA"/>
        <xdr:cNvSpPr>
          <a:spLocks noChangeAspect="1" noChangeArrowheads="1"/>
        </xdr:cNvSpPr>
      </xdr:nvSpPr>
      <xdr:spPr bwMode="auto">
        <a:xfrm>
          <a:off x="0" y="130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88" name="AutoShape 122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0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89" name="AutoShape 123" descr="CZECHREPUBLIC2"/>
        <xdr:cNvSpPr>
          <a:spLocks noChangeAspect="1" noChangeArrowheads="1"/>
        </xdr:cNvSpPr>
      </xdr:nvSpPr>
      <xdr:spPr bwMode="auto">
        <a:xfrm>
          <a:off x="0" y="1326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90" name="AutoShape 124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26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91" name="AutoShape 125" descr="CZECHREPUBLIC2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92" name="AutoShape 126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93" name="AutoShape 127" descr="DENMARK"/>
        <xdr:cNvSpPr>
          <a:spLocks noChangeAspect="1" noChangeArrowheads="1"/>
        </xdr:cNvSpPr>
      </xdr:nvSpPr>
      <xdr:spPr bwMode="auto">
        <a:xfrm>
          <a:off x="0" y="1369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94" name="AutoShape 128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369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95" name="AutoShape 129" descr="DENMARK2"/>
        <xdr:cNvSpPr>
          <a:spLocks noChangeAspect="1" noChangeArrowheads="1"/>
        </xdr:cNvSpPr>
      </xdr:nvSpPr>
      <xdr:spPr bwMode="auto">
        <a:xfrm>
          <a:off x="0" y="1386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96" name="AutoShape 130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386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97" name="AutoShape 131" descr="DENMARK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598" name="AutoShape 132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599" name="AutoShape 133" descr="DENMARK3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00" name="AutoShape 134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01" name="AutoShape 135" descr="DENMARK3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02" name="AutoShape 136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03" name="AutoShape 137" descr="DENMARK3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04" name="AutoShape 138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05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06" name="AutoShape 140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07" name="AutoShape 141" descr="ENGLAND7"/>
        <xdr:cNvSpPr>
          <a:spLocks noChangeAspect="1" noChangeArrowheads="1"/>
        </xdr:cNvSpPr>
      </xdr:nvSpPr>
      <xdr:spPr bwMode="auto">
        <a:xfrm>
          <a:off x="0" y="1499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08" name="AutoShape 142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499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09" name="AutoShape 143" descr="ENGLAND9"/>
        <xdr:cNvSpPr>
          <a:spLocks noChangeAspect="1" noChangeArrowheads="1"/>
        </xdr:cNvSpPr>
      </xdr:nvSpPr>
      <xdr:spPr bwMode="auto">
        <a:xfrm>
          <a:off x="0" y="1524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10" name="AutoShape 144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24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11" name="AutoShape 145" descr="ESTONIA"/>
        <xdr:cNvSpPr>
          <a:spLocks noChangeAspect="1" noChangeArrowheads="1"/>
        </xdr:cNvSpPr>
      </xdr:nvSpPr>
      <xdr:spPr bwMode="auto">
        <a:xfrm>
          <a:off x="0" y="1542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12" name="AutoShape 146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42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13" name="AutoShape 147" descr="FINLAND"/>
        <xdr:cNvSpPr>
          <a:spLocks noChangeAspect="1" noChangeArrowheads="1"/>
        </xdr:cNvSpPr>
      </xdr:nvSpPr>
      <xdr:spPr bwMode="auto">
        <a:xfrm>
          <a:off x="0" y="1559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14" name="AutoShape 148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559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15" name="AutoShape 149" descr="FINLAND2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16" name="AutoShape 150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17" name="AutoShape 151" descr="FRANCE3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18" name="AutoShape 152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19" name="AutoShape 153" descr="FRANCE3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20" name="AutoShape 154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21" name="AutoShape 155" descr="FRANCE3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22" name="AutoShape 156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23" name="AutoShape 157" descr="FRANCE3"/>
        <xdr:cNvSpPr>
          <a:spLocks noChangeAspect="1" noChangeArrowheads="1"/>
        </xdr:cNvSpPr>
      </xdr:nvSpPr>
      <xdr:spPr bwMode="auto">
        <a:xfrm>
          <a:off x="0" y="1655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24" name="AutoShape 158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655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25" name="AutoShape 159" descr="FRANCE3"/>
        <xdr:cNvSpPr>
          <a:spLocks noChangeAspect="1" noChangeArrowheads="1"/>
        </xdr:cNvSpPr>
      </xdr:nvSpPr>
      <xdr:spPr bwMode="auto">
        <a:xfrm>
          <a:off x="0" y="1672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26" name="AutoShape 160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672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27" name="AutoShape 161" descr="FRANCE3"/>
        <xdr:cNvSpPr>
          <a:spLocks noChangeAspect="1" noChangeArrowheads="1"/>
        </xdr:cNvSpPr>
      </xdr:nvSpPr>
      <xdr:spPr bwMode="auto">
        <a:xfrm>
          <a:off x="0" y="1697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28" name="AutoShape 162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697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29" name="AutoShape 163" descr="FRANCE3"/>
        <xdr:cNvSpPr>
          <a:spLocks noChangeAspect="1" noChangeArrowheads="1"/>
        </xdr:cNvSpPr>
      </xdr:nvSpPr>
      <xdr:spPr bwMode="auto">
        <a:xfrm>
          <a:off x="0" y="1715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30" name="AutoShape 164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1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31" name="AutoShape 165" descr="FRANCE3"/>
        <xdr:cNvSpPr>
          <a:spLocks noChangeAspect="1" noChangeArrowheads="1"/>
        </xdr:cNvSpPr>
      </xdr:nvSpPr>
      <xdr:spPr bwMode="auto">
        <a:xfrm>
          <a:off x="0" y="174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32" name="AutoShape 166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4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33" name="AutoShape 167" descr="FRANCE3"/>
        <xdr:cNvSpPr>
          <a:spLocks noChangeAspect="1" noChangeArrowheads="1"/>
        </xdr:cNvSpPr>
      </xdr:nvSpPr>
      <xdr:spPr bwMode="auto">
        <a:xfrm>
          <a:off x="0" y="1757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34" name="AutoShape 168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757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35" name="AutoShape 169" descr="GERMANY3"/>
        <xdr:cNvSpPr>
          <a:spLocks noChangeAspect="1" noChangeArrowheads="1"/>
        </xdr:cNvSpPr>
      </xdr:nvSpPr>
      <xdr:spPr bwMode="auto">
        <a:xfrm>
          <a:off x="0" y="1775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36" name="AutoShape 170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775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37" name="AutoShape 171" descr="GERMANY5"/>
        <xdr:cNvSpPr>
          <a:spLocks noChangeAspect="1" noChangeArrowheads="1"/>
        </xdr:cNvSpPr>
      </xdr:nvSpPr>
      <xdr:spPr bwMode="auto">
        <a:xfrm>
          <a:off x="0" y="180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38" name="AutoShape 172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0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39" name="AutoShape 173" descr="GERMANY5"/>
        <xdr:cNvSpPr>
          <a:spLocks noChangeAspect="1" noChangeArrowheads="1"/>
        </xdr:cNvSpPr>
      </xdr:nvSpPr>
      <xdr:spPr bwMode="auto">
        <a:xfrm>
          <a:off x="0" y="1818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40" name="AutoShape 174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18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41" name="AutoShape 175" descr="GERMANY5"/>
        <xdr:cNvSpPr>
          <a:spLocks noChangeAspect="1" noChangeArrowheads="1"/>
        </xdr:cNvSpPr>
      </xdr:nvSpPr>
      <xdr:spPr bwMode="auto">
        <a:xfrm>
          <a:off x="0" y="1843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42" name="AutoShape 176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43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43" name="AutoShape 177" descr="GERMANY5"/>
        <xdr:cNvSpPr>
          <a:spLocks noChangeAspect="1" noChangeArrowheads="1"/>
        </xdr:cNvSpPr>
      </xdr:nvSpPr>
      <xdr:spPr bwMode="auto">
        <a:xfrm>
          <a:off x="0" y="186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44" name="AutoShape 178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86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45" name="AutoShape 179" descr="GERMANY6"/>
        <xdr:cNvSpPr>
          <a:spLocks noChangeAspect="1" noChangeArrowheads="1"/>
        </xdr:cNvSpPr>
      </xdr:nvSpPr>
      <xdr:spPr bwMode="auto">
        <a:xfrm>
          <a:off x="0" y="188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46" name="AutoShape 180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88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47" name="AutoShape 181" descr="GERMANY6"/>
        <xdr:cNvSpPr>
          <a:spLocks noChangeAspect="1" noChangeArrowheads="1"/>
        </xdr:cNvSpPr>
      </xdr:nvSpPr>
      <xdr:spPr bwMode="auto">
        <a:xfrm>
          <a:off x="0" y="1903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48" name="AutoShape 182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03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49" name="AutoShape 183" descr="GERMANY6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50" name="AutoShape 184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51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52" name="AutoShape 186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53" name="AutoShape 187" descr="GERMANY7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54" name="AutoShape 188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55" name="AutoShape 189" descr="GERMANY8"/>
        <xdr:cNvSpPr>
          <a:spLocks noChangeAspect="1" noChangeArrowheads="1"/>
        </xdr:cNvSpPr>
      </xdr:nvSpPr>
      <xdr:spPr bwMode="auto">
        <a:xfrm>
          <a:off x="0" y="1981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56" name="AutoShape 190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198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57" name="AutoShape 191" descr="GERMANY8"/>
        <xdr:cNvSpPr>
          <a:spLocks noChangeAspect="1" noChangeArrowheads="1"/>
        </xdr:cNvSpPr>
      </xdr:nvSpPr>
      <xdr:spPr bwMode="auto">
        <a:xfrm>
          <a:off x="0" y="1998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58" name="AutoShape 192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1998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59" name="AutoShape 193" descr="GERMANY8"/>
        <xdr:cNvSpPr>
          <a:spLocks noChangeAspect="1" noChangeArrowheads="1"/>
        </xdr:cNvSpPr>
      </xdr:nvSpPr>
      <xdr:spPr bwMode="auto">
        <a:xfrm>
          <a:off x="0" y="2016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60" name="AutoShape 194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16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61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62" name="AutoShape 196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63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64" name="AutoShape 198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65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66" name="AutoShape 200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67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68" name="AutoShape 202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69" name="AutoShape 203" descr="GERMANY8"/>
        <xdr:cNvSpPr>
          <a:spLocks noChangeAspect="1" noChangeArrowheads="1"/>
        </xdr:cNvSpPr>
      </xdr:nvSpPr>
      <xdr:spPr bwMode="auto">
        <a:xfrm>
          <a:off x="0" y="21115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70" name="AutoShape 204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115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71" name="AutoShape 205" descr="GERMANY8"/>
        <xdr:cNvSpPr>
          <a:spLocks noChangeAspect="1" noChangeArrowheads="1"/>
        </xdr:cNvSpPr>
      </xdr:nvSpPr>
      <xdr:spPr bwMode="auto">
        <a:xfrm>
          <a:off x="0" y="2129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72" name="AutoShape 206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29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73" name="AutoShape 207" descr="HUNGARY"/>
        <xdr:cNvSpPr>
          <a:spLocks noChangeAspect="1" noChangeArrowheads="1"/>
        </xdr:cNvSpPr>
      </xdr:nvSpPr>
      <xdr:spPr bwMode="auto">
        <a:xfrm>
          <a:off x="0" y="2154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74" name="AutoShape 208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154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75" name="AutoShape 209" descr="ICELAND3"/>
        <xdr:cNvSpPr>
          <a:spLocks noChangeAspect="1" noChangeArrowheads="1"/>
        </xdr:cNvSpPr>
      </xdr:nvSpPr>
      <xdr:spPr bwMode="auto">
        <a:xfrm>
          <a:off x="0" y="2171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76" name="AutoShape 210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171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77" name="AutoShape 211" descr="JAPAN"/>
        <xdr:cNvSpPr>
          <a:spLocks noChangeAspect="1" noChangeArrowheads="1"/>
        </xdr:cNvSpPr>
      </xdr:nvSpPr>
      <xdr:spPr bwMode="auto">
        <a:xfrm>
          <a:off x="0" y="2196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78" name="AutoShape 212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196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79" name="AutoShape 213" descr="NORWAY"/>
        <xdr:cNvSpPr>
          <a:spLocks noChangeAspect="1" noChangeArrowheads="1"/>
        </xdr:cNvSpPr>
      </xdr:nvSpPr>
      <xdr:spPr bwMode="auto">
        <a:xfrm>
          <a:off x="0" y="2221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80" name="AutoShape 214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21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81" name="AutoShape 215" descr="NORWAY11"/>
        <xdr:cNvSpPr>
          <a:spLocks noChangeAspect="1" noChangeArrowheads="1"/>
        </xdr:cNvSpPr>
      </xdr:nvSpPr>
      <xdr:spPr bwMode="auto">
        <a:xfrm>
          <a:off x="0" y="2239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82" name="AutoShape 216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39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83" name="AutoShape 217" descr="PARAGUAY2"/>
        <xdr:cNvSpPr>
          <a:spLocks noChangeAspect="1" noChangeArrowheads="1"/>
        </xdr:cNvSpPr>
      </xdr:nvSpPr>
      <xdr:spPr bwMode="auto">
        <a:xfrm>
          <a:off x="0" y="2264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84" name="AutoShape 218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264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85" name="AutoShape 219" descr="POLAND"/>
        <xdr:cNvSpPr>
          <a:spLocks noChangeAspect="1" noChangeArrowheads="1"/>
        </xdr:cNvSpPr>
      </xdr:nvSpPr>
      <xdr:spPr bwMode="auto">
        <a:xfrm>
          <a:off x="0" y="2282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86" name="AutoShape 220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282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87" name="AutoShape 221" descr="POLAND2"/>
        <xdr:cNvSpPr>
          <a:spLocks noChangeAspect="1" noChangeArrowheads="1"/>
        </xdr:cNvSpPr>
      </xdr:nvSpPr>
      <xdr:spPr bwMode="auto">
        <a:xfrm>
          <a:off x="0" y="2307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88" name="AutoShape 222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07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89" name="AutoShape 223" descr="POLAND2"/>
        <xdr:cNvSpPr>
          <a:spLocks noChangeAspect="1" noChangeArrowheads="1"/>
        </xdr:cNvSpPr>
      </xdr:nvSpPr>
      <xdr:spPr bwMode="auto">
        <a:xfrm>
          <a:off x="0" y="2324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90" name="AutoShape 224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24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91" name="AutoShape 225" descr="POLAND3"/>
        <xdr:cNvSpPr>
          <a:spLocks noChangeAspect="1" noChangeArrowheads="1"/>
        </xdr:cNvSpPr>
      </xdr:nvSpPr>
      <xdr:spPr bwMode="auto">
        <a:xfrm>
          <a:off x="0" y="2350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92" name="AutoShape 226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350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93" name="AutoShape 227" descr="PORTUGAL2"/>
        <xdr:cNvSpPr>
          <a:spLocks noChangeAspect="1" noChangeArrowheads="1"/>
        </xdr:cNvSpPr>
      </xdr:nvSpPr>
      <xdr:spPr bwMode="auto">
        <a:xfrm>
          <a:off x="0" y="2375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94" name="AutoShape 228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375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95" name="AutoShape 229" descr="ROMANIA"/>
        <xdr:cNvSpPr>
          <a:spLocks noChangeAspect="1" noChangeArrowheads="1"/>
        </xdr:cNvSpPr>
      </xdr:nvSpPr>
      <xdr:spPr bwMode="auto">
        <a:xfrm>
          <a:off x="0" y="2392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96" name="AutoShape 230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392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97" name="AutoShape 231" descr="ROMANIA"/>
        <xdr:cNvSpPr>
          <a:spLocks noChangeAspect="1" noChangeArrowheads="1"/>
        </xdr:cNvSpPr>
      </xdr:nvSpPr>
      <xdr:spPr bwMode="auto">
        <a:xfrm>
          <a:off x="0" y="2410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698" name="AutoShape 232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10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699" name="AutoShape 233" descr="RUSSIA"/>
        <xdr:cNvSpPr>
          <a:spLocks noChangeAspect="1" noChangeArrowheads="1"/>
        </xdr:cNvSpPr>
      </xdr:nvSpPr>
      <xdr:spPr bwMode="auto">
        <a:xfrm>
          <a:off x="0" y="2435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00" name="AutoShape 234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35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01" name="AutoShape 235" descr="SAUDIARABIA"/>
        <xdr:cNvSpPr>
          <a:spLocks noChangeAspect="1" noChangeArrowheads="1"/>
        </xdr:cNvSpPr>
      </xdr:nvSpPr>
      <xdr:spPr bwMode="auto">
        <a:xfrm>
          <a:off x="0" y="2460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02" name="AutoShape 236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460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03" name="AutoShape 237" descr="SAUDIARABIA"/>
        <xdr:cNvSpPr>
          <a:spLocks noChangeAspect="1" noChangeArrowheads="1"/>
        </xdr:cNvSpPr>
      </xdr:nvSpPr>
      <xdr:spPr bwMode="auto">
        <a:xfrm>
          <a:off x="0" y="2478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04" name="AutoShape 238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478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05" name="AutoShape 239" descr="SAUDIARABIA"/>
        <xdr:cNvSpPr>
          <a:spLocks noChangeAspect="1" noChangeArrowheads="1"/>
        </xdr:cNvSpPr>
      </xdr:nvSpPr>
      <xdr:spPr bwMode="auto">
        <a:xfrm>
          <a:off x="0" y="2495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06" name="AutoShape 240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49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07" name="AutoShape 241" descr="SOUTHAFRIC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08" name="AutoShape 242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09" name="AutoShape 243" descr="SOUTHKOREA4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10" name="AutoShape 244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11" name="AutoShape 245" descr="SOUTHKOREA4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12" name="AutoShape 246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13" name="AutoShape 247" descr="SWEDEN"/>
        <xdr:cNvSpPr>
          <a:spLocks noChangeAspect="1" noChangeArrowheads="1"/>
        </xdr:cNvSpPr>
      </xdr:nvSpPr>
      <xdr:spPr bwMode="auto">
        <a:xfrm>
          <a:off x="0" y="2573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14" name="AutoShape 248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573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15" name="AutoShape 249" descr="SWEDEN2"/>
        <xdr:cNvSpPr>
          <a:spLocks noChangeAspect="1" noChangeArrowheads="1"/>
        </xdr:cNvSpPr>
      </xdr:nvSpPr>
      <xdr:spPr bwMode="auto">
        <a:xfrm>
          <a:off x="0" y="2590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16" name="AutoShape 250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59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17" name="AutoShape 251" descr="SWEDEN2"/>
        <xdr:cNvSpPr>
          <a:spLocks noChangeAspect="1" noChangeArrowheads="1"/>
        </xdr:cNvSpPr>
      </xdr:nvSpPr>
      <xdr:spPr bwMode="auto">
        <a:xfrm>
          <a:off x="0" y="2608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18" name="AutoShape 252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08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19" name="AutoShape 253" descr="SWEDEN3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20" name="AutoShape 254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21" name="AutoShape 255" descr="SWEDEN4"/>
        <xdr:cNvSpPr>
          <a:spLocks noChangeAspect="1" noChangeArrowheads="1"/>
        </xdr:cNvSpPr>
      </xdr:nvSpPr>
      <xdr:spPr bwMode="auto">
        <a:xfrm>
          <a:off x="0" y="2650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22" name="AutoShape 256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650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23" name="AutoShape 257" descr="SWEDEN11"/>
        <xdr:cNvSpPr>
          <a:spLocks noChangeAspect="1" noChangeArrowheads="1"/>
        </xdr:cNvSpPr>
      </xdr:nvSpPr>
      <xdr:spPr bwMode="auto">
        <a:xfrm>
          <a:off x="0" y="2676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24" name="AutoShape 258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676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25" name="AutoShape 259" descr="TURKEY"/>
        <xdr:cNvSpPr>
          <a:spLocks noChangeAspect="1" noChangeArrowheads="1"/>
        </xdr:cNvSpPr>
      </xdr:nvSpPr>
      <xdr:spPr bwMode="auto">
        <a:xfrm>
          <a:off x="0" y="2693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26" name="AutoShape 260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693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27" name="AutoShape 261" descr="TURKEY2"/>
        <xdr:cNvSpPr>
          <a:spLocks noChangeAspect="1" noChangeArrowheads="1"/>
        </xdr:cNvSpPr>
      </xdr:nvSpPr>
      <xdr:spPr bwMode="auto">
        <a:xfrm>
          <a:off x="0" y="2711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28" name="AutoShape 262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11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29" name="AutoShape 263" descr="UKRAINE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30" name="AutoShape 264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31" name="AutoShape 265" descr="URUGUAY3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32" name="AutoShape 266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33" name="AutoShape 267" descr="WALES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34" name="AutoShape 268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35" name="AutoShape 269" descr="WALES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36" name="AutoShape 270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37" name="AutoShape 271" descr="WALES"/>
        <xdr:cNvSpPr>
          <a:spLocks noChangeAspect="1" noChangeArrowheads="1"/>
        </xdr:cNvSpPr>
      </xdr:nvSpPr>
      <xdr:spPr bwMode="auto">
        <a:xfrm>
          <a:off x="0" y="2806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38" name="AutoShape 272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06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39" name="AutoShape 273" descr="WALES"/>
        <xdr:cNvSpPr>
          <a:spLocks noChangeAspect="1" noChangeArrowheads="1"/>
        </xdr:cNvSpPr>
      </xdr:nvSpPr>
      <xdr:spPr bwMode="auto">
        <a:xfrm>
          <a:off x="0" y="2831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40" name="AutoShape 274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31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41" name="AutoShape 275" descr="WALES"/>
        <xdr:cNvSpPr>
          <a:spLocks noChangeAspect="1" noChangeArrowheads="1"/>
        </xdr:cNvSpPr>
      </xdr:nvSpPr>
      <xdr:spPr bwMode="auto">
        <a:xfrm>
          <a:off x="0" y="2856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42" name="AutoShape 276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856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43" name="AutoShape 277" descr="WALES"/>
        <xdr:cNvSpPr>
          <a:spLocks noChangeAspect="1" noChangeArrowheads="1"/>
        </xdr:cNvSpPr>
      </xdr:nvSpPr>
      <xdr:spPr bwMode="auto">
        <a:xfrm>
          <a:off x="0" y="2874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44" name="AutoShape 278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874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45" name="AutoShape 1" descr="SPAIN"/>
        <xdr:cNvSpPr>
          <a:spLocks noChangeAspect="1" noChangeArrowheads="1"/>
        </xdr:cNvSpPr>
      </xdr:nvSpPr>
      <xdr:spPr bwMode="auto">
        <a:xfrm>
          <a:off x="0" y="2899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46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2899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47" name="AutoShape 3" descr="SPAIN"/>
        <xdr:cNvSpPr>
          <a:spLocks noChangeAspect="1" noChangeArrowheads="1"/>
        </xdr:cNvSpPr>
      </xdr:nvSpPr>
      <xdr:spPr bwMode="auto">
        <a:xfrm>
          <a:off x="0" y="2916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48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2916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49" name="AutoShape 5" descr="NETHERLANDS"/>
        <xdr:cNvSpPr>
          <a:spLocks noChangeAspect="1" noChangeArrowheads="1"/>
        </xdr:cNvSpPr>
      </xdr:nvSpPr>
      <xdr:spPr bwMode="auto">
        <a:xfrm>
          <a:off x="0" y="2942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50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2942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51" name="AutoShape 7" descr="NETHERLANDS"/>
        <xdr:cNvSpPr>
          <a:spLocks noChangeAspect="1" noChangeArrowheads="1"/>
        </xdr:cNvSpPr>
      </xdr:nvSpPr>
      <xdr:spPr bwMode="auto">
        <a:xfrm>
          <a:off x="0" y="29672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52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29672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53" name="AutoShape 9" descr="NETHERLANDS"/>
        <xdr:cNvSpPr>
          <a:spLocks noChangeAspect="1" noChangeArrowheads="1"/>
        </xdr:cNvSpPr>
      </xdr:nvSpPr>
      <xdr:spPr bwMode="auto">
        <a:xfrm>
          <a:off x="0" y="2984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54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2984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55" name="AutoShape 11" descr="NETHERLANDS"/>
        <xdr:cNvSpPr>
          <a:spLocks noChangeAspect="1" noChangeArrowheads="1"/>
        </xdr:cNvSpPr>
      </xdr:nvSpPr>
      <xdr:spPr bwMode="auto">
        <a:xfrm>
          <a:off x="0" y="3009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56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3009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57" name="AutoShape 13" descr="PORTUGAL"/>
        <xdr:cNvSpPr>
          <a:spLocks noChangeAspect="1" noChangeArrowheads="1"/>
        </xdr:cNvSpPr>
      </xdr:nvSpPr>
      <xdr:spPr bwMode="auto">
        <a:xfrm>
          <a:off x="0" y="3035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58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3035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59" name="AutoShape 15" descr="PORTUGAL"/>
        <xdr:cNvSpPr>
          <a:spLocks noChangeAspect="1" noChangeArrowheads="1"/>
        </xdr:cNvSpPr>
      </xdr:nvSpPr>
      <xdr:spPr bwMode="auto">
        <a:xfrm>
          <a:off x="0" y="3060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60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3060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61" name="AutoShape 17" descr="PORTUGAL"/>
        <xdr:cNvSpPr>
          <a:spLocks noChangeAspect="1" noChangeArrowheads="1"/>
        </xdr:cNvSpPr>
      </xdr:nvSpPr>
      <xdr:spPr bwMode="auto">
        <a:xfrm>
          <a:off x="0" y="3085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62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3085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63" name="AutoShape 19" descr="ENGLAND2"/>
        <xdr:cNvSpPr>
          <a:spLocks noChangeAspect="1" noChangeArrowheads="1"/>
        </xdr:cNvSpPr>
      </xdr:nvSpPr>
      <xdr:spPr bwMode="auto">
        <a:xfrm>
          <a:off x="0" y="3102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64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3102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65" name="AutoShape 21" descr="ENGLAND2"/>
        <xdr:cNvSpPr>
          <a:spLocks noChangeAspect="1" noChangeArrowheads="1"/>
        </xdr:cNvSpPr>
      </xdr:nvSpPr>
      <xdr:spPr bwMode="auto">
        <a:xfrm>
          <a:off x="0" y="3120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66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3120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67" name="AutoShape 23" descr="ENGLAND2"/>
        <xdr:cNvSpPr>
          <a:spLocks noChangeAspect="1" noChangeArrowheads="1"/>
        </xdr:cNvSpPr>
      </xdr:nvSpPr>
      <xdr:spPr bwMode="auto">
        <a:xfrm>
          <a:off x="0" y="3137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68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3137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69" name="AutoShape 25" descr="ENGLAND2"/>
        <xdr:cNvSpPr>
          <a:spLocks noChangeAspect="1" noChangeArrowheads="1"/>
        </xdr:cNvSpPr>
      </xdr:nvSpPr>
      <xdr:spPr bwMode="auto">
        <a:xfrm>
          <a:off x="0" y="3155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70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3155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71" name="AutoShape 27" descr="ENGLAND2"/>
        <xdr:cNvSpPr>
          <a:spLocks noChangeAspect="1" noChangeArrowheads="1"/>
        </xdr:cNvSpPr>
      </xdr:nvSpPr>
      <xdr:spPr bwMode="auto">
        <a:xfrm>
          <a:off x="0" y="3180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72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3180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73" name="AutoShape 29" descr="ENGLAND2"/>
        <xdr:cNvSpPr>
          <a:spLocks noChangeAspect="1" noChangeArrowheads="1"/>
        </xdr:cNvSpPr>
      </xdr:nvSpPr>
      <xdr:spPr bwMode="auto">
        <a:xfrm>
          <a:off x="0" y="3198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74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98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75" name="AutoShape 31" descr="ENGLAND2"/>
        <xdr:cNvSpPr>
          <a:spLocks noChangeAspect="1" noChangeArrowheads="1"/>
        </xdr:cNvSpPr>
      </xdr:nvSpPr>
      <xdr:spPr bwMode="auto">
        <a:xfrm>
          <a:off x="0" y="32156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76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215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77" name="AutoShape 33" descr="ENGLAND2"/>
        <xdr:cNvSpPr>
          <a:spLocks noChangeAspect="1" noChangeArrowheads="1"/>
        </xdr:cNvSpPr>
      </xdr:nvSpPr>
      <xdr:spPr bwMode="auto">
        <a:xfrm>
          <a:off x="0" y="32331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78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2331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79" name="AutoShape 35" descr="ENGLAND3"/>
        <xdr:cNvSpPr>
          <a:spLocks noChangeAspect="1" noChangeArrowheads="1"/>
        </xdr:cNvSpPr>
      </xdr:nvSpPr>
      <xdr:spPr bwMode="auto">
        <a:xfrm>
          <a:off x="0" y="3258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80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258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81" name="AutoShape 37" descr="ENGLAND3"/>
        <xdr:cNvSpPr>
          <a:spLocks noChangeAspect="1" noChangeArrowheads="1"/>
        </xdr:cNvSpPr>
      </xdr:nvSpPr>
      <xdr:spPr bwMode="auto">
        <a:xfrm>
          <a:off x="0" y="32758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82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2758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83" name="AutoShape 39" descr="ENGLAND3"/>
        <xdr:cNvSpPr>
          <a:spLocks noChangeAspect="1" noChangeArrowheads="1"/>
        </xdr:cNvSpPr>
      </xdr:nvSpPr>
      <xdr:spPr bwMode="auto">
        <a:xfrm>
          <a:off x="0" y="33009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84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33009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85" name="AutoShape 41" descr="ENGLAND3"/>
        <xdr:cNvSpPr>
          <a:spLocks noChangeAspect="1" noChangeArrowheads="1"/>
        </xdr:cNvSpPr>
      </xdr:nvSpPr>
      <xdr:spPr bwMode="auto">
        <a:xfrm>
          <a:off x="0" y="33185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86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33185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87" name="AutoShape 43" descr="ENGLAND3"/>
        <xdr:cNvSpPr>
          <a:spLocks noChangeAspect="1" noChangeArrowheads="1"/>
        </xdr:cNvSpPr>
      </xdr:nvSpPr>
      <xdr:spPr bwMode="auto">
        <a:xfrm>
          <a:off x="0" y="3336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88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3336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89" name="AutoShape 45" descr="ENGLAND3"/>
        <xdr:cNvSpPr>
          <a:spLocks noChangeAspect="1" noChangeArrowheads="1"/>
        </xdr:cNvSpPr>
      </xdr:nvSpPr>
      <xdr:spPr bwMode="auto">
        <a:xfrm>
          <a:off x="0" y="3353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90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3353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91" name="AutoShape 47" descr="ENGLAND3"/>
        <xdr:cNvSpPr>
          <a:spLocks noChangeAspect="1" noChangeArrowheads="1"/>
        </xdr:cNvSpPr>
      </xdr:nvSpPr>
      <xdr:spPr bwMode="auto">
        <a:xfrm>
          <a:off x="0" y="3371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92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3371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93" name="AutoShape 49" descr="ENGLAND3"/>
        <xdr:cNvSpPr>
          <a:spLocks noChangeAspect="1" noChangeArrowheads="1"/>
        </xdr:cNvSpPr>
      </xdr:nvSpPr>
      <xdr:spPr bwMode="auto">
        <a:xfrm>
          <a:off x="0" y="33962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94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33962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95" name="AutoShape 51" descr="ENGLAND3"/>
        <xdr:cNvSpPr>
          <a:spLocks noChangeAspect="1" noChangeArrowheads="1"/>
        </xdr:cNvSpPr>
      </xdr:nvSpPr>
      <xdr:spPr bwMode="auto">
        <a:xfrm>
          <a:off x="0" y="34213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96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34213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97" name="AutoShape 53" descr="ENGLAND3"/>
        <xdr:cNvSpPr>
          <a:spLocks noChangeAspect="1" noChangeArrowheads="1"/>
        </xdr:cNvSpPr>
      </xdr:nvSpPr>
      <xdr:spPr bwMode="auto">
        <a:xfrm>
          <a:off x="0" y="3446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798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3446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799" name="AutoShape 55" descr="ENGLAND3"/>
        <xdr:cNvSpPr>
          <a:spLocks noChangeAspect="1" noChangeArrowheads="1"/>
        </xdr:cNvSpPr>
      </xdr:nvSpPr>
      <xdr:spPr bwMode="auto">
        <a:xfrm>
          <a:off x="0" y="3464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00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3464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01" name="AutoShape 57" descr="ENGLAND3"/>
        <xdr:cNvSpPr>
          <a:spLocks noChangeAspect="1" noChangeArrowheads="1"/>
        </xdr:cNvSpPr>
      </xdr:nvSpPr>
      <xdr:spPr bwMode="auto">
        <a:xfrm>
          <a:off x="0" y="3481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02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3481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03" name="AutoShape 59" descr="ENGLAND4"/>
        <xdr:cNvSpPr>
          <a:spLocks noChangeAspect="1" noChangeArrowheads="1"/>
        </xdr:cNvSpPr>
      </xdr:nvSpPr>
      <xdr:spPr bwMode="auto">
        <a:xfrm>
          <a:off x="0" y="3499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04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3499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05" name="AutoShape 61" descr="ENGLAND4"/>
        <xdr:cNvSpPr>
          <a:spLocks noChangeAspect="1" noChangeArrowheads="1"/>
        </xdr:cNvSpPr>
      </xdr:nvSpPr>
      <xdr:spPr bwMode="auto">
        <a:xfrm>
          <a:off x="0" y="3516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06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3516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07" name="AutoShape 63" descr="ENGLAND4"/>
        <xdr:cNvSpPr>
          <a:spLocks noChangeAspect="1" noChangeArrowheads="1"/>
        </xdr:cNvSpPr>
      </xdr:nvSpPr>
      <xdr:spPr bwMode="auto">
        <a:xfrm>
          <a:off x="0" y="3534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08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3534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09" name="AutoShape 65" descr="ENGLAND4"/>
        <xdr:cNvSpPr>
          <a:spLocks noChangeAspect="1" noChangeArrowheads="1"/>
        </xdr:cNvSpPr>
      </xdr:nvSpPr>
      <xdr:spPr bwMode="auto">
        <a:xfrm>
          <a:off x="0" y="3559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10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3559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11" name="AutoShape 67" descr="ENGLAND4"/>
        <xdr:cNvSpPr>
          <a:spLocks noChangeAspect="1" noChangeArrowheads="1"/>
        </xdr:cNvSpPr>
      </xdr:nvSpPr>
      <xdr:spPr bwMode="auto">
        <a:xfrm>
          <a:off x="0" y="3576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12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3576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13" name="AutoShape 69" descr="ENGLAND4"/>
        <xdr:cNvSpPr>
          <a:spLocks noChangeAspect="1" noChangeArrowheads="1"/>
        </xdr:cNvSpPr>
      </xdr:nvSpPr>
      <xdr:spPr bwMode="auto">
        <a:xfrm>
          <a:off x="0" y="3594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14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3594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15" name="AutoShape 71" descr="ENGLAND4"/>
        <xdr:cNvSpPr>
          <a:spLocks noChangeAspect="1" noChangeArrowheads="1"/>
        </xdr:cNvSpPr>
      </xdr:nvSpPr>
      <xdr:spPr bwMode="auto">
        <a:xfrm>
          <a:off x="0" y="3611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16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3611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17" name="AutoShape 73" descr="ENGLAND4"/>
        <xdr:cNvSpPr>
          <a:spLocks noChangeAspect="1" noChangeArrowheads="1"/>
        </xdr:cNvSpPr>
      </xdr:nvSpPr>
      <xdr:spPr bwMode="auto">
        <a:xfrm>
          <a:off x="0" y="3637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18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3637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19" name="AutoShape 75" descr="ENGLAND4"/>
        <xdr:cNvSpPr>
          <a:spLocks noChangeAspect="1" noChangeArrowheads="1"/>
        </xdr:cNvSpPr>
      </xdr:nvSpPr>
      <xdr:spPr bwMode="auto">
        <a:xfrm>
          <a:off x="0" y="3654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20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3654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21" name="AutoShape 77" descr="ENGLAND4"/>
        <xdr:cNvSpPr>
          <a:spLocks noChangeAspect="1" noChangeArrowheads="1"/>
        </xdr:cNvSpPr>
      </xdr:nvSpPr>
      <xdr:spPr bwMode="auto">
        <a:xfrm>
          <a:off x="0" y="3672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22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3672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23" name="AutoShape 79" descr="ENGLAND4"/>
        <xdr:cNvSpPr>
          <a:spLocks noChangeAspect="1" noChangeArrowheads="1"/>
        </xdr:cNvSpPr>
      </xdr:nvSpPr>
      <xdr:spPr bwMode="auto">
        <a:xfrm>
          <a:off x="0" y="3697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24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3697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25" name="AutoShape 81" descr="ENGLAND4"/>
        <xdr:cNvSpPr>
          <a:spLocks noChangeAspect="1" noChangeArrowheads="1"/>
        </xdr:cNvSpPr>
      </xdr:nvSpPr>
      <xdr:spPr bwMode="auto">
        <a:xfrm>
          <a:off x="0" y="3714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26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3714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27" name="AutoShape 83" descr="ENGLAND5"/>
        <xdr:cNvSpPr>
          <a:spLocks noChangeAspect="1" noChangeArrowheads="1"/>
        </xdr:cNvSpPr>
      </xdr:nvSpPr>
      <xdr:spPr bwMode="auto">
        <a:xfrm>
          <a:off x="0" y="3732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28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3732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29" name="AutoShape 85" descr="ENGLAND5"/>
        <xdr:cNvSpPr>
          <a:spLocks noChangeAspect="1" noChangeArrowheads="1"/>
        </xdr:cNvSpPr>
      </xdr:nvSpPr>
      <xdr:spPr bwMode="auto">
        <a:xfrm>
          <a:off x="0" y="3757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30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3757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31" name="AutoShape 87" descr="ENGLAND5"/>
        <xdr:cNvSpPr>
          <a:spLocks noChangeAspect="1" noChangeArrowheads="1"/>
        </xdr:cNvSpPr>
      </xdr:nvSpPr>
      <xdr:spPr bwMode="auto">
        <a:xfrm>
          <a:off x="0" y="3774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32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3774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33" name="AutoShape 89" descr="ENGLAND5"/>
        <xdr:cNvSpPr>
          <a:spLocks noChangeAspect="1" noChangeArrowheads="1"/>
        </xdr:cNvSpPr>
      </xdr:nvSpPr>
      <xdr:spPr bwMode="auto">
        <a:xfrm>
          <a:off x="0" y="3792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34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3792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35" name="AutoShape 91" descr="ENGLAND5"/>
        <xdr:cNvSpPr>
          <a:spLocks noChangeAspect="1" noChangeArrowheads="1"/>
        </xdr:cNvSpPr>
      </xdr:nvSpPr>
      <xdr:spPr bwMode="auto">
        <a:xfrm>
          <a:off x="0" y="3817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36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3817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37" name="AutoShape 93" descr="ENGLAND5"/>
        <xdr:cNvSpPr>
          <a:spLocks noChangeAspect="1" noChangeArrowheads="1"/>
        </xdr:cNvSpPr>
      </xdr:nvSpPr>
      <xdr:spPr bwMode="auto">
        <a:xfrm>
          <a:off x="0" y="38427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38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38427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39" name="AutoShape 95" descr="ENGLAND5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40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41" name="AutoShape 97" descr="ENGLAND5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42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43" name="AutoShape 99" descr="ENGLAND5"/>
        <xdr:cNvSpPr>
          <a:spLocks noChangeAspect="1" noChangeArrowheads="1"/>
        </xdr:cNvSpPr>
      </xdr:nvSpPr>
      <xdr:spPr bwMode="auto">
        <a:xfrm>
          <a:off x="0" y="3902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44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3902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45" name="AutoShape 101" descr="ENGLAND5"/>
        <xdr:cNvSpPr>
          <a:spLocks noChangeAspect="1" noChangeArrowheads="1"/>
        </xdr:cNvSpPr>
      </xdr:nvSpPr>
      <xdr:spPr bwMode="auto">
        <a:xfrm>
          <a:off x="0" y="3920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46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392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47" name="AutoShape 103" descr="ENGLAND5"/>
        <xdr:cNvSpPr>
          <a:spLocks noChangeAspect="1" noChangeArrowheads="1"/>
        </xdr:cNvSpPr>
      </xdr:nvSpPr>
      <xdr:spPr bwMode="auto">
        <a:xfrm>
          <a:off x="0" y="393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48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393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49" name="AutoShape 105" descr="ENGLAND5"/>
        <xdr:cNvSpPr>
          <a:spLocks noChangeAspect="1" noChangeArrowheads="1"/>
        </xdr:cNvSpPr>
      </xdr:nvSpPr>
      <xdr:spPr bwMode="auto">
        <a:xfrm>
          <a:off x="0" y="395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50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395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51" name="AutoShape 107" descr="SPAIN2"/>
        <xdr:cNvSpPr>
          <a:spLocks noChangeAspect="1" noChangeArrowheads="1"/>
        </xdr:cNvSpPr>
      </xdr:nvSpPr>
      <xdr:spPr bwMode="auto">
        <a:xfrm>
          <a:off x="0" y="397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52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397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53" name="AutoShape 109" descr="SPAIN2"/>
        <xdr:cNvSpPr>
          <a:spLocks noChangeAspect="1" noChangeArrowheads="1"/>
        </xdr:cNvSpPr>
      </xdr:nvSpPr>
      <xdr:spPr bwMode="auto">
        <a:xfrm>
          <a:off x="0" y="399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54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399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55" name="AutoShape 111" descr="SPAIN2"/>
        <xdr:cNvSpPr>
          <a:spLocks noChangeAspect="1" noChangeArrowheads="1"/>
        </xdr:cNvSpPr>
      </xdr:nvSpPr>
      <xdr:spPr bwMode="auto">
        <a:xfrm>
          <a:off x="0" y="400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56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400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57" name="AutoShape 113" descr="SPAIN2"/>
        <xdr:cNvSpPr>
          <a:spLocks noChangeAspect="1" noChangeArrowheads="1"/>
        </xdr:cNvSpPr>
      </xdr:nvSpPr>
      <xdr:spPr bwMode="auto">
        <a:xfrm>
          <a:off x="0" y="402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58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402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59" name="AutoShape 115" descr="GERMANY2"/>
        <xdr:cNvSpPr>
          <a:spLocks noChangeAspect="1" noChangeArrowheads="1"/>
        </xdr:cNvSpPr>
      </xdr:nvSpPr>
      <xdr:spPr bwMode="auto">
        <a:xfrm>
          <a:off x="0" y="404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60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404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61" name="AutoShape 117" descr="GERMANY2"/>
        <xdr:cNvSpPr>
          <a:spLocks noChangeAspect="1" noChangeArrowheads="1"/>
        </xdr:cNvSpPr>
      </xdr:nvSpPr>
      <xdr:spPr bwMode="auto">
        <a:xfrm>
          <a:off x="0" y="406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62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406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63" name="AutoShape 119" descr="GERMANY2"/>
        <xdr:cNvSpPr>
          <a:spLocks noChangeAspect="1" noChangeArrowheads="1"/>
        </xdr:cNvSpPr>
      </xdr:nvSpPr>
      <xdr:spPr bwMode="auto">
        <a:xfrm>
          <a:off x="0" y="408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64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408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65" name="AutoShape 121" descr="GERMANY2"/>
        <xdr:cNvSpPr>
          <a:spLocks noChangeAspect="1" noChangeArrowheads="1"/>
        </xdr:cNvSpPr>
      </xdr:nvSpPr>
      <xdr:spPr bwMode="auto">
        <a:xfrm>
          <a:off x="0" y="41033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66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410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67" name="AutoShape 123" descr="NETHERLANDS2"/>
        <xdr:cNvSpPr>
          <a:spLocks noChangeAspect="1" noChangeArrowheads="1"/>
        </xdr:cNvSpPr>
      </xdr:nvSpPr>
      <xdr:spPr bwMode="auto">
        <a:xfrm>
          <a:off x="0" y="4120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68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4120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69" name="AutoShape 125" descr="ARGENTINA2"/>
        <xdr:cNvSpPr>
          <a:spLocks noChangeAspect="1" noChangeArrowheads="1"/>
        </xdr:cNvSpPr>
      </xdr:nvSpPr>
      <xdr:spPr bwMode="auto">
        <a:xfrm>
          <a:off x="0" y="4138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70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4138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71" name="AutoShape 127" descr="ARGENTINA2"/>
        <xdr:cNvSpPr>
          <a:spLocks noChangeAspect="1" noChangeArrowheads="1"/>
        </xdr:cNvSpPr>
      </xdr:nvSpPr>
      <xdr:spPr bwMode="auto">
        <a:xfrm>
          <a:off x="0" y="4155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72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4155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73" name="AutoShape 129" descr="ARGENTINA2"/>
        <xdr:cNvSpPr>
          <a:spLocks noChangeAspect="1" noChangeArrowheads="1"/>
        </xdr:cNvSpPr>
      </xdr:nvSpPr>
      <xdr:spPr bwMode="auto">
        <a:xfrm>
          <a:off x="0" y="4181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74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4181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75" name="AutoShape 131" descr="ARGENTINA2"/>
        <xdr:cNvSpPr>
          <a:spLocks noChangeAspect="1" noChangeArrowheads="1"/>
        </xdr:cNvSpPr>
      </xdr:nvSpPr>
      <xdr:spPr bwMode="auto">
        <a:xfrm>
          <a:off x="0" y="4198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76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419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77" name="AutoShape 133" descr="ARGENTINA2"/>
        <xdr:cNvSpPr>
          <a:spLocks noChangeAspect="1" noChangeArrowheads="1"/>
        </xdr:cNvSpPr>
      </xdr:nvSpPr>
      <xdr:spPr bwMode="auto">
        <a:xfrm>
          <a:off x="0" y="4216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78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4216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79" name="AutoShape 135" descr="ARGENTINA3"/>
        <xdr:cNvSpPr>
          <a:spLocks noChangeAspect="1" noChangeArrowheads="1"/>
        </xdr:cNvSpPr>
      </xdr:nvSpPr>
      <xdr:spPr bwMode="auto">
        <a:xfrm>
          <a:off x="0" y="4233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80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4233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81" name="AutoShape 137" descr="ARGENTINA3"/>
        <xdr:cNvSpPr>
          <a:spLocks noChangeAspect="1" noChangeArrowheads="1"/>
        </xdr:cNvSpPr>
      </xdr:nvSpPr>
      <xdr:spPr bwMode="auto">
        <a:xfrm>
          <a:off x="0" y="4258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82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4258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83" name="AutoShape 139" descr="ARGENTINA3"/>
        <xdr:cNvSpPr>
          <a:spLocks noChangeAspect="1" noChangeArrowheads="1"/>
        </xdr:cNvSpPr>
      </xdr:nvSpPr>
      <xdr:spPr bwMode="auto">
        <a:xfrm>
          <a:off x="0" y="4283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84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4283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85" name="AutoShape 141" descr="ARGENTINA3"/>
        <xdr:cNvSpPr>
          <a:spLocks noChangeAspect="1" noChangeArrowheads="1"/>
        </xdr:cNvSpPr>
      </xdr:nvSpPr>
      <xdr:spPr bwMode="auto">
        <a:xfrm>
          <a:off x="0" y="4309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86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4309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87" name="AutoShape 143" descr="ARGENTINA3"/>
        <xdr:cNvSpPr>
          <a:spLocks noChangeAspect="1" noChangeArrowheads="1"/>
        </xdr:cNvSpPr>
      </xdr:nvSpPr>
      <xdr:spPr bwMode="auto">
        <a:xfrm>
          <a:off x="0" y="4326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88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4326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89" name="AutoShape 145" descr="ARGENTINA3"/>
        <xdr:cNvSpPr>
          <a:spLocks noChangeAspect="1" noChangeArrowheads="1"/>
        </xdr:cNvSpPr>
      </xdr:nvSpPr>
      <xdr:spPr bwMode="auto">
        <a:xfrm>
          <a:off x="0" y="4344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90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4344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91" name="AutoShape 147" descr="ARGENTINA3"/>
        <xdr:cNvSpPr>
          <a:spLocks noChangeAspect="1" noChangeArrowheads="1"/>
        </xdr:cNvSpPr>
      </xdr:nvSpPr>
      <xdr:spPr bwMode="auto">
        <a:xfrm>
          <a:off x="0" y="43616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92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4361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93" name="AutoShape 149" descr="ARGENTINA3"/>
        <xdr:cNvSpPr>
          <a:spLocks noChangeAspect="1" noChangeArrowheads="1"/>
        </xdr:cNvSpPr>
      </xdr:nvSpPr>
      <xdr:spPr bwMode="auto">
        <a:xfrm>
          <a:off x="0" y="4386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94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4386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95" name="AutoShape 151" descr="ARMENIA"/>
        <xdr:cNvSpPr>
          <a:spLocks noChangeAspect="1" noChangeArrowheads="1"/>
        </xdr:cNvSpPr>
      </xdr:nvSpPr>
      <xdr:spPr bwMode="auto">
        <a:xfrm>
          <a:off x="0" y="4404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96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4404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97" name="AutoShape 153" descr="ARMENIA"/>
        <xdr:cNvSpPr>
          <a:spLocks noChangeAspect="1" noChangeArrowheads="1"/>
        </xdr:cNvSpPr>
      </xdr:nvSpPr>
      <xdr:spPr bwMode="auto">
        <a:xfrm>
          <a:off x="0" y="4429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898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4429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899" name="AutoShape 155" descr="AUSTRALIA3"/>
        <xdr:cNvSpPr>
          <a:spLocks noChangeAspect="1" noChangeArrowheads="1"/>
        </xdr:cNvSpPr>
      </xdr:nvSpPr>
      <xdr:spPr bwMode="auto">
        <a:xfrm>
          <a:off x="0" y="4454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00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4454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01" name="AutoShape 157" descr="AUSTRALIA3"/>
        <xdr:cNvSpPr>
          <a:spLocks noChangeAspect="1" noChangeArrowheads="1"/>
        </xdr:cNvSpPr>
      </xdr:nvSpPr>
      <xdr:spPr bwMode="auto">
        <a:xfrm>
          <a:off x="0" y="4479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02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4479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03" name="AutoShape 159" descr="AUSTRALIA3"/>
        <xdr:cNvSpPr>
          <a:spLocks noChangeAspect="1" noChangeArrowheads="1"/>
        </xdr:cNvSpPr>
      </xdr:nvSpPr>
      <xdr:spPr bwMode="auto">
        <a:xfrm>
          <a:off x="0" y="450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04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450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05" name="AutoShape 161" descr="AUSTRALIA5"/>
        <xdr:cNvSpPr>
          <a:spLocks noChangeAspect="1" noChangeArrowheads="1"/>
        </xdr:cNvSpPr>
      </xdr:nvSpPr>
      <xdr:spPr bwMode="auto">
        <a:xfrm>
          <a:off x="0" y="452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06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452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07" name="AutoShape 163" descr="AUSTRALIA5"/>
        <xdr:cNvSpPr>
          <a:spLocks noChangeAspect="1" noChangeArrowheads="1"/>
        </xdr:cNvSpPr>
      </xdr:nvSpPr>
      <xdr:spPr bwMode="auto">
        <a:xfrm>
          <a:off x="0" y="453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08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453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09" name="AutoShape 165" descr="AUSTRALIA5"/>
        <xdr:cNvSpPr>
          <a:spLocks noChangeAspect="1" noChangeArrowheads="1"/>
        </xdr:cNvSpPr>
      </xdr:nvSpPr>
      <xdr:spPr bwMode="auto">
        <a:xfrm>
          <a:off x="0" y="4557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10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4557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11" name="AutoShape 167" descr="AUSTRALIA5"/>
        <xdr:cNvSpPr>
          <a:spLocks noChangeAspect="1" noChangeArrowheads="1"/>
        </xdr:cNvSpPr>
      </xdr:nvSpPr>
      <xdr:spPr bwMode="auto">
        <a:xfrm>
          <a:off x="0" y="458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12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458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13" name="AutoShape 169" descr="AUSTRALIA5"/>
        <xdr:cNvSpPr>
          <a:spLocks noChangeAspect="1" noChangeArrowheads="1"/>
        </xdr:cNvSpPr>
      </xdr:nvSpPr>
      <xdr:spPr bwMode="auto">
        <a:xfrm>
          <a:off x="0" y="460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14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460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15" name="AutoShape 171" descr="AUSTRALIA6"/>
        <xdr:cNvSpPr>
          <a:spLocks noChangeAspect="1" noChangeArrowheads="1"/>
        </xdr:cNvSpPr>
      </xdr:nvSpPr>
      <xdr:spPr bwMode="auto">
        <a:xfrm>
          <a:off x="0" y="462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16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462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17" name="AutoShape 173" descr="AUSTRALIA6"/>
        <xdr:cNvSpPr>
          <a:spLocks noChangeAspect="1" noChangeArrowheads="1"/>
        </xdr:cNvSpPr>
      </xdr:nvSpPr>
      <xdr:spPr bwMode="auto">
        <a:xfrm>
          <a:off x="0" y="464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18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464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19" name="AutoShape 175" descr="AUSTRALIA6"/>
        <xdr:cNvSpPr>
          <a:spLocks noChangeAspect="1" noChangeArrowheads="1"/>
        </xdr:cNvSpPr>
      </xdr:nvSpPr>
      <xdr:spPr bwMode="auto">
        <a:xfrm>
          <a:off x="0" y="4668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20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4668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21" name="AutoShape 177" descr="AUSTRALIA6"/>
        <xdr:cNvSpPr>
          <a:spLocks noChangeAspect="1" noChangeArrowheads="1"/>
        </xdr:cNvSpPr>
      </xdr:nvSpPr>
      <xdr:spPr bwMode="auto">
        <a:xfrm>
          <a:off x="0" y="46931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22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46931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23" name="AutoShape 179" descr="AUSTRALIA6"/>
        <xdr:cNvSpPr>
          <a:spLocks noChangeAspect="1" noChangeArrowheads="1"/>
        </xdr:cNvSpPr>
      </xdr:nvSpPr>
      <xdr:spPr bwMode="auto">
        <a:xfrm>
          <a:off x="0" y="4718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24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4718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25" name="AutoShape 181" descr="AUSTRALIA6"/>
        <xdr:cNvSpPr>
          <a:spLocks noChangeAspect="1" noChangeArrowheads="1"/>
        </xdr:cNvSpPr>
      </xdr:nvSpPr>
      <xdr:spPr bwMode="auto">
        <a:xfrm>
          <a:off x="0" y="47434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26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4743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27" name="AutoShape 183" descr="AUSTRALIA10"/>
        <xdr:cNvSpPr>
          <a:spLocks noChangeAspect="1" noChangeArrowheads="1"/>
        </xdr:cNvSpPr>
      </xdr:nvSpPr>
      <xdr:spPr bwMode="auto">
        <a:xfrm>
          <a:off x="0" y="4768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28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4768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29" name="AutoShape 185" descr="AUSTRALIA10"/>
        <xdr:cNvSpPr>
          <a:spLocks noChangeAspect="1" noChangeArrowheads="1"/>
        </xdr:cNvSpPr>
      </xdr:nvSpPr>
      <xdr:spPr bwMode="auto">
        <a:xfrm>
          <a:off x="0" y="47861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30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47861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31" name="AutoShape 187" descr="AUSTRALIA10"/>
        <xdr:cNvSpPr>
          <a:spLocks noChangeAspect="1" noChangeArrowheads="1"/>
        </xdr:cNvSpPr>
      </xdr:nvSpPr>
      <xdr:spPr bwMode="auto">
        <a:xfrm>
          <a:off x="0" y="48112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32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48112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33" name="AutoShape 189" descr="AUSTRALIA11"/>
        <xdr:cNvSpPr>
          <a:spLocks noChangeAspect="1" noChangeArrowheads="1"/>
        </xdr:cNvSpPr>
      </xdr:nvSpPr>
      <xdr:spPr bwMode="auto">
        <a:xfrm>
          <a:off x="0" y="4836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34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4836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35" name="AutoShape 191" descr="AUSTRALIA11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36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37" name="AutoShape 193" descr="AUSTRALIA11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38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39" name="AutoShape 195" descr="AUSTRALIA11"/>
        <xdr:cNvSpPr>
          <a:spLocks noChangeAspect="1" noChangeArrowheads="1"/>
        </xdr:cNvSpPr>
      </xdr:nvSpPr>
      <xdr:spPr bwMode="auto">
        <a:xfrm>
          <a:off x="0" y="4904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40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4904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41" name="AutoShape 197" descr="AUSTRIA"/>
        <xdr:cNvSpPr>
          <a:spLocks noChangeAspect="1" noChangeArrowheads="1"/>
        </xdr:cNvSpPr>
      </xdr:nvSpPr>
      <xdr:spPr bwMode="auto">
        <a:xfrm>
          <a:off x="0" y="492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42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492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43" name="AutoShape 199" descr="AUSTRIA"/>
        <xdr:cNvSpPr>
          <a:spLocks noChangeAspect="1" noChangeArrowheads="1"/>
        </xdr:cNvSpPr>
      </xdr:nvSpPr>
      <xdr:spPr bwMode="auto">
        <a:xfrm>
          <a:off x="0" y="4954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44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4954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45" name="AutoShape 201" descr="AUSTRIA2"/>
        <xdr:cNvSpPr>
          <a:spLocks noChangeAspect="1" noChangeArrowheads="1"/>
        </xdr:cNvSpPr>
      </xdr:nvSpPr>
      <xdr:spPr bwMode="auto">
        <a:xfrm>
          <a:off x="0" y="497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46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497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47" name="AutoShape 203" descr="AUSTRIA2"/>
        <xdr:cNvSpPr>
          <a:spLocks noChangeAspect="1" noChangeArrowheads="1"/>
        </xdr:cNvSpPr>
      </xdr:nvSpPr>
      <xdr:spPr bwMode="auto">
        <a:xfrm>
          <a:off x="0" y="498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48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498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49" name="AutoShape 205" descr="AUSTRIA2"/>
        <xdr:cNvSpPr>
          <a:spLocks noChangeAspect="1" noChangeArrowheads="1"/>
        </xdr:cNvSpPr>
      </xdr:nvSpPr>
      <xdr:spPr bwMode="auto">
        <a:xfrm>
          <a:off x="0" y="5014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50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5014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51" name="AutoShape 207" descr="AUSTRIA2"/>
        <xdr:cNvSpPr>
          <a:spLocks noChangeAspect="1" noChangeArrowheads="1"/>
        </xdr:cNvSpPr>
      </xdr:nvSpPr>
      <xdr:spPr bwMode="auto">
        <a:xfrm>
          <a:off x="0" y="5039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52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5039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53" name="AutoShape 209" descr="AUSTRIA2"/>
        <xdr:cNvSpPr>
          <a:spLocks noChangeAspect="1" noChangeArrowheads="1"/>
        </xdr:cNvSpPr>
      </xdr:nvSpPr>
      <xdr:spPr bwMode="auto">
        <a:xfrm>
          <a:off x="0" y="5057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54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5057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55" name="AutoShape 211" descr="AZERBAIJAN"/>
        <xdr:cNvSpPr>
          <a:spLocks noChangeAspect="1" noChangeArrowheads="1"/>
        </xdr:cNvSpPr>
      </xdr:nvSpPr>
      <xdr:spPr bwMode="auto">
        <a:xfrm>
          <a:off x="0" y="507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56" name="AutoShape 212" descr="https://www.soccerstats.com/img/own/sshplogo.png">
          <a:hlinkClick xmlns:r="http://schemas.openxmlformats.org/officeDocument/2006/relationships" r:id="rId555"/>
        </xdr:cNvPr>
        <xdr:cNvSpPr>
          <a:spLocks noChangeAspect="1" noChangeArrowheads="1"/>
        </xdr:cNvSpPr>
      </xdr:nvSpPr>
      <xdr:spPr bwMode="auto">
        <a:xfrm>
          <a:off x="13411200" y="507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57" name="AutoShape 213" descr="AZERBAIJAN"/>
        <xdr:cNvSpPr>
          <a:spLocks noChangeAspect="1" noChangeArrowheads="1"/>
        </xdr:cNvSpPr>
      </xdr:nvSpPr>
      <xdr:spPr bwMode="auto">
        <a:xfrm>
          <a:off x="0" y="509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58" name="AutoShape 214" descr="https://www.soccerstats.com/img/own/sshplogo.png">
          <a:hlinkClick xmlns:r="http://schemas.openxmlformats.org/officeDocument/2006/relationships" r:id="rId938"/>
        </xdr:cNvPr>
        <xdr:cNvSpPr>
          <a:spLocks noChangeAspect="1" noChangeArrowheads="1"/>
        </xdr:cNvSpPr>
      </xdr:nvSpPr>
      <xdr:spPr bwMode="auto">
        <a:xfrm>
          <a:off x="13411200" y="509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59" name="AutoShape 215" descr="BELARUS"/>
        <xdr:cNvSpPr>
          <a:spLocks noChangeAspect="1" noChangeArrowheads="1"/>
        </xdr:cNvSpPr>
      </xdr:nvSpPr>
      <xdr:spPr bwMode="auto">
        <a:xfrm>
          <a:off x="0" y="510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60" name="AutoShape 216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510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61" name="AutoShape 217" descr="BELARUS"/>
        <xdr:cNvSpPr>
          <a:spLocks noChangeAspect="1" noChangeArrowheads="1"/>
        </xdr:cNvSpPr>
      </xdr:nvSpPr>
      <xdr:spPr bwMode="auto">
        <a:xfrm>
          <a:off x="0" y="5127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62" name="AutoShape 218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5127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63" name="AutoShape 219" descr="BELARUS"/>
        <xdr:cNvSpPr>
          <a:spLocks noChangeAspect="1" noChangeArrowheads="1"/>
        </xdr:cNvSpPr>
      </xdr:nvSpPr>
      <xdr:spPr bwMode="auto">
        <a:xfrm>
          <a:off x="0" y="5152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64" name="AutoShape 220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5152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65" name="AutoShape 221" descr="BELGIUM"/>
        <xdr:cNvSpPr>
          <a:spLocks noChangeAspect="1" noChangeArrowheads="1"/>
        </xdr:cNvSpPr>
      </xdr:nvSpPr>
      <xdr:spPr bwMode="auto">
        <a:xfrm>
          <a:off x="0" y="5170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66" name="AutoShape 222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5170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67" name="AutoShape 223" descr="BELGIUM"/>
        <xdr:cNvSpPr>
          <a:spLocks noChangeAspect="1" noChangeArrowheads="1"/>
        </xdr:cNvSpPr>
      </xdr:nvSpPr>
      <xdr:spPr bwMode="auto">
        <a:xfrm>
          <a:off x="0" y="5195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68" name="AutoShape 224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5195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69" name="AutoShape 225" descr="BELGIUM"/>
        <xdr:cNvSpPr>
          <a:spLocks noChangeAspect="1" noChangeArrowheads="1"/>
        </xdr:cNvSpPr>
      </xdr:nvSpPr>
      <xdr:spPr bwMode="auto">
        <a:xfrm>
          <a:off x="0" y="5212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70" name="AutoShape 226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5212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71" name="AutoShape 227" descr="BELGIUM"/>
        <xdr:cNvSpPr>
          <a:spLocks noChangeAspect="1" noChangeArrowheads="1"/>
        </xdr:cNvSpPr>
      </xdr:nvSpPr>
      <xdr:spPr bwMode="auto">
        <a:xfrm>
          <a:off x="0" y="5230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72" name="AutoShape 228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5230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73" name="AutoShape 229" descr="BELGIUM2"/>
        <xdr:cNvSpPr>
          <a:spLocks noChangeAspect="1" noChangeArrowheads="1"/>
        </xdr:cNvSpPr>
      </xdr:nvSpPr>
      <xdr:spPr bwMode="auto">
        <a:xfrm>
          <a:off x="0" y="52478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74" name="AutoShape 230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52478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75" name="AutoShape 231" descr="BELGIUM2"/>
        <xdr:cNvSpPr>
          <a:spLocks noChangeAspect="1" noChangeArrowheads="1"/>
        </xdr:cNvSpPr>
      </xdr:nvSpPr>
      <xdr:spPr bwMode="auto">
        <a:xfrm>
          <a:off x="0" y="5265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76" name="AutoShape 232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5265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77" name="AutoShape 233" descr="BELGIUM2"/>
        <xdr:cNvSpPr>
          <a:spLocks noChangeAspect="1" noChangeArrowheads="1"/>
        </xdr:cNvSpPr>
      </xdr:nvSpPr>
      <xdr:spPr bwMode="auto">
        <a:xfrm>
          <a:off x="0" y="52829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78" name="AutoShape 234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52829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79" name="AutoShape 235" descr="BRAZIL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80" name="AutoShape 236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81" name="AutoShape 237" descr="BRAZIL"/>
        <xdr:cNvSpPr>
          <a:spLocks noChangeAspect="1" noChangeArrowheads="1"/>
        </xdr:cNvSpPr>
      </xdr:nvSpPr>
      <xdr:spPr bwMode="auto">
        <a:xfrm>
          <a:off x="0" y="5317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82" name="AutoShape 238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5317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83" name="AutoShape 239" descr="BRAZIL2"/>
        <xdr:cNvSpPr>
          <a:spLocks noChangeAspect="1" noChangeArrowheads="1"/>
        </xdr:cNvSpPr>
      </xdr:nvSpPr>
      <xdr:spPr bwMode="auto">
        <a:xfrm>
          <a:off x="0" y="5335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84" name="AutoShape 240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5335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85" name="AutoShape 241" descr="BRAZIL2"/>
        <xdr:cNvSpPr>
          <a:spLocks noChangeAspect="1" noChangeArrowheads="1"/>
        </xdr:cNvSpPr>
      </xdr:nvSpPr>
      <xdr:spPr bwMode="auto">
        <a:xfrm>
          <a:off x="0" y="5353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86" name="AutoShape 242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535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87" name="AutoShape 243" descr="BRAZIL2"/>
        <xdr:cNvSpPr>
          <a:spLocks noChangeAspect="1" noChangeArrowheads="1"/>
        </xdr:cNvSpPr>
      </xdr:nvSpPr>
      <xdr:spPr bwMode="auto">
        <a:xfrm>
          <a:off x="0" y="5370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88" name="AutoShape 244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5370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89" name="AutoShape 245" descr="BRAZIL2"/>
        <xdr:cNvSpPr>
          <a:spLocks noChangeAspect="1" noChangeArrowheads="1"/>
        </xdr:cNvSpPr>
      </xdr:nvSpPr>
      <xdr:spPr bwMode="auto">
        <a:xfrm>
          <a:off x="0" y="5388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90" name="AutoShape 246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5388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91" name="AutoShape 247" descr="BRAZIL3"/>
        <xdr:cNvSpPr>
          <a:spLocks noChangeAspect="1" noChangeArrowheads="1"/>
        </xdr:cNvSpPr>
      </xdr:nvSpPr>
      <xdr:spPr bwMode="auto">
        <a:xfrm>
          <a:off x="0" y="5405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92" name="AutoShape 248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5405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93" name="AutoShape 249" descr="BRAZIL3"/>
        <xdr:cNvSpPr>
          <a:spLocks noChangeAspect="1" noChangeArrowheads="1"/>
        </xdr:cNvSpPr>
      </xdr:nvSpPr>
      <xdr:spPr bwMode="auto">
        <a:xfrm>
          <a:off x="0" y="542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94" name="AutoShape 250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542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95" name="AutoShape 251" descr="BRAZIL3"/>
        <xdr:cNvSpPr>
          <a:spLocks noChangeAspect="1" noChangeArrowheads="1"/>
        </xdr:cNvSpPr>
      </xdr:nvSpPr>
      <xdr:spPr bwMode="auto">
        <a:xfrm>
          <a:off x="0" y="5448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96" name="AutoShape 252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544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97" name="AutoShape 253" descr="BRAZIL3"/>
        <xdr:cNvSpPr>
          <a:spLocks noChangeAspect="1" noChangeArrowheads="1"/>
        </xdr:cNvSpPr>
      </xdr:nvSpPr>
      <xdr:spPr bwMode="auto">
        <a:xfrm>
          <a:off x="0" y="5465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998" name="AutoShape 254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5465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999" name="AutoShape 255" descr="BRAZIL5"/>
        <xdr:cNvSpPr>
          <a:spLocks noChangeAspect="1" noChangeArrowheads="1"/>
        </xdr:cNvSpPr>
      </xdr:nvSpPr>
      <xdr:spPr bwMode="auto">
        <a:xfrm>
          <a:off x="0" y="5483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00" name="AutoShape 256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5483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01" name="AutoShape 257" descr="BRAZIL5"/>
        <xdr:cNvSpPr>
          <a:spLocks noChangeAspect="1" noChangeArrowheads="1"/>
        </xdr:cNvSpPr>
      </xdr:nvSpPr>
      <xdr:spPr bwMode="auto">
        <a:xfrm>
          <a:off x="0" y="5508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02" name="AutoShape 258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5508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03" name="AutoShape 259" descr="BRAZIL5"/>
        <xdr:cNvSpPr>
          <a:spLocks noChangeAspect="1" noChangeArrowheads="1"/>
        </xdr:cNvSpPr>
      </xdr:nvSpPr>
      <xdr:spPr bwMode="auto">
        <a:xfrm>
          <a:off x="0" y="5533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04" name="AutoShape 260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5533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05" name="AutoShape 261" descr="BRAZIL5"/>
        <xdr:cNvSpPr>
          <a:spLocks noChangeAspect="1" noChangeArrowheads="1"/>
        </xdr:cNvSpPr>
      </xdr:nvSpPr>
      <xdr:spPr bwMode="auto">
        <a:xfrm>
          <a:off x="0" y="5558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06" name="AutoShape 262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5558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07" name="AutoShape 263" descr="BRAZIL5"/>
        <xdr:cNvSpPr>
          <a:spLocks noChangeAspect="1" noChangeArrowheads="1"/>
        </xdr:cNvSpPr>
      </xdr:nvSpPr>
      <xdr:spPr bwMode="auto">
        <a:xfrm>
          <a:off x="0" y="5583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08" name="AutoShape 264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5583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09" name="AutoShape 265" descr="BRAZIL5"/>
        <xdr:cNvSpPr>
          <a:spLocks noChangeAspect="1" noChangeArrowheads="1"/>
        </xdr:cNvSpPr>
      </xdr:nvSpPr>
      <xdr:spPr bwMode="auto">
        <a:xfrm>
          <a:off x="0" y="56014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10" name="AutoShape 266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56014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11" name="AutoShape 267" descr="BULGARIA"/>
        <xdr:cNvSpPr>
          <a:spLocks noChangeAspect="1" noChangeArrowheads="1"/>
        </xdr:cNvSpPr>
      </xdr:nvSpPr>
      <xdr:spPr bwMode="auto">
        <a:xfrm>
          <a:off x="0" y="5626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12" name="AutoShape 268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5626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13" name="AutoShape 269" descr="BULGARIA"/>
        <xdr:cNvSpPr>
          <a:spLocks noChangeAspect="1" noChangeArrowheads="1"/>
        </xdr:cNvSpPr>
      </xdr:nvSpPr>
      <xdr:spPr bwMode="auto">
        <a:xfrm>
          <a:off x="0" y="5644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14" name="AutoShape 270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5644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15" name="AutoShape 271" descr="CANADA"/>
        <xdr:cNvSpPr>
          <a:spLocks noChangeAspect="1" noChangeArrowheads="1"/>
        </xdr:cNvSpPr>
      </xdr:nvSpPr>
      <xdr:spPr bwMode="auto">
        <a:xfrm>
          <a:off x="0" y="56616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16" name="AutoShape 272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56616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17" name="AutoShape 273" descr="CANADA"/>
        <xdr:cNvSpPr>
          <a:spLocks noChangeAspect="1" noChangeArrowheads="1"/>
        </xdr:cNvSpPr>
      </xdr:nvSpPr>
      <xdr:spPr bwMode="auto">
        <a:xfrm>
          <a:off x="0" y="56791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18" name="AutoShape 274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56791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19" name="AutoShape 275" descr="CHILE"/>
        <xdr:cNvSpPr>
          <a:spLocks noChangeAspect="1" noChangeArrowheads="1"/>
        </xdr:cNvSpPr>
      </xdr:nvSpPr>
      <xdr:spPr bwMode="auto">
        <a:xfrm>
          <a:off x="0" y="569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20" name="AutoShape 276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569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21" name="AutoShape 277" descr="CHILE2"/>
        <xdr:cNvSpPr>
          <a:spLocks noChangeAspect="1" noChangeArrowheads="1"/>
        </xdr:cNvSpPr>
      </xdr:nvSpPr>
      <xdr:spPr bwMode="auto">
        <a:xfrm>
          <a:off x="0" y="57142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22" name="AutoShape 278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57142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23" name="AutoShape 279" descr="CHINA"/>
        <xdr:cNvSpPr>
          <a:spLocks noChangeAspect="1" noChangeArrowheads="1"/>
        </xdr:cNvSpPr>
      </xdr:nvSpPr>
      <xdr:spPr bwMode="auto">
        <a:xfrm>
          <a:off x="0" y="57317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24" name="AutoShape 280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57317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25" name="AutoShape 281" descr="CHINA"/>
        <xdr:cNvSpPr>
          <a:spLocks noChangeAspect="1" noChangeArrowheads="1"/>
        </xdr:cNvSpPr>
      </xdr:nvSpPr>
      <xdr:spPr bwMode="auto">
        <a:xfrm>
          <a:off x="0" y="57569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26" name="AutoShape 282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575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27" name="AutoShape 283" descr="CHINA"/>
        <xdr:cNvSpPr>
          <a:spLocks noChangeAspect="1" noChangeArrowheads="1"/>
        </xdr:cNvSpPr>
      </xdr:nvSpPr>
      <xdr:spPr bwMode="auto">
        <a:xfrm>
          <a:off x="0" y="578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28" name="AutoShape 284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578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29" name="AutoShape 285" descr="CHINA"/>
        <xdr:cNvSpPr>
          <a:spLocks noChangeAspect="1" noChangeArrowheads="1"/>
        </xdr:cNvSpPr>
      </xdr:nvSpPr>
      <xdr:spPr bwMode="auto">
        <a:xfrm>
          <a:off x="0" y="5799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30" name="AutoShape 286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5799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31" name="AutoShape 287" descr="CHINA"/>
        <xdr:cNvSpPr>
          <a:spLocks noChangeAspect="1" noChangeArrowheads="1"/>
        </xdr:cNvSpPr>
      </xdr:nvSpPr>
      <xdr:spPr bwMode="auto">
        <a:xfrm>
          <a:off x="0" y="58171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32" name="AutoShape 288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58171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33" name="AutoShape 289" descr="CHINA2"/>
        <xdr:cNvSpPr>
          <a:spLocks noChangeAspect="1" noChangeArrowheads="1"/>
        </xdr:cNvSpPr>
      </xdr:nvSpPr>
      <xdr:spPr bwMode="auto">
        <a:xfrm>
          <a:off x="0" y="5842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34" name="AutoShape 290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5842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35" name="AutoShape 291" descr="CHINA2"/>
        <xdr:cNvSpPr>
          <a:spLocks noChangeAspect="1" noChangeArrowheads="1"/>
        </xdr:cNvSpPr>
      </xdr:nvSpPr>
      <xdr:spPr bwMode="auto">
        <a:xfrm>
          <a:off x="0" y="586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36" name="AutoShape 292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586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37" name="AutoShape 293" descr="CHINA2"/>
        <xdr:cNvSpPr>
          <a:spLocks noChangeAspect="1" noChangeArrowheads="1"/>
        </xdr:cNvSpPr>
      </xdr:nvSpPr>
      <xdr:spPr bwMode="auto">
        <a:xfrm>
          <a:off x="0" y="5892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38" name="AutoShape 294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5892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39" name="AutoShape 295" descr="COLOMBIA2"/>
        <xdr:cNvSpPr>
          <a:spLocks noChangeAspect="1" noChangeArrowheads="1"/>
        </xdr:cNvSpPr>
      </xdr:nvSpPr>
      <xdr:spPr bwMode="auto">
        <a:xfrm>
          <a:off x="0" y="59176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40" name="AutoShape 296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59176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41" name="AutoShape 297" descr="COSTARICA"/>
        <xdr:cNvSpPr>
          <a:spLocks noChangeAspect="1" noChangeArrowheads="1"/>
        </xdr:cNvSpPr>
      </xdr:nvSpPr>
      <xdr:spPr bwMode="auto">
        <a:xfrm>
          <a:off x="0" y="59352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42" name="AutoShape 298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59352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43" name="AutoShape 299" descr="COSTARICA"/>
        <xdr:cNvSpPr>
          <a:spLocks noChangeAspect="1" noChangeArrowheads="1"/>
        </xdr:cNvSpPr>
      </xdr:nvSpPr>
      <xdr:spPr bwMode="auto">
        <a:xfrm>
          <a:off x="0" y="5952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44" name="AutoShape 300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5952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45" name="AutoShape 301" descr="CROATIA"/>
        <xdr:cNvSpPr>
          <a:spLocks noChangeAspect="1" noChangeArrowheads="1"/>
        </xdr:cNvSpPr>
      </xdr:nvSpPr>
      <xdr:spPr bwMode="auto">
        <a:xfrm>
          <a:off x="0" y="59702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46" name="AutoShape 302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59702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47" name="AutoShape 303" descr="CROATIA"/>
        <xdr:cNvSpPr>
          <a:spLocks noChangeAspect="1" noChangeArrowheads="1"/>
        </xdr:cNvSpPr>
      </xdr:nvSpPr>
      <xdr:spPr bwMode="auto">
        <a:xfrm>
          <a:off x="0" y="5995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48" name="AutoShape 304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5995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49" name="AutoShape 305" descr="CZECHREPUBLIC"/>
        <xdr:cNvSpPr>
          <a:spLocks noChangeAspect="1" noChangeArrowheads="1"/>
        </xdr:cNvSpPr>
      </xdr:nvSpPr>
      <xdr:spPr bwMode="auto">
        <a:xfrm>
          <a:off x="0" y="601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50" name="AutoShape 306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601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51" name="AutoShape 307" descr="CZECHREPUBLIC"/>
        <xdr:cNvSpPr>
          <a:spLocks noChangeAspect="1" noChangeArrowheads="1"/>
        </xdr:cNvSpPr>
      </xdr:nvSpPr>
      <xdr:spPr bwMode="auto">
        <a:xfrm>
          <a:off x="0" y="60304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52" name="AutoShape 308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60304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53" name="AutoShape 309" descr="CZECHREPUBLIC"/>
        <xdr:cNvSpPr>
          <a:spLocks noChangeAspect="1" noChangeArrowheads="1"/>
        </xdr:cNvSpPr>
      </xdr:nvSpPr>
      <xdr:spPr bwMode="auto">
        <a:xfrm>
          <a:off x="0" y="60479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54" name="AutoShape 310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60479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55" name="AutoShape 311" descr="CZECHREPUBLIC"/>
        <xdr:cNvSpPr>
          <a:spLocks noChangeAspect="1" noChangeArrowheads="1"/>
        </xdr:cNvSpPr>
      </xdr:nvSpPr>
      <xdr:spPr bwMode="auto">
        <a:xfrm>
          <a:off x="0" y="607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56" name="AutoShape 312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607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57" name="AutoShape 313" descr="CZECHREPUBLIC"/>
        <xdr:cNvSpPr>
          <a:spLocks noChangeAspect="1" noChangeArrowheads="1"/>
        </xdr:cNvSpPr>
      </xdr:nvSpPr>
      <xdr:spPr bwMode="auto">
        <a:xfrm>
          <a:off x="0" y="60982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58" name="AutoShape 314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60982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59" name="AutoShape 315" descr="CZECHREPUBLIC"/>
        <xdr:cNvSpPr>
          <a:spLocks noChangeAspect="1" noChangeArrowheads="1"/>
        </xdr:cNvSpPr>
      </xdr:nvSpPr>
      <xdr:spPr bwMode="auto">
        <a:xfrm>
          <a:off x="0" y="6123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60" name="AutoShape 316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6123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61" name="AutoShape 317" descr="CZECHREPUBLIC"/>
        <xdr:cNvSpPr>
          <a:spLocks noChangeAspect="1" noChangeArrowheads="1"/>
        </xdr:cNvSpPr>
      </xdr:nvSpPr>
      <xdr:spPr bwMode="auto">
        <a:xfrm>
          <a:off x="0" y="61409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62" name="AutoShape 318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61409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63" name="AutoShape 319" descr="CZECHREPUBLIC"/>
        <xdr:cNvSpPr>
          <a:spLocks noChangeAspect="1" noChangeArrowheads="1"/>
        </xdr:cNvSpPr>
      </xdr:nvSpPr>
      <xdr:spPr bwMode="auto">
        <a:xfrm>
          <a:off x="0" y="6158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64" name="AutoShape 320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6158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65" name="AutoShape 321" descr="CZECHREPUBLIC2"/>
        <xdr:cNvSpPr>
          <a:spLocks noChangeAspect="1" noChangeArrowheads="1"/>
        </xdr:cNvSpPr>
      </xdr:nvSpPr>
      <xdr:spPr bwMode="auto">
        <a:xfrm>
          <a:off x="0" y="618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66" name="AutoShape 322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618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67" name="AutoShape 323" descr="CZECHREPUBLIC2"/>
        <xdr:cNvSpPr>
          <a:spLocks noChangeAspect="1" noChangeArrowheads="1"/>
        </xdr:cNvSpPr>
      </xdr:nvSpPr>
      <xdr:spPr bwMode="auto">
        <a:xfrm>
          <a:off x="0" y="6208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68" name="AutoShape 324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6208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69" name="AutoShape 325" descr="CZECHREPUBLIC2"/>
        <xdr:cNvSpPr>
          <a:spLocks noChangeAspect="1" noChangeArrowheads="1"/>
        </xdr:cNvSpPr>
      </xdr:nvSpPr>
      <xdr:spPr bwMode="auto">
        <a:xfrm>
          <a:off x="0" y="622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70" name="AutoShape 326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622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71" name="AutoShape 327" descr="CZECHREPUBLIC2"/>
        <xdr:cNvSpPr>
          <a:spLocks noChangeAspect="1" noChangeArrowheads="1"/>
        </xdr:cNvSpPr>
      </xdr:nvSpPr>
      <xdr:spPr bwMode="auto">
        <a:xfrm>
          <a:off x="0" y="6251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72" name="AutoShape 328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6251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73" name="AutoShape 329" descr="DENMARK2"/>
        <xdr:cNvSpPr>
          <a:spLocks noChangeAspect="1" noChangeArrowheads="1"/>
        </xdr:cNvSpPr>
      </xdr:nvSpPr>
      <xdr:spPr bwMode="auto">
        <a:xfrm>
          <a:off x="0" y="626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74" name="AutoShape 330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626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75" name="AutoShape 331" descr="DENMARK2"/>
        <xdr:cNvSpPr>
          <a:spLocks noChangeAspect="1" noChangeArrowheads="1"/>
        </xdr:cNvSpPr>
      </xdr:nvSpPr>
      <xdr:spPr bwMode="auto">
        <a:xfrm>
          <a:off x="0" y="629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76" name="AutoShape 332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629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77" name="AutoShape 333" descr="DENMARK2"/>
        <xdr:cNvSpPr>
          <a:spLocks noChangeAspect="1" noChangeArrowheads="1"/>
        </xdr:cNvSpPr>
      </xdr:nvSpPr>
      <xdr:spPr bwMode="auto">
        <a:xfrm>
          <a:off x="0" y="631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78" name="AutoShape 334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631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79" name="AutoShape 335" descr="DENMARK3"/>
        <xdr:cNvSpPr>
          <a:spLocks noChangeAspect="1" noChangeArrowheads="1"/>
        </xdr:cNvSpPr>
      </xdr:nvSpPr>
      <xdr:spPr bwMode="auto">
        <a:xfrm>
          <a:off x="0" y="632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80" name="AutoShape 336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632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81" name="AutoShape 337" descr="DENMARK3"/>
        <xdr:cNvSpPr>
          <a:spLocks noChangeAspect="1" noChangeArrowheads="1"/>
        </xdr:cNvSpPr>
      </xdr:nvSpPr>
      <xdr:spPr bwMode="auto">
        <a:xfrm>
          <a:off x="0" y="634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82" name="AutoShape 338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634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83" name="AutoShape 339" descr="ECUADOR"/>
        <xdr:cNvSpPr>
          <a:spLocks noChangeAspect="1" noChangeArrowheads="1"/>
        </xdr:cNvSpPr>
      </xdr:nvSpPr>
      <xdr:spPr bwMode="auto">
        <a:xfrm>
          <a:off x="0" y="636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84" name="AutoShape 340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636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85" name="AutoShape 341" descr="ECUADOR"/>
        <xdr:cNvSpPr>
          <a:spLocks noChangeAspect="1" noChangeArrowheads="1"/>
        </xdr:cNvSpPr>
      </xdr:nvSpPr>
      <xdr:spPr bwMode="auto">
        <a:xfrm>
          <a:off x="0" y="638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86" name="AutoShape 342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638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87" name="AutoShape 343" descr="ECUADOR"/>
        <xdr:cNvSpPr>
          <a:spLocks noChangeAspect="1" noChangeArrowheads="1"/>
        </xdr:cNvSpPr>
      </xdr:nvSpPr>
      <xdr:spPr bwMode="auto">
        <a:xfrm>
          <a:off x="0" y="639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88" name="AutoShape 344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639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89" name="AutoShape 345" descr="ENGLAND6"/>
        <xdr:cNvSpPr>
          <a:spLocks noChangeAspect="1" noChangeArrowheads="1"/>
        </xdr:cNvSpPr>
      </xdr:nvSpPr>
      <xdr:spPr bwMode="auto">
        <a:xfrm>
          <a:off x="0" y="6424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90" name="AutoShape 346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6424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91" name="AutoShape 347" descr="ENGLAND6"/>
        <xdr:cNvSpPr>
          <a:spLocks noChangeAspect="1" noChangeArrowheads="1"/>
        </xdr:cNvSpPr>
      </xdr:nvSpPr>
      <xdr:spPr bwMode="auto">
        <a:xfrm>
          <a:off x="0" y="6449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92" name="AutoShape 348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6449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93" name="AutoShape 349" descr="ENGLAND6"/>
        <xdr:cNvSpPr>
          <a:spLocks noChangeAspect="1" noChangeArrowheads="1"/>
        </xdr:cNvSpPr>
      </xdr:nvSpPr>
      <xdr:spPr bwMode="auto">
        <a:xfrm>
          <a:off x="0" y="6474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94" name="AutoShape 350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6474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95" name="AutoShape 351" descr="ENGLAND6"/>
        <xdr:cNvSpPr>
          <a:spLocks noChangeAspect="1" noChangeArrowheads="1"/>
        </xdr:cNvSpPr>
      </xdr:nvSpPr>
      <xdr:spPr bwMode="auto">
        <a:xfrm>
          <a:off x="0" y="64922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96" name="AutoShape 352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649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97" name="AutoShape 353" descr="ENGLAND6"/>
        <xdr:cNvSpPr>
          <a:spLocks noChangeAspect="1" noChangeArrowheads="1"/>
        </xdr:cNvSpPr>
      </xdr:nvSpPr>
      <xdr:spPr bwMode="auto">
        <a:xfrm>
          <a:off x="0" y="6517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098" name="AutoShape 354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6517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099" name="AutoShape 355" descr="ENGLAND6"/>
        <xdr:cNvSpPr>
          <a:spLocks noChangeAspect="1" noChangeArrowheads="1"/>
        </xdr:cNvSpPr>
      </xdr:nvSpPr>
      <xdr:spPr bwMode="auto">
        <a:xfrm>
          <a:off x="0" y="6534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00" name="AutoShape 356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6534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01" name="AutoShape 357" descr="ENGLAND6"/>
        <xdr:cNvSpPr>
          <a:spLocks noChangeAspect="1" noChangeArrowheads="1"/>
        </xdr:cNvSpPr>
      </xdr:nvSpPr>
      <xdr:spPr bwMode="auto">
        <a:xfrm>
          <a:off x="0" y="6552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02" name="AutoShape 358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6552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03" name="AutoShape 359" descr="ENGLAND6"/>
        <xdr:cNvSpPr>
          <a:spLocks noChangeAspect="1" noChangeArrowheads="1"/>
        </xdr:cNvSpPr>
      </xdr:nvSpPr>
      <xdr:spPr bwMode="auto">
        <a:xfrm>
          <a:off x="0" y="656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04" name="AutoShape 360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656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05" name="AutoShape 361" descr="ENGLAND6"/>
        <xdr:cNvSpPr>
          <a:spLocks noChangeAspect="1" noChangeArrowheads="1"/>
        </xdr:cNvSpPr>
      </xdr:nvSpPr>
      <xdr:spPr bwMode="auto">
        <a:xfrm>
          <a:off x="0" y="6587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06" name="AutoShape 362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6587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07" name="AutoShape 363" descr="ENGLAND6"/>
        <xdr:cNvSpPr>
          <a:spLocks noChangeAspect="1" noChangeArrowheads="1"/>
        </xdr:cNvSpPr>
      </xdr:nvSpPr>
      <xdr:spPr bwMode="auto">
        <a:xfrm>
          <a:off x="0" y="6605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08" name="AutoShape 364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6605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09" name="AutoShape 365" descr="ENGLAND6"/>
        <xdr:cNvSpPr>
          <a:spLocks noChangeAspect="1" noChangeArrowheads="1"/>
        </xdr:cNvSpPr>
      </xdr:nvSpPr>
      <xdr:spPr bwMode="auto">
        <a:xfrm>
          <a:off x="0" y="6622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10" name="AutoShape 366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6622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11" name="AutoShape 367" descr="ENGLAND6"/>
        <xdr:cNvSpPr>
          <a:spLocks noChangeAspect="1" noChangeArrowheads="1"/>
        </xdr:cNvSpPr>
      </xdr:nvSpPr>
      <xdr:spPr bwMode="auto">
        <a:xfrm>
          <a:off x="0" y="66476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12" name="AutoShape 368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6647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13" name="AutoShape 369" descr="ENGLAND7"/>
        <xdr:cNvSpPr>
          <a:spLocks noChangeAspect="1" noChangeArrowheads="1"/>
        </xdr:cNvSpPr>
      </xdr:nvSpPr>
      <xdr:spPr bwMode="auto">
        <a:xfrm>
          <a:off x="0" y="667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14" name="AutoShape 370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667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15" name="AutoShape 371" descr="ENGLAND7"/>
        <xdr:cNvSpPr>
          <a:spLocks noChangeAspect="1" noChangeArrowheads="1"/>
        </xdr:cNvSpPr>
      </xdr:nvSpPr>
      <xdr:spPr bwMode="auto">
        <a:xfrm>
          <a:off x="0" y="6697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16" name="AutoShape 372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6697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17" name="AutoShape 373" descr="ENGLAND7"/>
        <xdr:cNvSpPr>
          <a:spLocks noChangeAspect="1" noChangeArrowheads="1"/>
        </xdr:cNvSpPr>
      </xdr:nvSpPr>
      <xdr:spPr bwMode="auto">
        <a:xfrm>
          <a:off x="0" y="6723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18" name="AutoShape 374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6723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19" name="AutoShape 375" descr="ENGLAND7"/>
        <xdr:cNvSpPr>
          <a:spLocks noChangeAspect="1" noChangeArrowheads="1"/>
        </xdr:cNvSpPr>
      </xdr:nvSpPr>
      <xdr:spPr bwMode="auto">
        <a:xfrm>
          <a:off x="0" y="6748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20" name="AutoShape 376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6748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21" name="AutoShape 377" descr="ENGLAND7"/>
        <xdr:cNvSpPr>
          <a:spLocks noChangeAspect="1" noChangeArrowheads="1"/>
        </xdr:cNvSpPr>
      </xdr:nvSpPr>
      <xdr:spPr bwMode="auto">
        <a:xfrm>
          <a:off x="0" y="6773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22" name="AutoShape 378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6773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23" name="AutoShape 379" descr="ENGLAND7"/>
        <xdr:cNvSpPr>
          <a:spLocks noChangeAspect="1" noChangeArrowheads="1"/>
        </xdr:cNvSpPr>
      </xdr:nvSpPr>
      <xdr:spPr bwMode="auto">
        <a:xfrm>
          <a:off x="0" y="6790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24" name="AutoShape 380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6790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25" name="AutoShape 381" descr="ENGLAND7"/>
        <xdr:cNvSpPr>
          <a:spLocks noChangeAspect="1" noChangeArrowheads="1"/>
        </xdr:cNvSpPr>
      </xdr:nvSpPr>
      <xdr:spPr bwMode="auto">
        <a:xfrm>
          <a:off x="0" y="6816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26" name="AutoShape 382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6816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27" name="AutoShape 383" descr="ENGLAND7"/>
        <xdr:cNvSpPr>
          <a:spLocks noChangeAspect="1" noChangeArrowheads="1"/>
        </xdr:cNvSpPr>
      </xdr:nvSpPr>
      <xdr:spPr bwMode="auto">
        <a:xfrm>
          <a:off x="0" y="6833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28" name="AutoShape 384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6833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29" name="AutoShape 385" descr="ENGLAND7"/>
        <xdr:cNvSpPr>
          <a:spLocks noChangeAspect="1" noChangeArrowheads="1"/>
        </xdr:cNvSpPr>
      </xdr:nvSpPr>
      <xdr:spPr bwMode="auto">
        <a:xfrm>
          <a:off x="0" y="6858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30" name="AutoShape 386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6858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31" name="AutoShape 387" descr="ENGLAND7"/>
        <xdr:cNvSpPr>
          <a:spLocks noChangeAspect="1" noChangeArrowheads="1"/>
        </xdr:cNvSpPr>
      </xdr:nvSpPr>
      <xdr:spPr bwMode="auto">
        <a:xfrm>
          <a:off x="0" y="6876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32" name="AutoShape 388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6876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33" name="AutoShape 389" descr="ENGLAND7"/>
        <xdr:cNvSpPr>
          <a:spLocks noChangeAspect="1" noChangeArrowheads="1"/>
        </xdr:cNvSpPr>
      </xdr:nvSpPr>
      <xdr:spPr bwMode="auto">
        <a:xfrm>
          <a:off x="0" y="6901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34" name="AutoShape 390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6901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35" name="AutoShape 391" descr="ENGLAND8"/>
        <xdr:cNvSpPr>
          <a:spLocks noChangeAspect="1" noChangeArrowheads="1"/>
        </xdr:cNvSpPr>
      </xdr:nvSpPr>
      <xdr:spPr bwMode="auto">
        <a:xfrm>
          <a:off x="0" y="69265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36" name="AutoShape 392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6926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37" name="AutoShape 393" descr="ENGLAND8"/>
        <xdr:cNvSpPr>
          <a:spLocks noChangeAspect="1" noChangeArrowheads="1"/>
        </xdr:cNvSpPr>
      </xdr:nvSpPr>
      <xdr:spPr bwMode="auto">
        <a:xfrm>
          <a:off x="0" y="69441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38" name="AutoShape 394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6944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39" name="AutoShape 395" descr="ENGLAND8"/>
        <xdr:cNvSpPr>
          <a:spLocks noChangeAspect="1" noChangeArrowheads="1"/>
        </xdr:cNvSpPr>
      </xdr:nvSpPr>
      <xdr:spPr bwMode="auto">
        <a:xfrm>
          <a:off x="0" y="6961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40" name="AutoShape 396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6961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41" name="AutoShape 397" descr="ENGLAND8"/>
        <xdr:cNvSpPr>
          <a:spLocks noChangeAspect="1" noChangeArrowheads="1"/>
        </xdr:cNvSpPr>
      </xdr:nvSpPr>
      <xdr:spPr bwMode="auto">
        <a:xfrm>
          <a:off x="0" y="6986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42" name="AutoShape 398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6986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43" name="AutoShape 399" descr="ENGLAND8"/>
        <xdr:cNvSpPr>
          <a:spLocks noChangeAspect="1" noChangeArrowheads="1"/>
        </xdr:cNvSpPr>
      </xdr:nvSpPr>
      <xdr:spPr bwMode="auto">
        <a:xfrm>
          <a:off x="0" y="7011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44" name="AutoShape 400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7011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45" name="AutoShape 401" descr="ENGLAND8"/>
        <xdr:cNvSpPr>
          <a:spLocks noChangeAspect="1" noChangeArrowheads="1"/>
        </xdr:cNvSpPr>
      </xdr:nvSpPr>
      <xdr:spPr bwMode="auto">
        <a:xfrm>
          <a:off x="0" y="7037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46" name="AutoShape 402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7037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47" name="AutoShape 403" descr="ENGLAND8"/>
        <xdr:cNvSpPr>
          <a:spLocks noChangeAspect="1" noChangeArrowheads="1"/>
        </xdr:cNvSpPr>
      </xdr:nvSpPr>
      <xdr:spPr bwMode="auto">
        <a:xfrm>
          <a:off x="0" y="7062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48" name="AutoShape 404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7062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49" name="AutoShape 405" descr="ENGLAND8"/>
        <xdr:cNvSpPr>
          <a:spLocks noChangeAspect="1" noChangeArrowheads="1"/>
        </xdr:cNvSpPr>
      </xdr:nvSpPr>
      <xdr:spPr bwMode="auto">
        <a:xfrm>
          <a:off x="0" y="7079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50" name="AutoShape 406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7079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51" name="AutoShape 407" descr="ENGLAND8"/>
        <xdr:cNvSpPr>
          <a:spLocks noChangeAspect="1" noChangeArrowheads="1"/>
        </xdr:cNvSpPr>
      </xdr:nvSpPr>
      <xdr:spPr bwMode="auto">
        <a:xfrm>
          <a:off x="0" y="70972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52" name="AutoShape 408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70972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53" name="AutoShape 409" descr="ENGLAND8"/>
        <xdr:cNvSpPr>
          <a:spLocks noChangeAspect="1" noChangeArrowheads="1"/>
        </xdr:cNvSpPr>
      </xdr:nvSpPr>
      <xdr:spPr bwMode="auto">
        <a:xfrm>
          <a:off x="0" y="71147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54" name="AutoShape 410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71147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55" name="AutoShape 411" descr="ENGLAND8"/>
        <xdr:cNvSpPr>
          <a:spLocks noChangeAspect="1" noChangeArrowheads="1"/>
        </xdr:cNvSpPr>
      </xdr:nvSpPr>
      <xdr:spPr bwMode="auto">
        <a:xfrm>
          <a:off x="0" y="7139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56" name="AutoShape 412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713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57" name="AutoShape 413" descr="ENGLAND9"/>
        <xdr:cNvSpPr>
          <a:spLocks noChangeAspect="1" noChangeArrowheads="1"/>
        </xdr:cNvSpPr>
      </xdr:nvSpPr>
      <xdr:spPr bwMode="auto">
        <a:xfrm>
          <a:off x="0" y="7157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58" name="AutoShape 414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7157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59" name="AutoShape 415" descr="ENGLAND9"/>
        <xdr:cNvSpPr>
          <a:spLocks noChangeAspect="1" noChangeArrowheads="1"/>
        </xdr:cNvSpPr>
      </xdr:nvSpPr>
      <xdr:spPr bwMode="auto">
        <a:xfrm>
          <a:off x="0" y="7182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60" name="AutoShape 416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7182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61" name="AutoShape 417" descr="ENGLAND9"/>
        <xdr:cNvSpPr>
          <a:spLocks noChangeAspect="1" noChangeArrowheads="1"/>
        </xdr:cNvSpPr>
      </xdr:nvSpPr>
      <xdr:spPr bwMode="auto">
        <a:xfrm>
          <a:off x="0" y="7207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62" name="AutoShape 418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7207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63" name="AutoShape 419" descr="ENGLAND9"/>
        <xdr:cNvSpPr>
          <a:spLocks noChangeAspect="1" noChangeArrowheads="1"/>
        </xdr:cNvSpPr>
      </xdr:nvSpPr>
      <xdr:spPr bwMode="auto">
        <a:xfrm>
          <a:off x="0" y="7225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64" name="AutoShape 420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7225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65" name="AutoShape 421" descr="ENGLAND9"/>
        <xdr:cNvSpPr>
          <a:spLocks noChangeAspect="1" noChangeArrowheads="1"/>
        </xdr:cNvSpPr>
      </xdr:nvSpPr>
      <xdr:spPr bwMode="auto">
        <a:xfrm>
          <a:off x="0" y="7250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66" name="AutoShape 422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7250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67" name="AutoShape 423" descr="ENGLAND9"/>
        <xdr:cNvSpPr>
          <a:spLocks noChangeAspect="1" noChangeArrowheads="1"/>
        </xdr:cNvSpPr>
      </xdr:nvSpPr>
      <xdr:spPr bwMode="auto">
        <a:xfrm>
          <a:off x="0" y="7275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68" name="AutoShape 424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7275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69" name="AutoShape 425" descr="ENGLAND9"/>
        <xdr:cNvSpPr>
          <a:spLocks noChangeAspect="1" noChangeArrowheads="1"/>
        </xdr:cNvSpPr>
      </xdr:nvSpPr>
      <xdr:spPr bwMode="auto">
        <a:xfrm>
          <a:off x="0" y="7300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70" name="AutoShape 426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7300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71" name="AutoShape 427" descr="ENGLAND9"/>
        <xdr:cNvSpPr>
          <a:spLocks noChangeAspect="1" noChangeArrowheads="1"/>
        </xdr:cNvSpPr>
      </xdr:nvSpPr>
      <xdr:spPr bwMode="auto">
        <a:xfrm>
          <a:off x="0" y="7325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72" name="AutoShape 428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7325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73" name="AutoShape 429" descr="ENGLAND9"/>
        <xdr:cNvSpPr>
          <a:spLocks noChangeAspect="1" noChangeArrowheads="1"/>
        </xdr:cNvSpPr>
      </xdr:nvSpPr>
      <xdr:spPr bwMode="auto">
        <a:xfrm>
          <a:off x="0" y="7343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74" name="AutoShape 430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7343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75" name="AutoShape 431" descr="ENGLAND9"/>
        <xdr:cNvSpPr>
          <a:spLocks noChangeAspect="1" noChangeArrowheads="1"/>
        </xdr:cNvSpPr>
      </xdr:nvSpPr>
      <xdr:spPr bwMode="auto">
        <a:xfrm>
          <a:off x="0" y="73685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76" name="AutoShape 432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73685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77" name="AutoShape 433" descr="ENGLAND10"/>
        <xdr:cNvSpPr>
          <a:spLocks noChangeAspect="1" noChangeArrowheads="1"/>
        </xdr:cNvSpPr>
      </xdr:nvSpPr>
      <xdr:spPr bwMode="auto">
        <a:xfrm>
          <a:off x="0" y="7386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78" name="AutoShape 434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7386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79" name="AutoShape 435" descr="ENGLAND10"/>
        <xdr:cNvSpPr>
          <a:spLocks noChangeAspect="1" noChangeArrowheads="1"/>
        </xdr:cNvSpPr>
      </xdr:nvSpPr>
      <xdr:spPr bwMode="auto">
        <a:xfrm>
          <a:off x="0" y="7411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80" name="AutoShape 436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7411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81" name="AutoShape 437" descr="ENGLAND10"/>
        <xdr:cNvSpPr>
          <a:spLocks noChangeAspect="1" noChangeArrowheads="1"/>
        </xdr:cNvSpPr>
      </xdr:nvSpPr>
      <xdr:spPr bwMode="auto">
        <a:xfrm>
          <a:off x="0" y="7428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82" name="AutoShape 438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7428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83" name="AutoShape 439" descr="ENGLAND10"/>
        <xdr:cNvSpPr>
          <a:spLocks noChangeAspect="1" noChangeArrowheads="1"/>
        </xdr:cNvSpPr>
      </xdr:nvSpPr>
      <xdr:spPr bwMode="auto">
        <a:xfrm>
          <a:off x="0" y="74538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84" name="AutoShape 440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74538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85" name="AutoShape 441" descr="ENGLAND10"/>
        <xdr:cNvSpPr>
          <a:spLocks noChangeAspect="1" noChangeArrowheads="1"/>
        </xdr:cNvSpPr>
      </xdr:nvSpPr>
      <xdr:spPr bwMode="auto">
        <a:xfrm>
          <a:off x="0" y="7479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86" name="AutoShape 442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7479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87" name="AutoShape 443" descr="ENGLAND10"/>
        <xdr:cNvSpPr>
          <a:spLocks noChangeAspect="1" noChangeArrowheads="1"/>
        </xdr:cNvSpPr>
      </xdr:nvSpPr>
      <xdr:spPr bwMode="auto">
        <a:xfrm>
          <a:off x="0" y="7496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88" name="AutoShape 444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7496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89" name="AutoShape 445" descr="ENGLAND10"/>
        <xdr:cNvSpPr>
          <a:spLocks noChangeAspect="1" noChangeArrowheads="1"/>
        </xdr:cNvSpPr>
      </xdr:nvSpPr>
      <xdr:spPr bwMode="auto">
        <a:xfrm>
          <a:off x="0" y="75217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90" name="AutoShape 446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75217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91" name="AutoShape 447" descr="ENGLAND10"/>
        <xdr:cNvSpPr>
          <a:spLocks noChangeAspect="1" noChangeArrowheads="1"/>
        </xdr:cNvSpPr>
      </xdr:nvSpPr>
      <xdr:spPr bwMode="auto">
        <a:xfrm>
          <a:off x="0" y="7546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92" name="AutoShape 448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7546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93" name="AutoShape 449" descr="ENGLAND10"/>
        <xdr:cNvSpPr>
          <a:spLocks noChangeAspect="1" noChangeArrowheads="1"/>
        </xdr:cNvSpPr>
      </xdr:nvSpPr>
      <xdr:spPr bwMode="auto">
        <a:xfrm>
          <a:off x="0" y="7564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94" name="AutoShape 450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7564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95" name="AutoShape 451" descr="ENGLAND10"/>
        <xdr:cNvSpPr>
          <a:spLocks noChangeAspect="1" noChangeArrowheads="1"/>
        </xdr:cNvSpPr>
      </xdr:nvSpPr>
      <xdr:spPr bwMode="auto">
        <a:xfrm>
          <a:off x="0" y="7589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96" name="AutoShape 452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7589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97" name="AutoShape 453" descr="ENGLAND10"/>
        <xdr:cNvSpPr>
          <a:spLocks noChangeAspect="1" noChangeArrowheads="1"/>
        </xdr:cNvSpPr>
      </xdr:nvSpPr>
      <xdr:spPr bwMode="auto">
        <a:xfrm>
          <a:off x="0" y="7614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198" name="AutoShape 454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7614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199" name="AutoShape 455" descr="ESTONIA2"/>
        <xdr:cNvSpPr>
          <a:spLocks noChangeAspect="1" noChangeArrowheads="1"/>
        </xdr:cNvSpPr>
      </xdr:nvSpPr>
      <xdr:spPr bwMode="auto">
        <a:xfrm>
          <a:off x="0" y="76398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00" name="AutoShape 456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76398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01" name="AutoShape 457" descr="ESTONIA2"/>
        <xdr:cNvSpPr>
          <a:spLocks noChangeAspect="1" noChangeArrowheads="1"/>
        </xdr:cNvSpPr>
      </xdr:nvSpPr>
      <xdr:spPr bwMode="auto">
        <a:xfrm>
          <a:off x="0" y="7657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02" name="AutoShape 458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765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03" name="AutoShape 459" descr="ESTONIA2"/>
        <xdr:cNvSpPr>
          <a:spLocks noChangeAspect="1" noChangeArrowheads="1"/>
        </xdr:cNvSpPr>
      </xdr:nvSpPr>
      <xdr:spPr bwMode="auto">
        <a:xfrm>
          <a:off x="0" y="7674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04" name="AutoShape 460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7674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05" name="AutoShape 461" descr="ESTONIA2"/>
        <xdr:cNvSpPr>
          <a:spLocks noChangeAspect="1" noChangeArrowheads="1"/>
        </xdr:cNvSpPr>
      </xdr:nvSpPr>
      <xdr:spPr bwMode="auto">
        <a:xfrm>
          <a:off x="0" y="7692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06" name="AutoShape 462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7692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07" name="AutoShape 463" descr="FINLAND"/>
        <xdr:cNvSpPr>
          <a:spLocks noChangeAspect="1" noChangeArrowheads="1"/>
        </xdr:cNvSpPr>
      </xdr:nvSpPr>
      <xdr:spPr bwMode="auto">
        <a:xfrm>
          <a:off x="0" y="7709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08" name="AutoShape 464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7709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09" name="AutoShape 465" descr="FINLAND2"/>
        <xdr:cNvSpPr>
          <a:spLocks noChangeAspect="1" noChangeArrowheads="1"/>
        </xdr:cNvSpPr>
      </xdr:nvSpPr>
      <xdr:spPr bwMode="auto">
        <a:xfrm>
          <a:off x="0" y="7727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10" name="AutoShape 466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7727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11" name="AutoShape 467" descr="FINLAND2"/>
        <xdr:cNvSpPr>
          <a:spLocks noChangeAspect="1" noChangeArrowheads="1"/>
        </xdr:cNvSpPr>
      </xdr:nvSpPr>
      <xdr:spPr bwMode="auto">
        <a:xfrm>
          <a:off x="0" y="7744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12" name="AutoShape 468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7744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13" name="AutoShape 469" descr="FINLAND2"/>
        <xdr:cNvSpPr>
          <a:spLocks noChangeAspect="1" noChangeArrowheads="1"/>
        </xdr:cNvSpPr>
      </xdr:nvSpPr>
      <xdr:spPr bwMode="auto">
        <a:xfrm>
          <a:off x="0" y="77624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14" name="AutoShape 470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77624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15" name="AutoShape 471" descr="FINLAND3"/>
        <xdr:cNvSpPr>
          <a:spLocks noChangeAspect="1" noChangeArrowheads="1"/>
        </xdr:cNvSpPr>
      </xdr:nvSpPr>
      <xdr:spPr bwMode="auto">
        <a:xfrm>
          <a:off x="0" y="77800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16" name="AutoShape 472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77800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17" name="AutoShape 473" descr="FINLAND3"/>
        <xdr:cNvSpPr>
          <a:spLocks noChangeAspect="1" noChangeArrowheads="1"/>
        </xdr:cNvSpPr>
      </xdr:nvSpPr>
      <xdr:spPr bwMode="auto">
        <a:xfrm>
          <a:off x="0" y="7797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18" name="AutoShape 474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7797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19" name="AutoShape 475" descr="FINLAND3"/>
        <xdr:cNvSpPr>
          <a:spLocks noChangeAspect="1" noChangeArrowheads="1"/>
        </xdr:cNvSpPr>
      </xdr:nvSpPr>
      <xdr:spPr bwMode="auto">
        <a:xfrm>
          <a:off x="0" y="7815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20" name="AutoShape 476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7815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21" name="AutoShape 477" descr="FINLAND4"/>
        <xdr:cNvSpPr>
          <a:spLocks noChangeAspect="1" noChangeArrowheads="1"/>
        </xdr:cNvSpPr>
      </xdr:nvSpPr>
      <xdr:spPr bwMode="auto">
        <a:xfrm>
          <a:off x="0" y="7832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22" name="AutoShape 478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7832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23" name="AutoShape 479" descr="FINLAND4"/>
        <xdr:cNvSpPr>
          <a:spLocks noChangeAspect="1" noChangeArrowheads="1"/>
        </xdr:cNvSpPr>
      </xdr:nvSpPr>
      <xdr:spPr bwMode="auto">
        <a:xfrm>
          <a:off x="0" y="7850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24" name="AutoShape 480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7850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25" name="AutoShape 481" descr="FINLAND4"/>
        <xdr:cNvSpPr>
          <a:spLocks noChangeAspect="1" noChangeArrowheads="1"/>
        </xdr:cNvSpPr>
      </xdr:nvSpPr>
      <xdr:spPr bwMode="auto">
        <a:xfrm>
          <a:off x="0" y="7867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26" name="AutoShape 482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786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27" name="AutoShape 483" descr="FINLAND5"/>
        <xdr:cNvSpPr>
          <a:spLocks noChangeAspect="1" noChangeArrowheads="1"/>
        </xdr:cNvSpPr>
      </xdr:nvSpPr>
      <xdr:spPr bwMode="auto">
        <a:xfrm>
          <a:off x="0" y="78851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28" name="AutoShape 484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78851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29" name="AutoShape 485" descr="FINLAND5"/>
        <xdr:cNvSpPr>
          <a:spLocks noChangeAspect="1" noChangeArrowheads="1"/>
        </xdr:cNvSpPr>
      </xdr:nvSpPr>
      <xdr:spPr bwMode="auto">
        <a:xfrm>
          <a:off x="0" y="79027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30" name="AutoShape 486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79027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31" name="AutoShape 487" descr="FINLAND5"/>
        <xdr:cNvSpPr>
          <a:spLocks noChangeAspect="1" noChangeArrowheads="1"/>
        </xdr:cNvSpPr>
      </xdr:nvSpPr>
      <xdr:spPr bwMode="auto">
        <a:xfrm>
          <a:off x="0" y="79202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32" name="AutoShape 488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79202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33" name="AutoShape 489" descr="FINLAND5"/>
        <xdr:cNvSpPr>
          <a:spLocks noChangeAspect="1" noChangeArrowheads="1"/>
        </xdr:cNvSpPr>
      </xdr:nvSpPr>
      <xdr:spPr bwMode="auto">
        <a:xfrm>
          <a:off x="0" y="793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34" name="AutoShape 490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793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35" name="AutoShape 491" descr="FINLAND5"/>
        <xdr:cNvSpPr>
          <a:spLocks noChangeAspect="1" noChangeArrowheads="1"/>
        </xdr:cNvSpPr>
      </xdr:nvSpPr>
      <xdr:spPr bwMode="auto">
        <a:xfrm>
          <a:off x="0" y="7955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36" name="AutoShape 492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7955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37" name="AutoShape 493" descr="FINLAND6"/>
        <xdr:cNvSpPr>
          <a:spLocks noChangeAspect="1" noChangeArrowheads="1"/>
        </xdr:cNvSpPr>
      </xdr:nvSpPr>
      <xdr:spPr bwMode="auto">
        <a:xfrm>
          <a:off x="0" y="7972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38" name="AutoShape 494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7972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39" name="AutoShape 495" descr="FINLAND6"/>
        <xdr:cNvSpPr>
          <a:spLocks noChangeAspect="1" noChangeArrowheads="1"/>
        </xdr:cNvSpPr>
      </xdr:nvSpPr>
      <xdr:spPr bwMode="auto">
        <a:xfrm>
          <a:off x="0" y="79903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40" name="AutoShape 496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79903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41" name="AutoShape 497" descr="FINLAND6"/>
        <xdr:cNvSpPr>
          <a:spLocks noChangeAspect="1" noChangeArrowheads="1"/>
        </xdr:cNvSpPr>
      </xdr:nvSpPr>
      <xdr:spPr bwMode="auto">
        <a:xfrm>
          <a:off x="0" y="8007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42" name="AutoShape 498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8007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43" name="AutoShape 499" descr="GEORGIA"/>
        <xdr:cNvSpPr>
          <a:spLocks noChangeAspect="1" noChangeArrowheads="1"/>
        </xdr:cNvSpPr>
      </xdr:nvSpPr>
      <xdr:spPr bwMode="auto">
        <a:xfrm>
          <a:off x="0" y="80253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44" name="AutoShape 500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80253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45" name="AutoShape 501" descr="GEORGIA"/>
        <xdr:cNvSpPr>
          <a:spLocks noChangeAspect="1" noChangeArrowheads="1"/>
        </xdr:cNvSpPr>
      </xdr:nvSpPr>
      <xdr:spPr bwMode="auto">
        <a:xfrm>
          <a:off x="0" y="8050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46" name="AutoShape 502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8050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47" name="AutoShape 503" descr="GERMANY3"/>
        <xdr:cNvSpPr>
          <a:spLocks noChangeAspect="1" noChangeArrowheads="1"/>
        </xdr:cNvSpPr>
      </xdr:nvSpPr>
      <xdr:spPr bwMode="auto">
        <a:xfrm>
          <a:off x="0" y="80756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48" name="AutoShape 504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80756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49" name="AutoShape 505" descr="GERMANY3"/>
        <xdr:cNvSpPr>
          <a:spLocks noChangeAspect="1" noChangeArrowheads="1"/>
        </xdr:cNvSpPr>
      </xdr:nvSpPr>
      <xdr:spPr bwMode="auto">
        <a:xfrm>
          <a:off x="0" y="8100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50" name="AutoShape 506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8100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51" name="AutoShape 507" descr="GERMANY3"/>
        <xdr:cNvSpPr>
          <a:spLocks noChangeAspect="1" noChangeArrowheads="1"/>
        </xdr:cNvSpPr>
      </xdr:nvSpPr>
      <xdr:spPr bwMode="auto">
        <a:xfrm>
          <a:off x="0" y="8118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52" name="AutoShape 508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8118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53" name="AutoShape 509" descr="GERMANY3"/>
        <xdr:cNvSpPr>
          <a:spLocks noChangeAspect="1" noChangeArrowheads="1"/>
        </xdr:cNvSpPr>
      </xdr:nvSpPr>
      <xdr:spPr bwMode="auto">
        <a:xfrm>
          <a:off x="0" y="8135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54" name="AutoShape 510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8135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55" name="AutoShape 511" descr="GERMANY3"/>
        <xdr:cNvSpPr>
          <a:spLocks noChangeAspect="1" noChangeArrowheads="1"/>
        </xdr:cNvSpPr>
      </xdr:nvSpPr>
      <xdr:spPr bwMode="auto">
        <a:xfrm>
          <a:off x="0" y="81610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56" name="AutoShape 512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81610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57" name="AutoShape 513" descr="GERMANY3"/>
        <xdr:cNvSpPr>
          <a:spLocks noChangeAspect="1" noChangeArrowheads="1"/>
        </xdr:cNvSpPr>
      </xdr:nvSpPr>
      <xdr:spPr bwMode="auto">
        <a:xfrm>
          <a:off x="0" y="8178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58" name="AutoShape 514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8178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59" name="AutoShape 515" descr="GERMANY4"/>
        <xdr:cNvSpPr>
          <a:spLocks noChangeAspect="1" noChangeArrowheads="1"/>
        </xdr:cNvSpPr>
      </xdr:nvSpPr>
      <xdr:spPr bwMode="auto">
        <a:xfrm>
          <a:off x="0" y="82036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60" name="AutoShape 516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82036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61" name="AutoShape 517" descr="GERMANY4"/>
        <xdr:cNvSpPr>
          <a:spLocks noChangeAspect="1" noChangeArrowheads="1"/>
        </xdr:cNvSpPr>
      </xdr:nvSpPr>
      <xdr:spPr bwMode="auto">
        <a:xfrm>
          <a:off x="0" y="82212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62" name="AutoShape 518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82212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63" name="AutoShape 519" descr="GERMANY4"/>
        <xdr:cNvSpPr>
          <a:spLocks noChangeAspect="1" noChangeArrowheads="1"/>
        </xdr:cNvSpPr>
      </xdr:nvSpPr>
      <xdr:spPr bwMode="auto">
        <a:xfrm>
          <a:off x="0" y="82463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64" name="AutoShape 520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82463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65" name="AutoShape 521" descr="GERMANY4"/>
        <xdr:cNvSpPr>
          <a:spLocks noChangeAspect="1" noChangeArrowheads="1"/>
        </xdr:cNvSpPr>
      </xdr:nvSpPr>
      <xdr:spPr bwMode="auto">
        <a:xfrm>
          <a:off x="0" y="8263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66" name="AutoShape 522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826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67" name="AutoShape 523" descr="GERMANY5"/>
        <xdr:cNvSpPr>
          <a:spLocks noChangeAspect="1" noChangeArrowheads="1"/>
        </xdr:cNvSpPr>
      </xdr:nvSpPr>
      <xdr:spPr bwMode="auto">
        <a:xfrm>
          <a:off x="0" y="8289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68" name="AutoShape 524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8289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69" name="AutoShape 525" descr="GERMANY5"/>
        <xdr:cNvSpPr>
          <a:spLocks noChangeAspect="1" noChangeArrowheads="1"/>
        </xdr:cNvSpPr>
      </xdr:nvSpPr>
      <xdr:spPr bwMode="auto">
        <a:xfrm>
          <a:off x="0" y="8306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70" name="AutoShape 526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8306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71" name="AutoShape 527" descr="GERMANY5"/>
        <xdr:cNvSpPr>
          <a:spLocks noChangeAspect="1" noChangeArrowheads="1"/>
        </xdr:cNvSpPr>
      </xdr:nvSpPr>
      <xdr:spPr bwMode="auto">
        <a:xfrm>
          <a:off x="0" y="8324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72" name="AutoShape 528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8324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73" name="AutoShape 529" descr="GERMANY6"/>
        <xdr:cNvSpPr>
          <a:spLocks noChangeAspect="1" noChangeArrowheads="1"/>
        </xdr:cNvSpPr>
      </xdr:nvSpPr>
      <xdr:spPr bwMode="auto">
        <a:xfrm>
          <a:off x="0" y="83492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74" name="AutoShape 530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83492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75" name="AutoShape 531" descr="GERMANY6"/>
        <xdr:cNvSpPr>
          <a:spLocks noChangeAspect="1" noChangeArrowheads="1"/>
        </xdr:cNvSpPr>
      </xdr:nvSpPr>
      <xdr:spPr bwMode="auto">
        <a:xfrm>
          <a:off x="0" y="83667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76" name="AutoShape 532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8366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77" name="AutoShape 533" descr="GERMANY6"/>
        <xdr:cNvSpPr>
          <a:spLocks noChangeAspect="1" noChangeArrowheads="1"/>
        </xdr:cNvSpPr>
      </xdr:nvSpPr>
      <xdr:spPr bwMode="auto">
        <a:xfrm>
          <a:off x="0" y="83842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78" name="AutoShape 534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83842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79" name="AutoShape 535" descr="GERMANY6"/>
        <xdr:cNvSpPr>
          <a:spLocks noChangeAspect="1" noChangeArrowheads="1"/>
        </xdr:cNvSpPr>
      </xdr:nvSpPr>
      <xdr:spPr bwMode="auto">
        <a:xfrm>
          <a:off x="0" y="8409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80" name="AutoShape 536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8409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81" name="AutoShape 537" descr="GERMANY7"/>
        <xdr:cNvSpPr>
          <a:spLocks noChangeAspect="1" noChangeArrowheads="1"/>
        </xdr:cNvSpPr>
      </xdr:nvSpPr>
      <xdr:spPr bwMode="auto">
        <a:xfrm>
          <a:off x="0" y="8434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82" name="AutoShape 538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8434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83" name="AutoShape 539" descr="GERMANY7"/>
        <xdr:cNvSpPr>
          <a:spLocks noChangeAspect="1" noChangeArrowheads="1"/>
        </xdr:cNvSpPr>
      </xdr:nvSpPr>
      <xdr:spPr bwMode="auto">
        <a:xfrm>
          <a:off x="0" y="8452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84" name="AutoShape 540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8452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85" name="AutoShape 541" descr="GERMANY7"/>
        <xdr:cNvSpPr>
          <a:spLocks noChangeAspect="1" noChangeArrowheads="1"/>
        </xdr:cNvSpPr>
      </xdr:nvSpPr>
      <xdr:spPr bwMode="auto">
        <a:xfrm>
          <a:off x="0" y="8469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86" name="AutoShape 542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8469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87" name="AutoShape 543" descr="GERMANY7"/>
        <xdr:cNvSpPr>
          <a:spLocks noChangeAspect="1" noChangeArrowheads="1"/>
        </xdr:cNvSpPr>
      </xdr:nvSpPr>
      <xdr:spPr bwMode="auto">
        <a:xfrm>
          <a:off x="0" y="8494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88" name="AutoShape 544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8494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89" name="AutoShape 545" descr="GERMANY7"/>
        <xdr:cNvSpPr>
          <a:spLocks noChangeAspect="1" noChangeArrowheads="1"/>
        </xdr:cNvSpPr>
      </xdr:nvSpPr>
      <xdr:spPr bwMode="auto">
        <a:xfrm>
          <a:off x="0" y="8512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90" name="AutoShape 546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8512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91" name="AutoShape 547" descr="GUATEMALA"/>
        <xdr:cNvSpPr>
          <a:spLocks noChangeAspect="1" noChangeArrowheads="1"/>
        </xdr:cNvSpPr>
      </xdr:nvSpPr>
      <xdr:spPr bwMode="auto">
        <a:xfrm>
          <a:off x="0" y="8529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92" name="AutoShape 548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8529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93" name="AutoShape 549" descr="GUATEMALA"/>
        <xdr:cNvSpPr>
          <a:spLocks noChangeAspect="1" noChangeArrowheads="1"/>
        </xdr:cNvSpPr>
      </xdr:nvSpPr>
      <xdr:spPr bwMode="auto">
        <a:xfrm>
          <a:off x="0" y="8554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94" name="AutoShape 550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8554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95" name="AutoShape 551" descr="HUNGARY"/>
        <xdr:cNvSpPr>
          <a:spLocks noChangeAspect="1" noChangeArrowheads="1"/>
        </xdr:cNvSpPr>
      </xdr:nvSpPr>
      <xdr:spPr bwMode="auto">
        <a:xfrm>
          <a:off x="0" y="8572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96" name="AutoShape 552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8572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97" name="AutoShape 553" descr="HUNGARY"/>
        <xdr:cNvSpPr>
          <a:spLocks noChangeAspect="1" noChangeArrowheads="1"/>
        </xdr:cNvSpPr>
      </xdr:nvSpPr>
      <xdr:spPr bwMode="auto">
        <a:xfrm>
          <a:off x="0" y="8597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298" name="AutoShape 554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8597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299" name="AutoShape 555" descr="HUNGARY2"/>
        <xdr:cNvSpPr>
          <a:spLocks noChangeAspect="1" noChangeArrowheads="1"/>
        </xdr:cNvSpPr>
      </xdr:nvSpPr>
      <xdr:spPr bwMode="auto">
        <a:xfrm>
          <a:off x="0" y="8615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00" name="AutoShape 556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8615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01" name="AutoShape 557" descr="HUNGARY2"/>
        <xdr:cNvSpPr>
          <a:spLocks noChangeAspect="1" noChangeArrowheads="1"/>
        </xdr:cNvSpPr>
      </xdr:nvSpPr>
      <xdr:spPr bwMode="auto">
        <a:xfrm>
          <a:off x="0" y="8632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02" name="AutoShape 558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8632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03" name="AutoShape 559" descr="HUNGARY2"/>
        <xdr:cNvSpPr>
          <a:spLocks noChangeAspect="1" noChangeArrowheads="1"/>
        </xdr:cNvSpPr>
      </xdr:nvSpPr>
      <xdr:spPr bwMode="auto">
        <a:xfrm>
          <a:off x="0" y="8650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04" name="AutoShape 560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8650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05" name="AutoShape 561" descr="HUNGARY2"/>
        <xdr:cNvSpPr>
          <a:spLocks noChangeAspect="1" noChangeArrowheads="1"/>
        </xdr:cNvSpPr>
      </xdr:nvSpPr>
      <xdr:spPr bwMode="auto">
        <a:xfrm>
          <a:off x="0" y="86753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06" name="AutoShape 562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8675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07" name="AutoShape 563" descr="HUNGARY2"/>
        <xdr:cNvSpPr>
          <a:spLocks noChangeAspect="1" noChangeArrowheads="1"/>
        </xdr:cNvSpPr>
      </xdr:nvSpPr>
      <xdr:spPr bwMode="auto">
        <a:xfrm>
          <a:off x="0" y="8692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08" name="AutoShape 564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8692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09" name="AutoShape 565" descr="HUNGARY2"/>
        <xdr:cNvSpPr>
          <a:spLocks noChangeAspect="1" noChangeArrowheads="1"/>
        </xdr:cNvSpPr>
      </xdr:nvSpPr>
      <xdr:spPr bwMode="auto">
        <a:xfrm>
          <a:off x="0" y="8718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10" name="AutoShape 566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8718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11" name="AutoShape 567" descr="ICELAND"/>
        <xdr:cNvSpPr>
          <a:spLocks noChangeAspect="1" noChangeArrowheads="1"/>
        </xdr:cNvSpPr>
      </xdr:nvSpPr>
      <xdr:spPr bwMode="auto">
        <a:xfrm>
          <a:off x="0" y="8735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12" name="AutoShape 568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8735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13" name="AutoShape 569" descr="ICELAND3"/>
        <xdr:cNvSpPr>
          <a:spLocks noChangeAspect="1" noChangeArrowheads="1"/>
        </xdr:cNvSpPr>
      </xdr:nvSpPr>
      <xdr:spPr bwMode="auto">
        <a:xfrm>
          <a:off x="0" y="8753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14" name="AutoShape 570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8753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15" name="AutoShape 571" descr="ICELAND3"/>
        <xdr:cNvSpPr>
          <a:spLocks noChangeAspect="1" noChangeArrowheads="1"/>
        </xdr:cNvSpPr>
      </xdr:nvSpPr>
      <xdr:spPr bwMode="auto">
        <a:xfrm>
          <a:off x="0" y="8770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16" name="AutoShape 572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8770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17" name="AutoShape 573" descr="ICELAND3"/>
        <xdr:cNvSpPr>
          <a:spLocks noChangeAspect="1" noChangeArrowheads="1"/>
        </xdr:cNvSpPr>
      </xdr:nvSpPr>
      <xdr:spPr bwMode="auto">
        <a:xfrm>
          <a:off x="0" y="8788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18" name="AutoShape 574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8788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19" name="AutoShape 575" descr="ICELAND3"/>
        <xdr:cNvSpPr>
          <a:spLocks noChangeAspect="1" noChangeArrowheads="1"/>
        </xdr:cNvSpPr>
      </xdr:nvSpPr>
      <xdr:spPr bwMode="auto">
        <a:xfrm>
          <a:off x="0" y="8813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20" name="AutoShape 576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8813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21" name="AutoShape 577" descr="ICELAND3"/>
        <xdr:cNvSpPr>
          <a:spLocks noChangeAspect="1" noChangeArrowheads="1"/>
        </xdr:cNvSpPr>
      </xdr:nvSpPr>
      <xdr:spPr bwMode="auto">
        <a:xfrm>
          <a:off x="0" y="8830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22" name="AutoShape 578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8830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23" name="AutoShape 579" descr="IRELAND3"/>
        <xdr:cNvSpPr>
          <a:spLocks noChangeAspect="1" noChangeArrowheads="1"/>
        </xdr:cNvSpPr>
      </xdr:nvSpPr>
      <xdr:spPr bwMode="auto">
        <a:xfrm>
          <a:off x="0" y="8855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24" name="AutoShape 580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8855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25" name="AutoShape 581" descr="IRELAND3"/>
        <xdr:cNvSpPr>
          <a:spLocks noChangeAspect="1" noChangeArrowheads="1"/>
        </xdr:cNvSpPr>
      </xdr:nvSpPr>
      <xdr:spPr bwMode="auto">
        <a:xfrm>
          <a:off x="0" y="8873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26" name="AutoShape 582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8873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27" name="AutoShape 583" descr="IRELAND3"/>
        <xdr:cNvSpPr>
          <a:spLocks noChangeAspect="1" noChangeArrowheads="1"/>
        </xdr:cNvSpPr>
      </xdr:nvSpPr>
      <xdr:spPr bwMode="auto">
        <a:xfrm>
          <a:off x="0" y="8898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28" name="AutoShape 584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8898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29" name="AutoShape 585" descr="IRELAND3"/>
        <xdr:cNvSpPr>
          <a:spLocks noChangeAspect="1" noChangeArrowheads="1"/>
        </xdr:cNvSpPr>
      </xdr:nvSpPr>
      <xdr:spPr bwMode="auto">
        <a:xfrm>
          <a:off x="0" y="8923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30" name="AutoShape 586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8923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31" name="AutoShape 587" descr="IRELAND3"/>
        <xdr:cNvSpPr>
          <a:spLocks noChangeAspect="1" noChangeArrowheads="1"/>
        </xdr:cNvSpPr>
      </xdr:nvSpPr>
      <xdr:spPr bwMode="auto">
        <a:xfrm>
          <a:off x="0" y="8948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32" name="AutoShape 588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8948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33" name="AutoShape 589" descr="IRELAND3"/>
        <xdr:cNvSpPr>
          <a:spLocks noChangeAspect="1" noChangeArrowheads="1"/>
        </xdr:cNvSpPr>
      </xdr:nvSpPr>
      <xdr:spPr bwMode="auto">
        <a:xfrm>
          <a:off x="0" y="8966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34" name="AutoShape 590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8966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35" name="AutoShape 591" descr="JAPAN"/>
        <xdr:cNvSpPr>
          <a:spLocks noChangeAspect="1" noChangeArrowheads="1"/>
        </xdr:cNvSpPr>
      </xdr:nvSpPr>
      <xdr:spPr bwMode="auto">
        <a:xfrm>
          <a:off x="0" y="899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36" name="AutoShape 592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899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37" name="AutoShape 593" descr="JAPAN"/>
        <xdr:cNvSpPr>
          <a:spLocks noChangeAspect="1" noChangeArrowheads="1"/>
        </xdr:cNvSpPr>
      </xdr:nvSpPr>
      <xdr:spPr bwMode="auto">
        <a:xfrm>
          <a:off x="0" y="9016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38" name="AutoShape 594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9016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39" name="AutoShape 595" descr="JAPAN"/>
        <xdr:cNvSpPr>
          <a:spLocks noChangeAspect="1" noChangeArrowheads="1"/>
        </xdr:cNvSpPr>
      </xdr:nvSpPr>
      <xdr:spPr bwMode="auto">
        <a:xfrm>
          <a:off x="0" y="904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40" name="AutoShape 596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904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41" name="AutoShape 597" descr="JAPAN"/>
        <xdr:cNvSpPr>
          <a:spLocks noChangeAspect="1" noChangeArrowheads="1"/>
        </xdr:cNvSpPr>
      </xdr:nvSpPr>
      <xdr:spPr bwMode="auto">
        <a:xfrm>
          <a:off x="0" y="9067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42" name="AutoShape 598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9067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43" name="AutoShape 599" descr="JAPAN"/>
        <xdr:cNvSpPr>
          <a:spLocks noChangeAspect="1" noChangeArrowheads="1"/>
        </xdr:cNvSpPr>
      </xdr:nvSpPr>
      <xdr:spPr bwMode="auto">
        <a:xfrm>
          <a:off x="0" y="9092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44" name="AutoShape 600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9092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45" name="AutoShape 601" descr="JAPAN"/>
        <xdr:cNvSpPr>
          <a:spLocks noChangeAspect="1" noChangeArrowheads="1"/>
        </xdr:cNvSpPr>
      </xdr:nvSpPr>
      <xdr:spPr bwMode="auto">
        <a:xfrm>
          <a:off x="0" y="9117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46" name="AutoShape 602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9117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47" name="AutoShape 603" descr="JAPAN"/>
        <xdr:cNvSpPr>
          <a:spLocks noChangeAspect="1" noChangeArrowheads="1"/>
        </xdr:cNvSpPr>
      </xdr:nvSpPr>
      <xdr:spPr bwMode="auto">
        <a:xfrm>
          <a:off x="0" y="914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48" name="AutoShape 604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914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49" name="AutoShape 605" descr="JAPAN"/>
        <xdr:cNvSpPr>
          <a:spLocks noChangeAspect="1" noChangeArrowheads="1"/>
        </xdr:cNvSpPr>
      </xdr:nvSpPr>
      <xdr:spPr bwMode="auto">
        <a:xfrm>
          <a:off x="0" y="9160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50" name="AutoShape 606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9160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51" name="AutoShape 607" descr="JAPAN"/>
        <xdr:cNvSpPr>
          <a:spLocks noChangeAspect="1" noChangeArrowheads="1"/>
        </xdr:cNvSpPr>
      </xdr:nvSpPr>
      <xdr:spPr bwMode="auto">
        <a:xfrm>
          <a:off x="0" y="9177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52" name="AutoShape 608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9177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53" name="AutoShape 609" descr="JAPAN2"/>
        <xdr:cNvSpPr>
          <a:spLocks noChangeAspect="1" noChangeArrowheads="1"/>
        </xdr:cNvSpPr>
      </xdr:nvSpPr>
      <xdr:spPr bwMode="auto">
        <a:xfrm>
          <a:off x="0" y="9195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54" name="AutoShape 610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9195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55" name="AutoShape 611" descr="JAPAN2"/>
        <xdr:cNvSpPr>
          <a:spLocks noChangeAspect="1" noChangeArrowheads="1"/>
        </xdr:cNvSpPr>
      </xdr:nvSpPr>
      <xdr:spPr bwMode="auto">
        <a:xfrm>
          <a:off x="0" y="9220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56" name="AutoShape 612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9220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57" name="AutoShape 613" descr="JAPAN2"/>
        <xdr:cNvSpPr>
          <a:spLocks noChangeAspect="1" noChangeArrowheads="1"/>
        </xdr:cNvSpPr>
      </xdr:nvSpPr>
      <xdr:spPr bwMode="auto">
        <a:xfrm>
          <a:off x="0" y="9237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58" name="AutoShape 614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9237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59" name="AutoShape 615" descr="JAPAN2"/>
        <xdr:cNvSpPr>
          <a:spLocks noChangeAspect="1" noChangeArrowheads="1"/>
        </xdr:cNvSpPr>
      </xdr:nvSpPr>
      <xdr:spPr bwMode="auto">
        <a:xfrm>
          <a:off x="0" y="9255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60" name="AutoShape 616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9255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61" name="AutoShape 617" descr="JAPAN2"/>
        <xdr:cNvSpPr>
          <a:spLocks noChangeAspect="1" noChangeArrowheads="1"/>
        </xdr:cNvSpPr>
      </xdr:nvSpPr>
      <xdr:spPr bwMode="auto">
        <a:xfrm>
          <a:off x="0" y="92803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62" name="AutoShape 618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92803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63" name="AutoShape 619" descr="JAPAN2"/>
        <xdr:cNvSpPr>
          <a:spLocks noChangeAspect="1" noChangeArrowheads="1"/>
        </xdr:cNvSpPr>
      </xdr:nvSpPr>
      <xdr:spPr bwMode="auto">
        <a:xfrm>
          <a:off x="0" y="9297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64" name="AutoShape 620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9297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65" name="AutoShape 621" descr="JAPAN2"/>
        <xdr:cNvSpPr>
          <a:spLocks noChangeAspect="1" noChangeArrowheads="1"/>
        </xdr:cNvSpPr>
      </xdr:nvSpPr>
      <xdr:spPr bwMode="auto">
        <a:xfrm>
          <a:off x="0" y="9323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66" name="AutoShape 622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9323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67" name="AutoShape 623" descr="JAPAN2"/>
        <xdr:cNvSpPr>
          <a:spLocks noChangeAspect="1" noChangeArrowheads="1"/>
        </xdr:cNvSpPr>
      </xdr:nvSpPr>
      <xdr:spPr bwMode="auto">
        <a:xfrm>
          <a:off x="0" y="9348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68" name="AutoShape 624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9348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69" name="AutoShape 625" descr="JAPAN3"/>
        <xdr:cNvSpPr>
          <a:spLocks noChangeAspect="1" noChangeArrowheads="1"/>
        </xdr:cNvSpPr>
      </xdr:nvSpPr>
      <xdr:spPr bwMode="auto">
        <a:xfrm>
          <a:off x="0" y="9373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70" name="AutoShape 626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9373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71" name="AutoShape 627" descr="JAPAN3"/>
        <xdr:cNvSpPr>
          <a:spLocks noChangeAspect="1" noChangeArrowheads="1"/>
        </xdr:cNvSpPr>
      </xdr:nvSpPr>
      <xdr:spPr bwMode="auto">
        <a:xfrm>
          <a:off x="0" y="9398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72" name="AutoShape 628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9398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73" name="AutoShape 629" descr="JAPAN3"/>
        <xdr:cNvSpPr>
          <a:spLocks noChangeAspect="1" noChangeArrowheads="1"/>
        </xdr:cNvSpPr>
      </xdr:nvSpPr>
      <xdr:spPr bwMode="auto">
        <a:xfrm>
          <a:off x="0" y="9416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74" name="AutoShape 630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9416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75" name="AutoShape 631" descr="JAPAN3"/>
        <xdr:cNvSpPr>
          <a:spLocks noChangeAspect="1" noChangeArrowheads="1"/>
        </xdr:cNvSpPr>
      </xdr:nvSpPr>
      <xdr:spPr bwMode="auto">
        <a:xfrm>
          <a:off x="0" y="9441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76" name="AutoShape 632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944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77" name="AutoShape 633" descr="JAPAN3"/>
        <xdr:cNvSpPr>
          <a:spLocks noChangeAspect="1" noChangeArrowheads="1"/>
        </xdr:cNvSpPr>
      </xdr:nvSpPr>
      <xdr:spPr bwMode="auto">
        <a:xfrm>
          <a:off x="0" y="9458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78" name="AutoShape 634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9458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79" name="AutoShape 635" descr="JAPAN3"/>
        <xdr:cNvSpPr>
          <a:spLocks noChangeAspect="1" noChangeArrowheads="1"/>
        </xdr:cNvSpPr>
      </xdr:nvSpPr>
      <xdr:spPr bwMode="auto">
        <a:xfrm>
          <a:off x="0" y="9476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80" name="AutoShape 636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9476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81" name="AutoShape 637" descr="KAZAKHSTAN"/>
        <xdr:cNvSpPr>
          <a:spLocks noChangeAspect="1" noChangeArrowheads="1"/>
        </xdr:cNvSpPr>
      </xdr:nvSpPr>
      <xdr:spPr bwMode="auto">
        <a:xfrm>
          <a:off x="0" y="9501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82" name="AutoShape 638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9501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83" name="AutoShape 639" descr="KAZAKHSTAN"/>
        <xdr:cNvSpPr>
          <a:spLocks noChangeAspect="1" noChangeArrowheads="1"/>
        </xdr:cNvSpPr>
      </xdr:nvSpPr>
      <xdr:spPr bwMode="auto">
        <a:xfrm>
          <a:off x="0" y="9518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84" name="AutoShape 640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9518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85" name="AutoShape 641" descr="KAZAKHSTAN"/>
        <xdr:cNvSpPr>
          <a:spLocks noChangeAspect="1" noChangeArrowheads="1"/>
        </xdr:cNvSpPr>
      </xdr:nvSpPr>
      <xdr:spPr bwMode="auto">
        <a:xfrm>
          <a:off x="0" y="9536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86" name="AutoShape 642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9536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87" name="AutoShape 643" descr="KAZAKHSTAN"/>
        <xdr:cNvSpPr>
          <a:spLocks noChangeAspect="1" noChangeArrowheads="1"/>
        </xdr:cNvSpPr>
      </xdr:nvSpPr>
      <xdr:spPr bwMode="auto">
        <a:xfrm>
          <a:off x="0" y="9553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88" name="AutoShape 644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9553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89" name="AutoShape 645" descr="MEXICO"/>
        <xdr:cNvSpPr>
          <a:spLocks noChangeAspect="1" noChangeArrowheads="1"/>
        </xdr:cNvSpPr>
      </xdr:nvSpPr>
      <xdr:spPr bwMode="auto">
        <a:xfrm>
          <a:off x="0" y="95714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90" name="AutoShape 646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95714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91" name="AutoShape 647" descr="MOLDOVA"/>
        <xdr:cNvSpPr>
          <a:spLocks noChangeAspect="1" noChangeArrowheads="1"/>
        </xdr:cNvSpPr>
      </xdr:nvSpPr>
      <xdr:spPr bwMode="auto">
        <a:xfrm>
          <a:off x="0" y="9589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92" name="AutoShape 648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9589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93" name="AutoShape 649" descr="MOLDOVA"/>
        <xdr:cNvSpPr>
          <a:spLocks noChangeAspect="1" noChangeArrowheads="1"/>
        </xdr:cNvSpPr>
      </xdr:nvSpPr>
      <xdr:spPr bwMode="auto">
        <a:xfrm>
          <a:off x="0" y="9614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94" name="AutoShape 650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9614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95" name="AutoShape 651" descr="MONTENEGRO"/>
        <xdr:cNvSpPr>
          <a:spLocks noChangeAspect="1" noChangeArrowheads="1"/>
        </xdr:cNvSpPr>
      </xdr:nvSpPr>
      <xdr:spPr bwMode="auto">
        <a:xfrm>
          <a:off x="0" y="9639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96" name="AutoShape 652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9639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97" name="AutoShape 653" descr="NETHERLANDS3"/>
        <xdr:cNvSpPr>
          <a:spLocks noChangeAspect="1" noChangeArrowheads="1"/>
        </xdr:cNvSpPr>
      </xdr:nvSpPr>
      <xdr:spPr bwMode="auto">
        <a:xfrm>
          <a:off x="0" y="9656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398" name="AutoShape 654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9656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399" name="AutoShape 655" descr="NETHERLANDS3"/>
        <xdr:cNvSpPr>
          <a:spLocks noChangeAspect="1" noChangeArrowheads="1"/>
        </xdr:cNvSpPr>
      </xdr:nvSpPr>
      <xdr:spPr bwMode="auto">
        <a:xfrm>
          <a:off x="0" y="9681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00" name="AutoShape 656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9681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01" name="AutoShape 657" descr="NETHERLANDS3"/>
        <xdr:cNvSpPr>
          <a:spLocks noChangeAspect="1" noChangeArrowheads="1"/>
        </xdr:cNvSpPr>
      </xdr:nvSpPr>
      <xdr:spPr bwMode="auto">
        <a:xfrm>
          <a:off x="0" y="9707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02" name="AutoShape 658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9707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03" name="AutoShape 659" descr="NETHERLANDS3"/>
        <xdr:cNvSpPr>
          <a:spLocks noChangeAspect="1" noChangeArrowheads="1"/>
        </xdr:cNvSpPr>
      </xdr:nvSpPr>
      <xdr:spPr bwMode="auto">
        <a:xfrm>
          <a:off x="0" y="9724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04" name="AutoShape 660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9724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05" name="AutoShape 661" descr="NETHERLANDS3"/>
        <xdr:cNvSpPr>
          <a:spLocks noChangeAspect="1" noChangeArrowheads="1"/>
        </xdr:cNvSpPr>
      </xdr:nvSpPr>
      <xdr:spPr bwMode="auto">
        <a:xfrm>
          <a:off x="0" y="9749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06" name="AutoShape 662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9749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07" name="AutoShape 663" descr="NETHERLANDS3"/>
        <xdr:cNvSpPr>
          <a:spLocks noChangeAspect="1" noChangeArrowheads="1"/>
        </xdr:cNvSpPr>
      </xdr:nvSpPr>
      <xdr:spPr bwMode="auto">
        <a:xfrm>
          <a:off x="0" y="9774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08" name="AutoShape 664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9774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09" name="AutoShape 665" descr="NETHERLANDS3"/>
        <xdr:cNvSpPr>
          <a:spLocks noChangeAspect="1" noChangeArrowheads="1"/>
        </xdr:cNvSpPr>
      </xdr:nvSpPr>
      <xdr:spPr bwMode="auto">
        <a:xfrm>
          <a:off x="0" y="97924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10" name="AutoShape 666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97924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11" name="AutoShape 667" descr="NETHERLANDS3"/>
        <xdr:cNvSpPr>
          <a:spLocks noChangeAspect="1" noChangeArrowheads="1"/>
        </xdr:cNvSpPr>
      </xdr:nvSpPr>
      <xdr:spPr bwMode="auto">
        <a:xfrm>
          <a:off x="0" y="98099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12" name="AutoShape 668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98099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13" name="AutoShape 669" descr="NETHERLANDS3"/>
        <xdr:cNvSpPr>
          <a:spLocks noChangeAspect="1" noChangeArrowheads="1"/>
        </xdr:cNvSpPr>
      </xdr:nvSpPr>
      <xdr:spPr bwMode="auto">
        <a:xfrm>
          <a:off x="0" y="9835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14" name="AutoShape 670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9835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15" name="AutoShape 671" descr="NORTHERNIRELAND"/>
        <xdr:cNvSpPr>
          <a:spLocks noChangeAspect="1" noChangeArrowheads="1"/>
        </xdr:cNvSpPr>
      </xdr:nvSpPr>
      <xdr:spPr bwMode="auto">
        <a:xfrm>
          <a:off x="0" y="98526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16" name="AutoShape 672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98526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17" name="AutoShape 673" descr="NORTHERNIRELAND"/>
        <xdr:cNvSpPr>
          <a:spLocks noChangeAspect="1" noChangeArrowheads="1"/>
        </xdr:cNvSpPr>
      </xdr:nvSpPr>
      <xdr:spPr bwMode="auto">
        <a:xfrm>
          <a:off x="0" y="98701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18" name="AutoShape 674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98701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19" name="AutoShape 675" descr="NORTHERNIRELAND"/>
        <xdr:cNvSpPr>
          <a:spLocks noChangeAspect="1" noChangeArrowheads="1"/>
        </xdr:cNvSpPr>
      </xdr:nvSpPr>
      <xdr:spPr bwMode="auto">
        <a:xfrm>
          <a:off x="0" y="9887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20" name="AutoShape 676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9887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21" name="AutoShape 677" descr="NORTHERNIRELAND"/>
        <xdr:cNvSpPr>
          <a:spLocks noChangeAspect="1" noChangeArrowheads="1"/>
        </xdr:cNvSpPr>
      </xdr:nvSpPr>
      <xdr:spPr bwMode="auto">
        <a:xfrm>
          <a:off x="0" y="9912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22" name="AutoShape 678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9912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23" name="AutoShape 679" descr="NORTHERNIRELAND"/>
        <xdr:cNvSpPr>
          <a:spLocks noChangeAspect="1" noChangeArrowheads="1"/>
        </xdr:cNvSpPr>
      </xdr:nvSpPr>
      <xdr:spPr bwMode="auto">
        <a:xfrm>
          <a:off x="0" y="9938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24" name="AutoShape 680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9938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25" name="AutoShape 681" descr="NORTHERNIRELAND"/>
        <xdr:cNvSpPr>
          <a:spLocks noChangeAspect="1" noChangeArrowheads="1"/>
        </xdr:cNvSpPr>
      </xdr:nvSpPr>
      <xdr:spPr bwMode="auto">
        <a:xfrm>
          <a:off x="0" y="9955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26" name="AutoShape 682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9955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27" name="AutoShape 683" descr="NORTHMACEDONIA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28" name="AutoShape 684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29" name="AutoShape 685" descr="NORTHMACEDONIA"/>
        <xdr:cNvSpPr>
          <a:spLocks noChangeAspect="1" noChangeArrowheads="1"/>
        </xdr:cNvSpPr>
      </xdr:nvSpPr>
      <xdr:spPr bwMode="auto">
        <a:xfrm>
          <a:off x="0" y="9990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30" name="AutoShape 686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9990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31" name="AutoShape 687" descr="NORTHMACEDONIA"/>
        <xdr:cNvSpPr>
          <a:spLocks noChangeAspect="1" noChangeArrowheads="1"/>
        </xdr:cNvSpPr>
      </xdr:nvSpPr>
      <xdr:spPr bwMode="auto">
        <a:xfrm>
          <a:off x="0" y="10015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32" name="AutoShape 688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10015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33" name="AutoShape 689" descr="NORTHMACEDONIA"/>
        <xdr:cNvSpPr>
          <a:spLocks noChangeAspect="1" noChangeArrowheads="1"/>
        </xdr:cNvSpPr>
      </xdr:nvSpPr>
      <xdr:spPr bwMode="auto">
        <a:xfrm>
          <a:off x="0" y="10033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34" name="AutoShape 690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10033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35" name="AutoShape 691" descr="NORTHMACEDONIA"/>
        <xdr:cNvSpPr>
          <a:spLocks noChangeAspect="1" noChangeArrowheads="1"/>
        </xdr:cNvSpPr>
      </xdr:nvSpPr>
      <xdr:spPr bwMode="auto">
        <a:xfrm>
          <a:off x="0" y="100507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36" name="AutoShape 692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10050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37" name="AutoShape 693" descr="NORWAY"/>
        <xdr:cNvSpPr>
          <a:spLocks noChangeAspect="1" noChangeArrowheads="1"/>
        </xdr:cNvSpPr>
      </xdr:nvSpPr>
      <xdr:spPr bwMode="auto">
        <a:xfrm>
          <a:off x="0" y="1007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38" name="AutoShape 694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1007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39" name="AutoShape 695" descr="NORWAY2"/>
        <xdr:cNvSpPr>
          <a:spLocks noChangeAspect="1" noChangeArrowheads="1"/>
        </xdr:cNvSpPr>
      </xdr:nvSpPr>
      <xdr:spPr bwMode="auto">
        <a:xfrm>
          <a:off x="0" y="1009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40" name="AutoShape 696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1009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41" name="AutoShape 697" descr="NORWAY2"/>
        <xdr:cNvSpPr>
          <a:spLocks noChangeAspect="1" noChangeArrowheads="1"/>
        </xdr:cNvSpPr>
      </xdr:nvSpPr>
      <xdr:spPr bwMode="auto">
        <a:xfrm>
          <a:off x="0" y="1011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42" name="AutoShape 698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1011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43" name="AutoShape 699" descr="NORWAY2"/>
        <xdr:cNvSpPr>
          <a:spLocks noChangeAspect="1" noChangeArrowheads="1"/>
        </xdr:cNvSpPr>
      </xdr:nvSpPr>
      <xdr:spPr bwMode="auto">
        <a:xfrm>
          <a:off x="0" y="1012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44" name="AutoShape 700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1012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45" name="AutoShape 701" descr="NORWAY3"/>
        <xdr:cNvSpPr>
          <a:spLocks noChangeAspect="1" noChangeArrowheads="1"/>
        </xdr:cNvSpPr>
      </xdr:nvSpPr>
      <xdr:spPr bwMode="auto">
        <a:xfrm>
          <a:off x="0" y="1014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46" name="AutoShape 702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1014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47" name="AutoShape 703" descr="NORWAY3"/>
        <xdr:cNvSpPr>
          <a:spLocks noChangeAspect="1" noChangeArrowheads="1"/>
        </xdr:cNvSpPr>
      </xdr:nvSpPr>
      <xdr:spPr bwMode="auto">
        <a:xfrm>
          <a:off x="0" y="1016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48" name="AutoShape 704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1016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49" name="AutoShape 705" descr="NORWAY3"/>
        <xdr:cNvSpPr>
          <a:spLocks noChangeAspect="1" noChangeArrowheads="1"/>
        </xdr:cNvSpPr>
      </xdr:nvSpPr>
      <xdr:spPr bwMode="auto">
        <a:xfrm>
          <a:off x="0" y="1018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50" name="AutoShape 706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1018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51" name="AutoShape 707" descr="NORWAY3"/>
        <xdr:cNvSpPr>
          <a:spLocks noChangeAspect="1" noChangeArrowheads="1"/>
        </xdr:cNvSpPr>
      </xdr:nvSpPr>
      <xdr:spPr bwMode="auto">
        <a:xfrm>
          <a:off x="0" y="1019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52" name="AutoShape 708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1019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53" name="AutoShape 709" descr="NORWAY4"/>
        <xdr:cNvSpPr>
          <a:spLocks noChangeAspect="1" noChangeArrowheads="1"/>
        </xdr:cNvSpPr>
      </xdr:nvSpPr>
      <xdr:spPr bwMode="auto">
        <a:xfrm>
          <a:off x="0" y="1021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54" name="AutoShape 710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1021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55" name="AutoShape 711" descr="NORWAY11"/>
        <xdr:cNvSpPr>
          <a:spLocks noChangeAspect="1" noChangeArrowheads="1"/>
        </xdr:cNvSpPr>
      </xdr:nvSpPr>
      <xdr:spPr bwMode="auto">
        <a:xfrm>
          <a:off x="0" y="102336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56" name="AutoShape 712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102336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57" name="AutoShape 713" descr="NORWAY11"/>
        <xdr:cNvSpPr>
          <a:spLocks noChangeAspect="1" noChangeArrowheads="1"/>
        </xdr:cNvSpPr>
      </xdr:nvSpPr>
      <xdr:spPr bwMode="auto">
        <a:xfrm>
          <a:off x="0" y="102511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58" name="AutoShape 714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102511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59" name="AutoShape 715" descr="NORWAY11"/>
        <xdr:cNvSpPr>
          <a:spLocks noChangeAspect="1" noChangeArrowheads="1"/>
        </xdr:cNvSpPr>
      </xdr:nvSpPr>
      <xdr:spPr bwMode="auto">
        <a:xfrm>
          <a:off x="0" y="102763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60" name="AutoShape 716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102763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61" name="AutoShape 717" descr="NORWAY11"/>
        <xdr:cNvSpPr>
          <a:spLocks noChangeAspect="1" noChangeArrowheads="1"/>
        </xdr:cNvSpPr>
      </xdr:nvSpPr>
      <xdr:spPr bwMode="auto">
        <a:xfrm>
          <a:off x="0" y="103014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62" name="AutoShape 718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103014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63" name="AutoShape 719" descr="NORWAY11"/>
        <xdr:cNvSpPr>
          <a:spLocks noChangeAspect="1" noChangeArrowheads="1"/>
        </xdr:cNvSpPr>
      </xdr:nvSpPr>
      <xdr:spPr bwMode="auto">
        <a:xfrm>
          <a:off x="0" y="10319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64" name="AutoShape 720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10319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65" name="AutoShape 721" descr="PARAGUAY2"/>
        <xdr:cNvSpPr>
          <a:spLocks noChangeAspect="1" noChangeArrowheads="1"/>
        </xdr:cNvSpPr>
      </xdr:nvSpPr>
      <xdr:spPr bwMode="auto">
        <a:xfrm>
          <a:off x="0" y="10336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66" name="AutoShape 722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10336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67" name="AutoShape 723" descr="PARAGUAY2"/>
        <xdr:cNvSpPr>
          <a:spLocks noChangeAspect="1" noChangeArrowheads="1"/>
        </xdr:cNvSpPr>
      </xdr:nvSpPr>
      <xdr:spPr bwMode="auto">
        <a:xfrm>
          <a:off x="0" y="10354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68" name="AutoShape 724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10354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69" name="AutoShape 725" descr="PERU2"/>
        <xdr:cNvSpPr>
          <a:spLocks noChangeAspect="1" noChangeArrowheads="1"/>
        </xdr:cNvSpPr>
      </xdr:nvSpPr>
      <xdr:spPr bwMode="auto">
        <a:xfrm>
          <a:off x="0" y="10371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70" name="AutoShape 726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10371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71" name="AutoShape 727" descr="PERU2"/>
        <xdr:cNvSpPr>
          <a:spLocks noChangeAspect="1" noChangeArrowheads="1"/>
        </xdr:cNvSpPr>
      </xdr:nvSpPr>
      <xdr:spPr bwMode="auto">
        <a:xfrm>
          <a:off x="0" y="103891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72" name="AutoShape 728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103891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73" name="AutoShape 729" descr="PERU2"/>
        <xdr:cNvSpPr>
          <a:spLocks noChangeAspect="1" noChangeArrowheads="1"/>
        </xdr:cNvSpPr>
      </xdr:nvSpPr>
      <xdr:spPr bwMode="auto">
        <a:xfrm>
          <a:off x="0" y="104066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74" name="AutoShape 730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104066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75" name="AutoShape 731" descr="PERU2"/>
        <xdr:cNvSpPr>
          <a:spLocks noChangeAspect="1" noChangeArrowheads="1"/>
        </xdr:cNvSpPr>
      </xdr:nvSpPr>
      <xdr:spPr bwMode="auto">
        <a:xfrm>
          <a:off x="0" y="104317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76" name="AutoShape 732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10431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77" name="AutoShape 733" descr="PERU2"/>
        <xdr:cNvSpPr>
          <a:spLocks noChangeAspect="1" noChangeArrowheads="1"/>
        </xdr:cNvSpPr>
      </xdr:nvSpPr>
      <xdr:spPr bwMode="auto">
        <a:xfrm>
          <a:off x="0" y="104493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78" name="AutoShape 734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104493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79" name="AutoShape 735" descr="PERU2"/>
        <xdr:cNvSpPr>
          <a:spLocks noChangeAspect="1" noChangeArrowheads="1"/>
        </xdr:cNvSpPr>
      </xdr:nvSpPr>
      <xdr:spPr bwMode="auto">
        <a:xfrm>
          <a:off x="0" y="104668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80" name="AutoShape 736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104668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81" name="AutoShape 737" descr="PERU2"/>
        <xdr:cNvSpPr>
          <a:spLocks noChangeAspect="1" noChangeArrowheads="1"/>
        </xdr:cNvSpPr>
      </xdr:nvSpPr>
      <xdr:spPr bwMode="auto">
        <a:xfrm>
          <a:off x="0" y="10484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82" name="AutoShape 738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10484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83" name="AutoShape 739" descr="PERU2"/>
        <xdr:cNvSpPr>
          <a:spLocks noChangeAspect="1" noChangeArrowheads="1"/>
        </xdr:cNvSpPr>
      </xdr:nvSpPr>
      <xdr:spPr bwMode="auto">
        <a:xfrm>
          <a:off x="0" y="105018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84" name="AutoShape 740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105018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85" name="AutoShape 741" descr="PERU2"/>
        <xdr:cNvSpPr>
          <a:spLocks noChangeAspect="1" noChangeArrowheads="1"/>
        </xdr:cNvSpPr>
      </xdr:nvSpPr>
      <xdr:spPr bwMode="auto">
        <a:xfrm>
          <a:off x="0" y="10527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86" name="AutoShape 742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10527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87" name="AutoShape 743" descr="POLAND"/>
        <xdr:cNvSpPr>
          <a:spLocks noChangeAspect="1" noChangeArrowheads="1"/>
        </xdr:cNvSpPr>
      </xdr:nvSpPr>
      <xdr:spPr bwMode="auto">
        <a:xfrm>
          <a:off x="0" y="105521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88" name="AutoShape 744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105521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89" name="AutoShape 745" descr="POLAND"/>
        <xdr:cNvSpPr>
          <a:spLocks noChangeAspect="1" noChangeArrowheads="1"/>
        </xdr:cNvSpPr>
      </xdr:nvSpPr>
      <xdr:spPr bwMode="auto">
        <a:xfrm>
          <a:off x="0" y="10577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90" name="AutoShape 746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10577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91" name="AutoShape 747" descr="POLAND"/>
        <xdr:cNvSpPr>
          <a:spLocks noChangeAspect="1" noChangeArrowheads="1"/>
        </xdr:cNvSpPr>
      </xdr:nvSpPr>
      <xdr:spPr bwMode="auto">
        <a:xfrm>
          <a:off x="0" y="10594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92" name="AutoShape 748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10594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93" name="AutoShape 749" descr="POLAND2"/>
        <xdr:cNvSpPr>
          <a:spLocks noChangeAspect="1" noChangeArrowheads="1"/>
        </xdr:cNvSpPr>
      </xdr:nvSpPr>
      <xdr:spPr bwMode="auto">
        <a:xfrm>
          <a:off x="0" y="10612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94" name="AutoShape 750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10612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95" name="AutoShape 751" descr="POLAND2"/>
        <xdr:cNvSpPr>
          <a:spLocks noChangeAspect="1" noChangeArrowheads="1"/>
        </xdr:cNvSpPr>
      </xdr:nvSpPr>
      <xdr:spPr bwMode="auto">
        <a:xfrm>
          <a:off x="0" y="10637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96" name="AutoShape 752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10637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97" name="AutoShape 753" descr="POLAND2"/>
        <xdr:cNvSpPr>
          <a:spLocks noChangeAspect="1" noChangeArrowheads="1"/>
        </xdr:cNvSpPr>
      </xdr:nvSpPr>
      <xdr:spPr bwMode="auto">
        <a:xfrm>
          <a:off x="0" y="10655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498" name="AutoShape 754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10655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499" name="AutoShape 755" descr="POLAND3"/>
        <xdr:cNvSpPr>
          <a:spLocks noChangeAspect="1" noChangeArrowheads="1"/>
        </xdr:cNvSpPr>
      </xdr:nvSpPr>
      <xdr:spPr bwMode="auto">
        <a:xfrm>
          <a:off x="0" y="10680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00" name="AutoShape 756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10680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01" name="AutoShape 757" descr="POLAND3"/>
        <xdr:cNvSpPr>
          <a:spLocks noChangeAspect="1" noChangeArrowheads="1"/>
        </xdr:cNvSpPr>
      </xdr:nvSpPr>
      <xdr:spPr bwMode="auto">
        <a:xfrm>
          <a:off x="0" y="10705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02" name="AutoShape 758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10705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03" name="AutoShape 759" descr="POLAND3"/>
        <xdr:cNvSpPr>
          <a:spLocks noChangeAspect="1" noChangeArrowheads="1"/>
        </xdr:cNvSpPr>
      </xdr:nvSpPr>
      <xdr:spPr bwMode="auto">
        <a:xfrm>
          <a:off x="0" y="10730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04" name="AutoShape 760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10730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05" name="AutoShape 761" descr="POLAND3"/>
        <xdr:cNvSpPr>
          <a:spLocks noChangeAspect="1" noChangeArrowheads="1"/>
        </xdr:cNvSpPr>
      </xdr:nvSpPr>
      <xdr:spPr bwMode="auto">
        <a:xfrm>
          <a:off x="0" y="10755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06" name="AutoShape 762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10755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07" name="AutoShape 763" descr="POLAND3"/>
        <xdr:cNvSpPr>
          <a:spLocks noChangeAspect="1" noChangeArrowheads="1"/>
        </xdr:cNvSpPr>
      </xdr:nvSpPr>
      <xdr:spPr bwMode="auto">
        <a:xfrm>
          <a:off x="0" y="1078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08" name="AutoShape 764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1078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09" name="AutoShape 765" descr="PORTUGAL2"/>
        <xdr:cNvSpPr>
          <a:spLocks noChangeAspect="1" noChangeArrowheads="1"/>
        </xdr:cNvSpPr>
      </xdr:nvSpPr>
      <xdr:spPr bwMode="auto">
        <a:xfrm>
          <a:off x="0" y="1080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10" name="AutoShape 766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1080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11" name="AutoShape 767" descr="PORTUGAL2"/>
        <xdr:cNvSpPr>
          <a:spLocks noChangeAspect="1" noChangeArrowheads="1"/>
        </xdr:cNvSpPr>
      </xdr:nvSpPr>
      <xdr:spPr bwMode="auto">
        <a:xfrm>
          <a:off x="0" y="1082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12" name="AutoShape 768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1082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13" name="AutoShape 769" descr="PORTUGAL2"/>
        <xdr:cNvSpPr>
          <a:spLocks noChangeAspect="1" noChangeArrowheads="1"/>
        </xdr:cNvSpPr>
      </xdr:nvSpPr>
      <xdr:spPr bwMode="auto">
        <a:xfrm>
          <a:off x="0" y="1084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14" name="AutoShape 770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1084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15" name="AutoShape 771" descr="ROMANIA"/>
        <xdr:cNvSpPr>
          <a:spLocks noChangeAspect="1" noChangeArrowheads="1"/>
        </xdr:cNvSpPr>
      </xdr:nvSpPr>
      <xdr:spPr bwMode="auto">
        <a:xfrm>
          <a:off x="0" y="10866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16" name="AutoShape 772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10866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17" name="AutoShape 773" descr="ROMANIA"/>
        <xdr:cNvSpPr>
          <a:spLocks noChangeAspect="1" noChangeArrowheads="1"/>
        </xdr:cNvSpPr>
      </xdr:nvSpPr>
      <xdr:spPr bwMode="auto">
        <a:xfrm>
          <a:off x="0" y="10883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18" name="AutoShape 774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10883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19" name="AutoShape 775" descr="RUSSIA"/>
        <xdr:cNvSpPr>
          <a:spLocks noChangeAspect="1" noChangeArrowheads="1"/>
        </xdr:cNvSpPr>
      </xdr:nvSpPr>
      <xdr:spPr bwMode="auto">
        <a:xfrm>
          <a:off x="0" y="10908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20" name="AutoShape 776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10908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21" name="AutoShape 777" descr="RUSSIA"/>
        <xdr:cNvSpPr>
          <a:spLocks noChangeAspect="1" noChangeArrowheads="1"/>
        </xdr:cNvSpPr>
      </xdr:nvSpPr>
      <xdr:spPr bwMode="auto">
        <a:xfrm>
          <a:off x="0" y="10933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22" name="AutoShape 778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10933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23" name="AutoShape 779" descr="RUSSIA"/>
        <xdr:cNvSpPr>
          <a:spLocks noChangeAspect="1" noChangeArrowheads="1"/>
        </xdr:cNvSpPr>
      </xdr:nvSpPr>
      <xdr:spPr bwMode="auto">
        <a:xfrm>
          <a:off x="0" y="1095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24" name="AutoShape 780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1095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25" name="AutoShape 781" descr="RUSSIA"/>
        <xdr:cNvSpPr>
          <a:spLocks noChangeAspect="1" noChangeArrowheads="1"/>
        </xdr:cNvSpPr>
      </xdr:nvSpPr>
      <xdr:spPr bwMode="auto">
        <a:xfrm>
          <a:off x="0" y="1097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26" name="AutoShape 782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1097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27" name="AutoShape 783" descr="SAUDIARABIA"/>
        <xdr:cNvSpPr>
          <a:spLocks noChangeAspect="1" noChangeArrowheads="1"/>
        </xdr:cNvSpPr>
      </xdr:nvSpPr>
      <xdr:spPr bwMode="auto">
        <a:xfrm>
          <a:off x="0" y="1100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28" name="AutoShape 784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1100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29" name="AutoShape 785" descr="SAUDIARABIA"/>
        <xdr:cNvSpPr>
          <a:spLocks noChangeAspect="1" noChangeArrowheads="1"/>
        </xdr:cNvSpPr>
      </xdr:nvSpPr>
      <xdr:spPr bwMode="auto">
        <a:xfrm>
          <a:off x="0" y="11019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30" name="AutoShape 786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11019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31" name="AutoShape 787" descr="SAUDIARABIA"/>
        <xdr:cNvSpPr>
          <a:spLocks noChangeAspect="1" noChangeArrowheads="1"/>
        </xdr:cNvSpPr>
      </xdr:nvSpPr>
      <xdr:spPr bwMode="auto">
        <a:xfrm>
          <a:off x="0" y="11036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32" name="AutoShape 788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11036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33" name="AutoShape 789" descr="SCOTLAND3"/>
        <xdr:cNvSpPr>
          <a:spLocks noChangeAspect="1" noChangeArrowheads="1"/>
        </xdr:cNvSpPr>
      </xdr:nvSpPr>
      <xdr:spPr bwMode="auto">
        <a:xfrm>
          <a:off x="0" y="11054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34" name="AutoShape 790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11054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35" name="AutoShape 791" descr="SCOTLAND3"/>
        <xdr:cNvSpPr>
          <a:spLocks noChangeAspect="1" noChangeArrowheads="1"/>
        </xdr:cNvSpPr>
      </xdr:nvSpPr>
      <xdr:spPr bwMode="auto">
        <a:xfrm>
          <a:off x="0" y="11071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36" name="AutoShape 792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11071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37" name="AutoShape 793" descr="SCOTLAND3"/>
        <xdr:cNvSpPr>
          <a:spLocks noChangeAspect="1" noChangeArrowheads="1"/>
        </xdr:cNvSpPr>
      </xdr:nvSpPr>
      <xdr:spPr bwMode="auto">
        <a:xfrm>
          <a:off x="0" y="11089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38" name="AutoShape 794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11089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39" name="AutoShape 795" descr="SCOTLAND3"/>
        <xdr:cNvSpPr>
          <a:spLocks noChangeAspect="1" noChangeArrowheads="1"/>
        </xdr:cNvSpPr>
      </xdr:nvSpPr>
      <xdr:spPr bwMode="auto">
        <a:xfrm>
          <a:off x="0" y="11106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40" name="AutoShape 796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11106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41" name="AutoShape 797" descr="SCOTLAND4"/>
        <xdr:cNvSpPr>
          <a:spLocks noChangeAspect="1" noChangeArrowheads="1"/>
        </xdr:cNvSpPr>
      </xdr:nvSpPr>
      <xdr:spPr bwMode="auto">
        <a:xfrm>
          <a:off x="0" y="11124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42" name="AutoShape 798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11124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43" name="AutoShape 799" descr="SCOTLAND4"/>
        <xdr:cNvSpPr>
          <a:spLocks noChangeAspect="1" noChangeArrowheads="1"/>
        </xdr:cNvSpPr>
      </xdr:nvSpPr>
      <xdr:spPr bwMode="auto">
        <a:xfrm>
          <a:off x="0" y="11149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44" name="AutoShape 800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11149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45" name="AutoShape 801" descr="SCOTLAND4"/>
        <xdr:cNvSpPr>
          <a:spLocks noChangeAspect="1" noChangeArrowheads="1"/>
        </xdr:cNvSpPr>
      </xdr:nvSpPr>
      <xdr:spPr bwMode="auto">
        <a:xfrm>
          <a:off x="0" y="11174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46" name="AutoShape 802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11174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47" name="AutoShape 803" descr="SCOTLAND4"/>
        <xdr:cNvSpPr>
          <a:spLocks noChangeAspect="1" noChangeArrowheads="1"/>
        </xdr:cNvSpPr>
      </xdr:nvSpPr>
      <xdr:spPr bwMode="auto">
        <a:xfrm>
          <a:off x="0" y="11192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48" name="AutoShape 804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11192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49" name="AutoShape 805" descr="SCOTLAND4"/>
        <xdr:cNvSpPr>
          <a:spLocks noChangeAspect="1" noChangeArrowheads="1"/>
        </xdr:cNvSpPr>
      </xdr:nvSpPr>
      <xdr:spPr bwMode="auto">
        <a:xfrm>
          <a:off x="0" y="1121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50" name="AutoShape 806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1121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51" name="AutoShape 807" descr="SERBIA"/>
        <xdr:cNvSpPr>
          <a:spLocks noChangeAspect="1" noChangeArrowheads="1"/>
        </xdr:cNvSpPr>
      </xdr:nvSpPr>
      <xdr:spPr bwMode="auto">
        <a:xfrm>
          <a:off x="0" y="1123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52" name="AutoShape 808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1123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53" name="AutoShape 809" descr="SERBIA"/>
        <xdr:cNvSpPr>
          <a:spLocks noChangeAspect="1" noChangeArrowheads="1"/>
        </xdr:cNvSpPr>
      </xdr:nvSpPr>
      <xdr:spPr bwMode="auto">
        <a:xfrm>
          <a:off x="0" y="1125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54" name="AutoShape 810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1125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55" name="AutoShape 811" descr="SERBIA"/>
        <xdr:cNvSpPr>
          <a:spLocks noChangeAspect="1" noChangeArrowheads="1"/>
        </xdr:cNvSpPr>
      </xdr:nvSpPr>
      <xdr:spPr bwMode="auto">
        <a:xfrm>
          <a:off x="0" y="1126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56" name="AutoShape 812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1126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57" name="AutoShape 813" descr="SLOVAKIA"/>
        <xdr:cNvSpPr>
          <a:spLocks noChangeAspect="1" noChangeArrowheads="1"/>
        </xdr:cNvSpPr>
      </xdr:nvSpPr>
      <xdr:spPr bwMode="auto">
        <a:xfrm>
          <a:off x="0" y="1128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58" name="AutoShape 814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1128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59" name="AutoShape 815" descr="SLOVAKIA"/>
        <xdr:cNvSpPr>
          <a:spLocks noChangeAspect="1" noChangeArrowheads="1"/>
        </xdr:cNvSpPr>
      </xdr:nvSpPr>
      <xdr:spPr bwMode="auto">
        <a:xfrm>
          <a:off x="0" y="1131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60" name="AutoShape 816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1131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61" name="AutoShape 817" descr="SLOVAKIA"/>
        <xdr:cNvSpPr>
          <a:spLocks noChangeAspect="1" noChangeArrowheads="1"/>
        </xdr:cNvSpPr>
      </xdr:nvSpPr>
      <xdr:spPr bwMode="auto">
        <a:xfrm>
          <a:off x="0" y="11330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62" name="AutoShape 818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11330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63" name="AutoShape 819" descr="SLOVAKIA"/>
        <xdr:cNvSpPr>
          <a:spLocks noChangeAspect="1" noChangeArrowheads="1"/>
        </xdr:cNvSpPr>
      </xdr:nvSpPr>
      <xdr:spPr bwMode="auto">
        <a:xfrm>
          <a:off x="0" y="11347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64" name="AutoShape 820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11347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65" name="AutoShape 821" descr="SLOVENIA"/>
        <xdr:cNvSpPr>
          <a:spLocks noChangeAspect="1" noChangeArrowheads="1"/>
        </xdr:cNvSpPr>
      </xdr:nvSpPr>
      <xdr:spPr bwMode="auto">
        <a:xfrm>
          <a:off x="0" y="11365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66" name="AutoShape 822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11365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67" name="AutoShape 823" descr="SLOVENIA"/>
        <xdr:cNvSpPr>
          <a:spLocks noChangeAspect="1" noChangeArrowheads="1"/>
        </xdr:cNvSpPr>
      </xdr:nvSpPr>
      <xdr:spPr bwMode="auto">
        <a:xfrm>
          <a:off x="0" y="11382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68" name="AutoShape 824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11382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69" name="AutoShape 825" descr="SOUTHAFRICA"/>
        <xdr:cNvSpPr>
          <a:spLocks noChangeAspect="1" noChangeArrowheads="1"/>
        </xdr:cNvSpPr>
      </xdr:nvSpPr>
      <xdr:spPr bwMode="auto">
        <a:xfrm>
          <a:off x="0" y="11400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70" name="AutoShape 826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11400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71" name="AutoShape 827" descr="SOUTHAFRICA"/>
        <xdr:cNvSpPr>
          <a:spLocks noChangeAspect="1" noChangeArrowheads="1"/>
        </xdr:cNvSpPr>
      </xdr:nvSpPr>
      <xdr:spPr bwMode="auto">
        <a:xfrm>
          <a:off x="0" y="11417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72" name="AutoShape 828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11417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73" name="AutoShape 829" descr="SOUTHAFRICA"/>
        <xdr:cNvSpPr>
          <a:spLocks noChangeAspect="1" noChangeArrowheads="1"/>
        </xdr:cNvSpPr>
      </xdr:nvSpPr>
      <xdr:spPr bwMode="auto">
        <a:xfrm>
          <a:off x="0" y="1143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74" name="AutoShape 830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1143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75" name="AutoShape 831" descr="SOUTHAFRICA"/>
        <xdr:cNvSpPr>
          <a:spLocks noChangeAspect="1" noChangeArrowheads="1"/>
        </xdr:cNvSpPr>
      </xdr:nvSpPr>
      <xdr:spPr bwMode="auto">
        <a:xfrm>
          <a:off x="0" y="1145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76" name="AutoShape 832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1145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77" name="AutoShape 833" descr="SOUTHAFRICA"/>
        <xdr:cNvSpPr>
          <a:spLocks noChangeAspect="1" noChangeArrowheads="1"/>
        </xdr:cNvSpPr>
      </xdr:nvSpPr>
      <xdr:spPr bwMode="auto">
        <a:xfrm>
          <a:off x="0" y="1147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78" name="AutoShape 834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1147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79" name="AutoShape 835" descr="SOUTHKOREA"/>
        <xdr:cNvSpPr>
          <a:spLocks noChangeAspect="1" noChangeArrowheads="1"/>
        </xdr:cNvSpPr>
      </xdr:nvSpPr>
      <xdr:spPr bwMode="auto">
        <a:xfrm>
          <a:off x="0" y="1148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80" name="AutoShape 836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1148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81" name="AutoShape 837" descr="SOUTHKOREA"/>
        <xdr:cNvSpPr>
          <a:spLocks noChangeAspect="1" noChangeArrowheads="1"/>
        </xdr:cNvSpPr>
      </xdr:nvSpPr>
      <xdr:spPr bwMode="auto">
        <a:xfrm>
          <a:off x="0" y="11513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82" name="AutoShape 838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11513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83" name="AutoShape 839" descr="SOUTHKOREA"/>
        <xdr:cNvSpPr>
          <a:spLocks noChangeAspect="1" noChangeArrowheads="1"/>
        </xdr:cNvSpPr>
      </xdr:nvSpPr>
      <xdr:spPr bwMode="auto">
        <a:xfrm>
          <a:off x="0" y="1153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84" name="AutoShape 840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1153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85" name="AutoShape 841" descr="SOUTHKOREA2"/>
        <xdr:cNvSpPr>
          <a:spLocks noChangeAspect="1" noChangeArrowheads="1"/>
        </xdr:cNvSpPr>
      </xdr:nvSpPr>
      <xdr:spPr bwMode="auto">
        <a:xfrm>
          <a:off x="0" y="11555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86" name="AutoShape 842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11555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87" name="AutoShape 843" descr="SOUTHKOREA2"/>
        <xdr:cNvSpPr>
          <a:spLocks noChangeAspect="1" noChangeArrowheads="1"/>
        </xdr:cNvSpPr>
      </xdr:nvSpPr>
      <xdr:spPr bwMode="auto">
        <a:xfrm>
          <a:off x="0" y="11573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88" name="AutoShape 844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11573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89" name="AutoShape 845" descr="SOUTHKOREA2"/>
        <xdr:cNvSpPr>
          <a:spLocks noChangeAspect="1" noChangeArrowheads="1"/>
        </xdr:cNvSpPr>
      </xdr:nvSpPr>
      <xdr:spPr bwMode="auto">
        <a:xfrm>
          <a:off x="0" y="1159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90" name="AutoShape 846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1159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91" name="AutoShape 847" descr="SOUTHKOREA2"/>
        <xdr:cNvSpPr>
          <a:spLocks noChangeAspect="1" noChangeArrowheads="1"/>
        </xdr:cNvSpPr>
      </xdr:nvSpPr>
      <xdr:spPr bwMode="auto">
        <a:xfrm>
          <a:off x="0" y="1160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92" name="AutoShape 848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1160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93" name="AutoShape 849" descr="SOUTHKOREA4"/>
        <xdr:cNvSpPr>
          <a:spLocks noChangeAspect="1" noChangeArrowheads="1"/>
        </xdr:cNvSpPr>
      </xdr:nvSpPr>
      <xdr:spPr bwMode="auto">
        <a:xfrm>
          <a:off x="0" y="1163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94" name="AutoShape 850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1163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95" name="AutoShape 851" descr="SOUTHKOREA4"/>
        <xdr:cNvSpPr>
          <a:spLocks noChangeAspect="1" noChangeArrowheads="1"/>
        </xdr:cNvSpPr>
      </xdr:nvSpPr>
      <xdr:spPr bwMode="auto">
        <a:xfrm>
          <a:off x="0" y="11658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96" name="AutoShape 852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1165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97" name="AutoShape 853" descr="SWEDEN"/>
        <xdr:cNvSpPr>
          <a:spLocks noChangeAspect="1" noChangeArrowheads="1"/>
        </xdr:cNvSpPr>
      </xdr:nvSpPr>
      <xdr:spPr bwMode="auto">
        <a:xfrm>
          <a:off x="0" y="11676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598" name="AutoShape 854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11676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599" name="AutoShape 855" descr="SWEDEN2"/>
        <xdr:cNvSpPr>
          <a:spLocks noChangeAspect="1" noChangeArrowheads="1"/>
        </xdr:cNvSpPr>
      </xdr:nvSpPr>
      <xdr:spPr bwMode="auto">
        <a:xfrm>
          <a:off x="0" y="11693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00" name="AutoShape 856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11693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01" name="AutoShape 857" descr="SWEDEN2"/>
        <xdr:cNvSpPr>
          <a:spLocks noChangeAspect="1" noChangeArrowheads="1"/>
        </xdr:cNvSpPr>
      </xdr:nvSpPr>
      <xdr:spPr bwMode="auto">
        <a:xfrm>
          <a:off x="0" y="11711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02" name="AutoShape 858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11711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03" name="AutoShape 859" descr="SWEDEN2"/>
        <xdr:cNvSpPr>
          <a:spLocks noChangeAspect="1" noChangeArrowheads="1"/>
        </xdr:cNvSpPr>
      </xdr:nvSpPr>
      <xdr:spPr bwMode="auto">
        <a:xfrm>
          <a:off x="0" y="1172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04" name="AutoShape 860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1172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05" name="AutoShape 861" descr="SWEDEN2"/>
        <xdr:cNvSpPr>
          <a:spLocks noChangeAspect="1" noChangeArrowheads="1"/>
        </xdr:cNvSpPr>
      </xdr:nvSpPr>
      <xdr:spPr bwMode="auto">
        <a:xfrm>
          <a:off x="0" y="11753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06" name="AutoShape 862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1175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07" name="AutoShape 863" descr="SWEDEN2"/>
        <xdr:cNvSpPr>
          <a:spLocks noChangeAspect="1" noChangeArrowheads="1"/>
        </xdr:cNvSpPr>
      </xdr:nvSpPr>
      <xdr:spPr bwMode="auto">
        <a:xfrm>
          <a:off x="0" y="1177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08" name="AutoShape 864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1177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09" name="AutoShape 865" descr="SWEDEN3"/>
        <xdr:cNvSpPr>
          <a:spLocks noChangeAspect="1" noChangeArrowheads="1"/>
        </xdr:cNvSpPr>
      </xdr:nvSpPr>
      <xdr:spPr bwMode="auto">
        <a:xfrm>
          <a:off x="0" y="11788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10" name="AutoShape 866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11788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11" name="AutoShape 867" descr="SWEDEN3"/>
        <xdr:cNvSpPr>
          <a:spLocks noChangeAspect="1" noChangeArrowheads="1"/>
        </xdr:cNvSpPr>
      </xdr:nvSpPr>
      <xdr:spPr bwMode="auto">
        <a:xfrm>
          <a:off x="0" y="1180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12" name="AutoShape 868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1180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13" name="AutoShape 869" descr="SWEDEN3"/>
        <xdr:cNvSpPr>
          <a:spLocks noChangeAspect="1" noChangeArrowheads="1"/>
        </xdr:cNvSpPr>
      </xdr:nvSpPr>
      <xdr:spPr bwMode="auto">
        <a:xfrm>
          <a:off x="0" y="1182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14" name="AutoShape 870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1182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15" name="AutoShape 871" descr="SWEDEN3"/>
        <xdr:cNvSpPr>
          <a:spLocks noChangeAspect="1" noChangeArrowheads="1"/>
        </xdr:cNvSpPr>
      </xdr:nvSpPr>
      <xdr:spPr bwMode="auto">
        <a:xfrm>
          <a:off x="0" y="11841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16" name="AutoShape 872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1184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17" name="AutoShape 873" descr="SWEDEN4"/>
        <xdr:cNvSpPr>
          <a:spLocks noChangeAspect="1" noChangeArrowheads="1"/>
        </xdr:cNvSpPr>
      </xdr:nvSpPr>
      <xdr:spPr bwMode="auto">
        <a:xfrm>
          <a:off x="0" y="118590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18" name="AutoShape 874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118590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19" name="AutoShape 875" descr="SWEDEN4"/>
        <xdr:cNvSpPr>
          <a:spLocks noChangeAspect="1" noChangeArrowheads="1"/>
        </xdr:cNvSpPr>
      </xdr:nvSpPr>
      <xdr:spPr bwMode="auto">
        <a:xfrm>
          <a:off x="0" y="1187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20" name="AutoShape 876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1187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21" name="AutoShape 877" descr="SWEDEN4"/>
        <xdr:cNvSpPr>
          <a:spLocks noChangeAspect="1" noChangeArrowheads="1"/>
        </xdr:cNvSpPr>
      </xdr:nvSpPr>
      <xdr:spPr bwMode="auto">
        <a:xfrm>
          <a:off x="0" y="1189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22" name="AutoShape 878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1189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23" name="AutoShape 879" descr="SWEDEN4"/>
        <xdr:cNvSpPr>
          <a:spLocks noChangeAspect="1" noChangeArrowheads="1"/>
        </xdr:cNvSpPr>
      </xdr:nvSpPr>
      <xdr:spPr bwMode="auto">
        <a:xfrm>
          <a:off x="0" y="1191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24" name="AutoShape 880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1191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25" name="AutoShape 881" descr="SWEDEN11"/>
        <xdr:cNvSpPr>
          <a:spLocks noChangeAspect="1" noChangeArrowheads="1"/>
        </xdr:cNvSpPr>
      </xdr:nvSpPr>
      <xdr:spPr bwMode="auto">
        <a:xfrm>
          <a:off x="0" y="11929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26" name="AutoShape 882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11929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27" name="AutoShape 883" descr="SWEDEN11"/>
        <xdr:cNvSpPr>
          <a:spLocks noChangeAspect="1" noChangeArrowheads="1"/>
        </xdr:cNvSpPr>
      </xdr:nvSpPr>
      <xdr:spPr bwMode="auto">
        <a:xfrm>
          <a:off x="0" y="11946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28" name="AutoShape 884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11946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29" name="AutoShape 885" descr="SWEDEN11"/>
        <xdr:cNvSpPr>
          <a:spLocks noChangeAspect="1" noChangeArrowheads="1"/>
        </xdr:cNvSpPr>
      </xdr:nvSpPr>
      <xdr:spPr bwMode="auto">
        <a:xfrm>
          <a:off x="0" y="11964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30" name="AutoShape 886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11964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31" name="AutoShape 887" descr="SWEDEN11"/>
        <xdr:cNvSpPr>
          <a:spLocks noChangeAspect="1" noChangeArrowheads="1"/>
        </xdr:cNvSpPr>
      </xdr:nvSpPr>
      <xdr:spPr bwMode="auto">
        <a:xfrm>
          <a:off x="0" y="11989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32" name="AutoShape 888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11989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33" name="AutoShape 889" descr="SWEDEN11"/>
        <xdr:cNvSpPr>
          <a:spLocks noChangeAspect="1" noChangeArrowheads="1"/>
        </xdr:cNvSpPr>
      </xdr:nvSpPr>
      <xdr:spPr bwMode="auto">
        <a:xfrm>
          <a:off x="0" y="1201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34" name="AutoShape 890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1201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35" name="AutoShape 891" descr="TURKEY"/>
        <xdr:cNvSpPr>
          <a:spLocks noChangeAspect="1" noChangeArrowheads="1"/>
        </xdr:cNvSpPr>
      </xdr:nvSpPr>
      <xdr:spPr bwMode="auto">
        <a:xfrm>
          <a:off x="0" y="1203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36" name="AutoShape 892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1203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37" name="AutoShape 893" descr="TURKEY"/>
        <xdr:cNvSpPr>
          <a:spLocks noChangeAspect="1" noChangeArrowheads="1"/>
        </xdr:cNvSpPr>
      </xdr:nvSpPr>
      <xdr:spPr bwMode="auto">
        <a:xfrm>
          <a:off x="0" y="12057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38" name="AutoShape 894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12057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39" name="AutoShape 895" descr="TURKEY"/>
        <xdr:cNvSpPr>
          <a:spLocks noChangeAspect="1" noChangeArrowheads="1"/>
        </xdr:cNvSpPr>
      </xdr:nvSpPr>
      <xdr:spPr bwMode="auto">
        <a:xfrm>
          <a:off x="0" y="12074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40" name="AutoShape 896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12074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41" name="AutoShape 897" descr="TURKEY"/>
        <xdr:cNvSpPr>
          <a:spLocks noChangeAspect="1" noChangeArrowheads="1"/>
        </xdr:cNvSpPr>
      </xdr:nvSpPr>
      <xdr:spPr bwMode="auto">
        <a:xfrm>
          <a:off x="0" y="12092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42" name="AutoShape 898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12092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43" name="AutoShape 899" descr="TURKEY2"/>
        <xdr:cNvSpPr>
          <a:spLocks noChangeAspect="1" noChangeArrowheads="1"/>
        </xdr:cNvSpPr>
      </xdr:nvSpPr>
      <xdr:spPr bwMode="auto">
        <a:xfrm>
          <a:off x="0" y="12109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44" name="AutoShape 900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12109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45" name="AutoShape 901" descr="TURKEY2"/>
        <xdr:cNvSpPr>
          <a:spLocks noChangeAspect="1" noChangeArrowheads="1"/>
        </xdr:cNvSpPr>
      </xdr:nvSpPr>
      <xdr:spPr bwMode="auto">
        <a:xfrm>
          <a:off x="0" y="12134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46" name="AutoShape 902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12134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47" name="AutoShape 903" descr="TURKEY2"/>
        <xdr:cNvSpPr>
          <a:spLocks noChangeAspect="1" noChangeArrowheads="1"/>
        </xdr:cNvSpPr>
      </xdr:nvSpPr>
      <xdr:spPr bwMode="auto">
        <a:xfrm>
          <a:off x="0" y="12152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48" name="AutoShape 904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12152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49" name="AutoShape 905" descr="TURKEY2"/>
        <xdr:cNvSpPr>
          <a:spLocks noChangeAspect="1" noChangeArrowheads="1"/>
        </xdr:cNvSpPr>
      </xdr:nvSpPr>
      <xdr:spPr bwMode="auto">
        <a:xfrm>
          <a:off x="0" y="12169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50" name="AutoShape 906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12169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51" name="AutoShape 907" descr="UKRAINE"/>
        <xdr:cNvSpPr>
          <a:spLocks noChangeAspect="1" noChangeArrowheads="1"/>
        </xdr:cNvSpPr>
      </xdr:nvSpPr>
      <xdr:spPr bwMode="auto">
        <a:xfrm>
          <a:off x="0" y="12187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52" name="AutoShape 908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12187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53" name="AutoShape 909" descr="UKRAINE"/>
        <xdr:cNvSpPr>
          <a:spLocks noChangeAspect="1" noChangeArrowheads="1"/>
        </xdr:cNvSpPr>
      </xdr:nvSpPr>
      <xdr:spPr bwMode="auto">
        <a:xfrm>
          <a:off x="0" y="12204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54" name="AutoShape 910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12204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55" name="AutoShape 911" descr="UKRAINE"/>
        <xdr:cNvSpPr>
          <a:spLocks noChangeAspect="1" noChangeArrowheads="1"/>
        </xdr:cNvSpPr>
      </xdr:nvSpPr>
      <xdr:spPr bwMode="auto">
        <a:xfrm>
          <a:off x="0" y="12222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56" name="AutoShape 912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1222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57" name="AutoShape 913" descr="URUGUAY3"/>
        <xdr:cNvSpPr>
          <a:spLocks noChangeAspect="1" noChangeArrowheads="1"/>
        </xdr:cNvSpPr>
      </xdr:nvSpPr>
      <xdr:spPr bwMode="auto">
        <a:xfrm>
          <a:off x="0" y="122400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58" name="AutoShape 914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122400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59" name="AutoShape 915" descr="URUGUAY3"/>
        <xdr:cNvSpPr>
          <a:spLocks noChangeAspect="1" noChangeArrowheads="1"/>
        </xdr:cNvSpPr>
      </xdr:nvSpPr>
      <xdr:spPr bwMode="auto">
        <a:xfrm>
          <a:off x="0" y="12265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60" name="AutoShape 916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12265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61" name="AutoShape 917" descr="URUGUAY3"/>
        <xdr:cNvSpPr>
          <a:spLocks noChangeAspect="1" noChangeArrowheads="1"/>
        </xdr:cNvSpPr>
      </xdr:nvSpPr>
      <xdr:spPr bwMode="auto">
        <a:xfrm>
          <a:off x="0" y="12282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62" name="AutoShape 918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12282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63" name="AutoShape 919" descr="USA"/>
        <xdr:cNvSpPr>
          <a:spLocks noChangeAspect="1" noChangeArrowheads="1"/>
        </xdr:cNvSpPr>
      </xdr:nvSpPr>
      <xdr:spPr bwMode="auto">
        <a:xfrm>
          <a:off x="0" y="1230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64" name="AutoShape 920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1230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65" name="AutoShape 921" descr="USA"/>
        <xdr:cNvSpPr>
          <a:spLocks noChangeAspect="1" noChangeArrowheads="1"/>
        </xdr:cNvSpPr>
      </xdr:nvSpPr>
      <xdr:spPr bwMode="auto">
        <a:xfrm>
          <a:off x="0" y="12317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66" name="AutoShape 922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12317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67" name="AutoShape 923" descr="USA"/>
        <xdr:cNvSpPr>
          <a:spLocks noChangeAspect="1" noChangeArrowheads="1"/>
        </xdr:cNvSpPr>
      </xdr:nvSpPr>
      <xdr:spPr bwMode="auto">
        <a:xfrm>
          <a:off x="0" y="12335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68" name="AutoShape 924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12335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69" name="AutoShape 925" descr="USA"/>
        <xdr:cNvSpPr>
          <a:spLocks noChangeAspect="1" noChangeArrowheads="1"/>
        </xdr:cNvSpPr>
      </xdr:nvSpPr>
      <xdr:spPr bwMode="auto">
        <a:xfrm>
          <a:off x="0" y="12360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70" name="AutoShape 926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12360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71" name="AutoShape 927" descr="USA"/>
        <xdr:cNvSpPr>
          <a:spLocks noChangeAspect="1" noChangeArrowheads="1"/>
        </xdr:cNvSpPr>
      </xdr:nvSpPr>
      <xdr:spPr bwMode="auto">
        <a:xfrm>
          <a:off x="0" y="12377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72" name="AutoShape 928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12377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73" name="AutoShape 929" descr="USA2"/>
        <xdr:cNvSpPr>
          <a:spLocks noChangeAspect="1" noChangeArrowheads="1"/>
        </xdr:cNvSpPr>
      </xdr:nvSpPr>
      <xdr:spPr bwMode="auto">
        <a:xfrm>
          <a:off x="0" y="12395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74" name="AutoShape 930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12395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75" name="AutoShape 931" descr="USA2"/>
        <xdr:cNvSpPr>
          <a:spLocks noChangeAspect="1" noChangeArrowheads="1"/>
        </xdr:cNvSpPr>
      </xdr:nvSpPr>
      <xdr:spPr bwMode="auto">
        <a:xfrm>
          <a:off x="0" y="12412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76" name="AutoShape 932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12412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77" name="AutoShape 933" descr="USA2"/>
        <xdr:cNvSpPr>
          <a:spLocks noChangeAspect="1" noChangeArrowheads="1"/>
        </xdr:cNvSpPr>
      </xdr:nvSpPr>
      <xdr:spPr bwMode="auto">
        <a:xfrm>
          <a:off x="0" y="12430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78" name="AutoShape 934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12430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79" name="AutoShape 935" descr="USA2"/>
        <xdr:cNvSpPr>
          <a:spLocks noChangeAspect="1" noChangeArrowheads="1"/>
        </xdr:cNvSpPr>
      </xdr:nvSpPr>
      <xdr:spPr bwMode="auto">
        <a:xfrm>
          <a:off x="0" y="12448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80" name="AutoShape 936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12448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81" name="AutoShape 937" descr="USA2"/>
        <xdr:cNvSpPr>
          <a:spLocks noChangeAspect="1" noChangeArrowheads="1"/>
        </xdr:cNvSpPr>
      </xdr:nvSpPr>
      <xdr:spPr bwMode="auto">
        <a:xfrm>
          <a:off x="0" y="12465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82" name="AutoShape 938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12465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83" name="AutoShape 939" descr="USA3"/>
        <xdr:cNvSpPr>
          <a:spLocks noChangeAspect="1" noChangeArrowheads="1"/>
        </xdr:cNvSpPr>
      </xdr:nvSpPr>
      <xdr:spPr bwMode="auto">
        <a:xfrm>
          <a:off x="0" y="12483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84" name="AutoShape 940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12483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85" name="AutoShape 941" descr="USA3"/>
        <xdr:cNvSpPr>
          <a:spLocks noChangeAspect="1" noChangeArrowheads="1"/>
        </xdr:cNvSpPr>
      </xdr:nvSpPr>
      <xdr:spPr bwMode="auto">
        <a:xfrm>
          <a:off x="0" y="12500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86" name="AutoShape 942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12500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87" name="AutoShape 943" descr="USA3"/>
        <xdr:cNvSpPr>
          <a:spLocks noChangeAspect="1" noChangeArrowheads="1"/>
        </xdr:cNvSpPr>
      </xdr:nvSpPr>
      <xdr:spPr bwMode="auto">
        <a:xfrm>
          <a:off x="0" y="12518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88" name="AutoShape 944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12518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89" name="AutoShape 945" descr="USA3"/>
        <xdr:cNvSpPr>
          <a:spLocks noChangeAspect="1" noChangeArrowheads="1"/>
        </xdr:cNvSpPr>
      </xdr:nvSpPr>
      <xdr:spPr bwMode="auto">
        <a:xfrm>
          <a:off x="0" y="12535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90" name="AutoShape 946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12535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91" name="AutoShape 947" descr="USA3"/>
        <xdr:cNvSpPr>
          <a:spLocks noChangeAspect="1" noChangeArrowheads="1"/>
        </xdr:cNvSpPr>
      </xdr:nvSpPr>
      <xdr:spPr bwMode="auto">
        <a:xfrm>
          <a:off x="0" y="12560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92" name="AutoShape 948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12560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93" name="AutoShape 949" descr="USA6"/>
        <xdr:cNvSpPr>
          <a:spLocks noChangeAspect="1" noChangeArrowheads="1"/>
        </xdr:cNvSpPr>
      </xdr:nvSpPr>
      <xdr:spPr bwMode="auto">
        <a:xfrm>
          <a:off x="0" y="12585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94" name="AutoShape 950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12585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95" name="AutoShape 951" descr="USA6"/>
        <xdr:cNvSpPr>
          <a:spLocks noChangeAspect="1" noChangeArrowheads="1"/>
        </xdr:cNvSpPr>
      </xdr:nvSpPr>
      <xdr:spPr bwMode="auto">
        <a:xfrm>
          <a:off x="0" y="12611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96" name="AutoShape 952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12611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97" name="AutoShape 953" descr="USA6"/>
        <xdr:cNvSpPr>
          <a:spLocks noChangeAspect="1" noChangeArrowheads="1"/>
        </xdr:cNvSpPr>
      </xdr:nvSpPr>
      <xdr:spPr bwMode="auto">
        <a:xfrm>
          <a:off x="0" y="12636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698" name="AutoShape 954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12636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699" name="AutoShape 955" descr="USA6"/>
        <xdr:cNvSpPr>
          <a:spLocks noChangeAspect="1" noChangeArrowheads="1"/>
        </xdr:cNvSpPr>
      </xdr:nvSpPr>
      <xdr:spPr bwMode="auto">
        <a:xfrm>
          <a:off x="0" y="1266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00" name="AutoShape 956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1266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701" name="AutoShape 957" descr="USA6"/>
        <xdr:cNvSpPr>
          <a:spLocks noChangeAspect="1" noChangeArrowheads="1"/>
        </xdr:cNvSpPr>
      </xdr:nvSpPr>
      <xdr:spPr bwMode="auto">
        <a:xfrm>
          <a:off x="0" y="1268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02" name="AutoShape 958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1268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703" name="AutoShape 959" descr="USA7"/>
        <xdr:cNvSpPr>
          <a:spLocks noChangeAspect="1" noChangeArrowheads="1"/>
        </xdr:cNvSpPr>
      </xdr:nvSpPr>
      <xdr:spPr bwMode="auto">
        <a:xfrm>
          <a:off x="0" y="12711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04" name="AutoShape 960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12711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705" name="AutoShape 961" descr="USA7"/>
        <xdr:cNvSpPr>
          <a:spLocks noChangeAspect="1" noChangeArrowheads="1"/>
        </xdr:cNvSpPr>
      </xdr:nvSpPr>
      <xdr:spPr bwMode="auto">
        <a:xfrm>
          <a:off x="0" y="1272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06" name="AutoShape 962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1272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707" name="AutoShape 963" descr="USA7"/>
        <xdr:cNvSpPr>
          <a:spLocks noChangeAspect="1" noChangeArrowheads="1"/>
        </xdr:cNvSpPr>
      </xdr:nvSpPr>
      <xdr:spPr bwMode="auto">
        <a:xfrm>
          <a:off x="0" y="1274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08" name="AutoShape 964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1274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709" name="AutoShape 965" descr="WALES"/>
        <xdr:cNvSpPr>
          <a:spLocks noChangeAspect="1" noChangeArrowheads="1"/>
        </xdr:cNvSpPr>
      </xdr:nvSpPr>
      <xdr:spPr bwMode="auto">
        <a:xfrm>
          <a:off x="0" y="12771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10" name="AutoShape 966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12771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711" name="AutoShape 967" descr="WALES"/>
        <xdr:cNvSpPr>
          <a:spLocks noChangeAspect="1" noChangeArrowheads="1"/>
        </xdr:cNvSpPr>
      </xdr:nvSpPr>
      <xdr:spPr bwMode="auto">
        <a:xfrm>
          <a:off x="0" y="12789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12" name="AutoShape 968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2789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8713" name="AutoShape 969" descr="SPAIN"/>
        <xdr:cNvSpPr>
          <a:spLocks noChangeAspect="1" noChangeArrowheads="1"/>
        </xdr:cNvSpPr>
      </xdr:nvSpPr>
      <xdr:spPr bwMode="auto">
        <a:xfrm>
          <a:off x="0" y="1280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8714" name="AutoShape 970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280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8715" name="AutoShape 971" descr="SPAIN"/>
        <xdr:cNvSpPr>
          <a:spLocks noChangeAspect="1" noChangeArrowheads="1"/>
        </xdr:cNvSpPr>
      </xdr:nvSpPr>
      <xdr:spPr bwMode="auto">
        <a:xfrm>
          <a:off x="0" y="12824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8716" name="AutoShape 972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12824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8717" name="AutoShape 973" descr="SPAIN"/>
        <xdr:cNvSpPr>
          <a:spLocks noChangeAspect="1" noChangeArrowheads="1"/>
        </xdr:cNvSpPr>
      </xdr:nvSpPr>
      <xdr:spPr bwMode="auto">
        <a:xfrm>
          <a:off x="0" y="12841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129540</xdr:rowOff>
    </xdr:to>
    <xdr:sp macro="" textlink="">
      <xdr:nvSpPr>
        <xdr:cNvPr id="8718" name="AutoShape 974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12841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8719" name="AutoShape 975" descr="NETHERLANDS"/>
        <xdr:cNvSpPr>
          <a:spLocks noChangeAspect="1" noChangeArrowheads="1"/>
        </xdr:cNvSpPr>
      </xdr:nvSpPr>
      <xdr:spPr bwMode="auto">
        <a:xfrm>
          <a:off x="0" y="12859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8720" name="AutoShape 976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12859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8721" name="AutoShape 977" descr="NETHERLANDS"/>
        <xdr:cNvSpPr>
          <a:spLocks noChangeAspect="1" noChangeArrowheads="1"/>
        </xdr:cNvSpPr>
      </xdr:nvSpPr>
      <xdr:spPr bwMode="auto">
        <a:xfrm>
          <a:off x="0" y="12884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129540</xdr:rowOff>
    </xdr:to>
    <xdr:sp macro="" textlink="">
      <xdr:nvSpPr>
        <xdr:cNvPr id="8722" name="AutoShape 978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12884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8723" name="AutoShape 979" descr="NETHERLANDS"/>
        <xdr:cNvSpPr>
          <a:spLocks noChangeAspect="1" noChangeArrowheads="1"/>
        </xdr:cNvSpPr>
      </xdr:nvSpPr>
      <xdr:spPr bwMode="auto">
        <a:xfrm>
          <a:off x="0" y="12902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53340</xdr:rowOff>
    </xdr:to>
    <xdr:sp macro="" textlink="">
      <xdr:nvSpPr>
        <xdr:cNvPr id="8724" name="AutoShape 980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2902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8725" name="AutoShape 981" descr="NETHERLANDS"/>
        <xdr:cNvSpPr>
          <a:spLocks noChangeAspect="1" noChangeArrowheads="1"/>
        </xdr:cNvSpPr>
      </xdr:nvSpPr>
      <xdr:spPr bwMode="auto">
        <a:xfrm>
          <a:off x="0" y="12927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53340</xdr:rowOff>
    </xdr:to>
    <xdr:sp macro="" textlink="">
      <xdr:nvSpPr>
        <xdr:cNvPr id="8726" name="AutoShape 982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2927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8727" name="AutoShape 983" descr="PORTUGAL"/>
        <xdr:cNvSpPr>
          <a:spLocks noChangeAspect="1" noChangeArrowheads="1"/>
        </xdr:cNvSpPr>
      </xdr:nvSpPr>
      <xdr:spPr bwMode="auto">
        <a:xfrm>
          <a:off x="0" y="1295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8728" name="AutoShape 984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295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8729" name="AutoShape 985" descr="PORTUGAL"/>
        <xdr:cNvSpPr>
          <a:spLocks noChangeAspect="1" noChangeArrowheads="1"/>
        </xdr:cNvSpPr>
      </xdr:nvSpPr>
      <xdr:spPr bwMode="auto">
        <a:xfrm>
          <a:off x="0" y="12970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8730" name="AutoShape 986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2970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8731" name="AutoShape 987" descr="PORTUGAL"/>
        <xdr:cNvSpPr>
          <a:spLocks noChangeAspect="1" noChangeArrowheads="1"/>
        </xdr:cNvSpPr>
      </xdr:nvSpPr>
      <xdr:spPr bwMode="auto">
        <a:xfrm>
          <a:off x="0" y="12987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8732" name="AutoShape 988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2987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8733" name="AutoShape 989" descr="PORTUGAL"/>
        <xdr:cNvSpPr>
          <a:spLocks noChangeAspect="1" noChangeArrowheads="1"/>
        </xdr:cNvSpPr>
      </xdr:nvSpPr>
      <xdr:spPr bwMode="auto">
        <a:xfrm>
          <a:off x="0" y="13005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53340</xdr:rowOff>
    </xdr:to>
    <xdr:sp macro="" textlink="">
      <xdr:nvSpPr>
        <xdr:cNvPr id="8734" name="AutoShape 990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13005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8735" name="AutoShape 991" descr="ENGLAND2"/>
        <xdr:cNvSpPr>
          <a:spLocks noChangeAspect="1" noChangeArrowheads="1"/>
        </xdr:cNvSpPr>
      </xdr:nvSpPr>
      <xdr:spPr bwMode="auto">
        <a:xfrm>
          <a:off x="0" y="13030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129540</xdr:rowOff>
    </xdr:to>
    <xdr:sp macro="" textlink="">
      <xdr:nvSpPr>
        <xdr:cNvPr id="8736" name="AutoShape 992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13030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8737" name="AutoShape 993" descr="ENGLAND2"/>
        <xdr:cNvSpPr>
          <a:spLocks noChangeAspect="1" noChangeArrowheads="1"/>
        </xdr:cNvSpPr>
      </xdr:nvSpPr>
      <xdr:spPr bwMode="auto">
        <a:xfrm>
          <a:off x="0" y="13047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53340</xdr:rowOff>
    </xdr:to>
    <xdr:sp macro="" textlink="">
      <xdr:nvSpPr>
        <xdr:cNvPr id="8738" name="AutoShape 994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13047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8739" name="AutoShape 995" descr="SPAIN2"/>
        <xdr:cNvSpPr>
          <a:spLocks noChangeAspect="1" noChangeArrowheads="1"/>
        </xdr:cNvSpPr>
      </xdr:nvSpPr>
      <xdr:spPr bwMode="auto">
        <a:xfrm>
          <a:off x="0" y="130728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129540</xdr:rowOff>
    </xdr:to>
    <xdr:sp macro="" textlink="">
      <xdr:nvSpPr>
        <xdr:cNvPr id="8740" name="AutoShape 996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130728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8741" name="AutoShape 997" descr="SPAIN2"/>
        <xdr:cNvSpPr>
          <a:spLocks noChangeAspect="1" noChangeArrowheads="1"/>
        </xdr:cNvSpPr>
      </xdr:nvSpPr>
      <xdr:spPr bwMode="auto">
        <a:xfrm>
          <a:off x="0" y="130903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8742" name="AutoShape 998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130903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8743" name="AutoShape 999" descr="SPAIN2"/>
        <xdr:cNvSpPr>
          <a:spLocks noChangeAspect="1" noChangeArrowheads="1"/>
        </xdr:cNvSpPr>
      </xdr:nvSpPr>
      <xdr:spPr bwMode="auto">
        <a:xfrm>
          <a:off x="0" y="13107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8744" name="AutoShape 1000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13107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8745" name="AutoShape 1001" descr="SPAIN2"/>
        <xdr:cNvSpPr>
          <a:spLocks noChangeAspect="1" noChangeArrowheads="1"/>
        </xdr:cNvSpPr>
      </xdr:nvSpPr>
      <xdr:spPr bwMode="auto">
        <a:xfrm>
          <a:off x="0" y="131254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129540</xdr:rowOff>
    </xdr:to>
    <xdr:sp macro="" textlink="">
      <xdr:nvSpPr>
        <xdr:cNvPr id="8746" name="AutoShape 1002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13125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8747" name="AutoShape 1003" descr="GERMANY2"/>
        <xdr:cNvSpPr>
          <a:spLocks noChangeAspect="1" noChangeArrowheads="1"/>
        </xdr:cNvSpPr>
      </xdr:nvSpPr>
      <xdr:spPr bwMode="auto">
        <a:xfrm>
          <a:off x="0" y="131429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8748" name="AutoShape 1004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131429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8749" name="AutoShape 1005" descr="GERMANY2"/>
        <xdr:cNvSpPr>
          <a:spLocks noChangeAspect="1" noChangeArrowheads="1"/>
        </xdr:cNvSpPr>
      </xdr:nvSpPr>
      <xdr:spPr bwMode="auto">
        <a:xfrm>
          <a:off x="0" y="131681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53340</xdr:rowOff>
    </xdr:to>
    <xdr:sp macro="" textlink="">
      <xdr:nvSpPr>
        <xdr:cNvPr id="8750" name="AutoShape 1006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131681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8751" name="AutoShape 1007" descr="GERMANY2"/>
        <xdr:cNvSpPr>
          <a:spLocks noChangeAspect="1" noChangeArrowheads="1"/>
        </xdr:cNvSpPr>
      </xdr:nvSpPr>
      <xdr:spPr bwMode="auto">
        <a:xfrm>
          <a:off x="0" y="131932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8752" name="AutoShape 1008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131932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8753" name="AutoShape 1009" descr="ARGENTINA2"/>
        <xdr:cNvSpPr>
          <a:spLocks noChangeAspect="1" noChangeArrowheads="1"/>
        </xdr:cNvSpPr>
      </xdr:nvSpPr>
      <xdr:spPr bwMode="auto">
        <a:xfrm>
          <a:off x="0" y="132107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129540</xdr:rowOff>
    </xdr:to>
    <xdr:sp macro="" textlink="">
      <xdr:nvSpPr>
        <xdr:cNvPr id="8754" name="AutoShape 1010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132107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8755" name="AutoShape 1011" descr="ARGENTINA2"/>
        <xdr:cNvSpPr>
          <a:spLocks noChangeAspect="1" noChangeArrowheads="1"/>
        </xdr:cNvSpPr>
      </xdr:nvSpPr>
      <xdr:spPr bwMode="auto">
        <a:xfrm>
          <a:off x="0" y="132283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8756" name="AutoShape 1012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13228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8757" name="AutoShape 1013" descr="ARGENTINA2"/>
        <xdr:cNvSpPr>
          <a:spLocks noChangeAspect="1" noChangeArrowheads="1"/>
        </xdr:cNvSpPr>
      </xdr:nvSpPr>
      <xdr:spPr bwMode="auto">
        <a:xfrm>
          <a:off x="0" y="13245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53340</xdr:rowOff>
    </xdr:to>
    <xdr:sp macro="" textlink="">
      <xdr:nvSpPr>
        <xdr:cNvPr id="8758" name="AutoShape 1014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13245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8759" name="AutoShape 1015" descr="ARGENTINA2"/>
        <xdr:cNvSpPr>
          <a:spLocks noChangeAspect="1" noChangeArrowheads="1"/>
        </xdr:cNvSpPr>
      </xdr:nvSpPr>
      <xdr:spPr bwMode="auto">
        <a:xfrm>
          <a:off x="0" y="13270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8760" name="AutoShape 1016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13270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8761" name="AutoShape 1017" descr="ARGENTINA2"/>
        <xdr:cNvSpPr>
          <a:spLocks noChangeAspect="1" noChangeArrowheads="1"/>
        </xdr:cNvSpPr>
      </xdr:nvSpPr>
      <xdr:spPr bwMode="auto">
        <a:xfrm>
          <a:off x="0" y="13296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53340</xdr:rowOff>
    </xdr:to>
    <xdr:sp macro="" textlink="">
      <xdr:nvSpPr>
        <xdr:cNvPr id="8762" name="AutoShape 1018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13296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8763" name="AutoShape 1019" descr="ARGENTINA3"/>
        <xdr:cNvSpPr>
          <a:spLocks noChangeAspect="1" noChangeArrowheads="1"/>
        </xdr:cNvSpPr>
      </xdr:nvSpPr>
      <xdr:spPr bwMode="auto">
        <a:xfrm>
          <a:off x="0" y="13321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8764" name="AutoShape 1020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13321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8765" name="AutoShape 1021" descr="ARGENTINA3"/>
        <xdr:cNvSpPr>
          <a:spLocks noChangeAspect="1" noChangeArrowheads="1"/>
        </xdr:cNvSpPr>
      </xdr:nvSpPr>
      <xdr:spPr bwMode="auto">
        <a:xfrm>
          <a:off x="0" y="13346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53340</xdr:rowOff>
    </xdr:to>
    <xdr:sp macro="" textlink="">
      <xdr:nvSpPr>
        <xdr:cNvPr id="8766" name="AutoShape 1022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13346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8767" name="AutoShape 1023" descr="ARGENTINA3"/>
        <xdr:cNvSpPr>
          <a:spLocks noChangeAspect="1" noChangeArrowheads="1"/>
        </xdr:cNvSpPr>
      </xdr:nvSpPr>
      <xdr:spPr bwMode="auto">
        <a:xfrm>
          <a:off x="0" y="13371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53340</xdr:rowOff>
    </xdr:to>
    <xdr:sp macro="" textlink="">
      <xdr:nvSpPr>
        <xdr:cNvPr id="8768" name="AutoShape 1024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13371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8769" name="AutoShape 1025" descr="ARGENTINA3"/>
        <xdr:cNvSpPr>
          <a:spLocks noChangeAspect="1" noChangeArrowheads="1"/>
        </xdr:cNvSpPr>
      </xdr:nvSpPr>
      <xdr:spPr bwMode="auto">
        <a:xfrm>
          <a:off x="0" y="13396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8770" name="AutoShape 1026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13396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8771" name="AutoShape 1027" descr="ARGENTINA3"/>
        <xdr:cNvSpPr>
          <a:spLocks noChangeAspect="1" noChangeArrowheads="1"/>
        </xdr:cNvSpPr>
      </xdr:nvSpPr>
      <xdr:spPr bwMode="auto">
        <a:xfrm>
          <a:off x="0" y="13421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8772" name="AutoShape 1028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13421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8773" name="AutoShape 1029" descr="ARGENTINA3"/>
        <xdr:cNvSpPr>
          <a:spLocks noChangeAspect="1" noChangeArrowheads="1"/>
        </xdr:cNvSpPr>
      </xdr:nvSpPr>
      <xdr:spPr bwMode="auto">
        <a:xfrm>
          <a:off x="0" y="134470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129540</xdr:rowOff>
    </xdr:to>
    <xdr:sp macro="" textlink="">
      <xdr:nvSpPr>
        <xdr:cNvPr id="8774" name="AutoShape 1030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134470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8775" name="AutoShape 1031" descr="ARGENTINA3"/>
        <xdr:cNvSpPr>
          <a:spLocks noChangeAspect="1" noChangeArrowheads="1"/>
        </xdr:cNvSpPr>
      </xdr:nvSpPr>
      <xdr:spPr bwMode="auto">
        <a:xfrm>
          <a:off x="0" y="134645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8776" name="AutoShape 1032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134645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8777" name="AutoShape 1033" descr="ARMENIA"/>
        <xdr:cNvSpPr>
          <a:spLocks noChangeAspect="1" noChangeArrowheads="1"/>
        </xdr:cNvSpPr>
      </xdr:nvSpPr>
      <xdr:spPr bwMode="auto">
        <a:xfrm>
          <a:off x="0" y="13482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8778" name="AutoShape 1034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13482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8779" name="AutoShape 1035" descr="AUSTRALIA3"/>
        <xdr:cNvSpPr>
          <a:spLocks noChangeAspect="1" noChangeArrowheads="1"/>
        </xdr:cNvSpPr>
      </xdr:nvSpPr>
      <xdr:spPr bwMode="auto">
        <a:xfrm>
          <a:off x="0" y="13499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8780" name="AutoShape 1036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13499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8781" name="AutoShape 1037" descr="AUSTRALIA7"/>
        <xdr:cNvSpPr>
          <a:spLocks noChangeAspect="1" noChangeArrowheads="1"/>
        </xdr:cNvSpPr>
      </xdr:nvSpPr>
      <xdr:spPr bwMode="auto">
        <a:xfrm>
          <a:off x="0" y="13524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53340</xdr:rowOff>
    </xdr:to>
    <xdr:sp macro="" textlink="">
      <xdr:nvSpPr>
        <xdr:cNvPr id="8782" name="AutoShape 1038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13524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8783" name="AutoShape 1039" descr="AUSTRALIA7"/>
        <xdr:cNvSpPr>
          <a:spLocks noChangeAspect="1" noChangeArrowheads="1"/>
        </xdr:cNvSpPr>
      </xdr:nvSpPr>
      <xdr:spPr bwMode="auto">
        <a:xfrm>
          <a:off x="0" y="135498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8784" name="AutoShape 1040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135498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8785" name="AutoShape 1041" descr="AUSTRALIA7"/>
        <xdr:cNvSpPr>
          <a:spLocks noChangeAspect="1" noChangeArrowheads="1"/>
        </xdr:cNvSpPr>
      </xdr:nvSpPr>
      <xdr:spPr bwMode="auto">
        <a:xfrm>
          <a:off x="0" y="13575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53340</xdr:rowOff>
    </xdr:to>
    <xdr:sp macro="" textlink="">
      <xdr:nvSpPr>
        <xdr:cNvPr id="8786" name="AutoShape 1042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13575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8787" name="AutoShape 1043" descr="AUSTRALIA7"/>
        <xdr:cNvSpPr>
          <a:spLocks noChangeAspect="1" noChangeArrowheads="1"/>
        </xdr:cNvSpPr>
      </xdr:nvSpPr>
      <xdr:spPr bwMode="auto">
        <a:xfrm>
          <a:off x="0" y="136001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53340</xdr:rowOff>
    </xdr:to>
    <xdr:sp macro="" textlink="">
      <xdr:nvSpPr>
        <xdr:cNvPr id="8788" name="AutoShape 1044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136001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8789" name="AutoShape 1045" descr="AUSTRALIA7"/>
        <xdr:cNvSpPr>
          <a:spLocks noChangeAspect="1" noChangeArrowheads="1"/>
        </xdr:cNvSpPr>
      </xdr:nvSpPr>
      <xdr:spPr bwMode="auto">
        <a:xfrm>
          <a:off x="0" y="13625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8790" name="AutoShape 1046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13625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8791" name="AutoShape 1047" descr="AUSTRALIA7"/>
        <xdr:cNvSpPr>
          <a:spLocks noChangeAspect="1" noChangeArrowheads="1"/>
        </xdr:cNvSpPr>
      </xdr:nvSpPr>
      <xdr:spPr bwMode="auto">
        <a:xfrm>
          <a:off x="0" y="13642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8792" name="AutoShape 1048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13642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8793" name="AutoShape 1049" descr="AUSTRALIA10"/>
        <xdr:cNvSpPr>
          <a:spLocks noChangeAspect="1" noChangeArrowheads="1"/>
        </xdr:cNvSpPr>
      </xdr:nvSpPr>
      <xdr:spPr bwMode="auto">
        <a:xfrm>
          <a:off x="0" y="13660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53340</xdr:rowOff>
    </xdr:to>
    <xdr:sp macro="" textlink="">
      <xdr:nvSpPr>
        <xdr:cNvPr id="8794" name="AutoShape 1050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13660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8795" name="AutoShape 1051" descr="AUSTRALIA10"/>
        <xdr:cNvSpPr>
          <a:spLocks noChangeAspect="1" noChangeArrowheads="1"/>
        </xdr:cNvSpPr>
      </xdr:nvSpPr>
      <xdr:spPr bwMode="auto">
        <a:xfrm>
          <a:off x="0" y="13685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53340</xdr:rowOff>
    </xdr:to>
    <xdr:sp macro="" textlink="">
      <xdr:nvSpPr>
        <xdr:cNvPr id="8796" name="AutoShape 1052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13685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8797" name="AutoShape 1053" descr="AUSTRALIA11"/>
        <xdr:cNvSpPr>
          <a:spLocks noChangeAspect="1" noChangeArrowheads="1"/>
        </xdr:cNvSpPr>
      </xdr:nvSpPr>
      <xdr:spPr bwMode="auto">
        <a:xfrm>
          <a:off x="0" y="1371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8798" name="AutoShape 1054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1371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8799" name="AutoShape 1055" descr="AUSTRALIA11"/>
        <xdr:cNvSpPr>
          <a:spLocks noChangeAspect="1" noChangeArrowheads="1"/>
        </xdr:cNvSpPr>
      </xdr:nvSpPr>
      <xdr:spPr bwMode="auto">
        <a:xfrm>
          <a:off x="0" y="137358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129540</xdr:rowOff>
    </xdr:to>
    <xdr:sp macro="" textlink="">
      <xdr:nvSpPr>
        <xdr:cNvPr id="8800" name="AutoShape 1056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137358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8801" name="AutoShape 1057" descr="AUSTRALIA11"/>
        <xdr:cNvSpPr>
          <a:spLocks noChangeAspect="1" noChangeArrowheads="1"/>
        </xdr:cNvSpPr>
      </xdr:nvSpPr>
      <xdr:spPr bwMode="auto">
        <a:xfrm>
          <a:off x="0" y="13753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53340</xdr:rowOff>
    </xdr:to>
    <xdr:sp macro="" textlink="">
      <xdr:nvSpPr>
        <xdr:cNvPr id="8802" name="AutoShape 1058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13753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8803" name="AutoShape 1059" descr="AUSTRIA"/>
        <xdr:cNvSpPr>
          <a:spLocks noChangeAspect="1" noChangeArrowheads="1"/>
        </xdr:cNvSpPr>
      </xdr:nvSpPr>
      <xdr:spPr bwMode="auto">
        <a:xfrm>
          <a:off x="0" y="13778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129540</xdr:rowOff>
    </xdr:to>
    <xdr:sp macro="" textlink="">
      <xdr:nvSpPr>
        <xdr:cNvPr id="8804" name="AutoShape 1060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13778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8805" name="AutoShape 1061" descr="AUSTRIA"/>
        <xdr:cNvSpPr>
          <a:spLocks noChangeAspect="1" noChangeArrowheads="1"/>
        </xdr:cNvSpPr>
      </xdr:nvSpPr>
      <xdr:spPr bwMode="auto">
        <a:xfrm>
          <a:off x="0" y="137960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8806" name="AutoShape 1062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37960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8807" name="AutoShape 1063" descr="AUSTRIA"/>
        <xdr:cNvSpPr>
          <a:spLocks noChangeAspect="1" noChangeArrowheads="1"/>
        </xdr:cNvSpPr>
      </xdr:nvSpPr>
      <xdr:spPr bwMode="auto">
        <a:xfrm>
          <a:off x="0" y="13813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8808" name="AutoShape 1064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3813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8809" name="AutoShape 1065" descr="AUSTRIA2"/>
        <xdr:cNvSpPr>
          <a:spLocks noChangeAspect="1" noChangeArrowheads="1"/>
        </xdr:cNvSpPr>
      </xdr:nvSpPr>
      <xdr:spPr bwMode="auto">
        <a:xfrm>
          <a:off x="0" y="13831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8810" name="AutoShape 1066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3831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8811" name="AutoShape 1067" descr="AZERBAIJAN"/>
        <xdr:cNvSpPr>
          <a:spLocks noChangeAspect="1" noChangeArrowheads="1"/>
        </xdr:cNvSpPr>
      </xdr:nvSpPr>
      <xdr:spPr bwMode="auto">
        <a:xfrm>
          <a:off x="0" y="13848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8812" name="AutoShape 1068" descr="https://www.soccerstats.com/img/own/sshplogo.png">
          <a:hlinkClick xmlns:r="http://schemas.openxmlformats.org/officeDocument/2006/relationships" r:id="rId558"/>
        </xdr:cNvPr>
        <xdr:cNvSpPr>
          <a:spLocks noChangeAspect="1" noChangeArrowheads="1"/>
        </xdr:cNvSpPr>
      </xdr:nvSpPr>
      <xdr:spPr bwMode="auto">
        <a:xfrm>
          <a:off x="13411200" y="13848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8813" name="AutoShape 1069" descr="AZERBAIJAN"/>
        <xdr:cNvSpPr>
          <a:spLocks noChangeAspect="1" noChangeArrowheads="1"/>
        </xdr:cNvSpPr>
      </xdr:nvSpPr>
      <xdr:spPr bwMode="auto">
        <a:xfrm>
          <a:off x="0" y="13866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129540</xdr:rowOff>
    </xdr:to>
    <xdr:sp macro="" textlink="">
      <xdr:nvSpPr>
        <xdr:cNvPr id="8814" name="AutoShape 1070" descr="https://www.soccerstats.com/img/own/sshplogo.png">
          <a:hlinkClick xmlns:r="http://schemas.openxmlformats.org/officeDocument/2006/relationships" r:id="rId560"/>
        </xdr:cNvPr>
        <xdr:cNvSpPr>
          <a:spLocks noChangeAspect="1" noChangeArrowheads="1"/>
        </xdr:cNvSpPr>
      </xdr:nvSpPr>
      <xdr:spPr bwMode="auto">
        <a:xfrm>
          <a:off x="13411200" y="13866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8815" name="AutoShape 1071" descr="BELARUS"/>
        <xdr:cNvSpPr>
          <a:spLocks noChangeAspect="1" noChangeArrowheads="1"/>
        </xdr:cNvSpPr>
      </xdr:nvSpPr>
      <xdr:spPr bwMode="auto">
        <a:xfrm>
          <a:off x="0" y="138836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8816" name="AutoShape 1072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3883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8817" name="AutoShape 1073" descr="BELARUS"/>
        <xdr:cNvSpPr>
          <a:spLocks noChangeAspect="1" noChangeArrowheads="1"/>
        </xdr:cNvSpPr>
      </xdr:nvSpPr>
      <xdr:spPr bwMode="auto">
        <a:xfrm>
          <a:off x="0" y="139011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8818" name="AutoShape 1074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39011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8819" name="AutoShape 1075" descr="BELARUS"/>
        <xdr:cNvSpPr>
          <a:spLocks noChangeAspect="1" noChangeArrowheads="1"/>
        </xdr:cNvSpPr>
      </xdr:nvSpPr>
      <xdr:spPr bwMode="auto">
        <a:xfrm>
          <a:off x="0" y="13926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129540</xdr:rowOff>
    </xdr:to>
    <xdr:sp macro="" textlink="">
      <xdr:nvSpPr>
        <xdr:cNvPr id="8820" name="AutoShape 1076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3926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8821" name="AutoShape 1077" descr="BELGIUM"/>
        <xdr:cNvSpPr>
          <a:spLocks noChangeAspect="1" noChangeArrowheads="1"/>
        </xdr:cNvSpPr>
      </xdr:nvSpPr>
      <xdr:spPr bwMode="auto">
        <a:xfrm>
          <a:off x="0" y="139438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8822" name="AutoShape 1078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39438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8823" name="AutoShape 1079" descr="BELGIUM"/>
        <xdr:cNvSpPr>
          <a:spLocks noChangeAspect="1" noChangeArrowheads="1"/>
        </xdr:cNvSpPr>
      </xdr:nvSpPr>
      <xdr:spPr bwMode="auto">
        <a:xfrm>
          <a:off x="0" y="139613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129540</xdr:rowOff>
    </xdr:to>
    <xdr:sp macro="" textlink="">
      <xdr:nvSpPr>
        <xdr:cNvPr id="8824" name="AutoShape 1080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39613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8825" name="AutoShape 1081" descr="BELGIUM"/>
        <xdr:cNvSpPr>
          <a:spLocks noChangeAspect="1" noChangeArrowheads="1"/>
        </xdr:cNvSpPr>
      </xdr:nvSpPr>
      <xdr:spPr bwMode="auto">
        <a:xfrm>
          <a:off x="0" y="13978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8826" name="AutoShape 1082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3978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8827" name="AutoShape 1083" descr="BELGIUM"/>
        <xdr:cNvSpPr>
          <a:spLocks noChangeAspect="1" noChangeArrowheads="1"/>
        </xdr:cNvSpPr>
      </xdr:nvSpPr>
      <xdr:spPr bwMode="auto">
        <a:xfrm>
          <a:off x="0" y="14004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129540</xdr:rowOff>
    </xdr:to>
    <xdr:sp macro="" textlink="">
      <xdr:nvSpPr>
        <xdr:cNvPr id="8828" name="AutoShape 1084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4004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8829" name="AutoShape 1085" descr="BELGIUM2"/>
        <xdr:cNvSpPr>
          <a:spLocks noChangeAspect="1" noChangeArrowheads="1"/>
        </xdr:cNvSpPr>
      </xdr:nvSpPr>
      <xdr:spPr bwMode="auto">
        <a:xfrm>
          <a:off x="0" y="14021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129540</xdr:rowOff>
    </xdr:to>
    <xdr:sp macro="" textlink="">
      <xdr:nvSpPr>
        <xdr:cNvPr id="8830" name="AutoShape 1086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4021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8831" name="AutoShape 1087" descr="BOSNIA"/>
        <xdr:cNvSpPr>
          <a:spLocks noChangeAspect="1" noChangeArrowheads="1"/>
        </xdr:cNvSpPr>
      </xdr:nvSpPr>
      <xdr:spPr bwMode="auto">
        <a:xfrm>
          <a:off x="0" y="14039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61</xdr:row>
      <xdr:rowOff>53340</xdr:rowOff>
    </xdr:to>
    <xdr:sp macro="" textlink="">
      <xdr:nvSpPr>
        <xdr:cNvPr id="8832" name="AutoShape 1088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14039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8833" name="AutoShape 1089" descr="BOSNIA"/>
        <xdr:cNvSpPr>
          <a:spLocks noChangeAspect="1" noChangeArrowheads="1"/>
        </xdr:cNvSpPr>
      </xdr:nvSpPr>
      <xdr:spPr bwMode="auto">
        <a:xfrm>
          <a:off x="0" y="140642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8834" name="AutoShape 1090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140642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8835" name="AutoShape 1091" descr="BRAZIL"/>
        <xdr:cNvSpPr>
          <a:spLocks noChangeAspect="1" noChangeArrowheads="1"/>
        </xdr:cNvSpPr>
      </xdr:nvSpPr>
      <xdr:spPr bwMode="auto">
        <a:xfrm>
          <a:off x="0" y="140893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129540</xdr:rowOff>
    </xdr:to>
    <xdr:sp macro="" textlink="">
      <xdr:nvSpPr>
        <xdr:cNvPr id="8836" name="AutoShape 1092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40893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8837" name="AutoShape 1093" descr="BRAZIL"/>
        <xdr:cNvSpPr>
          <a:spLocks noChangeAspect="1" noChangeArrowheads="1"/>
        </xdr:cNvSpPr>
      </xdr:nvSpPr>
      <xdr:spPr bwMode="auto">
        <a:xfrm>
          <a:off x="0" y="141069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129540</xdr:rowOff>
    </xdr:to>
    <xdr:sp macro="" textlink="">
      <xdr:nvSpPr>
        <xdr:cNvPr id="8838" name="AutoShape 1094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41069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8839" name="AutoShape 1095" descr="BRAZIL"/>
        <xdr:cNvSpPr>
          <a:spLocks noChangeAspect="1" noChangeArrowheads="1"/>
        </xdr:cNvSpPr>
      </xdr:nvSpPr>
      <xdr:spPr bwMode="auto">
        <a:xfrm>
          <a:off x="0" y="14124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8840" name="AutoShape 1096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4124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8841" name="AutoShape 1097" descr="BRAZIL"/>
        <xdr:cNvSpPr>
          <a:spLocks noChangeAspect="1" noChangeArrowheads="1"/>
        </xdr:cNvSpPr>
      </xdr:nvSpPr>
      <xdr:spPr bwMode="auto">
        <a:xfrm>
          <a:off x="0" y="141419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53340</xdr:rowOff>
    </xdr:to>
    <xdr:sp macro="" textlink="">
      <xdr:nvSpPr>
        <xdr:cNvPr id="8842" name="AutoShape 1098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41419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8843" name="AutoShape 1099" descr="BRAZIL"/>
        <xdr:cNvSpPr>
          <a:spLocks noChangeAspect="1" noChangeArrowheads="1"/>
        </xdr:cNvSpPr>
      </xdr:nvSpPr>
      <xdr:spPr bwMode="auto">
        <a:xfrm>
          <a:off x="0" y="14167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8844" name="AutoShape 1100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4167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8845" name="AutoShape 1101" descr="BRAZIL"/>
        <xdr:cNvSpPr>
          <a:spLocks noChangeAspect="1" noChangeArrowheads="1"/>
        </xdr:cNvSpPr>
      </xdr:nvSpPr>
      <xdr:spPr bwMode="auto">
        <a:xfrm>
          <a:off x="0" y="14184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8846" name="AutoShape 1102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418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8847" name="AutoShape 1103" descr="BRAZIL"/>
        <xdr:cNvSpPr>
          <a:spLocks noChangeAspect="1" noChangeArrowheads="1"/>
        </xdr:cNvSpPr>
      </xdr:nvSpPr>
      <xdr:spPr bwMode="auto">
        <a:xfrm>
          <a:off x="0" y="14202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8848" name="AutoShape 1104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4202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8849" name="AutoShape 1105" descr="BRAZIL2"/>
        <xdr:cNvSpPr>
          <a:spLocks noChangeAspect="1" noChangeArrowheads="1"/>
        </xdr:cNvSpPr>
      </xdr:nvSpPr>
      <xdr:spPr bwMode="auto">
        <a:xfrm>
          <a:off x="0" y="1421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8850" name="AutoShape 1106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421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8851" name="AutoShape 1107" descr="BRAZIL2"/>
        <xdr:cNvSpPr>
          <a:spLocks noChangeAspect="1" noChangeArrowheads="1"/>
        </xdr:cNvSpPr>
      </xdr:nvSpPr>
      <xdr:spPr bwMode="auto">
        <a:xfrm>
          <a:off x="0" y="1423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8852" name="AutoShape 1108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423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8853" name="AutoShape 1109" descr="BRAZIL2"/>
        <xdr:cNvSpPr>
          <a:spLocks noChangeAspect="1" noChangeArrowheads="1"/>
        </xdr:cNvSpPr>
      </xdr:nvSpPr>
      <xdr:spPr bwMode="auto">
        <a:xfrm>
          <a:off x="0" y="142547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8854" name="AutoShape 1110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42547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8855" name="AutoShape 1111" descr="BRAZIL3"/>
        <xdr:cNvSpPr>
          <a:spLocks noChangeAspect="1" noChangeArrowheads="1"/>
        </xdr:cNvSpPr>
      </xdr:nvSpPr>
      <xdr:spPr bwMode="auto">
        <a:xfrm>
          <a:off x="0" y="1427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129540</xdr:rowOff>
    </xdr:to>
    <xdr:sp macro="" textlink="">
      <xdr:nvSpPr>
        <xdr:cNvPr id="8856" name="AutoShape 1112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27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8857" name="AutoShape 1113" descr="BRAZIL3"/>
        <xdr:cNvSpPr>
          <a:spLocks noChangeAspect="1" noChangeArrowheads="1"/>
        </xdr:cNvSpPr>
      </xdr:nvSpPr>
      <xdr:spPr bwMode="auto">
        <a:xfrm>
          <a:off x="0" y="1429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8858" name="AutoShape 1114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9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8859" name="AutoShape 1115" descr="BRAZIL3"/>
        <xdr:cNvSpPr>
          <a:spLocks noChangeAspect="1" noChangeArrowheads="1"/>
        </xdr:cNvSpPr>
      </xdr:nvSpPr>
      <xdr:spPr bwMode="auto">
        <a:xfrm>
          <a:off x="0" y="14314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8860" name="AutoShape 1116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314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8861" name="AutoShape 1117" descr="BRAZIL3"/>
        <xdr:cNvSpPr>
          <a:spLocks noChangeAspect="1" noChangeArrowheads="1"/>
        </xdr:cNvSpPr>
      </xdr:nvSpPr>
      <xdr:spPr bwMode="auto">
        <a:xfrm>
          <a:off x="0" y="14332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8862" name="AutoShape 1118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332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8863" name="AutoShape 1119" descr="BRAZIL5"/>
        <xdr:cNvSpPr>
          <a:spLocks noChangeAspect="1" noChangeArrowheads="1"/>
        </xdr:cNvSpPr>
      </xdr:nvSpPr>
      <xdr:spPr bwMode="auto">
        <a:xfrm>
          <a:off x="0" y="143499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8864" name="AutoShape 1120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3499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8865" name="AutoShape 1121" descr="BRAZIL5"/>
        <xdr:cNvSpPr>
          <a:spLocks noChangeAspect="1" noChangeArrowheads="1"/>
        </xdr:cNvSpPr>
      </xdr:nvSpPr>
      <xdr:spPr bwMode="auto">
        <a:xfrm>
          <a:off x="0" y="143675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8866" name="AutoShape 1122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3675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8867" name="AutoShape 1123" descr="BRAZIL5"/>
        <xdr:cNvSpPr>
          <a:spLocks noChangeAspect="1" noChangeArrowheads="1"/>
        </xdr:cNvSpPr>
      </xdr:nvSpPr>
      <xdr:spPr bwMode="auto">
        <a:xfrm>
          <a:off x="0" y="14385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8868" name="AutoShape 1124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4385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8869" name="AutoShape 1125" descr="BULGARIA"/>
        <xdr:cNvSpPr>
          <a:spLocks noChangeAspect="1" noChangeArrowheads="1"/>
        </xdr:cNvSpPr>
      </xdr:nvSpPr>
      <xdr:spPr bwMode="auto">
        <a:xfrm>
          <a:off x="0" y="14402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129540</xdr:rowOff>
    </xdr:to>
    <xdr:sp macro="" textlink="">
      <xdr:nvSpPr>
        <xdr:cNvPr id="8870" name="AutoShape 1126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4402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8871" name="AutoShape 1127" descr="BULGARIA"/>
        <xdr:cNvSpPr>
          <a:spLocks noChangeAspect="1" noChangeArrowheads="1"/>
        </xdr:cNvSpPr>
      </xdr:nvSpPr>
      <xdr:spPr bwMode="auto">
        <a:xfrm>
          <a:off x="0" y="14420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8872" name="AutoShape 1128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4420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8873" name="AutoShape 1129" descr="BULGARIA2"/>
        <xdr:cNvSpPr>
          <a:spLocks noChangeAspect="1" noChangeArrowheads="1"/>
        </xdr:cNvSpPr>
      </xdr:nvSpPr>
      <xdr:spPr bwMode="auto">
        <a:xfrm>
          <a:off x="0" y="14437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8874" name="AutoShape 1130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4437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8875" name="AutoShape 1131" descr="BULGARIA2"/>
        <xdr:cNvSpPr>
          <a:spLocks noChangeAspect="1" noChangeArrowheads="1"/>
        </xdr:cNvSpPr>
      </xdr:nvSpPr>
      <xdr:spPr bwMode="auto">
        <a:xfrm>
          <a:off x="0" y="144627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53340</xdr:rowOff>
    </xdr:to>
    <xdr:sp macro="" textlink="">
      <xdr:nvSpPr>
        <xdr:cNvPr id="8876" name="AutoShape 1132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4462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8877" name="AutoShape 1133" descr="BULGARIA2"/>
        <xdr:cNvSpPr>
          <a:spLocks noChangeAspect="1" noChangeArrowheads="1"/>
        </xdr:cNvSpPr>
      </xdr:nvSpPr>
      <xdr:spPr bwMode="auto">
        <a:xfrm>
          <a:off x="0" y="144879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129540</xdr:rowOff>
    </xdr:to>
    <xdr:sp macro="" textlink="">
      <xdr:nvSpPr>
        <xdr:cNvPr id="8878" name="AutoShape 1134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44879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8879" name="AutoShape 1135" descr="BULGARIA2"/>
        <xdr:cNvSpPr>
          <a:spLocks noChangeAspect="1" noChangeArrowheads="1"/>
        </xdr:cNvSpPr>
      </xdr:nvSpPr>
      <xdr:spPr bwMode="auto">
        <a:xfrm>
          <a:off x="0" y="14505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8880" name="AutoShape 1136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4505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8881" name="AutoShape 1137" descr="BULGARIA2"/>
        <xdr:cNvSpPr>
          <a:spLocks noChangeAspect="1" noChangeArrowheads="1"/>
        </xdr:cNvSpPr>
      </xdr:nvSpPr>
      <xdr:spPr bwMode="auto">
        <a:xfrm>
          <a:off x="0" y="145229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8882" name="AutoShape 1138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45229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8883" name="AutoShape 1139" descr="CANADA"/>
        <xdr:cNvSpPr>
          <a:spLocks noChangeAspect="1" noChangeArrowheads="1"/>
        </xdr:cNvSpPr>
      </xdr:nvSpPr>
      <xdr:spPr bwMode="auto">
        <a:xfrm>
          <a:off x="0" y="14540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8884" name="AutoShape 1140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4540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8885" name="AutoShape 1141" descr="CANADA"/>
        <xdr:cNvSpPr>
          <a:spLocks noChangeAspect="1" noChangeArrowheads="1"/>
        </xdr:cNvSpPr>
      </xdr:nvSpPr>
      <xdr:spPr bwMode="auto">
        <a:xfrm>
          <a:off x="0" y="14565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53340</xdr:rowOff>
    </xdr:to>
    <xdr:sp macro="" textlink="">
      <xdr:nvSpPr>
        <xdr:cNvPr id="8886" name="AutoShape 1142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4565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8887" name="AutoShape 1143" descr="CHILE"/>
        <xdr:cNvSpPr>
          <a:spLocks noChangeAspect="1" noChangeArrowheads="1"/>
        </xdr:cNvSpPr>
      </xdr:nvSpPr>
      <xdr:spPr bwMode="auto">
        <a:xfrm>
          <a:off x="0" y="1459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8888" name="AutoShape 1144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459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8889" name="AutoShape 1145" descr="CHILE"/>
        <xdr:cNvSpPr>
          <a:spLocks noChangeAspect="1" noChangeArrowheads="1"/>
        </xdr:cNvSpPr>
      </xdr:nvSpPr>
      <xdr:spPr bwMode="auto">
        <a:xfrm>
          <a:off x="0" y="1461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8890" name="AutoShape 1146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461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8891" name="AutoShape 1147" descr="CHILE"/>
        <xdr:cNvSpPr>
          <a:spLocks noChangeAspect="1" noChangeArrowheads="1"/>
        </xdr:cNvSpPr>
      </xdr:nvSpPr>
      <xdr:spPr bwMode="auto">
        <a:xfrm>
          <a:off x="0" y="14641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8892" name="AutoShape 1148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4641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8893" name="AutoShape 1149" descr="CHILE"/>
        <xdr:cNvSpPr>
          <a:spLocks noChangeAspect="1" noChangeArrowheads="1"/>
        </xdr:cNvSpPr>
      </xdr:nvSpPr>
      <xdr:spPr bwMode="auto">
        <a:xfrm>
          <a:off x="0" y="1465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8894" name="AutoShape 1150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465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8895" name="AutoShape 1151" descr="CHILE2"/>
        <xdr:cNvSpPr>
          <a:spLocks noChangeAspect="1" noChangeArrowheads="1"/>
        </xdr:cNvSpPr>
      </xdr:nvSpPr>
      <xdr:spPr bwMode="auto">
        <a:xfrm>
          <a:off x="0" y="14676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53340</xdr:rowOff>
    </xdr:to>
    <xdr:sp macro="" textlink="">
      <xdr:nvSpPr>
        <xdr:cNvPr id="8896" name="AutoShape 1152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4676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8897" name="AutoShape 1153" descr="CHILE2"/>
        <xdr:cNvSpPr>
          <a:spLocks noChangeAspect="1" noChangeArrowheads="1"/>
        </xdr:cNvSpPr>
      </xdr:nvSpPr>
      <xdr:spPr bwMode="auto">
        <a:xfrm>
          <a:off x="0" y="147012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8898" name="AutoShape 1154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47012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8899" name="AutoShape 1155" descr="CHILE2"/>
        <xdr:cNvSpPr>
          <a:spLocks noChangeAspect="1" noChangeArrowheads="1"/>
        </xdr:cNvSpPr>
      </xdr:nvSpPr>
      <xdr:spPr bwMode="auto">
        <a:xfrm>
          <a:off x="0" y="14718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8900" name="AutoShape 1156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4718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8901" name="AutoShape 1157" descr="CHINA2"/>
        <xdr:cNvSpPr>
          <a:spLocks noChangeAspect="1" noChangeArrowheads="1"/>
        </xdr:cNvSpPr>
      </xdr:nvSpPr>
      <xdr:spPr bwMode="auto">
        <a:xfrm>
          <a:off x="0" y="14736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8902" name="AutoShape 1158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4736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8903" name="AutoShape 1159" descr="CHINA2"/>
        <xdr:cNvSpPr>
          <a:spLocks noChangeAspect="1" noChangeArrowheads="1"/>
        </xdr:cNvSpPr>
      </xdr:nvSpPr>
      <xdr:spPr bwMode="auto">
        <a:xfrm>
          <a:off x="0" y="14761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53340</xdr:rowOff>
    </xdr:to>
    <xdr:sp macro="" textlink="">
      <xdr:nvSpPr>
        <xdr:cNvPr id="8904" name="AutoShape 1160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4761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8905" name="AutoShape 1161" descr="CHINA2"/>
        <xdr:cNvSpPr>
          <a:spLocks noChangeAspect="1" noChangeArrowheads="1"/>
        </xdr:cNvSpPr>
      </xdr:nvSpPr>
      <xdr:spPr bwMode="auto">
        <a:xfrm>
          <a:off x="0" y="1478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53340</xdr:rowOff>
    </xdr:to>
    <xdr:sp macro="" textlink="">
      <xdr:nvSpPr>
        <xdr:cNvPr id="8906" name="AutoShape 1162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478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8907" name="AutoShape 1163" descr="CHINA2"/>
        <xdr:cNvSpPr>
          <a:spLocks noChangeAspect="1" noChangeArrowheads="1"/>
        </xdr:cNvSpPr>
      </xdr:nvSpPr>
      <xdr:spPr bwMode="auto">
        <a:xfrm>
          <a:off x="0" y="1481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8908" name="AutoShape 1164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481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8909" name="AutoShape 1165" descr="COLOMBIA2"/>
        <xdr:cNvSpPr>
          <a:spLocks noChangeAspect="1" noChangeArrowheads="1"/>
        </xdr:cNvSpPr>
      </xdr:nvSpPr>
      <xdr:spPr bwMode="auto">
        <a:xfrm>
          <a:off x="0" y="14829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8910" name="AutoShape 1166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4829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8911" name="AutoShape 1167" descr="COLOMBIA2"/>
        <xdr:cNvSpPr>
          <a:spLocks noChangeAspect="1" noChangeArrowheads="1"/>
        </xdr:cNvSpPr>
      </xdr:nvSpPr>
      <xdr:spPr bwMode="auto">
        <a:xfrm>
          <a:off x="0" y="14846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53340</xdr:rowOff>
    </xdr:to>
    <xdr:sp macro="" textlink="">
      <xdr:nvSpPr>
        <xdr:cNvPr id="8912" name="AutoShape 1168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4846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8913" name="AutoShape 1169" descr="COLOMBIA2"/>
        <xdr:cNvSpPr>
          <a:spLocks noChangeAspect="1" noChangeArrowheads="1"/>
        </xdr:cNvSpPr>
      </xdr:nvSpPr>
      <xdr:spPr bwMode="auto">
        <a:xfrm>
          <a:off x="0" y="1487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53340</xdr:rowOff>
    </xdr:to>
    <xdr:sp macro="" textlink="">
      <xdr:nvSpPr>
        <xdr:cNvPr id="8914" name="AutoShape 1170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487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8915" name="AutoShape 1171" descr="COSTARICA"/>
        <xdr:cNvSpPr>
          <a:spLocks noChangeAspect="1" noChangeArrowheads="1"/>
        </xdr:cNvSpPr>
      </xdr:nvSpPr>
      <xdr:spPr bwMode="auto">
        <a:xfrm>
          <a:off x="0" y="1489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129540</xdr:rowOff>
    </xdr:to>
    <xdr:sp macro="" textlink="">
      <xdr:nvSpPr>
        <xdr:cNvPr id="8916" name="AutoShape 1172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1489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8917" name="AutoShape 1173" descr="COSTARICA"/>
        <xdr:cNvSpPr>
          <a:spLocks noChangeAspect="1" noChangeArrowheads="1"/>
        </xdr:cNvSpPr>
      </xdr:nvSpPr>
      <xdr:spPr bwMode="auto">
        <a:xfrm>
          <a:off x="0" y="1491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8918" name="AutoShape 1174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1491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8919" name="AutoShape 1175" descr="CROATIA"/>
        <xdr:cNvSpPr>
          <a:spLocks noChangeAspect="1" noChangeArrowheads="1"/>
        </xdr:cNvSpPr>
      </xdr:nvSpPr>
      <xdr:spPr bwMode="auto">
        <a:xfrm>
          <a:off x="0" y="1493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129540</xdr:rowOff>
    </xdr:to>
    <xdr:sp macro="" textlink="">
      <xdr:nvSpPr>
        <xdr:cNvPr id="8920" name="AutoShape 1176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1493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8921" name="AutoShape 1177" descr="CROATIA"/>
        <xdr:cNvSpPr>
          <a:spLocks noChangeAspect="1" noChangeArrowheads="1"/>
        </xdr:cNvSpPr>
      </xdr:nvSpPr>
      <xdr:spPr bwMode="auto">
        <a:xfrm>
          <a:off x="0" y="1494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8922" name="AutoShape 1178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1494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8923" name="AutoShape 1179" descr="CZECHREPUBLIC2"/>
        <xdr:cNvSpPr>
          <a:spLocks noChangeAspect="1" noChangeArrowheads="1"/>
        </xdr:cNvSpPr>
      </xdr:nvSpPr>
      <xdr:spPr bwMode="auto">
        <a:xfrm>
          <a:off x="0" y="14967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8924" name="AutoShape 1180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14967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8925" name="AutoShape 1181" descr="DENMARK"/>
        <xdr:cNvSpPr>
          <a:spLocks noChangeAspect="1" noChangeArrowheads="1"/>
        </xdr:cNvSpPr>
      </xdr:nvSpPr>
      <xdr:spPr bwMode="auto">
        <a:xfrm>
          <a:off x="0" y="1499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129540</xdr:rowOff>
    </xdr:to>
    <xdr:sp macro="" textlink="">
      <xdr:nvSpPr>
        <xdr:cNvPr id="8926" name="AutoShape 1182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1499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8927" name="AutoShape 1183" descr="DENMARK"/>
        <xdr:cNvSpPr>
          <a:spLocks noChangeAspect="1" noChangeArrowheads="1"/>
        </xdr:cNvSpPr>
      </xdr:nvSpPr>
      <xdr:spPr bwMode="auto">
        <a:xfrm>
          <a:off x="0" y="1500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8928" name="AutoShape 1184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1500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8929" name="AutoShape 1185" descr="DENMARK"/>
        <xdr:cNvSpPr>
          <a:spLocks noChangeAspect="1" noChangeArrowheads="1"/>
        </xdr:cNvSpPr>
      </xdr:nvSpPr>
      <xdr:spPr bwMode="auto">
        <a:xfrm>
          <a:off x="0" y="1502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8930" name="AutoShape 1186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1502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8931" name="AutoShape 1187" descr="DENMARK"/>
        <xdr:cNvSpPr>
          <a:spLocks noChangeAspect="1" noChangeArrowheads="1"/>
        </xdr:cNvSpPr>
      </xdr:nvSpPr>
      <xdr:spPr bwMode="auto">
        <a:xfrm>
          <a:off x="0" y="15052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53340</xdr:rowOff>
    </xdr:to>
    <xdr:sp macro="" textlink="">
      <xdr:nvSpPr>
        <xdr:cNvPr id="8932" name="AutoShape 1188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15052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8933" name="AutoShape 1189" descr="DENMARK2"/>
        <xdr:cNvSpPr>
          <a:spLocks noChangeAspect="1" noChangeArrowheads="1"/>
        </xdr:cNvSpPr>
      </xdr:nvSpPr>
      <xdr:spPr bwMode="auto">
        <a:xfrm>
          <a:off x="0" y="15077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8934" name="AutoShape 1190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15077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8935" name="AutoShape 1191" descr="ECUADOR"/>
        <xdr:cNvSpPr>
          <a:spLocks noChangeAspect="1" noChangeArrowheads="1"/>
        </xdr:cNvSpPr>
      </xdr:nvSpPr>
      <xdr:spPr bwMode="auto">
        <a:xfrm>
          <a:off x="0" y="15102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8936" name="AutoShape 1192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15102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8937" name="AutoShape 1193" descr="ECUADOR"/>
        <xdr:cNvSpPr>
          <a:spLocks noChangeAspect="1" noChangeArrowheads="1"/>
        </xdr:cNvSpPr>
      </xdr:nvSpPr>
      <xdr:spPr bwMode="auto">
        <a:xfrm>
          <a:off x="0" y="15120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129540</xdr:rowOff>
    </xdr:to>
    <xdr:sp macro="" textlink="">
      <xdr:nvSpPr>
        <xdr:cNvPr id="8938" name="AutoShape 1194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15120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8939" name="AutoShape 1195" descr="ECUADOR"/>
        <xdr:cNvSpPr>
          <a:spLocks noChangeAspect="1" noChangeArrowheads="1"/>
        </xdr:cNvSpPr>
      </xdr:nvSpPr>
      <xdr:spPr bwMode="auto">
        <a:xfrm>
          <a:off x="0" y="15137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129540</xdr:rowOff>
    </xdr:to>
    <xdr:sp macro="" textlink="">
      <xdr:nvSpPr>
        <xdr:cNvPr id="8940" name="AutoShape 1196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15137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8941" name="AutoShape 1197" descr="ESTONIA"/>
        <xdr:cNvSpPr>
          <a:spLocks noChangeAspect="1" noChangeArrowheads="1"/>
        </xdr:cNvSpPr>
      </xdr:nvSpPr>
      <xdr:spPr bwMode="auto">
        <a:xfrm>
          <a:off x="0" y="15155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8942" name="AutoShape 1198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15155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8943" name="AutoShape 1199" descr="ESTONIA"/>
        <xdr:cNvSpPr>
          <a:spLocks noChangeAspect="1" noChangeArrowheads="1"/>
        </xdr:cNvSpPr>
      </xdr:nvSpPr>
      <xdr:spPr bwMode="auto">
        <a:xfrm>
          <a:off x="0" y="15172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8944" name="AutoShape 1200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15172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8945" name="AutoShape 1201" descr="ESTONIA"/>
        <xdr:cNvSpPr>
          <a:spLocks noChangeAspect="1" noChangeArrowheads="1"/>
        </xdr:cNvSpPr>
      </xdr:nvSpPr>
      <xdr:spPr bwMode="auto">
        <a:xfrm>
          <a:off x="0" y="15190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129540</xdr:rowOff>
    </xdr:to>
    <xdr:sp macro="" textlink="">
      <xdr:nvSpPr>
        <xdr:cNvPr id="8946" name="AutoShape 1202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15190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8947" name="AutoShape 1203" descr="ESTONIA"/>
        <xdr:cNvSpPr>
          <a:spLocks noChangeAspect="1" noChangeArrowheads="1"/>
        </xdr:cNvSpPr>
      </xdr:nvSpPr>
      <xdr:spPr bwMode="auto">
        <a:xfrm>
          <a:off x="0" y="15207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129540</xdr:rowOff>
    </xdr:to>
    <xdr:sp macro="" textlink="">
      <xdr:nvSpPr>
        <xdr:cNvPr id="8948" name="AutoShape 1204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15207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8949" name="AutoShape 1205" descr="FAROEISLANDS"/>
        <xdr:cNvSpPr>
          <a:spLocks noChangeAspect="1" noChangeArrowheads="1"/>
        </xdr:cNvSpPr>
      </xdr:nvSpPr>
      <xdr:spPr bwMode="auto">
        <a:xfrm>
          <a:off x="0" y="15225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8950" name="AutoShape 1206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15225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8951" name="AutoShape 1207" descr="FAROEISLANDS"/>
        <xdr:cNvSpPr>
          <a:spLocks noChangeAspect="1" noChangeArrowheads="1"/>
        </xdr:cNvSpPr>
      </xdr:nvSpPr>
      <xdr:spPr bwMode="auto">
        <a:xfrm>
          <a:off x="0" y="15243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8952" name="AutoShape 1208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15243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8953" name="AutoShape 1209" descr="FAROEISLANDS"/>
        <xdr:cNvSpPr>
          <a:spLocks noChangeAspect="1" noChangeArrowheads="1"/>
        </xdr:cNvSpPr>
      </xdr:nvSpPr>
      <xdr:spPr bwMode="auto">
        <a:xfrm>
          <a:off x="0" y="15260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8954" name="AutoShape 1210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15260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8955" name="AutoShape 1211" descr="FAROEISLANDS"/>
        <xdr:cNvSpPr>
          <a:spLocks noChangeAspect="1" noChangeArrowheads="1"/>
        </xdr:cNvSpPr>
      </xdr:nvSpPr>
      <xdr:spPr bwMode="auto">
        <a:xfrm>
          <a:off x="0" y="1527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8956" name="AutoShape 1212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1527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8957" name="AutoShape 1213" descr="FAROEISLANDS"/>
        <xdr:cNvSpPr>
          <a:spLocks noChangeAspect="1" noChangeArrowheads="1"/>
        </xdr:cNvSpPr>
      </xdr:nvSpPr>
      <xdr:spPr bwMode="auto">
        <a:xfrm>
          <a:off x="0" y="1529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8958" name="AutoShape 1214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1529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8959" name="AutoShape 1215" descr="FINLAND"/>
        <xdr:cNvSpPr>
          <a:spLocks noChangeAspect="1" noChangeArrowheads="1"/>
        </xdr:cNvSpPr>
      </xdr:nvSpPr>
      <xdr:spPr bwMode="auto">
        <a:xfrm>
          <a:off x="0" y="1531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129540</xdr:rowOff>
    </xdr:to>
    <xdr:sp macro="" textlink="">
      <xdr:nvSpPr>
        <xdr:cNvPr id="8960" name="AutoShape 1216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1531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8961" name="AutoShape 1217" descr="FINLAND"/>
        <xdr:cNvSpPr>
          <a:spLocks noChangeAspect="1" noChangeArrowheads="1"/>
        </xdr:cNvSpPr>
      </xdr:nvSpPr>
      <xdr:spPr bwMode="auto">
        <a:xfrm>
          <a:off x="0" y="1533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8962" name="AutoShape 1218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1533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8963" name="AutoShape 1219" descr="FINLAND"/>
        <xdr:cNvSpPr>
          <a:spLocks noChangeAspect="1" noChangeArrowheads="1"/>
        </xdr:cNvSpPr>
      </xdr:nvSpPr>
      <xdr:spPr bwMode="auto">
        <a:xfrm>
          <a:off x="0" y="1534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8964" name="AutoShape 1220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1534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8965" name="AutoShape 1221" descr="FINLAND2"/>
        <xdr:cNvSpPr>
          <a:spLocks noChangeAspect="1" noChangeArrowheads="1"/>
        </xdr:cNvSpPr>
      </xdr:nvSpPr>
      <xdr:spPr bwMode="auto">
        <a:xfrm>
          <a:off x="0" y="15365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8966" name="AutoShape 1222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15365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8967" name="AutoShape 1223" descr="FINLAND3"/>
        <xdr:cNvSpPr>
          <a:spLocks noChangeAspect="1" noChangeArrowheads="1"/>
        </xdr:cNvSpPr>
      </xdr:nvSpPr>
      <xdr:spPr bwMode="auto">
        <a:xfrm>
          <a:off x="0" y="15383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129540</xdr:rowOff>
    </xdr:to>
    <xdr:sp macro="" textlink="">
      <xdr:nvSpPr>
        <xdr:cNvPr id="8968" name="AutoShape 1224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15383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8969" name="AutoShape 1225" descr="FINLAND3"/>
        <xdr:cNvSpPr>
          <a:spLocks noChangeAspect="1" noChangeArrowheads="1"/>
        </xdr:cNvSpPr>
      </xdr:nvSpPr>
      <xdr:spPr bwMode="auto">
        <a:xfrm>
          <a:off x="0" y="1540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129540</xdr:rowOff>
    </xdr:to>
    <xdr:sp macro="" textlink="">
      <xdr:nvSpPr>
        <xdr:cNvPr id="8970" name="AutoShape 1226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1540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8971" name="AutoShape 1227" descr="FINLAND3"/>
        <xdr:cNvSpPr>
          <a:spLocks noChangeAspect="1" noChangeArrowheads="1"/>
        </xdr:cNvSpPr>
      </xdr:nvSpPr>
      <xdr:spPr bwMode="auto">
        <a:xfrm>
          <a:off x="0" y="1541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8972" name="AutoShape 1228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1541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8973" name="AutoShape 1229" descr="FINLAND4"/>
        <xdr:cNvSpPr>
          <a:spLocks noChangeAspect="1" noChangeArrowheads="1"/>
        </xdr:cNvSpPr>
      </xdr:nvSpPr>
      <xdr:spPr bwMode="auto">
        <a:xfrm>
          <a:off x="0" y="1543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8974" name="AutoShape 1230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1543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8975" name="AutoShape 1231" descr="FINLAND6"/>
        <xdr:cNvSpPr>
          <a:spLocks noChangeAspect="1" noChangeArrowheads="1"/>
        </xdr:cNvSpPr>
      </xdr:nvSpPr>
      <xdr:spPr bwMode="auto">
        <a:xfrm>
          <a:off x="0" y="1545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8976" name="AutoShape 1232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1545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8977" name="AutoShape 1233" descr="FINLAND6"/>
        <xdr:cNvSpPr>
          <a:spLocks noChangeAspect="1" noChangeArrowheads="1"/>
        </xdr:cNvSpPr>
      </xdr:nvSpPr>
      <xdr:spPr bwMode="auto">
        <a:xfrm>
          <a:off x="0" y="15470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53340</xdr:rowOff>
    </xdr:to>
    <xdr:sp macro="" textlink="">
      <xdr:nvSpPr>
        <xdr:cNvPr id="8978" name="AutoShape 1234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15470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8979" name="AutoShape 1235" descr="GEORGIA"/>
        <xdr:cNvSpPr>
          <a:spLocks noChangeAspect="1" noChangeArrowheads="1"/>
        </xdr:cNvSpPr>
      </xdr:nvSpPr>
      <xdr:spPr bwMode="auto">
        <a:xfrm>
          <a:off x="0" y="1549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8980" name="AutoShape 1236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1549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8981" name="AutoShape 1237" descr="GEORGIA"/>
        <xdr:cNvSpPr>
          <a:spLocks noChangeAspect="1" noChangeArrowheads="1"/>
        </xdr:cNvSpPr>
      </xdr:nvSpPr>
      <xdr:spPr bwMode="auto">
        <a:xfrm>
          <a:off x="0" y="1551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53340</xdr:rowOff>
    </xdr:to>
    <xdr:sp macro="" textlink="">
      <xdr:nvSpPr>
        <xdr:cNvPr id="8982" name="AutoShape 1238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1551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8983" name="AutoShape 1239" descr="GERMANY3"/>
        <xdr:cNvSpPr>
          <a:spLocks noChangeAspect="1" noChangeArrowheads="1"/>
        </xdr:cNvSpPr>
      </xdr:nvSpPr>
      <xdr:spPr bwMode="auto">
        <a:xfrm>
          <a:off x="0" y="1553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8984" name="AutoShape 1240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1553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8985" name="AutoShape 1241" descr="GERMANY3"/>
        <xdr:cNvSpPr>
          <a:spLocks noChangeAspect="1" noChangeArrowheads="1"/>
        </xdr:cNvSpPr>
      </xdr:nvSpPr>
      <xdr:spPr bwMode="auto">
        <a:xfrm>
          <a:off x="0" y="15563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129540</xdr:rowOff>
    </xdr:to>
    <xdr:sp macro="" textlink="">
      <xdr:nvSpPr>
        <xdr:cNvPr id="8986" name="AutoShape 1242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1556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8987" name="AutoShape 1243" descr="GERMANY3"/>
        <xdr:cNvSpPr>
          <a:spLocks noChangeAspect="1" noChangeArrowheads="1"/>
        </xdr:cNvSpPr>
      </xdr:nvSpPr>
      <xdr:spPr bwMode="auto">
        <a:xfrm>
          <a:off x="0" y="1558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8988" name="AutoShape 1244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1558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8989" name="AutoShape 1245" descr="GERMANY4"/>
        <xdr:cNvSpPr>
          <a:spLocks noChangeAspect="1" noChangeArrowheads="1"/>
        </xdr:cNvSpPr>
      </xdr:nvSpPr>
      <xdr:spPr bwMode="auto">
        <a:xfrm>
          <a:off x="0" y="1560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53340</xdr:rowOff>
    </xdr:to>
    <xdr:sp macro="" textlink="">
      <xdr:nvSpPr>
        <xdr:cNvPr id="8990" name="AutoShape 1246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1560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8991" name="AutoShape 1247" descr="GERMANY4"/>
        <xdr:cNvSpPr>
          <a:spLocks noChangeAspect="1" noChangeArrowheads="1"/>
        </xdr:cNvSpPr>
      </xdr:nvSpPr>
      <xdr:spPr bwMode="auto">
        <a:xfrm>
          <a:off x="0" y="1563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8992" name="AutoShape 1248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1563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8993" name="AutoShape 1249" descr="GERMANY4"/>
        <xdr:cNvSpPr>
          <a:spLocks noChangeAspect="1" noChangeArrowheads="1"/>
        </xdr:cNvSpPr>
      </xdr:nvSpPr>
      <xdr:spPr bwMode="auto">
        <a:xfrm>
          <a:off x="0" y="1565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53340</xdr:rowOff>
    </xdr:to>
    <xdr:sp macro="" textlink="">
      <xdr:nvSpPr>
        <xdr:cNvPr id="8994" name="AutoShape 1250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1565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152400</xdr:colOff>
      <xdr:row>142</xdr:row>
      <xdr:rowOff>106680</xdr:rowOff>
    </xdr:to>
    <xdr:sp macro="" textlink="">
      <xdr:nvSpPr>
        <xdr:cNvPr id="8995" name="AutoShape 1251" descr="GERMANY4"/>
        <xdr:cNvSpPr>
          <a:spLocks noChangeAspect="1" noChangeArrowheads="1"/>
        </xdr:cNvSpPr>
      </xdr:nvSpPr>
      <xdr:spPr bwMode="auto">
        <a:xfrm>
          <a:off x="0" y="15681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142</xdr:row>
      <xdr:rowOff>0</xdr:rowOff>
    </xdr:from>
    <xdr:to>
      <xdr:col>22</xdr:col>
      <xdr:colOff>304800</xdr:colOff>
      <xdr:row>143</xdr:row>
      <xdr:rowOff>53340</xdr:rowOff>
    </xdr:to>
    <xdr:sp macro="" textlink="">
      <xdr:nvSpPr>
        <xdr:cNvPr id="8996" name="AutoShape 1252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15681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152400</xdr:colOff>
      <xdr:row>143</xdr:row>
      <xdr:rowOff>106680</xdr:rowOff>
    </xdr:to>
    <xdr:sp macro="" textlink="">
      <xdr:nvSpPr>
        <xdr:cNvPr id="8997" name="AutoShape 1253" descr="GERMANY4"/>
        <xdr:cNvSpPr>
          <a:spLocks noChangeAspect="1" noChangeArrowheads="1"/>
        </xdr:cNvSpPr>
      </xdr:nvSpPr>
      <xdr:spPr bwMode="auto">
        <a:xfrm>
          <a:off x="0" y="157071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143</xdr:row>
      <xdr:rowOff>0</xdr:rowOff>
    </xdr:from>
    <xdr:to>
      <xdr:col>22</xdr:col>
      <xdr:colOff>304800</xdr:colOff>
      <xdr:row>144</xdr:row>
      <xdr:rowOff>129540</xdr:rowOff>
    </xdr:to>
    <xdr:sp macro="" textlink="">
      <xdr:nvSpPr>
        <xdr:cNvPr id="8998" name="AutoShape 1254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15707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152400</xdr:colOff>
      <xdr:row>144</xdr:row>
      <xdr:rowOff>106680</xdr:rowOff>
    </xdr:to>
    <xdr:sp macro="" textlink="">
      <xdr:nvSpPr>
        <xdr:cNvPr id="8999" name="AutoShape 1255" descr="GERMANY5"/>
        <xdr:cNvSpPr>
          <a:spLocks noChangeAspect="1" noChangeArrowheads="1"/>
        </xdr:cNvSpPr>
      </xdr:nvSpPr>
      <xdr:spPr bwMode="auto">
        <a:xfrm>
          <a:off x="0" y="15724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144</xdr:row>
      <xdr:rowOff>0</xdr:rowOff>
    </xdr:from>
    <xdr:to>
      <xdr:col>22</xdr:col>
      <xdr:colOff>304800</xdr:colOff>
      <xdr:row>145</xdr:row>
      <xdr:rowOff>129540</xdr:rowOff>
    </xdr:to>
    <xdr:sp macro="" textlink="">
      <xdr:nvSpPr>
        <xdr:cNvPr id="9000" name="AutoShape 1256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15724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152400</xdr:colOff>
      <xdr:row>145</xdr:row>
      <xdr:rowOff>106680</xdr:rowOff>
    </xdr:to>
    <xdr:sp macro="" textlink="">
      <xdr:nvSpPr>
        <xdr:cNvPr id="9001" name="AutoShape 1257" descr="GERMANY5"/>
        <xdr:cNvSpPr>
          <a:spLocks noChangeAspect="1" noChangeArrowheads="1"/>
        </xdr:cNvSpPr>
      </xdr:nvSpPr>
      <xdr:spPr bwMode="auto">
        <a:xfrm>
          <a:off x="0" y="157421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145</xdr:row>
      <xdr:rowOff>0</xdr:rowOff>
    </xdr:from>
    <xdr:to>
      <xdr:col>22</xdr:col>
      <xdr:colOff>304800</xdr:colOff>
      <xdr:row>146</xdr:row>
      <xdr:rowOff>53340</xdr:rowOff>
    </xdr:to>
    <xdr:sp macro="" textlink="">
      <xdr:nvSpPr>
        <xdr:cNvPr id="9002" name="AutoShape 1258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157421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152400</xdr:colOff>
      <xdr:row>146</xdr:row>
      <xdr:rowOff>106680</xdr:rowOff>
    </xdr:to>
    <xdr:sp macro="" textlink="">
      <xdr:nvSpPr>
        <xdr:cNvPr id="9003" name="AutoShape 1259" descr="GERMANY6"/>
        <xdr:cNvSpPr>
          <a:spLocks noChangeAspect="1" noChangeArrowheads="1"/>
        </xdr:cNvSpPr>
      </xdr:nvSpPr>
      <xdr:spPr bwMode="auto">
        <a:xfrm>
          <a:off x="0" y="15767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146</xdr:row>
      <xdr:rowOff>0</xdr:rowOff>
    </xdr:from>
    <xdr:to>
      <xdr:col>22</xdr:col>
      <xdr:colOff>304800</xdr:colOff>
      <xdr:row>147</xdr:row>
      <xdr:rowOff>129540</xdr:rowOff>
    </xdr:to>
    <xdr:sp macro="" textlink="">
      <xdr:nvSpPr>
        <xdr:cNvPr id="9004" name="AutoShape 1260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15767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152400</xdr:colOff>
      <xdr:row>147</xdr:row>
      <xdr:rowOff>106680</xdr:rowOff>
    </xdr:to>
    <xdr:sp macro="" textlink="">
      <xdr:nvSpPr>
        <xdr:cNvPr id="9005" name="AutoShape 1261" descr="GERMANY7"/>
        <xdr:cNvSpPr>
          <a:spLocks noChangeAspect="1" noChangeArrowheads="1"/>
        </xdr:cNvSpPr>
      </xdr:nvSpPr>
      <xdr:spPr bwMode="auto">
        <a:xfrm>
          <a:off x="0" y="15784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147</xdr:row>
      <xdr:rowOff>0</xdr:rowOff>
    </xdr:from>
    <xdr:to>
      <xdr:col>22</xdr:col>
      <xdr:colOff>304800</xdr:colOff>
      <xdr:row>148</xdr:row>
      <xdr:rowOff>129540</xdr:rowOff>
    </xdr:to>
    <xdr:sp macro="" textlink="">
      <xdr:nvSpPr>
        <xdr:cNvPr id="9006" name="AutoShape 1262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1578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152400</xdr:colOff>
      <xdr:row>148</xdr:row>
      <xdr:rowOff>106680</xdr:rowOff>
    </xdr:to>
    <xdr:sp macro="" textlink="">
      <xdr:nvSpPr>
        <xdr:cNvPr id="9007" name="AutoShape 1263" descr="GERMANY7"/>
        <xdr:cNvSpPr>
          <a:spLocks noChangeAspect="1" noChangeArrowheads="1"/>
        </xdr:cNvSpPr>
      </xdr:nvSpPr>
      <xdr:spPr bwMode="auto">
        <a:xfrm>
          <a:off x="0" y="15802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304800</xdr:colOff>
      <xdr:row>149</xdr:row>
      <xdr:rowOff>129540</xdr:rowOff>
    </xdr:to>
    <xdr:sp macro="" textlink="">
      <xdr:nvSpPr>
        <xdr:cNvPr id="9008" name="AutoShape 1264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15802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152400</xdr:colOff>
      <xdr:row>149</xdr:row>
      <xdr:rowOff>106680</xdr:rowOff>
    </xdr:to>
    <xdr:sp macro="" textlink="">
      <xdr:nvSpPr>
        <xdr:cNvPr id="9009" name="AutoShape 1265" descr="GERMANY7"/>
        <xdr:cNvSpPr>
          <a:spLocks noChangeAspect="1" noChangeArrowheads="1"/>
        </xdr:cNvSpPr>
      </xdr:nvSpPr>
      <xdr:spPr bwMode="auto">
        <a:xfrm>
          <a:off x="0" y="15819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149</xdr:row>
      <xdr:rowOff>0</xdr:rowOff>
    </xdr:from>
    <xdr:to>
      <xdr:col>22</xdr:col>
      <xdr:colOff>304800</xdr:colOff>
      <xdr:row>150</xdr:row>
      <xdr:rowOff>53340</xdr:rowOff>
    </xdr:to>
    <xdr:sp macro="" textlink="">
      <xdr:nvSpPr>
        <xdr:cNvPr id="9010" name="AutoShape 1266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15819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152400</xdr:colOff>
      <xdr:row>150</xdr:row>
      <xdr:rowOff>106680</xdr:rowOff>
    </xdr:to>
    <xdr:sp macro="" textlink="">
      <xdr:nvSpPr>
        <xdr:cNvPr id="9011" name="AutoShape 1267" descr="GUATEMALA"/>
        <xdr:cNvSpPr>
          <a:spLocks noChangeAspect="1" noChangeArrowheads="1"/>
        </xdr:cNvSpPr>
      </xdr:nvSpPr>
      <xdr:spPr bwMode="auto">
        <a:xfrm>
          <a:off x="0" y="15845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150</xdr:row>
      <xdr:rowOff>0</xdr:rowOff>
    </xdr:from>
    <xdr:to>
      <xdr:col>22</xdr:col>
      <xdr:colOff>304800</xdr:colOff>
      <xdr:row>151</xdr:row>
      <xdr:rowOff>53340</xdr:rowOff>
    </xdr:to>
    <xdr:sp macro="" textlink="">
      <xdr:nvSpPr>
        <xdr:cNvPr id="9012" name="AutoShape 1268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15845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152400</xdr:colOff>
      <xdr:row>151</xdr:row>
      <xdr:rowOff>106680</xdr:rowOff>
    </xdr:to>
    <xdr:sp macro="" textlink="">
      <xdr:nvSpPr>
        <xdr:cNvPr id="9013" name="AutoShape 1269" descr="GUATEMALA"/>
        <xdr:cNvSpPr>
          <a:spLocks noChangeAspect="1" noChangeArrowheads="1"/>
        </xdr:cNvSpPr>
      </xdr:nvSpPr>
      <xdr:spPr bwMode="auto">
        <a:xfrm>
          <a:off x="0" y="15870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151</xdr:row>
      <xdr:rowOff>0</xdr:rowOff>
    </xdr:from>
    <xdr:to>
      <xdr:col>22</xdr:col>
      <xdr:colOff>304800</xdr:colOff>
      <xdr:row>152</xdr:row>
      <xdr:rowOff>129540</xdr:rowOff>
    </xdr:to>
    <xdr:sp macro="" textlink="">
      <xdr:nvSpPr>
        <xdr:cNvPr id="9014" name="AutoShape 1270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15870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152400</xdr:colOff>
      <xdr:row>152</xdr:row>
      <xdr:rowOff>106680</xdr:rowOff>
    </xdr:to>
    <xdr:sp macro="" textlink="">
      <xdr:nvSpPr>
        <xdr:cNvPr id="9015" name="AutoShape 1271" descr="GUATEMALA"/>
        <xdr:cNvSpPr>
          <a:spLocks noChangeAspect="1" noChangeArrowheads="1"/>
        </xdr:cNvSpPr>
      </xdr:nvSpPr>
      <xdr:spPr bwMode="auto">
        <a:xfrm>
          <a:off x="0" y="1588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152</xdr:row>
      <xdr:rowOff>0</xdr:rowOff>
    </xdr:from>
    <xdr:to>
      <xdr:col>22</xdr:col>
      <xdr:colOff>304800</xdr:colOff>
      <xdr:row>153</xdr:row>
      <xdr:rowOff>53340</xdr:rowOff>
    </xdr:to>
    <xdr:sp macro="" textlink="">
      <xdr:nvSpPr>
        <xdr:cNvPr id="9016" name="AutoShape 1272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1588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152400</xdr:colOff>
      <xdr:row>153</xdr:row>
      <xdr:rowOff>106680</xdr:rowOff>
    </xdr:to>
    <xdr:sp macro="" textlink="">
      <xdr:nvSpPr>
        <xdr:cNvPr id="9017" name="AutoShape 1273" descr="HUNGARY"/>
        <xdr:cNvSpPr>
          <a:spLocks noChangeAspect="1" noChangeArrowheads="1"/>
        </xdr:cNvSpPr>
      </xdr:nvSpPr>
      <xdr:spPr bwMode="auto">
        <a:xfrm>
          <a:off x="0" y="15912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153</xdr:row>
      <xdr:rowOff>0</xdr:rowOff>
    </xdr:from>
    <xdr:to>
      <xdr:col>22</xdr:col>
      <xdr:colOff>304800</xdr:colOff>
      <xdr:row>154</xdr:row>
      <xdr:rowOff>129540</xdr:rowOff>
    </xdr:to>
    <xdr:sp macro="" textlink="">
      <xdr:nvSpPr>
        <xdr:cNvPr id="9018" name="AutoShape 1274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15912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152400</xdr:colOff>
      <xdr:row>154</xdr:row>
      <xdr:rowOff>106680</xdr:rowOff>
    </xdr:to>
    <xdr:sp macro="" textlink="">
      <xdr:nvSpPr>
        <xdr:cNvPr id="9019" name="AutoShape 1275" descr="HUNGARY"/>
        <xdr:cNvSpPr>
          <a:spLocks noChangeAspect="1" noChangeArrowheads="1"/>
        </xdr:cNvSpPr>
      </xdr:nvSpPr>
      <xdr:spPr bwMode="auto">
        <a:xfrm>
          <a:off x="0" y="1593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154</xdr:row>
      <xdr:rowOff>0</xdr:rowOff>
    </xdr:from>
    <xdr:to>
      <xdr:col>22</xdr:col>
      <xdr:colOff>304800</xdr:colOff>
      <xdr:row>155</xdr:row>
      <xdr:rowOff>129540</xdr:rowOff>
    </xdr:to>
    <xdr:sp macro="" textlink="">
      <xdr:nvSpPr>
        <xdr:cNvPr id="9020" name="AutoShape 1276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1593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152400</xdr:colOff>
      <xdr:row>155</xdr:row>
      <xdr:rowOff>106680</xdr:rowOff>
    </xdr:to>
    <xdr:sp macro="" textlink="">
      <xdr:nvSpPr>
        <xdr:cNvPr id="9021" name="AutoShape 1277" descr="HUNGARY2"/>
        <xdr:cNvSpPr>
          <a:spLocks noChangeAspect="1" noChangeArrowheads="1"/>
        </xdr:cNvSpPr>
      </xdr:nvSpPr>
      <xdr:spPr bwMode="auto">
        <a:xfrm>
          <a:off x="0" y="15947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155</xdr:row>
      <xdr:rowOff>0</xdr:rowOff>
    </xdr:from>
    <xdr:to>
      <xdr:col>22</xdr:col>
      <xdr:colOff>304800</xdr:colOff>
      <xdr:row>156</xdr:row>
      <xdr:rowOff>129540</xdr:rowOff>
    </xdr:to>
    <xdr:sp macro="" textlink="">
      <xdr:nvSpPr>
        <xdr:cNvPr id="9022" name="AutoShape 1278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15947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152400</xdr:colOff>
      <xdr:row>156</xdr:row>
      <xdr:rowOff>106680</xdr:rowOff>
    </xdr:to>
    <xdr:sp macro="" textlink="">
      <xdr:nvSpPr>
        <xdr:cNvPr id="9023" name="AutoShape 1279" descr="HUNGARY2"/>
        <xdr:cNvSpPr>
          <a:spLocks noChangeAspect="1" noChangeArrowheads="1"/>
        </xdr:cNvSpPr>
      </xdr:nvSpPr>
      <xdr:spPr bwMode="auto">
        <a:xfrm>
          <a:off x="0" y="15965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156</xdr:row>
      <xdr:rowOff>0</xdr:rowOff>
    </xdr:from>
    <xdr:to>
      <xdr:col>22</xdr:col>
      <xdr:colOff>304800</xdr:colOff>
      <xdr:row>157</xdr:row>
      <xdr:rowOff>129540</xdr:rowOff>
    </xdr:to>
    <xdr:sp macro="" textlink="">
      <xdr:nvSpPr>
        <xdr:cNvPr id="9024" name="AutoShape 1280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15965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152400</xdr:colOff>
      <xdr:row>157</xdr:row>
      <xdr:rowOff>106680</xdr:rowOff>
    </xdr:to>
    <xdr:sp macro="" textlink="">
      <xdr:nvSpPr>
        <xdr:cNvPr id="9025" name="AutoShape 1281" descr="ICELAND"/>
        <xdr:cNvSpPr>
          <a:spLocks noChangeAspect="1" noChangeArrowheads="1"/>
        </xdr:cNvSpPr>
      </xdr:nvSpPr>
      <xdr:spPr bwMode="auto">
        <a:xfrm>
          <a:off x="0" y="15982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157</xdr:row>
      <xdr:rowOff>0</xdr:rowOff>
    </xdr:from>
    <xdr:to>
      <xdr:col>22</xdr:col>
      <xdr:colOff>304800</xdr:colOff>
      <xdr:row>158</xdr:row>
      <xdr:rowOff>129540</xdr:rowOff>
    </xdr:to>
    <xdr:sp macro="" textlink="">
      <xdr:nvSpPr>
        <xdr:cNvPr id="9026" name="AutoShape 1282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1598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152400</xdr:colOff>
      <xdr:row>158</xdr:row>
      <xdr:rowOff>106680</xdr:rowOff>
    </xdr:to>
    <xdr:sp macro="" textlink="">
      <xdr:nvSpPr>
        <xdr:cNvPr id="9027" name="AutoShape 1283" descr="ICELAND"/>
        <xdr:cNvSpPr>
          <a:spLocks noChangeAspect="1" noChangeArrowheads="1"/>
        </xdr:cNvSpPr>
      </xdr:nvSpPr>
      <xdr:spPr bwMode="auto">
        <a:xfrm>
          <a:off x="0" y="1600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304800</xdr:colOff>
      <xdr:row>159</xdr:row>
      <xdr:rowOff>129540</xdr:rowOff>
    </xdr:to>
    <xdr:sp macro="" textlink="">
      <xdr:nvSpPr>
        <xdr:cNvPr id="9028" name="AutoShape 1284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1600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152400</xdr:colOff>
      <xdr:row>159</xdr:row>
      <xdr:rowOff>106680</xdr:rowOff>
    </xdr:to>
    <xdr:sp macro="" textlink="">
      <xdr:nvSpPr>
        <xdr:cNvPr id="9029" name="AutoShape 1285" descr="ICELAND"/>
        <xdr:cNvSpPr>
          <a:spLocks noChangeAspect="1" noChangeArrowheads="1"/>
        </xdr:cNvSpPr>
      </xdr:nvSpPr>
      <xdr:spPr bwMode="auto">
        <a:xfrm>
          <a:off x="0" y="16018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159</xdr:row>
      <xdr:rowOff>0</xdr:rowOff>
    </xdr:from>
    <xdr:to>
      <xdr:col>22</xdr:col>
      <xdr:colOff>304800</xdr:colOff>
      <xdr:row>160</xdr:row>
      <xdr:rowOff>129540</xdr:rowOff>
    </xdr:to>
    <xdr:sp macro="" textlink="">
      <xdr:nvSpPr>
        <xdr:cNvPr id="9030" name="AutoShape 1286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16018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152400</xdr:colOff>
      <xdr:row>160</xdr:row>
      <xdr:rowOff>106680</xdr:rowOff>
    </xdr:to>
    <xdr:sp macro="" textlink="">
      <xdr:nvSpPr>
        <xdr:cNvPr id="9031" name="AutoShape 1287" descr="JAPAN2"/>
        <xdr:cNvSpPr>
          <a:spLocks noChangeAspect="1" noChangeArrowheads="1"/>
        </xdr:cNvSpPr>
      </xdr:nvSpPr>
      <xdr:spPr bwMode="auto">
        <a:xfrm>
          <a:off x="0" y="16035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160</xdr:row>
      <xdr:rowOff>0</xdr:rowOff>
    </xdr:from>
    <xdr:to>
      <xdr:col>22</xdr:col>
      <xdr:colOff>304800</xdr:colOff>
      <xdr:row>161</xdr:row>
      <xdr:rowOff>53340</xdr:rowOff>
    </xdr:to>
    <xdr:sp macro="" textlink="">
      <xdr:nvSpPr>
        <xdr:cNvPr id="9032" name="AutoShape 1288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16035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152400</xdr:colOff>
      <xdr:row>161</xdr:row>
      <xdr:rowOff>106680</xdr:rowOff>
    </xdr:to>
    <xdr:sp macro="" textlink="">
      <xdr:nvSpPr>
        <xdr:cNvPr id="9033" name="AutoShape 1289" descr="JAPAN2"/>
        <xdr:cNvSpPr>
          <a:spLocks noChangeAspect="1" noChangeArrowheads="1"/>
        </xdr:cNvSpPr>
      </xdr:nvSpPr>
      <xdr:spPr bwMode="auto">
        <a:xfrm>
          <a:off x="0" y="160606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161</xdr:row>
      <xdr:rowOff>0</xdr:rowOff>
    </xdr:from>
    <xdr:to>
      <xdr:col>22</xdr:col>
      <xdr:colOff>304800</xdr:colOff>
      <xdr:row>162</xdr:row>
      <xdr:rowOff>129540</xdr:rowOff>
    </xdr:to>
    <xdr:sp macro="" textlink="">
      <xdr:nvSpPr>
        <xdr:cNvPr id="9034" name="AutoShape 1290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160606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152400</xdr:colOff>
      <xdr:row>162</xdr:row>
      <xdr:rowOff>106680</xdr:rowOff>
    </xdr:to>
    <xdr:sp macro="" textlink="">
      <xdr:nvSpPr>
        <xdr:cNvPr id="9035" name="AutoShape 1291" descr="JAPAN3"/>
        <xdr:cNvSpPr>
          <a:spLocks noChangeAspect="1" noChangeArrowheads="1"/>
        </xdr:cNvSpPr>
      </xdr:nvSpPr>
      <xdr:spPr bwMode="auto">
        <a:xfrm>
          <a:off x="0" y="16078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162</xdr:row>
      <xdr:rowOff>0</xdr:rowOff>
    </xdr:from>
    <xdr:to>
      <xdr:col>22</xdr:col>
      <xdr:colOff>304800</xdr:colOff>
      <xdr:row>163</xdr:row>
      <xdr:rowOff>53340</xdr:rowOff>
    </xdr:to>
    <xdr:sp macro="" textlink="">
      <xdr:nvSpPr>
        <xdr:cNvPr id="9036" name="AutoShape 1292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1607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152400</xdr:colOff>
      <xdr:row>163</xdr:row>
      <xdr:rowOff>106680</xdr:rowOff>
    </xdr:to>
    <xdr:sp macro="" textlink="">
      <xdr:nvSpPr>
        <xdr:cNvPr id="9037" name="AutoShape 1293" descr="JAPAN3"/>
        <xdr:cNvSpPr>
          <a:spLocks noChangeAspect="1" noChangeArrowheads="1"/>
        </xdr:cNvSpPr>
      </xdr:nvSpPr>
      <xdr:spPr bwMode="auto">
        <a:xfrm>
          <a:off x="0" y="161033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163</xdr:row>
      <xdr:rowOff>0</xdr:rowOff>
    </xdr:from>
    <xdr:to>
      <xdr:col>22</xdr:col>
      <xdr:colOff>304800</xdr:colOff>
      <xdr:row>164</xdr:row>
      <xdr:rowOff>53340</xdr:rowOff>
    </xdr:to>
    <xdr:sp macro="" textlink="">
      <xdr:nvSpPr>
        <xdr:cNvPr id="9038" name="AutoShape 1294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161033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152400</xdr:colOff>
      <xdr:row>164</xdr:row>
      <xdr:rowOff>106680</xdr:rowOff>
    </xdr:to>
    <xdr:sp macro="" textlink="">
      <xdr:nvSpPr>
        <xdr:cNvPr id="9039" name="AutoShape 1295" descr="JAPAN3"/>
        <xdr:cNvSpPr>
          <a:spLocks noChangeAspect="1" noChangeArrowheads="1"/>
        </xdr:cNvSpPr>
      </xdr:nvSpPr>
      <xdr:spPr bwMode="auto">
        <a:xfrm>
          <a:off x="0" y="16128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164</xdr:row>
      <xdr:rowOff>0</xdr:rowOff>
    </xdr:from>
    <xdr:to>
      <xdr:col>22</xdr:col>
      <xdr:colOff>304800</xdr:colOff>
      <xdr:row>165</xdr:row>
      <xdr:rowOff>53340</xdr:rowOff>
    </xdr:to>
    <xdr:sp macro="" textlink="">
      <xdr:nvSpPr>
        <xdr:cNvPr id="9040" name="AutoShape 1296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16128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152400</xdr:colOff>
      <xdr:row>165</xdr:row>
      <xdr:rowOff>106680</xdr:rowOff>
    </xdr:to>
    <xdr:sp macro="" textlink="">
      <xdr:nvSpPr>
        <xdr:cNvPr id="9041" name="AutoShape 1297" descr="JAPAN3"/>
        <xdr:cNvSpPr>
          <a:spLocks noChangeAspect="1" noChangeArrowheads="1"/>
        </xdr:cNvSpPr>
      </xdr:nvSpPr>
      <xdr:spPr bwMode="auto">
        <a:xfrm>
          <a:off x="0" y="1615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304800</xdr:colOff>
      <xdr:row>166</xdr:row>
      <xdr:rowOff>53340</xdr:rowOff>
    </xdr:to>
    <xdr:sp macro="" textlink="">
      <xdr:nvSpPr>
        <xdr:cNvPr id="9042" name="AutoShape 1298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1615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152400</xdr:colOff>
      <xdr:row>166</xdr:row>
      <xdr:rowOff>106680</xdr:rowOff>
    </xdr:to>
    <xdr:sp macro="" textlink="">
      <xdr:nvSpPr>
        <xdr:cNvPr id="9043" name="AutoShape 1299" descr="KAZAKHSTAN"/>
        <xdr:cNvSpPr>
          <a:spLocks noChangeAspect="1" noChangeArrowheads="1"/>
        </xdr:cNvSpPr>
      </xdr:nvSpPr>
      <xdr:spPr bwMode="auto">
        <a:xfrm>
          <a:off x="0" y="16178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304800</xdr:colOff>
      <xdr:row>167</xdr:row>
      <xdr:rowOff>129540</xdr:rowOff>
    </xdr:to>
    <xdr:sp macro="" textlink="">
      <xdr:nvSpPr>
        <xdr:cNvPr id="9044" name="AutoShape 1300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16178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152400</xdr:colOff>
      <xdr:row>167</xdr:row>
      <xdr:rowOff>106680</xdr:rowOff>
    </xdr:to>
    <xdr:sp macro="" textlink="">
      <xdr:nvSpPr>
        <xdr:cNvPr id="9045" name="AutoShape 1301" descr="KAZAKHSTAN"/>
        <xdr:cNvSpPr>
          <a:spLocks noChangeAspect="1" noChangeArrowheads="1"/>
        </xdr:cNvSpPr>
      </xdr:nvSpPr>
      <xdr:spPr bwMode="auto">
        <a:xfrm>
          <a:off x="0" y="16196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167</xdr:row>
      <xdr:rowOff>0</xdr:rowOff>
    </xdr:from>
    <xdr:to>
      <xdr:col>22</xdr:col>
      <xdr:colOff>304800</xdr:colOff>
      <xdr:row>168</xdr:row>
      <xdr:rowOff>53340</xdr:rowOff>
    </xdr:to>
    <xdr:sp macro="" textlink="">
      <xdr:nvSpPr>
        <xdr:cNvPr id="9046" name="AutoShape 1302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16196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152400</xdr:colOff>
      <xdr:row>168</xdr:row>
      <xdr:rowOff>106680</xdr:rowOff>
    </xdr:to>
    <xdr:sp macro="" textlink="">
      <xdr:nvSpPr>
        <xdr:cNvPr id="9047" name="AutoShape 1303" descr="KAZAKHSTAN"/>
        <xdr:cNvSpPr>
          <a:spLocks noChangeAspect="1" noChangeArrowheads="1"/>
        </xdr:cNvSpPr>
      </xdr:nvSpPr>
      <xdr:spPr bwMode="auto">
        <a:xfrm>
          <a:off x="0" y="16221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168</xdr:row>
      <xdr:rowOff>0</xdr:rowOff>
    </xdr:from>
    <xdr:to>
      <xdr:col>22</xdr:col>
      <xdr:colOff>304800</xdr:colOff>
      <xdr:row>169</xdr:row>
      <xdr:rowOff>129540</xdr:rowOff>
    </xdr:to>
    <xdr:sp macro="" textlink="">
      <xdr:nvSpPr>
        <xdr:cNvPr id="9048" name="AutoShape 1304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16221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152400</xdr:colOff>
      <xdr:row>169</xdr:row>
      <xdr:rowOff>106680</xdr:rowOff>
    </xdr:to>
    <xdr:sp macro="" textlink="">
      <xdr:nvSpPr>
        <xdr:cNvPr id="9049" name="AutoShape 1305" descr="KAZAKHSTAN"/>
        <xdr:cNvSpPr>
          <a:spLocks noChangeAspect="1" noChangeArrowheads="1"/>
        </xdr:cNvSpPr>
      </xdr:nvSpPr>
      <xdr:spPr bwMode="auto">
        <a:xfrm>
          <a:off x="0" y="1623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169</xdr:row>
      <xdr:rowOff>0</xdr:rowOff>
    </xdr:from>
    <xdr:to>
      <xdr:col>22</xdr:col>
      <xdr:colOff>304800</xdr:colOff>
      <xdr:row>170</xdr:row>
      <xdr:rowOff>129540</xdr:rowOff>
    </xdr:to>
    <xdr:sp macro="" textlink="">
      <xdr:nvSpPr>
        <xdr:cNvPr id="9050" name="AutoShape 1306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1623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152400</xdr:colOff>
      <xdr:row>170</xdr:row>
      <xdr:rowOff>106680</xdr:rowOff>
    </xdr:to>
    <xdr:sp macro="" textlink="">
      <xdr:nvSpPr>
        <xdr:cNvPr id="9051" name="AutoShape 1307" descr="LITHUANIA"/>
        <xdr:cNvSpPr>
          <a:spLocks noChangeAspect="1" noChangeArrowheads="1"/>
        </xdr:cNvSpPr>
      </xdr:nvSpPr>
      <xdr:spPr bwMode="auto">
        <a:xfrm>
          <a:off x="0" y="1625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304800</xdr:colOff>
      <xdr:row>171</xdr:row>
      <xdr:rowOff>53340</xdr:rowOff>
    </xdr:to>
    <xdr:sp macro="" textlink="">
      <xdr:nvSpPr>
        <xdr:cNvPr id="9052" name="AutoShape 1308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1625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152400</xdr:colOff>
      <xdr:row>171</xdr:row>
      <xdr:rowOff>106680</xdr:rowOff>
    </xdr:to>
    <xdr:sp macro="" textlink="">
      <xdr:nvSpPr>
        <xdr:cNvPr id="9053" name="AutoShape 1309" descr="LITHUANIA"/>
        <xdr:cNvSpPr>
          <a:spLocks noChangeAspect="1" noChangeArrowheads="1"/>
        </xdr:cNvSpPr>
      </xdr:nvSpPr>
      <xdr:spPr bwMode="auto">
        <a:xfrm>
          <a:off x="0" y="1628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171</xdr:row>
      <xdr:rowOff>0</xdr:rowOff>
    </xdr:from>
    <xdr:to>
      <xdr:col>22</xdr:col>
      <xdr:colOff>304800</xdr:colOff>
      <xdr:row>172</xdr:row>
      <xdr:rowOff>129540</xdr:rowOff>
    </xdr:to>
    <xdr:sp macro="" textlink="">
      <xdr:nvSpPr>
        <xdr:cNvPr id="9054" name="AutoShape 1310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1628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152400</xdr:colOff>
      <xdr:row>172</xdr:row>
      <xdr:rowOff>106680</xdr:rowOff>
    </xdr:to>
    <xdr:sp macro="" textlink="">
      <xdr:nvSpPr>
        <xdr:cNvPr id="9055" name="AutoShape 1311" descr="MEXICO"/>
        <xdr:cNvSpPr>
          <a:spLocks noChangeAspect="1" noChangeArrowheads="1"/>
        </xdr:cNvSpPr>
      </xdr:nvSpPr>
      <xdr:spPr bwMode="auto">
        <a:xfrm>
          <a:off x="0" y="1629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172</xdr:row>
      <xdr:rowOff>0</xdr:rowOff>
    </xdr:from>
    <xdr:to>
      <xdr:col>22</xdr:col>
      <xdr:colOff>304800</xdr:colOff>
      <xdr:row>173</xdr:row>
      <xdr:rowOff>129540</xdr:rowOff>
    </xdr:to>
    <xdr:sp macro="" textlink="">
      <xdr:nvSpPr>
        <xdr:cNvPr id="9056" name="AutoShape 1312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1629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152400</xdr:colOff>
      <xdr:row>173</xdr:row>
      <xdr:rowOff>106680</xdr:rowOff>
    </xdr:to>
    <xdr:sp macro="" textlink="">
      <xdr:nvSpPr>
        <xdr:cNvPr id="9057" name="AutoShape 1313" descr="MEXICO"/>
        <xdr:cNvSpPr>
          <a:spLocks noChangeAspect="1" noChangeArrowheads="1"/>
        </xdr:cNvSpPr>
      </xdr:nvSpPr>
      <xdr:spPr bwMode="auto">
        <a:xfrm>
          <a:off x="0" y="1631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173</xdr:row>
      <xdr:rowOff>0</xdr:rowOff>
    </xdr:from>
    <xdr:to>
      <xdr:col>22</xdr:col>
      <xdr:colOff>304800</xdr:colOff>
      <xdr:row>174</xdr:row>
      <xdr:rowOff>129540</xdr:rowOff>
    </xdr:to>
    <xdr:sp macro="" textlink="">
      <xdr:nvSpPr>
        <xdr:cNvPr id="9058" name="AutoShape 1314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1631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152400</xdr:colOff>
      <xdr:row>174</xdr:row>
      <xdr:rowOff>106680</xdr:rowOff>
    </xdr:to>
    <xdr:sp macro="" textlink="">
      <xdr:nvSpPr>
        <xdr:cNvPr id="9059" name="AutoShape 1315" descr="MEXICO"/>
        <xdr:cNvSpPr>
          <a:spLocks noChangeAspect="1" noChangeArrowheads="1"/>
        </xdr:cNvSpPr>
      </xdr:nvSpPr>
      <xdr:spPr bwMode="auto">
        <a:xfrm>
          <a:off x="0" y="16334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174</xdr:row>
      <xdr:rowOff>0</xdr:rowOff>
    </xdr:from>
    <xdr:to>
      <xdr:col>22</xdr:col>
      <xdr:colOff>304800</xdr:colOff>
      <xdr:row>175</xdr:row>
      <xdr:rowOff>53340</xdr:rowOff>
    </xdr:to>
    <xdr:sp macro="" textlink="">
      <xdr:nvSpPr>
        <xdr:cNvPr id="9060" name="AutoShape 1316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16334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152400</xdr:colOff>
      <xdr:row>175</xdr:row>
      <xdr:rowOff>106680</xdr:rowOff>
    </xdr:to>
    <xdr:sp macro="" textlink="">
      <xdr:nvSpPr>
        <xdr:cNvPr id="9061" name="AutoShape 1317" descr="MEXICO"/>
        <xdr:cNvSpPr>
          <a:spLocks noChangeAspect="1" noChangeArrowheads="1"/>
        </xdr:cNvSpPr>
      </xdr:nvSpPr>
      <xdr:spPr bwMode="auto">
        <a:xfrm>
          <a:off x="0" y="1635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175</xdr:row>
      <xdr:rowOff>0</xdr:rowOff>
    </xdr:from>
    <xdr:to>
      <xdr:col>22</xdr:col>
      <xdr:colOff>304800</xdr:colOff>
      <xdr:row>176</xdr:row>
      <xdr:rowOff>129540</xdr:rowOff>
    </xdr:to>
    <xdr:sp macro="" textlink="">
      <xdr:nvSpPr>
        <xdr:cNvPr id="9062" name="AutoShape 1318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1635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152400</xdr:colOff>
      <xdr:row>176</xdr:row>
      <xdr:rowOff>106680</xdr:rowOff>
    </xdr:to>
    <xdr:sp macro="" textlink="">
      <xdr:nvSpPr>
        <xdr:cNvPr id="9063" name="AutoShape 1319" descr="MOLDOVA"/>
        <xdr:cNvSpPr>
          <a:spLocks noChangeAspect="1" noChangeArrowheads="1"/>
        </xdr:cNvSpPr>
      </xdr:nvSpPr>
      <xdr:spPr bwMode="auto">
        <a:xfrm>
          <a:off x="0" y="1637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176</xdr:row>
      <xdr:rowOff>0</xdr:rowOff>
    </xdr:from>
    <xdr:to>
      <xdr:col>22</xdr:col>
      <xdr:colOff>304800</xdr:colOff>
      <xdr:row>177</xdr:row>
      <xdr:rowOff>129540</xdr:rowOff>
    </xdr:to>
    <xdr:sp macro="" textlink="">
      <xdr:nvSpPr>
        <xdr:cNvPr id="9064" name="AutoShape 1320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1637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152400</xdr:colOff>
      <xdr:row>177</xdr:row>
      <xdr:rowOff>106680</xdr:rowOff>
    </xdr:to>
    <xdr:sp macro="" textlink="">
      <xdr:nvSpPr>
        <xdr:cNvPr id="9065" name="AutoShape 1321" descr="MOLDOVA"/>
        <xdr:cNvSpPr>
          <a:spLocks noChangeAspect="1" noChangeArrowheads="1"/>
        </xdr:cNvSpPr>
      </xdr:nvSpPr>
      <xdr:spPr bwMode="auto">
        <a:xfrm>
          <a:off x="0" y="1639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177</xdr:row>
      <xdr:rowOff>0</xdr:rowOff>
    </xdr:from>
    <xdr:to>
      <xdr:col>22</xdr:col>
      <xdr:colOff>304800</xdr:colOff>
      <xdr:row>178</xdr:row>
      <xdr:rowOff>53340</xdr:rowOff>
    </xdr:to>
    <xdr:sp macro="" textlink="">
      <xdr:nvSpPr>
        <xdr:cNvPr id="9066" name="AutoShape 1322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1639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152400</xdr:colOff>
      <xdr:row>178</xdr:row>
      <xdr:rowOff>106680</xdr:rowOff>
    </xdr:to>
    <xdr:sp macro="" textlink="">
      <xdr:nvSpPr>
        <xdr:cNvPr id="9067" name="AutoShape 1323" descr="MONTENEGRO"/>
        <xdr:cNvSpPr>
          <a:spLocks noChangeAspect="1" noChangeArrowheads="1"/>
        </xdr:cNvSpPr>
      </xdr:nvSpPr>
      <xdr:spPr bwMode="auto">
        <a:xfrm>
          <a:off x="0" y="1641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178</xdr:row>
      <xdr:rowOff>0</xdr:rowOff>
    </xdr:from>
    <xdr:to>
      <xdr:col>22</xdr:col>
      <xdr:colOff>304800</xdr:colOff>
      <xdr:row>179</xdr:row>
      <xdr:rowOff>129540</xdr:rowOff>
    </xdr:to>
    <xdr:sp macro="" textlink="">
      <xdr:nvSpPr>
        <xdr:cNvPr id="9068" name="AutoShape 1324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1641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152400</xdr:colOff>
      <xdr:row>179</xdr:row>
      <xdr:rowOff>106680</xdr:rowOff>
    </xdr:to>
    <xdr:sp macro="" textlink="">
      <xdr:nvSpPr>
        <xdr:cNvPr id="9069" name="AutoShape 1325" descr="MONTENEGRO"/>
        <xdr:cNvSpPr>
          <a:spLocks noChangeAspect="1" noChangeArrowheads="1"/>
        </xdr:cNvSpPr>
      </xdr:nvSpPr>
      <xdr:spPr bwMode="auto">
        <a:xfrm>
          <a:off x="0" y="1643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179</xdr:row>
      <xdr:rowOff>0</xdr:rowOff>
    </xdr:from>
    <xdr:to>
      <xdr:col>22</xdr:col>
      <xdr:colOff>304800</xdr:colOff>
      <xdr:row>180</xdr:row>
      <xdr:rowOff>129540</xdr:rowOff>
    </xdr:to>
    <xdr:sp macro="" textlink="">
      <xdr:nvSpPr>
        <xdr:cNvPr id="9070" name="AutoShape 1326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1643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152400</xdr:colOff>
      <xdr:row>180</xdr:row>
      <xdr:rowOff>106680</xdr:rowOff>
    </xdr:to>
    <xdr:sp macro="" textlink="">
      <xdr:nvSpPr>
        <xdr:cNvPr id="9071" name="AutoShape 1327" descr="MONTENEGRO"/>
        <xdr:cNvSpPr>
          <a:spLocks noChangeAspect="1" noChangeArrowheads="1"/>
        </xdr:cNvSpPr>
      </xdr:nvSpPr>
      <xdr:spPr bwMode="auto">
        <a:xfrm>
          <a:off x="0" y="1645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180</xdr:row>
      <xdr:rowOff>0</xdr:rowOff>
    </xdr:from>
    <xdr:to>
      <xdr:col>22</xdr:col>
      <xdr:colOff>304800</xdr:colOff>
      <xdr:row>181</xdr:row>
      <xdr:rowOff>129540</xdr:rowOff>
    </xdr:to>
    <xdr:sp macro="" textlink="">
      <xdr:nvSpPr>
        <xdr:cNvPr id="9072" name="AutoShape 1328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1645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152400</xdr:colOff>
      <xdr:row>181</xdr:row>
      <xdr:rowOff>106680</xdr:rowOff>
    </xdr:to>
    <xdr:sp macro="" textlink="">
      <xdr:nvSpPr>
        <xdr:cNvPr id="9073" name="AutoShape 1329" descr="NORWAY"/>
        <xdr:cNvSpPr>
          <a:spLocks noChangeAspect="1" noChangeArrowheads="1"/>
        </xdr:cNvSpPr>
      </xdr:nvSpPr>
      <xdr:spPr bwMode="auto">
        <a:xfrm>
          <a:off x="0" y="1647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181</xdr:row>
      <xdr:rowOff>0</xdr:rowOff>
    </xdr:from>
    <xdr:to>
      <xdr:col>22</xdr:col>
      <xdr:colOff>304800</xdr:colOff>
      <xdr:row>182</xdr:row>
      <xdr:rowOff>129540</xdr:rowOff>
    </xdr:to>
    <xdr:sp macro="" textlink="">
      <xdr:nvSpPr>
        <xdr:cNvPr id="9074" name="AutoShape 1330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1647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152400</xdr:colOff>
      <xdr:row>182</xdr:row>
      <xdr:rowOff>106680</xdr:rowOff>
    </xdr:to>
    <xdr:sp macro="" textlink="">
      <xdr:nvSpPr>
        <xdr:cNvPr id="9075" name="AutoShape 1331" descr="NORWAY"/>
        <xdr:cNvSpPr>
          <a:spLocks noChangeAspect="1" noChangeArrowheads="1"/>
        </xdr:cNvSpPr>
      </xdr:nvSpPr>
      <xdr:spPr bwMode="auto">
        <a:xfrm>
          <a:off x="0" y="1648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182</xdr:row>
      <xdr:rowOff>0</xdr:rowOff>
    </xdr:from>
    <xdr:to>
      <xdr:col>22</xdr:col>
      <xdr:colOff>304800</xdr:colOff>
      <xdr:row>183</xdr:row>
      <xdr:rowOff>129540</xdr:rowOff>
    </xdr:to>
    <xdr:sp macro="" textlink="">
      <xdr:nvSpPr>
        <xdr:cNvPr id="9076" name="AutoShape 1332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1648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152400</xdr:colOff>
      <xdr:row>183</xdr:row>
      <xdr:rowOff>106680</xdr:rowOff>
    </xdr:to>
    <xdr:sp macro="" textlink="">
      <xdr:nvSpPr>
        <xdr:cNvPr id="9077" name="AutoShape 1333" descr="NORWAY"/>
        <xdr:cNvSpPr>
          <a:spLocks noChangeAspect="1" noChangeArrowheads="1"/>
        </xdr:cNvSpPr>
      </xdr:nvSpPr>
      <xdr:spPr bwMode="auto">
        <a:xfrm>
          <a:off x="0" y="1650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183</xdr:row>
      <xdr:rowOff>0</xdr:rowOff>
    </xdr:from>
    <xdr:to>
      <xdr:col>22</xdr:col>
      <xdr:colOff>304800</xdr:colOff>
      <xdr:row>184</xdr:row>
      <xdr:rowOff>129540</xdr:rowOff>
    </xdr:to>
    <xdr:sp macro="" textlink="">
      <xdr:nvSpPr>
        <xdr:cNvPr id="9078" name="AutoShape 1334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1650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152400</xdr:colOff>
      <xdr:row>184</xdr:row>
      <xdr:rowOff>106680</xdr:rowOff>
    </xdr:to>
    <xdr:sp macro="" textlink="">
      <xdr:nvSpPr>
        <xdr:cNvPr id="9079" name="AutoShape 1335" descr="NORWAY"/>
        <xdr:cNvSpPr>
          <a:spLocks noChangeAspect="1" noChangeArrowheads="1"/>
        </xdr:cNvSpPr>
      </xdr:nvSpPr>
      <xdr:spPr bwMode="auto">
        <a:xfrm>
          <a:off x="0" y="16524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184</xdr:row>
      <xdr:rowOff>0</xdr:rowOff>
    </xdr:from>
    <xdr:to>
      <xdr:col>22</xdr:col>
      <xdr:colOff>304800</xdr:colOff>
      <xdr:row>185</xdr:row>
      <xdr:rowOff>129540</xdr:rowOff>
    </xdr:to>
    <xdr:sp macro="" textlink="">
      <xdr:nvSpPr>
        <xdr:cNvPr id="9080" name="AutoShape 1336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16524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152400</xdr:colOff>
      <xdr:row>185</xdr:row>
      <xdr:rowOff>106680</xdr:rowOff>
    </xdr:to>
    <xdr:sp macro="" textlink="">
      <xdr:nvSpPr>
        <xdr:cNvPr id="9081" name="AutoShape 1337" descr="NORWAY"/>
        <xdr:cNvSpPr>
          <a:spLocks noChangeAspect="1" noChangeArrowheads="1"/>
        </xdr:cNvSpPr>
      </xdr:nvSpPr>
      <xdr:spPr bwMode="auto">
        <a:xfrm>
          <a:off x="0" y="16542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185</xdr:row>
      <xdr:rowOff>0</xdr:rowOff>
    </xdr:from>
    <xdr:to>
      <xdr:col>22</xdr:col>
      <xdr:colOff>304800</xdr:colOff>
      <xdr:row>186</xdr:row>
      <xdr:rowOff>129540</xdr:rowOff>
    </xdr:to>
    <xdr:sp macro="" textlink="">
      <xdr:nvSpPr>
        <xdr:cNvPr id="9082" name="AutoShape 1338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16542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152400</xdr:colOff>
      <xdr:row>186</xdr:row>
      <xdr:rowOff>106680</xdr:rowOff>
    </xdr:to>
    <xdr:sp macro="" textlink="">
      <xdr:nvSpPr>
        <xdr:cNvPr id="9083" name="AutoShape 1339" descr="NORWAY2"/>
        <xdr:cNvSpPr>
          <a:spLocks noChangeAspect="1" noChangeArrowheads="1"/>
        </xdr:cNvSpPr>
      </xdr:nvSpPr>
      <xdr:spPr bwMode="auto">
        <a:xfrm>
          <a:off x="0" y="16559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186</xdr:row>
      <xdr:rowOff>0</xdr:rowOff>
    </xdr:from>
    <xdr:to>
      <xdr:col>22</xdr:col>
      <xdr:colOff>304800</xdr:colOff>
      <xdr:row>187</xdr:row>
      <xdr:rowOff>129540</xdr:rowOff>
    </xdr:to>
    <xdr:sp macro="" textlink="">
      <xdr:nvSpPr>
        <xdr:cNvPr id="9084" name="AutoShape 1340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16559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152400</xdr:colOff>
      <xdr:row>187</xdr:row>
      <xdr:rowOff>106680</xdr:rowOff>
    </xdr:to>
    <xdr:sp macro="" textlink="">
      <xdr:nvSpPr>
        <xdr:cNvPr id="9085" name="AutoShape 1341" descr="NORWAY2"/>
        <xdr:cNvSpPr>
          <a:spLocks noChangeAspect="1" noChangeArrowheads="1"/>
        </xdr:cNvSpPr>
      </xdr:nvSpPr>
      <xdr:spPr bwMode="auto">
        <a:xfrm>
          <a:off x="0" y="16577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187</xdr:row>
      <xdr:rowOff>0</xdr:rowOff>
    </xdr:from>
    <xdr:to>
      <xdr:col>22</xdr:col>
      <xdr:colOff>304800</xdr:colOff>
      <xdr:row>188</xdr:row>
      <xdr:rowOff>129540</xdr:rowOff>
    </xdr:to>
    <xdr:sp macro="" textlink="">
      <xdr:nvSpPr>
        <xdr:cNvPr id="9086" name="AutoShape 1342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1657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152400</xdr:colOff>
      <xdr:row>188</xdr:row>
      <xdr:rowOff>106680</xdr:rowOff>
    </xdr:to>
    <xdr:sp macro="" textlink="">
      <xdr:nvSpPr>
        <xdr:cNvPr id="9087" name="AutoShape 1343" descr="NORWAY2"/>
        <xdr:cNvSpPr>
          <a:spLocks noChangeAspect="1" noChangeArrowheads="1"/>
        </xdr:cNvSpPr>
      </xdr:nvSpPr>
      <xdr:spPr bwMode="auto">
        <a:xfrm>
          <a:off x="0" y="1659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188</xdr:row>
      <xdr:rowOff>0</xdr:rowOff>
    </xdr:from>
    <xdr:to>
      <xdr:col>22</xdr:col>
      <xdr:colOff>304800</xdr:colOff>
      <xdr:row>189</xdr:row>
      <xdr:rowOff>129540</xdr:rowOff>
    </xdr:to>
    <xdr:sp macro="" textlink="">
      <xdr:nvSpPr>
        <xdr:cNvPr id="9088" name="AutoShape 1344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1659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152400</xdr:colOff>
      <xdr:row>189</xdr:row>
      <xdr:rowOff>106680</xdr:rowOff>
    </xdr:to>
    <xdr:sp macro="" textlink="">
      <xdr:nvSpPr>
        <xdr:cNvPr id="9089" name="AutoShape 1345" descr="NORWAY2"/>
        <xdr:cNvSpPr>
          <a:spLocks noChangeAspect="1" noChangeArrowheads="1"/>
        </xdr:cNvSpPr>
      </xdr:nvSpPr>
      <xdr:spPr bwMode="auto">
        <a:xfrm>
          <a:off x="0" y="16612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189</xdr:row>
      <xdr:rowOff>0</xdr:rowOff>
    </xdr:from>
    <xdr:to>
      <xdr:col>22</xdr:col>
      <xdr:colOff>304800</xdr:colOff>
      <xdr:row>190</xdr:row>
      <xdr:rowOff>129540</xdr:rowOff>
    </xdr:to>
    <xdr:sp macro="" textlink="">
      <xdr:nvSpPr>
        <xdr:cNvPr id="9090" name="AutoShape 1346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16612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152400</xdr:colOff>
      <xdr:row>190</xdr:row>
      <xdr:rowOff>106680</xdr:rowOff>
    </xdr:to>
    <xdr:sp macro="" textlink="">
      <xdr:nvSpPr>
        <xdr:cNvPr id="9091" name="AutoShape 1347" descr="NORWAY2"/>
        <xdr:cNvSpPr>
          <a:spLocks noChangeAspect="1" noChangeArrowheads="1"/>
        </xdr:cNvSpPr>
      </xdr:nvSpPr>
      <xdr:spPr bwMode="auto">
        <a:xfrm>
          <a:off x="0" y="16629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190</xdr:row>
      <xdr:rowOff>0</xdr:rowOff>
    </xdr:from>
    <xdr:to>
      <xdr:col>22</xdr:col>
      <xdr:colOff>304800</xdr:colOff>
      <xdr:row>191</xdr:row>
      <xdr:rowOff>129540</xdr:rowOff>
    </xdr:to>
    <xdr:sp macro="" textlink="">
      <xdr:nvSpPr>
        <xdr:cNvPr id="9092" name="AutoShape 1348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16629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152400</xdr:colOff>
      <xdr:row>191</xdr:row>
      <xdr:rowOff>106680</xdr:rowOff>
    </xdr:to>
    <xdr:sp macro="" textlink="">
      <xdr:nvSpPr>
        <xdr:cNvPr id="9093" name="AutoShape 1349" descr="NORWAY3"/>
        <xdr:cNvSpPr>
          <a:spLocks noChangeAspect="1" noChangeArrowheads="1"/>
        </xdr:cNvSpPr>
      </xdr:nvSpPr>
      <xdr:spPr bwMode="auto">
        <a:xfrm>
          <a:off x="0" y="16647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191</xdr:row>
      <xdr:rowOff>0</xdr:rowOff>
    </xdr:from>
    <xdr:to>
      <xdr:col>22</xdr:col>
      <xdr:colOff>304800</xdr:colOff>
      <xdr:row>192</xdr:row>
      <xdr:rowOff>129540</xdr:rowOff>
    </xdr:to>
    <xdr:sp macro="" textlink="">
      <xdr:nvSpPr>
        <xdr:cNvPr id="9094" name="AutoShape 1350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16647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152400</xdr:colOff>
      <xdr:row>192</xdr:row>
      <xdr:rowOff>106680</xdr:rowOff>
    </xdr:to>
    <xdr:sp macro="" textlink="">
      <xdr:nvSpPr>
        <xdr:cNvPr id="9095" name="AutoShape 1351" descr="NORWAY3"/>
        <xdr:cNvSpPr>
          <a:spLocks noChangeAspect="1" noChangeArrowheads="1"/>
        </xdr:cNvSpPr>
      </xdr:nvSpPr>
      <xdr:spPr bwMode="auto">
        <a:xfrm>
          <a:off x="0" y="16664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192</xdr:row>
      <xdr:rowOff>0</xdr:rowOff>
    </xdr:from>
    <xdr:to>
      <xdr:col>22</xdr:col>
      <xdr:colOff>304800</xdr:colOff>
      <xdr:row>193</xdr:row>
      <xdr:rowOff>53340</xdr:rowOff>
    </xdr:to>
    <xdr:sp macro="" textlink="">
      <xdr:nvSpPr>
        <xdr:cNvPr id="9096" name="AutoShape 1352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16664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152400</xdr:colOff>
      <xdr:row>193</xdr:row>
      <xdr:rowOff>106680</xdr:rowOff>
    </xdr:to>
    <xdr:sp macro="" textlink="">
      <xdr:nvSpPr>
        <xdr:cNvPr id="9097" name="AutoShape 1353" descr="NORWAY3"/>
        <xdr:cNvSpPr>
          <a:spLocks noChangeAspect="1" noChangeArrowheads="1"/>
        </xdr:cNvSpPr>
      </xdr:nvSpPr>
      <xdr:spPr bwMode="auto">
        <a:xfrm>
          <a:off x="0" y="16690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193</xdr:row>
      <xdr:rowOff>0</xdr:rowOff>
    </xdr:from>
    <xdr:to>
      <xdr:col>22</xdr:col>
      <xdr:colOff>304800</xdr:colOff>
      <xdr:row>194</xdr:row>
      <xdr:rowOff>129540</xdr:rowOff>
    </xdr:to>
    <xdr:sp macro="" textlink="">
      <xdr:nvSpPr>
        <xdr:cNvPr id="9098" name="AutoShape 1354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16690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152400</xdr:colOff>
      <xdr:row>194</xdr:row>
      <xdr:rowOff>106680</xdr:rowOff>
    </xdr:to>
    <xdr:sp macro="" textlink="">
      <xdr:nvSpPr>
        <xdr:cNvPr id="9099" name="AutoShape 1355" descr="NORWAY4"/>
        <xdr:cNvSpPr>
          <a:spLocks noChangeAspect="1" noChangeArrowheads="1"/>
        </xdr:cNvSpPr>
      </xdr:nvSpPr>
      <xdr:spPr bwMode="auto">
        <a:xfrm>
          <a:off x="0" y="16707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194</xdr:row>
      <xdr:rowOff>0</xdr:rowOff>
    </xdr:from>
    <xdr:to>
      <xdr:col>22</xdr:col>
      <xdr:colOff>304800</xdr:colOff>
      <xdr:row>195</xdr:row>
      <xdr:rowOff>129540</xdr:rowOff>
    </xdr:to>
    <xdr:sp macro="" textlink="">
      <xdr:nvSpPr>
        <xdr:cNvPr id="9100" name="AutoShape 1356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16707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152400</xdr:colOff>
      <xdr:row>195</xdr:row>
      <xdr:rowOff>106680</xdr:rowOff>
    </xdr:to>
    <xdr:sp macro="" textlink="">
      <xdr:nvSpPr>
        <xdr:cNvPr id="9101" name="AutoShape 1357" descr="NORWAY4"/>
        <xdr:cNvSpPr>
          <a:spLocks noChangeAspect="1" noChangeArrowheads="1"/>
        </xdr:cNvSpPr>
      </xdr:nvSpPr>
      <xdr:spPr bwMode="auto">
        <a:xfrm>
          <a:off x="0" y="16725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195</xdr:row>
      <xdr:rowOff>0</xdr:rowOff>
    </xdr:from>
    <xdr:to>
      <xdr:col>22</xdr:col>
      <xdr:colOff>304800</xdr:colOff>
      <xdr:row>196</xdr:row>
      <xdr:rowOff>129540</xdr:rowOff>
    </xdr:to>
    <xdr:sp macro="" textlink="">
      <xdr:nvSpPr>
        <xdr:cNvPr id="9102" name="AutoShape 1358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16725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152400</xdr:colOff>
      <xdr:row>196</xdr:row>
      <xdr:rowOff>106680</xdr:rowOff>
    </xdr:to>
    <xdr:sp macro="" textlink="">
      <xdr:nvSpPr>
        <xdr:cNvPr id="9103" name="AutoShape 1359" descr="NORWAY4"/>
        <xdr:cNvSpPr>
          <a:spLocks noChangeAspect="1" noChangeArrowheads="1"/>
        </xdr:cNvSpPr>
      </xdr:nvSpPr>
      <xdr:spPr bwMode="auto">
        <a:xfrm>
          <a:off x="0" y="16742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196</xdr:row>
      <xdr:rowOff>0</xdr:rowOff>
    </xdr:from>
    <xdr:to>
      <xdr:col>22</xdr:col>
      <xdr:colOff>304800</xdr:colOff>
      <xdr:row>197</xdr:row>
      <xdr:rowOff>129540</xdr:rowOff>
    </xdr:to>
    <xdr:sp macro="" textlink="">
      <xdr:nvSpPr>
        <xdr:cNvPr id="9104" name="AutoShape 1360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16742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152400</xdr:colOff>
      <xdr:row>197</xdr:row>
      <xdr:rowOff>106680</xdr:rowOff>
    </xdr:to>
    <xdr:sp macro="" textlink="">
      <xdr:nvSpPr>
        <xdr:cNvPr id="9105" name="AutoShape 1361" descr="NORWAY4"/>
        <xdr:cNvSpPr>
          <a:spLocks noChangeAspect="1" noChangeArrowheads="1"/>
        </xdr:cNvSpPr>
      </xdr:nvSpPr>
      <xdr:spPr bwMode="auto">
        <a:xfrm>
          <a:off x="0" y="16760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197</xdr:row>
      <xdr:rowOff>0</xdr:rowOff>
    </xdr:from>
    <xdr:to>
      <xdr:col>22</xdr:col>
      <xdr:colOff>304800</xdr:colOff>
      <xdr:row>198</xdr:row>
      <xdr:rowOff>53340</xdr:rowOff>
    </xdr:to>
    <xdr:sp macro="" textlink="">
      <xdr:nvSpPr>
        <xdr:cNvPr id="9106" name="AutoShape 1362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16760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152400</xdr:colOff>
      <xdr:row>198</xdr:row>
      <xdr:rowOff>106680</xdr:rowOff>
    </xdr:to>
    <xdr:sp macro="" textlink="">
      <xdr:nvSpPr>
        <xdr:cNvPr id="9107" name="AutoShape 1363" descr="NORWAY4"/>
        <xdr:cNvSpPr>
          <a:spLocks noChangeAspect="1" noChangeArrowheads="1"/>
        </xdr:cNvSpPr>
      </xdr:nvSpPr>
      <xdr:spPr bwMode="auto">
        <a:xfrm>
          <a:off x="0" y="1678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198</xdr:row>
      <xdr:rowOff>0</xdr:rowOff>
    </xdr:from>
    <xdr:to>
      <xdr:col>22</xdr:col>
      <xdr:colOff>304800</xdr:colOff>
      <xdr:row>199</xdr:row>
      <xdr:rowOff>129540</xdr:rowOff>
    </xdr:to>
    <xdr:sp macro="" textlink="">
      <xdr:nvSpPr>
        <xdr:cNvPr id="9108" name="AutoShape 1364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1678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152400</xdr:colOff>
      <xdr:row>199</xdr:row>
      <xdr:rowOff>106680</xdr:rowOff>
    </xdr:to>
    <xdr:sp macro="" textlink="">
      <xdr:nvSpPr>
        <xdr:cNvPr id="9109" name="AutoShape 1365" descr="NORWAY4"/>
        <xdr:cNvSpPr>
          <a:spLocks noChangeAspect="1" noChangeArrowheads="1"/>
        </xdr:cNvSpPr>
      </xdr:nvSpPr>
      <xdr:spPr bwMode="auto">
        <a:xfrm>
          <a:off x="0" y="1680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199</xdr:row>
      <xdr:rowOff>0</xdr:rowOff>
    </xdr:from>
    <xdr:to>
      <xdr:col>22</xdr:col>
      <xdr:colOff>304800</xdr:colOff>
      <xdr:row>200</xdr:row>
      <xdr:rowOff>129540</xdr:rowOff>
    </xdr:to>
    <xdr:sp macro="" textlink="">
      <xdr:nvSpPr>
        <xdr:cNvPr id="9110" name="AutoShape 1366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1680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152400</xdr:colOff>
      <xdr:row>200</xdr:row>
      <xdr:rowOff>106680</xdr:rowOff>
    </xdr:to>
    <xdr:sp macro="" textlink="">
      <xdr:nvSpPr>
        <xdr:cNvPr id="9111" name="AutoShape 1367" descr="PARAGUAY2"/>
        <xdr:cNvSpPr>
          <a:spLocks noChangeAspect="1" noChangeArrowheads="1"/>
        </xdr:cNvSpPr>
      </xdr:nvSpPr>
      <xdr:spPr bwMode="auto">
        <a:xfrm>
          <a:off x="0" y="16820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200</xdr:row>
      <xdr:rowOff>0</xdr:rowOff>
    </xdr:from>
    <xdr:to>
      <xdr:col>22</xdr:col>
      <xdr:colOff>304800</xdr:colOff>
      <xdr:row>201</xdr:row>
      <xdr:rowOff>53340</xdr:rowOff>
    </xdr:to>
    <xdr:sp macro="" textlink="">
      <xdr:nvSpPr>
        <xdr:cNvPr id="9112" name="AutoShape 1368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16820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152400</xdr:colOff>
      <xdr:row>201</xdr:row>
      <xdr:rowOff>106680</xdr:rowOff>
    </xdr:to>
    <xdr:sp macro="" textlink="">
      <xdr:nvSpPr>
        <xdr:cNvPr id="9113" name="AutoShape 1369" descr="PARAGUAY2"/>
        <xdr:cNvSpPr>
          <a:spLocks noChangeAspect="1" noChangeArrowheads="1"/>
        </xdr:cNvSpPr>
      </xdr:nvSpPr>
      <xdr:spPr bwMode="auto">
        <a:xfrm>
          <a:off x="0" y="16845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201</xdr:row>
      <xdr:rowOff>0</xdr:rowOff>
    </xdr:from>
    <xdr:to>
      <xdr:col>22</xdr:col>
      <xdr:colOff>304800</xdr:colOff>
      <xdr:row>202</xdr:row>
      <xdr:rowOff>129540</xdr:rowOff>
    </xdr:to>
    <xdr:sp macro="" textlink="">
      <xdr:nvSpPr>
        <xdr:cNvPr id="9114" name="AutoShape 1370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16845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152400</xdr:colOff>
      <xdr:row>202</xdr:row>
      <xdr:rowOff>106680</xdr:rowOff>
    </xdr:to>
    <xdr:sp macro="" textlink="">
      <xdr:nvSpPr>
        <xdr:cNvPr id="9115" name="AutoShape 1371" descr="PARAGUAY2"/>
        <xdr:cNvSpPr>
          <a:spLocks noChangeAspect="1" noChangeArrowheads="1"/>
        </xdr:cNvSpPr>
      </xdr:nvSpPr>
      <xdr:spPr bwMode="auto">
        <a:xfrm>
          <a:off x="0" y="1686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202</xdr:row>
      <xdr:rowOff>0</xdr:rowOff>
    </xdr:from>
    <xdr:to>
      <xdr:col>22</xdr:col>
      <xdr:colOff>304800</xdr:colOff>
      <xdr:row>203</xdr:row>
      <xdr:rowOff>129540</xdr:rowOff>
    </xdr:to>
    <xdr:sp macro="" textlink="">
      <xdr:nvSpPr>
        <xdr:cNvPr id="9116" name="AutoShape 1372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1686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152400</xdr:colOff>
      <xdr:row>203</xdr:row>
      <xdr:rowOff>106680</xdr:rowOff>
    </xdr:to>
    <xdr:sp macro="" textlink="">
      <xdr:nvSpPr>
        <xdr:cNvPr id="9117" name="AutoShape 1373" descr="POLAND"/>
        <xdr:cNvSpPr>
          <a:spLocks noChangeAspect="1" noChangeArrowheads="1"/>
        </xdr:cNvSpPr>
      </xdr:nvSpPr>
      <xdr:spPr bwMode="auto">
        <a:xfrm>
          <a:off x="0" y="1688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203</xdr:row>
      <xdr:rowOff>0</xdr:rowOff>
    </xdr:from>
    <xdr:to>
      <xdr:col>22</xdr:col>
      <xdr:colOff>304800</xdr:colOff>
      <xdr:row>204</xdr:row>
      <xdr:rowOff>129540</xdr:rowOff>
    </xdr:to>
    <xdr:sp macro="" textlink="">
      <xdr:nvSpPr>
        <xdr:cNvPr id="9118" name="AutoShape 1374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1688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152400</xdr:colOff>
      <xdr:row>204</xdr:row>
      <xdr:rowOff>106680</xdr:rowOff>
    </xdr:to>
    <xdr:sp macro="" textlink="">
      <xdr:nvSpPr>
        <xdr:cNvPr id="9119" name="AutoShape 1375" descr="POLAND"/>
        <xdr:cNvSpPr>
          <a:spLocks noChangeAspect="1" noChangeArrowheads="1"/>
        </xdr:cNvSpPr>
      </xdr:nvSpPr>
      <xdr:spPr bwMode="auto">
        <a:xfrm>
          <a:off x="0" y="1689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204</xdr:row>
      <xdr:rowOff>0</xdr:rowOff>
    </xdr:from>
    <xdr:to>
      <xdr:col>22</xdr:col>
      <xdr:colOff>304800</xdr:colOff>
      <xdr:row>205</xdr:row>
      <xdr:rowOff>53340</xdr:rowOff>
    </xdr:to>
    <xdr:sp macro="" textlink="">
      <xdr:nvSpPr>
        <xdr:cNvPr id="9120" name="AutoShape 1376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1689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152400</xdr:colOff>
      <xdr:row>205</xdr:row>
      <xdr:rowOff>106680</xdr:rowOff>
    </xdr:to>
    <xdr:sp macro="" textlink="">
      <xdr:nvSpPr>
        <xdr:cNvPr id="9121" name="AutoShape 1377" descr="POLAND"/>
        <xdr:cNvSpPr>
          <a:spLocks noChangeAspect="1" noChangeArrowheads="1"/>
        </xdr:cNvSpPr>
      </xdr:nvSpPr>
      <xdr:spPr bwMode="auto">
        <a:xfrm>
          <a:off x="0" y="16923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205</xdr:row>
      <xdr:rowOff>0</xdr:rowOff>
    </xdr:from>
    <xdr:to>
      <xdr:col>22</xdr:col>
      <xdr:colOff>304800</xdr:colOff>
      <xdr:row>206</xdr:row>
      <xdr:rowOff>129540</xdr:rowOff>
    </xdr:to>
    <xdr:sp macro="" textlink="">
      <xdr:nvSpPr>
        <xdr:cNvPr id="9122" name="AutoShape 1378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16923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152400</xdr:colOff>
      <xdr:row>206</xdr:row>
      <xdr:rowOff>106680</xdr:rowOff>
    </xdr:to>
    <xdr:sp macro="" textlink="">
      <xdr:nvSpPr>
        <xdr:cNvPr id="9123" name="AutoShape 1379" descr="POLAND"/>
        <xdr:cNvSpPr>
          <a:spLocks noChangeAspect="1" noChangeArrowheads="1"/>
        </xdr:cNvSpPr>
      </xdr:nvSpPr>
      <xdr:spPr bwMode="auto">
        <a:xfrm>
          <a:off x="0" y="1694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206</xdr:row>
      <xdr:rowOff>0</xdr:rowOff>
    </xdr:from>
    <xdr:to>
      <xdr:col>22</xdr:col>
      <xdr:colOff>304800</xdr:colOff>
      <xdr:row>207</xdr:row>
      <xdr:rowOff>129540</xdr:rowOff>
    </xdr:to>
    <xdr:sp macro="" textlink="">
      <xdr:nvSpPr>
        <xdr:cNvPr id="9124" name="AutoShape 1380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1694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152400</xdr:colOff>
      <xdr:row>207</xdr:row>
      <xdr:rowOff>106680</xdr:rowOff>
    </xdr:to>
    <xdr:sp macro="" textlink="">
      <xdr:nvSpPr>
        <xdr:cNvPr id="9125" name="AutoShape 1381" descr="POLAND2"/>
        <xdr:cNvSpPr>
          <a:spLocks noChangeAspect="1" noChangeArrowheads="1"/>
        </xdr:cNvSpPr>
      </xdr:nvSpPr>
      <xdr:spPr bwMode="auto">
        <a:xfrm>
          <a:off x="0" y="1695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207</xdr:row>
      <xdr:rowOff>0</xdr:rowOff>
    </xdr:from>
    <xdr:to>
      <xdr:col>22</xdr:col>
      <xdr:colOff>304800</xdr:colOff>
      <xdr:row>208</xdr:row>
      <xdr:rowOff>129540</xdr:rowOff>
    </xdr:to>
    <xdr:sp macro="" textlink="">
      <xdr:nvSpPr>
        <xdr:cNvPr id="9126" name="AutoShape 1382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1695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152400</xdr:colOff>
      <xdr:row>208</xdr:row>
      <xdr:rowOff>106680</xdr:rowOff>
    </xdr:to>
    <xdr:sp macro="" textlink="">
      <xdr:nvSpPr>
        <xdr:cNvPr id="9127" name="AutoShape 1383" descr="POLAND2"/>
        <xdr:cNvSpPr>
          <a:spLocks noChangeAspect="1" noChangeArrowheads="1"/>
        </xdr:cNvSpPr>
      </xdr:nvSpPr>
      <xdr:spPr bwMode="auto">
        <a:xfrm>
          <a:off x="0" y="16975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208</xdr:row>
      <xdr:rowOff>0</xdr:rowOff>
    </xdr:from>
    <xdr:to>
      <xdr:col>22</xdr:col>
      <xdr:colOff>304800</xdr:colOff>
      <xdr:row>209</xdr:row>
      <xdr:rowOff>53340</xdr:rowOff>
    </xdr:to>
    <xdr:sp macro="" textlink="">
      <xdr:nvSpPr>
        <xdr:cNvPr id="9128" name="AutoShape 1384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16975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152400</xdr:colOff>
      <xdr:row>209</xdr:row>
      <xdr:rowOff>106680</xdr:rowOff>
    </xdr:to>
    <xdr:sp macro="" textlink="">
      <xdr:nvSpPr>
        <xdr:cNvPr id="9129" name="AutoShape 1385" descr="POLAND2"/>
        <xdr:cNvSpPr>
          <a:spLocks noChangeAspect="1" noChangeArrowheads="1"/>
        </xdr:cNvSpPr>
      </xdr:nvSpPr>
      <xdr:spPr bwMode="auto">
        <a:xfrm>
          <a:off x="0" y="1700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209</xdr:row>
      <xdr:rowOff>0</xdr:rowOff>
    </xdr:from>
    <xdr:to>
      <xdr:col>22</xdr:col>
      <xdr:colOff>304800</xdr:colOff>
      <xdr:row>210</xdr:row>
      <xdr:rowOff>53340</xdr:rowOff>
    </xdr:to>
    <xdr:sp macro="" textlink="">
      <xdr:nvSpPr>
        <xdr:cNvPr id="9130" name="AutoShape 1386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1700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152400</xdr:colOff>
      <xdr:row>210</xdr:row>
      <xdr:rowOff>106680</xdr:rowOff>
    </xdr:to>
    <xdr:sp macro="" textlink="">
      <xdr:nvSpPr>
        <xdr:cNvPr id="9131" name="AutoShape 1387" descr="POLAND3"/>
        <xdr:cNvSpPr>
          <a:spLocks noChangeAspect="1" noChangeArrowheads="1"/>
        </xdr:cNvSpPr>
      </xdr:nvSpPr>
      <xdr:spPr bwMode="auto">
        <a:xfrm>
          <a:off x="0" y="1702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210</xdr:row>
      <xdr:rowOff>0</xdr:rowOff>
    </xdr:from>
    <xdr:to>
      <xdr:col>22</xdr:col>
      <xdr:colOff>304800</xdr:colOff>
      <xdr:row>211</xdr:row>
      <xdr:rowOff>53340</xdr:rowOff>
    </xdr:to>
    <xdr:sp macro="" textlink="">
      <xdr:nvSpPr>
        <xdr:cNvPr id="9132" name="AutoShape 1388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1702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152400</xdr:colOff>
      <xdr:row>211</xdr:row>
      <xdr:rowOff>106680</xdr:rowOff>
    </xdr:to>
    <xdr:sp macro="" textlink="">
      <xdr:nvSpPr>
        <xdr:cNvPr id="9133" name="AutoShape 1389" descr="POLAND3"/>
        <xdr:cNvSpPr>
          <a:spLocks noChangeAspect="1" noChangeArrowheads="1"/>
        </xdr:cNvSpPr>
      </xdr:nvSpPr>
      <xdr:spPr bwMode="auto">
        <a:xfrm>
          <a:off x="0" y="1705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211</xdr:row>
      <xdr:rowOff>0</xdr:rowOff>
    </xdr:from>
    <xdr:to>
      <xdr:col>22</xdr:col>
      <xdr:colOff>304800</xdr:colOff>
      <xdr:row>212</xdr:row>
      <xdr:rowOff>53340</xdr:rowOff>
    </xdr:to>
    <xdr:sp macro="" textlink="">
      <xdr:nvSpPr>
        <xdr:cNvPr id="9134" name="AutoShape 1390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1705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152400</xdr:colOff>
      <xdr:row>212</xdr:row>
      <xdr:rowOff>106680</xdr:rowOff>
    </xdr:to>
    <xdr:sp macro="" textlink="">
      <xdr:nvSpPr>
        <xdr:cNvPr id="9135" name="AutoShape 1391" descr="POLAND3"/>
        <xdr:cNvSpPr>
          <a:spLocks noChangeAspect="1" noChangeArrowheads="1"/>
        </xdr:cNvSpPr>
      </xdr:nvSpPr>
      <xdr:spPr bwMode="auto">
        <a:xfrm>
          <a:off x="0" y="1707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212</xdr:row>
      <xdr:rowOff>0</xdr:rowOff>
    </xdr:from>
    <xdr:to>
      <xdr:col>22</xdr:col>
      <xdr:colOff>304800</xdr:colOff>
      <xdr:row>213</xdr:row>
      <xdr:rowOff>53340</xdr:rowOff>
    </xdr:to>
    <xdr:sp macro="" textlink="">
      <xdr:nvSpPr>
        <xdr:cNvPr id="9136" name="AutoShape 1392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1707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152400</xdr:colOff>
      <xdr:row>213</xdr:row>
      <xdr:rowOff>106680</xdr:rowOff>
    </xdr:to>
    <xdr:sp macro="" textlink="">
      <xdr:nvSpPr>
        <xdr:cNvPr id="9137" name="AutoShape 1393" descr="POLAND3"/>
        <xdr:cNvSpPr>
          <a:spLocks noChangeAspect="1" noChangeArrowheads="1"/>
        </xdr:cNvSpPr>
      </xdr:nvSpPr>
      <xdr:spPr bwMode="auto">
        <a:xfrm>
          <a:off x="0" y="1710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213</xdr:row>
      <xdr:rowOff>0</xdr:rowOff>
    </xdr:from>
    <xdr:to>
      <xdr:col>22</xdr:col>
      <xdr:colOff>304800</xdr:colOff>
      <xdr:row>214</xdr:row>
      <xdr:rowOff>129540</xdr:rowOff>
    </xdr:to>
    <xdr:sp macro="" textlink="">
      <xdr:nvSpPr>
        <xdr:cNvPr id="9138" name="AutoShape 1394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1710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152400</xdr:colOff>
      <xdr:row>214</xdr:row>
      <xdr:rowOff>106680</xdr:rowOff>
    </xdr:to>
    <xdr:sp macro="" textlink="">
      <xdr:nvSpPr>
        <xdr:cNvPr id="9139" name="AutoShape 1395" descr="PORTUGAL2"/>
        <xdr:cNvSpPr>
          <a:spLocks noChangeAspect="1" noChangeArrowheads="1"/>
        </xdr:cNvSpPr>
      </xdr:nvSpPr>
      <xdr:spPr bwMode="auto">
        <a:xfrm>
          <a:off x="0" y="17119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214</xdr:row>
      <xdr:rowOff>0</xdr:rowOff>
    </xdr:from>
    <xdr:to>
      <xdr:col>22</xdr:col>
      <xdr:colOff>304800</xdr:colOff>
      <xdr:row>215</xdr:row>
      <xdr:rowOff>53340</xdr:rowOff>
    </xdr:to>
    <xdr:sp macro="" textlink="">
      <xdr:nvSpPr>
        <xdr:cNvPr id="9140" name="AutoShape 1396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17119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152400</xdr:colOff>
      <xdr:row>215</xdr:row>
      <xdr:rowOff>106680</xdr:rowOff>
    </xdr:to>
    <xdr:sp macro="" textlink="">
      <xdr:nvSpPr>
        <xdr:cNvPr id="9141" name="AutoShape 1397" descr="PORTUGAL2"/>
        <xdr:cNvSpPr>
          <a:spLocks noChangeAspect="1" noChangeArrowheads="1"/>
        </xdr:cNvSpPr>
      </xdr:nvSpPr>
      <xdr:spPr bwMode="auto">
        <a:xfrm>
          <a:off x="0" y="171442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215</xdr:row>
      <xdr:rowOff>0</xdr:rowOff>
    </xdr:from>
    <xdr:to>
      <xdr:col>22</xdr:col>
      <xdr:colOff>304800</xdr:colOff>
      <xdr:row>216</xdr:row>
      <xdr:rowOff>129540</xdr:rowOff>
    </xdr:to>
    <xdr:sp macro="" textlink="">
      <xdr:nvSpPr>
        <xdr:cNvPr id="9142" name="AutoShape 1398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171442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152400</xdr:colOff>
      <xdr:row>216</xdr:row>
      <xdr:rowOff>106680</xdr:rowOff>
    </xdr:to>
    <xdr:sp macro="" textlink="">
      <xdr:nvSpPr>
        <xdr:cNvPr id="9143" name="AutoShape 1399" descr="PORTUGAL2"/>
        <xdr:cNvSpPr>
          <a:spLocks noChangeAspect="1" noChangeArrowheads="1"/>
        </xdr:cNvSpPr>
      </xdr:nvSpPr>
      <xdr:spPr bwMode="auto">
        <a:xfrm>
          <a:off x="0" y="171617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216</xdr:row>
      <xdr:rowOff>0</xdr:rowOff>
    </xdr:from>
    <xdr:to>
      <xdr:col>22</xdr:col>
      <xdr:colOff>304800</xdr:colOff>
      <xdr:row>217</xdr:row>
      <xdr:rowOff>129540</xdr:rowOff>
    </xdr:to>
    <xdr:sp macro="" textlink="">
      <xdr:nvSpPr>
        <xdr:cNvPr id="9144" name="AutoShape 1400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171617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152400</xdr:colOff>
      <xdr:row>217</xdr:row>
      <xdr:rowOff>106680</xdr:rowOff>
    </xdr:to>
    <xdr:sp macro="" textlink="">
      <xdr:nvSpPr>
        <xdr:cNvPr id="9145" name="AutoShape 1401" descr="PORTUGAL2"/>
        <xdr:cNvSpPr>
          <a:spLocks noChangeAspect="1" noChangeArrowheads="1"/>
        </xdr:cNvSpPr>
      </xdr:nvSpPr>
      <xdr:spPr bwMode="auto">
        <a:xfrm>
          <a:off x="0" y="17179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217</xdr:row>
      <xdr:rowOff>0</xdr:rowOff>
    </xdr:from>
    <xdr:to>
      <xdr:col>22</xdr:col>
      <xdr:colOff>304800</xdr:colOff>
      <xdr:row>218</xdr:row>
      <xdr:rowOff>129540</xdr:rowOff>
    </xdr:to>
    <xdr:sp macro="" textlink="">
      <xdr:nvSpPr>
        <xdr:cNvPr id="9146" name="AutoShape 1402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17179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152400</xdr:colOff>
      <xdr:row>218</xdr:row>
      <xdr:rowOff>106680</xdr:rowOff>
    </xdr:to>
    <xdr:sp macro="" textlink="">
      <xdr:nvSpPr>
        <xdr:cNvPr id="9147" name="AutoShape 1403" descr="ROMANIA"/>
        <xdr:cNvSpPr>
          <a:spLocks noChangeAspect="1" noChangeArrowheads="1"/>
        </xdr:cNvSpPr>
      </xdr:nvSpPr>
      <xdr:spPr bwMode="auto">
        <a:xfrm>
          <a:off x="0" y="171968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218</xdr:row>
      <xdr:rowOff>0</xdr:rowOff>
    </xdr:from>
    <xdr:to>
      <xdr:col>22</xdr:col>
      <xdr:colOff>304800</xdr:colOff>
      <xdr:row>219</xdr:row>
      <xdr:rowOff>129540</xdr:rowOff>
    </xdr:to>
    <xdr:sp macro="" textlink="">
      <xdr:nvSpPr>
        <xdr:cNvPr id="9148" name="AutoShape 1404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1719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152400</xdr:colOff>
      <xdr:row>219</xdr:row>
      <xdr:rowOff>106680</xdr:rowOff>
    </xdr:to>
    <xdr:sp macro="" textlink="">
      <xdr:nvSpPr>
        <xdr:cNvPr id="9149" name="AutoShape 1405" descr="ROMANIA"/>
        <xdr:cNvSpPr>
          <a:spLocks noChangeAspect="1" noChangeArrowheads="1"/>
        </xdr:cNvSpPr>
      </xdr:nvSpPr>
      <xdr:spPr bwMode="auto">
        <a:xfrm>
          <a:off x="0" y="172143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219</xdr:row>
      <xdr:rowOff>0</xdr:rowOff>
    </xdr:from>
    <xdr:to>
      <xdr:col>22</xdr:col>
      <xdr:colOff>304800</xdr:colOff>
      <xdr:row>220</xdr:row>
      <xdr:rowOff>129540</xdr:rowOff>
    </xdr:to>
    <xdr:sp macro="" textlink="">
      <xdr:nvSpPr>
        <xdr:cNvPr id="9150" name="AutoShape 1406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172143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152400</xdr:colOff>
      <xdr:row>220</xdr:row>
      <xdr:rowOff>106680</xdr:rowOff>
    </xdr:to>
    <xdr:sp macro="" textlink="">
      <xdr:nvSpPr>
        <xdr:cNvPr id="9151" name="AutoShape 1407" descr="RUSSIA"/>
        <xdr:cNvSpPr>
          <a:spLocks noChangeAspect="1" noChangeArrowheads="1"/>
        </xdr:cNvSpPr>
      </xdr:nvSpPr>
      <xdr:spPr bwMode="auto">
        <a:xfrm>
          <a:off x="0" y="17231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220</xdr:row>
      <xdr:rowOff>0</xdr:rowOff>
    </xdr:from>
    <xdr:to>
      <xdr:col>22</xdr:col>
      <xdr:colOff>304800</xdr:colOff>
      <xdr:row>221</xdr:row>
      <xdr:rowOff>53340</xdr:rowOff>
    </xdr:to>
    <xdr:sp macro="" textlink="">
      <xdr:nvSpPr>
        <xdr:cNvPr id="9152" name="AutoShape 1408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17231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152400</xdr:colOff>
      <xdr:row>221</xdr:row>
      <xdr:rowOff>106680</xdr:rowOff>
    </xdr:to>
    <xdr:sp macro="" textlink="">
      <xdr:nvSpPr>
        <xdr:cNvPr id="9153" name="AutoShape 1409" descr="RUSSIA"/>
        <xdr:cNvSpPr>
          <a:spLocks noChangeAspect="1" noChangeArrowheads="1"/>
        </xdr:cNvSpPr>
      </xdr:nvSpPr>
      <xdr:spPr bwMode="auto">
        <a:xfrm>
          <a:off x="0" y="172570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221</xdr:row>
      <xdr:rowOff>0</xdr:rowOff>
    </xdr:from>
    <xdr:to>
      <xdr:col>22</xdr:col>
      <xdr:colOff>304800</xdr:colOff>
      <xdr:row>222</xdr:row>
      <xdr:rowOff>53340</xdr:rowOff>
    </xdr:to>
    <xdr:sp macro="" textlink="">
      <xdr:nvSpPr>
        <xdr:cNvPr id="9154" name="AutoShape 1410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172570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152400</xdr:colOff>
      <xdr:row>222</xdr:row>
      <xdr:rowOff>106680</xdr:rowOff>
    </xdr:to>
    <xdr:sp macro="" textlink="">
      <xdr:nvSpPr>
        <xdr:cNvPr id="9155" name="AutoShape 1411" descr="RUSSIA"/>
        <xdr:cNvSpPr>
          <a:spLocks noChangeAspect="1" noChangeArrowheads="1"/>
        </xdr:cNvSpPr>
      </xdr:nvSpPr>
      <xdr:spPr bwMode="auto">
        <a:xfrm>
          <a:off x="0" y="172821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222</xdr:row>
      <xdr:rowOff>0</xdr:rowOff>
    </xdr:from>
    <xdr:to>
      <xdr:col>22</xdr:col>
      <xdr:colOff>304800</xdr:colOff>
      <xdr:row>223</xdr:row>
      <xdr:rowOff>53340</xdr:rowOff>
    </xdr:to>
    <xdr:sp macro="" textlink="">
      <xdr:nvSpPr>
        <xdr:cNvPr id="9156" name="AutoShape 1412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17282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152400</xdr:colOff>
      <xdr:row>223</xdr:row>
      <xdr:rowOff>106680</xdr:rowOff>
    </xdr:to>
    <xdr:sp macro="" textlink="">
      <xdr:nvSpPr>
        <xdr:cNvPr id="9157" name="AutoShape 1413" descr="SERBIA"/>
        <xdr:cNvSpPr>
          <a:spLocks noChangeAspect="1" noChangeArrowheads="1"/>
        </xdr:cNvSpPr>
      </xdr:nvSpPr>
      <xdr:spPr bwMode="auto">
        <a:xfrm>
          <a:off x="0" y="173073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223</xdr:row>
      <xdr:rowOff>0</xdr:rowOff>
    </xdr:from>
    <xdr:to>
      <xdr:col>22</xdr:col>
      <xdr:colOff>304800</xdr:colOff>
      <xdr:row>224</xdr:row>
      <xdr:rowOff>53340</xdr:rowOff>
    </xdr:to>
    <xdr:sp macro="" textlink="">
      <xdr:nvSpPr>
        <xdr:cNvPr id="9158" name="AutoShape 1414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173073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152400</xdr:colOff>
      <xdr:row>224</xdr:row>
      <xdr:rowOff>106680</xdr:rowOff>
    </xdr:to>
    <xdr:sp macro="" textlink="">
      <xdr:nvSpPr>
        <xdr:cNvPr id="9159" name="AutoShape 1415" descr="SERBIA"/>
        <xdr:cNvSpPr>
          <a:spLocks noChangeAspect="1" noChangeArrowheads="1"/>
        </xdr:cNvSpPr>
      </xdr:nvSpPr>
      <xdr:spPr bwMode="auto">
        <a:xfrm>
          <a:off x="0" y="1733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224</xdr:row>
      <xdr:rowOff>0</xdr:rowOff>
    </xdr:from>
    <xdr:to>
      <xdr:col>22</xdr:col>
      <xdr:colOff>304800</xdr:colOff>
      <xdr:row>225</xdr:row>
      <xdr:rowOff>129540</xdr:rowOff>
    </xdr:to>
    <xdr:sp macro="" textlink="">
      <xdr:nvSpPr>
        <xdr:cNvPr id="9160" name="AutoShape 1416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1733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152400</xdr:colOff>
      <xdr:row>225</xdr:row>
      <xdr:rowOff>106680</xdr:rowOff>
    </xdr:to>
    <xdr:sp macro="" textlink="">
      <xdr:nvSpPr>
        <xdr:cNvPr id="9161" name="AutoShape 1417" descr="SERBIA"/>
        <xdr:cNvSpPr>
          <a:spLocks noChangeAspect="1" noChangeArrowheads="1"/>
        </xdr:cNvSpPr>
      </xdr:nvSpPr>
      <xdr:spPr bwMode="auto">
        <a:xfrm>
          <a:off x="0" y="17349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225</xdr:row>
      <xdr:rowOff>0</xdr:rowOff>
    </xdr:from>
    <xdr:to>
      <xdr:col>22</xdr:col>
      <xdr:colOff>304800</xdr:colOff>
      <xdr:row>226</xdr:row>
      <xdr:rowOff>53340</xdr:rowOff>
    </xdr:to>
    <xdr:sp macro="" textlink="">
      <xdr:nvSpPr>
        <xdr:cNvPr id="9162" name="AutoShape 141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17349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152400</xdr:colOff>
      <xdr:row>226</xdr:row>
      <xdr:rowOff>106680</xdr:rowOff>
    </xdr:to>
    <xdr:sp macro="" textlink="">
      <xdr:nvSpPr>
        <xdr:cNvPr id="9163" name="AutoShape 1419" descr="SLOVAKIA"/>
        <xdr:cNvSpPr>
          <a:spLocks noChangeAspect="1" noChangeArrowheads="1"/>
        </xdr:cNvSpPr>
      </xdr:nvSpPr>
      <xdr:spPr bwMode="auto">
        <a:xfrm>
          <a:off x="0" y="1737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226</xdr:row>
      <xdr:rowOff>0</xdr:rowOff>
    </xdr:from>
    <xdr:to>
      <xdr:col>22</xdr:col>
      <xdr:colOff>304800</xdr:colOff>
      <xdr:row>227</xdr:row>
      <xdr:rowOff>53340</xdr:rowOff>
    </xdr:to>
    <xdr:sp macro="" textlink="">
      <xdr:nvSpPr>
        <xdr:cNvPr id="9164" name="AutoShape 1420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1737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152400</xdr:colOff>
      <xdr:row>227</xdr:row>
      <xdr:rowOff>106680</xdr:rowOff>
    </xdr:to>
    <xdr:sp macro="" textlink="">
      <xdr:nvSpPr>
        <xdr:cNvPr id="9165" name="AutoShape 1421" descr="SLOVAKIA"/>
        <xdr:cNvSpPr>
          <a:spLocks noChangeAspect="1" noChangeArrowheads="1"/>
        </xdr:cNvSpPr>
      </xdr:nvSpPr>
      <xdr:spPr bwMode="auto">
        <a:xfrm>
          <a:off x="0" y="174002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227</xdr:row>
      <xdr:rowOff>0</xdr:rowOff>
    </xdr:from>
    <xdr:to>
      <xdr:col>22</xdr:col>
      <xdr:colOff>304800</xdr:colOff>
      <xdr:row>228</xdr:row>
      <xdr:rowOff>129540</xdr:rowOff>
    </xdr:to>
    <xdr:sp macro="" textlink="">
      <xdr:nvSpPr>
        <xdr:cNvPr id="9166" name="AutoShape 1422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174002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152400</xdr:colOff>
      <xdr:row>228</xdr:row>
      <xdr:rowOff>106680</xdr:rowOff>
    </xdr:to>
    <xdr:sp macro="" textlink="">
      <xdr:nvSpPr>
        <xdr:cNvPr id="9167" name="AutoShape 1423" descr="SLOVENIA"/>
        <xdr:cNvSpPr>
          <a:spLocks noChangeAspect="1" noChangeArrowheads="1"/>
        </xdr:cNvSpPr>
      </xdr:nvSpPr>
      <xdr:spPr bwMode="auto">
        <a:xfrm>
          <a:off x="0" y="1741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228</xdr:row>
      <xdr:rowOff>0</xdr:rowOff>
    </xdr:from>
    <xdr:to>
      <xdr:col>22</xdr:col>
      <xdr:colOff>304800</xdr:colOff>
      <xdr:row>229</xdr:row>
      <xdr:rowOff>129540</xdr:rowOff>
    </xdr:to>
    <xdr:sp macro="" textlink="">
      <xdr:nvSpPr>
        <xdr:cNvPr id="9168" name="AutoShape 1424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1741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152400</xdr:colOff>
      <xdr:row>229</xdr:row>
      <xdr:rowOff>106680</xdr:rowOff>
    </xdr:to>
    <xdr:sp macro="" textlink="">
      <xdr:nvSpPr>
        <xdr:cNvPr id="9169" name="AutoShape 1425" descr="SLOVENIA"/>
        <xdr:cNvSpPr>
          <a:spLocks noChangeAspect="1" noChangeArrowheads="1"/>
        </xdr:cNvSpPr>
      </xdr:nvSpPr>
      <xdr:spPr bwMode="auto">
        <a:xfrm>
          <a:off x="0" y="17435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229</xdr:row>
      <xdr:rowOff>0</xdr:rowOff>
    </xdr:from>
    <xdr:to>
      <xdr:col>22</xdr:col>
      <xdr:colOff>304800</xdr:colOff>
      <xdr:row>230</xdr:row>
      <xdr:rowOff>129540</xdr:rowOff>
    </xdr:to>
    <xdr:sp macro="" textlink="">
      <xdr:nvSpPr>
        <xdr:cNvPr id="9170" name="AutoShape 1426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17435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152400</xdr:colOff>
      <xdr:row>230</xdr:row>
      <xdr:rowOff>106680</xdr:rowOff>
    </xdr:to>
    <xdr:sp macro="" textlink="">
      <xdr:nvSpPr>
        <xdr:cNvPr id="9171" name="AutoShape 1427" descr="SLOVENIA"/>
        <xdr:cNvSpPr>
          <a:spLocks noChangeAspect="1" noChangeArrowheads="1"/>
        </xdr:cNvSpPr>
      </xdr:nvSpPr>
      <xdr:spPr bwMode="auto">
        <a:xfrm>
          <a:off x="0" y="17452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230</xdr:row>
      <xdr:rowOff>0</xdr:rowOff>
    </xdr:from>
    <xdr:to>
      <xdr:col>22</xdr:col>
      <xdr:colOff>304800</xdr:colOff>
      <xdr:row>231</xdr:row>
      <xdr:rowOff>129540</xdr:rowOff>
    </xdr:to>
    <xdr:sp macro="" textlink="">
      <xdr:nvSpPr>
        <xdr:cNvPr id="9172" name="AutoShape 1428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17452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152400</xdr:colOff>
      <xdr:row>231</xdr:row>
      <xdr:rowOff>106680</xdr:rowOff>
    </xdr:to>
    <xdr:sp macro="" textlink="">
      <xdr:nvSpPr>
        <xdr:cNvPr id="9173" name="AutoShape 1429" descr="SOUTHAFRICA"/>
        <xdr:cNvSpPr>
          <a:spLocks noChangeAspect="1" noChangeArrowheads="1"/>
        </xdr:cNvSpPr>
      </xdr:nvSpPr>
      <xdr:spPr bwMode="auto">
        <a:xfrm>
          <a:off x="0" y="17470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231</xdr:row>
      <xdr:rowOff>0</xdr:rowOff>
    </xdr:from>
    <xdr:to>
      <xdr:col>22</xdr:col>
      <xdr:colOff>304800</xdr:colOff>
      <xdr:row>232</xdr:row>
      <xdr:rowOff>53340</xdr:rowOff>
    </xdr:to>
    <xdr:sp macro="" textlink="">
      <xdr:nvSpPr>
        <xdr:cNvPr id="9174" name="AutoShape 1430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17470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152400</xdr:colOff>
      <xdr:row>232</xdr:row>
      <xdr:rowOff>106680</xdr:rowOff>
    </xdr:to>
    <xdr:sp macro="" textlink="">
      <xdr:nvSpPr>
        <xdr:cNvPr id="9175" name="AutoShape 1431" descr="SOUTHAFRICA"/>
        <xdr:cNvSpPr>
          <a:spLocks noChangeAspect="1" noChangeArrowheads="1"/>
        </xdr:cNvSpPr>
      </xdr:nvSpPr>
      <xdr:spPr bwMode="auto">
        <a:xfrm>
          <a:off x="0" y="17495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232</xdr:row>
      <xdr:rowOff>0</xdr:rowOff>
    </xdr:from>
    <xdr:to>
      <xdr:col>22</xdr:col>
      <xdr:colOff>304800</xdr:colOff>
      <xdr:row>233</xdr:row>
      <xdr:rowOff>53340</xdr:rowOff>
    </xdr:to>
    <xdr:sp macro="" textlink="">
      <xdr:nvSpPr>
        <xdr:cNvPr id="9176" name="AutoShape 1432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17495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152400</xdr:colOff>
      <xdr:row>233</xdr:row>
      <xdr:rowOff>106680</xdr:rowOff>
    </xdr:to>
    <xdr:sp macro="" textlink="">
      <xdr:nvSpPr>
        <xdr:cNvPr id="9177" name="AutoShape 1433" descr="SOUTHKOREA"/>
        <xdr:cNvSpPr>
          <a:spLocks noChangeAspect="1" noChangeArrowheads="1"/>
        </xdr:cNvSpPr>
      </xdr:nvSpPr>
      <xdr:spPr bwMode="auto">
        <a:xfrm>
          <a:off x="0" y="1752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233</xdr:row>
      <xdr:rowOff>0</xdr:rowOff>
    </xdr:from>
    <xdr:to>
      <xdr:col>22</xdr:col>
      <xdr:colOff>304800</xdr:colOff>
      <xdr:row>234</xdr:row>
      <xdr:rowOff>129540</xdr:rowOff>
    </xdr:to>
    <xdr:sp macro="" textlink="">
      <xdr:nvSpPr>
        <xdr:cNvPr id="9178" name="AutoShape 1434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1752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152400</xdr:colOff>
      <xdr:row>234</xdr:row>
      <xdr:rowOff>106680</xdr:rowOff>
    </xdr:to>
    <xdr:sp macro="" textlink="">
      <xdr:nvSpPr>
        <xdr:cNvPr id="9179" name="AutoShape 1435" descr="SOUTHKOREA"/>
        <xdr:cNvSpPr>
          <a:spLocks noChangeAspect="1" noChangeArrowheads="1"/>
        </xdr:cNvSpPr>
      </xdr:nvSpPr>
      <xdr:spPr bwMode="auto">
        <a:xfrm>
          <a:off x="0" y="1753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234</xdr:row>
      <xdr:rowOff>0</xdr:rowOff>
    </xdr:from>
    <xdr:to>
      <xdr:col>22</xdr:col>
      <xdr:colOff>304800</xdr:colOff>
      <xdr:row>235</xdr:row>
      <xdr:rowOff>53340</xdr:rowOff>
    </xdr:to>
    <xdr:sp macro="" textlink="">
      <xdr:nvSpPr>
        <xdr:cNvPr id="9180" name="AutoShape 1436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1753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152400</xdr:colOff>
      <xdr:row>235</xdr:row>
      <xdr:rowOff>106680</xdr:rowOff>
    </xdr:to>
    <xdr:sp macro="" textlink="">
      <xdr:nvSpPr>
        <xdr:cNvPr id="9181" name="AutoShape 1437" descr="SOUTHKOREA"/>
        <xdr:cNvSpPr>
          <a:spLocks noChangeAspect="1" noChangeArrowheads="1"/>
        </xdr:cNvSpPr>
      </xdr:nvSpPr>
      <xdr:spPr bwMode="auto">
        <a:xfrm>
          <a:off x="0" y="17563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235</xdr:row>
      <xdr:rowOff>0</xdr:rowOff>
    </xdr:from>
    <xdr:to>
      <xdr:col>22</xdr:col>
      <xdr:colOff>304800</xdr:colOff>
      <xdr:row>236</xdr:row>
      <xdr:rowOff>129540</xdr:rowOff>
    </xdr:to>
    <xdr:sp macro="" textlink="">
      <xdr:nvSpPr>
        <xdr:cNvPr id="9182" name="AutoShape 1438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17563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152400</xdr:colOff>
      <xdr:row>236</xdr:row>
      <xdr:rowOff>106680</xdr:rowOff>
    </xdr:to>
    <xdr:sp macro="" textlink="">
      <xdr:nvSpPr>
        <xdr:cNvPr id="9183" name="AutoShape 1439" descr="SOUTHKOREA2"/>
        <xdr:cNvSpPr>
          <a:spLocks noChangeAspect="1" noChangeArrowheads="1"/>
        </xdr:cNvSpPr>
      </xdr:nvSpPr>
      <xdr:spPr bwMode="auto">
        <a:xfrm>
          <a:off x="0" y="17580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236</xdr:row>
      <xdr:rowOff>0</xdr:rowOff>
    </xdr:from>
    <xdr:to>
      <xdr:col>22</xdr:col>
      <xdr:colOff>304800</xdr:colOff>
      <xdr:row>237</xdr:row>
      <xdr:rowOff>129540</xdr:rowOff>
    </xdr:to>
    <xdr:sp macro="" textlink="">
      <xdr:nvSpPr>
        <xdr:cNvPr id="9184" name="AutoShape 1440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17580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152400</xdr:colOff>
      <xdr:row>237</xdr:row>
      <xdr:rowOff>106680</xdr:rowOff>
    </xdr:to>
    <xdr:sp macro="" textlink="">
      <xdr:nvSpPr>
        <xdr:cNvPr id="9185" name="AutoShape 1441" descr="SOUTHKOREA2"/>
        <xdr:cNvSpPr>
          <a:spLocks noChangeAspect="1" noChangeArrowheads="1"/>
        </xdr:cNvSpPr>
      </xdr:nvSpPr>
      <xdr:spPr bwMode="auto">
        <a:xfrm>
          <a:off x="0" y="17598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237</xdr:row>
      <xdr:rowOff>0</xdr:rowOff>
    </xdr:from>
    <xdr:to>
      <xdr:col>22</xdr:col>
      <xdr:colOff>304800</xdr:colOff>
      <xdr:row>238</xdr:row>
      <xdr:rowOff>129540</xdr:rowOff>
    </xdr:to>
    <xdr:sp macro="" textlink="">
      <xdr:nvSpPr>
        <xdr:cNvPr id="9186" name="AutoShape 1442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17598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152400</xdr:colOff>
      <xdr:row>238</xdr:row>
      <xdr:rowOff>106680</xdr:rowOff>
    </xdr:to>
    <xdr:sp macro="" textlink="">
      <xdr:nvSpPr>
        <xdr:cNvPr id="9187" name="AutoShape 1443" descr="SOUTHKOREA2"/>
        <xdr:cNvSpPr>
          <a:spLocks noChangeAspect="1" noChangeArrowheads="1"/>
        </xdr:cNvSpPr>
      </xdr:nvSpPr>
      <xdr:spPr bwMode="auto">
        <a:xfrm>
          <a:off x="0" y="17615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238</xdr:row>
      <xdr:rowOff>0</xdr:rowOff>
    </xdr:from>
    <xdr:to>
      <xdr:col>22</xdr:col>
      <xdr:colOff>304800</xdr:colOff>
      <xdr:row>239</xdr:row>
      <xdr:rowOff>129540</xdr:rowOff>
    </xdr:to>
    <xdr:sp macro="" textlink="">
      <xdr:nvSpPr>
        <xdr:cNvPr id="9188" name="AutoShape 1444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17615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152400</xdr:colOff>
      <xdr:row>239</xdr:row>
      <xdr:rowOff>106680</xdr:rowOff>
    </xdr:to>
    <xdr:sp macro="" textlink="">
      <xdr:nvSpPr>
        <xdr:cNvPr id="9189" name="AutoShape 1445" descr="SOUTHKOREA2"/>
        <xdr:cNvSpPr>
          <a:spLocks noChangeAspect="1" noChangeArrowheads="1"/>
        </xdr:cNvSpPr>
      </xdr:nvSpPr>
      <xdr:spPr bwMode="auto">
        <a:xfrm>
          <a:off x="0" y="17633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239</xdr:row>
      <xdr:rowOff>0</xdr:rowOff>
    </xdr:from>
    <xdr:to>
      <xdr:col>22</xdr:col>
      <xdr:colOff>304800</xdr:colOff>
      <xdr:row>240</xdr:row>
      <xdr:rowOff>53340</xdr:rowOff>
    </xdr:to>
    <xdr:sp macro="" textlink="">
      <xdr:nvSpPr>
        <xdr:cNvPr id="9190" name="AutoShape 1446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17633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152400</xdr:colOff>
      <xdr:row>240</xdr:row>
      <xdr:rowOff>106680</xdr:rowOff>
    </xdr:to>
    <xdr:sp macro="" textlink="">
      <xdr:nvSpPr>
        <xdr:cNvPr id="9191" name="AutoShape 1447" descr="SWEDEN"/>
        <xdr:cNvSpPr>
          <a:spLocks noChangeAspect="1" noChangeArrowheads="1"/>
        </xdr:cNvSpPr>
      </xdr:nvSpPr>
      <xdr:spPr bwMode="auto">
        <a:xfrm>
          <a:off x="0" y="17658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240</xdr:row>
      <xdr:rowOff>0</xdr:rowOff>
    </xdr:from>
    <xdr:to>
      <xdr:col>22</xdr:col>
      <xdr:colOff>304800</xdr:colOff>
      <xdr:row>241</xdr:row>
      <xdr:rowOff>53340</xdr:rowOff>
    </xdr:to>
    <xdr:sp macro="" textlink="">
      <xdr:nvSpPr>
        <xdr:cNvPr id="9192" name="AutoShape 1448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17658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152400</xdr:colOff>
      <xdr:row>241</xdr:row>
      <xdr:rowOff>106680</xdr:rowOff>
    </xdr:to>
    <xdr:sp macro="" textlink="">
      <xdr:nvSpPr>
        <xdr:cNvPr id="9193" name="AutoShape 1449" descr="SWEDEN"/>
        <xdr:cNvSpPr>
          <a:spLocks noChangeAspect="1" noChangeArrowheads="1"/>
        </xdr:cNvSpPr>
      </xdr:nvSpPr>
      <xdr:spPr bwMode="auto">
        <a:xfrm>
          <a:off x="0" y="176837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241</xdr:row>
      <xdr:rowOff>0</xdr:rowOff>
    </xdr:from>
    <xdr:to>
      <xdr:col>22</xdr:col>
      <xdr:colOff>304800</xdr:colOff>
      <xdr:row>242</xdr:row>
      <xdr:rowOff>129540</xdr:rowOff>
    </xdr:to>
    <xdr:sp macro="" textlink="">
      <xdr:nvSpPr>
        <xdr:cNvPr id="9194" name="AutoShape 1450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176837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152400</xdr:colOff>
      <xdr:row>242</xdr:row>
      <xdr:rowOff>106680</xdr:rowOff>
    </xdr:to>
    <xdr:sp macro="" textlink="">
      <xdr:nvSpPr>
        <xdr:cNvPr id="9195" name="AutoShape 1451" descr="SWEDEN"/>
        <xdr:cNvSpPr>
          <a:spLocks noChangeAspect="1" noChangeArrowheads="1"/>
        </xdr:cNvSpPr>
      </xdr:nvSpPr>
      <xdr:spPr bwMode="auto">
        <a:xfrm>
          <a:off x="0" y="17701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242</xdr:row>
      <xdr:rowOff>0</xdr:rowOff>
    </xdr:from>
    <xdr:to>
      <xdr:col>22</xdr:col>
      <xdr:colOff>304800</xdr:colOff>
      <xdr:row>243</xdr:row>
      <xdr:rowOff>129540</xdr:rowOff>
    </xdr:to>
    <xdr:sp macro="" textlink="">
      <xdr:nvSpPr>
        <xdr:cNvPr id="9196" name="AutoShape 1452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1770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152400</xdr:colOff>
      <xdr:row>243</xdr:row>
      <xdr:rowOff>106680</xdr:rowOff>
    </xdr:to>
    <xdr:sp macro="" textlink="">
      <xdr:nvSpPr>
        <xdr:cNvPr id="9197" name="AutoShape 1453" descr="SWEDEN"/>
        <xdr:cNvSpPr>
          <a:spLocks noChangeAspect="1" noChangeArrowheads="1"/>
        </xdr:cNvSpPr>
      </xdr:nvSpPr>
      <xdr:spPr bwMode="auto">
        <a:xfrm>
          <a:off x="0" y="17718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243</xdr:row>
      <xdr:rowOff>0</xdr:rowOff>
    </xdr:from>
    <xdr:to>
      <xdr:col>22</xdr:col>
      <xdr:colOff>304800</xdr:colOff>
      <xdr:row>244</xdr:row>
      <xdr:rowOff>129540</xdr:rowOff>
    </xdr:to>
    <xdr:sp macro="" textlink="">
      <xdr:nvSpPr>
        <xdr:cNvPr id="9198" name="AutoShape 1454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17718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152400</xdr:colOff>
      <xdr:row>244</xdr:row>
      <xdr:rowOff>106680</xdr:rowOff>
    </xdr:to>
    <xdr:sp macro="" textlink="">
      <xdr:nvSpPr>
        <xdr:cNvPr id="9199" name="AutoShape 1455" descr="SWEDEN"/>
        <xdr:cNvSpPr>
          <a:spLocks noChangeAspect="1" noChangeArrowheads="1"/>
        </xdr:cNvSpPr>
      </xdr:nvSpPr>
      <xdr:spPr bwMode="auto">
        <a:xfrm>
          <a:off x="0" y="17736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244</xdr:row>
      <xdr:rowOff>0</xdr:rowOff>
    </xdr:from>
    <xdr:to>
      <xdr:col>22</xdr:col>
      <xdr:colOff>304800</xdr:colOff>
      <xdr:row>245</xdr:row>
      <xdr:rowOff>129540</xdr:rowOff>
    </xdr:to>
    <xdr:sp macro="" textlink="">
      <xdr:nvSpPr>
        <xdr:cNvPr id="9200" name="AutoShape 1456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17736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152400</xdr:colOff>
      <xdr:row>245</xdr:row>
      <xdr:rowOff>106680</xdr:rowOff>
    </xdr:to>
    <xdr:sp macro="" textlink="">
      <xdr:nvSpPr>
        <xdr:cNvPr id="9201" name="AutoShape 1457" descr="SWEDEN2"/>
        <xdr:cNvSpPr>
          <a:spLocks noChangeAspect="1" noChangeArrowheads="1"/>
        </xdr:cNvSpPr>
      </xdr:nvSpPr>
      <xdr:spPr bwMode="auto">
        <a:xfrm>
          <a:off x="0" y="177538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245</xdr:row>
      <xdr:rowOff>0</xdr:rowOff>
    </xdr:from>
    <xdr:to>
      <xdr:col>22</xdr:col>
      <xdr:colOff>304800</xdr:colOff>
      <xdr:row>246</xdr:row>
      <xdr:rowOff>129540</xdr:rowOff>
    </xdr:to>
    <xdr:sp macro="" textlink="">
      <xdr:nvSpPr>
        <xdr:cNvPr id="9202" name="AutoShape 1458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177538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152400</xdr:colOff>
      <xdr:row>246</xdr:row>
      <xdr:rowOff>106680</xdr:rowOff>
    </xdr:to>
    <xdr:sp macro="" textlink="">
      <xdr:nvSpPr>
        <xdr:cNvPr id="9203" name="AutoShape 1459" descr="SWEDEN3"/>
        <xdr:cNvSpPr>
          <a:spLocks noChangeAspect="1" noChangeArrowheads="1"/>
        </xdr:cNvSpPr>
      </xdr:nvSpPr>
      <xdr:spPr bwMode="auto">
        <a:xfrm>
          <a:off x="0" y="177713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246</xdr:row>
      <xdr:rowOff>0</xdr:rowOff>
    </xdr:from>
    <xdr:to>
      <xdr:col>22</xdr:col>
      <xdr:colOff>304800</xdr:colOff>
      <xdr:row>247</xdr:row>
      <xdr:rowOff>129540</xdr:rowOff>
    </xdr:to>
    <xdr:sp macro="" textlink="">
      <xdr:nvSpPr>
        <xdr:cNvPr id="9204" name="AutoShape 1460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177713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152400</xdr:colOff>
      <xdr:row>247</xdr:row>
      <xdr:rowOff>106680</xdr:rowOff>
    </xdr:to>
    <xdr:sp macro="" textlink="">
      <xdr:nvSpPr>
        <xdr:cNvPr id="9205" name="AutoShape 1461" descr="SWEDEN3"/>
        <xdr:cNvSpPr>
          <a:spLocks noChangeAspect="1" noChangeArrowheads="1"/>
        </xdr:cNvSpPr>
      </xdr:nvSpPr>
      <xdr:spPr bwMode="auto">
        <a:xfrm>
          <a:off x="0" y="17788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247</xdr:row>
      <xdr:rowOff>0</xdr:rowOff>
    </xdr:from>
    <xdr:to>
      <xdr:col>22</xdr:col>
      <xdr:colOff>304800</xdr:colOff>
      <xdr:row>248</xdr:row>
      <xdr:rowOff>53340</xdr:rowOff>
    </xdr:to>
    <xdr:sp macro="" textlink="">
      <xdr:nvSpPr>
        <xdr:cNvPr id="9206" name="AutoShape 1462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17788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152400</xdr:colOff>
      <xdr:row>248</xdr:row>
      <xdr:rowOff>106680</xdr:rowOff>
    </xdr:to>
    <xdr:sp macro="" textlink="">
      <xdr:nvSpPr>
        <xdr:cNvPr id="9207" name="AutoShape 1463" descr="SWEDEN3"/>
        <xdr:cNvSpPr>
          <a:spLocks noChangeAspect="1" noChangeArrowheads="1"/>
        </xdr:cNvSpPr>
      </xdr:nvSpPr>
      <xdr:spPr bwMode="auto">
        <a:xfrm>
          <a:off x="0" y="17814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248</xdr:row>
      <xdr:rowOff>0</xdr:rowOff>
    </xdr:from>
    <xdr:to>
      <xdr:col>22</xdr:col>
      <xdr:colOff>304800</xdr:colOff>
      <xdr:row>249</xdr:row>
      <xdr:rowOff>129540</xdr:rowOff>
    </xdr:to>
    <xdr:sp macro="" textlink="">
      <xdr:nvSpPr>
        <xdr:cNvPr id="9208" name="AutoShape 1464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17814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152400</xdr:colOff>
      <xdr:row>249</xdr:row>
      <xdr:rowOff>106680</xdr:rowOff>
    </xdr:to>
    <xdr:sp macro="" textlink="">
      <xdr:nvSpPr>
        <xdr:cNvPr id="9209" name="AutoShape 1465" descr="SWEDEN4"/>
        <xdr:cNvSpPr>
          <a:spLocks noChangeAspect="1" noChangeArrowheads="1"/>
        </xdr:cNvSpPr>
      </xdr:nvSpPr>
      <xdr:spPr bwMode="auto">
        <a:xfrm>
          <a:off x="0" y="17831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249</xdr:row>
      <xdr:rowOff>0</xdr:rowOff>
    </xdr:from>
    <xdr:to>
      <xdr:col>22</xdr:col>
      <xdr:colOff>304800</xdr:colOff>
      <xdr:row>250</xdr:row>
      <xdr:rowOff>129540</xdr:rowOff>
    </xdr:to>
    <xdr:sp macro="" textlink="">
      <xdr:nvSpPr>
        <xdr:cNvPr id="9210" name="AutoShape 1466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17831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152400</xdr:colOff>
      <xdr:row>250</xdr:row>
      <xdr:rowOff>106680</xdr:rowOff>
    </xdr:to>
    <xdr:sp macro="" textlink="">
      <xdr:nvSpPr>
        <xdr:cNvPr id="9211" name="AutoShape 1467" descr="SWEDEN4"/>
        <xdr:cNvSpPr>
          <a:spLocks noChangeAspect="1" noChangeArrowheads="1"/>
        </xdr:cNvSpPr>
      </xdr:nvSpPr>
      <xdr:spPr bwMode="auto">
        <a:xfrm>
          <a:off x="0" y="17849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250</xdr:row>
      <xdr:rowOff>0</xdr:rowOff>
    </xdr:from>
    <xdr:to>
      <xdr:col>22</xdr:col>
      <xdr:colOff>304800</xdr:colOff>
      <xdr:row>251</xdr:row>
      <xdr:rowOff>129540</xdr:rowOff>
    </xdr:to>
    <xdr:sp macro="" textlink="">
      <xdr:nvSpPr>
        <xdr:cNvPr id="9212" name="AutoShape 1468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17849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152400</xdr:colOff>
      <xdr:row>251</xdr:row>
      <xdr:rowOff>106680</xdr:rowOff>
    </xdr:to>
    <xdr:sp macro="" textlink="">
      <xdr:nvSpPr>
        <xdr:cNvPr id="9213" name="AutoShape 1469" descr="SWEDEN4"/>
        <xdr:cNvSpPr>
          <a:spLocks noChangeAspect="1" noChangeArrowheads="1"/>
        </xdr:cNvSpPr>
      </xdr:nvSpPr>
      <xdr:spPr bwMode="auto">
        <a:xfrm>
          <a:off x="0" y="17866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251</xdr:row>
      <xdr:rowOff>0</xdr:rowOff>
    </xdr:from>
    <xdr:to>
      <xdr:col>22</xdr:col>
      <xdr:colOff>304800</xdr:colOff>
      <xdr:row>252</xdr:row>
      <xdr:rowOff>129540</xdr:rowOff>
    </xdr:to>
    <xdr:sp macro="" textlink="">
      <xdr:nvSpPr>
        <xdr:cNvPr id="9214" name="AutoShape 1470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17866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152400</xdr:colOff>
      <xdr:row>252</xdr:row>
      <xdr:rowOff>106680</xdr:rowOff>
    </xdr:to>
    <xdr:sp macro="" textlink="">
      <xdr:nvSpPr>
        <xdr:cNvPr id="9215" name="AutoShape 1471" descr="SWEDEN11"/>
        <xdr:cNvSpPr>
          <a:spLocks noChangeAspect="1" noChangeArrowheads="1"/>
        </xdr:cNvSpPr>
      </xdr:nvSpPr>
      <xdr:spPr bwMode="auto">
        <a:xfrm>
          <a:off x="0" y="17884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252</xdr:row>
      <xdr:rowOff>0</xdr:rowOff>
    </xdr:from>
    <xdr:to>
      <xdr:col>22</xdr:col>
      <xdr:colOff>304800</xdr:colOff>
      <xdr:row>253</xdr:row>
      <xdr:rowOff>53340</xdr:rowOff>
    </xdr:to>
    <xdr:sp macro="" textlink="">
      <xdr:nvSpPr>
        <xdr:cNvPr id="9216" name="AutoShape 1472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17884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152400</xdr:colOff>
      <xdr:row>253</xdr:row>
      <xdr:rowOff>106680</xdr:rowOff>
    </xdr:to>
    <xdr:sp macro="" textlink="">
      <xdr:nvSpPr>
        <xdr:cNvPr id="9217" name="AutoShape 1473" descr="TURKEY"/>
        <xdr:cNvSpPr>
          <a:spLocks noChangeAspect="1" noChangeArrowheads="1"/>
        </xdr:cNvSpPr>
      </xdr:nvSpPr>
      <xdr:spPr bwMode="auto">
        <a:xfrm>
          <a:off x="0" y="179092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253</xdr:row>
      <xdr:rowOff>0</xdr:rowOff>
    </xdr:from>
    <xdr:to>
      <xdr:col>22</xdr:col>
      <xdr:colOff>304800</xdr:colOff>
      <xdr:row>254</xdr:row>
      <xdr:rowOff>129540</xdr:rowOff>
    </xdr:to>
    <xdr:sp macro="" textlink="">
      <xdr:nvSpPr>
        <xdr:cNvPr id="9218" name="AutoShape 1474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179092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152400</xdr:colOff>
      <xdr:row>254</xdr:row>
      <xdr:rowOff>106680</xdr:rowOff>
    </xdr:to>
    <xdr:sp macro="" textlink="">
      <xdr:nvSpPr>
        <xdr:cNvPr id="9219" name="AutoShape 1475" descr="TURKEY"/>
        <xdr:cNvSpPr>
          <a:spLocks noChangeAspect="1" noChangeArrowheads="1"/>
        </xdr:cNvSpPr>
      </xdr:nvSpPr>
      <xdr:spPr bwMode="auto">
        <a:xfrm>
          <a:off x="0" y="179268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254</xdr:row>
      <xdr:rowOff>0</xdr:rowOff>
    </xdr:from>
    <xdr:to>
      <xdr:col>22</xdr:col>
      <xdr:colOff>304800</xdr:colOff>
      <xdr:row>255</xdr:row>
      <xdr:rowOff>129540</xdr:rowOff>
    </xdr:to>
    <xdr:sp macro="" textlink="">
      <xdr:nvSpPr>
        <xdr:cNvPr id="9220" name="AutoShape 1476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179268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152400</xdr:colOff>
      <xdr:row>255</xdr:row>
      <xdr:rowOff>106680</xdr:rowOff>
    </xdr:to>
    <xdr:sp macro="" textlink="">
      <xdr:nvSpPr>
        <xdr:cNvPr id="9221" name="AutoShape 1477" descr="TURKEY"/>
        <xdr:cNvSpPr>
          <a:spLocks noChangeAspect="1" noChangeArrowheads="1"/>
        </xdr:cNvSpPr>
      </xdr:nvSpPr>
      <xdr:spPr bwMode="auto">
        <a:xfrm>
          <a:off x="0" y="17944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255</xdr:row>
      <xdr:rowOff>0</xdr:rowOff>
    </xdr:from>
    <xdr:to>
      <xdr:col>22</xdr:col>
      <xdr:colOff>304800</xdr:colOff>
      <xdr:row>256</xdr:row>
      <xdr:rowOff>129540</xdr:rowOff>
    </xdr:to>
    <xdr:sp macro="" textlink="">
      <xdr:nvSpPr>
        <xdr:cNvPr id="9222" name="AutoShape 1478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17944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152400</xdr:colOff>
      <xdr:row>256</xdr:row>
      <xdr:rowOff>106680</xdr:rowOff>
    </xdr:to>
    <xdr:sp macro="" textlink="">
      <xdr:nvSpPr>
        <xdr:cNvPr id="9223" name="AutoShape 1479" descr="TURKEY2"/>
        <xdr:cNvSpPr>
          <a:spLocks noChangeAspect="1" noChangeArrowheads="1"/>
        </xdr:cNvSpPr>
      </xdr:nvSpPr>
      <xdr:spPr bwMode="auto">
        <a:xfrm>
          <a:off x="0" y="17961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256</xdr:row>
      <xdr:rowOff>0</xdr:rowOff>
    </xdr:from>
    <xdr:to>
      <xdr:col>22</xdr:col>
      <xdr:colOff>304800</xdr:colOff>
      <xdr:row>257</xdr:row>
      <xdr:rowOff>129540</xdr:rowOff>
    </xdr:to>
    <xdr:sp macro="" textlink="">
      <xdr:nvSpPr>
        <xdr:cNvPr id="9224" name="AutoShape 1480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17961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152400</xdr:colOff>
      <xdr:row>257</xdr:row>
      <xdr:rowOff>106680</xdr:rowOff>
    </xdr:to>
    <xdr:sp macro="" textlink="">
      <xdr:nvSpPr>
        <xdr:cNvPr id="9225" name="AutoShape 1481" descr="TURKEY2"/>
        <xdr:cNvSpPr>
          <a:spLocks noChangeAspect="1" noChangeArrowheads="1"/>
        </xdr:cNvSpPr>
      </xdr:nvSpPr>
      <xdr:spPr bwMode="auto">
        <a:xfrm>
          <a:off x="0" y="1797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257</xdr:row>
      <xdr:rowOff>0</xdr:rowOff>
    </xdr:from>
    <xdr:to>
      <xdr:col>22</xdr:col>
      <xdr:colOff>304800</xdr:colOff>
      <xdr:row>258</xdr:row>
      <xdr:rowOff>129540</xdr:rowOff>
    </xdr:to>
    <xdr:sp macro="" textlink="">
      <xdr:nvSpPr>
        <xdr:cNvPr id="9226" name="AutoShape 1482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1797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152400</xdr:colOff>
      <xdr:row>258</xdr:row>
      <xdr:rowOff>106680</xdr:rowOff>
    </xdr:to>
    <xdr:sp macro="" textlink="">
      <xdr:nvSpPr>
        <xdr:cNvPr id="9227" name="AutoShape 1483" descr="TURKEY2"/>
        <xdr:cNvSpPr>
          <a:spLocks noChangeAspect="1" noChangeArrowheads="1"/>
        </xdr:cNvSpPr>
      </xdr:nvSpPr>
      <xdr:spPr bwMode="auto">
        <a:xfrm>
          <a:off x="0" y="1799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258</xdr:row>
      <xdr:rowOff>0</xdr:rowOff>
    </xdr:from>
    <xdr:to>
      <xdr:col>22</xdr:col>
      <xdr:colOff>304800</xdr:colOff>
      <xdr:row>259</xdr:row>
      <xdr:rowOff>129540</xdr:rowOff>
    </xdr:to>
    <xdr:sp macro="" textlink="">
      <xdr:nvSpPr>
        <xdr:cNvPr id="9228" name="AutoShape 1484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1799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152400</xdr:colOff>
      <xdr:row>259</xdr:row>
      <xdr:rowOff>106680</xdr:rowOff>
    </xdr:to>
    <xdr:sp macro="" textlink="">
      <xdr:nvSpPr>
        <xdr:cNvPr id="9229" name="AutoShape 1485" descr="TURKEY2"/>
        <xdr:cNvSpPr>
          <a:spLocks noChangeAspect="1" noChangeArrowheads="1"/>
        </xdr:cNvSpPr>
      </xdr:nvSpPr>
      <xdr:spPr bwMode="auto">
        <a:xfrm>
          <a:off x="0" y="18014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259</xdr:row>
      <xdr:rowOff>0</xdr:rowOff>
    </xdr:from>
    <xdr:to>
      <xdr:col>22</xdr:col>
      <xdr:colOff>304800</xdr:colOff>
      <xdr:row>260</xdr:row>
      <xdr:rowOff>53340</xdr:rowOff>
    </xdr:to>
    <xdr:sp macro="" textlink="">
      <xdr:nvSpPr>
        <xdr:cNvPr id="9230" name="AutoShape 1486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18014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152400</xdr:colOff>
      <xdr:row>260</xdr:row>
      <xdr:rowOff>106680</xdr:rowOff>
    </xdr:to>
    <xdr:sp macro="" textlink="">
      <xdr:nvSpPr>
        <xdr:cNvPr id="9231" name="AutoShape 1487" descr="UKRAINE"/>
        <xdr:cNvSpPr>
          <a:spLocks noChangeAspect="1" noChangeArrowheads="1"/>
        </xdr:cNvSpPr>
      </xdr:nvSpPr>
      <xdr:spPr bwMode="auto">
        <a:xfrm>
          <a:off x="0" y="18039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260</xdr:row>
      <xdr:rowOff>0</xdr:rowOff>
    </xdr:from>
    <xdr:to>
      <xdr:col>22</xdr:col>
      <xdr:colOff>304800</xdr:colOff>
      <xdr:row>261</xdr:row>
      <xdr:rowOff>53340</xdr:rowOff>
    </xdr:to>
    <xdr:sp macro="" textlink="">
      <xdr:nvSpPr>
        <xdr:cNvPr id="9232" name="AutoShape 1488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18039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152400</xdr:colOff>
      <xdr:row>261</xdr:row>
      <xdr:rowOff>106680</xdr:rowOff>
    </xdr:to>
    <xdr:sp macro="" textlink="">
      <xdr:nvSpPr>
        <xdr:cNvPr id="9233" name="AutoShape 1489" descr="UKRAINE"/>
        <xdr:cNvSpPr>
          <a:spLocks noChangeAspect="1" noChangeArrowheads="1"/>
        </xdr:cNvSpPr>
      </xdr:nvSpPr>
      <xdr:spPr bwMode="auto">
        <a:xfrm>
          <a:off x="0" y="180647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261</xdr:row>
      <xdr:rowOff>0</xdr:rowOff>
    </xdr:from>
    <xdr:to>
      <xdr:col>22</xdr:col>
      <xdr:colOff>304800</xdr:colOff>
      <xdr:row>262</xdr:row>
      <xdr:rowOff>129540</xdr:rowOff>
    </xdr:to>
    <xdr:sp macro="" textlink="">
      <xdr:nvSpPr>
        <xdr:cNvPr id="9234" name="AutoShape 1490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180647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152400</xdr:colOff>
      <xdr:row>262</xdr:row>
      <xdr:rowOff>106680</xdr:rowOff>
    </xdr:to>
    <xdr:sp macro="" textlink="">
      <xdr:nvSpPr>
        <xdr:cNvPr id="9235" name="AutoShape 1491" descr="UKRAINE"/>
        <xdr:cNvSpPr>
          <a:spLocks noChangeAspect="1" noChangeArrowheads="1"/>
        </xdr:cNvSpPr>
      </xdr:nvSpPr>
      <xdr:spPr bwMode="auto">
        <a:xfrm>
          <a:off x="0" y="18082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262</xdr:row>
      <xdr:rowOff>0</xdr:rowOff>
    </xdr:from>
    <xdr:to>
      <xdr:col>22</xdr:col>
      <xdr:colOff>304800</xdr:colOff>
      <xdr:row>263</xdr:row>
      <xdr:rowOff>53340</xdr:rowOff>
    </xdr:to>
    <xdr:sp macro="" textlink="">
      <xdr:nvSpPr>
        <xdr:cNvPr id="9236" name="AutoShape 1492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18082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152400</xdr:colOff>
      <xdr:row>263</xdr:row>
      <xdr:rowOff>106680</xdr:rowOff>
    </xdr:to>
    <xdr:sp macro="" textlink="">
      <xdr:nvSpPr>
        <xdr:cNvPr id="9237" name="AutoShape 1493" descr="URUGUAY3"/>
        <xdr:cNvSpPr>
          <a:spLocks noChangeAspect="1" noChangeArrowheads="1"/>
        </xdr:cNvSpPr>
      </xdr:nvSpPr>
      <xdr:spPr bwMode="auto">
        <a:xfrm>
          <a:off x="0" y="1810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263</xdr:row>
      <xdr:rowOff>0</xdr:rowOff>
    </xdr:from>
    <xdr:to>
      <xdr:col>22</xdr:col>
      <xdr:colOff>304800</xdr:colOff>
      <xdr:row>264</xdr:row>
      <xdr:rowOff>53340</xdr:rowOff>
    </xdr:to>
    <xdr:sp macro="" textlink="">
      <xdr:nvSpPr>
        <xdr:cNvPr id="9238" name="AutoShape 1494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1810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152400</xdr:colOff>
      <xdr:row>264</xdr:row>
      <xdr:rowOff>106680</xdr:rowOff>
    </xdr:to>
    <xdr:sp macro="" textlink="">
      <xdr:nvSpPr>
        <xdr:cNvPr id="9239" name="AutoShape 1495" descr="URUGUAY3"/>
        <xdr:cNvSpPr>
          <a:spLocks noChangeAspect="1" noChangeArrowheads="1"/>
        </xdr:cNvSpPr>
      </xdr:nvSpPr>
      <xdr:spPr bwMode="auto">
        <a:xfrm>
          <a:off x="0" y="1813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264</xdr:row>
      <xdr:rowOff>0</xdr:rowOff>
    </xdr:from>
    <xdr:to>
      <xdr:col>22</xdr:col>
      <xdr:colOff>304800</xdr:colOff>
      <xdr:row>265</xdr:row>
      <xdr:rowOff>129540</xdr:rowOff>
    </xdr:to>
    <xdr:sp macro="" textlink="">
      <xdr:nvSpPr>
        <xdr:cNvPr id="9240" name="AutoShape 1496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1813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152400</xdr:colOff>
      <xdr:row>265</xdr:row>
      <xdr:rowOff>106680</xdr:rowOff>
    </xdr:to>
    <xdr:sp macro="" textlink="">
      <xdr:nvSpPr>
        <xdr:cNvPr id="9241" name="AutoShape 1497" descr="URUGUAY3"/>
        <xdr:cNvSpPr>
          <a:spLocks noChangeAspect="1" noChangeArrowheads="1"/>
        </xdr:cNvSpPr>
      </xdr:nvSpPr>
      <xdr:spPr bwMode="auto">
        <a:xfrm>
          <a:off x="0" y="1815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265</xdr:row>
      <xdr:rowOff>0</xdr:rowOff>
    </xdr:from>
    <xdr:to>
      <xdr:col>22</xdr:col>
      <xdr:colOff>304800</xdr:colOff>
      <xdr:row>266</xdr:row>
      <xdr:rowOff>53340</xdr:rowOff>
    </xdr:to>
    <xdr:sp macro="" textlink="">
      <xdr:nvSpPr>
        <xdr:cNvPr id="9242" name="AutoShape 1498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1815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152400</xdr:colOff>
      <xdr:row>266</xdr:row>
      <xdr:rowOff>106680</xdr:rowOff>
    </xdr:to>
    <xdr:sp macro="" textlink="">
      <xdr:nvSpPr>
        <xdr:cNvPr id="9243" name="AutoShape 1499" descr="USA"/>
        <xdr:cNvSpPr>
          <a:spLocks noChangeAspect="1" noChangeArrowheads="1"/>
        </xdr:cNvSpPr>
      </xdr:nvSpPr>
      <xdr:spPr bwMode="auto">
        <a:xfrm>
          <a:off x="0" y="1817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266</xdr:row>
      <xdr:rowOff>0</xdr:rowOff>
    </xdr:from>
    <xdr:to>
      <xdr:col>22</xdr:col>
      <xdr:colOff>304800</xdr:colOff>
      <xdr:row>267</xdr:row>
      <xdr:rowOff>53340</xdr:rowOff>
    </xdr:to>
    <xdr:sp macro="" textlink="">
      <xdr:nvSpPr>
        <xdr:cNvPr id="9244" name="AutoShape 1500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1817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152400</xdr:colOff>
      <xdr:row>267</xdr:row>
      <xdr:rowOff>106680</xdr:rowOff>
    </xdr:to>
    <xdr:sp macro="" textlink="">
      <xdr:nvSpPr>
        <xdr:cNvPr id="9245" name="AutoShape 1501" descr="USA"/>
        <xdr:cNvSpPr>
          <a:spLocks noChangeAspect="1" noChangeArrowheads="1"/>
        </xdr:cNvSpPr>
      </xdr:nvSpPr>
      <xdr:spPr bwMode="auto">
        <a:xfrm>
          <a:off x="0" y="182003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267</xdr:row>
      <xdr:rowOff>0</xdr:rowOff>
    </xdr:from>
    <xdr:to>
      <xdr:col>22</xdr:col>
      <xdr:colOff>304800</xdr:colOff>
      <xdr:row>268</xdr:row>
      <xdr:rowOff>129540</xdr:rowOff>
    </xdr:to>
    <xdr:sp macro="" textlink="">
      <xdr:nvSpPr>
        <xdr:cNvPr id="9246" name="AutoShape 1502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18200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152400</xdr:colOff>
      <xdr:row>268</xdr:row>
      <xdr:rowOff>106680</xdr:rowOff>
    </xdr:to>
    <xdr:sp macro="" textlink="">
      <xdr:nvSpPr>
        <xdr:cNvPr id="9247" name="AutoShape 1503" descr="USA"/>
        <xdr:cNvSpPr>
          <a:spLocks noChangeAspect="1" noChangeArrowheads="1"/>
        </xdr:cNvSpPr>
      </xdr:nvSpPr>
      <xdr:spPr bwMode="auto">
        <a:xfrm>
          <a:off x="0" y="18217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268</xdr:row>
      <xdr:rowOff>0</xdr:rowOff>
    </xdr:from>
    <xdr:to>
      <xdr:col>22</xdr:col>
      <xdr:colOff>304800</xdr:colOff>
      <xdr:row>269</xdr:row>
      <xdr:rowOff>53340</xdr:rowOff>
    </xdr:to>
    <xdr:sp macro="" textlink="">
      <xdr:nvSpPr>
        <xdr:cNvPr id="9248" name="AutoShape 1504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18217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152400</xdr:colOff>
      <xdr:row>269</xdr:row>
      <xdr:rowOff>106680</xdr:rowOff>
    </xdr:to>
    <xdr:sp macro="" textlink="">
      <xdr:nvSpPr>
        <xdr:cNvPr id="9249" name="AutoShape 1505" descr="USA"/>
        <xdr:cNvSpPr>
          <a:spLocks noChangeAspect="1" noChangeArrowheads="1"/>
        </xdr:cNvSpPr>
      </xdr:nvSpPr>
      <xdr:spPr bwMode="auto">
        <a:xfrm>
          <a:off x="0" y="18243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269</xdr:row>
      <xdr:rowOff>0</xdr:rowOff>
    </xdr:from>
    <xdr:to>
      <xdr:col>22</xdr:col>
      <xdr:colOff>304800</xdr:colOff>
      <xdr:row>270</xdr:row>
      <xdr:rowOff>53340</xdr:rowOff>
    </xdr:to>
    <xdr:sp macro="" textlink="">
      <xdr:nvSpPr>
        <xdr:cNvPr id="9250" name="AutoShape 1506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18243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152400</xdr:colOff>
      <xdr:row>270</xdr:row>
      <xdr:rowOff>106680</xdr:rowOff>
    </xdr:to>
    <xdr:sp macro="" textlink="">
      <xdr:nvSpPr>
        <xdr:cNvPr id="9251" name="AutoShape 1507" descr="USA"/>
        <xdr:cNvSpPr>
          <a:spLocks noChangeAspect="1" noChangeArrowheads="1"/>
        </xdr:cNvSpPr>
      </xdr:nvSpPr>
      <xdr:spPr bwMode="auto">
        <a:xfrm>
          <a:off x="0" y="18268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270</xdr:row>
      <xdr:rowOff>0</xdr:rowOff>
    </xdr:from>
    <xdr:to>
      <xdr:col>22</xdr:col>
      <xdr:colOff>304800</xdr:colOff>
      <xdr:row>271</xdr:row>
      <xdr:rowOff>53340</xdr:rowOff>
    </xdr:to>
    <xdr:sp macro="" textlink="">
      <xdr:nvSpPr>
        <xdr:cNvPr id="9252" name="AutoShape 1508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18268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152400</xdr:colOff>
      <xdr:row>271</xdr:row>
      <xdr:rowOff>106680</xdr:rowOff>
    </xdr:to>
    <xdr:sp macro="" textlink="">
      <xdr:nvSpPr>
        <xdr:cNvPr id="9253" name="AutoShape 1509" descr="USA"/>
        <xdr:cNvSpPr>
          <a:spLocks noChangeAspect="1" noChangeArrowheads="1"/>
        </xdr:cNvSpPr>
      </xdr:nvSpPr>
      <xdr:spPr bwMode="auto">
        <a:xfrm>
          <a:off x="0" y="18293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271</xdr:row>
      <xdr:rowOff>0</xdr:rowOff>
    </xdr:from>
    <xdr:to>
      <xdr:col>22</xdr:col>
      <xdr:colOff>304800</xdr:colOff>
      <xdr:row>272</xdr:row>
      <xdr:rowOff>53340</xdr:rowOff>
    </xdr:to>
    <xdr:sp macro="" textlink="">
      <xdr:nvSpPr>
        <xdr:cNvPr id="9254" name="AutoShape 1510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18293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152400</xdr:colOff>
      <xdr:row>272</xdr:row>
      <xdr:rowOff>106680</xdr:rowOff>
    </xdr:to>
    <xdr:sp macro="" textlink="">
      <xdr:nvSpPr>
        <xdr:cNvPr id="9255" name="AutoShape 1511" descr="USA"/>
        <xdr:cNvSpPr>
          <a:spLocks noChangeAspect="1" noChangeArrowheads="1"/>
        </xdr:cNvSpPr>
      </xdr:nvSpPr>
      <xdr:spPr bwMode="auto">
        <a:xfrm>
          <a:off x="0" y="18318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272</xdr:row>
      <xdr:rowOff>0</xdr:rowOff>
    </xdr:from>
    <xdr:to>
      <xdr:col>22</xdr:col>
      <xdr:colOff>304800</xdr:colOff>
      <xdr:row>273</xdr:row>
      <xdr:rowOff>129540</xdr:rowOff>
    </xdr:to>
    <xdr:sp macro="" textlink="">
      <xdr:nvSpPr>
        <xdr:cNvPr id="9256" name="AutoShape 1512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18318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152400</xdr:colOff>
      <xdr:row>273</xdr:row>
      <xdr:rowOff>106680</xdr:rowOff>
    </xdr:to>
    <xdr:sp macro="" textlink="">
      <xdr:nvSpPr>
        <xdr:cNvPr id="9257" name="AutoShape 1513" descr="USA"/>
        <xdr:cNvSpPr>
          <a:spLocks noChangeAspect="1" noChangeArrowheads="1"/>
        </xdr:cNvSpPr>
      </xdr:nvSpPr>
      <xdr:spPr bwMode="auto">
        <a:xfrm>
          <a:off x="0" y="183360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273</xdr:row>
      <xdr:rowOff>0</xdr:rowOff>
    </xdr:from>
    <xdr:to>
      <xdr:col>22</xdr:col>
      <xdr:colOff>304800</xdr:colOff>
      <xdr:row>274</xdr:row>
      <xdr:rowOff>53340</xdr:rowOff>
    </xdr:to>
    <xdr:sp macro="" textlink="">
      <xdr:nvSpPr>
        <xdr:cNvPr id="9258" name="AutoShape 1514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183360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152400</xdr:colOff>
      <xdr:row>274</xdr:row>
      <xdr:rowOff>106680</xdr:rowOff>
    </xdr:to>
    <xdr:sp macro="" textlink="">
      <xdr:nvSpPr>
        <xdr:cNvPr id="9259" name="AutoShape 1515" descr="USA2"/>
        <xdr:cNvSpPr>
          <a:spLocks noChangeAspect="1" noChangeArrowheads="1"/>
        </xdr:cNvSpPr>
      </xdr:nvSpPr>
      <xdr:spPr bwMode="auto">
        <a:xfrm>
          <a:off x="0" y="18361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274</xdr:row>
      <xdr:rowOff>0</xdr:rowOff>
    </xdr:from>
    <xdr:to>
      <xdr:col>22</xdr:col>
      <xdr:colOff>304800</xdr:colOff>
      <xdr:row>275</xdr:row>
      <xdr:rowOff>53340</xdr:rowOff>
    </xdr:to>
    <xdr:sp macro="" textlink="">
      <xdr:nvSpPr>
        <xdr:cNvPr id="9260" name="AutoShape 1516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18361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152400</xdr:colOff>
      <xdr:row>275</xdr:row>
      <xdr:rowOff>106680</xdr:rowOff>
    </xdr:to>
    <xdr:sp macro="" textlink="">
      <xdr:nvSpPr>
        <xdr:cNvPr id="9261" name="AutoShape 1517" descr="USA2"/>
        <xdr:cNvSpPr>
          <a:spLocks noChangeAspect="1" noChangeArrowheads="1"/>
        </xdr:cNvSpPr>
      </xdr:nvSpPr>
      <xdr:spPr bwMode="auto">
        <a:xfrm>
          <a:off x="0" y="18386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275</xdr:row>
      <xdr:rowOff>0</xdr:rowOff>
    </xdr:from>
    <xdr:to>
      <xdr:col>22</xdr:col>
      <xdr:colOff>304800</xdr:colOff>
      <xdr:row>276</xdr:row>
      <xdr:rowOff>129540</xdr:rowOff>
    </xdr:to>
    <xdr:sp macro="" textlink="">
      <xdr:nvSpPr>
        <xdr:cNvPr id="9262" name="AutoShape 1518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18386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152400</xdr:colOff>
      <xdr:row>276</xdr:row>
      <xdr:rowOff>106680</xdr:rowOff>
    </xdr:to>
    <xdr:sp macro="" textlink="">
      <xdr:nvSpPr>
        <xdr:cNvPr id="9263" name="AutoShape 1519" descr="USA2"/>
        <xdr:cNvSpPr>
          <a:spLocks noChangeAspect="1" noChangeArrowheads="1"/>
        </xdr:cNvSpPr>
      </xdr:nvSpPr>
      <xdr:spPr bwMode="auto">
        <a:xfrm>
          <a:off x="0" y="18403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276</xdr:row>
      <xdr:rowOff>0</xdr:rowOff>
    </xdr:from>
    <xdr:to>
      <xdr:col>22</xdr:col>
      <xdr:colOff>304800</xdr:colOff>
      <xdr:row>277</xdr:row>
      <xdr:rowOff>129540</xdr:rowOff>
    </xdr:to>
    <xdr:sp macro="" textlink="">
      <xdr:nvSpPr>
        <xdr:cNvPr id="9264" name="AutoShape 1520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18403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152400</xdr:colOff>
      <xdr:row>277</xdr:row>
      <xdr:rowOff>106680</xdr:rowOff>
    </xdr:to>
    <xdr:sp macro="" textlink="">
      <xdr:nvSpPr>
        <xdr:cNvPr id="9265" name="AutoShape 1521" descr="USA2"/>
        <xdr:cNvSpPr>
          <a:spLocks noChangeAspect="1" noChangeArrowheads="1"/>
        </xdr:cNvSpPr>
      </xdr:nvSpPr>
      <xdr:spPr bwMode="auto">
        <a:xfrm>
          <a:off x="0" y="18421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277</xdr:row>
      <xdr:rowOff>0</xdr:rowOff>
    </xdr:from>
    <xdr:to>
      <xdr:col>22</xdr:col>
      <xdr:colOff>304800</xdr:colOff>
      <xdr:row>278</xdr:row>
      <xdr:rowOff>53340</xdr:rowOff>
    </xdr:to>
    <xdr:sp macro="" textlink="">
      <xdr:nvSpPr>
        <xdr:cNvPr id="9266" name="AutoShape 1522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18421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152400</xdr:colOff>
      <xdr:row>278</xdr:row>
      <xdr:rowOff>106680</xdr:rowOff>
    </xdr:to>
    <xdr:sp macro="" textlink="">
      <xdr:nvSpPr>
        <xdr:cNvPr id="9267" name="AutoShape 1523" descr="USA2"/>
        <xdr:cNvSpPr>
          <a:spLocks noChangeAspect="1" noChangeArrowheads="1"/>
        </xdr:cNvSpPr>
      </xdr:nvSpPr>
      <xdr:spPr bwMode="auto">
        <a:xfrm>
          <a:off x="0" y="18446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278</xdr:row>
      <xdr:rowOff>0</xdr:rowOff>
    </xdr:from>
    <xdr:to>
      <xdr:col>22</xdr:col>
      <xdr:colOff>304800</xdr:colOff>
      <xdr:row>279</xdr:row>
      <xdr:rowOff>53340</xdr:rowOff>
    </xdr:to>
    <xdr:sp macro="" textlink="">
      <xdr:nvSpPr>
        <xdr:cNvPr id="9268" name="AutoShape 1524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18446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152400</xdr:colOff>
      <xdr:row>279</xdr:row>
      <xdr:rowOff>106680</xdr:rowOff>
    </xdr:to>
    <xdr:sp macro="" textlink="">
      <xdr:nvSpPr>
        <xdr:cNvPr id="9269" name="AutoShape 1525" descr="USA2"/>
        <xdr:cNvSpPr>
          <a:spLocks noChangeAspect="1" noChangeArrowheads="1"/>
        </xdr:cNvSpPr>
      </xdr:nvSpPr>
      <xdr:spPr bwMode="auto">
        <a:xfrm>
          <a:off x="0" y="18471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279</xdr:row>
      <xdr:rowOff>0</xdr:rowOff>
    </xdr:from>
    <xdr:to>
      <xdr:col>22</xdr:col>
      <xdr:colOff>304800</xdr:colOff>
      <xdr:row>280</xdr:row>
      <xdr:rowOff>129540</xdr:rowOff>
    </xdr:to>
    <xdr:sp macro="" textlink="">
      <xdr:nvSpPr>
        <xdr:cNvPr id="9270" name="AutoShape 1526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18471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152400</xdr:colOff>
      <xdr:row>280</xdr:row>
      <xdr:rowOff>106680</xdr:rowOff>
    </xdr:to>
    <xdr:sp macro="" textlink="">
      <xdr:nvSpPr>
        <xdr:cNvPr id="9271" name="AutoShape 1527" descr="USA2"/>
        <xdr:cNvSpPr>
          <a:spLocks noChangeAspect="1" noChangeArrowheads="1"/>
        </xdr:cNvSpPr>
      </xdr:nvSpPr>
      <xdr:spPr bwMode="auto">
        <a:xfrm>
          <a:off x="0" y="18489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280</xdr:row>
      <xdr:rowOff>0</xdr:rowOff>
    </xdr:from>
    <xdr:to>
      <xdr:col>22</xdr:col>
      <xdr:colOff>304800</xdr:colOff>
      <xdr:row>281</xdr:row>
      <xdr:rowOff>53340</xdr:rowOff>
    </xdr:to>
    <xdr:sp macro="" textlink="">
      <xdr:nvSpPr>
        <xdr:cNvPr id="9272" name="AutoShape 1528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18489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152400</xdr:colOff>
      <xdr:row>281</xdr:row>
      <xdr:rowOff>106680</xdr:rowOff>
    </xdr:to>
    <xdr:sp macro="" textlink="">
      <xdr:nvSpPr>
        <xdr:cNvPr id="9273" name="AutoShape 1529" descr="USA3"/>
        <xdr:cNvSpPr>
          <a:spLocks noChangeAspect="1" noChangeArrowheads="1"/>
        </xdr:cNvSpPr>
      </xdr:nvSpPr>
      <xdr:spPr bwMode="auto">
        <a:xfrm>
          <a:off x="0" y="1851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281</xdr:row>
      <xdr:rowOff>0</xdr:rowOff>
    </xdr:from>
    <xdr:to>
      <xdr:col>22</xdr:col>
      <xdr:colOff>304800</xdr:colOff>
      <xdr:row>282</xdr:row>
      <xdr:rowOff>53340</xdr:rowOff>
    </xdr:to>
    <xdr:sp macro="" textlink="">
      <xdr:nvSpPr>
        <xdr:cNvPr id="9274" name="AutoShape 1530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1851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152400</xdr:colOff>
      <xdr:row>282</xdr:row>
      <xdr:rowOff>106680</xdr:rowOff>
    </xdr:to>
    <xdr:sp macro="" textlink="">
      <xdr:nvSpPr>
        <xdr:cNvPr id="9275" name="AutoShape 1531" descr="USA3"/>
        <xdr:cNvSpPr>
          <a:spLocks noChangeAspect="1" noChangeArrowheads="1"/>
        </xdr:cNvSpPr>
      </xdr:nvSpPr>
      <xdr:spPr bwMode="auto">
        <a:xfrm>
          <a:off x="0" y="1853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282</xdr:row>
      <xdr:rowOff>0</xdr:rowOff>
    </xdr:from>
    <xdr:to>
      <xdr:col>22</xdr:col>
      <xdr:colOff>304800</xdr:colOff>
      <xdr:row>283</xdr:row>
      <xdr:rowOff>53340</xdr:rowOff>
    </xdr:to>
    <xdr:sp macro="" textlink="">
      <xdr:nvSpPr>
        <xdr:cNvPr id="9276" name="AutoShape 1532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1853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152400</xdr:colOff>
      <xdr:row>283</xdr:row>
      <xdr:rowOff>106680</xdr:rowOff>
    </xdr:to>
    <xdr:sp macro="" textlink="">
      <xdr:nvSpPr>
        <xdr:cNvPr id="9277" name="AutoShape 1533" descr="USA3"/>
        <xdr:cNvSpPr>
          <a:spLocks noChangeAspect="1" noChangeArrowheads="1"/>
        </xdr:cNvSpPr>
      </xdr:nvSpPr>
      <xdr:spPr bwMode="auto">
        <a:xfrm>
          <a:off x="0" y="1856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283</xdr:row>
      <xdr:rowOff>0</xdr:rowOff>
    </xdr:from>
    <xdr:to>
      <xdr:col>22</xdr:col>
      <xdr:colOff>304800</xdr:colOff>
      <xdr:row>284</xdr:row>
      <xdr:rowOff>53340</xdr:rowOff>
    </xdr:to>
    <xdr:sp macro="" textlink="">
      <xdr:nvSpPr>
        <xdr:cNvPr id="9278" name="AutoShape 1534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1856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152400</xdr:colOff>
      <xdr:row>284</xdr:row>
      <xdr:rowOff>106680</xdr:rowOff>
    </xdr:to>
    <xdr:sp macro="" textlink="">
      <xdr:nvSpPr>
        <xdr:cNvPr id="9279" name="AutoShape 1535" descr="USA6"/>
        <xdr:cNvSpPr>
          <a:spLocks noChangeAspect="1" noChangeArrowheads="1"/>
        </xdr:cNvSpPr>
      </xdr:nvSpPr>
      <xdr:spPr bwMode="auto">
        <a:xfrm>
          <a:off x="0" y="1858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284</xdr:row>
      <xdr:rowOff>0</xdr:rowOff>
    </xdr:from>
    <xdr:to>
      <xdr:col>22</xdr:col>
      <xdr:colOff>304800</xdr:colOff>
      <xdr:row>285</xdr:row>
      <xdr:rowOff>53340</xdr:rowOff>
    </xdr:to>
    <xdr:sp macro="" textlink="">
      <xdr:nvSpPr>
        <xdr:cNvPr id="9280" name="AutoShape 1536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1858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152400</xdr:colOff>
      <xdr:row>285</xdr:row>
      <xdr:rowOff>106680</xdr:rowOff>
    </xdr:to>
    <xdr:sp macro="" textlink="">
      <xdr:nvSpPr>
        <xdr:cNvPr id="9281" name="AutoShape 1537" descr="USA6"/>
        <xdr:cNvSpPr>
          <a:spLocks noChangeAspect="1" noChangeArrowheads="1"/>
        </xdr:cNvSpPr>
      </xdr:nvSpPr>
      <xdr:spPr bwMode="auto">
        <a:xfrm>
          <a:off x="0" y="18614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285</xdr:row>
      <xdr:rowOff>0</xdr:rowOff>
    </xdr:from>
    <xdr:to>
      <xdr:col>22</xdr:col>
      <xdr:colOff>304800</xdr:colOff>
      <xdr:row>286</xdr:row>
      <xdr:rowOff>53340</xdr:rowOff>
    </xdr:to>
    <xdr:sp macro="" textlink="">
      <xdr:nvSpPr>
        <xdr:cNvPr id="9282" name="AutoShape 1538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18614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152400</xdr:colOff>
      <xdr:row>286</xdr:row>
      <xdr:rowOff>106680</xdr:rowOff>
    </xdr:to>
    <xdr:sp macro="" textlink="">
      <xdr:nvSpPr>
        <xdr:cNvPr id="9283" name="AutoShape 1539" descr="USA7"/>
        <xdr:cNvSpPr>
          <a:spLocks noChangeAspect="1" noChangeArrowheads="1"/>
        </xdr:cNvSpPr>
      </xdr:nvSpPr>
      <xdr:spPr bwMode="auto">
        <a:xfrm>
          <a:off x="0" y="18640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286</xdr:row>
      <xdr:rowOff>0</xdr:rowOff>
    </xdr:from>
    <xdr:to>
      <xdr:col>22</xdr:col>
      <xdr:colOff>304800</xdr:colOff>
      <xdr:row>287</xdr:row>
      <xdr:rowOff>53340</xdr:rowOff>
    </xdr:to>
    <xdr:sp macro="" textlink="">
      <xdr:nvSpPr>
        <xdr:cNvPr id="9284" name="AutoShape 1540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18640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152400</xdr:colOff>
      <xdr:row>287</xdr:row>
      <xdr:rowOff>106680</xdr:rowOff>
    </xdr:to>
    <xdr:sp macro="" textlink="">
      <xdr:nvSpPr>
        <xdr:cNvPr id="9285" name="AutoShape 1" descr="SPAIN"/>
        <xdr:cNvSpPr>
          <a:spLocks noChangeAspect="1" noChangeArrowheads="1"/>
        </xdr:cNvSpPr>
      </xdr:nvSpPr>
      <xdr:spPr bwMode="auto">
        <a:xfrm>
          <a:off x="0" y="5875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287</xdr:row>
      <xdr:rowOff>0</xdr:rowOff>
    </xdr:from>
    <xdr:to>
      <xdr:col>22</xdr:col>
      <xdr:colOff>144780</xdr:colOff>
      <xdr:row>287</xdr:row>
      <xdr:rowOff>121920</xdr:rowOff>
    </xdr:to>
    <xdr:pic>
      <xdr:nvPicPr>
        <xdr:cNvPr id="5510" name="Imagem 5509" descr="https://www.soccerstats.com/img/own/sshplogo.png">
          <a:hlinkClick xmlns:r="http://schemas.openxmlformats.org/officeDocument/2006/relationships" r:id="rId939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87578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152400</xdr:colOff>
      <xdr:row>288</xdr:row>
      <xdr:rowOff>106680</xdr:rowOff>
    </xdr:to>
    <xdr:sp macro="" textlink="">
      <xdr:nvSpPr>
        <xdr:cNvPr id="9286" name="AutoShape 3" descr="PORTUGAL"/>
        <xdr:cNvSpPr>
          <a:spLocks noChangeAspect="1" noChangeArrowheads="1"/>
        </xdr:cNvSpPr>
      </xdr:nvSpPr>
      <xdr:spPr bwMode="auto">
        <a:xfrm>
          <a:off x="0" y="5893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288</xdr:row>
      <xdr:rowOff>0</xdr:rowOff>
    </xdr:from>
    <xdr:to>
      <xdr:col>22</xdr:col>
      <xdr:colOff>144780</xdr:colOff>
      <xdr:row>288</xdr:row>
      <xdr:rowOff>121920</xdr:rowOff>
    </xdr:to>
    <xdr:pic>
      <xdr:nvPicPr>
        <xdr:cNvPr id="5512" name="Imagem 5511" descr="https://www.soccerstats.com/img/own/sshplogo.png">
          <a:hlinkClick xmlns:r="http://schemas.openxmlformats.org/officeDocument/2006/relationships" r:id="rId94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89330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152400</xdr:colOff>
      <xdr:row>289</xdr:row>
      <xdr:rowOff>106680</xdr:rowOff>
    </xdr:to>
    <xdr:sp macro="" textlink="">
      <xdr:nvSpPr>
        <xdr:cNvPr id="9287" name="AutoShape 5" descr="ENGLAND2"/>
        <xdr:cNvSpPr>
          <a:spLocks noChangeAspect="1" noChangeArrowheads="1"/>
        </xdr:cNvSpPr>
      </xdr:nvSpPr>
      <xdr:spPr bwMode="auto">
        <a:xfrm>
          <a:off x="0" y="5910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289</xdr:row>
      <xdr:rowOff>0</xdr:rowOff>
    </xdr:from>
    <xdr:to>
      <xdr:col>22</xdr:col>
      <xdr:colOff>144780</xdr:colOff>
      <xdr:row>289</xdr:row>
      <xdr:rowOff>121920</xdr:rowOff>
    </xdr:to>
    <xdr:pic>
      <xdr:nvPicPr>
        <xdr:cNvPr id="5514" name="Imagem 5513" descr="https://www.soccerstats.com/img/own/sshplogo.png">
          <a:hlinkClick xmlns:r="http://schemas.openxmlformats.org/officeDocument/2006/relationships" r:id="rId942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91083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152400</xdr:colOff>
      <xdr:row>290</xdr:row>
      <xdr:rowOff>106680</xdr:rowOff>
    </xdr:to>
    <xdr:sp macro="" textlink="">
      <xdr:nvSpPr>
        <xdr:cNvPr id="9288" name="AutoShape 7" descr="SPAIN2"/>
        <xdr:cNvSpPr>
          <a:spLocks noChangeAspect="1" noChangeArrowheads="1"/>
        </xdr:cNvSpPr>
      </xdr:nvSpPr>
      <xdr:spPr bwMode="auto">
        <a:xfrm>
          <a:off x="0" y="5928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290</xdr:row>
      <xdr:rowOff>0</xdr:rowOff>
    </xdr:from>
    <xdr:to>
      <xdr:col>22</xdr:col>
      <xdr:colOff>144780</xdr:colOff>
      <xdr:row>290</xdr:row>
      <xdr:rowOff>121920</xdr:rowOff>
    </xdr:to>
    <xdr:pic>
      <xdr:nvPicPr>
        <xdr:cNvPr id="5516" name="Imagem 5515" descr="https://www.soccerstats.com/img/own/sshplogo.png">
          <a:hlinkClick xmlns:r="http://schemas.openxmlformats.org/officeDocument/2006/relationships" r:id="rId943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92836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152400</xdr:colOff>
      <xdr:row>291</xdr:row>
      <xdr:rowOff>106680</xdr:rowOff>
    </xdr:to>
    <xdr:sp macro="" textlink="">
      <xdr:nvSpPr>
        <xdr:cNvPr id="9289" name="AutoShape 9" descr="SPAIN2"/>
        <xdr:cNvSpPr>
          <a:spLocks noChangeAspect="1" noChangeArrowheads="1"/>
        </xdr:cNvSpPr>
      </xdr:nvSpPr>
      <xdr:spPr bwMode="auto">
        <a:xfrm>
          <a:off x="0" y="5953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291</xdr:row>
      <xdr:rowOff>0</xdr:rowOff>
    </xdr:from>
    <xdr:to>
      <xdr:col>22</xdr:col>
      <xdr:colOff>144780</xdr:colOff>
      <xdr:row>291</xdr:row>
      <xdr:rowOff>121920</xdr:rowOff>
    </xdr:to>
    <xdr:pic>
      <xdr:nvPicPr>
        <xdr:cNvPr id="5518" name="Imagem 5517" descr="https://www.soccerstats.com/img/own/sshplogo.png">
          <a:hlinkClick xmlns:r="http://schemas.openxmlformats.org/officeDocument/2006/relationships" r:id="rId944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95350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152400</xdr:colOff>
      <xdr:row>292</xdr:row>
      <xdr:rowOff>106680</xdr:rowOff>
    </xdr:to>
    <xdr:sp macro="" textlink="">
      <xdr:nvSpPr>
        <xdr:cNvPr id="9290" name="AutoShape 11" descr="NETHERLANDS2"/>
        <xdr:cNvSpPr>
          <a:spLocks noChangeAspect="1" noChangeArrowheads="1"/>
        </xdr:cNvSpPr>
      </xdr:nvSpPr>
      <xdr:spPr bwMode="auto">
        <a:xfrm>
          <a:off x="0" y="5971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292</xdr:row>
      <xdr:rowOff>0</xdr:rowOff>
    </xdr:from>
    <xdr:to>
      <xdr:col>22</xdr:col>
      <xdr:colOff>144780</xdr:colOff>
      <xdr:row>292</xdr:row>
      <xdr:rowOff>121920</xdr:rowOff>
    </xdr:to>
    <xdr:pic>
      <xdr:nvPicPr>
        <xdr:cNvPr id="5520" name="Imagem 5519" descr="https://www.soccerstats.com/img/own/sshplogo.png">
          <a:hlinkClick xmlns:r="http://schemas.openxmlformats.org/officeDocument/2006/relationships" r:id="rId945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97103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152400</xdr:colOff>
      <xdr:row>293</xdr:row>
      <xdr:rowOff>106680</xdr:rowOff>
    </xdr:to>
    <xdr:sp macro="" textlink="">
      <xdr:nvSpPr>
        <xdr:cNvPr id="9291" name="AutoShape 13" descr="NETHERLANDS2"/>
        <xdr:cNvSpPr>
          <a:spLocks noChangeAspect="1" noChangeArrowheads="1"/>
        </xdr:cNvSpPr>
      </xdr:nvSpPr>
      <xdr:spPr bwMode="auto">
        <a:xfrm>
          <a:off x="0" y="5996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293</xdr:row>
      <xdr:rowOff>0</xdr:rowOff>
    </xdr:from>
    <xdr:to>
      <xdr:col>22</xdr:col>
      <xdr:colOff>144780</xdr:colOff>
      <xdr:row>293</xdr:row>
      <xdr:rowOff>121920</xdr:rowOff>
    </xdr:to>
    <xdr:pic>
      <xdr:nvPicPr>
        <xdr:cNvPr id="5522" name="Imagem 5521" descr="https://www.soccerstats.com/img/own/sshplogo.png">
          <a:hlinkClick xmlns:r="http://schemas.openxmlformats.org/officeDocument/2006/relationships" r:id="rId946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99617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152400</xdr:colOff>
      <xdr:row>294</xdr:row>
      <xdr:rowOff>106680</xdr:rowOff>
    </xdr:to>
    <xdr:sp macro="" textlink="">
      <xdr:nvSpPr>
        <xdr:cNvPr id="9292" name="AutoShape 15" descr="NETHERLANDS2"/>
        <xdr:cNvSpPr>
          <a:spLocks noChangeAspect="1" noChangeArrowheads="1"/>
        </xdr:cNvSpPr>
      </xdr:nvSpPr>
      <xdr:spPr bwMode="auto">
        <a:xfrm>
          <a:off x="0" y="6013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294</xdr:row>
      <xdr:rowOff>0</xdr:rowOff>
    </xdr:from>
    <xdr:to>
      <xdr:col>22</xdr:col>
      <xdr:colOff>144780</xdr:colOff>
      <xdr:row>294</xdr:row>
      <xdr:rowOff>121920</xdr:rowOff>
    </xdr:to>
    <xdr:pic>
      <xdr:nvPicPr>
        <xdr:cNvPr id="5524" name="Imagem 5523" descr="https://www.soccerstats.com/img/own/sshplogo.png">
          <a:hlinkClick xmlns:r="http://schemas.openxmlformats.org/officeDocument/2006/relationships" r:id="rId947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01370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152400</xdr:colOff>
      <xdr:row>295</xdr:row>
      <xdr:rowOff>106680</xdr:rowOff>
    </xdr:to>
    <xdr:sp macro="" textlink="">
      <xdr:nvSpPr>
        <xdr:cNvPr id="9293" name="AutoShape 17" descr="ARGENTINA2"/>
        <xdr:cNvSpPr>
          <a:spLocks noChangeAspect="1" noChangeArrowheads="1"/>
        </xdr:cNvSpPr>
      </xdr:nvSpPr>
      <xdr:spPr bwMode="auto">
        <a:xfrm>
          <a:off x="0" y="6038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295</xdr:row>
      <xdr:rowOff>0</xdr:rowOff>
    </xdr:from>
    <xdr:to>
      <xdr:col>22</xdr:col>
      <xdr:colOff>144780</xdr:colOff>
      <xdr:row>295</xdr:row>
      <xdr:rowOff>121920</xdr:rowOff>
    </xdr:to>
    <xdr:pic>
      <xdr:nvPicPr>
        <xdr:cNvPr id="5526" name="Imagem 5525" descr="https://www.soccerstats.com/img/own/sshplogo.png">
          <a:hlinkClick xmlns:r="http://schemas.openxmlformats.org/officeDocument/2006/relationships" r:id="rId948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03885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152400</xdr:colOff>
      <xdr:row>296</xdr:row>
      <xdr:rowOff>106680</xdr:rowOff>
    </xdr:to>
    <xdr:sp macro="" textlink="">
      <xdr:nvSpPr>
        <xdr:cNvPr id="9294" name="AutoShape 19" descr="ARGENTINA2"/>
        <xdr:cNvSpPr>
          <a:spLocks noChangeAspect="1" noChangeArrowheads="1"/>
        </xdr:cNvSpPr>
      </xdr:nvSpPr>
      <xdr:spPr bwMode="auto">
        <a:xfrm>
          <a:off x="0" y="6056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296</xdr:row>
      <xdr:rowOff>0</xdr:rowOff>
    </xdr:from>
    <xdr:to>
      <xdr:col>22</xdr:col>
      <xdr:colOff>144780</xdr:colOff>
      <xdr:row>296</xdr:row>
      <xdr:rowOff>121920</xdr:rowOff>
    </xdr:to>
    <xdr:pic>
      <xdr:nvPicPr>
        <xdr:cNvPr id="5528" name="Imagem 5527" descr="https://www.soccerstats.com/img/own/sshplogo.png">
          <a:hlinkClick xmlns:r="http://schemas.openxmlformats.org/officeDocument/2006/relationships" r:id="rId949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05637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152400</xdr:colOff>
      <xdr:row>297</xdr:row>
      <xdr:rowOff>106680</xdr:rowOff>
    </xdr:to>
    <xdr:sp macro="" textlink="">
      <xdr:nvSpPr>
        <xdr:cNvPr id="9295" name="AutoShape 21" descr="ARGENTINA2"/>
        <xdr:cNvSpPr>
          <a:spLocks noChangeAspect="1" noChangeArrowheads="1"/>
        </xdr:cNvSpPr>
      </xdr:nvSpPr>
      <xdr:spPr bwMode="auto">
        <a:xfrm>
          <a:off x="0" y="6081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297</xdr:row>
      <xdr:rowOff>0</xdr:rowOff>
    </xdr:from>
    <xdr:to>
      <xdr:col>22</xdr:col>
      <xdr:colOff>144780</xdr:colOff>
      <xdr:row>297</xdr:row>
      <xdr:rowOff>121920</xdr:rowOff>
    </xdr:to>
    <xdr:pic>
      <xdr:nvPicPr>
        <xdr:cNvPr id="5530" name="Imagem 5529" descr="https://www.soccerstats.com/img/own/sshplogo.png">
          <a:hlinkClick xmlns:r="http://schemas.openxmlformats.org/officeDocument/2006/relationships" r:id="rId950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08152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152400</xdr:colOff>
      <xdr:row>298</xdr:row>
      <xdr:rowOff>106680</xdr:rowOff>
    </xdr:to>
    <xdr:sp macro="" textlink="">
      <xdr:nvSpPr>
        <xdr:cNvPr id="9296" name="AutoShape 23" descr="ARGENTINA3"/>
        <xdr:cNvSpPr>
          <a:spLocks noChangeAspect="1" noChangeArrowheads="1"/>
        </xdr:cNvSpPr>
      </xdr:nvSpPr>
      <xdr:spPr bwMode="auto">
        <a:xfrm>
          <a:off x="0" y="6106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298</xdr:row>
      <xdr:rowOff>0</xdr:rowOff>
    </xdr:from>
    <xdr:to>
      <xdr:col>22</xdr:col>
      <xdr:colOff>144780</xdr:colOff>
      <xdr:row>298</xdr:row>
      <xdr:rowOff>121920</xdr:rowOff>
    </xdr:to>
    <xdr:pic>
      <xdr:nvPicPr>
        <xdr:cNvPr id="5532" name="Imagem 5531" descr="https://www.soccerstats.com/img/own/sshplogo.png">
          <a:hlinkClick xmlns:r="http://schemas.openxmlformats.org/officeDocument/2006/relationships" r:id="rId95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10666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152400</xdr:colOff>
      <xdr:row>299</xdr:row>
      <xdr:rowOff>106680</xdr:rowOff>
    </xdr:to>
    <xdr:sp macro="" textlink="">
      <xdr:nvSpPr>
        <xdr:cNvPr id="9297" name="AutoShape 25" descr="ARMENIA"/>
        <xdr:cNvSpPr>
          <a:spLocks noChangeAspect="1" noChangeArrowheads="1"/>
        </xdr:cNvSpPr>
      </xdr:nvSpPr>
      <xdr:spPr bwMode="auto">
        <a:xfrm>
          <a:off x="0" y="6131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299</xdr:row>
      <xdr:rowOff>0</xdr:rowOff>
    </xdr:from>
    <xdr:to>
      <xdr:col>22</xdr:col>
      <xdr:colOff>144780</xdr:colOff>
      <xdr:row>299</xdr:row>
      <xdr:rowOff>121920</xdr:rowOff>
    </xdr:to>
    <xdr:pic>
      <xdr:nvPicPr>
        <xdr:cNvPr id="5534" name="Imagem 5533" descr="https://www.soccerstats.com/img/own/sshplogo.png">
          <a:hlinkClick xmlns:r="http://schemas.openxmlformats.org/officeDocument/2006/relationships" r:id="rId952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13181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152400</xdr:colOff>
      <xdr:row>300</xdr:row>
      <xdr:rowOff>106680</xdr:rowOff>
    </xdr:to>
    <xdr:sp macro="" textlink="">
      <xdr:nvSpPr>
        <xdr:cNvPr id="9298" name="AutoShape 27" descr="AZERBAIJAN"/>
        <xdr:cNvSpPr>
          <a:spLocks noChangeAspect="1" noChangeArrowheads="1"/>
        </xdr:cNvSpPr>
      </xdr:nvSpPr>
      <xdr:spPr bwMode="auto">
        <a:xfrm>
          <a:off x="0" y="6149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300</xdr:row>
      <xdr:rowOff>0</xdr:rowOff>
    </xdr:from>
    <xdr:to>
      <xdr:col>22</xdr:col>
      <xdr:colOff>144780</xdr:colOff>
      <xdr:row>300</xdr:row>
      <xdr:rowOff>121920</xdr:rowOff>
    </xdr:to>
    <xdr:pic>
      <xdr:nvPicPr>
        <xdr:cNvPr id="5536" name="Imagem 5535" descr="https://www.soccerstats.com/img/own/sshplogo.png">
          <a:hlinkClick xmlns:r="http://schemas.openxmlformats.org/officeDocument/2006/relationships" r:id="rId557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14934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152400</xdr:colOff>
      <xdr:row>301</xdr:row>
      <xdr:rowOff>106680</xdr:rowOff>
    </xdr:to>
    <xdr:sp macro="" textlink="">
      <xdr:nvSpPr>
        <xdr:cNvPr id="9299" name="AutoShape 29" descr="BELGIUM2"/>
        <xdr:cNvSpPr>
          <a:spLocks noChangeAspect="1" noChangeArrowheads="1"/>
        </xdr:cNvSpPr>
      </xdr:nvSpPr>
      <xdr:spPr bwMode="auto">
        <a:xfrm>
          <a:off x="0" y="6166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301</xdr:row>
      <xdr:rowOff>0</xdr:rowOff>
    </xdr:from>
    <xdr:to>
      <xdr:col>22</xdr:col>
      <xdr:colOff>144780</xdr:colOff>
      <xdr:row>301</xdr:row>
      <xdr:rowOff>121920</xdr:rowOff>
    </xdr:to>
    <xdr:pic>
      <xdr:nvPicPr>
        <xdr:cNvPr id="5538" name="Imagem 5537" descr="https://www.soccerstats.com/img/own/sshplogo.png">
          <a:hlinkClick xmlns:r="http://schemas.openxmlformats.org/officeDocument/2006/relationships" r:id="rId953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16686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152400</xdr:colOff>
      <xdr:row>302</xdr:row>
      <xdr:rowOff>106680</xdr:rowOff>
    </xdr:to>
    <xdr:sp macro="" textlink="">
      <xdr:nvSpPr>
        <xdr:cNvPr id="9300" name="AutoShape 31" descr="BRAZIL"/>
        <xdr:cNvSpPr>
          <a:spLocks noChangeAspect="1" noChangeArrowheads="1"/>
        </xdr:cNvSpPr>
      </xdr:nvSpPr>
      <xdr:spPr bwMode="auto">
        <a:xfrm>
          <a:off x="0" y="6192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302</xdr:row>
      <xdr:rowOff>0</xdr:rowOff>
    </xdr:from>
    <xdr:to>
      <xdr:col>22</xdr:col>
      <xdr:colOff>144780</xdr:colOff>
      <xdr:row>302</xdr:row>
      <xdr:rowOff>121920</xdr:rowOff>
    </xdr:to>
    <xdr:pic>
      <xdr:nvPicPr>
        <xdr:cNvPr id="5540" name="Imagem 5539" descr="https://www.soccerstats.com/img/own/sshplogo.png">
          <a:hlinkClick xmlns:r="http://schemas.openxmlformats.org/officeDocument/2006/relationships" r:id="rId954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19201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152400</xdr:colOff>
      <xdr:row>303</xdr:row>
      <xdr:rowOff>106680</xdr:rowOff>
    </xdr:to>
    <xdr:sp macro="" textlink="">
      <xdr:nvSpPr>
        <xdr:cNvPr id="9301" name="AutoShape 33" descr="BRAZIL3"/>
        <xdr:cNvSpPr>
          <a:spLocks noChangeAspect="1" noChangeArrowheads="1"/>
        </xdr:cNvSpPr>
      </xdr:nvSpPr>
      <xdr:spPr bwMode="auto">
        <a:xfrm>
          <a:off x="0" y="6209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303</xdr:row>
      <xdr:rowOff>0</xdr:rowOff>
    </xdr:from>
    <xdr:to>
      <xdr:col>22</xdr:col>
      <xdr:colOff>144780</xdr:colOff>
      <xdr:row>303</xdr:row>
      <xdr:rowOff>121920</xdr:rowOff>
    </xdr:to>
    <xdr:pic>
      <xdr:nvPicPr>
        <xdr:cNvPr id="5542" name="Imagem 5541" descr="https://www.soccerstats.com/img/own/sshplogo.png">
          <a:hlinkClick xmlns:r="http://schemas.openxmlformats.org/officeDocument/2006/relationships" r:id="rId955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20953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152400</xdr:colOff>
      <xdr:row>304</xdr:row>
      <xdr:rowOff>106680</xdr:rowOff>
    </xdr:to>
    <xdr:sp macro="" textlink="">
      <xdr:nvSpPr>
        <xdr:cNvPr id="9302" name="AutoShape 35" descr="BRAZIL3"/>
        <xdr:cNvSpPr>
          <a:spLocks noChangeAspect="1" noChangeArrowheads="1"/>
        </xdr:cNvSpPr>
      </xdr:nvSpPr>
      <xdr:spPr bwMode="auto">
        <a:xfrm>
          <a:off x="0" y="6227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304</xdr:row>
      <xdr:rowOff>0</xdr:rowOff>
    </xdr:from>
    <xdr:to>
      <xdr:col>22</xdr:col>
      <xdr:colOff>144780</xdr:colOff>
      <xdr:row>304</xdr:row>
      <xdr:rowOff>121920</xdr:rowOff>
    </xdr:to>
    <xdr:pic>
      <xdr:nvPicPr>
        <xdr:cNvPr id="5544" name="Imagem 5543" descr="https://www.soccerstats.com/img/own/sshplogo.png">
          <a:hlinkClick xmlns:r="http://schemas.openxmlformats.org/officeDocument/2006/relationships" r:id="rId956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22706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152400</xdr:colOff>
      <xdr:row>305</xdr:row>
      <xdr:rowOff>106680</xdr:rowOff>
    </xdr:to>
    <xdr:sp macro="" textlink="">
      <xdr:nvSpPr>
        <xdr:cNvPr id="9303" name="AutoShape 37" descr="BULGARIA"/>
        <xdr:cNvSpPr>
          <a:spLocks noChangeAspect="1" noChangeArrowheads="1"/>
        </xdr:cNvSpPr>
      </xdr:nvSpPr>
      <xdr:spPr bwMode="auto">
        <a:xfrm>
          <a:off x="0" y="6244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305</xdr:row>
      <xdr:rowOff>0</xdr:rowOff>
    </xdr:from>
    <xdr:to>
      <xdr:col>22</xdr:col>
      <xdr:colOff>144780</xdr:colOff>
      <xdr:row>305</xdr:row>
      <xdr:rowOff>121920</xdr:rowOff>
    </xdr:to>
    <xdr:pic>
      <xdr:nvPicPr>
        <xdr:cNvPr id="5546" name="Imagem 5545" descr="https://www.soccerstats.com/img/own/sshplogo.png">
          <a:hlinkClick xmlns:r="http://schemas.openxmlformats.org/officeDocument/2006/relationships" r:id="rId957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24459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152400</xdr:colOff>
      <xdr:row>306</xdr:row>
      <xdr:rowOff>106680</xdr:rowOff>
    </xdr:to>
    <xdr:sp macro="" textlink="">
      <xdr:nvSpPr>
        <xdr:cNvPr id="9304" name="AutoShape 39" descr="BULGARIA"/>
        <xdr:cNvSpPr>
          <a:spLocks noChangeAspect="1" noChangeArrowheads="1"/>
        </xdr:cNvSpPr>
      </xdr:nvSpPr>
      <xdr:spPr bwMode="auto">
        <a:xfrm>
          <a:off x="0" y="6269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306</xdr:row>
      <xdr:rowOff>0</xdr:rowOff>
    </xdr:from>
    <xdr:to>
      <xdr:col>22</xdr:col>
      <xdr:colOff>144780</xdr:colOff>
      <xdr:row>306</xdr:row>
      <xdr:rowOff>121920</xdr:rowOff>
    </xdr:to>
    <xdr:pic>
      <xdr:nvPicPr>
        <xdr:cNvPr id="5548" name="Imagem 5547" descr="https://www.soccerstats.com/img/own/sshplogo.png">
          <a:hlinkClick xmlns:r="http://schemas.openxmlformats.org/officeDocument/2006/relationships" r:id="rId958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26973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152400</xdr:colOff>
      <xdr:row>307</xdr:row>
      <xdr:rowOff>106680</xdr:rowOff>
    </xdr:to>
    <xdr:sp macro="" textlink="">
      <xdr:nvSpPr>
        <xdr:cNvPr id="9305" name="AutoShape 41" descr="BULGARIA2"/>
        <xdr:cNvSpPr>
          <a:spLocks noChangeAspect="1" noChangeArrowheads="1"/>
        </xdr:cNvSpPr>
      </xdr:nvSpPr>
      <xdr:spPr bwMode="auto">
        <a:xfrm>
          <a:off x="0" y="6294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307</xdr:row>
      <xdr:rowOff>0</xdr:rowOff>
    </xdr:from>
    <xdr:to>
      <xdr:col>22</xdr:col>
      <xdr:colOff>144780</xdr:colOff>
      <xdr:row>307</xdr:row>
      <xdr:rowOff>121920</xdr:rowOff>
    </xdr:to>
    <xdr:pic>
      <xdr:nvPicPr>
        <xdr:cNvPr id="5550" name="Imagem 5549" descr="https://www.soccerstats.com/img/own/sshplogo.png">
          <a:hlinkClick xmlns:r="http://schemas.openxmlformats.org/officeDocument/2006/relationships" r:id="rId959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29488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152400</xdr:colOff>
      <xdr:row>308</xdr:row>
      <xdr:rowOff>106680</xdr:rowOff>
    </xdr:to>
    <xdr:sp macro="" textlink="">
      <xdr:nvSpPr>
        <xdr:cNvPr id="9306" name="AutoShape 43" descr="CHILE2"/>
        <xdr:cNvSpPr>
          <a:spLocks noChangeAspect="1" noChangeArrowheads="1"/>
        </xdr:cNvSpPr>
      </xdr:nvSpPr>
      <xdr:spPr bwMode="auto">
        <a:xfrm>
          <a:off x="0" y="6312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308</xdr:row>
      <xdr:rowOff>0</xdr:rowOff>
    </xdr:from>
    <xdr:to>
      <xdr:col>22</xdr:col>
      <xdr:colOff>144780</xdr:colOff>
      <xdr:row>308</xdr:row>
      <xdr:rowOff>121920</xdr:rowOff>
    </xdr:to>
    <xdr:pic>
      <xdr:nvPicPr>
        <xdr:cNvPr id="5552" name="Imagem 5551" descr="https://www.soccerstats.com/img/own/sshplogo.png">
          <a:hlinkClick xmlns:r="http://schemas.openxmlformats.org/officeDocument/2006/relationships" r:id="rId960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31240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152400</xdr:colOff>
      <xdr:row>309</xdr:row>
      <xdr:rowOff>106680</xdr:rowOff>
    </xdr:to>
    <xdr:sp macro="" textlink="">
      <xdr:nvSpPr>
        <xdr:cNvPr id="9307" name="AutoShape 45" descr="CHILE2"/>
        <xdr:cNvSpPr>
          <a:spLocks noChangeAspect="1" noChangeArrowheads="1"/>
        </xdr:cNvSpPr>
      </xdr:nvSpPr>
      <xdr:spPr bwMode="auto">
        <a:xfrm>
          <a:off x="0" y="6329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309</xdr:row>
      <xdr:rowOff>0</xdr:rowOff>
    </xdr:from>
    <xdr:to>
      <xdr:col>22</xdr:col>
      <xdr:colOff>144780</xdr:colOff>
      <xdr:row>309</xdr:row>
      <xdr:rowOff>121920</xdr:rowOff>
    </xdr:to>
    <xdr:pic>
      <xdr:nvPicPr>
        <xdr:cNvPr id="5554" name="Imagem 5553" descr="https://www.soccerstats.com/img/own/sshplogo.png">
          <a:hlinkClick xmlns:r="http://schemas.openxmlformats.org/officeDocument/2006/relationships" r:id="rId96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32993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152400</xdr:colOff>
      <xdr:row>310</xdr:row>
      <xdr:rowOff>106680</xdr:rowOff>
    </xdr:to>
    <xdr:sp macro="" textlink="">
      <xdr:nvSpPr>
        <xdr:cNvPr id="9308" name="AutoShape 47" descr="CHILE2"/>
        <xdr:cNvSpPr>
          <a:spLocks noChangeAspect="1" noChangeArrowheads="1"/>
        </xdr:cNvSpPr>
      </xdr:nvSpPr>
      <xdr:spPr bwMode="auto">
        <a:xfrm>
          <a:off x="0" y="6355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310</xdr:row>
      <xdr:rowOff>0</xdr:rowOff>
    </xdr:from>
    <xdr:to>
      <xdr:col>22</xdr:col>
      <xdr:colOff>144780</xdr:colOff>
      <xdr:row>310</xdr:row>
      <xdr:rowOff>121920</xdr:rowOff>
    </xdr:to>
    <xdr:pic>
      <xdr:nvPicPr>
        <xdr:cNvPr id="5556" name="Imagem 5555" descr="https://www.soccerstats.com/img/own/sshplogo.png">
          <a:hlinkClick xmlns:r="http://schemas.openxmlformats.org/officeDocument/2006/relationships" r:id="rId962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35508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152400</xdr:colOff>
      <xdr:row>311</xdr:row>
      <xdr:rowOff>106680</xdr:rowOff>
    </xdr:to>
    <xdr:sp macro="" textlink="">
      <xdr:nvSpPr>
        <xdr:cNvPr id="9309" name="AutoShape 49" descr="COLOMBIA2"/>
        <xdr:cNvSpPr>
          <a:spLocks noChangeAspect="1" noChangeArrowheads="1"/>
        </xdr:cNvSpPr>
      </xdr:nvSpPr>
      <xdr:spPr bwMode="auto">
        <a:xfrm>
          <a:off x="0" y="6372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311</xdr:row>
      <xdr:rowOff>0</xdr:rowOff>
    </xdr:from>
    <xdr:to>
      <xdr:col>22</xdr:col>
      <xdr:colOff>144780</xdr:colOff>
      <xdr:row>311</xdr:row>
      <xdr:rowOff>121920</xdr:rowOff>
    </xdr:to>
    <xdr:pic>
      <xdr:nvPicPr>
        <xdr:cNvPr id="5558" name="Imagem 5557" descr="https://www.soccerstats.com/img/own/sshplogo.png">
          <a:hlinkClick xmlns:r="http://schemas.openxmlformats.org/officeDocument/2006/relationships" r:id="rId963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37260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152400</xdr:colOff>
      <xdr:row>312</xdr:row>
      <xdr:rowOff>106680</xdr:rowOff>
    </xdr:to>
    <xdr:sp macro="" textlink="">
      <xdr:nvSpPr>
        <xdr:cNvPr id="9310" name="AutoShape 51" descr="COLOMBIA2"/>
        <xdr:cNvSpPr>
          <a:spLocks noChangeAspect="1" noChangeArrowheads="1"/>
        </xdr:cNvSpPr>
      </xdr:nvSpPr>
      <xdr:spPr bwMode="auto">
        <a:xfrm>
          <a:off x="0" y="6397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312</xdr:row>
      <xdr:rowOff>0</xdr:rowOff>
    </xdr:from>
    <xdr:to>
      <xdr:col>22</xdr:col>
      <xdr:colOff>144780</xdr:colOff>
      <xdr:row>312</xdr:row>
      <xdr:rowOff>121920</xdr:rowOff>
    </xdr:to>
    <xdr:pic>
      <xdr:nvPicPr>
        <xdr:cNvPr id="5560" name="Imagem 5559" descr="https://www.soccerstats.com/img/own/sshplogo.png">
          <a:hlinkClick xmlns:r="http://schemas.openxmlformats.org/officeDocument/2006/relationships" r:id="rId964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39775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152400</xdr:colOff>
      <xdr:row>313</xdr:row>
      <xdr:rowOff>106680</xdr:rowOff>
    </xdr:to>
    <xdr:sp macro="" textlink="">
      <xdr:nvSpPr>
        <xdr:cNvPr id="9311" name="AutoShape 53" descr="CZECHREPUBLIC2"/>
        <xdr:cNvSpPr>
          <a:spLocks noChangeAspect="1" noChangeArrowheads="1"/>
        </xdr:cNvSpPr>
      </xdr:nvSpPr>
      <xdr:spPr bwMode="auto">
        <a:xfrm>
          <a:off x="0" y="6422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313</xdr:row>
      <xdr:rowOff>0</xdr:rowOff>
    </xdr:from>
    <xdr:to>
      <xdr:col>22</xdr:col>
      <xdr:colOff>144780</xdr:colOff>
      <xdr:row>313</xdr:row>
      <xdr:rowOff>121920</xdr:rowOff>
    </xdr:to>
    <xdr:pic>
      <xdr:nvPicPr>
        <xdr:cNvPr id="5562" name="Imagem 5561" descr="https://www.soccerstats.com/img/own/sshplogo.png">
          <a:hlinkClick xmlns:r="http://schemas.openxmlformats.org/officeDocument/2006/relationships" r:id="rId965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42289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152400</xdr:colOff>
      <xdr:row>314</xdr:row>
      <xdr:rowOff>106680</xdr:rowOff>
    </xdr:to>
    <xdr:sp macro="" textlink="">
      <xdr:nvSpPr>
        <xdr:cNvPr id="9312" name="AutoShape 55" descr="DENMARK"/>
        <xdr:cNvSpPr>
          <a:spLocks noChangeAspect="1" noChangeArrowheads="1"/>
        </xdr:cNvSpPr>
      </xdr:nvSpPr>
      <xdr:spPr bwMode="auto">
        <a:xfrm>
          <a:off x="0" y="6448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314</xdr:row>
      <xdr:rowOff>0</xdr:rowOff>
    </xdr:from>
    <xdr:to>
      <xdr:col>22</xdr:col>
      <xdr:colOff>144780</xdr:colOff>
      <xdr:row>314</xdr:row>
      <xdr:rowOff>121920</xdr:rowOff>
    </xdr:to>
    <xdr:pic>
      <xdr:nvPicPr>
        <xdr:cNvPr id="5564" name="Imagem 5563" descr="https://www.soccerstats.com/img/own/sshplogo.png">
          <a:hlinkClick xmlns:r="http://schemas.openxmlformats.org/officeDocument/2006/relationships" r:id="rId966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44804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152400</xdr:colOff>
      <xdr:row>315</xdr:row>
      <xdr:rowOff>106680</xdr:rowOff>
    </xdr:to>
    <xdr:sp macro="" textlink="">
      <xdr:nvSpPr>
        <xdr:cNvPr id="9313" name="AutoShape 57" descr="ECUADOR"/>
        <xdr:cNvSpPr>
          <a:spLocks noChangeAspect="1" noChangeArrowheads="1"/>
        </xdr:cNvSpPr>
      </xdr:nvSpPr>
      <xdr:spPr bwMode="auto">
        <a:xfrm>
          <a:off x="0" y="6465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315</xdr:row>
      <xdr:rowOff>0</xdr:rowOff>
    </xdr:from>
    <xdr:to>
      <xdr:col>22</xdr:col>
      <xdr:colOff>144780</xdr:colOff>
      <xdr:row>315</xdr:row>
      <xdr:rowOff>121920</xdr:rowOff>
    </xdr:to>
    <xdr:pic>
      <xdr:nvPicPr>
        <xdr:cNvPr id="5566" name="Imagem 5565" descr="https://www.soccerstats.com/img/own/sshplogo.png">
          <a:hlinkClick xmlns:r="http://schemas.openxmlformats.org/officeDocument/2006/relationships" r:id="rId967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46557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152400</xdr:colOff>
      <xdr:row>316</xdr:row>
      <xdr:rowOff>106680</xdr:rowOff>
    </xdr:to>
    <xdr:sp macro="" textlink="">
      <xdr:nvSpPr>
        <xdr:cNvPr id="9314" name="AutoShape 59" descr="ENGLAND7"/>
        <xdr:cNvSpPr>
          <a:spLocks noChangeAspect="1" noChangeArrowheads="1"/>
        </xdr:cNvSpPr>
      </xdr:nvSpPr>
      <xdr:spPr bwMode="auto">
        <a:xfrm>
          <a:off x="0" y="6483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316</xdr:row>
      <xdr:rowOff>0</xdr:rowOff>
    </xdr:from>
    <xdr:to>
      <xdr:col>22</xdr:col>
      <xdr:colOff>144780</xdr:colOff>
      <xdr:row>316</xdr:row>
      <xdr:rowOff>121920</xdr:rowOff>
    </xdr:to>
    <xdr:pic>
      <xdr:nvPicPr>
        <xdr:cNvPr id="5568" name="Imagem 5567" descr="https://www.soccerstats.com/img/own/sshplogo.png">
          <a:hlinkClick xmlns:r="http://schemas.openxmlformats.org/officeDocument/2006/relationships" r:id="rId968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48309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152400</xdr:colOff>
      <xdr:row>317</xdr:row>
      <xdr:rowOff>106680</xdr:rowOff>
    </xdr:to>
    <xdr:sp macro="" textlink="">
      <xdr:nvSpPr>
        <xdr:cNvPr id="9315" name="AutoShape 61" descr="ESTONIA2"/>
        <xdr:cNvSpPr>
          <a:spLocks noChangeAspect="1" noChangeArrowheads="1"/>
        </xdr:cNvSpPr>
      </xdr:nvSpPr>
      <xdr:spPr bwMode="auto">
        <a:xfrm>
          <a:off x="0" y="6508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144780</xdr:colOff>
      <xdr:row>317</xdr:row>
      <xdr:rowOff>121920</xdr:rowOff>
    </xdr:to>
    <xdr:pic>
      <xdr:nvPicPr>
        <xdr:cNvPr id="5570" name="Imagem 5569" descr="https://www.soccerstats.com/img/own/sshplogo.png">
          <a:hlinkClick xmlns:r="http://schemas.openxmlformats.org/officeDocument/2006/relationships" r:id="rId969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50824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152400</xdr:colOff>
      <xdr:row>318</xdr:row>
      <xdr:rowOff>106680</xdr:rowOff>
    </xdr:to>
    <xdr:sp macro="" textlink="">
      <xdr:nvSpPr>
        <xdr:cNvPr id="9316" name="AutoShape 63" descr="FAROEISLANDS"/>
        <xdr:cNvSpPr>
          <a:spLocks noChangeAspect="1" noChangeArrowheads="1"/>
        </xdr:cNvSpPr>
      </xdr:nvSpPr>
      <xdr:spPr bwMode="auto">
        <a:xfrm>
          <a:off x="0" y="6533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318</xdr:row>
      <xdr:rowOff>0</xdr:rowOff>
    </xdr:from>
    <xdr:to>
      <xdr:col>22</xdr:col>
      <xdr:colOff>144780</xdr:colOff>
      <xdr:row>318</xdr:row>
      <xdr:rowOff>121920</xdr:rowOff>
    </xdr:to>
    <xdr:pic>
      <xdr:nvPicPr>
        <xdr:cNvPr id="5572" name="Imagem 5571" descr="https://www.soccerstats.com/img/own/sshplogo.png">
          <a:hlinkClick xmlns:r="http://schemas.openxmlformats.org/officeDocument/2006/relationships" r:id="rId776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53338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152400</xdr:colOff>
      <xdr:row>319</xdr:row>
      <xdr:rowOff>106680</xdr:rowOff>
    </xdr:to>
    <xdr:sp macro="" textlink="">
      <xdr:nvSpPr>
        <xdr:cNvPr id="9317" name="AutoShape 65" descr="FINLAND"/>
        <xdr:cNvSpPr>
          <a:spLocks noChangeAspect="1" noChangeArrowheads="1"/>
        </xdr:cNvSpPr>
      </xdr:nvSpPr>
      <xdr:spPr bwMode="auto">
        <a:xfrm>
          <a:off x="0" y="6550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319</xdr:row>
      <xdr:rowOff>0</xdr:rowOff>
    </xdr:from>
    <xdr:to>
      <xdr:col>22</xdr:col>
      <xdr:colOff>144780</xdr:colOff>
      <xdr:row>319</xdr:row>
      <xdr:rowOff>121920</xdr:rowOff>
    </xdr:to>
    <xdr:pic>
      <xdr:nvPicPr>
        <xdr:cNvPr id="5574" name="Imagem 5573" descr="https://www.soccerstats.com/img/own/sshplogo.png">
          <a:hlinkClick xmlns:r="http://schemas.openxmlformats.org/officeDocument/2006/relationships" r:id="rId970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55091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152400</xdr:colOff>
      <xdr:row>320</xdr:row>
      <xdr:rowOff>106680</xdr:rowOff>
    </xdr:to>
    <xdr:sp macro="" textlink="">
      <xdr:nvSpPr>
        <xdr:cNvPr id="9318" name="AutoShape 67" descr="GEORGIA"/>
        <xdr:cNvSpPr>
          <a:spLocks noChangeAspect="1" noChangeArrowheads="1"/>
        </xdr:cNvSpPr>
      </xdr:nvSpPr>
      <xdr:spPr bwMode="auto">
        <a:xfrm>
          <a:off x="0" y="6568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320</xdr:row>
      <xdr:rowOff>0</xdr:rowOff>
    </xdr:from>
    <xdr:to>
      <xdr:col>22</xdr:col>
      <xdr:colOff>144780</xdr:colOff>
      <xdr:row>320</xdr:row>
      <xdr:rowOff>121920</xdr:rowOff>
    </xdr:to>
    <xdr:pic>
      <xdr:nvPicPr>
        <xdr:cNvPr id="5576" name="Imagem 5575" descr="https://www.soccerstats.com/img/own/sshplogo.png">
          <a:hlinkClick xmlns:r="http://schemas.openxmlformats.org/officeDocument/2006/relationships" r:id="rId97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56844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152400</xdr:colOff>
      <xdr:row>321</xdr:row>
      <xdr:rowOff>106680</xdr:rowOff>
    </xdr:to>
    <xdr:sp macro="" textlink="">
      <xdr:nvSpPr>
        <xdr:cNvPr id="9319" name="AutoShape 69" descr="HUNGARY"/>
        <xdr:cNvSpPr>
          <a:spLocks noChangeAspect="1" noChangeArrowheads="1"/>
        </xdr:cNvSpPr>
      </xdr:nvSpPr>
      <xdr:spPr bwMode="auto">
        <a:xfrm>
          <a:off x="0" y="6585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321</xdr:row>
      <xdr:rowOff>0</xdr:rowOff>
    </xdr:from>
    <xdr:to>
      <xdr:col>22</xdr:col>
      <xdr:colOff>144780</xdr:colOff>
      <xdr:row>321</xdr:row>
      <xdr:rowOff>121920</xdr:rowOff>
    </xdr:to>
    <xdr:pic>
      <xdr:nvPicPr>
        <xdr:cNvPr id="5578" name="Imagem 5577" descr="https://www.soccerstats.com/img/own/sshplogo.png">
          <a:hlinkClick xmlns:r="http://schemas.openxmlformats.org/officeDocument/2006/relationships" r:id="rId972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58596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152400</xdr:colOff>
      <xdr:row>322</xdr:row>
      <xdr:rowOff>106680</xdr:rowOff>
    </xdr:to>
    <xdr:sp macro="" textlink="">
      <xdr:nvSpPr>
        <xdr:cNvPr id="9320" name="AutoShape 71" descr="ICELAND"/>
        <xdr:cNvSpPr>
          <a:spLocks noChangeAspect="1" noChangeArrowheads="1"/>
        </xdr:cNvSpPr>
      </xdr:nvSpPr>
      <xdr:spPr bwMode="auto">
        <a:xfrm>
          <a:off x="0" y="6603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322</xdr:row>
      <xdr:rowOff>0</xdr:rowOff>
    </xdr:from>
    <xdr:to>
      <xdr:col>22</xdr:col>
      <xdr:colOff>144780</xdr:colOff>
      <xdr:row>322</xdr:row>
      <xdr:rowOff>121920</xdr:rowOff>
    </xdr:to>
    <xdr:pic>
      <xdr:nvPicPr>
        <xdr:cNvPr id="5580" name="Imagem 5579" descr="https://www.soccerstats.com/img/own/sshplogo.png">
          <a:hlinkClick xmlns:r="http://schemas.openxmlformats.org/officeDocument/2006/relationships" r:id="rId973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60349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152400</xdr:colOff>
      <xdr:row>323</xdr:row>
      <xdr:rowOff>106680</xdr:rowOff>
    </xdr:to>
    <xdr:sp macro="" textlink="">
      <xdr:nvSpPr>
        <xdr:cNvPr id="9321" name="AutoShape 73" descr="ICELAND"/>
        <xdr:cNvSpPr>
          <a:spLocks noChangeAspect="1" noChangeArrowheads="1"/>
        </xdr:cNvSpPr>
      </xdr:nvSpPr>
      <xdr:spPr bwMode="auto">
        <a:xfrm>
          <a:off x="0" y="6621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323</xdr:row>
      <xdr:rowOff>0</xdr:rowOff>
    </xdr:from>
    <xdr:to>
      <xdr:col>22</xdr:col>
      <xdr:colOff>144780</xdr:colOff>
      <xdr:row>323</xdr:row>
      <xdr:rowOff>121920</xdr:rowOff>
    </xdr:to>
    <xdr:pic>
      <xdr:nvPicPr>
        <xdr:cNvPr id="5582" name="Imagem 5581" descr="https://www.soccerstats.com/img/own/sshplogo.png">
          <a:hlinkClick xmlns:r="http://schemas.openxmlformats.org/officeDocument/2006/relationships" r:id="rId974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62101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152400</xdr:colOff>
      <xdr:row>324</xdr:row>
      <xdr:rowOff>106680</xdr:rowOff>
    </xdr:to>
    <xdr:sp macro="" textlink="">
      <xdr:nvSpPr>
        <xdr:cNvPr id="9322" name="AutoShape 75" descr="ICELAND2"/>
        <xdr:cNvSpPr>
          <a:spLocks noChangeAspect="1" noChangeArrowheads="1"/>
        </xdr:cNvSpPr>
      </xdr:nvSpPr>
      <xdr:spPr bwMode="auto">
        <a:xfrm>
          <a:off x="0" y="6638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324</xdr:row>
      <xdr:rowOff>0</xdr:rowOff>
    </xdr:from>
    <xdr:to>
      <xdr:col>22</xdr:col>
      <xdr:colOff>144780</xdr:colOff>
      <xdr:row>324</xdr:row>
      <xdr:rowOff>121920</xdr:rowOff>
    </xdr:to>
    <xdr:pic>
      <xdr:nvPicPr>
        <xdr:cNvPr id="5584" name="Imagem 5583" descr="https://www.soccerstats.com/img/own/sshplogo.png">
          <a:hlinkClick xmlns:r="http://schemas.openxmlformats.org/officeDocument/2006/relationships" r:id="rId975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63854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152400</xdr:colOff>
      <xdr:row>325</xdr:row>
      <xdr:rowOff>106680</xdr:rowOff>
    </xdr:to>
    <xdr:sp macro="" textlink="">
      <xdr:nvSpPr>
        <xdr:cNvPr id="9323" name="AutoShape 77" descr="ICELAND2"/>
        <xdr:cNvSpPr>
          <a:spLocks noChangeAspect="1" noChangeArrowheads="1"/>
        </xdr:cNvSpPr>
      </xdr:nvSpPr>
      <xdr:spPr bwMode="auto">
        <a:xfrm>
          <a:off x="0" y="6656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325</xdr:row>
      <xdr:rowOff>0</xdr:rowOff>
    </xdr:from>
    <xdr:to>
      <xdr:col>22</xdr:col>
      <xdr:colOff>144780</xdr:colOff>
      <xdr:row>325</xdr:row>
      <xdr:rowOff>121920</xdr:rowOff>
    </xdr:to>
    <xdr:pic>
      <xdr:nvPicPr>
        <xdr:cNvPr id="5586" name="Imagem 5585" descr="https://www.soccerstats.com/img/own/sshplogo.png">
          <a:hlinkClick xmlns:r="http://schemas.openxmlformats.org/officeDocument/2006/relationships" r:id="rId976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65607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152400</xdr:colOff>
      <xdr:row>326</xdr:row>
      <xdr:rowOff>106680</xdr:rowOff>
    </xdr:to>
    <xdr:sp macro="" textlink="">
      <xdr:nvSpPr>
        <xdr:cNvPr id="9324" name="AutoShape 79" descr="ICELAND2"/>
        <xdr:cNvSpPr>
          <a:spLocks noChangeAspect="1" noChangeArrowheads="1"/>
        </xdr:cNvSpPr>
      </xdr:nvSpPr>
      <xdr:spPr bwMode="auto">
        <a:xfrm>
          <a:off x="0" y="6673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326</xdr:row>
      <xdr:rowOff>0</xdr:rowOff>
    </xdr:from>
    <xdr:to>
      <xdr:col>22</xdr:col>
      <xdr:colOff>144780</xdr:colOff>
      <xdr:row>326</xdr:row>
      <xdr:rowOff>121920</xdr:rowOff>
    </xdr:to>
    <xdr:pic>
      <xdr:nvPicPr>
        <xdr:cNvPr id="5588" name="Imagem 5587" descr="https://www.soccerstats.com/img/own/sshplogo.png">
          <a:hlinkClick xmlns:r="http://schemas.openxmlformats.org/officeDocument/2006/relationships" r:id="rId977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67359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152400</xdr:colOff>
      <xdr:row>327</xdr:row>
      <xdr:rowOff>106680</xdr:rowOff>
    </xdr:to>
    <xdr:sp macro="" textlink="">
      <xdr:nvSpPr>
        <xdr:cNvPr id="9325" name="AutoShape 81" descr="ICELAND2"/>
        <xdr:cNvSpPr>
          <a:spLocks noChangeAspect="1" noChangeArrowheads="1"/>
        </xdr:cNvSpPr>
      </xdr:nvSpPr>
      <xdr:spPr bwMode="auto">
        <a:xfrm>
          <a:off x="0" y="66911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327</xdr:row>
      <xdr:rowOff>0</xdr:rowOff>
    </xdr:from>
    <xdr:to>
      <xdr:col>22</xdr:col>
      <xdr:colOff>144780</xdr:colOff>
      <xdr:row>327</xdr:row>
      <xdr:rowOff>121920</xdr:rowOff>
    </xdr:to>
    <xdr:pic>
      <xdr:nvPicPr>
        <xdr:cNvPr id="5590" name="Imagem 5589" descr="https://www.soccerstats.com/img/own/sshplogo.png">
          <a:hlinkClick xmlns:r="http://schemas.openxmlformats.org/officeDocument/2006/relationships" r:id="rId978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69112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152400</xdr:colOff>
      <xdr:row>328</xdr:row>
      <xdr:rowOff>106680</xdr:rowOff>
    </xdr:to>
    <xdr:sp macro="" textlink="">
      <xdr:nvSpPr>
        <xdr:cNvPr id="9326" name="AutoShape 83" descr="ICELAND2"/>
        <xdr:cNvSpPr>
          <a:spLocks noChangeAspect="1" noChangeArrowheads="1"/>
        </xdr:cNvSpPr>
      </xdr:nvSpPr>
      <xdr:spPr bwMode="auto">
        <a:xfrm>
          <a:off x="0" y="67086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328</xdr:row>
      <xdr:rowOff>0</xdr:rowOff>
    </xdr:from>
    <xdr:to>
      <xdr:col>22</xdr:col>
      <xdr:colOff>144780</xdr:colOff>
      <xdr:row>328</xdr:row>
      <xdr:rowOff>121920</xdr:rowOff>
    </xdr:to>
    <xdr:pic>
      <xdr:nvPicPr>
        <xdr:cNvPr id="5592" name="Imagem 5591" descr="https://www.soccerstats.com/img/own/sshplogo.png">
          <a:hlinkClick xmlns:r="http://schemas.openxmlformats.org/officeDocument/2006/relationships" r:id="rId979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70864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152400</xdr:colOff>
      <xdr:row>329</xdr:row>
      <xdr:rowOff>106680</xdr:rowOff>
    </xdr:to>
    <xdr:sp macro="" textlink="">
      <xdr:nvSpPr>
        <xdr:cNvPr id="9327" name="AutoShape 85" descr="ICELAND2"/>
        <xdr:cNvSpPr>
          <a:spLocks noChangeAspect="1" noChangeArrowheads="1"/>
        </xdr:cNvSpPr>
      </xdr:nvSpPr>
      <xdr:spPr bwMode="auto">
        <a:xfrm>
          <a:off x="0" y="67337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329</xdr:row>
      <xdr:rowOff>0</xdr:rowOff>
    </xdr:from>
    <xdr:to>
      <xdr:col>22</xdr:col>
      <xdr:colOff>144780</xdr:colOff>
      <xdr:row>329</xdr:row>
      <xdr:rowOff>121920</xdr:rowOff>
    </xdr:to>
    <xdr:pic>
      <xdr:nvPicPr>
        <xdr:cNvPr id="5594" name="Imagem 5593" descr="https://www.soccerstats.com/img/own/sshplogo.png">
          <a:hlinkClick xmlns:r="http://schemas.openxmlformats.org/officeDocument/2006/relationships" r:id="rId980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73379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152400</xdr:colOff>
      <xdr:row>330</xdr:row>
      <xdr:rowOff>106680</xdr:rowOff>
    </xdr:to>
    <xdr:sp macro="" textlink="">
      <xdr:nvSpPr>
        <xdr:cNvPr id="9328" name="AutoShape 87" descr="LITHUANIA"/>
        <xdr:cNvSpPr>
          <a:spLocks noChangeAspect="1" noChangeArrowheads="1"/>
        </xdr:cNvSpPr>
      </xdr:nvSpPr>
      <xdr:spPr bwMode="auto">
        <a:xfrm>
          <a:off x="0" y="67513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330</xdr:row>
      <xdr:rowOff>0</xdr:rowOff>
    </xdr:from>
    <xdr:to>
      <xdr:col>22</xdr:col>
      <xdr:colOff>144780</xdr:colOff>
      <xdr:row>330</xdr:row>
      <xdr:rowOff>121920</xdr:rowOff>
    </xdr:to>
    <xdr:pic>
      <xdr:nvPicPr>
        <xdr:cNvPr id="5596" name="Imagem 5595" descr="https://www.soccerstats.com/img/own/sshplogo.png">
          <a:hlinkClick xmlns:r="http://schemas.openxmlformats.org/officeDocument/2006/relationships" r:id="rId98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75132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152400</xdr:colOff>
      <xdr:row>331</xdr:row>
      <xdr:rowOff>106680</xdr:rowOff>
    </xdr:to>
    <xdr:sp macro="" textlink="">
      <xdr:nvSpPr>
        <xdr:cNvPr id="9329" name="AutoShape 89" descr="LITHUANIA"/>
        <xdr:cNvSpPr>
          <a:spLocks noChangeAspect="1" noChangeArrowheads="1"/>
        </xdr:cNvSpPr>
      </xdr:nvSpPr>
      <xdr:spPr bwMode="auto">
        <a:xfrm>
          <a:off x="0" y="6768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331</xdr:row>
      <xdr:rowOff>0</xdr:rowOff>
    </xdr:from>
    <xdr:to>
      <xdr:col>22</xdr:col>
      <xdr:colOff>144780</xdr:colOff>
      <xdr:row>331</xdr:row>
      <xdr:rowOff>121920</xdr:rowOff>
    </xdr:to>
    <xdr:pic>
      <xdr:nvPicPr>
        <xdr:cNvPr id="5598" name="Imagem 5597" descr="https://www.soccerstats.com/img/own/sshplogo.png">
          <a:hlinkClick xmlns:r="http://schemas.openxmlformats.org/officeDocument/2006/relationships" r:id="rId982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76884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152400</xdr:colOff>
      <xdr:row>332</xdr:row>
      <xdr:rowOff>106680</xdr:rowOff>
    </xdr:to>
    <xdr:sp macro="" textlink="">
      <xdr:nvSpPr>
        <xdr:cNvPr id="9330" name="AutoShape 91" descr="MEXICO"/>
        <xdr:cNvSpPr>
          <a:spLocks noChangeAspect="1" noChangeArrowheads="1"/>
        </xdr:cNvSpPr>
      </xdr:nvSpPr>
      <xdr:spPr bwMode="auto">
        <a:xfrm>
          <a:off x="0" y="6793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332</xdr:row>
      <xdr:rowOff>0</xdr:rowOff>
    </xdr:from>
    <xdr:to>
      <xdr:col>22</xdr:col>
      <xdr:colOff>144780</xdr:colOff>
      <xdr:row>332</xdr:row>
      <xdr:rowOff>121920</xdr:rowOff>
    </xdr:to>
    <xdr:pic>
      <xdr:nvPicPr>
        <xdr:cNvPr id="5600" name="Imagem 5599" descr="https://www.soccerstats.com/img/own/sshplogo.png">
          <a:hlinkClick xmlns:r="http://schemas.openxmlformats.org/officeDocument/2006/relationships" r:id="rId983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79399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152400</xdr:colOff>
      <xdr:row>333</xdr:row>
      <xdr:rowOff>106680</xdr:rowOff>
    </xdr:to>
    <xdr:sp macro="" textlink="">
      <xdr:nvSpPr>
        <xdr:cNvPr id="9331" name="AutoShape 93" descr="MEXICO"/>
        <xdr:cNvSpPr>
          <a:spLocks noChangeAspect="1" noChangeArrowheads="1"/>
        </xdr:cNvSpPr>
      </xdr:nvSpPr>
      <xdr:spPr bwMode="auto">
        <a:xfrm>
          <a:off x="0" y="6819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333</xdr:row>
      <xdr:rowOff>0</xdr:rowOff>
    </xdr:from>
    <xdr:to>
      <xdr:col>22</xdr:col>
      <xdr:colOff>144780</xdr:colOff>
      <xdr:row>333</xdr:row>
      <xdr:rowOff>121920</xdr:rowOff>
    </xdr:to>
    <xdr:pic>
      <xdr:nvPicPr>
        <xdr:cNvPr id="5602" name="Imagem 5601" descr="https://www.soccerstats.com/img/own/sshplogo.png">
          <a:hlinkClick xmlns:r="http://schemas.openxmlformats.org/officeDocument/2006/relationships" r:id="rId984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81913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152400</xdr:colOff>
      <xdr:row>334</xdr:row>
      <xdr:rowOff>106680</xdr:rowOff>
    </xdr:to>
    <xdr:sp macro="" textlink="">
      <xdr:nvSpPr>
        <xdr:cNvPr id="9332" name="AutoShape 95" descr="MONTENEGRO"/>
        <xdr:cNvSpPr>
          <a:spLocks noChangeAspect="1" noChangeArrowheads="1"/>
        </xdr:cNvSpPr>
      </xdr:nvSpPr>
      <xdr:spPr bwMode="auto">
        <a:xfrm>
          <a:off x="0" y="6836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334</xdr:row>
      <xdr:rowOff>0</xdr:rowOff>
    </xdr:from>
    <xdr:to>
      <xdr:col>22</xdr:col>
      <xdr:colOff>144780</xdr:colOff>
      <xdr:row>334</xdr:row>
      <xdr:rowOff>121920</xdr:rowOff>
    </xdr:to>
    <xdr:pic>
      <xdr:nvPicPr>
        <xdr:cNvPr id="5604" name="Imagem 5603" descr="https://www.soccerstats.com/img/own/sshplogo.png">
          <a:hlinkClick xmlns:r="http://schemas.openxmlformats.org/officeDocument/2006/relationships" r:id="rId985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83666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152400</xdr:colOff>
      <xdr:row>335</xdr:row>
      <xdr:rowOff>106680</xdr:rowOff>
    </xdr:to>
    <xdr:sp macro="" textlink="">
      <xdr:nvSpPr>
        <xdr:cNvPr id="9333" name="AutoShape 97" descr="POLAND2"/>
        <xdr:cNvSpPr>
          <a:spLocks noChangeAspect="1" noChangeArrowheads="1"/>
        </xdr:cNvSpPr>
      </xdr:nvSpPr>
      <xdr:spPr bwMode="auto">
        <a:xfrm>
          <a:off x="0" y="6854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335</xdr:row>
      <xdr:rowOff>0</xdr:rowOff>
    </xdr:from>
    <xdr:to>
      <xdr:col>22</xdr:col>
      <xdr:colOff>144780</xdr:colOff>
      <xdr:row>335</xdr:row>
      <xdr:rowOff>121920</xdr:rowOff>
    </xdr:to>
    <xdr:pic>
      <xdr:nvPicPr>
        <xdr:cNvPr id="5606" name="Imagem 5605" descr="https://www.soccerstats.com/img/own/sshplogo.png">
          <a:hlinkClick xmlns:r="http://schemas.openxmlformats.org/officeDocument/2006/relationships" r:id="rId986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85419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152400</xdr:colOff>
      <xdr:row>336</xdr:row>
      <xdr:rowOff>106680</xdr:rowOff>
    </xdr:to>
    <xdr:sp macro="" textlink="">
      <xdr:nvSpPr>
        <xdr:cNvPr id="9334" name="AutoShape 99" descr="PORTUGAL2"/>
        <xdr:cNvSpPr>
          <a:spLocks noChangeAspect="1" noChangeArrowheads="1"/>
        </xdr:cNvSpPr>
      </xdr:nvSpPr>
      <xdr:spPr bwMode="auto">
        <a:xfrm>
          <a:off x="0" y="6879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336</xdr:row>
      <xdr:rowOff>0</xdr:rowOff>
    </xdr:from>
    <xdr:to>
      <xdr:col>22</xdr:col>
      <xdr:colOff>144780</xdr:colOff>
      <xdr:row>336</xdr:row>
      <xdr:rowOff>121920</xdr:rowOff>
    </xdr:to>
    <xdr:pic>
      <xdr:nvPicPr>
        <xdr:cNvPr id="5608" name="Imagem 5607" descr="https://www.soccerstats.com/img/own/sshplogo.png">
          <a:hlinkClick xmlns:r="http://schemas.openxmlformats.org/officeDocument/2006/relationships" r:id="rId987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87933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152400</xdr:colOff>
      <xdr:row>337</xdr:row>
      <xdr:rowOff>106680</xdr:rowOff>
    </xdr:to>
    <xdr:sp macro="" textlink="">
      <xdr:nvSpPr>
        <xdr:cNvPr id="9335" name="AutoShape 101" descr="ROMANIA"/>
        <xdr:cNvSpPr>
          <a:spLocks noChangeAspect="1" noChangeArrowheads="1"/>
        </xdr:cNvSpPr>
      </xdr:nvSpPr>
      <xdr:spPr bwMode="auto">
        <a:xfrm>
          <a:off x="0" y="6896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337</xdr:row>
      <xdr:rowOff>0</xdr:rowOff>
    </xdr:from>
    <xdr:to>
      <xdr:col>22</xdr:col>
      <xdr:colOff>144780</xdr:colOff>
      <xdr:row>337</xdr:row>
      <xdr:rowOff>121920</xdr:rowOff>
    </xdr:to>
    <xdr:pic>
      <xdr:nvPicPr>
        <xdr:cNvPr id="5610" name="Imagem 5609" descr="https://www.soccerstats.com/img/own/sshplogo.png">
          <a:hlinkClick xmlns:r="http://schemas.openxmlformats.org/officeDocument/2006/relationships" r:id="rId988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89686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152400</xdr:colOff>
      <xdr:row>338</xdr:row>
      <xdr:rowOff>106680</xdr:rowOff>
    </xdr:to>
    <xdr:sp macro="" textlink="">
      <xdr:nvSpPr>
        <xdr:cNvPr id="9336" name="AutoShape 103" descr="ROMANIA"/>
        <xdr:cNvSpPr>
          <a:spLocks noChangeAspect="1" noChangeArrowheads="1"/>
        </xdr:cNvSpPr>
      </xdr:nvSpPr>
      <xdr:spPr bwMode="auto">
        <a:xfrm>
          <a:off x="0" y="6914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338</xdr:row>
      <xdr:rowOff>0</xdr:rowOff>
    </xdr:from>
    <xdr:to>
      <xdr:col>22</xdr:col>
      <xdr:colOff>144780</xdr:colOff>
      <xdr:row>338</xdr:row>
      <xdr:rowOff>121920</xdr:rowOff>
    </xdr:to>
    <xdr:pic>
      <xdr:nvPicPr>
        <xdr:cNvPr id="5612" name="Imagem 5611" descr="https://www.soccerstats.com/img/own/sshplogo.png">
          <a:hlinkClick xmlns:r="http://schemas.openxmlformats.org/officeDocument/2006/relationships" r:id="rId989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91438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152400</xdr:colOff>
      <xdr:row>339</xdr:row>
      <xdr:rowOff>106680</xdr:rowOff>
    </xdr:to>
    <xdr:sp macro="" textlink="">
      <xdr:nvSpPr>
        <xdr:cNvPr id="9337" name="AutoShape 105" descr="SERBIA"/>
        <xdr:cNvSpPr>
          <a:spLocks noChangeAspect="1" noChangeArrowheads="1"/>
        </xdr:cNvSpPr>
      </xdr:nvSpPr>
      <xdr:spPr bwMode="auto">
        <a:xfrm>
          <a:off x="0" y="6931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339</xdr:row>
      <xdr:rowOff>0</xdr:rowOff>
    </xdr:from>
    <xdr:to>
      <xdr:col>22</xdr:col>
      <xdr:colOff>144780</xdr:colOff>
      <xdr:row>339</xdr:row>
      <xdr:rowOff>121920</xdr:rowOff>
    </xdr:to>
    <xdr:pic>
      <xdr:nvPicPr>
        <xdr:cNvPr id="5614" name="Imagem 5613" descr="https://www.soccerstats.com/img/own/sshplogo.png">
          <a:hlinkClick xmlns:r="http://schemas.openxmlformats.org/officeDocument/2006/relationships" r:id="rId990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93191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152400</xdr:colOff>
      <xdr:row>340</xdr:row>
      <xdr:rowOff>106680</xdr:rowOff>
    </xdr:to>
    <xdr:sp macro="" textlink="">
      <xdr:nvSpPr>
        <xdr:cNvPr id="9338" name="AutoShape 107" descr="SWEDEN"/>
        <xdr:cNvSpPr>
          <a:spLocks noChangeAspect="1" noChangeArrowheads="1"/>
        </xdr:cNvSpPr>
      </xdr:nvSpPr>
      <xdr:spPr bwMode="auto">
        <a:xfrm>
          <a:off x="0" y="6949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340</xdr:row>
      <xdr:rowOff>0</xdr:rowOff>
    </xdr:from>
    <xdr:to>
      <xdr:col>22</xdr:col>
      <xdr:colOff>144780</xdr:colOff>
      <xdr:row>340</xdr:row>
      <xdr:rowOff>121920</xdr:rowOff>
    </xdr:to>
    <xdr:pic>
      <xdr:nvPicPr>
        <xdr:cNvPr id="5616" name="Imagem 5615" descr="https://www.soccerstats.com/img/own/sshplogo.png">
          <a:hlinkClick xmlns:r="http://schemas.openxmlformats.org/officeDocument/2006/relationships" r:id="rId99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94944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152400</xdr:colOff>
      <xdr:row>341</xdr:row>
      <xdr:rowOff>106680</xdr:rowOff>
    </xdr:to>
    <xdr:sp macro="" textlink="">
      <xdr:nvSpPr>
        <xdr:cNvPr id="9339" name="AutoShape 109" descr="TURKEY"/>
        <xdr:cNvSpPr>
          <a:spLocks noChangeAspect="1" noChangeArrowheads="1"/>
        </xdr:cNvSpPr>
      </xdr:nvSpPr>
      <xdr:spPr bwMode="auto">
        <a:xfrm>
          <a:off x="0" y="6966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341</xdr:row>
      <xdr:rowOff>0</xdr:rowOff>
    </xdr:from>
    <xdr:to>
      <xdr:col>22</xdr:col>
      <xdr:colOff>144780</xdr:colOff>
      <xdr:row>341</xdr:row>
      <xdr:rowOff>121920</xdr:rowOff>
    </xdr:to>
    <xdr:pic>
      <xdr:nvPicPr>
        <xdr:cNvPr id="5618" name="Imagem 5617" descr="https://www.soccerstats.com/img/own/sshplogo.png">
          <a:hlinkClick xmlns:r="http://schemas.openxmlformats.org/officeDocument/2006/relationships" r:id="rId992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96696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152400</xdr:colOff>
      <xdr:row>342</xdr:row>
      <xdr:rowOff>106680</xdr:rowOff>
    </xdr:to>
    <xdr:sp macro="" textlink="">
      <xdr:nvSpPr>
        <xdr:cNvPr id="9340" name="AutoShape 111" descr="TURKEY2"/>
        <xdr:cNvSpPr>
          <a:spLocks noChangeAspect="1" noChangeArrowheads="1"/>
        </xdr:cNvSpPr>
      </xdr:nvSpPr>
      <xdr:spPr bwMode="auto">
        <a:xfrm>
          <a:off x="0" y="6984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342</xdr:row>
      <xdr:rowOff>0</xdr:rowOff>
    </xdr:from>
    <xdr:to>
      <xdr:col>22</xdr:col>
      <xdr:colOff>144780</xdr:colOff>
      <xdr:row>342</xdr:row>
      <xdr:rowOff>121920</xdr:rowOff>
    </xdr:to>
    <xdr:pic>
      <xdr:nvPicPr>
        <xdr:cNvPr id="5620" name="Imagem 5619" descr="https://www.soccerstats.com/img/own/sshplogo.png">
          <a:hlinkClick xmlns:r="http://schemas.openxmlformats.org/officeDocument/2006/relationships" r:id="rId993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984492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152400</xdr:colOff>
      <xdr:row>343</xdr:row>
      <xdr:rowOff>106680</xdr:rowOff>
    </xdr:to>
    <xdr:sp macro="" textlink="">
      <xdr:nvSpPr>
        <xdr:cNvPr id="9341" name="AutoShape 113" descr="UKRAINE"/>
        <xdr:cNvSpPr>
          <a:spLocks noChangeAspect="1" noChangeArrowheads="1"/>
        </xdr:cNvSpPr>
      </xdr:nvSpPr>
      <xdr:spPr bwMode="auto">
        <a:xfrm>
          <a:off x="0" y="7002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343</xdr:row>
      <xdr:rowOff>0</xdr:rowOff>
    </xdr:from>
    <xdr:to>
      <xdr:col>22</xdr:col>
      <xdr:colOff>144780</xdr:colOff>
      <xdr:row>343</xdr:row>
      <xdr:rowOff>121920</xdr:rowOff>
    </xdr:to>
    <xdr:pic>
      <xdr:nvPicPr>
        <xdr:cNvPr id="5622" name="Imagem 5621" descr="https://www.soccerstats.com/img/own/sshplogo.png">
          <a:hlinkClick xmlns:r="http://schemas.openxmlformats.org/officeDocument/2006/relationships" r:id="rId994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7002018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152400</xdr:colOff>
      <xdr:row>344</xdr:row>
      <xdr:rowOff>106680</xdr:rowOff>
    </xdr:to>
    <xdr:sp macro="" textlink="">
      <xdr:nvSpPr>
        <xdr:cNvPr id="9342" name="AutoShape 115" descr="USA"/>
        <xdr:cNvSpPr>
          <a:spLocks noChangeAspect="1" noChangeArrowheads="1"/>
        </xdr:cNvSpPr>
      </xdr:nvSpPr>
      <xdr:spPr bwMode="auto">
        <a:xfrm>
          <a:off x="0" y="7027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344</xdr:row>
      <xdr:rowOff>0</xdr:rowOff>
    </xdr:from>
    <xdr:to>
      <xdr:col>22</xdr:col>
      <xdr:colOff>144780</xdr:colOff>
      <xdr:row>344</xdr:row>
      <xdr:rowOff>121920</xdr:rowOff>
    </xdr:to>
    <xdr:pic>
      <xdr:nvPicPr>
        <xdr:cNvPr id="5624" name="Imagem 5623" descr="https://www.soccerstats.com/img/own/sshplogo.png">
          <a:hlinkClick xmlns:r="http://schemas.openxmlformats.org/officeDocument/2006/relationships" r:id="rId995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7027164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152400</xdr:colOff>
      <xdr:row>345</xdr:row>
      <xdr:rowOff>106680</xdr:rowOff>
    </xdr:to>
    <xdr:sp macro="" textlink="">
      <xdr:nvSpPr>
        <xdr:cNvPr id="9343" name="AutoShape 117" descr="USA"/>
        <xdr:cNvSpPr>
          <a:spLocks noChangeAspect="1" noChangeArrowheads="1"/>
        </xdr:cNvSpPr>
      </xdr:nvSpPr>
      <xdr:spPr bwMode="auto">
        <a:xfrm>
          <a:off x="0" y="7044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345</xdr:row>
      <xdr:rowOff>0</xdr:rowOff>
    </xdr:from>
    <xdr:to>
      <xdr:col>22</xdr:col>
      <xdr:colOff>144780</xdr:colOff>
      <xdr:row>345</xdr:row>
      <xdr:rowOff>121920</xdr:rowOff>
    </xdr:to>
    <xdr:pic>
      <xdr:nvPicPr>
        <xdr:cNvPr id="5626" name="Imagem 5625" descr="https://www.soccerstats.com/img/own/sshplogo.png">
          <a:hlinkClick xmlns:r="http://schemas.openxmlformats.org/officeDocument/2006/relationships" r:id="rId996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7044690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152400</xdr:colOff>
      <xdr:row>346</xdr:row>
      <xdr:rowOff>106680</xdr:rowOff>
    </xdr:to>
    <xdr:sp macro="" textlink="">
      <xdr:nvSpPr>
        <xdr:cNvPr id="5504" name="AutoShape 119" descr="USA6"/>
        <xdr:cNvSpPr>
          <a:spLocks noChangeAspect="1" noChangeArrowheads="1"/>
        </xdr:cNvSpPr>
      </xdr:nvSpPr>
      <xdr:spPr bwMode="auto">
        <a:xfrm>
          <a:off x="0" y="7062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346</xdr:row>
      <xdr:rowOff>0</xdr:rowOff>
    </xdr:from>
    <xdr:to>
      <xdr:col>22</xdr:col>
      <xdr:colOff>144780</xdr:colOff>
      <xdr:row>346</xdr:row>
      <xdr:rowOff>121920</xdr:rowOff>
    </xdr:to>
    <xdr:pic>
      <xdr:nvPicPr>
        <xdr:cNvPr id="5628" name="Imagem 5627" descr="https://www.soccerstats.com/img/own/sshplogo.png">
          <a:hlinkClick xmlns:r="http://schemas.openxmlformats.org/officeDocument/2006/relationships" r:id="rId997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70622160"/>
          <a:ext cx="14478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occerstats.com/latest.asp?league=estonia" TargetMode="External"/><Relationship Id="rId299" Type="http://schemas.openxmlformats.org/officeDocument/2006/relationships/hyperlink" Target="https://www.soccerstats.com/latest.asp?league=armenia" TargetMode="External"/><Relationship Id="rId21" Type="http://schemas.openxmlformats.org/officeDocument/2006/relationships/hyperlink" Target="https://www.soccerstats.com/latest.asp?league=argentina2" TargetMode="External"/><Relationship Id="rId63" Type="http://schemas.openxmlformats.org/officeDocument/2006/relationships/hyperlink" Target="https://www.soccerstats.com/latest.asp?league=brazil" TargetMode="External"/><Relationship Id="rId159" Type="http://schemas.openxmlformats.org/officeDocument/2006/relationships/hyperlink" Target="https://www.soccerstats.com/latest.asp?league=iceland" TargetMode="External"/><Relationship Id="rId324" Type="http://schemas.openxmlformats.org/officeDocument/2006/relationships/hyperlink" Target="https://www.soccerstats.com/latest.asp?league=iceland2" TargetMode="External"/><Relationship Id="rId170" Type="http://schemas.openxmlformats.org/officeDocument/2006/relationships/hyperlink" Target="https://www.soccerstats.com/latest.asp?league=lithuania" TargetMode="External"/><Relationship Id="rId226" Type="http://schemas.openxmlformats.org/officeDocument/2006/relationships/hyperlink" Target="https://www.soccerstats.com/latest.asp?league=slovakia" TargetMode="External"/><Relationship Id="rId268" Type="http://schemas.openxmlformats.org/officeDocument/2006/relationships/hyperlink" Target="https://www.soccerstats.com/latest.asp?league=usa" TargetMode="External"/><Relationship Id="rId32" Type="http://schemas.openxmlformats.org/officeDocument/2006/relationships/hyperlink" Target="https://www.soccerstats.com/latest.asp?league=argentina3" TargetMode="External"/><Relationship Id="rId74" Type="http://schemas.openxmlformats.org/officeDocument/2006/relationships/hyperlink" Target="https://www.soccerstats.com/latest.asp?league=brazil3" TargetMode="External"/><Relationship Id="rId128" Type="http://schemas.openxmlformats.org/officeDocument/2006/relationships/hyperlink" Target="https://www.soccerstats.com/latest.asp?league=finland3" TargetMode="External"/><Relationship Id="rId335" Type="http://schemas.openxmlformats.org/officeDocument/2006/relationships/hyperlink" Target="https://www.soccerstats.com/latest.asp?league=poland2" TargetMode="External"/><Relationship Id="rId5" Type="http://schemas.openxmlformats.org/officeDocument/2006/relationships/hyperlink" Target="https://www.soccerstats.com/latest.asp?league=netherlands" TargetMode="External"/><Relationship Id="rId181" Type="http://schemas.openxmlformats.org/officeDocument/2006/relationships/hyperlink" Target="https://www.soccerstats.com/latest.asp?league=norway" TargetMode="External"/><Relationship Id="rId237" Type="http://schemas.openxmlformats.org/officeDocument/2006/relationships/hyperlink" Target="https://www.soccerstats.com/latest.asp?league=southkorea2" TargetMode="External"/><Relationship Id="rId279" Type="http://schemas.openxmlformats.org/officeDocument/2006/relationships/hyperlink" Target="https://www.soccerstats.com/latest.asp?league=usa2" TargetMode="External"/><Relationship Id="rId43" Type="http://schemas.openxmlformats.org/officeDocument/2006/relationships/hyperlink" Target="https://www.soccerstats.com/latest.asp?league=australia11" TargetMode="External"/><Relationship Id="rId139" Type="http://schemas.openxmlformats.org/officeDocument/2006/relationships/hyperlink" Target="https://www.soccerstats.com/latest.asp?league=germany4" TargetMode="External"/><Relationship Id="rId290" Type="http://schemas.openxmlformats.org/officeDocument/2006/relationships/hyperlink" Target="https://www.soccerstats.com/latest.asp?league=spain2" TargetMode="External"/><Relationship Id="rId304" Type="http://schemas.openxmlformats.org/officeDocument/2006/relationships/hyperlink" Target="https://www.soccerstats.com/latest.asp?league=brazil3" TargetMode="External"/><Relationship Id="rId346" Type="http://schemas.openxmlformats.org/officeDocument/2006/relationships/hyperlink" Target="https://www.soccerstats.com/latest.asp?league=usa6" TargetMode="External"/><Relationship Id="rId85" Type="http://schemas.openxmlformats.org/officeDocument/2006/relationships/hyperlink" Target="https://www.soccerstats.com/latest.asp?league=bulgaria2" TargetMode="External"/><Relationship Id="rId150" Type="http://schemas.openxmlformats.org/officeDocument/2006/relationships/hyperlink" Target="https://www.soccerstats.com/latest.asp?league=guatemala" TargetMode="External"/><Relationship Id="rId192" Type="http://schemas.openxmlformats.org/officeDocument/2006/relationships/hyperlink" Target="https://www.soccerstats.com/latest.asp?league=norway3" TargetMode="External"/><Relationship Id="rId206" Type="http://schemas.openxmlformats.org/officeDocument/2006/relationships/hyperlink" Target="https://www.soccerstats.com/latest.asp?league=poland" TargetMode="External"/><Relationship Id="rId248" Type="http://schemas.openxmlformats.org/officeDocument/2006/relationships/hyperlink" Target="https://www.soccerstats.com/latest.asp?league=sweden3" TargetMode="External"/><Relationship Id="rId12" Type="http://schemas.openxmlformats.org/officeDocument/2006/relationships/hyperlink" Target="https://www.soccerstats.com/latest.asp?league=england2" TargetMode="External"/><Relationship Id="rId108" Type="http://schemas.openxmlformats.org/officeDocument/2006/relationships/hyperlink" Target="https://www.soccerstats.com/latest.asp?league=denmark" TargetMode="External"/><Relationship Id="rId315" Type="http://schemas.openxmlformats.org/officeDocument/2006/relationships/hyperlink" Target="https://www.soccerstats.com/latest.asp?league=ecuador" TargetMode="External"/><Relationship Id="rId54" Type="http://schemas.openxmlformats.org/officeDocument/2006/relationships/hyperlink" Target="https://www.soccerstats.com/latest.asp?league=belarus" TargetMode="External"/><Relationship Id="rId96" Type="http://schemas.openxmlformats.org/officeDocument/2006/relationships/hyperlink" Target="https://www.soccerstats.com/latest.asp?league=china2" TargetMode="External"/><Relationship Id="rId161" Type="http://schemas.openxmlformats.org/officeDocument/2006/relationships/hyperlink" Target="https://www.soccerstats.com/latest.asp?league=japan2" TargetMode="External"/><Relationship Id="rId217" Type="http://schemas.openxmlformats.org/officeDocument/2006/relationships/hyperlink" Target="https://www.soccerstats.com/latest.asp?league=portugal2" TargetMode="External"/><Relationship Id="rId259" Type="http://schemas.openxmlformats.org/officeDocument/2006/relationships/hyperlink" Target="https://www.soccerstats.com/latest.asp?league=turkey2" TargetMode="External"/><Relationship Id="rId23" Type="http://schemas.openxmlformats.org/officeDocument/2006/relationships/hyperlink" Target="https://www.soccerstats.com/latest.asp?league=argentina2" TargetMode="External"/><Relationship Id="rId119" Type="http://schemas.openxmlformats.org/officeDocument/2006/relationships/hyperlink" Target="https://www.soccerstats.com/latest.asp?league=faroeislands" TargetMode="External"/><Relationship Id="rId270" Type="http://schemas.openxmlformats.org/officeDocument/2006/relationships/hyperlink" Target="https://www.soccerstats.com/latest.asp?league=usa" TargetMode="External"/><Relationship Id="rId326" Type="http://schemas.openxmlformats.org/officeDocument/2006/relationships/hyperlink" Target="https://www.soccerstats.com/latest.asp?league=iceland2" TargetMode="External"/><Relationship Id="rId65" Type="http://schemas.openxmlformats.org/officeDocument/2006/relationships/hyperlink" Target="https://www.soccerstats.com/latest.asp?league=brazil" TargetMode="External"/><Relationship Id="rId130" Type="http://schemas.openxmlformats.org/officeDocument/2006/relationships/hyperlink" Target="https://www.soccerstats.com/latest.asp?league=finland3" TargetMode="External"/><Relationship Id="rId172" Type="http://schemas.openxmlformats.org/officeDocument/2006/relationships/hyperlink" Target="https://www.soccerstats.com/latest.asp?league=mexico" TargetMode="External"/><Relationship Id="rId228" Type="http://schemas.openxmlformats.org/officeDocument/2006/relationships/hyperlink" Target="https://www.soccerstats.com/latest.asp?league=slovenia" TargetMode="External"/><Relationship Id="rId281" Type="http://schemas.openxmlformats.org/officeDocument/2006/relationships/hyperlink" Target="https://www.soccerstats.com/latest.asp?league=usa3" TargetMode="External"/><Relationship Id="rId337" Type="http://schemas.openxmlformats.org/officeDocument/2006/relationships/hyperlink" Target="https://www.soccerstats.com/latest.asp?league=romania" TargetMode="External"/><Relationship Id="rId34" Type="http://schemas.openxmlformats.org/officeDocument/2006/relationships/hyperlink" Target="https://www.soccerstats.com/latest.asp?league=australia3" TargetMode="External"/><Relationship Id="rId76" Type="http://schemas.openxmlformats.org/officeDocument/2006/relationships/hyperlink" Target="https://www.soccerstats.com/latest.asp?league=brazil5" TargetMode="External"/><Relationship Id="rId141" Type="http://schemas.openxmlformats.org/officeDocument/2006/relationships/hyperlink" Target="https://www.soccerstats.com/latest.asp?league=germany4" TargetMode="External"/><Relationship Id="rId7" Type="http://schemas.openxmlformats.org/officeDocument/2006/relationships/hyperlink" Target="https://www.soccerstats.com/latest.asp?league=netherlands" TargetMode="External"/><Relationship Id="rId183" Type="http://schemas.openxmlformats.org/officeDocument/2006/relationships/hyperlink" Target="https://www.soccerstats.com/latest.asp?league=norway" TargetMode="External"/><Relationship Id="rId239" Type="http://schemas.openxmlformats.org/officeDocument/2006/relationships/hyperlink" Target="https://www.soccerstats.com/latest.asp?league=southkorea2" TargetMode="External"/><Relationship Id="rId250" Type="http://schemas.openxmlformats.org/officeDocument/2006/relationships/hyperlink" Target="https://www.soccerstats.com/latest.asp?league=sweden4" TargetMode="External"/><Relationship Id="rId292" Type="http://schemas.openxmlformats.org/officeDocument/2006/relationships/hyperlink" Target="https://www.soccerstats.com/latest.asp?league=netherlands2" TargetMode="External"/><Relationship Id="rId306" Type="http://schemas.openxmlformats.org/officeDocument/2006/relationships/hyperlink" Target="https://www.soccerstats.com/latest.asp?league=bulgaria" TargetMode="External"/><Relationship Id="rId45" Type="http://schemas.openxmlformats.org/officeDocument/2006/relationships/hyperlink" Target="https://www.soccerstats.com/latest.asp?league=australia11" TargetMode="External"/><Relationship Id="rId87" Type="http://schemas.openxmlformats.org/officeDocument/2006/relationships/hyperlink" Target="https://www.soccerstats.com/latest.asp?league=canada" TargetMode="External"/><Relationship Id="rId110" Type="http://schemas.openxmlformats.org/officeDocument/2006/relationships/hyperlink" Target="https://www.soccerstats.com/latest.asp?league=denmark" TargetMode="External"/><Relationship Id="rId348" Type="http://schemas.openxmlformats.org/officeDocument/2006/relationships/drawing" Target="../drawings/drawing1.xml"/><Relationship Id="rId152" Type="http://schemas.openxmlformats.org/officeDocument/2006/relationships/hyperlink" Target="https://www.soccerstats.com/latest.asp?league=guatemala" TargetMode="External"/><Relationship Id="rId194" Type="http://schemas.openxmlformats.org/officeDocument/2006/relationships/hyperlink" Target="https://www.soccerstats.com/latest.asp?league=norway4" TargetMode="External"/><Relationship Id="rId208" Type="http://schemas.openxmlformats.org/officeDocument/2006/relationships/hyperlink" Target="https://www.soccerstats.com/latest.asp?league=poland2" TargetMode="External"/><Relationship Id="rId261" Type="http://schemas.openxmlformats.org/officeDocument/2006/relationships/hyperlink" Target="https://www.soccerstats.com/latest.asp?league=ukraine" TargetMode="External"/><Relationship Id="rId14" Type="http://schemas.openxmlformats.org/officeDocument/2006/relationships/hyperlink" Target="https://www.soccerstats.com/latest.asp?league=spain2" TargetMode="External"/><Relationship Id="rId35" Type="http://schemas.openxmlformats.org/officeDocument/2006/relationships/hyperlink" Target="https://www.soccerstats.com/latest.asp?league=australia7" TargetMode="External"/><Relationship Id="rId56" Type="http://schemas.openxmlformats.org/officeDocument/2006/relationships/hyperlink" Target="https://www.soccerstats.com/latest.asp?league=belgium" TargetMode="External"/><Relationship Id="rId77" Type="http://schemas.openxmlformats.org/officeDocument/2006/relationships/hyperlink" Target="https://www.soccerstats.com/latest.asp?league=brazil5" TargetMode="External"/><Relationship Id="rId100" Type="http://schemas.openxmlformats.org/officeDocument/2006/relationships/hyperlink" Target="https://www.soccerstats.com/latest.asp?league=colombia2" TargetMode="External"/><Relationship Id="rId282" Type="http://schemas.openxmlformats.org/officeDocument/2006/relationships/hyperlink" Target="https://www.soccerstats.com/latest.asp?league=usa3" TargetMode="External"/><Relationship Id="rId317" Type="http://schemas.openxmlformats.org/officeDocument/2006/relationships/hyperlink" Target="https://www.soccerstats.com/latest.asp?league=estonia2" TargetMode="External"/><Relationship Id="rId338" Type="http://schemas.openxmlformats.org/officeDocument/2006/relationships/hyperlink" Target="https://www.soccerstats.com/latest.asp?league=romania" TargetMode="External"/><Relationship Id="rId8" Type="http://schemas.openxmlformats.org/officeDocument/2006/relationships/hyperlink" Target="https://www.soccerstats.com/latest.asp?league=portugal" TargetMode="External"/><Relationship Id="rId98" Type="http://schemas.openxmlformats.org/officeDocument/2006/relationships/hyperlink" Target="https://www.soccerstats.com/latest.asp?league=china2" TargetMode="External"/><Relationship Id="rId121" Type="http://schemas.openxmlformats.org/officeDocument/2006/relationships/hyperlink" Target="https://www.soccerstats.com/latest.asp?league=faroeislands" TargetMode="External"/><Relationship Id="rId142" Type="http://schemas.openxmlformats.org/officeDocument/2006/relationships/hyperlink" Target="https://www.soccerstats.com/latest.asp?league=germany4" TargetMode="External"/><Relationship Id="rId163" Type="http://schemas.openxmlformats.org/officeDocument/2006/relationships/hyperlink" Target="https://www.soccerstats.com/latest.asp?league=japan3" TargetMode="External"/><Relationship Id="rId184" Type="http://schemas.openxmlformats.org/officeDocument/2006/relationships/hyperlink" Target="https://www.soccerstats.com/latest.asp?league=norway" TargetMode="External"/><Relationship Id="rId219" Type="http://schemas.openxmlformats.org/officeDocument/2006/relationships/hyperlink" Target="https://www.soccerstats.com/latest.asp?league=romania" TargetMode="External"/><Relationship Id="rId230" Type="http://schemas.openxmlformats.org/officeDocument/2006/relationships/hyperlink" Target="https://www.soccerstats.com/latest.asp?league=slovenia" TargetMode="External"/><Relationship Id="rId251" Type="http://schemas.openxmlformats.org/officeDocument/2006/relationships/hyperlink" Target="https://www.soccerstats.com/latest.asp?league=sweden4" TargetMode="External"/><Relationship Id="rId25" Type="http://schemas.openxmlformats.org/officeDocument/2006/relationships/hyperlink" Target="https://www.soccerstats.com/latest.asp?league=argentina2" TargetMode="External"/><Relationship Id="rId46" Type="http://schemas.openxmlformats.org/officeDocument/2006/relationships/hyperlink" Target="https://www.soccerstats.com/latest.asp?league=austria" TargetMode="External"/><Relationship Id="rId67" Type="http://schemas.openxmlformats.org/officeDocument/2006/relationships/hyperlink" Target="https://www.soccerstats.com/latest.asp?league=brazil" TargetMode="External"/><Relationship Id="rId272" Type="http://schemas.openxmlformats.org/officeDocument/2006/relationships/hyperlink" Target="https://www.soccerstats.com/latest.asp?league=usa" TargetMode="External"/><Relationship Id="rId293" Type="http://schemas.openxmlformats.org/officeDocument/2006/relationships/hyperlink" Target="https://www.soccerstats.com/latest.asp?league=netherlands2" TargetMode="External"/><Relationship Id="rId307" Type="http://schemas.openxmlformats.org/officeDocument/2006/relationships/hyperlink" Target="https://www.soccerstats.com/latest.asp?league=bulgaria2" TargetMode="External"/><Relationship Id="rId328" Type="http://schemas.openxmlformats.org/officeDocument/2006/relationships/hyperlink" Target="https://www.soccerstats.com/latest.asp?league=iceland2" TargetMode="External"/><Relationship Id="rId88" Type="http://schemas.openxmlformats.org/officeDocument/2006/relationships/hyperlink" Target="https://www.soccerstats.com/latest.asp?league=chile" TargetMode="External"/><Relationship Id="rId111" Type="http://schemas.openxmlformats.org/officeDocument/2006/relationships/hyperlink" Target="https://www.soccerstats.com/latest.asp?league=denmark2" TargetMode="External"/><Relationship Id="rId132" Type="http://schemas.openxmlformats.org/officeDocument/2006/relationships/hyperlink" Target="https://www.soccerstats.com/latest.asp?league=finland6" TargetMode="External"/><Relationship Id="rId153" Type="http://schemas.openxmlformats.org/officeDocument/2006/relationships/hyperlink" Target="https://www.soccerstats.com/latest.asp?league=hungary" TargetMode="External"/><Relationship Id="rId174" Type="http://schemas.openxmlformats.org/officeDocument/2006/relationships/hyperlink" Target="https://www.soccerstats.com/latest.asp?league=mexico" TargetMode="External"/><Relationship Id="rId195" Type="http://schemas.openxmlformats.org/officeDocument/2006/relationships/hyperlink" Target="https://www.soccerstats.com/latest.asp?league=norway4" TargetMode="External"/><Relationship Id="rId209" Type="http://schemas.openxmlformats.org/officeDocument/2006/relationships/hyperlink" Target="https://www.soccerstats.com/latest.asp?league=poland2" TargetMode="External"/><Relationship Id="rId220" Type="http://schemas.openxmlformats.org/officeDocument/2006/relationships/hyperlink" Target="https://www.soccerstats.com/latest.asp?league=russia" TargetMode="External"/><Relationship Id="rId241" Type="http://schemas.openxmlformats.org/officeDocument/2006/relationships/hyperlink" Target="https://www.soccerstats.com/latest.asp?league=sweden" TargetMode="External"/><Relationship Id="rId15" Type="http://schemas.openxmlformats.org/officeDocument/2006/relationships/hyperlink" Target="https://www.soccerstats.com/latest.asp?league=spain2" TargetMode="External"/><Relationship Id="rId36" Type="http://schemas.openxmlformats.org/officeDocument/2006/relationships/hyperlink" Target="https://www.soccerstats.com/latest.asp?league=australia7" TargetMode="External"/><Relationship Id="rId57" Type="http://schemas.openxmlformats.org/officeDocument/2006/relationships/hyperlink" Target="https://www.soccerstats.com/latest.asp?league=belgium" TargetMode="External"/><Relationship Id="rId262" Type="http://schemas.openxmlformats.org/officeDocument/2006/relationships/hyperlink" Target="https://www.soccerstats.com/latest.asp?league=ukraine" TargetMode="External"/><Relationship Id="rId283" Type="http://schemas.openxmlformats.org/officeDocument/2006/relationships/hyperlink" Target="https://www.soccerstats.com/latest.asp?league=usa3" TargetMode="External"/><Relationship Id="rId318" Type="http://schemas.openxmlformats.org/officeDocument/2006/relationships/hyperlink" Target="https://www.soccerstats.com/latest.asp?league=faroeislands" TargetMode="External"/><Relationship Id="rId339" Type="http://schemas.openxmlformats.org/officeDocument/2006/relationships/hyperlink" Target="https://www.soccerstats.com/latest.asp?league=serbia" TargetMode="External"/><Relationship Id="rId78" Type="http://schemas.openxmlformats.org/officeDocument/2006/relationships/hyperlink" Target="https://www.soccerstats.com/latest.asp?league=brazil5" TargetMode="External"/><Relationship Id="rId99" Type="http://schemas.openxmlformats.org/officeDocument/2006/relationships/hyperlink" Target="https://www.soccerstats.com/latest.asp?league=colombia2" TargetMode="External"/><Relationship Id="rId101" Type="http://schemas.openxmlformats.org/officeDocument/2006/relationships/hyperlink" Target="https://www.soccerstats.com/latest.asp?league=colombia2" TargetMode="External"/><Relationship Id="rId122" Type="http://schemas.openxmlformats.org/officeDocument/2006/relationships/hyperlink" Target="https://www.soccerstats.com/latest.asp?league=faroeislands" TargetMode="External"/><Relationship Id="rId143" Type="http://schemas.openxmlformats.org/officeDocument/2006/relationships/hyperlink" Target="https://www.soccerstats.com/latest.asp?league=germany4" TargetMode="External"/><Relationship Id="rId164" Type="http://schemas.openxmlformats.org/officeDocument/2006/relationships/hyperlink" Target="https://www.soccerstats.com/latest.asp?league=japan3" TargetMode="External"/><Relationship Id="rId185" Type="http://schemas.openxmlformats.org/officeDocument/2006/relationships/hyperlink" Target="https://www.soccerstats.com/latest.asp?league=norway" TargetMode="External"/><Relationship Id="rId9" Type="http://schemas.openxmlformats.org/officeDocument/2006/relationships/hyperlink" Target="https://www.soccerstats.com/latest.asp?league=portugal" TargetMode="External"/><Relationship Id="rId210" Type="http://schemas.openxmlformats.org/officeDocument/2006/relationships/hyperlink" Target="https://www.soccerstats.com/latest.asp?league=poland3" TargetMode="External"/><Relationship Id="rId26" Type="http://schemas.openxmlformats.org/officeDocument/2006/relationships/hyperlink" Target="https://www.soccerstats.com/latest.asp?league=argentina3" TargetMode="External"/><Relationship Id="rId231" Type="http://schemas.openxmlformats.org/officeDocument/2006/relationships/hyperlink" Target="https://www.soccerstats.com/latest.asp?league=southafrica" TargetMode="External"/><Relationship Id="rId252" Type="http://schemas.openxmlformats.org/officeDocument/2006/relationships/hyperlink" Target="https://www.soccerstats.com/latest.asp?league=sweden11" TargetMode="External"/><Relationship Id="rId273" Type="http://schemas.openxmlformats.org/officeDocument/2006/relationships/hyperlink" Target="https://www.soccerstats.com/latest.asp?league=usa" TargetMode="External"/><Relationship Id="rId294" Type="http://schemas.openxmlformats.org/officeDocument/2006/relationships/hyperlink" Target="https://www.soccerstats.com/latest.asp?league=netherlands2" TargetMode="External"/><Relationship Id="rId308" Type="http://schemas.openxmlformats.org/officeDocument/2006/relationships/hyperlink" Target="https://www.soccerstats.com/latest.asp?league=chile2" TargetMode="External"/><Relationship Id="rId329" Type="http://schemas.openxmlformats.org/officeDocument/2006/relationships/hyperlink" Target="https://www.soccerstats.com/latest.asp?league=iceland2" TargetMode="External"/><Relationship Id="rId47" Type="http://schemas.openxmlformats.org/officeDocument/2006/relationships/hyperlink" Target="https://www.soccerstats.com/latest.asp?league=austria" TargetMode="External"/><Relationship Id="rId68" Type="http://schemas.openxmlformats.org/officeDocument/2006/relationships/hyperlink" Target="https://www.soccerstats.com/latest.asp?league=brazil" TargetMode="External"/><Relationship Id="rId89" Type="http://schemas.openxmlformats.org/officeDocument/2006/relationships/hyperlink" Target="https://www.soccerstats.com/latest.asp?league=chile" TargetMode="External"/><Relationship Id="rId112" Type="http://schemas.openxmlformats.org/officeDocument/2006/relationships/hyperlink" Target="https://www.soccerstats.com/latest.asp?league=ecuador" TargetMode="External"/><Relationship Id="rId133" Type="http://schemas.openxmlformats.org/officeDocument/2006/relationships/hyperlink" Target="https://www.soccerstats.com/latest.asp?league=finland6" TargetMode="External"/><Relationship Id="rId154" Type="http://schemas.openxmlformats.org/officeDocument/2006/relationships/hyperlink" Target="https://www.soccerstats.com/latest.asp?league=hungary" TargetMode="External"/><Relationship Id="rId175" Type="http://schemas.openxmlformats.org/officeDocument/2006/relationships/hyperlink" Target="https://www.soccerstats.com/latest.asp?league=mexico" TargetMode="External"/><Relationship Id="rId340" Type="http://schemas.openxmlformats.org/officeDocument/2006/relationships/hyperlink" Target="https://www.soccerstats.com/latest.asp?league=sweden" TargetMode="External"/><Relationship Id="rId196" Type="http://schemas.openxmlformats.org/officeDocument/2006/relationships/hyperlink" Target="https://www.soccerstats.com/latest.asp?league=norway4" TargetMode="External"/><Relationship Id="rId200" Type="http://schemas.openxmlformats.org/officeDocument/2006/relationships/hyperlink" Target="https://www.soccerstats.com/latest.asp?league=paraguay2" TargetMode="External"/><Relationship Id="rId16" Type="http://schemas.openxmlformats.org/officeDocument/2006/relationships/hyperlink" Target="https://www.soccerstats.com/latest.asp?league=spain2" TargetMode="External"/><Relationship Id="rId221" Type="http://schemas.openxmlformats.org/officeDocument/2006/relationships/hyperlink" Target="https://www.soccerstats.com/latest.asp?league=russia" TargetMode="External"/><Relationship Id="rId242" Type="http://schemas.openxmlformats.org/officeDocument/2006/relationships/hyperlink" Target="https://www.soccerstats.com/latest.asp?league=sweden" TargetMode="External"/><Relationship Id="rId263" Type="http://schemas.openxmlformats.org/officeDocument/2006/relationships/hyperlink" Target="https://www.soccerstats.com/latest.asp?league=uruguay3" TargetMode="External"/><Relationship Id="rId284" Type="http://schemas.openxmlformats.org/officeDocument/2006/relationships/hyperlink" Target="https://www.soccerstats.com/latest.asp?league=usa6" TargetMode="External"/><Relationship Id="rId319" Type="http://schemas.openxmlformats.org/officeDocument/2006/relationships/hyperlink" Target="https://www.soccerstats.com/latest.asp?league=finland" TargetMode="External"/><Relationship Id="rId37" Type="http://schemas.openxmlformats.org/officeDocument/2006/relationships/hyperlink" Target="https://www.soccerstats.com/latest.asp?league=australia7" TargetMode="External"/><Relationship Id="rId58" Type="http://schemas.openxmlformats.org/officeDocument/2006/relationships/hyperlink" Target="https://www.soccerstats.com/latest.asp?league=belgium" TargetMode="External"/><Relationship Id="rId79" Type="http://schemas.openxmlformats.org/officeDocument/2006/relationships/hyperlink" Target="https://www.soccerstats.com/latest.asp?league=bulgaria" TargetMode="External"/><Relationship Id="rId102" Type="http://schemas.openxmlformats.org/officeDocument/2006/relationships/hyperlink" Target="https://www.soccerstats.com/latest.asp?league=costarica" TargetMode="External"/><Relationship Id="rId123" Type="http://schemas.openxmlformats.org/officeDocument/2006/relationships/hyperlink" Target="https://www.soccerstats.com/latest.asp?league=faroeislands" TargetMode="External"/><Relationship Id="rId144" Type="http://schemas.openxmlformats.org/officeDocument/2006/relationships/hyperlink" Target="https://www.soccerstats.com/latest.asp?league=germany5" TargetMode="External"/><Relationship Id="rId330" Type="http://schemas.openxmlformats.org/officeDocument/2006/relationships/hyperlink" Target="https://www.soccerstats.com/latest.asp?league=lithuania" TargetMode="External"/><Relationship Id="rId90" Type="http://schemas.openxmlformats.org/officeDocument/2006/relationships/hyperlink" Target="https://www.soccerstats.com/latest.asp?league=chile" TargetMode="External"/><Relationship Id="rId165" Type="http://schemas.openxmlformats.org/officeDocument/2006/relationships/hyperlink" Target="https://www.soccerstats.com/latest.asp?league=japan3" TargetMode="External"/><Relationship Id="rId186" Type="http://schemas.openxmlformats.org/officeDocument/2006/relationships/hyperlink" Target="https://www.soccerstats.com/latest.asp?league=norway2" TargetMode="External"/><Relationship Id="rId211" Type="http://schemas.openxmlformats.org/officeDocument/2006/relationships/hyperlink" Target="https://www.soccerstats.com/latest.asp?league=poland3" TargetMode="External"/><Relationship Id="rId232" Type="http://schemas.openxmlformats.org/officeDocument/2006/relationships/hyperlink" Target="https://www.soccerstats.com/latest.asp?league=southafrica" TargetMode="External"/><Relationship Id="rId253" Type="http://schemas.openxmlformats.org/officeDocument/2006/relationships/hyperlink" Target="https://www.soccerstats.com/latest.asp?league=turkey" TargetMode="External"/><Relationship Id="rId274" Type="http://schemas.openxmlformats.org/officeDocument/2006/relationships/hyperlink" Target="https://www.soccerstats.com/latest.asp?league=usa2" TargetMode="External"/><Relationship Id="rId295" Type="http://schemas.openxmlformats.org/officeDocument/2006/relationships/hyperlink" Target="https://www.soccerstats.com/latest.asp?league=argentina2" TargetMode="External"/><Relationship Id="rId309" Type="http://schemas.openxmlformats.org/officeDocument/2006/relationships/hyperlink" Target="https://www.soccerstats.com/latest.asp?league=chile2" TargetMode="External"/><Relationship Id="rId27" Type="http://schemas.openxmlformats.org/officeDocument/2006/relationships/hyperlink" Target="https://www.soccerstats.com/latest.asp?league=argentina3" TargetMode="External"/><Relationship Id="rId48" Type="http://schemas.openxmlformats.org/officeDocument/2006/relationships/hyperlink" Target="https://www.soccerstats.com/latest.asp?league=austria" TargetMode="External"/><Relationship Id="rId69" Type="http://schemas.openxmlformats.org/officeDocument/2006/relationships/hyperlink" Target="https://www.soccerstats.com/latest.asp?league=brazil2" TargetMode="External"/><Relationship Id="rId113" Type="http://schemas.openxmlformats.org/officeDocument/2006/relationships/hyperlink" Target="https://www.soccerstats.com/latest.asp?league=ecuador" TargetMode="External"/><Relationship Id="rId134" Type="http://schemas.openxmlformats.org/officeDocument/2006/relationships/hyperlink" Target="https://www.soccerstats.com/latest.asp?league=georgia" TargetMode="External"/><Relationship Id="rId320" Type="http://schemas.openxmlformats.org/officeDocument/2006/relationships/hyperlink" Target="https://www.soccerstats.com/latest.asp?league=georgia" TargetMode="External"/><Relationship Id="rId80" Type="http://schemas.openxmlformats.org/officeDocument/2006/relationships/hyperlink" Target="https://www.soccerstats.com/latest.asp?league=bulgaria" TargetMode="External"/><Relationship Id="rId155" Type="http://schemas.openxmlformats.org/officeDocument/2006/relationships/hyperlink" Target="https://www.soccerstats.com/latest.asp?league=hungary2" TargetMode="External"/><Relationship Id="rId176" Type="http://schemas.openxmlformats.org/officeDocument/2006/relationships/hyperlink" Target="https://www.soccerstats.com/latest.asp?league=moldova" TargetMode="External"/><Relationship Id="rId197" Type="http://schemas.openxmlformats.org/officeDocument/2006/relationships/hyperlink" Target="https://www.soccerstats.com/latest.asp?league=norway4" TargetMode="External"/><Relationship Id="rId341" Type="http://schemas.openxmlformats.org/officeDocument/2006/relationships/hyperlink" Target="https://www.soccerstats.com/latest.asp?league=turkey" TargetMode="External"/><Relationship Id="rId201" Type="http://schemas.openxmlformats.org/officeDocument/2006/relationships/hyperlink" Target="https://www.soccerstats.com/latest.asp?league=paraguay2" TargetMode="External"/><Relationship Id="rId222" Type="http://schemas.openxmlformats.org/officeDocument/2006/relationships/hyperlink" Target="https://www.soccerstats.com/latest.asp?league=russia" TargetMode="External"/><Relationship Id="rId243" Type="http://schemas.openxmlformats.org/officeDocument/2006/relationships/hyperlink" Target="https://www.soccerstats.com/latest.asp?league=sweden" TargetMode="External"/><Relationship Id="rId264" Type="http://schemas.openxmlformats.org/officeDocument/2006/relationships/hyperlink" Target="https://www.soccerstats.com/latest.asp?league=uruguay3" TargetMode="External"/><Relationship Id="rId285" Type="http://schemas.openxmlformats.org/officeDocument/2006/relationships/hyperlink" Target="https://www.soccerstats.com/latest.asp?league=usa6" TargetMode="External"/><Relationship Id="rId17" Type="http://schemas.openxmlformats.org/officeDocument/2006/relationships/hyperlink" Target="https://www.soccerstats.com/latest.asp?league=spain2" TargetMode="External"/><Relationship Id="rId38" Type="http://schemas.openxmlformats.org/officeDocument/2006/relationships/hyperlink" Target="https://www.soccerstats.com/latest.asp?league=australia7" TargetMode="External"/><Relationship Id="rId59" Type="http://schemas.openxmlformats.org/officeDocument/2006/relationships/hyperlink" Target="https://www.soccerstats.com/latest.asp?league=belgium2" TargetMode="External"/><Relationship Id="rId103" Type="http://schemas.openxmlformats.org/officeDocument/2006/relationships/hyperlink" Target="https://www.soccerstats.com/latest.asp?league=costarica" TargetMode="External"/><Relationship Id="rId124" Type="http://schemas.openxmlformats.org/officeDocument/2006/relationships/hyperlink" Target="https://www.soccerstats.com/latest.asp?league=finland" TargetMode="External"/><Relationship Id="rId310" Type="http://schemas.openxmlformats.org/officeDocument/2006/relationships/hyperlink" Target="https://www.soccerstats.com/latest.asp?league=chile2" TargetMode="External"/><Relationship Id="rId70" Type="http://schemas.openxmlformats.org/officeDocument/2006/relationships/hyperlink" Target="https://www.soccerstats.com/latest.asp?league=brazil2" TargetMode="External"/><Relationship Id="rId91" Type="http://schemas.openxmlformats.org/officeDocument/2006/relationships/hyperlink" Target="https://www.soccerstats.com/latest.asp?league=chile" TargetMode="External"/><Relationship Id="rId145" Type="http://schemas.openxmlformats.org/officeDocument/2006/relationships/hyperlink" Target="https://www.soccerstats.com/latest.asp?league=germany5" TargetMode="External"/><Relationship Id="rId166" Type="http://schemas.openxmlformats.org/officeDocument/2006/relationships/hyperlink" Target="https://www.soccerstats.com/latest.asp?league=kazakhstan" TargetMode="External"/><Relationship Id="rId187" Type="http://schemas.openxmlformats.org/officeDocument/2006/relationships/hyperlink" Target="https://www.soccerstats.com/latest.asp?league=norway2" TargetMode="External"/><Relationship Id="rId331" Type="http://schemas.openxmlformats.org/officeDocument/2006/relationships/hyperlink" Target="https://www.soccerstats.com/latest.asp?league=lithuania" TargetMode="External"/><Relationship Id="rId1" Type="http://schemas.openxmlformats.org/officeDocument/2006/relationships/hyperlink" Target="https://www.soccerstats.com/latest.asp?league=spain" TargetMode="External"/><Relationship Id="rId212" Type="http://schemas.openxmlformats.org/officeDocument/2006/relationships/hyperlink" Target="https://www.soccerstats.com/latest.asp?league=poland3" TargetMode="External"/><Relationship Id="rId233" Type="http://schemas.openxmlformats.org/officeDocument/2006/relationships/hyperlink" Target="https://www.soccerstats.com/latest.asp?league=southkorea" TargetMode="External"/><Relationship Id="rId254" Type="http://schemas.openxmlformats.org/officeDocument/2006/relationships/hyperlink" Target="https://www.soccerstats.com/latest.asp?league=turkey" TargetMode="External"/><Relationship Id="rId28" Type="http://schemas.openxmlformats.org/officeDocument/2006/relationships/hyperlink" Target="https://www.soccerstats.com/latest.asp?league=argentina3" TargetMode="External"/><Relationship Id="rId49" Type="http://schemas.openxmlformats.org/officeDocument/2006/relationships/hyperlink" Target="https://www.soccerstats.com/latest.asp?league=austria2" TargetMode="External"/><Relationship Id="rId114" Type="http://schemas.openxmlformats.org/officeDocument/2006/relationships/hyperlink" Target="https://www.soccerstats.com/latest.asp?league=ecuador" TargetMode="External"/><Relationship Id="rId275" Type="http://schemas.openxmlformats.org/officeDocument/2006/relationships/hyperlink" Target="https://www.soccerstats.com/latest.asp?league=usa2" TargetMode="External"/><Relationship Id="rId296" Type="http://schemas.openxmlformats.org/officeDocument/2006/relationships/hyperlink" Target="https://www.soccerstats.com/latest.asp?league=argentina2" TargetMode="External"/><Relationship Id="rId300" Type="http://schemas.openxmlformats.org/officeDocument/2006/relationships/hyperlink" Target="https://www.soccerstats.com/latest.asp?league=azerbaijan" TargetMode="External"/><Relationship Id="rId60" Type="http://schemas.openxmlformats.org/officeDocument/2006/relationships/hyperlink" Target="https://www.soccerstats.com/latest.asp?league=bosnia" TargetMode="External"/><Relationship Id="rId81" Type="http://schemas.openxmlformats.org/officeDocument/2006/relationships/hyperlink" Target="https://www.soccerstats.com/latest.asp?league=bulgaria2" TargetMode="External"/><Relationship Id="rId135" Type="http://schemas.openxmlformats.org/officeDocument/2006/relationships/hyperlink" Target="https://www.soccerstats.com/latest.asp?league=georgia" TargetMode="External"/><Relationship Id="rId156" Type="http://schemas.openxmlformats.org/officeDocument/2006/relationships/hyperlink" Target="https://www.soccerstats.com/latest.asp?league=hungary2" TargetMode="External"/><Relationship Id="rId177" Type="http://schemas.openxmlformats.org/officeDocument/2006/relationships/hyperlink" Target="https://www.soccerstats.com/latest.asp?league=moldova" TargetMode="External"/><Relationship Id="rId198" Type="http://schemas.openxmlformats.org/officeDocument/2006/relationships/hyperlink" Target="https://www.soccerstats.com/latest.asp?league=norway4" TargetMode="External"/><Relationship Id="rId321" Type="http://schemas.openxmlformats.org/officeDocument/2006/relationships/hyperlink" Target="https://www.soccerstats.com/latest.asp?league=hungary" TargetMode="External"/><Relationship Id="rId342" Type="http://schemas.openxmlformats.org/officeDocument/2006/relationships/hyperlink" Target="https://www.soccerstats.com/latest.asp?league=turkey2" TargetMode="External"/><Relationship Id="rId202" Type="http://schemas.openxmlformats.org/officeDocument/2006/relationships/hyperlink" Target="https://www.soccerstats.com/latest.asp?league=paraguay2" TargetMode="External"/><Relationship Id="rId223" Type="http://schemas.openxmlformats.org/officeDocument/2006/relationships/hyperlink" Target="https://www.soccerstats.com/latest.asp?league=serbia" TargetMode="External"/><Relationship Id="rId244" Type="http://schemas.openxmlformats.org/officeDocument/2006/relationships/hyperlink" Target="https://www.soccerstats.com/latest.asp?league=sweden" TargetMode="External"/><Relationship Id="rId18" Type="http://schemas.openxmlformats.org/officeDocument/2006/relationships/hyperlink" Target="https://www.soccerstats.com/latest.asp?league=germany2" TargetMode="External"/><Relationship Id="rId39" Type="http://schemas.openxmlformats.org/officeDocument/2006/relationships/hyperlink" Target="https://www.soccerstats.com/latest.asp?league=australia7" TargetMode="External"/><Relationship Id="rId265" Type="http://schemas.openxmlformats.org/officeDocument/2006/relationships/hyperlink" Target="https://www.soccerstats.com/latest.asp?league=uruguay3" TargetMode="External"/><Relationship Id="rId286" Type="http://schemas.openxmlformats.org/officeDocument/2006/relationships/hyperlink" Target="https://www.soccerstats.com/latest.asp?league=usa7" TargetMode="External"/><Relationship Id="rId50" Type="http://schemas.openxmlformats.org/officeDocument/2006/relationships/hyperlink" Target="https://www.soccerstats.com/latest.asp?league=azerbaijan" TargetMode="External"/><Relationship Id="rId104" Type="http://schemas.openxmlformats.org/officeDocument/2006/relationships/hyperlink" Target="https://www.soccerstats.com/latest.asp?league=croatia" TargetMode="External"/><Relationship Id="rId125" Type="http://schemas.openxmlformats.org/officeDocument/2006/relationships/hyperlink" Target="https://www.soccerstats.com/latest.asp?league=finland" TargetMode="External"/><Relationship Id="rId146" Type="http://schemas.openxmlformats.org/officeDocument/2006/relationships/hyperlink" Target="https://www.soccerstats.com/latest.asp?league=germany6" TargetMode="External"/><Relationship Id="rId167" Type="http://schemas.openxmlformats.org/officeDocument/2006/relationships/hyperlink" Target="https://www.soccerstats.com/latest.asp?league=kazakhstan" TargetMode="External"/><Relationship Id="rId188" Type="http://schemas.openxmlformats.org/officeDocument/2006/relationships/hyperlink" Target="https://www.soccerstats.com/latest.asp?league=norway2" TargetMode="External"/><Relationship Id="rId311" Type="http://schemas.openxmlformats.org/officeDocument/2006/relationships/hyperlink" Target="https://www.soccerstats.com/latest.asp?league=colombia2" TargetMode="External"/><Relationship Id="rId332" Type="http://schemas.openxmlformats.org/officeDocument/2006/relationships/hyperlink" Target="https://www.soccerstats.com/latest.asp?league=mexico" TargetMode="External"/><Relationship Id="rId71" Type="http://schemas.openxmlformats.org/officeDocument/2006/relationships/hyperlink" Target="https://www.soccerstats.com/latest.asp?league=brazil2" TargetMode="External"/><Relationship Id="rId92" Type="http://schemas.openxmlformats.org/officeDocument/2006/relationships/hyperlink" Target="https://www.soccerstats.com/latest.asp?league=chile2" TargetMode="External"/><Relationship Id="rId213" Type="http://schemas.openxmlformats.org/officeDocument/2006/relationships/hyperlink" Target="https://www.soccerstats.com/latest.asp?league=poland3" TargetMode="External"/><Relationship Id="rId234" Type="http://schemas.openxmlformats.org/officeDocument/2006/relationships/hyperlink" Target="https://www.soccerstats.com/latest.asp?league=southkorea" TargetMode="External"/><Relationship Id="rId2" Type="http://schemas.openxmlformats.org/officeDocument/2006/relationships/hyperlink" Target="https://www.soccerstats.com/latest.asp?league=spain" TargetMode="External"/><Relationship Id="rId29" Type="http://schemas.openxmlformats.org/officeDocument/2006/relationships/hyperlink" Target="https://www.soccerstats.com/latest.asp?league=argentina3" TargetMode="External"/><Relationship Id="rId255" Type="http://schemas.openxmlformats.org/officeDocument/2006/relationships/hyperlink" Target="https://www.soccerstats.com/latest.asp?league=turkey" TargetMode="External"/><Relationship Id="rId276" Type="http://schemas.openxmlformats.org/officeDocument/2006/relationships/hyperlink" Target="https://www.soccerstats.com/latest.asp?league=usa2" TargetMode="External"/><Relationship Id="rId297" Type="http://schemas.openxmlformats.org/officeDocument/2006/relationships/hyperlink" Target="https://www.soccerstats.com/latest.asp?league=argentina2" TargetMode="External"/><Relationship Id="rId40" Type="http://schemas.openxmlformats.org/officeDocument/2006/relationships/hyperlink" Target="https://www.soccerstats.com/latest.asp?league=australia7" TargetMode="External"/><Relationship Id="rId115" Type="http://schemas.openxmlformats.org/officeDocument/2006/relationships/hyperlink" Target="https://www.soccerstats.com/latest.asp?league=estonia" TargetMode="External"/><Relationship Id="rId136" Type="http://schemas.openxmlformats.org/officeDocument/2006/relationships/hyperlink" Target="https://www.soccerstats.com/latest.asp?league=germany3" TargetMode="External"/><Relationship Id="rId157" Type="http://schemas.openxmlformats.org/officeDocument/2006/relationships/hyperlink" Target="https://www.soccerstats.com/latest.asp?league=iceland" TargetMode="External"/><Relationship Id="rId178" Type="http://schemas.openxmlformats.org/officeDocument/2006/relationships/hyperlink" Target="https://www.soccerstats.com/latest.asp?league=montenegro" TargetMode="External"/><Relationship Id="rId301" Type="http://schemas.openxmlformats.org/officeDocument/2006/relationships/hyperlink" Target="https://www.soccerstats.com/latest.asp?league=belgium2" TargetMode="External"/><Relationship Id="rId322" Type="http://schemas.openxmlformats.org/officeDocument/2006/relationships/hyperlink" Target="https://www.soccerstats.com/latest.asp?league=iceland" TargetMode="External"/><Relationship Id="rId343" Type="http://schemas.openxmlformats.org/officeDocument/2006/relationships/hyperlink" Target="https://www.soccerstats.com/latest.asp?league=ukraine" TargetMode="External"/><Relationship Id="rId61" Type="http://schemas.openxmlformats.org/officeDocument/2006/relationships/hyperlink" Target="https://www.soccerstats.com/latest.asp?league=bosnia" TargetMode="External"/><Relationship Id="rId82" Type="http://schemas.openxmlformats.org/officeDocument/2006/relationships/hyperlink" Target="https://www.soccerstats.com/latest.asp?league=bulgaria2" TargetMode="External"/><Relationship Id="rId199" Type="http://schemas.openxmlformats.org/officeDocument/2006/relationships/hyperlink" Target="https://www.soccerstats.com/latest.asp?league=norway4" TargetMode="External"/><Relationship Id="rId203" Type="http://schemas.openxmlformats.org/officeDocument/2006/relationships/hyperlink" Target="https://www.soccerstats.com/latest.asp?league=poland" TargetMode="External"/><Relationship Id="rId19" Type="http://schemas.openxmlformats.org/officeDocument/2006/relationships/hyperlink" Target="https://www.soccerstats.com/latest.asp?league=germany2" TargetMode="External"/><Relationship Id="rId224" Type="http://schemas.openxmlformats.org/officeDocument/2006/relationships/hyperlink" Target="https://www.soccerstats.com/latest.asp?league=serbia" TargetMode="External"/><Relationship Id="rId245" Type="http://schemas.openxmlformats.org/officeDocument/2006/relationships/hyperlink" Target="https://www.soccerstats.com/latest.asp?league=sweden2" TargetMode="External"/><Relationship Id="rId266" Type="http://schemas.openxmlformats.org/officeDocument/2006/relationships/hyperlink" Target="https://www.soccerstats.com/latest.asp?league=usa" TargetMode="External"/><Relationship Id="rId287" Type="http://schemas.openxmlformats.org/officeDocument/2006/relationships/hyperlink" Target="https://www.soccerstats.com/latest.asp?league=spain" TargetMode="External"/><Relationship Id="rId30" Type="http://schemas.openxmlformats.org/officeDocument/2006/relationships/hyperlink" Target="https://www.soccerstats.com/latest.asp?league=argentina3" TargetMode="External"/><Relationship Id="rId105" Type="http://schemas.openxmlformats.org/officeDocument/2006/relationships/hyperlink" Target="https://www.soccerstats.com/latest.asp?league=croatia" TargetMode="External"/><Relationship Id="rId126" Type="http://schemas.openxmlformats.org/officeDocument/2006/relationships/hyperlink" Target="https://www.soccerstats.com/latest.asp?league=finland" TargetMode="External"/><Relationship Id="rId147" Type="http://schemas.openxmlformats.org/officeDocument/2006/relationships/hyperlink" Target="https://www.soccerstats.com/latest.asp?league=germany7" TargetMode="External"/><Relationship Id="rId168" Type="http://schemas.openxmlformats.org/officeDocument/2006/relationships/hyperlink" Target="https://www.soccerstats.com/latest.asp?league=kazakhstan" TargetMode="External"/><Relationship Id="rId312" Type="http://schemas.openxmlformats.org/officeDocument/2006/relationships/hyperlink" Target="https://www.soccerstats.com/latest.asp?league=colombia2" TargetMode="External"/><Relationship Id="rId333" Type="http://schemas.openxmlformats.org/officeDocument/2006/relationships/hyperlink" Target="https://www.soccerstats.com/latest.asp?league=mexico" TargetMode="External"/><Relationship Id="rId51" Type="http://schemas.openxmlformats.org/officeDocument/2006/relationships/hyperlink" Target="https://www.soccerstats.com/latest.asp?league=azerbaijan" TargetMode="External"/><Relationship Id="rId72" Type="http://schemas.openxmlformats.org/officeDocument/2006/relationships/hyperlink" Target="https://www.soccerstats.com/latest.asp?league=brazil3" TargetMode="External"/><Relationship Id="rId93" Type="http://schemas.openxmlformats.org/officeDocument/2006/relationships/hyperlink" Target="https://www.soccerstats.com/latest.asp?league=chile2" TargetMode="External"/><Relationship Id="rId189" Type="http://schemas.openxmlformats.org/officeDocument/2006/relationships/hyperlink" Target="https://www.soccerstats.com/latest.asp?league=norway2" TargetMode="External"/><Relationship Id="rId3" Type="http://schemas.openxmlformats.org/officeDocument/2006/relationships/hyperlink" Target="https://www.soccerstats.com/latest.asp?league=spain" TargetMode="External"/><Relationship Id="rId214" Type="http://schemas.openxmlformats.org/officeDocument/2006/relationships/hyperlink" Target="https://www.soccerstats.com/latest.asp?league=portugal2" TargetMode="External"/><Relationship Id="rId235" Type="http://schemas.openxmlformats.org/officeDocument/2006/relationships/hyperlink" Target="https://www.soccerstats.com/latest.asp?league=southkorea" TargetMode="External"/><Relationship Id="rId256" Type="http://schemas.openxmlformats.org/officeDocument/2006/relationships/hyperlink" Target="https://www.soccerstats.com/latest.asp?league=turkey2" TargetMode="External"/><Relationship Id="rId277" Type="http://schemas.openxmlformats.org/officeDocument/2006/relationships/hyperlink" Target="https://www.soccerstats.com/latest.asp?league=usa2" TargetMode="External"/><Relationship Id="rId298" Type="http://schemas.openxmlformats.org/officeDocument/2006/relationships/hyperlink" Target="https://www.soccerstats.com/latest.asp?league=argentina3" TargetMode="External"/><Relationship Id="rId116" Type="http://schemas.openxmlformats.org/officeDocument/2006/relationships/hyperlink" Target="https://www.soccerstats.com/latest.asp?league=estonia" TargetMode="External"/><Relationship Id="rId137" Type="http://schemas.openxmlformats.org/officeDocument/2006/relationships/hyperlink" Target="https://www.soccerstats.com/latest.asp?league=germany3" TargetMode="External"/><Relationship Id="rId158" Type="http://schemas.openxmlformats.org/officeDocument/2006/relationships/hyperlink" Target="https://www.soccerstats.com/latest.asp?league=iceland" TargetMode="External"/><Relationship Id="rId302" Type="http://schemas.openxmlformats.org/officeDocument/2006/relationships/hyperlink" Target="https://www.soccerstats.com/latest.asp?league=brazil" TargetMode="External"/><Relationship Id="rId323" Type="http://schemas.openxmlformats.org/officeDocument/2006/relationships/hyperlink" Target="https://www.soccerstats.com/latest.asp?league=iceland" TargetMode="External"/><Relationship Id="rId344" Type="http://schemas.openxmlformats.org/officeDocument/2006/relationships/hyperlink" Target="https://www.soccerstats.com/latest.asp?league=usa" TargetMode="External"/><Relationship Id="rId20" Type="http://schemas.openxmlformats.org/officeDocument/2006/relationships/hyperlink" Target="https://www.soccerstats.com/latest.asp?league=germany2" TargetMode="External"/><Relationship Id="rId41" Type="http://schemas.openxmlformats.org/officeDocument/2006/relationships/hyperlink" Target="https://www.soccerstats.com/latest.asp?league=australia10" TargetMode="External"/><Relationship Id="rId62" Type="http://schemas.openxmlformats.org/officeDocument/2006/relationships/hyperlink" Target="https://www.soccerstats.com/latest.asp?league=brazil" TargetMode="External"/><Relationship Id="rId83" Type="http://schemas.openxmlformats.org/officeDocument/2006/relationships/hyperlink" Target="https://www.soccerstats.com/latest.asp?league=bulgaria2" TargetMode="External"/><Relationship Id="rId179" Type="http://schemas.openxmlformats.org/officeDocument/2006/relationships/hyperlink" Target="https://www.soccerstats.com/latest.asp?league=montenegro" TargetMode="External"/><Relationship Id="rId190" Type="http://schemas.openxmlformats.org/officeDocument/2006/relationships/hyperlink" Target="https://www.soccerstats.com/latest.asp?league=norway2" TargetMode="External"/><Relationship Id="rId204" Type="http://schemas.openxmlformats.org/officeDocument/2006/relationships/hyperlink" Target="https://www.soccerstats.com/latest.asp?league=poland" TargetMode="External"/><Relationship Id="rId225" Type="http://schemas.openxmlformats.org/officeDocument/2006/relationships/hyperlink" Target="https://www.soccerstats.com/latest.asp?league=serbia" TargetMode="External"/><Relationship Id="rId246" Type="http://schemas.openxmlformats.org/officeDocument/2006/relationships/hyperlink" Target="https://www.soccerstats.com/latest.asp?league=sweden3" TargetMode="External"/><Relationship Id="rId267" Type="http://schemas.openxmlformats.org/officeDocument/2006/relationships/hyperlink" Target="https://www.soccerstats.com/latest.asp?league=usa" TargetMode="External"/><Relationship Id="rId288" Type="http://schemas.openxmlformats.org/officeDocument/2006/relationships/hyperlink" Target="https://www.soccerstats.com/latest.asp?league=portugal" TargetMode="External"/><Relationship Id="rId106" Type="http://schemas.openxmlformats.org/officeDocument/2006/relationships/hyperlink" Target="https://www.soccerstats.com/latest.asp?league=czechrepublic2" TargetMode="External"/><Relationship Id="rId127" Type="http://schemas.openxmlformats.org/officeDocument/2006/relationships/hyperlink" Target="https://www.soccerstats.com/latest.asp?league=finland2" TargetMode="External"/><Relationship Id="rId313" Type="http://schemas.openxmlformats.org/officeDocument/2006/relationships/hyperlink" Target="https://www.soccerstats.com/latest.asp?league=czechrepublic2" TargetMode="External"/><Relationship Id="rId10" Type="http://schemas.openxmlformats.org/officeDocument/2006/relationships/hyperlink" Target="https://www.soccerstats.com/latest.asp?league=portugal" TargetMode="External"/><Relationship Id="rId31" Type="http://schemas.openxmlformats.org/officeDocument/2006/relationships/hyperlink" Target="https://www.soccerstats.com/latest.asp?league=argentina3" TargetMode="External"/><Relationship Id="rId52" Type="http://schemas.openxmlformats.org/officeDocument/2006/relationships/hyperlink" Target="https://www.soccerstats.com/latest.asp?league=belarus" TargetMode="External"/><Relationship Id="rId73" Type="http://schemas.openxmlformats.org/officeDocument/2006/relationships/hyperlink" Target="https://www.soccerstats.com/latest.asp?league=brazil3" TargetMode="External"/><Relationship Id="rId94" Type="http://schemas.openxmlformats.org/officeDocument/2006/relationships/hyperlink" Target="https://www.soccerstats.com/latest.asp?league=chile2" TargetMode="External"/><Relationship Id="rId148" Type="http://schemas.openxmlformats.org/officeDocument/2006/relationships/hyperlink" Target="https://www.soccerstats.com/latest.asp?league=germany7" TargetMode="External"/><Relationship Id="rId169" Type="http://schemas.openxmlformats.org/officeDocument/2006/relationships/hyperlink" Target="https://www.soccerstats.com/latest.asp?league=kazakhstan" TargetMode="External"/><Relationship Id="rId334" Type="http://schemas.openxmlformats.org/officeDocument/2006/relationships/hyperlink" Target="https://www.soccerstats.com/latest.asp?league=montenegro" TargetMode="External"/><Relationship Id="rId4" Type="http://schemas.openxmlformats.org/officeDocument/2006/relationships/hyperlink" Target="https://www.soccerstats.com/latest.asp?league=netherlands" TargetMode="External"/><Relationship Id="rId180" Type="http://schemas.openxmlformats.org/officeDocument/2006/relationships/hyperlink" Target="https://www.soccerstats.com/latest.asp?league=montenegro" TargetMode="External"/><Relationship Id="rId215" Type="http://schemas.openxmlformats.org/officeDocument/2006/relationships/hyperlink" Target="https://www.soccerstats.com/latest.asp?league=portugal2" TargetMode="External"/><Relationship Id="rId236" Type="http://schemas.openxmlformats.org/officeDocument/2006/relationships/hyperlink" Target="https://www.soccerstats.com/latest.asp?league=southkorea2" TargetMode="External"/><Relationship Id="rId257" Type="http://schemas.openxmlformats.org/officeDocument/2006/relationships/hyperlink" Target="https://www.soccerstats.com/latest.asp?league=turkey2" TargetMode="External"/><Relationship Id="rId278" Type="http://schemas.openxmlformats.org/officeDocument/2006/relationships/hyperlink" Target="https://www.soccerstats.com/latest.asp?league=usa2" TargetMode="External"/><Relationship Id="rId303" Type="http://schemas.openxmlformats.org/officeDocument/2006/relationships/hyperlink" Target="https://www.soccerstats.com/latest.asp?league=brazil3" TargetMode="External"/><Relationship Id="rId42" Type="http://schemas.openxmlformats.org/officeDocument/2006/relationships/hyperlink" Target="https://www.soccerstats.com/latest.asp?league=australia10" TargetMode="External"/><Relationship Id="rId84" Type="http://schemas.openxmlformats.org/officeDocument/2006/relationships/hyperlink" Target="https://www.soccerstats.com/latest.asp?league=bulgaria2" TargetMode="External"/><Relationship Id="rId138" Type="http://schemas.openxmlformats.org/officeDocument/2006/relationships/hyperlink" Target="https://www.soccerstats.com/latest.asp?league=germany3" TargetMode="External"/><Relationship Id="rId345" Type="http://schemas.openxmlformats.org/officeDocument/2006/relationships/hyperlink" Target="https://www.soccerstats.com/latest.asp?league=usa" TargetMode="External"/><Relationship Id="rId191" Type="http://schemas.openxmlformats.org/officeDocument/2006/relationships/hyperlink" Target="https://www.soccerstats.com/latest.asp?league=norway3" TargetMode="External"/><Relationship Id="rId205" Type="http://schemas.openxmlformats.org/officeDocument/2006/relationships/hyperlink" Target="https://www.soccerstats.com/latest.asp?league=poland" TargetMode="External"/><Relationship Id="rId247" Type="http://schemas.openxmlformats.org/officeDocument/2006/relationships/hyperlink" Target="https://www.soccerstats.com/latest.asp?league=sweden3" TargetMode="External"/><Relationship Id="rId107" Type="http://schemas.openxmlformats.org/officeDocument/2006/relationships/hyperlink" Target="https://www.soccerstats.com/latest.asp?league=denmark" TargetMode="External"/><Relationship Id="rId289" Type="http://schemas.openxmlformats.org/officeDocument/2006/relationships/hyperlink" Target="https://www.soccerstats.com/latest.asp?league=england2" TargetMode="External"/><Relationship Id="rId11" Type="http://schemas.openxmlformats.org/officeDocument/2006/relationships/hyperlink" Target="https://www.soccerstats.com/latest.asp?league=portugal" TargetMode="External"/><Relationship Id="rId53" Type="http://schemas.openxmlformats.org/officeDocument/2006/relationships/hyperlink" Target="https://www.soccerstats.com/latest.asp?league=belarus" TargetMode="External"/><Relationship Id="rId149" Type="http://schemas.openxmlformats.org/officeDocument/2006/relationships/hyperlink" Target="https://www.soccerstats.com/latest.asp?league=germany7" TargetMode="External"/><Relationship Id="rId314" Type="http://schemas.openxmlformats.org/officeDocument/2006/relationships/hyperlink" Target="https://www.soccerstats.com/latest.asp?league=denmark" TargetMode="External"/><Relationship Id="rId95" Type="http://schemas.openxmlformats.org/officeDocument/2006/relationships/hyperlink" Target="https://www.soccerstats.com/latest.asp?league=china2" TargetMode="External"/><Relationship Id="rId160" Type="http://schemas.openxmlformats.org/officeDocument/2006/relationships/hyperlink" Target="https://www.soccerstats.com/latest.asp?league=japan2" TargetMode="External"/><Relationship Id="rId216" Type="http://schemas.openxmlformats.org/officeDocument/2006/relationships/hyperlink" Target="https://www.soccerstats.com/latest.asp?league=portugal2" TargetMode="External"/><Relationship Id="rId258" Type="http://schemas.openxmlformats.org/officeDocument/2006/relationships/hyperlink" Target="https://www.soccerstats.com/latest.asp?league=turkey2" TargetMode="External"/><Relationship Id="rId22" Type="http://schemas.openxmlformats.org/officeDocument/2006/relationships/hyperlink" Target="https://www.soccerstats.com/latest.asp?league=argentina2" TargetMode="External"/><Relationship Id="rId64" Type="http://schemas.openxmlformats.org/officeDocument/2006/relationships/hyperlink" Target="https://www.soccerstats.com/latest.asp?league=brazil" TargetMode="External"/><Relationship Id="rId118" Type="http://schemas.openxmlformats.org/officeDocument/2006/relationships/hyperlink" Target="https://www.soccerstats.com/latest.asp?league=estonia" TargetMode="External"/><Relationship Id="rId325" Type="http://schemas.openxmlformats.org/officeDocument/2006/relationships/hyperlink" Target="https://www.soccerstats.com/latest.asp?league=iceland2" TargetMode="External"/><Relationship Id="rId171" Type="http://schemas.openxmlformats.org/officeDocument/2006/relationships/hyperlink" Target="https://www.soccerstats.com/latest.asp?league=lithuania" TargetMode="External"/><Relationship Id="rId227" Type="http://schemas.openxmlformats.org/officeDocument/2006/relationships/hyperlink" Target="https://www.soccerstats.com/latest.asp?league=slovakia" TargetMode="External"/><Relationship Id="rId269" Type="http://schemas.openxmlformats.org/officeDocument/2006/relationships/hyperlink" Target="https://www.soccerstats.com/latest.asp?league=usa" TargetMode="External"/><Relationship Id="rId33" Type="http://schemas.openxmlformats.org/officeDocument/2006/relationships/hyperlink" Target="https://www.soccerstats.com/latest.asp?league=armenia" TargetMode="External"/><Relationship Id="rId129" Type="http://schemas.openxmlformats.org/officeDocument/2006/relationships/hyperlink" Target="https://www.soccerstats.com/latest.asp?league=finland3" TargetMode="External"/><Relationship Id="rId280" Type="http://schemas.openxmlformats.org/officeDocument/2006/relationships/hyperlink" Target="https://www.soccerstats.com/latest.asp?league=usa2" TargetMode="External"/><Relationship Id="rId336" Type="http://schemas.openxmlformats.org/officeDocument/2006/relationships/hyperlink" Target="https://www.soccerstats.com/latest.asp?league=portugal2" TargetMode="External"/><Relationship Id="rId75" Type="http://schemas.openxmlformats.org/officeDocument/2006/relationships/hyperlink" Target="https://www.soccerstats.com/latest.asp?league=brazil3" TargetMode="External"/><Relationship Id="rId140" Type="http://schemas.openxmlformats.org/officeDocument/2006/relationships/hyperlink" Target="https://www.soccerstats.com/latest.asp?league=germany4" TargetMode="External"/><Relationship Id="rId182" Type="http://schemas.openxmlformats.org/officeDocument/2006/relationships/hyperlink" Target="https://www.soccerstats.com/latest.asp?league=norway" TargetMode="External"/><Relationship Id="rId6" Type="http://schemas.openxmlformats.org/officeDocument/2006/relationships/hyperlink" Target="https://www.soccerstats.com/latest.asp?league=netherlands" TargetMode="External"/><Relationship Id="rId238" Type="http://schemas.openxmlformats.org/officeDocument/2006/relationships/hyperlink" Target="https://www.soccerstats.com/latest.asp?league=southkorea2" TargetMode="External"/><Relationship Id="rId291" Type="http://schemas.openxmlformats.org/officeDocument/2006/relationships/hyperlink" Target="https://www.soccerstats.com/latest.asp?league=spain2" TargetMode="External"/><Relationship Id="rId305" Type="http://schemas.openxmlformats.org/officeDocument/2006/relationships/hyperlink" Target="https://www.soccerstats.com/latest.asp?league=bulgaria" TargetMode="External"/><Relationship Id="rId347" Type="http://schemas.openxmlformats.org/officeDocument/2006/relationships/printerSettings" Target="../printerSettings/printerSettings1.bin"/><Relationship Id="rId44" Type="http://schemas.openxmlformats.org/officeDocument/2006/relationships/hyperlink" Target="https://www.soccerstats.com/latest.asp?league=australia11" TargetMode="External"/><Relationship Id="rId86" Type="http://schemas.openxmlformats.org/officeDocument/2006/relationships/hyperlink" Target="https://www.soccerstats.com/latest.asp?league=canada" TargetMode="External"/><Relationship Id="rId151" Type="http://schemas.openxmlformats.org/officeDocument/2006/relationships/hyperlink" Target="https://www.soccerstats.com/latest.asp?league=guatemala" TargetMode="External"/><Relationship Id="rId193" Type="http://schemas.openxmlformats.org/officeDocument/2006/relationships/hyperlink" Target="https://www.soccerstats.com/latest.asp?league=norway3" TargetMode="External"/><Relationship Id="rId207" Type="http://schemas.openxmlformats.org/officeDocument/2006/relationships/hyperlink" Target="https://www.soccerstats.com/latest.asp?league=poland2" TargetMode="External"/><Relationship Id="rId249" Type="http://schemas.openxmlformats.org/officeDocument/2006/relationships/hyperlink" Target="https://www.soccerstats.com/latest.asp?league=sweden4" TargetMode="External"/><Relationship Id="rId13" Type="http://schemas.openxmlformats.org/officeDocument/2006/relationships/hyperlink" Target="https://www.soccerstats.com/latest.asp?league=england2" TargetMode="External"/><Relationship Id="rId109" Type="http://schemas.openxmlformats.org/officeDocument/2006/relationships/hyperlink" Target="https://www.soccerstats.com/latest.asp?league=denmark" TargetMode="External"/><Relationship Id="rId260" Type="http://schemas.openxmlformats.org/officeDocument/2006/relationships/hyperlink" Target="https://www.soccerstats.com/latest.asp?league=ukraine" TargetMode="External"/><Relationship Id="rId316" Type="http://schemas.openxmlformats.org/officeDocument/2006/relationships/hyperlink" Target="https://www.soccerstats.com/latest.asp?league=england7" TargetMode="External"/><Relationship Id="rId55" Type="http://schemas.openxmlformats.org/officeDocument/2006/relationships/hyperlink" Target="https://www.soccerstats.com/latest.asp?league=belgium" TargetMode="External"/><Relationship Id="rId97" Type="http://schemas.openxmlformats.org/officeDocument/2006/relationships/hyperlink" Target="https://www.soccerstats.com/latest.asp?league=china2" TargetMode="External"/><Relationship Id="rId120" Type="http://schemas.openxmlformats.org/officeDocument/2006/relationships/hyperlink" Target="https://www.soccerstats.com/latest.asp?league=faroeislands" TargetMode="External"/><Relationship Id="rId162" Type="http://schemas.openxmlformats.org/officeDocument/2006/relationships/hyperlink" Target="https://www.soccerstats.com/latest.asp?league=japan3" TargetMode="External"/><Relationship Id="rId218" Type="http://schemas.openxmlformats.org/officeDocument/2006/relationships/hyperlink" Target="https://www.soccerstats.com/latest.asp?league=romania" TargetMode="External"/><Relationship Id="rId271" Type="http://schemas.openxmlformats.org/officeDocument/2006/relationships/hyperlink" Target="https://www.soccerstats.com/latest.asp?league=usa" TargetMode="External"/><Relationship Id="rId24" Type="http://schemas.openxmlformats.org/officeDocument/2006/relationships/hyperlink" Target="https://www.soccerstats.com/latest.asp?league=argentina2" TargetMode="External"/><Relationship Id="rId66" Type="http://schemas.openxmlformats.org/officeDocument/2006/relationships/hyperlink" Target="https://www.soccerstats.com/latest.asp?league=brazil" TargetMode="External"/><Relationship Id="rId131" Type="http://schemas.openxmlformats.org/officeDocument/2006/relationships/hyperlink" Target="https://www.soccerstats.com/latest.asp?league=finland4" TargetMode="External"/><Relationship Id="rId327" Type="http://schemas.openxmlformats.org/officeDocument/2006/relationships/hyperlink" Target="https://www.soccerstats.com/latest.asp?league=iceland2" TargetMode="External"/><Relationship Id="rId173" Type="http://schemas.openxmlformats.org/officeDocument/2006/relationships/hyperlink" Target="https://www.soccerstats.com/latest.asp?league=mexico" TargetMode="External"/><Relationship Id="rId229" Type="http://schemas.openxmlformats.org/officeDocument/2006/relationships/hyperlink" Target="https://www.soccerstats.com/latest.asp?league=slovenia" TargetMode="External"/><Relationship Id="rId240" Type="http://schemas.openxmlformats.org/officeDocument/2006/relationships/hyperlink" Target="https://www.soccerstats.com/latest.asp?league=swede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occerstats.com/latest.asp?league=brazil" TargetMode="External"/><Relationship Id="rId18" Type="http://schemas.openxmlformats.org/officeDocument/2006/relationships/hyperlink" Target="https://www.soccerstats.com/latest.asp?league=brazil2" TargetMode="External"/><Relationship Id="rId26" Type="http://schemas.openxmlformats.org/officeDocument/2006/relationships/hyperlink" Target="https://www.soccerstats.com/latest.asp?league=china2" TargetMode="External"/><Relationship Id="rId39" Type="http://schemas.openxmlformats.org/officeDocument/2006/relationships/hyperlink" Target="https://www.soccerstats.com/latest.asp?league=norway" TargetMode="External"/><Relationship Id="rId21" Type="http://schemas.openxmlformats.org/officeDocument/2006/relationships/hyperlink" Target="https://www.soccerstats.com/latest.asp?league=china" TargetMode="External"/><Relationship Id="rId34" Type="http://schemas.openxmlformats.org/officeDocument/2006/relationships/hyperlink" Target="https://www.soccerstats.com/latest.asp?league=finland6" TargetMode="External"/><Relationship Id="rId42" Type="http://schemas.openxmlformats.org/officeDocument/2006/relationships/hyperlink" Target="https://www.soccerstats.com/latest.asp?league=sweden" TargetMode="External"/><Relationship Id="rId47" Type="http://schemas.openxmlformats.org/officeDocument/2006/relationships/hyperlink" Target="https://www.soccerstats.com/latest.asp?league=usa" TargetMode="External"/><Relationship Id="rId7" Type="http://schemas.openxmlformats.org/officeDocument/2006/relationships/hyperlink" Target="https://www.soccerstats.com/latest.asp?league=australia3" TargetMode="External"/><Relationship Id="rId2" Type="http://schemas.openxmlformats.org/officeDocument/2006/relationships/hyperlink" Target="https://www.soccerstats.com/latest.asp?league=argentina3" TargetMode="External"/><Relationship Id="rId16" Type="http://schemas.openxmlformats.org/officeDocument/2006/relationships/hyperlink" Target="https://www.soccerstats.com/latest.asp?league=brazil2" TargetMode="External"/><Relationship Id="rId29" Type="http://schemas.openxmlformats.org/officeDocument/2006/relationships/hyperlink" Target="https://www.soccerstats.com/latest.asp?league=ecuador" TargetMode="External"/><Relationship Id="rId1" Type="http://schemas.openxmlformats.org/officeDocument/2006/relationships/hyperlink" Target="https://www.soccerstats.com/latest.asp?league=argentina3" TargetMode="External"/><Relationship Id="rId6" Type="http://schemas.openxmlformats.org/officeDocument/2006/relationships/hyperlink" Target="https://www.soccerstats.com/latest.asp?league=australia3" TargetMode="External"/><Relationship Id="rId11" Type="http://schemas.openxmlformats.org/officeDocument/2006/relationships/hyperlink" Target="https://www.soccerstats.com/latest.asp?league=australia6" TargetMode="External"/><Relationship Id="rId24" Type="http://schemas.openxmlformats.org/officeDocument/2006/relationships/hyperlink" Target="https://www.soccerstats.com/latest.asp?league=china" TargetMode="External"/><Relationship Id="rId32" Type="http://schemas.openxmlformats.org/officeDocument/2006/relationships/hyperlink" Target="https://www.soccerstats.com/latest.asp?league=finland2" TargetMode="External"/><Relationship Id="rId37" Type="http://schemas.openxmlformats.org/officeDocument/2006/relationships/hyperlink" Target="https://www.soccerstats.com/latest.asp?league=iceland3" TargetMode="External"/><Relationship Id="rId40" Type="http://schemas.openxmlformats.org/officeDocument/2006/relationships/hyperlink" Target="https://www.soccerstats.com/latest.asp?league=southkorea4" TargetMode="External"/><Relationship Id="rId45" Type="http://schemas.openxmlformats.org/officeDocument/2006/relationships/hyperlink" Target="https://www.soccerstats.com/latest.asp?league=usa" TargetMode="External"/><Relationship Id="rId5" Type="http://schemas.openxmlformats.org/officeDocument/2006/relationships/hyperlink" Target="https://www.soccerstats.com/latest.asp?league=argentina3" TargetMode="External"/><Relationship Id="rId15" Type="http://schemas.openxmlformats.org/officeDocument/2006/relationships/hyperlink" Target="https://www.soccerstats.com/latest.asp?league=brazil" TargetMode="External"/><Relationship Id="rId23" Type="http://schemas.openxmlformats.org/officeDocument/2006/relationships/hyperlink" Target="https://www.soccerstats.com/latest.asp?league=china" TargetMode="External"/><Relationship Id="rId28" Type="http://schemas.openxmlformats.org/officeDocument/2006/relationships/hyperlink" Target="https://www.soccerstats.com/latest.asp?league=china2" TargetMode="External"/><Relationship Id="rId36" Type="http://schemas.openxmlformats.org/officeDocument/2006/relationships/hyperlink" Target="https://www.soccerstats.com/latest.asp?league=iceland3" TargetMode="External"/><Relationship Id="rId10" Type="http://schemas.openxmlformats.org/officeDocument/2006/relationships/hyperlink" Target="https://www.soccerstats.com/latest.asp?league=australia6" TargetMode="External"/><Relationship Id="rId19" Type="http://schemas.openxmlformats.org/officeDocument/2006/relationships/hyperlink" Target="https://www.soccerstats.com/latest.asp?league=canada" TargetMode="External"/><Relationship Id="rId31" Type="http://schemas.openxmlformats.org/officeDocument/2006/relationships/hyperlink" Target="https://www.soccerstats.com/latest.asp?league=finland2" TargetMode="External"/><Relationship Id="rId44" Type="http://schemas.openxmlformats.org/officeDocument/2006/relationships/hyperlink" Target="https://www.soccerstats.com/latest.asp?league=uruguay2" TargetMode="External"/><Relationship Id="rId4" Type="http://schemas.openxmlformats.org/officeDocument/2006/relationships/hyperlink" Target="https://www.soccerstats.com/latest.asp?league=argentina3" TargetMode="External"/><Relationship Id="rId9" Type="http://schemas.openxmlformats.org/officeDocument/2006/relationships/hyperlink" Target="https://www.soccerstats.com/latest.asp?league=australia5" TargetMode="External"/><Relationship Id="rId14" Type="http://schemas.openxmlformats.org/officeDocument/2006/relationships/hyperlink" Target="https://www.soccerstats.com/latest.asp?league=brazil" TargetMode="External"/><Relationship Id="rId22" Type="http://schemas.openxmlformats.org/officeDocument/2006/relationships/hyperlink" Target="https://www.soccerstats.com/latest.asp?league=china" TargetMode="External"/><Relationship Id="rId27" Type="http://schemas.openxmlformats.org/officeDocument/2006/relationships/hyperlink" Target="https://www.soccerstats.com/latest.asp?league=china2" TargetMode="External"/><Relationship Id="rId30" Type="http://schemas.openxmlformats.org/officeDocument/2006/relationships/hyperlink" Target="https://www.soccerstats.com/latest.asp?league=estonia" TargetMode="External"/><Relationship Id="rId35" Type="http://schemas.openxmlformats.org/officeDocument/2006/relationships/hyperlink" Target="https://www.soccerstats.com/latest.asp?league=iceland2" TargetMode="External"/><Relationship Id="rId43" Type="http://schemas.openxmlformats.org/officeDocument/2006/relationships/hyperlink" Target="https://www.soccerstats.com/latest.asp?league=uruguay2" TargetMode="External"/><Relationship Id="rId48" Type="http://schemas.openxmlformats.org/officeDocument/2006/relationships/printerSettings" Target="../printerSettings/printerSettings3.bin"/><Relationship Id="rId8" Type="http://schemas.openxmlformats.org/officeDocument/2006/relationships/hyperlink" Target="https://www.soccerstats.com/latest.asp?league=australia5" TargetMode="External"/><Relationship Id="rId3" Type="http://schemas.openxmlformats.org/officeDocument/2006/relationships/hyperlink" Target="https://www.soccerstats.com/latest.asp?league=argentina3" TargetMode="External"/><Relationship Id="rId12" Type="http://schemas.openxmlformats.org/officeDocument/2006/relationships/hyperlink" Target="https://www.soccerstats.com/latest.asp?league=australia11" TargetMode="External"/><Relationship Id="rId17" Type="http://schemas.openxmlformats.org/officeDocument/2006/relationships/hyperlink" Target="https://www.soccerstats.com/latest.asp?league=brazil2" TargetMode="External"/><Relationship Id="rId25" Type="http://schemas.openxmlformats.org/officeDocument/2006/relationships/hyperlink" Target="https://www.soccerstats.com/latest.asp?league=china2" TargetMode="External"/><Relationship Id="rId33" Type="http://schemas.openxmlformats.org/officeDocument/2006/relationships/hyperlink" Target="https://www.soccerstats.com/latest.asp?league=finland5" TargetMode="External"/><Relationship Id="rId38" Type="http://schemas.openxmlformats.org/officeDocument/2006/relationships/hyperlink" Target="https://www.soccerstats.com/latest.asp?league=iceland3" TargetMode="External"/><Relationship Id="rId46" Type="http://schemas.openxmlformats.org/officeDocument/2006/relationships/hyperlink" Target="https://www.soccerstats.com/latest.asp?league=usa" TargetMode="External"/><Relationship Id="rId20" Type="http://schemas.openxmlformats.org/officeDocument/2006/relationships/hyperlink" Target="https://www.soccerstats.com/latest.asp?league=canada" TargetMode="External"/><Relationship Id="rId41" Type="http://schemas.openxmlformats.org/officeDocument/2006/relationships/hyperlink" Target="https://www.soccerstats.com/latest.asp?league=sweden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47"/>
  <sheetViews>
    <sheetView showGridLines="0" tabSelected="1" topLeftCell="D333" workbookViewId="0">
      <selection activeCell="X346" sqref="X346"/>
    </sheetView>
  </sheetViews>
  <sheetFormatPr defaultRowHeight="13.2" x14ac:dyDescent="0.25"/>
  <cols>
    <col min="24" max="24" width="10.5546875" bestFit="1" customWidth="1"/>
  </cols>
  <sheetData>
    <row r="1" spans="1:24" ht="13.8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/>
      <c r="L1" s="3"/>
      <c r="M1" s="3"/>
      <c r="N1" s="2" t="s">
        <v>9</v>
      </c>
      <c r="O1" s="2" t="s">
        <v>8</v>
      </c>
      <c r="P1" s="1" t="s">
        <v>7</v>
      </c>
      <c r="Q1" s="1" t="s">
        <v>6</v>
      </c>
      <c r="R1" s="1" t="s">
        <v>5</v>
      </c>
      <c r="S1" s="1" t="s">
        <v>4</v>
      </c>
      <c r="T1" s="1" t="s">
        <v>3</v>
      </c>
      <c r="U1" s="1" t="s">
        <v>2</v>
      </c>
      <c r="V1" s="1" t="s">
        <v>1</v>
      </c>
      <c r="W1" s="3"/>
      <c r="X1" s="16" t="s">
        <v>69</v>
      </c>
    </row>
    <row r="2" spans="1:24" ht="13.8" thickBot="1" x14ac:dyDescent="0.3">
      <c r="A2" s="4" t="s">
        <v>365</v>
      </c>
      <c r="B2" s="63"/>
      <c r="C2" s="63"/>
      <c r="D2" s="63"/>
      <c r="E2" s="63"/>
      <c r="F2" s="63"/>
      <c r="G2" s="63"/>
      <c r="H2" s="63"/>
      <c r="I2" s="64"/>
      <c r="J2" s="14" t="s">
        <v>10</v>
      </c>
      <c r="K2" s="5" t="s">
        <v>437</v>
      </c>
      <c r="L2" s="6">
        <v>0.54166666666666663</v>
      </c>
      <c r="M2" s="7" t="s">
        <v>438</v>
      </c>
      <c r="N2" s="14" t="s">
        <v>11</v>
      </c>
      <c r="O2" s="64"/>
      <c r="P2" s="63"/>
      <c r="Q2" s="63"/>
      <c r="R2" s="63"/>
      <c r="S2" s="63"/>
      <c r="T2" s="63"/>
      <c r="U2" s="63"/>
      <c r="V2" s="63"/>
      <c r="W2" s="17"/>
      <c r="X2" s="65">
        <v>46250</v>
      </c>
    </row>
    <row r="3" spans="1:24" ht="13.8" thickBot="1" x14ac:dyDescent="0.3">
      <c r="A3" s="4" t="s">
        <v>245</v>
      </c>
      <c r="B3" s="63"/>
      <c r="C3" s="63"/>
      <c r="D3" s="63"/>
      <c r="E3" s="63"/>
      <c r="F3" s="63"/>
      <c r="G3" s="63"/>
      <c r="H3" s="63"/>
      <c r="I3" s="64"/>
      <c r="J3" s="14" t="s">
        <v>10</v>
      </c>
      <c r="K3" s="5" t="s">
        <v>439</v>
      </c>
      <c r="L3" s="6">
        <v>0.625</v>
      </c>
      <c r="M3" s="7" t="s">
        <v>440</v>
      </c>
      <c r="N3" s="14" t="s">
        <v>11</v>
      </c>
      <c r="O3" s="64"/>
      <c r="P3" s="63"/>
      <c r="Q3" s="63"/>
      <c r="R3" s="63"/>
      <c r="S3" s="63"/>
      <c r="T3" s="63"/>
      <c r="U3" s="63"/>
      <c r="V3" s="63"/>
      <c r="W3" s="17"/>
      <c r="X3" s="65">
        <v>46250</v>
      </c>
    </row>
    <row r="4" spans="1:24" ht="13.8" thickBot="1" x14ac:dyDescent="0.3">
      <c r="A4" s="4" t="s">
        <v>245</v>
      </c>
      <c r="B4" s="63"/>
      <c r="C4" s="63"/>
      <c r="D4" s="63"/>
      <c r="E4" s="63"/>
      <c r="F4" s="63"/>
      <c r="G4" s="63"/>
      <c r="H4" s="63"/>
      <c r="I4" s="64"/>
      <c r="J4" s="14" t="s">
        <v>10</v>
      </c>
      <c r="K4" s="5" t="s">
        <v>441</v>
      </c>
      <c r="L4" s="6">
        <v>0.72916666666666663</v>
      </c>
      <c r="M4" s="7" t="s">
        <v>442</v>
      </c>
      <c r="N4" s="14" t="s">
        <v>11</v>
      </c>
      <c r="O4" s="64"/>
      <c r="P4" s="63"/>
      <c r="Q4" s="63"/>
      <c r="R4" s="63"/>
      <c r="S4" s="63"/>
      <c r="T4" s="63"/>
      <c r="U4" s="63"/>
      <c r="V4" s="63"/>
      <c r="W4" s="17"/>
      <c r="X4" s="65">
        <v>46250</v>
      </c>
    </row>
    <row r="5" spans="1:24" ht="19.8" thickBot="1" x14ac:dyDescent="0.3">
      <c r="A5" s="4" t="s">
        <v>242</v>
      </c>
      <c r="B5" s="63"/>
      <c r="C5" s="63"/>
      <c r="D5" s="63"/>
      <c r="E5" s="63"/>
      <c r="F5" s="63"/>
      <c r="G5" s="63"/>
      <c r="H5" s="63"/>
      <c r="I5" s="64"/>
      <c r="J5" s="14" t="s">
        <v>10</v>
      </c>
      <c r="K5" s="5" t="s">
        <v>443</v>
      </c>
      <c r="L5" s="6">
        <v>0.34375</v>
      </c>
      <c r="M5" s="7" t="s">
        <v>444</v>
      </c>
      <c r="N5" s="14" t="s">
        <v>11</v>
      </c>
      <c r="O5" s="64"/>
      <c r="P5" s="63"/>
      <c r="Q5" s="63"/>
      <c r="R5" s="63"/>
      <c r="S5" s="63"/>
      <c r="T5" s="63"/>
      <c r="U5" s="63"/>
      <c r="V5" s="63"/>
      <c r="W5" s="17"/>
      <c r="X5" s="65">
        <v>46250</v>
      </c>
    </row>
    <row r="6" spans="1:24" ht="13.8" thickBot="1" x14ac:dyDescent="0.3">
      <c r="A6" s="4" t="s">
        <v>242</v>
      </c>
      <c r="B6" s="63"/>
      <c r="C6" s="63"/>
      <c r="D6" s="63"/>
      <c r="E6" s="63"/>
      <c r="F6" s="63"/>
      <c r="G6" s="63"/>
      <c r="H6" s="63"/>
      <c r="I6" s="64"/>
      <c r="J6" s="14" t="s">
        <v>10</v>
      </c>
      <c r="K6" s="5" t="s">
        <v>445</v>
      </c>
      <c r="L6" s="6">
        <v>0.4375</v>
      </c>
      <c r="M6" s="7" t="s">
        <v>446</v>
      </c>
      <c r="N6" s="14" t="s">
        <v>11</v>
      </c>
      <c r="O6" s="64"/>
      <c r="P6" s="63"/>
      <c r="Q6" s="63"/>
      <c r="R6" s="63"/>
      <c r="S6" s="63"/>
      <c r="T6" s="63"/>
      <c r="U6" s="63"/>
      <c r="V6" s="63"/>
      <c r="W6" s="17"/>
      <c r="X6" s="65">
        <v>46250</v>
      </c>
    </row>
    <row r="7" spans="1:24" ht="19.8" thickBot="1" x14ac:dyDescent="0.3">
      <c r="A7" s="4" t="s">
        <v>242</v>
      </c>
      <c r="B7" s="63"/>
      <c r="C7" s="63"/>
      <c r="D7" s="63"/>
      <c r="E7" s="63"/>
      <c r="F7" s="63"/>
      <c r="G7" s="63"/>
      <c r="H7" s="63"/>
      <c r="I7" s="64"/>
      <c r="J7" s="14" t="s">
        <v>10</v>
      </c>
      <c r="K7" s="5" t="s">
        <v>447</v>
      </c>
      <c r="L7" s="6">
        <v>0.4375</v>
      </c>
      <c r="M7" s="7" t="s">
        <v>448</v>
      </c>
      <c r="N7" s="14" t="s">
        <v>11</v>
      </c>
      <c r="O7" s="64"/>
      <c r="P7" s="63"/>
      <c r="Q7" s="63"/>
      <c r="R7" s="63"/>
      <c r="S7" s="63"/>
      <c r="T7" s="63"/>
      <c r="U7" s="63"/>
      <c r="V7" s="63"/>
      <c r="W7" s="17"/>
      <c r="X7" s="65">
        <v>46250</v>
      </c>
    </row>
    <row r="8" spans="1:24" ht="19.8" thickBot="1" x14ac:dyDescent="0.3">
      <c r="A8" s="4" t="s">
        <v>242</v>
      </c>
      <c r="B8" s="63"/>
      <c r="C8" s="63"/>
      <c r="D8" s="63"/>
      <c r="E8" s="63"/>
      <c r="F8" s="63"/>
      <c r="G8" s="63"/>
      <c r="H8" s="63"/>
      <c r="I8" s="64"/>
      <c r="J8" s="14" t="s">
        <v>10</v>
      </c>
      <c r="K8" s="5" t="s">
        <v>449</v>
      </c>
      <c r="L8" s="6">
        <v>0.53125</v>
      </c>
      <c r="M8" s="7" t="s">
        <v>450</v>
      </c>
      <c r="N8" s="14" t="s">
        <v>11</v>
      </c>
      <c r="O8" s="64"/>
      <c r="P8" s="63"/>
      <c r="Q8" s="63"/>
      <c r="R8" s="63"/>
      <c r="S8" s="63"/>
      <c r="T8" s="63"/>
      <c r="U8" s="63"/>
      <c r="V8" s="63"/>
      <c r="W8" s="17"/>
      <c r="X8" s="65">
        <v>46250</v>
      </c>
    </row>
    <row r="9" spans="1:24" ht="13.8" thickBot="1" x14ac:dyDescent="0.3">
      <c r="A9" s="4" t="s">
        <v>243</v>
      </c>
      <c r="B9" s="63"/>
      <c r="C9" s="63"/>
      <c r="D9" s="63"/>
      <c r="E9" s="63"/>
      <c r="F9" s="63"/>
      <c r="G9" s="63"/>
      <c r="H9" s="63"/>
      <c r="I9" s="64"/>
      <c r="J9" s="14" t="s">
        <v>10</v>
      </c>
      <c r="K9" s="5" t="s">
        <v>207</v>
      </c>
      <c r="L9" s="6">
        <v>0.52083333333333337</v>
      </c>
      <c r="M9" s="7" t="s">
        <v>451</v>
      </c>
      <c r="N9" s="14" t="s">
        <v>11</v>
      </c>
      <c r="O9" s="64"/>
      <c r="P9" s="63"/>
      <c r="Q9" s="63"/>
      <c r="R9" s="63"/>
      <c r="S9" s="63"/>
      <c r="T9" s="63"/>
      <c r="U9" s="63"/>
      <c r="V9" s="63"/>
      <c r="W9" s="17"/>
      <c r="X9" s="65">
        <v>46250</v>
      </c>
    </row>
    <row r="10" spans="1:24" ht="13.8" thickBot="1" x14ac:dyDescent="0.3">
      <c r="A10" s="4" t="s">
        <v>243</v>
      </c>
      <c r="B10" s="63"/>
      <c r="C10" s="63"/>
      <c r="D10" s="63"/>
      <c r="E10" s="63"/>
      <c r="F10" s="63"/>
      <c r="G10" s="63"/>
      <c r="H10" s="63"/>
      <c r="I10" s="64"/>
      <c r="J10" s="14" t="s">
        <v>10</v>
      </c>
      <c r="K10" s="5" t="s">
        <v>452</v>
      </c>
      <c r="L10" s="6">
        <v>0.625</v>
      </c>
      <c r="M10" s="7" t="s">
        <v>453</v>
      </c>
      <c r="N10" s="14" t="s">
        <v>11</v>
      </c>
      <c r="O10" s="64"/>
      <c r="P10" s="63"/>
      <c r="Q10" s="63"/>
      <c r="R10" s="63"/>
      <c r="S10" s="63"/>
      <c r="T10" s="63"/>
      <c r="U10" s="63"/>
      <c r="V10" s="63"/>
      <c r="W10" s="17"/>
      <c r="X10" s="65">
        <v>46250</v>
      </c>
    </row>
    <row r="11" spans="1:24" ht="13.8" thickBot="1" x14ac:dyDescent="0.3">
      <c r="A11" s="4" t="s">
        <v>243</v>
      </c>
      <c r="B11" s="63"/>
      <c r="C11" s="63"/>
      <c r="D11" s="63"/>
      <c r="E11" s="63"/>
      <c r="F11" s="63"/>
      <c r="G11" s="63"/>
      <c r="H11" s="63"/>
      <c r="I11" s="64"/>
      <c r="J11" s="14" t="s">
        <v>10</v>
      </c>
      <c r="K11" s="5" t="s">
        <v>454</v>
      </c>
      <c r="L11" s="6">
        <v>0.72916666666666663</v>
      </c>
      <c r="M11" s="7" t="s">
        <v>455</v>
      </c>
      <c r="N11" s="14" t="s">
        <v>11</v>
      </c>
      <c r="O11" s="64"/>
      <c r="P11" s="63"/>
      <c r="Q11" s="63"/>
      <c r="R11" s="63"/>
      <c r="S11" s="63"/>
      <c r="T11" s="63"/>
      <c r="U11" s="63"/>
      <c r="V11" s="63"/>
      <c r="W11" s="17"/>
      <c r="X11" s="65">
        <v>46250</v>
      </c>
    </row>
    <row r="12" spans="1:24" ht="19.8" thickBot="1" x14ac:dyDescent="0.3">
      <c r="A12" s="4" t="s">
        <v>243</v>
      </c>
      <c r="B12" s="63"/>
      <c r="C12" s="63"/>
      <c r="D12" s="63"/>
      <c r="E12" s="63"/>
      <c r="F12" s="63"/>
      <c r="G12" s="63"/>
      <c r="H12" s="63"/>
      <c r="I12" s="64"/>
      <c r="J12" s="14" t="s">
        <v>10</v>
      </c>
      <c r="K12" s="5" t="s">
        <v>456</v>
      </c>
      <c r="L12" s="6">
        <v>0.72916666666666663</v>
      </c>
      <c r="M12" s="7" t="s">
        <v>457</v>
      </c>
      <c r="N12" s="14" t="s">
        <v>11</v>
      </c>
      <c r="O12" s="64"/>
      <c r="P12" s="63"/>
      <c r="Q12" s="63"/>
      <c r="R12" s="63"/>
      <c r="S12" s="63"/>
      <c r="T12" s="63"/>
      <c r="U12" s="63"/>
      <c r="V12" s="63"/>
      <c r="W12" s="17"/>
      <c r="X12" s="65">
        <v>46250</v>
      </c>
    </row>
    <row r="13" spans="1:24" ht="13.8" thickBot="1" x14ac:dyDescent="0.3">
      <c r="A13" s="4" t="s">
        <v>244</v>
      </c>
      <c r="B13" s="63"/>
      <c r="C13" s="63"/>
      <c r="D13" s="63"/>
      <c r="E13" s="63"/>
      <c r="F13" s="63"/>
      <c r="G13" s="63"/>
      <c r="H13" s="63"/>
      <c r="I13" s="64"/>
      <c r="J13" s="14" t="s">
        <v>10</v>
      </c>
      <c r="K13" s="5" t="s">
        <v>458</v>
      </c>
      <c r="L13" s="6">
        <v>0.4375</v>
      </c>
      <c r="M13" s="7" t="s">
        <v>459</v>
      </c>
      <c r="N13" s="14" t="s">
        <v>11</v>
      </c>
      <c r="O13" s="64"/>
      <c r="P13" s="63"/>
      <c r="Q13" s="63"/>
      <c r="R13" s="63"/>
      <c r="S13" s="63"/>
      <c r="T13" s="63"/>
      <c r="U13" s="63"/>
      <c r="V13" s="63"/>
      <c r="W13" s="17"/>
      <c r="X13" s="65">
        <v>46250</v>
      </c>
    </row>
    <row r="14" spans="1:24" ht="19.8" thickBot="1" x14ac:dyDescent="0.3">
      <c r="A14" s="4" t="s">
        <v>244</v>
      </c>
      <c r="B14" s="63"/>
      <c r="C14" s="63"/>
      <c r="D14" s="63"/>
      <c r="E14" s="63"/>
      <c r="F14" s="63"/>
      <c r="G14" s="63"/>
      <c r="H14" s="63"/>
      <c r="I14" s="64"/>
      <c r="J14" s="14" t="s">
        <v>10</v>
      </c>
      <c r="K14" s="5" t="s">
        <v>460</v>
      </c>
      <c r="L14" s="6">
        <v>0.54166666666666663</v>
      </c>
      <c r="M14" s="7" t="s">
        <v>461</v>
      </c>
      <c r="N14" s="14" t="s">
        <v>11</v>
      </c>
      <c r="O14" s="64"/>
      <c r="P14" s="63"/>
      <c r="Q14" s="63"/>
      <c r="R14" s="63"/>
      <c r="S14" s="63"/>
      <c r="T14" s="63"/>
      <c r="U14" s="63"/>
      <c r="V14" s="63"/>
      <c r="W14" s="17"/>
      <c r="X14" s="65">
        <v>46250</v>
      </c>
    </row>
    <row r="15" spans="1:24" ht="13.8" thickBot="1" x14ac:dyDescent="0.3">
      <c r="A15" s="4" t="s">
        <v>245</v>
      </c>
      <c r="B15" s="63"/>
      <c r="C15" s="63"/>
      <c r="D15" s="63"/>
      <c r="E15" s="63"/>
      <c r="F15" s="63"/>
      <c r="G15" s="63"/>
      <c r="H15" s="63"/>
      <c r="I15" s="64"/>
      <c r="J15" s="14" t="s">
        <v>10</v>
      </c>
      <c r="K15" s="5" t="s">
        <v>462</v>
      </c>
      <c r="L15" s="6">
        <v>0.54166666666666663</v>
      </c>
      <c r="M15" s="7" t="s">
        <v>463</v>
      </c>
      <c r="N15" s="14" t="s">
        <v>11</v>
      </c>
      <c r="O15" s="64"/>
      <c r="P15" s="63"/>
      <c r="Q15" s="63"/>
      <c r="R15" s="63"/>
      <c r="S15" s="63"/>
      <c r="T15" s="63"/>
      <c r="U15" s="63"/>
      <c r="V15" s="63"/>
      <c r="W15" s="17"/>
      <c r="X15" s="65">
        <v>46250</v>
      </c>
    </row>
    <row r="16" spans="1:24" ht="13.8" thickBot="1" x14ac:dyDescent="0.3">
      <c r="A16" s="4" t="s">
        <v>245</v>
      </c>
      <c r="B16" s="63"/>
      <c r="C16" s="63"/>
      <c r="D16" s="63"/>
      <c r="E16" s="63"/>
      <c r="F16" s="63"/>
      <c r="G16" s="63"/>
      <c r="H16" s="63"/>
      <c r="I16" s="64"/>
      <c r="J16" s="14" t="s">
        <v>10</v>
      </c>
      <c r="K16" s="5" t="s">
        <v>464</v>
      </c>
      <c r="L16" s="6">
        <v>0.625</v>
      </c>
      <c r="M16" s="7" t="s">
        <v>465</v>
      </c>
      <c r="N16" s="14" t="s">
        <v>11</v>
      </c>
      <c r="O16" s="64"/>
      <c r="P16" s="63"/>
      <c r="Q16" s="63"/>
      <c r="R16" s="63"/>
      <c r="S16" s="63"/>
      <c r="T16" s="63"/>
      <c r="U16" s="63"/>
      <c r="V16" s="63"/>
      <c r="W16" s="17"/>
      <c r="X16" s="65">
        <v>46250</v>
      </c>
    </row>
    <row r="17" spans="1:24" ht="13.8" thickBot="1" x14ac:dyDescent="0.3">
      <c r="A17" s="4" t="s">
        <v>245</v>
      </c>
      <c r="B17" s="63"/>
      <c r="C17" s="63"/>
      <c r="D17" s="63"/>
      <c r="E17" s="63"/>
      <c r="F17" s="63"/>
      <c r="G17" s="63"/>
      <c r="H17" s="63"/>
      <c r="I17" s="64"/>
      <c r="J17" s="14" t="s">
        <v>10</v>
      </c>
      <c r="K17" s="5" t="s">
        <v>466</v>
      </c>
      <c r="L17" s="6">
        <v>0.625</v>
      </c>
      <c r="M17" s="7" t="s">
        <v>467</v>
      </c>
      <c r="N17" s="14" t="s">
        <v>11</v>
      </c>
      <c r="O17" s="64"/>
      <c r="P17" s="63"/>
      <c r="Q17" s="63"/>
      <c r="R17" s="63"/>
      <c r="S17" s="63"/>
      <c r="T17" s="63"/>
      <c r="U17" s="63"/>
      <c r="V17" s="63"/>
      <c r="W17" s="17"/>
      <c r="X17" s="65">
        <v>46250</v>
      </c>
    </row>
    <row r="18" spans="1:24" ht="13.8" thickBot="1" x14ac:dyDescent="0.3">
      <c r="A18" s="4" t="s">
        <v>245</v>
      </c>
      <c r="B18" s="63"/>
      <c r="C18" s="63"/>
      <c r="D18" s="63"/>
      <c r="E18" s="63"/>
      <c r="F18" s="63"/>
      <c r="G18" s="63"/>
      <c r="H18" s="63"/>
      <c r="I18" s="64"/>
      <c r="J18" s="14" t="s">
        <v>10</v>
      </c>
      <c r="K18" s="5" t="s">
        <v>468</v>
      </c>
      <c r="L18" s="6">
        <v>0.72916666666666663</v>
      </c>
      <c r="M18" s="7" t="s">
        <v>469</v>
      </c>
      <c r="N18" s="14" t="s">
        <v>11</v>
      </c>
      <c r="O18" s="64"/>
      <c r="P18" s="63"/>
      <c r="Q18" s="63"/>
      <c r="R18" s="63"/>
      <c r="S18" s="63"/>
      <c r="T18" s="63"/>
      <c r="U18" s="63"/>
      <c r="V18" s="63"/>
      <c r="W18" s="17"/>
      <c r="X18" s="65">
        <v>46250</v>
      </c>
    </row>
    <row r="19" spans="1:24" ht="19.8" thickBot="1" x14ac:dyDescent="0.3">
      <c r="A19" s="4" t="s">
        <v>215</v>
      </c>
      <c r="B19" s="63"/>
      <c r="C19" s="63"/>
      <c r="D19" s="63"/>
      <c r="E19" s="63"/>
      <c r="F19" s="63"/>
      <c r="G19" s="63"/>
      <c r="H19" s="63"/>
      <c r="I19" s="64"/>
      <c r="J19" s="14" t="s">
        <v>10</v>
      </c>
      <c r="K19" s="5" t="s">
        <v>470</v>
      </c>
      <c r="L19" s="6">
        <v>0.39583333333333331</v>
      </c>
      <c r="M19" s="7" t="s">
        <v>471</v>
      </c>
      <c r="N19" s="14" t="s">
        <v>11</v>
      </c>
      <c r="O19" s="64"/>
      <c r="P19" s="63"/>
      <c r="Q19" s="63"/>
      <c r="R19" s="63"/>
      <c r="S19" s="63"/>
      <c r="T19" s="63"/>
      <c r="U19" s="63"/>
      <c r="V19" s="63"/>
      <c r="W19" s="17"/>
      <c r="X19" s="65">
        <v>46250</v>
      </c>
    </row>
    <row r="20" spans="1:24" ht="19.8" thickBot="1" x14ac:dyDescent="0.3">
      <c r="A20" s="4" t="s">
        <v>215</v>
      </c>
      <c r="B20" s="63"/>
      <c r="C20" s="63"/>
      <c r="D20" s="63"/>
      <c r="E20" s="63"/>
      <c r="F20" s="63"/>
      <c r="G20" s="63"/>
      <c r="H20" s="63"/>
      <c r="I20" s="64"/>
      <c r="J20" s="14" t="s">
        <v>10</v>
      </c>
      <c r="K20" s="5" t="s">
        <v>472</v>
      </c>
      <c r="L20" s="6">
        <v>0.39583333333333331</v>
      </c>
      <c r="M20" s="7" t="s">
        <v>473</v>
      </c>
      <c r="N20" s="14" t="s">
        <v>11</v>
      </c>
      <c r="O20" s="64"/>
      <c r="P20" s="63"/>
      <c r="Q20" s="63"/>
      <c r="R20" s="63"/>
      <c r="S20" s="63"/>
      <c r="T20" s="63"/>
      <c r="U20" s="63"/>
      <c r="V20" s="63"/>
      <c r="W20" s="17"/>
      <c r="X20" s="65">
        <v>46250</v>
      </c>
    </row>
    <row r="21" spans="1:24" ht="13.8" thickBot="1" x14ac:dyDescent="0.3">
      <c r="A21" s="4" t="s">
        <v>215</v>
      </c>
      <c r="B21" s="63"/>
      <c r="C21" s="63"/>
      <c r="D21" s="63"/>
      <c r="E21" s="63"/>
      <c r="F21" s="63"/>
      <c r="G21" s="63"/>
      <c r="H21" s="63"/>
      <c r="I21" s="64"/>
      <c r="J21" s="14" t="s">
        <v>10</v>
      </c>
      <c r="K21" s="5" t="s">
        <v>474</v>
      </c>
      <c r="L21" s="6">
        <v>0.39583333333333331</v>
      </c>
      <c r="M21" s="7" t="s">
        <v>475</v>
      </c>
      <c r="N21" s="14" t="s">
        <v>11</v>
      </c>
      <c r="O21" s="64"/>
      <c r="P21" s="63"/>
      <c r="Q21" s="63"/>
      <c r="R21" s="63"/>
      <c r="S21" s="63"/>
      <c r="T21" s="63"/>
      <c r="U21" s="63"/>
      <c r="V21" s="63"/>
      <c r="W21" s="17"/>
      <c r="X21" s="65">
        <v>46250</v>
      </c>
    </row>
    <row r="22" spans="1:24" ht="13.8" thickBot="1" x14ac:dyDescent="0.3">
      <c r="A22" s="4" t="s">
        <v>117</v>
      </c>
      <c r="B22" s="8">
        <v>1</v>
      </c>
      <c r="C22" s="15">
        <v>1</v>
      </c>
      <c r="D22" s="8">
        <v>1</v>
      </c>
      <c r="E22" s="10" t="s">
        <v>218</v>
      </c>
      <c r="F22" s="11" t="s">
        <v>217</v>
      </c>
      <c r="G22" s="12" t="s">
        <v>226</v>
      </c>
      <c r="H22" s="13" t="s">
        <v>247</v>
      </c>
      <c r="I22" s="14">
        <v>2</v>
      </c>
      <c r="J22" s="14" t="s">
        <v>10</v>
      </c>
      <c r="K22" s="5" t="s">
        <v>476</v>
      </c>
      <c r="L22" s="6">
        <v>0.92708333333333337</v>
      </c>
      <c r="M22" s="7" t="s">
        <v>477</v>
      </c>
      <c r="N22" s="14" t="s">
        <v>11</v>
      </c>
      <c r="O22" s="14">
        <v>2</v>
      </c>
      <c r="P22" s="13" t="s">
        <v>247</v>
      </c>
      <c r="Q22" s="12" t="s">
        <v>246</v>
      </c>
      <c r="R22" s="11" t="s">
        <v>217</v>
      </c>
      <c r="S22" s="10" t="s">
        <v>221</v>
      </c>
      <c r="T22" s="8">
        <v>1</v>
      </c>
      <c r="U22" s="15">
        <v>1</v>
      </c>
      <c r="V22" s="8">
        <v>0.5</v>
      </c>
      <c r="W22" s="17"/>
      <c r="X22" s="65">
        <v>46250</v>
      </c>
    </row>
    <row r="23" spans="1:24" ht="13.8" thickBot="1" x14ac:dyDescent="0.3">
      <c r="A23" s="4" t="s">
        <v>117</v>
      </c>
      <c r="B23" s="8">
        <v>0.5</v>
      </c>
      <c r="C23" s="15">
        <v>1</v>
      </c>
      <c r="D23" s="8">
        <v>1</v>
      </c>
      <c r="E23" s="10" t="s">
        <v>216</v>
      </c>
      <c r="F23" s="11" t="s">
        <v>216</v>
      </c>
      <c r="G23" s="12" t="s">
        <v>226</v>
      </c>
      <c r="H23" s="13" t="s">
        <v>220</v>
      </c>
      <c r="I23" s="14">
        <v>2</v>
      </c>
      <c r="J23" s="14" t="s">
        <v>10</v>
      </c>
      <c r="K23" s="5" t="s">
        <v>478</v>
      </c>
      <c r="L23" s="6">
        <v>0.66666666666666663</v>
      </c>
      <c r="M23" s="7" t="s">
        <v>479</v>
      </c>
      <c r="N23" s="14" t="s">
        <v>11</v>
      </c>
      <c r="O23" s="14">
        <v>2</v>
      </c>
      <c r="P23" s="13" t="s">
        <v>220</v>
      </c>
      <c r="Q23" s="12" t="s">
        <v>221</v>
      </c>
      <c r="R23" s="11" t="s">
        <v>220</v>
      </c>
      <c r="S23" s="10" t="s">
        <v>217</v>
      </c>
      <c r="T23" s="8">
        <v>1</v>
      </c>
      <c r="U23" s="9">
        <v>0.5</v>
      </c>
      <c r="V23" s="8">
        <v>0</v>
      </c>
      <c r="W23" s="17"/>
      <c r="X23" s="65">
        <v>46250</v>
      </c>
    </row>
    <row r="24" spans="1:24" ht="19.8" thickBot="1" x14ac:dyDescent="0.3">
      <c r="A24" s="4" t="s">
        <v>117</v>
      </c>
      <c r="B24" s="8">
        <v>0</v>
      </c>
      <c r="C24" s="9">
        <v>0</v>
      </c>
      <c r="D24" s="8">
        <v>0</v>
      </c>
      <c r="E24" s="10" t="s">
        <v>217</v>
      </c>
      <c r="F24" s="11" t="s">
        <v>219</v>
      </c>
      <c r="G24" s="12" t="s">
        <v>217</v>
      </c>
      <c r="H24" s="13" t="s">
        <v>219</v>
      </c>
      <c r="I24" s="14">
        <v>2</v>
      </c>
      <c r="J24" s="14" t="s">
        <v>10</v>
      </c>
      <c r="K24" s="5" t="s">
        <v>480</v>
      </c>
      <c r="L24" s="6">
        <v>0.79166666666666663</v>
      </c>
      <c r="M24" s="7" t="s">
        <v>481</v>
      </c>
      <c r="N24" s="14" t="s">
        <v>11</v>
      </c>
      <c r="O24" s="14">
        <v>2</v>
      </c>
      <c r="P24" s="13" t="s">
        <v>218</v>
      </c>
      <c r="Q24" s="12" t="s">
        <v>218</v>
      </c>
      <c r="R24" s="11" t="s">
        <v>216</v>
      </c>
      <c r="S24" s="10" t="s">
        <v>217</v>
      </c>
      <c r="T24" s="8">
        <v>0.5</v>
      </c>
      <c r="U24" s="9">
        <v>0.5</v>
      </c>
      <c r="V24" s="8">
        <v>0.5</v>
      </c>
      <c r="W24" s="17"/>
      <c r="X24" s="65">
        <v>46250</v>
      </c>
    </row>
    <row r="25" spans="1:24" ht="19.8" thickBot="1" x14ac:dyDescent="0.3">
      <c r="A25" s="4" t="s">
        <v>117</v>
      </c>
      <c r="B25" s="8">
        <v>0</v>
      </c>
      <c r="C25" s="9">
        <v>0</v>
      </c>
      <c r="D25" s="8">
        <v>0</v>
      </c>
      <c r="E25" s="10" t="s">
        <v>219</v>
      </c>
      <c r="F25" s="11" t="s">
        <v>217</v>
      </c>
      <c r="G25" s="12" t="s">
        <v>217</v>
      </c>
      <c r="H25" s="13" t="s">
        <v>218</v>
      </c>
      <c r="I25" s="14">
        <v>1</v>
      </c>
      <c r="J25" s="14" t="s">
        <v>10</v>
      </c>
      <c r="K25" s="5" t="s">
        <v>482</v>
      </c>
      <c r="L25" s="6">
        <v>0.88541666666666663</v>
      </c>
      <c r="M25" s="7" t="s">
        <v>318</v>
      </c>
      <c r="N25" s="14" t="s">
        <v>11</v>
      </c>
      <c r="O25" s="14">
        <v>2</v>
      </c>
      <c r="P25" s="13" t="s">
        <v>220</v>
      </c>
      <c r="Q25" s="12" t="s">
        <v>216</v>
      </c>
      <c r="R25" s="11" t="s">
        <v>217</v>
      </c>
      <c r="S25" s="10" t="s">
        <v>217</v>
      </c>
      <c r="T25" s="8">
        <v>0.5</v>
      </c>
      <c r="U25" s="9">
        <v>0.5</v>
      </c>
      <c r="V25" s="8">
        <v>0</v>
      </c>
      <c r="W25" s="17"/>
      <c r="X25" s="65">
        <v>46250</v>
      </c>
    </row>
    <row r="26" spans="1:24" ht="19.8" thickBot="1" x14ac:dyDescent="0.3">
      <c r="A26" s="4" t="s">
        <v>117</v>
      </c>
      <c r="B26" s="8">
        <v>0</v>
      </c>
      <c r="C26" s="9">
        <v>0</v>
      </c>
      <c r="D26" s="8">
        <v>0.5</v>
      </c>
      <c r="E26" s="10" t="s">
        <v>217</v>
      </c>
      <c r="F26" s="11" t="s">
        <v>247</v>
      </c>
      <c r="G26" s="12" t="s">
        <v>220</v>
      </c>
      <c r="H26" s="13" t="s">
        <v>220</v>
      </c>
      <c r="I26" s="14">
        <v>2</v>
      </c>
      <c r="J26" s="14" t="s">
        <v>10</v>
      </c>
      <c r="K26" s="5" t="s">
        <v>483</v>
      </c>
      <c r="L26" s="6">
        <v>0.88541666666666663</v>
      </c>
      <c r="M26" s="7" t="s">
        <v>484</v>
      </c>
      <c r="N26" s="14" t="s">
        <v>11</v>
      </c>
      <c r="O26" s="14">
        <v>2</v>
      </c>
      <c r="P26" s="13" t="s">
        <v>220</v>
      </c>
      <c r="Q26" s="12" t="s">
        <v>217</v>
      </c>
      <c r="R26" s="11" t="s">
        <v>247</v>
      </c>
      <c r="S26" s="10" t="s">
        <v>247</v>
      </c>
      <c r="T26" s="8">
        <v>0</v>
      </c>
      <c r="U26" s="9">
        <v>0</v>
      </c>
      <c r="V26" s="8">
        <v>0</v>
      </c>
      <c r="W26" s="17"/>
      <c r="X26" s="65">
        <v>46250</v>
      </c>
    </row>
    <row r="27" spans="1:24" ht="19.8" thickBot="1" x14ac:dyDescent="0.3">
      <c r="A27" s="4" t="s">
        <v>117</v>
      </c>
      <c r="B27" s="8">
        <v>0.09</v>
      </c>
      <c r="C27" s="9">
        <v>0.36</v>
      </c>
      <c r="D27" s="8">
        <v>0.45</v>
      </c>
      <c r="E27" s="10" t="s">
        <v>300</v>
      </c>
      <c r="F27" s="11" t="s">
        <v>217</v>
      </c>
      <c r="G27" s="12" t="s">
        <v>303</v>
      </c>
      <c r="H27" s="13" t="s">
        <v>376</v>
      </c>
      <c r="I27" s="14">
        <v>11</v>
      </c>
      <c r="J27" s="14" t="s">
        <v>10</v>
      </c>
      <c r="K27" s="5" t="s">
        <v>485</v>
      </c>
      <c r="L27" s="6">
        <v>0.66666666666666663</v>
      </c>
      <c r="M27" s="7" t="s">
        <v>486</v>
      </c>
      <c r="N27" s="14" t="s">
        <v>11</v>
      </c>
      <c r="O27" s="14">
        <v>11</v>
      </c>
      <c r="P27" s="13" t="s">
        <v>217</v>
      </c>
      <c r="Q27" s="12" t="s">
        <v>301</v>
      </c>
      <c r="R27" s="11" t="s">
        <v>372</v>
      </c>
      <c r="S27" s="10" t="s">
        <v>262</v>
      </c>
      <c r="T27" s="8">
        <v>0.27</v>
      </c>
      <c r="U27" s="9">
        <v>0.18</v>
      </c>
      <c r="V27" s="8">
        <v>0</v>
      </c>
      <c r="W27" s="17"/>
      <c r="X27" s="65">
        <v>46250</v>
      </c>
    </row>
    <row r="28" spans="1:24" ht="19.8" thickBot="1" x14ac:dyDescent="0.3">
      <c r="A28" s="4" t="s">
        <v>117</v>
      </c>
      <c r="B28" s="8">
        <v>0.17</v>
      </c>
      <c r="C28" s="9">
        <v>0.33</v>
      </c>
      <c r="D28" s="8">
        <v>0.5</v>
      </c>
      <c r="E28" s="10" t="s">
        <v>247</v>
      </c>
      <c r="F28" s="11" t="s">
        <v>373</v>
      </c>
      <c r="G28" s="12" t="s">
        <v>391</v>
      </c>
      <c r="H28" s="13" t="s">
        <v>403</v>
      </c>
      <c r="I28" s="14">
        <v>12</v>
      </c>
      <c r="J28" s="14" t="s">
        <v>10</v>
      </c>
      <c r="K28" s="5" t="s">
        <v>121</v>
      </c>
      <c r="L28" s="6">
        <v>0.6875</v>
      </c>
      <c r="M28" s="7" t="s">
        <v>487</v>
      </c>
      <c r="N28" s="14" t="s">
        <v>11</v>
      </c>
      <c r="O28" s="14">
        <v>12</v>
      </c>
      <c r="P28" s="13" t="s">
        <v>288</v>
      </c>
      <c r="Q28" s="12" t="s">
        <v>220</v>
      </c>
      <c r="R28" s="11" t="s">
        <v>247</v>
      </c>
      <c r="S28" s="10" t="s">
        <v>217</v>
      </c>
      <c r="T28" s="8">
        <v>0.5</v>
      </c>
      <c r="U28" s="9">
        <v>0.17</v>
      </c>
      <c r="V28" s="8">
        <v>0.08</v>
      </c>
      <c r="W28" s="17"/>
      <c r="X28" s="65">
        <v>46250</v>
      </c>
    </row>
    <row r="29" spans="1:24" ht="19.8" thickBot="1" x14ac:dyDescent="0.3">
      <c r="A29" s="4" t="s">
        <v>117</v>
      </c>
      <c r="B29" s="8">
        <v>0.17</v>
      </c>
      <c r="C29" s="9">
        <v>0.5</v>
      </c>
      <c r="D29" s="8">
        <v>0.83</v>
      </c>
      <c r="E29" s="10" t="s">
        <v>222</v>
      </c>
      <c r="F29" s="11" t="s">
        <v>216</v>
      </c>
      <c r="G29" s="12" t="s">
        <v>330</v>
      </c>
      <c r="H29" s="13" t="s">
        <v>488</v>
      </c>
      <c r="I29" s="14">
        <v>12</v>
      </c>
      <c r="J29" s="14" t="s">
        <v>10</v>
      </c>
      <c r="K29" s="5" t="s">
        <v>489</v>
      </c>
      <c r="L29" s="6">
        <v>0.70833333333333337</v>
      </c>
      <c r="M29" s="7" t="s">
        <v>490</v>
      </c>
      <c r="N29" s="14" t="s">
        <v>11</v>
      </c>
      <c r="O29" s="14">
        <v>12</v>
      </c>
      <c r="P29" s="13" t="s">
        <v>222</v>
      </c>
      <c r="Q29" s="12" t="s">
        <v>216</v>
      </c>
      <c r="R29" s="11" t="s">
        <v>310</v>
      </c>
      <c r="S29" s="10" t="s">
        <v>224</v>
      </c>
      <c r="T29" s="8">
        <v>0.67</v>
      </c>
      <c r="U29" s="9">
        <v>0.25</v>
      </c>
      <c r="V29" s="8">
        <v>0.17</v>
      </c>
      <c r="W29" s="17"/>
      <c r="X29" s="65">
        <v>46250</v>
      </c>
    </row>
    <row r="30" spans="1:24" ht="19.8" thickBot="1" x14ac:dyDescent="0.3">
      <c r="A30" s="4" t="s">
        <v>117</v>
      </c>
      <c r="B30" s="8">
        <v>0.1</v>
      </c>
      <c r="C30" s="9">
        <v>0.1</v>
      </c>
      <c r="D30" s="8">
        <v>0.4</v>
      </c>
      <c r="E30" s="10" t="s">
        <v>381</v>
      </c>
      <c r="F30" s="11" t="s">
        <v>384</v>
      </c>
      <c r="G30" s="12" t="s">
        <v>220</v>
      </c>
      <c r="H30" s="13" t="s">
        <v>227</v>
      </c>
      <c r="I30" s="14">
        <v>10</v>
      </c>
      <c r="J30" s="14" t="s">
        <v>10</v>
      </c>
      <c r="K30" s="5" t="s">
        <v>491</v>
      </c>
      <c r="L30" s="6">
        <v>0.75</v>
      </c>
      <c r="M30" s="7" t="s">
        <v>492</v>
      </c>
      <c r="N30" s="14" t="s">
        <v>11</v>
      </c>
      <c r="O30" s="14">
        <v>11</v>
      </c>
      <c r="P30" s="13" t="s">
        <v>265</v>
      </c>
      <c r="Q30" s="12" t="s">
        <v>314</v>
      </c>
      <c r="R30" s="11" t="s">
        <v>217</v>
      </c>
      <c r="S30" s="10" t="s">
        <v>255</v>
      </c>
      <c r="T30" s="8">
        <v>0.73</v>
      </c>
      <c r="U30" s="9">
        <v>0.45</v>
      </c>
      <c r="V30" s="8">
        <v>0.09</v>
      </c>
      <c r="W30" s="17"/>
      <c r="X30" s="65">
        <v>46250</v>
      </c>
    </row>
    <row r="31" spans="1:24" ht="19.8" thickBot="1" x14ac:dyDescent="0.3">
      <c r="A31" s="4" t="s">
        <v>117</v>
      </c>
      <c r="B31" s="8">
        <v>0.17</v>
      </c>
      <c r="C31" s="9">
        <v>0.5</v>
      </c>
      <c r="D31" s="8">
        <v>0.67</v>
      </c>
      <c r="E31" s="10" t="s">
        <v>288</v>
      </c>
      <c r="F31" s="11" t="s">
        <v>373</v>
      </c>
      <c r="G31" s="12" t="s">
        <v>225</v>
      </c>
      <c r="H31" s="13" t="s">
        <v>216</v>
      </c>
      <c r="I31" s="14">
        <v>12</v>
      </c>
      <c r="J31" s="14" t="s">
        <v>10</v>
      </c>
      <c r="K31" s="5" t="s">
        <v>493</v>
      </c>
      <c r="L31" s="6">
        <v>0.75</v>
      </c>
      <c r="M31" s="7" t="s">
        <v>494</v>
      </c>
      <c r="N31" s="14" t="s">
        <v>11</v>
      </c>
      <c r="O31" s="14">
        <v>12</v>
      </c>
      <c r="P31" s="13" t="s">
        <v>217</v>
      </c>
      <c r="Q31" s="12" t="s">
        <v>225</v>
      </c>
      <c r="R31" s="11" t="s">
        <v>217</v>
      </c>
      <c r="S31" s="10" t="s">
        <v>293</v>
      </c>
      <c r="T31" s="8">
        <v>0.83</v>
      </c>
      <c r="U31" s="9">
        <v>0.42</v>
      </c>
      <c r="V31" s="8">
        <v>0</v>
      </c>
      <c r="W31" s="17"/>
      <c r="X31" s="65">
        <v>46250</v>
      </c>
    </row>
    <row r="32" spans="1:24" ht="13.8" thickBot="1" x14ac:dyDescent="0.3">
      <c r="A32" s="4" t="s">
        <v>117</v>
      </c>
      <c r="B32" s="8">
        <v>0.08</v>
      </c>
      <c r="C32" s="9">
        <v>0.33</v>
      </c>
      <c r="D32" s="8">
        <v>0.67</v>
      </c>
      <c r="E32" s="10" t="s">
        <v>310</v>
      </c>
      <c r="F32" s="11" t="s">
        <v>348</v>
      </c>
      <c r="G32" s="12" t="s">
        <v>367</v>
      </c>
      <c r="H32" s="13" t="s">
        <v>220</v>
      </c>
      <c r="I32" s="14">
        <v>12</v>
      </c>
      <c r="J32" s="14" t="s">
        <v>10</v>
      </c>
      <c r="K32" s="5" t="s">
        <v>116</v>
      </c>
      <c r="L32" s="6">
        <v>0.79166666666666663</v>
      </c>
      <c r="M32" s="7" t="s">
        <v>495</v>
      </c>
      <c r="N32" s="14" t="s">
        <v>11</v>
      </c>
      <c r="O32" s="14">
        <v>12</v>
      </c>
      <c r="P32" s="13" t="s">
        <v>373</v>
      </c>
      <c r="Q32" s="12" t="s">
        <v>252</v>
      </c>
      <c r="R32" s="11" t="s">
        <v>348</v>
      </c>
      <c r="S32" s="10" t="s">
        <v>217</v>
      </c>
      <c r="T32" s="8">
        <v>0.5</v>
      </c>
      <c r="U32" s="9">
        <v>0.5</v>
      </c>
      <c r="V32" s="8">
        <v>0.33</v>
      </c>
      <c r="W32" s="17"/>
      <c r="X32" s="65">
        <v>46250</v>
      </c>
    </row>
    <row r="33" spans="1:24" ht="13.8" thickBot="1" x14ac:dyDescent="0.3">
      <c r="A33" s="4" t="s">
        <v>117</v>
      </c>
      <c r="B33" s="8">
        <v>0.27</v>
      </c>
      <c r="C33" s="15">
        <v>0.55000000000000004</v>
      </c>
      <c r="D33" s="8">
        <v>0.73</v>
      </c>
      <c r="E33" s="10" t="s">
        <v>265</v>
      </c>
      <c r="F33" s="11" t="s">
        <v>303</v>
      </c>
      <c r="G33" s="12" t="s">
        <v>257</v>
      </c>
      <c r="H33" s="13" t="s">
        <v>311</v>
      </c>
      <c r="I33" s="14">
        <v>11</v>
      </c>
      <c r="J33" s="14" t="s">
        <v>10</v>
      </c>
      <c r="K33" s="5" t="s">
        <v>124</v>
      </c>
      <c r="L33" s="6">
        <v>0.83333333333333337</v>
      </c>
      <c r="M33" s="7" t="s">
        <v>496</v>
      </c>
      <c r="N33" s="14" t="s">
        <v>11</v>
      </c>
      <c r="O33" s="14">
        <v>10</v>
      </c>
      <c r="P33" s="13" t="s">
        <v>220</v>
      </c>
      <c r="Q33" s="12" t="s">
        <v>220</v>
      </c>
      <c r="R33" s="11" t="s">
        <v>217</v>
      </c>
      <c r="S33" s="10" t="s">
        <v>247</v>
      </c>
      <c r="T33" s="8">
        <v>0.5</v>
      </c>
      <c r="U33" s="9">
        <v>0.2</v>
      </c>
      <c r="V33" s="8">
        <v>0</v>
      </c>
      <c r="W33" s="17"/>
      <c r="X33" s="65">
        <v>46250</v>
      </c>
    </row>
    <row r="34" spans="1:24" ht="13.8" thickBot="1" x14ac:dyDescent="0.3">
      <c r="A34" s="4" t="s">
        <v>253</v>
      </c>
      <c r="B34" s="63"/>
      <c r="C34" s="63"/>
      <c r="D34" s="63"/>
      <c r="E34" s="63"/>
      <c r="F34" s="63"/>
      <c r="G34" s="63"/>
      <c r="H34" s="63"/>
      <c r="I34" s="64"/>
      <c r="J34" s="14" t="s">
        <v>10</v>
      </c>
      <c r="K34" s="5" t="s">
        <v>497</v>
      </c>
      <c r="L34" s="6">
        <v>0.41666666666666669</v>
      </c>
      <c r="M34" s="7" t="s">
        <v>498</v>
      </c>
      <c r="N34" s="14" t="s">
        <v>11</v>
      </c>
      <c r="O34" s="14">
        <v>1</v>
      </c>
      <c r="P34" s="13" t="s">
        <v>217</v>
      </c>
      <c r="Q34" s="12" t="s">
        <v>226</v>
      </c>
      <c r="R34" s="11" t="s">
        <v>216</v>
      </c>
      <c r="S34" s="10" t="s">
        <v>216</v>
      </c>
      <c r="T34" s="8">
        <v>1</v>
      </c>
      <c r="U34" s="15">
        <v>1</v>
      </c>
      <c r="V34" s="8">
        <v>1</v>
      </c>
      <c r="W34" s="17"/>
      <c r="X34" s="65">
        <v>46250</v>
      </c>
    </row>
    <row r="35" spans="1:24" ht="19.8" thickBot="1" x14ac:dyDescent="0.3">
      <c r="A35" s="4" t="s">
        <v>126</v>
      </c>
      <c r="B35" s="8">
        <v>0.1</v>
      </c>
      <c r="C35" s="9">
        <v>0.5</v>
      </c>
      <c r="D35" s="8">
        <v>0.6</v>
      </c>
      <c r="E35" s="10" t="s">
        <v>217</v>
      </c>
      <c r="F35" s="11" t="s">
        <v>270</v>
      </c>
      <c r="G35" s="12" t="s">
        <v>267</v>
      </c>
      <c r="H35" s="13" t="s">
        <v>273</v>
      </c>
      <c r="I35" s="14">
        <v>10</v>
      </c>
      <c r="J35" s="14" t="s">
        <v>10</v>
      </c>
      <c r="K35" s="5" t="s">
        <v>499</v>
      </c>
      <c r="L35" s="6">
        <v>0.125</v>
      </c>
      <c r="M35" s="7" t="s">
        <v>130</v>
      </c>
      <c r="N35" s="14" t="s">
        <v>11</v>
      </c>
      <c r="O35" s="14">
        <v>11</v>
      </c>
      <c r="P35" s="13" t="s">
        <v>300</v>
      </c>
      <c r="Q35" s="12" t="s">
        <v>500</v>
      </c>
      <c r="R35" s="11" t="s">
        <v>217</v>
      </c>
      <c r="S35" s="10" t="s">
        <v>263</v>
      </c>
      <c r="T35" s="8">
        <v>0.82</v>
      </c>
      <c r="U35" s="15">
        <v>0.64</v>
      </c>
      <c r="V35" s="8">
        <v>0.45</v>
      </c>
      <c r="W35" s="17"/>
      <c r="X35" s="65">
        <v>46250</v>
      </c>
    </row>
    <row r="36" spans="1:24" ht="19.8" thickBot="1" x14ac:dyDescent="0.3">
      <c r="A36" s="4" t="s">
        <v>126</v>
      </c>
      <c r="B36" s="8">
        <v>0.5</v>
      </c>
      <c r="C36" s="15">
        <v>0.7</v>
      </c>
      <c r="D36" s="8">
        <v>0.9</v>
      </c>
      <c r="E36" s="10" t="s">
        <v>249</v>
      </c>
      <c r="F36" s="11" t="s">
        <v>221</v>
      </c>
      <c r="G36" s="12" t="s">
        <v>385</v>
      </c>
      <c r="H36" s="13" t="s">
        <v>216</v>
      </c>
      <c r="I36" s="14">
        <v>10</v>
      </c>
      <c r="J36" s="14" t="s">
        <v>10</v>
      </c>
      <c r="K36" s="5" t="s">
        <v>501</v>
      </c>
      <c r="L36" s="6">
        <v>8.3333333333333329E-2</v>
      </c>
      <c r="M36" s="7" t="s">
        <v>502</v>
      </c>
      <c r="N36" s="14" t="s">
        <v>11</v>
      </c>
      <c r="O36" s="14">
        <v>10</v>
      </c>
      <c r="P36" s="13" t="s">
        <v>248</v>
      </c>
      <c r="Q36" s="12" t="s">
        <v>269</v>
      </c>
      <c r="R36" s="11" t="s">
        <v>268</v>
      </c>
      <c r="S36" s="10" t="s">
        <v>233</v>
      </c>
      <c r="T36" s="8">
        <v>1</v>
      </c>
      <c r="U36" s="15">
        <v>0.8</v>
      </c>
      <c r="V36" s="8">
        <v>0.6</v>
      </c>
      <c r="W36" s="17"/>
      <c r="X36" s="65">
        <v>46250</v>
      </c>
    </row>
    <row r="37" spans="1:24" ht="19.8" thickBot="1" x14ac:dyDescent="0.3">
      <c r="A37" s="4" t="s">
        <v>126</v>
      </c>
      <c r="B37" s="8">
        <v>0.6</v>
      </c>
      <c r="C37" s="15">
        <v>0.8</v>
      </c>
      <c r="D37" s="8">
        <v>0.9</v>
      </c>
      <c r="E37" s="10" t="s">
        <v>270</v>
      </c>
      <c r="F37" s="11" t="s">
        <v>282</v>
      </c>
      <c r="G37" s="12" t="s">
        <v>272</v>
      </c>
      <c r="H37" s="13" t="s">
        <v>233</v>
      </c>
      <c r="I37" s="14">
        <v>10</v>
      </c>
      <c r="J37" s="14" t="s">
        <v>10</v>
      </c>
      <c r="K37" s="5" t="s">
        <v>503</v>
      </c>
      <c r="L37" s="6">
        <v>8.3333333333333329E-2</v>
      </c>
      <c r="M37" s="7" t="s">
        <v>504</v>
      </c>
      <c r="N37" s="14" t="s">
        <v>11</v>
      </c>
      <c r="O37" s="14">
        <v>10</v>
      </c>
      <c r="P37" s="13" t="s">
        <v>381</v>
      </c>
      <c r="Q37" s="12" t="s">
        <v>226</v>
      </c>
      <c r="R37" s="11" t="s">
        <v>270</v>
      </c>
      <c r="S37" s="10" t="s">
        <v>275</v>
      </c>
      <c r="T37" s="8">
        <v>0.9</v>
      </c>
      <c r="U37" s="15">
        <v>0.7</v>
      </c>
      <c r="V37" s="8">
        <v>0.6</v>
      </c>
      <c r="W37" s="17"/>
      <c r="X37" s="65">
        <v>46250</v>
      </c>
    </row>
    <row r="38" spans="1:24" ht="19.8" thickBot="1" x14ac:dyDescent="0.3">
      <c r="A38" s="4" t="s">
        <v>126</v>
      </c>
      <c r="B38" s="8">
        <v>0.5</v>
      </c>
      <c r="C38" s="15">
        <v>0.9</v>
      </c>
      <c r="D38" s="8">
        <v>1</v>
      </c>
      <c r="E38" s="10" t="s">
        <v>216</v>
      </c>
      <c r="F38" s="11" t="s">
        <v>268</v>
      </c>
      <c r="G38" s="12" t="s">
        <v>283</v>
      </c>
      <c r="H38" s="13" t="s">
        <v>217</v>
      </c>
      <c r="I38" s="14">
        <v>10</v>
      </c>
      <c r="J38" s="14" t="s">
        <v>10</v>
      </c>
      <c r="K38" s="5" t="s">
        <v>505</v>
      </c>
      <c r="L38" s="6">
        <v>8.3333333333333329E-2</v>
      </c>
      <c r="M38" s="7" t="s">
        <v>506</v>
      </c>
      <c r="N38" s="14" t="s">
        <v>11</v>
      </c>
      <c r="O38" s="14">
        <v>10</v>
      </c>
      <c r="P38" s="13" t="s">
        <v>270</v>
      </c>
      <c r="Q38" s="12" t="s">
        <v>246</v>
      </c>
      <c r="R38" s="11" t="s">
        <v>268</v>
      </c>
      <c r="S38" s="10" t="s">
        <v>249</v>
      </c>
      <c r="T38" s="8">
        <v>0.8</v>
      </c>
      <c r="U38" s="15">
        <v>0.7</v>
      </c>
      <c r="V38" s="8">
        <v>0.6</v>
      </c>
      <c r="W38" s="17"/>
      <c r="X38" s="65">
        <v>46250</v>
      </c>
    </row>
    <row r="39" spans="1:24" ht="19.8" thickBot="1" x14ac:dyDescent="0.3">
      <c r="A39" s="4" t="s">
        <v>126</v>
      </c>
      <c r="B39" s="8">
        <v>0.5</v>
      </c>
      <c r="C39" s="15">
        <v>0.6</v>
      </c>
      <c r="D39" s="8">
        <v>0.8</v>
      </c>
      <c r="E39" s="10" t="s">
        <v>273</v>
      </c>
      <c r="F39" s="11" t="s">
        <v>268</v>
      </c>
      <c r="G39" s="12" t="s">
        <v>383</v>
      </c>
      <c r="H39" s="13" t="s">
        <v>248</v>
      </c>
      <c r="I39" s="14">
        <v>10</v>
      </c>
      <c r="J39" s="14" t="s">
        <v>10</v>
      </c>
      <c r="K39" s="5" t="s">
        <v>507</v>
      </c>
      <c r="L39" s="6">
        <v>8.3333333333333329E-2</v>
      </c>
      <c r="M39" s="7" t="s">
        <v>508</v>
      </c>
      <c r="N39" s="14" t="s">
        <v>11</v>
      </c>
      <c r="O39" s="14">
        <v>10</v>
      </c>
      <c r="P39" s="13" t="s">
        <v>274</v>
      </c>
      <c r="Q39" s="12" t="s">
        <v>280</v>
      </c>
      <c r="R39" s="11" t="s">
        <v>220</v>
      </c>
      <c r="S39" s="10" t="s">
        <v>268</v>
      </c>
      <c r="T39" s="8">
        <v>0.9</v>
      </c>
      <c r="U39" s="9">
        <v>0.5</v>
      </c>
      <c r="V39" s="8">
        <v>0.3</v>
      </c>
      <c r="W39" s="17"/>
      <c r="X39" s="65">
        <v>46250</v>
      </c>
    </row>
    <row r="40" spans="1:24" ht="13.8" thickBot="1" x14ac:dyDescent="0.3">
      <c r="A40" s="4" t="s">
        <v>126</v>
      </c>
      <c r="B40" s="8">
        <v>0.3</v>
      </c>
      <c r="C40" s="15">
        <v>0.7</v>
      </c>
      <c r="D40" s="8">
        <v>0.7</v>
      </c>
      <c r="E40" s="10" t="s">
        <v>227</v>
      </c>
      <c r="F40" s="11" t="s">
        <v>227</v>
      </c>
      <c r="G40" s="12" t="s">
        <v>275</v>
      </c>
      <c r="H40" s="13" t="s">
        <v>220</v>
      </c>
      <c r="I40" s="14">
        <v>10</v>
      </c>
      <c r="J40" s="14" t="s">
        <v>10</v>
      </c>
      <c r="K40" s="5" t="s">
        <v>509</v>
      </c>
      <c r="L40" s="6">
        <v>8.3333333333333329E-2</v>
      </c>
      <c r="M40" s="7" t="s">
        <v>510</v>
      </c>
      <c r="N40" s="14" t="s">
        <v>11</v>
      </c>
      <c r="O40" s="14">
        <v>10</v>
      </c>
      <c r="P40" s="13" t="s">
        <v>274</v>
      </c>
      <c r="Q40" s="12" t="s">
        <v>226</v>
      </c>
      <c r="R40" s="11" t="s">
        <v>216</v>
      </c>
      <c r="S40" s="10" t="s">
        <v>216</v>
      </c>
      <c r="T40" s="8">
        <v>0.9</v>
      </c>
      <c r="U40" s="15">
        <v>0.8</v>
      </c>
      <c r="V40" s="8">
        <v>0.7</v>
      </c>
      <c r="W40" s="17"/>
      <c r="X40" s="65">
        <v>46250</v>
      </c>
    </row>
    <row r="41" spans="1:24" ht="13.8" thickBot="1" x14ac:dyDescent="0.3">
      <c r="A41" s="4" t="s">
        <v>126</v>
      </c>
      <c r="B41" s="8">
        <v>0.3</v>
      </c>
      <c r="C41" s="15">
        <v>0.6</v>
      </c>
      <c r="D41" s="8">
        <v>0.9</v>
      </c>
      <c r="E41" s="10" t="s">
        <v>279</v>
      </c>
      <c r="F41" s="11" t="s">
        <v>274</v>
      </c>
      <c r="G41" s="12" t="s">
        <v>281</v>
      </c>
      <c r="H41" s="13" t="s">
        <v>270</v>
      </c>
      <c r="I41" s="14">
        <v>10</v>
      </c>
      <c r="J41" s="14" t="s">
        <v>10</v>
      </c>
      <c r="K41" s="5" t="s">
        <v>511</v>
      </c>
      <c r="L41" s="6">
        <v>8.3333333333333329E-2</v>
      </c>
      <c r="M41" s="7" t="s">
        <v>512</v>
      </c>
      <c r="N41" s="14" t="s">
        <v>11</v>
      </c>
      <c r="O41" s="14">
        <v>10</v>
      </c>
      <c r="P41" s="13" t="s">
        <v>279</v>
      </c>
      <c r="Q41" s="12" t="s">
        <v>283</v>
      </c>
      <c r="R41" s="11" t="s">
        <v>279</v>
      </c>
      <c r="S41" s="10" t="s">
        <v>271</v>
      </c>
      <c r="T41" s="8">
        <v>0.9</v>
      </c>
      <c r="U41" s="15">
        <v>0.7</v>
      </c>
      <c r="V41" s="8">
        <v>0.4</v>
      </c>
      <c r="W41" s="17"/>
      <c r="X41" s="65">
        <v>46250</v>
      </c>
    </row>
    <row r="42" spans="1:24" ht="19.8" thickBot="1" x14ac:dyDescent="0.3">
      <c r="A42" s="4" t="s">
        <v>126</v>
      </c>
      <c r="B42" s="8">
        <v>0.44</v>
      </c>
      <c r="C42" s="15">
        <v>0.67</v>
      </c>
      <c r="D42" s="8">
        <v>0.78</v>
      </c>
      <c r="E42" s="10" t="s">
        <v>216</v>
      </c>
      <c r="F42" s="11" t="s">
        <v>228</v>
      </c>
      <c r="G42" s="12" t="s">
        <v>340</v>
      </c>
      <c r="H42" s="13" t="s">
        <v>326</v>
      </c>
      <c r="I42" s="14">
        <v>9</v>
      </c>
      <c r="J42" s="14" t="s">
        <v>10</v>
      </c>
      <c r="K42" s="5" t="s">
        <v>513</v>
      </c>
      <c r="L42" s="6">
        <v>0.10416666666666667</v>
      </c>
      <c r="M42" s="7" t="s">
        <v>514</v>
      </c>
      <c r="N42" s="14" t="s">
        <v>11</v>
      </c>
      <c r="O42" s="14">
        <v>9</v>
      </c>
      <c r="P42" s="13" t="s">
        <v>217</v>
      </c>
      <c r="Q42" s="12" t="s">
        <v>515</v>
      </c>
      <c r="R42" s="11" t="s">
        <v>216</v>
      </c>
      <c r="S42" s="10" t="s">
        <v>387</v>
      </c>
      <c r="T42" s="8">
        <v>0.78</v>
      </c>
      <c r="U42" s="15">
        <v>0.78</v>
      </c>
      <c r="V42" s="8">
        <v>0.44</v>
      </c>
      <c r="W42" s="17"/>
      <c r="X42" s="65">
        <v>46250</v>
      </c>
    </row>
    <row r="43" spans="1:24" ht="19.8" thickBot="1" x14ac:dyDescent="0.3">
      <c r="A43" s="4" t="s">
        <v>126</v>
      </c>
      <c r="B43" s="8">
        <v>0.44</v>
      </c>
      <c r="C43" s="15">
        <v>0.78</v>
      </c>
      <c r="D43" s="8">
        <v>1</v>
      </c>
      <c r="E43" s="10" t="s">
        <v>216</v>
      </c>
      <c r="F43" s="11" t="s">
        <v>333</v>
      </c>
      <c r="G43" s="12" t="s">
        <v>379</v>
      </c>
      <c r="H43" s="13" t="s">
        <v>344</v>
      </c>
      <c r="I43" s="14">
        <v>9</v>
      </c>
      <c r="J43" s="14" t="s">
        <v>10</v>
      </c>
      <c r="K43" s="5" t="s">
        <v>516</v>
      </c>
      <c r="L43" s="6">
        <v>0.1875</v>
      </c>
      <c r="M43" s="7" t="s">
        <v>517</v>
      </c>
      <c r="N43" s="14" t="s">
        <v>11</v>
      </c>
      <c r="O43" s="14">
        <v>9</v>
      </c>
      <c r="P43" s="13" t="s">
        <v>284</v>
      </c>
      <c r="Q43" s="12" t="s">
        <v>285</v>
      </c>
      <c r="R43" s="11" t="s">
        <v>231</v>
      </c>
      <c r="S43" s="10" t="s">
        <v>344</v>
      </c>
      <c r="T43" s="8">
        <v>1</v>
      </c>
      <c r="U43" s="15">
        <v>0.89</v>
      </c>
      <c r="V43" s="8">
        <v>0.44</v>
      </c>
      <c r="W43" s="17"/>
      <c r="X43" s="65">
        <v>46250</v>
      </c>
    </row>
    <row r="44" spans="1:24" ht="19.8" thickBot="1" x14ac:dyDescent="0.3">
      <c r="A44" s="4" t="s">
        <v>126</v>
      </c>
      <c r="B44" s="8">
        <v>0.31</v>
      </c>
      <c r="C44" s="15">
        <v>0.62</v>
      </c>
      <c r="D44" s="8">
        <v>0.69</v>
      </c>
      <c r="E44" s="10" t="s">
        <v>518</v>
      </c>
      <c r="F44" s="11" t="s">
        <v>519</v>
      </c>
      <c r="G44" s="12" t="s">
        <v>520</v>
      </c>
      <c r="H44" s="13" t="s">
        <v>250</v>
      </c>
      <c r="I44" s="14">
        <v>13</v>
      </c>
      <c r="J44" s="14" t="s">
        <v>10</v>
      </c>
      <c r="K44" s="5" t="s">
        <v>521</v>
      </c>
      <c r="L44" s="6">
        <v>0.125</v>
      </c>
      <c r="M44" s="7" t="s">
        <v>522</v>
      </c>
      <c r="N44" s="14" t="s">
        <v>11</v>
      </c>
      <c r="O44" s="14">
        <v>13</v>
      </c>
      <c r="P44" s="13" t="s">
        <v>523</v>
      </c>
      <c r="Q44" s="12" t="s">
        <v>524</v>
      </c>
      <c r="R44" s="11" t="s">
        <v>525</v>
      </c>
      <c r="S44" s="10" t="s">
        <v>391</v>
      </c>
      <c r="T44" s="8">
        <v>0.85</v>
      </c>
      <c r="U44" s="9">
        <v>0.46</v>
      </c>
      <c r="V44" s="8">
        <v>0.15</v>
      </c>
      <c r="W44" s="17"/>
      <c r="X44" s="65">
        <v>46250</v>
      </c>
    </row>
    <row r="45" spans="1:24" ht="13.8" thickBot="1" x14ac:dyDescent="0.3">
      <c r="A45" s="4" t="s">
        <v>126</v>
      </c>
      <c r="B45" s="8">
        <v>0.15</v>
      </c>
      <c r="C45" s="9">
        <v>0.31</v>
      </c>
      <c r="D45" s="8">
        <v>0.62</v>
      </c>
      <c r="E45" s="10" t="s">
        <v>523</v>
      </c>
      <c r="F45" s="11" t="s">
        <v>526</v>
      </c>
      <c r="G45" s="12" t="s">
        <v>527</v>
      </c>
      <c r="H45" s="13" t="s">
        <v>528</v>
      </c>
      <c r="I45" s="14">
        <v>13</v>
      </c>
      <c r="J45" s="14" t="s">
        <v>10</v>
      </c>
      <c r="K45" s="5" t="s">
        <v>529</v>
      </c>
      <c r="L45" s="6">
        <v>0.125</v>
      </c>
      <c r="M45" s="7" t="s">
        <v>530</v>
      </c>
      <c r="N45" s="14" t="s">
        <v>11</v>
      </c>
      <c r="O45" s="14">
        <v>14</v>
      </c>
      <c r="P45" s="13" t="s">
        <v>256</v>
      </c>
      <c r="Q45" s="12" t="s">
        <v>399</v>
      </c>
      <c r="R45" s="11" t="s">
        <v>395</v>
      </c>
      <c r="S45" s="10" t="s">
        <v>350</v>
      </c>
      <c r="T45" s="8">
        <v>0.71</v>
      </c>
      <c r="U45" s="15">
        <v>0.71</v>
      </c>
      <c r="V45" s="8">
        <v>0.28999999999999998</v>
      </c>
      <c r="W45" s="17"/>
      <c r="X45" s="65">
        <v>46250</v>
      </c>
    </row>
    <row r="46" spans="1:24" ht="19.8" thickBot="1" x14ac:dyDescent="0.3">
      <c r="A46" s="4" t="s">
        <v>126</v>
      </c>
      <c r="B46" s="8">
        <v>0.38</v>
      </c>
      <c r="C46" s="15">
        <v>0.62</v>
      </c>
      <c r="D46" s="8">
        <v>0.77</v>
      </c>
      <c r="E46" s="10" t="s">
        <v>287</v>
      </c>
      <c r="F46" s="11" t="s">
        <v>518</v>
      </c>
      <c r="G46" s="12" t="s">
        <v>433</v>
      </c>
      <c r="H46" s="13" t="s">
        <v>531</v>
      </c>
      <c r="I46" s="14">
        <v>13</v>
      </c>
      <c r="J46" s="14" t="s">
        <v>10</v>
      </c>
      <c r="K46" s="5" t="s">
        <v>532</v>
      </c>
      <c r="L46" s="6">
        <v>0.125</v>
      </c>
      <c r="M46" s="7" t="s">
        <v>533</v>
      </c>
      <c r="N46" s="14" t="s">
        <v>11</v>
      </c>
      <c r="O46" s="14">
        <v>14</v>
      </c>
      <c r="P46" s="13" t="s">
        <v>534</v>
      </c>
      <c r="Q46" s="12" t="s">
        <v>535</v>
      </c>
      <c r="R46" s="11" t="s">
        <v>292</v>
      </c>
      <c r="S46" s="10" t="s">
        <v>534</v>
      </c>
      <c r="T46" s="8">
        <v>0.56999999999999995</v>
      </c>
      <c r="U46" s="9">
        <v>0.36</v>
      </c>
      <c r="V46" s="8">
        <v>0.14000000000000001</v>
      </c>
      <c r="W46" s="17"/>
      <c r="X46" s="65">
        <v>46250</v>
      </c>
    </row>
    <row r="47" spans="1:24" ht="13.8" thickBot="1" x14ac:dyDescent="0.3">
      <c r="A47" s="4" t="s">
        <v>126</v>
      </c>
      <c r="B47" s="8">
        <v>0</v>
      </c>
      <c r="C47" s="9">
        <v>0</v>
      </c>
      <c r="D47" s="8">
        <v>1</v>
      </c>
      <c r="E47" s="10" t="s">
        <v>216</v>
      </c>
      <c r="F47" s="11" t="s">
        <v>219</v>
      </c>
      <c r="G47" s="12" t="s">
        <v>216</v>
      </c>
      <c r="H47" s="13" t="s">
        <v>219</v>
      </c>
      <c r="I47" s="14">
        <v>1</v>
      </c>
      <c r="J47" s="14" t="s">
        <v>10</v>
      </c>
      <c r="K47" s="5" t="s">
        <v>536</v>
      </c>
      <c r="L47" s="6">
        <v>0.54166666666666663</v>
      </c>
      <c r="M47" s="7" t="s">
        <v>537</v>
      </c>
      <c r="N47" s="14" t="s">
        <v>11</v>
      </c>
      <c r="O47" s="14">
        <v>1</v>
      </c>
      <c r="P47" s="13" t="s">
        <v>219</v>
      </c>
      <c r="Q47" s="12" t="s">
        <v>218</v>
      </c>
      <c r="R47" s="11" t="s">
        <v>219</v>
      </c>
      <c r="S47" s="10" t="s">
        <v>218</v>
      </c>
      <c r="T47" s="8">
        <v>1</v>
      </c>
      <c r="U47" s="15">
        <v>1</v>
      </c>
      <c r="V47" s="8">
        <v>0</v>
      </c>
      <c r="W47" s="17"/>
      <c r="X47" s="65">
        <v>46250</v>
      </c>
    </row>
    <row r="48" spans="1:24" ht="13.8" thickBot="1" x14ac:dyDescent="0.3">
      <c r="A48" s="4" t="s">
        <v>126</v>
      </c>
      <c r="B48" s="8">
        <v>0</v>
      </c>
      <c r="C48" s="9">
        <v>0</v>
      </c>
      <c r="D48" s="8">
        <v>1</v>
      </c>
      <c r="E48" s="10" t="s">
        <v>217</v>
      </c>
      <c r="F48" s="11" t="s">
        <v>217</v>
      </c>
      <c r="G48" s="12" t="s">
        <v>216</v>
      </c>
      <c r="H48" s="13" t="s">
        <v>217</v>
      </c>
      <c r="I48" s="14">
        <v>1</v>
      </c>
      <c r="J48" s="14" t="s">
        <v>10</v>
      </c>
      <c r="K48" s="5" t="s">
        <v>538</v>
      </c>
      <c r="L48" s="6">
        <v>0.54166666666666663</v>
      </c>
      <c r="M48" s="7" t="s">
        <v>539</v>
      </c>
      <c r="N48" s="14" t="s">
        <v>11</v>
      </c>
      <c r="O48" s="14">
        <v>1</v>
      </c>
      <c r="P48" s="13" t="s">
        <v>217</v>
      </c>
      <c r="Q48" s="12" t="s">
        <v>216</v>
      </c>
      <c r="R48" s="11" t="s">
        <v>217</v>
      </c>
      <c r="S48" s="10" t="s">
        <v>217</v>
      </c>
      <c r="T48" s="8">
        <v>1</v>
      </c>
      <c r="U48" s="9">
        <v>0</v>
      </c>
      <c r="V48" s="8">
        <v>0</v>
      </c>
      <c r="W48" s="17"/>
      <c r="X48" s="65">
        <v>46250</v>
      </c>
    </row>
    <row r="49" spans="1:24" ht="13.8" thickBot="1" x14ac:dyDescent="0.3">
      <c r="A49" s="4" t="s">
        <v>126</v>
      </c>
      <c r="B49" s="8">
        <v>0</v>
      </c>
      <c r="C49" s="9">
        <v>0</v>
      </c>
      <c r="D49" s="8">
        <v>0</v>
      </c>
      <c r="E49" s="10" t="s">
        <v>219</v>
      </c>
      <c r="F49" s="11" t="s">
        <v>217</v>
      </c>
      <c r="G49" s="12" t="s">
        <v>217</v>
      </c>
      <c r="H49" s="13" t="s">
        <v>218</v>
      </c>
      <c r="I49" s="14">
        <v>1</v>
      </c>
      <c r="J49" s="14" t="s">
        <v>10</v>
      </c>
      <c r="K49" s="5" t="s">
        <v>540</v>
      </c>
      <c r="L49" s="6">
        <v>0.625</v>
      </c>
      <c r="M49" s="7" t="s">
        <v>541</v>
      </c>
      <c r="N49" s="14" t="s">
        <v>11</v>
      </c>
      <c r="O49" s="14">
        <v>1</v>
      </c>
      <c r="P49" s="13" t="s">
        <v>219</v>
      </c>
      <c r="Q49" s="12" t="s">
        <v>218</v>
      </c>
      <c r="R49" s="11" t="s">
        <v>219</v>
      </c>
      <c r="S49" s="10" t="s">
        <v>218</v>
      </c>
      <c r="T49" s="8">
        <v>1</v>
      </c>
      <c r="U49" s="15">
        <v>1</v>
      </c>
      <c r="V49" s="8">
        <v>0</v>
      </c>
      <c r="W49" s="17"/>
      <c r="X49" s="65">
        <v>46250</v>
      </c>
    </row>
    <row r="50" spans="1:24" ht="13.8" thickBot="1" x14ac:dyDescent="0.3">
      <c r="A50" s="4" t="s">
        <v>126</v>
      </c>
      <c r="B50" s="8">
        <v>1</v>
      </c>
      <c r="C50" s="15">
        <v>1</v>
      </c>
      <c r="D50" s="8">
        <v>1</v>
      </c>
      <c r="E50" s="10" t="s">
        <v>219</v>
      </c>
      <c r="F50" s="11" t="s">
        <v>226</v>
      </c>
      <c r="G50" s="12" t="s">
        <v>226</v>
      </c>
      <c r="H50" s="13" t="s">
        <v>218</v>
      </c>
      <c r="I50" s="14">
        <v>1</v>
      </c>
      <c r="J50" s="14" t="s">
        <v>10</v>
      </c>
      <c r="K50" s="5" t="s">
        <v>542</v>
      </c>
      <c r="L50" s="6">
        <v>0.27083333333333331</v>
      </c>
      <c r="M50" s="7" t="s">
        <v>543</v>
      </c>
      <c r="N50" s="14" t="s">
        <v>11</v>
      </c>
      <c r="O50" s="14">
        <v>1</v>
      </c>
      <c r="P50" s="13" t="s">
        <v>218</v>
      </c>
      <c r="Q50" s="12" t="s">
        <v>226</v>
      </c>
      <c r="R50" s="11" t="s">
        <v>226</v>
      </c>
      <c r="S50" s="10" t="s">
        <v>219</v>
      </c>
      <c r="T50" s="8">
        <v>1</v>
      </c>
      <c r="U50" s="15">
        <v>1</v>
      </c>
      <c r="V50" s="8">
        <v>1</v>
      </c>
      <c r="W50" s="17"/>
      <c r="X50" s="65">
        <v>46250</v>
      </c>
    </row>
    <row r="51" spans="1:24" ht="13.8" thickBot="1" x14ac:dyDescent="0.3">
      <c r="A51" s="4" t="s">
        <v>359</v>
      </c>
      <c r="B51" s="63"/>
      <c r="C51" s="63"/>
      <c r="D51" s="63"/>
      <c r="E51" s="63"/>
      <c r="F51" s="63"/>
      <c r="G51" s="63"/>
      <c r="H51" s="63"/>
      <c r="I51" s="64"/>
      <c r="J51" s="14" t="s">
        <v>10</v>
      </c>
      <c r="K51" s="5" t="s">
        <v>544</v>
      </c>
      <c r="L51" s="6">
        <v>0.54166666666666663</v>
      </c>
      <c r="M51" s="7" t="s">
        <v>545</v>
      </c>
      <c r="N51" s="14" t="s">
        <v>11</v>
      </c>
      <c r="O51" s="64"/>
      <c r="P51" s="63"/>
      <c r="Q51" s="63"/>
      <c r="R51" s="63"/>
      <c r="S51" s="63"/>
      <c r="T51" s="63"/>
      <c r="U51" s="63"/>
      <c r="V51" s="63"/>
      <c r="W51" s="17"/>
      <c r="X51" s="65">
        <v>46250</v>
      </c>
    </row>
    <row r="52" spans="1:24" ht="13.8" thickBot="1" x14ac:dyDescent="0.3">
      <c r="A52" s="4" t="s">
        <v>359</v>
      </c>
      <c r="B52" s="63"/>
      <c r="C52" s="63"/>
      <c r="D52" s="63"/>
      <c r="E52" s="63"/>
      <c r="F52" s="63"/>
      <c r="G52" s="63"/>
      <c r="H52" s="63"/>
      <c r="I52" s="64"/>
      <c r="J52" s="14" t="s">
        <v>10</v>
      </c>
      <c r="K52" s="5" t="s">
        <v>546</v>
      </c>
      <c r="L52" s="6">
        <v>0.625</v>
      </c>
      <c r="M52" s="7" t="s">
        <v>547</v>
      </c>
      <c r="N52" s="14" t="s">
        <v>11</v>
      </c>
      <c r="O52" s="64"/>
      <c r="P52" s="63"/>
      <c r="Q52" s="63"/>
      <c r="R52" s="63"/>
      <c r="S52" s="63"/>
      <c r="T52" s="63"/>
      <c r="U52" s="63"/>
      <c r="V52" s="63"/>
      <c r="W52" s="17"/>
      <c r="X52" s="65">
        <v>46250</v>
      </c>
    </row>
    <row r="53" spans="1:24" ht="13.8" thickBot="1" x14ac:dyDescent="0.3">
      <c r="A53" s="4" t="s">
        <v>289</v>
      </c>
      <c r="B53" s="8">
        <v>0.17</v>
      </c>
      <c r="C53" s="9">
        <v>0.5</v>
      </c>
      <c r="D53" s="8">
        <v>0.67</v>
      </c>
      <c r="E53" s="10" t="s">
        <v>288</v>
      </c>
      <c r="F53" s="11" t="s">
        <v>220</v>
      </c>
      <c r="G53" s="12" t="s">
        <v>334</v>
      </c>
      <c r="H53" s="13" t="s">
        <v>220</v>
      </c>
      <c r="I53" s="14">
        <v>6</v>
      </c>
      <c r="J53" s="14" t="s">
        <v>10</v>
      </c>
      <c r="K53" s="5" t="s">
        <v>548</v>
      </c>
      <c r="L53" s="6">
        <v>0.45833333333333331</v>
      </c>
      <c r="M53" s="7" t="s">
        <v>549</v>
      </c>
      <c r="N53" s="14" t="s">
        <v>11</v>
      </c>
      <c r="O53" s="14">
        <v>8</v>
      </c>
      <c r="P53" s="13" t="s">
        <v>217</v>
      </c>
      <c r="Q53" s="12" t="s">
        <v>394</v>
      </c>
      <c r="R53" s="11" t="s">
        <v>296</v>
      </c>
      <c r="S53" s="10" t="s">
        <v>223</v>
      </c>
      <c r="T53" s="8">
        <v>0.75</v>
      </c>
      <c r="U53" s="9">
        <v>0.5</v>
      </c>
      <c r="V53" s="8">
        <v>0.25</v>
      </c>
      <c r="W53" s="17"/>
      <c r="X53" s="65">
        <v>46250</v>
      </c>
    </row>
    <row r="54" spans="1:24" ht="19.8" thickBot="1" x14ac:dyDescent="0.3">
      <c r="A54" s="4" t="s">
        <v>289</v>
      </c>
      <c r="B54" s="8">
        <v>0.33</v>
      </c>
      <c r="C54" s="9">
        <v>0.5</v>
      </c>
      <c r="D54" s="8">
        <v>1</v>
      </c>
      <c r="E54" s="10" t="s">
        <v>348</v>
      </c>
      <c r="F54" s="11" t="s">
        <v>367</v>
      </c>
      <c r="G54" s="12" t="s">
        <v>218</v>
      </c>
      <c r="H54" s="13" t="s">
        <v>367</v>
      </c>
      <c r="I54" s="14">
        <v>6</v>
      </c>
      <c r="J54" s="14" t="s">
        <v>10</v>
      </c>
      <c r="K54" s="5" t="s">
        <v>550</v>
      </c>
      <c r="L54" s="6">
        <v>0.54166666666666663</v>
      </c>
      <c r="M54" s="7" t="s">
        <v>551</v>
      </c>
      <c r="N54" s="14" t="s">
        <v>11</v>
      </c>
      <c r="O54" s="14">
        <v>6</v>
      </c>
      <c r="P54" s="13" t="s">
        <v>367</v>
      </c>
      <c r="Q54" s="12" t="s">
        <v>221</v>
      </c>
      <c r="R54" s="11" t="s">
        <v>367</v>
      </c>
      <c r="S54" s="10" t="s">
        <v>310</v>
      </c>
      <c r="T54" s="8">
        <v>0.83</v>
      </c>
      <c r="U54" s="9">
        <v>0.33</v>
      </c>
      <c r="V54" s="8">
        <v>0.33</v>
      </c>
      <c r="W54" s="17"/>
      <c r="X54" s="65">
        <v>46250</v>
      </c>
    </row>
    <row r="55" spans="1:24" ht="13.8" thickBot="1" x14ac:dyDescent="0.3">
      <c r="A55" s="4" t="s">
        <v>289</v>
      </c>
      <c r="B55" s="8">
        <v>0.38</v>
      </c>
      <c r="C55" s="15">
        <v>0.75</v>
      </c>
      <c r="D55" s="8">
        <v>0.88</v>
      </c>
      <c r="E55" s="10" t="s">
        <v>217</v>
      </c>
      <c r="F55" s="11" t="s">
        <v>216</v>
      </c>
      <c r="G55" s="12" t="s">
        <v>218</v>
      </c>
      <c r="H55" s="13" t="s">
        <v>239</v>
      </c>
      <c r="I55" s="14">
        <v>8</v>
      </c>
      <c r="J55" s="14" t="s">
        <v>10</v>
      </c>
      <c r="K55" s="5" t="s">
        <v>552</v>
      </c>
      <c r="L55" s="6">
        <v>0.625</v>
      </c>
      <c r="M55" s="7" t="s">
        <v>553</v>
      </c>
      <c r="N55" s="14" t="s">
        <v>11</v>
      </c>
      <c r="O55" s="14">
        <v>9</v>
      </c>
      <c r="P55" s="13" t="s">
        <v>343</v>
      </c>
      <c r="Q55" s="12" t="s">
        <v>325</v>
      </c>
      <c r="R55" s="11" t="s">
        <v>229</v>
      </c>
      <c r="S55" s="10" t="s">
        <v>228</v>
      </c>
      <c r="T55" s="8">
        <v>0.89</v>
      </c>
      <c r="U55" s="9">
        <v>0.22</v>
      </c>
      <c r="V55" s="8">
        <v>0.22</v>
      </c>
      <c r="W55" s="17"/>
      <c r="X55" s="65">
        <v>46250</v>
      </c>
    </row>
    <row r="56" spans="1:24" ht="13.8" thickBot="1" x14ac:dyDescent="0.3">
      <c r="A56" s="4" t="s">
        <v>289</v>
      </c>
      <c r="B56" s="63"/>
      <c r="C56" s="63"/>
      <c r="D56" s="63"/>
      <c r="E56" s="63"/>
      <c r="F56" s="63"/>
      <c r="G56" s="63"/>
      <c r="H56" s="63"/>
      <c r="I56" s="64"/>
      <c r="J56" s="14" t="s">
        <v>10</v>
      </c>
      <c r="K56" s="5" t="s">
        <v>554</v>
      </c>
      <c r="L56" s="6">
        <v>0.39583333333333331</v>
      </c>
      <c r="M56" s="7" t="s">
        <v>555</v>
      </c>
      <c r="N56" s="14" t="s">
        <v>11</v>
      </c>
      <c r="O56" s="64"/>
      <c r="P56" s="63"/>
      <c r="Q56" s="63"/>
      <c r="R56" s="63"/>
      <c r="S56" s="63"/>
      <c r="T56" s="63"/>
      <c r="U56" s="63"/>
      <c r="V56" s="63"/>
      <c r="W56" s="17"/>
      <c r="X56" s="65">
        <v>46250</v>
      </c>
    </row>
    <row r="57" spans="1:24" ht="13.8" thickBot="1" x14ac:dyDescent="0.3">
      <c r="A57" s="4" t="s">
        <v>289</v>
      </c>
      <c r="B57" s="63"/>
      <c r="C57" s="63"/>
      <c r="D57" s="63"/>
      <c r="E57" s="63"/>
      <c r="F57" s="63"/>
      <c r="G57" s="63"/>
      <c r="H57" s="63"/>
      <c r="I57" s="64"/>
      <c r="J57" s="14" t="s">
        <v>10</v>
      </c>
      <c r="K57" s="5" t="s">
        <v>556</v>
      </c>
      <c r="L57" s="6">
        <v>0.5</v>
      </c>
      <c r="M57" s="7" t="s">
        <v>557</v>
      </c>
      <c r="N57" s="14" t="s">
        <v>11</v>
      </c>
      <c r="O57" s="64"/>
      <c r="P57" s="63"/>
      <c r="Q57" s="63"/>
      <c r="R57" s="63"/>
      <c r="S57" s="63"/>
      <c r="T57" s="63"/>
      <c r="U57" s="63"/>
      <c r="V57" s="63"/>
      <c r="W57" s="17"/>
      <c r="X57" s="65">
        <v>46250</v>
      </c>
    </row>
    <row r="58" spans="1:24" ht="19.8" thickBot="1" x14ac:dyDescent="0.3">
      <c r="A58" s="4" t="s">
        <v>289</v>
      </c>
      <c r="B58" s="63"/>
      <c r="C58" s="63"/>
      <c r="D58" s="63"/>
      <c r="E58" s="63"/>
      <c r="F58" s="63"/>
      <c r="G58" s="63"/>
      <c r="H58" s="63"/>
      <c r="I58" s="64"/>
      <c r="J58" s="14" t="s">
        <v>10</v>
      </c>
      <c r="K58" s="5" t="s">
        <v>558</v>
      </c>
      <c r="L58" s="6">
        <v>0.60416666666666663</v>
      </c>
      <c r="M58" s="7" t="s">
        <v>559</v>
      </c>
      <c r="N58" s="14" t="s">
        <v>11</v>
      </c>
      <c r="O58" s="64"/>
      <c r="P58" s="63"/>
      <c r="Q58" s="63"/>
      <c r="R58" s="63"/>
      <c r="S58" s="63"/>
      <c r="T58" s="63"/>
      <c r="U58" s="63"/>
      <c r="V58" s="63"/>
      <c r="W58" s="17"/>
      <c r="X58" s="65">
        <v>46250</v>
      </c>
    </row>
    <row r="59" spans="1:24" ht="13.8" thickBot="1" x14ac:dyDescent="0.3">
      <c r="A59" s="4" t="s">
        <v>289</v>
      </c>
      <c r="B59" s="63"/>
      <c r="C59" s="63"/>
      <c r="D59" s="63"/>
      <c r="E59" s="63"/>
      <c r="F59" s="63"/>
      <c r="G59" s="63"/>
      <c r="H59" s="63"/>
      <c r="I59" s="64"/>
      <c r="J59" s="14" t="s">
        <v>10</v>
      </c>
      <c r="K59" s="5" t="s">
        <v>560</v>
      </c>
      <c r="L59" s="6">
        <v>0.63541666666666663</v>
      </c>
      <c r="M59" s="7" t="s">
        <v>561</v>
      </c>
      <c r="N59" s="14" t="s">
        <v>11</v>
      </c>
      <c r="O59" s="64"/>
      <c r="P59" s="63"/>
      <c r="Q59" s="63"/>
      <c r="R59" s="63"/>
      <c r="S59" s="63"/>
      <c r="T59" s="63"/>
      <c r="U59" s="63"/>
      <c r="V59" s="63"/>
      <c r="W59" s="17"/>
      <c r="X59" s="65">
        <v>46250</v>
      </c>
    </row>
    <row r="60" spans="1:24" ht="13.8" thickBot="1" x14ac:dyDescent="0.3">
      <c r="A60" s="4" t="s">
        <v>289</v>
      </c>
      <c r="B60" s="63"/>
      <c r="C60" s="63"/>
      <c r="D60" s="63"/>
      <c r="E60" s="63"/>
      <c r="F60" s="63"/>
      <c r="G60" s="63"/>
      <c r="H60" s="63"/>
      <c r="I60" s="64"/>
      <c r="J60" s="14" t="s">
        <v>10</v>
      </c>
      <c r="K60" s="5" t="s">
        <v>562</v>
      </c>
      <c r="L60" s="6">
        <v>0.5</v>
      </c>
      <c r="M60" s="7" t="s">
        <v>563</v>
      </c>
      <c r="N60" s="14" t="s">
        <v>11</v>
      </c>
      <c r="O60" s="64"/>
      <c r="P60" s="63"/>
      <c r="Q60" s="63"/>
      <c r="R60" s="63"/>
      <c r="S60" s="63"/>
      <c r="T60" s="63"/>
      <c r="U60" s="63"/>
      <c r="V60" s="63"/>
      <c r="W60" s="17"/>
      <c r="X60" s="65">
        <v>46250</v>
      </c>
    </row>
    <row r="61" spans="1:24" ht="19.8" thickBot="1" x14ac:dyDescent="0.3">
      <c r="A61" s="4" t="s">
        <v>360</v>
      </c>
      <c r="B61" s="63"/>
      <c r="C61" s="63"/>
      <c r="D61" s="63"/>
      <c r="E61" s="63"/>
      <c r="F61" s="63"/>
      <c r="G61" s="63"/>
      <c r="H61" s="63"/>
      <c r="I61" s="64"/>
      <c r="J61" s="14" t="s">
        <v>10</v>
      </c>
      <c r="K61" s="5" t="s">
        <v>564</v>
      </c>
      <c r="L61" s="6">
        <v>0.54166666666666663</v>
      </c>
      <c r="M61" s="7" t="s">
        <v>565</v>
      </c>
      <c r="N61" s="14" t="s">
        <v>11</v>
      </c>
      <c r="O61" s="14">
        <v>1</v>
      </c>
      <c r="P61" s="13" t="s">
        <v>219</v>
      </c>
      <c r="Q61" s="12" t="s">
        <v>226</v>
      </c>
      <c r="R61" s="11" t="s">
        <v>217</v>
      </c>
      <c r="S61" s="10" t="s">
        <v>218</v>
      </c>
      <c r="T61" s="8">
        <v>1</v>
      </c>
      <c r="U61" s="15">
        <v>1</v>
      </c>
      <c r="V61" s="8">
        <v>1</v>
      </c>
      <c r="W61" s="17"/>
      <c r="X61" s="65">
        <v>46250</v>
      </c>
    </row>
    <row r="62" spans="1:24" ht="19.8" thickBot="1" x14ac:dyDescent="0.3">
      <c r="A62" s="4" t="s">
        <v>360</v>
      </c>
      <c r="B62" s="63"/>
      <c r="C62" s="63"/>
      <c r="D62" s="63"/>
      <c r="E62" s="63"/>
      <c r="F62" s="63"/>
      <c r="G62" s="63"/>
      <c r="H62" s="63"/>
      <c r="I62" s="64"/>
      <c r="J62" s="14" t="s">
        <v>10</v>
      </c>
      <c r="K62" s="5" t="s">
        <v>566</v>
      </c>
      <c r="L62" s="6">
        <v>0.70833333333333337</v>
      </c>
      <c r="M62" s="7" t="s">
        <v>567</v>
      </c>
      <c r="N62" s="14" t="s">
        <v>11</v>
      </c>
      <c r="O62" s="64"/>
      <c r="P62" s="63"/>
      <c r="Q62" s="63"/>
      <c r="R62" s="63"/>
      <c r="S62" s="63"/>
      <c r="T62" s="63"/>
      <c r="U62" s="63"/>
      <c r="V62" s="63"/>
      <c r="W62" s="17"/>
      <c r="X62" s="65">
        <v>46250</v>
      </c>
    </row>
    <row r="63" spans="1:24" ht="13.8" thickBot="1" x14ac:dyDescent="0.3">
      <c r="A63" s="4" t="s">
        <v>90</v>
      </c>
      <c r="B63" s="8">
        <v>0.22</v>
      </c>
      <c r="C63" s="9">
        <v>0.44</v>
      </c>
      <c r="D63" s="8">
        <v>0.78</v>
      </c>
      <c r="E63" s="10" t="s">
        <v>306</v>
      </c>
      <c r="F63" s="11" t="s">
        <v>344</v>
      </c>
      <c r="G63" s="12" t="s">
        <v>230</v>
      </c>
      <c r="H63" s="13" t="s">
        <v>231</v>
      </c>
      <c r="I63" s="14">
        <v>9</v>
      </c>
      <c r="J63" s="14" t="s">
        <v>10</v>
      </c>
      <c r="K63" s="5" t="s">
        <v>568</v>
      </c>
      <c r="L63" s="6">
        <v>0.91666666666666663</v>
      </c>
      <c r="M63" s="7" t="s">
        <v>569</v>
      </c>
      <c r="N63" s="14" t="s">
        <v>11</v>
      </c>
      <c r="O63" s="14">
        <v>11</v>
      </c>
      <c r="P63" s="13" t="s">
        <v>260</v>
      </c>
      <c r="Q63" s="12" t="s">
        <v>304</v>
      </c>
      <c r="R63" s="11" t="s">
        <v>265</v>
      </c>
      <c r="S63" s="10" t="s">
        <v>302</v>
      </c>
      <c r="T63" s="8">
        <v>0.73</v>
      </c>
      <c r="U63" s="15">
        <v>0.55000000000000004</v>
      </c>
      <c r="V63" s="8">
        <v>0.27</v>
      </c>
      <c r="W63" s="17"/>
      <c r="X63" s="65">
        <v>46250</v>
      </c>
    </row>
    <row r="64" spans="1:24" ht="13.8" thickBot="1" x14ac:dyDescent="0.3">
      <c r="A64" s="4" t="s">
        <v>90</v>
      </c>
      <c r="B64" s="8">
        <v>0.6</v>
      </c>
      <c r="C64" s="15">
        <v>0.7</v>
      </c>
      <c r="D64" s="8">
        <v>0.9</v>
      </c>
      <c r="E64" s="10" t="s">
        <v>371</v>
      </c>
      <c r="F64" s="11" t="s">
        <v>271</v>
      </c>
      <c r="G64" s="12" t="s">
        <v>269</v>
      </c>
      <c r="H64" s="13" t="s">
        <v>381</v>
      </c>
      <c r="I64" s="14">
        <v>10</v>
      </c>
      <c r="J64" s="14" t="s">
        <v>10</v>
      </c>
      <c r="K64" s="5" t="s">
        <v>142</v>
      </c>
      <c r="L64" s="6">
        <v>0.5</v>
      </c>
      <c r="M64" s="7" t="s">
        <v>141</v>
      </c>
      <c r="N64" s="14" t="s">
        <v>11</v>
      </c>
      <c r="O64" s="14">
        <v>10</v>
      </c>
      <c r="P64" s="13" t="s">
        <v>220</v>
      </c>
      <c r="Q64" s="12" t="s">
        <v>282</v>
      </c>
      <c r="R64" s="11" t="s">
        <v>270</v>
      </c>
      <c r="S64" s="10" t="s">
        <v>227</v>
      </c>
      <c r="T64" s="8">
        <v>0.7</v>
      </c>
      <c r="U64" s="9">
        <v>0.5</v>
      </c>
      <c r="V64" s="8">
        <v>0.3</v>
      </c>
      <c r="W64" s="17"/>
      <c r="X64" s="65">
        <v>46250</v>
      </c>
    </row>
    <row r="65" spans="1:24" ht="13.8" thickBot="1" x14ac:dyDescent="0.3">
      <c r="A65" s="4" t="s">
        <v>90</v>
      </c>
      <c r="B65" s="8">
        <v>0.44</v>
      </c>
      <c r="C65" s="15">
        <v>0.56000000000000005</v>
      </c>
      <c r="D65" s="8">
        <v>0.78</v>
      </c>
      <c r="E65" s="10" t="s">
        <v>232</v>
      </c>
      <c r="F65" s="11" t="s">
        <v>229</v>
      </c>
      <c r="G65" s="12" t="s">
        <v>218</v>
      </c>
      <c r="H65" s="13" t="s">
        <v>343</v>
      </c>
      <c r="I65" s="14">
        <v>9</v>
      </c>
      <c r="J65" s="14" t="s">
        <v>10</v>
      </c>
      <c r="K65" s="5" t="s">
        <v>570</v>
      </c>
      <c r="L65" s="6">
        <v>0.70833333333333337</v>
      </c>
      <c r="M65" s="7" t="s">
        <v>146</v>
      </c>
      <c r="N65" s="14" t="s">
        <v>11</v>
      </c>
      <c r="O65" s="14">
        <v>10</v>
      </c>
      <c r="P65" s="13" t="s">
        <v>266</v>
      </c>
      <c r="Q65" s="12" t="s">
        <v>216</v>
      </c>
      <c r="R65" s="11" t="s">
        <v>382</v>
      </c>
      <c r="S65" s="10" t="s">
        <v>227</v>
      </c>
      <c r="T65" s="8">
        <v>0.8</v>
      </c>
      <c r="U65" s="9">
        <v>0.4</v>
      </c>
      <c r="V65" s="8">
        <v>0</v>
      </c>
      <c r="W65" s="17"/>
      <c r="X65" s="65">
        <v>46250</v>
      </c>
    </row>
    <row r="66" spans="1:24" ht="19.8" thickBot="1" x14ac:dyDescent="0.3">
      <c r="A66" s="4" t="s">
        <v>90</v>
      </c>
      <c r="B66" s="8">
        <v>0.09</v>
      </c>
      <c r="C66" s="15">
        <v>0.55000000000000004</v>
      </c>
      <c r="D66" s="8">
        <v>0.73</v>
      </c>
      <c r="E66" s="10" t="s">
        <v>265</v>
      </c>
      <c r="F66" s="11" t="s">
        <v>255</v>
      </c>
      <c r="G66" s="12" t="s">
        <v>312</v>
      </c>
      <c r="H66" s="13" t="s">
        <v>303</v>
      </c>
      <c r="I66" s="14">
        <v>11</v>
      </c>
      <c r="J66" s="14" t="s">
        <v>10</v>
      </c>
      <c r="K66" s="5" t="s">
        <v>571</v>
      </c>
      <c r="L66" s="6">
        <v>0.70833333333333337</v>
      </c>
      <c r="M66" s="7" t="s">
        <v>572</v>
      </c>
      <c r="N66" s="14" t="s">
        <v>11</v>
      </c>
      <c r="O66" s="14">
        <v>9</v>
      </c>
      <c r="P66" s="13" t="s">
        <v>326</v>
      </c>
      <c r="Q66" s="12" t="s">
        <v>241</v>
      </c>
      <c r="R66" s="11" t="s">
        <v>224</v>
      </c>
      <c r="S66" s="10" t="s">
        <v>333</v>
      </c>
      <c r="T66" s="8">
        <v>0.89</v>
      </c>
      <c r="U66" s="15">
        <v>0.78</v>
      </c>
      <c r="V66" s="8">
        <v>0.56000000000000005</v>
      </c>
      <c r="W66" s="17"/>
      <c r="X66" s="65">
        <v>46250</v>
      </c>
    </row>
    <row r="67" spans="1:24" ht="13.8" thickBot="1" x14ac:dyDescent="0.3">
      <c r="A67" s="4" t="s">
        <v>90</v>
      </c>
      <c r="B67" s="8">
        <v>0.18</v>
      </c>
      <c r="C67" s="15">
        <v>0.64</v>
      </c>
      <c r="D67" s="8">
        <v>0.73</v>
      </c>
      <c r="E67" s="10" t="s">
        <v>255</v>
      </c>
      <c r="F67" s="11" t="s">
        <v>260</v>
      </c>
      <c r="G67" s="12" t="s">
        <v>408</v>
      </c>
      <c r="H67" s="13" t="s">
        <v>256</v>
      </c>
      <c r="I67" s="14">
        <v>11</v>
      </c>
      <c r="J67" s="14" t="s">
        <v>10</v>
      </c>
      <c r="K67" s="5" t="s">
        <v>145</v>
      </c>
      <c r="L67" s="6">
        <v>0.8125</v>
      </c>
      <c r="M67" s="7" t="s">
        <v>573</v>
      </c>
      <c r="N67" s="14" t="s">
        <v>11</v>
      </c>
      <c r="O67" s="14">
        <v>11</v>
      </c>
      <c r="P67" s="13" t="s">
        <v>311</v>
      </c>
      <c r="Q67" s="12" t="s">
        <v>304</v>
      </c>
      <c r="R67" s="11" t="s">
        <v>376</v>
      </c>
      <c r="S67" s="10" t="s">
        <v>264</v>
      </c>
      <c r="T67" s="8">
        <v>0.91</v>
      </c>
      <c r="U67" s="15">
        <v>0.64</v>
      </c>
      <c r="V67" s="8">
        <v>0.18</v>
      </c>
      <c r="W67" s="17"/>
      <c r="X67" s="65">
        <v>46250</v>
      </c>
    </row>
    <row r="68" spans="1:24" ht="13.8" thickBot="1" x14ac:dyDescent="0.3">
      <c r="A68" s="4" t="s">
        <v>90</v>
      </c>
      <c r="B68" s="8">
        <v>0.2</v>
      </c>
      <c r="C68" s="9">
        <v>0.3</v>
      </c>
      <c r="D68" s="8">
        <v>0.7</v>
      </c>
      <c r="E68" s="10" t="s">
        <v>381</v>
      </c>
      <c r="F68" s="11" t="s">
        <v>220</v>
      </c>
      <c r="G68" s="12" t="s">
        <v>267</v>
      </c>
      <c r="H68" s="13" t="s">
        <v>267</v>
      </c>
      <c r="I68" s="14">
        <v>10</v>
      </c>
      <c r="J68" s="14" t="s">
        <v>10</v>
      </c>
      <c r="K68" s="5" t="s">
        <v>574</v>
      </c>
      <c r="L68" s="6">
        <v>0.8125</v>
      </c>
      <c r="M68" s="7" t="s">
        <v>317</v>
      </c>
      <c r="N68" s="14" t="s">
        <v>11</v>
      </c>
      <c r="O68" s="14">
        <v>11</v>
      </c>
      <c r="P68" s="13" t="s">
        <v>265</v>
      </c>
      <c r="Q68" s="12" t="s">
        <v>420</v>
      </c>
      <c r="R68" s="11" t="s">
        <v>303</v>
      </c>
      <c r="S68" s="10" t="s">
        <v>259</v>
      </c>
      <c r="T68" s="8">
        <v>0.82</v>
      </c>
      <c r="U68" s="15">
        <v>0.64</v>
      </c>
      <c r="V68" s="8">
        <v>0.27</v>
      </c>
      <c r="W68" s="17"/>
      <c r="X68" s="65">
        <v>46250</v>
      </c>
    </row>
    <row r="69" spans="1:24" ht="13.8" thickBot="1" x14ac:dyDescent="0.3">
      <c r="A69" s="4" t="s">
        <v>90</v>
      </c>
      <c r="B69" s="8">
        <v>0.09</v>
      </c>
      <c r="C69" s="9">
        <v>0.27</v>
      </c>
      <c r="D69" s="8">
        <v>0.55000000000000004</v>
      </c>
      <c r="E69" s="10" t="s">
        <v>298</v>
      </c>
      <c r="F69" s="11" t="s">
        <v>301</v>
      </c>
      <c r="G69" s="12" t="s">
        <v>376</v>
      </c>
      <c r="H69" s="13" t="s">
        <v>256</v>
      </c>
      <c r="I69" s="14">
        <v>11</v>
      </c>
      <c r="J69" s="14" t="s">
        <v>10</v>
      </c>
      <c r="K69" s="5" t="s">
        <v>319</v>
      </c>
      <c r="L69" s="6">
        <v>0.85416666666666663</v>
      </c>
      <c r="M69" s="7" t="s">
        <v>575</v>
      </c>
      <c r="N69" s="14" t="s">
        <v>11</v>
      </c>
      <c r="O69" s="14">
        <v>10</v>
      </c>
      <c r="P69" s="13" t="s">
        <v>227</v>
      </c>
      <c r="Q69" s="12" t="s">
        <v>275</v>
      </c>
      <c r="R69" s="11" t="s">
        <v>274</v>
      </c>
      <c r="S69" s="10" t="s">
        <v>273</v>
      </c>
      <c r="T69" s="8">
        <v>0.8</v>
      </c>
      <c r="U69" s="15">
        <v>0.6</v>
      </c>
      <c r="V69" s="8">
        <v>0.3</v>
      </c>
      <c r="W69" s="17"/>
      <c r="X69" s="65">
        <v>46250</v>
      </c>
    </row>
    <row r="70" spans="1:24" ht="13.8" thickBot="1" x14ac:dyDescent="0.3">
      <c r="A70" s="4" t="s">
        <v>90</v>
      </c>
      <c r="B70" s="8">
        <v>0.27</v>
      </c>
      <c r="C70" s="15">
        <v>0.55000000000000004</v>
      </c>
      <c r="D70" s="8">
        <v>0.64</v>
      </c>
      <c r="E70" s="10" t="s">
        <v>265</v>
      </c>
      <c r="F70" s="11" t="s">
        <v>302</v>
      </c>
      <c r="G70" s="12" t="s">
        <v>304</v>
      </c>
      <c r="H70" s="13" t="s">
        <v>311</v>
      </c>
      <c r="I70" s="14">
        <v>11</v>
      </c>
      <c r="J70" s="14" t="s">
        <v>10</v>
      </c>
      <c r="K70" s="5" t="s">
        <v>576</v>
      </c>
      <c r="L70" s="6">
        <v>0.5</v>
      </c>
      <c r="M70" s="7" t="s">
        <v>152</v>
      </c>
      <c r="N70" s="14" t="s">
        <v>11</v>
      </c>
      <c r="O70" s="14">
        <v>10</v>
      </c>
      <c r="P70" s="13" t="s">
        <v>247</v>
      </c>
      <c r="Q70" s="12" t="s">
        <v>282</v>
      </c>
      <c r="R70" s="11" t="s">
        <v>248</v>
      </c>
      <c r="S70" s="10" t="s">
        <v>273</v>
      </c>
      <c r="T70" s="8">
        <v>0.7</v>
      </c>
      <c r="U70" s="9">
        <v>0.5</v>
      </c>
      <c r="V70" s="8">
        <v>0.3</v>
      </c>
      <c r="W70" s="17"/>
      <c r="X70" s="65">
        <v>46250</v>
      </c>
    </row>
    <row r="71" spans="1:24" ht="13.8" thickBot="1" x14ac:dyDescent="0.3">
      <c r="A71" s="4" t="s">
        <v>90</v>
      </c>
      <c r="B71" s="8">
        <v>0</v>
      </c>
      <c r="C71" s="9">
        <v>0.5</v>
      </c>
      <c r="D71" s="8">
        <v>0.7</v>
      </c>
      <c r="E71" s="10" t="s">
        <v>227</v>
      </c>
      <c r="F71" s="11" t="s">
        <v>381</v>
      </c>
      <c r="G71" s="12" t="s">
        <v>233</v>
      </c>
      <c r="H71" s="13" t="s">
        <v>382</v>
      </c>
      <c r="I71" s="14">
        <v>10</v>
      </c>
      <c r="J71" s="14" t="s">
        <v>10</v>
      </c>
      <c r="K71" s="5" t="s">
        <v>147</v>
      </c>
      <c r="L71" s="6">
        <v>0.8125</v>
      </c>
      <c r="M71" s="7" t="s">
        <v>577</v>
      </c>
      <c r="N71" s="14" t="s">
        <v>11</v>
      </c>
      <c r="O71" s="14">
        <v>10</v>
      </c>
      <c r="P71" s="13" t="s">
        <v>270</v>
      </c>
      <c r="Q71" s="12" t="s">
        <v>233</v>
      </c>
      <c r="R71" s="11" t="s">
        <v>217</v>
      </c>
      <c r="S71" s="10" t="s">
        <v>274</v>
      </c>
      <c r="T71" s="8">
        <v>0.8</v>
      </c>
      <c r="U71" s="9">
        <v>0.3</v>
      </c>
      <c r="V71" s="8">
        <v>0.1</v>
      </c>
      <c r="W71" s="17"/>
      <c r="X71" s="65">
        <v>46250</v>
      </c>
    </row>
    <row r="72" spans="1:24" ht="19.8" thickBot="1" x14ac:dyDescent="0.3">
      <c r="A72" s="4" t="s">
        <v>90</v>
      </c>
      <c r="B72" s="8">
        <v>0.4</v>
      </c>
      <c r="C72" s="15">
        <v>0.6</v>
      </c>
      <c r="D72" s="8">
        <v>0.8</v>
      </c>
      <c r="E72" s="10" t="s">
        <v>227</v>
      </c>
      <c r="F72" s="11" t="s">
        <v>234</v>
      </c>
      <c r="G72" s="12" t="s">
        <v>277</v>
      </c>
      <c r="H72" s="13" t="s">
        <v>227</v>
      </c>
      <c r="I72" s="14">
        <v>10</v>
      </c>
      <c r="J72" s="14" t="s">
        <v>10</v>
      </c>
      <c r="K72" s="5" t="s">
        <v>578</v>
      </c>
      <c r="L72" s="6">
        <v>0.8125</v>
      </c>
      <c r="M72" s="7" t="s">
        <v>579</v>
      </c>
      <c r="N72" s="14" t="s">
        <v>11</v>
      </c>
      <c r="O72" s="14">
        <v>11</v>
      </c>
      <c r="P72" s="13" t="s">
        <v>302</v>
      </c>
      <c r="Q72" s="12" t="s">
        <v>312</v>
      </c>
      <c r="R72" s="11" t="s">
        <v>256</v>
      </c>
      <c r="S72" s="10" t="s">
        <v>313</v>
      </c>
      <c r="T72" s="8">
        <v>0.64</v>
      </c>
      <c r="U72" s="9">
        <v>0.45</v>
      </c>
      <c r="V72" s="8">
        <v>0.27</v>
      </c>
      <c r="W72" s="17"/>
      <c r="X72" s="65">
        <v>46250</v>
      </c>
    </row>
    <row r="73" spans="1:24" ht="13.8" thickBot="1" x14ac:dyDescent="0.3">
      <c r="A73" s="4" t="s">
        <v>90</v>
      </c>
      <c r="B73" s="8">
        <v>0</v>
      </c>
      <c r="C73" s="9">
        <v>0.38</v>
      </c>
      <c r="D73" s="8">
        <v>0.75</v>
      </c>
      <c r="E73" s="10" t="s">
        <v>222</v>
      </c>
      <c r="F73" s="11" t="s">
        <v>293</v>
      </c>
      <c r="G73" s="12" t="s">
        <v>216</v>
      </c>
      <c r="H73" s="13" t="s">
        <v>236</v>
      </c>
      <c r="I73" s="14">
        <v>8</v>
      </c>
      <c r="J73" s="14" t="s">
        <v>10</v>
      </c>
      <c r="K73" s="5" t="s">
        <v>580</v>
      </c>
      <c r="L73" s="6">
        <v>0.70833333333333337</v>
      </c>
      <c r="M73" s="7" t="s">
        <v>581</v>
      </c>
      <c r="N73" s="14" t="s">
        <v>11</v>
      </c>
      <c r="O73" s="14">
        <v>8</v>
      </c>
      <c r="P73" s="13" t="s">
        <v>220</v>
      </c>
      <c r="Q73" s="12" t="s">
        <v>236</v>
      </c>
      <c r="R73" s="11" t="s">
        <v>296</v>
      </c>
      <c r="S73" s="10" t="s">
        <v>217</v>
      </c>
      <c r="T73" s="8">
        <v>0.5</v>
      </c>
      <c r="U73" s="9">
        <v>0.38</v>
      </c>
      <c r="V73" s="8">
        <v>0.25</v>
      </c>
      <c r="W73" s="17"/>
      <c r="X73" s="65">
        <v>46250</v>
      </c>
    </row>
    <row r="74" spans="1:24" ht="13.8" thickBot="1" x14ac:dyDescent="0.3">
      <c r="A74" s="4" t="s">
        <v>90</v>
      </c>
      <c r="B74" s="8">
        <v>0.12</v>
      </c>
      <c r="C74" s="9">
        <v>0.5</v>
      </c>
      <c r="D74" s="8">
        <v>0.75</v>
      </c>
      <c r="E74" s="10" t="s">
        <v>294</v>
      </c>
      <c r="F74" s="11" t="s">
        <v>293</v>
      </c>
      <c r="G74" s="12" t="s">
        <v>295</v>
      </c>
      <c r="H74" s="13" t="s">
        <v>220</v>
      </c>
      <c r="I74" s="14">
        <v>8</v>
      </c>
      <c r="J74" s="14" t="s">
        <v>10</v>
      </c>
      <c r="K74" s="5" t="s">
        <v>582</v>
      </c>
      <c r="L74" s="6">
        <v>0.70833333333333337</v>
      </c>
      <c r="M74" s="7" t="s">
        <v>583</v>
      </c>
      <c r="N74" s="14" t="s">
        <v>11</v>
      </c>
      <c r="O74" s="14">
        <v>8</v>
      </c>
      <c r="P74" s="13" t="s">
        <v>247</v>
      </c>
      <c r="Q74" s="12" t="s">
        <v>225</v>
      </c>
      <c r="R74" s="11" t="s">
        <v>222</v>
      </c>
      <c r="S74" s="10" t="s">
        <v>220</v>
      </c>
      <c r="T74" s="8">
        <v>0.62</v>
      </c>
      <c r="U74" s="9">
        <v>0.38</v>
      </c>
      <c r="V74" s="8">
        <v>0.12</v>
      </c>
      <c r="W74" s="17"/>
      <c r="X74" s="65">
        <v>46250</v>
      </c>
    </row>
    <row r="75" spans="1:24" ht="13.8" thickBot="1" x14ac:dyDescent="0.3">
      <c r="A75" s="4" t="s">
        <v>90</v>
      </c>
      <c r="B75" s="8">
        <v>0.28999999999999998</v>
      </c>
      <c r="C75" s="15">
        <v>0.56999999999999995</v>
      </c>
      <c r="D75" s="8">
        <v>0.86</v>
      </c>
      <c r="E75" s="10" t="s">
        <v>290</v>
      </c>
      <c r="F75" s="11" t="s">
        <v>290</v>
      </c>
      <c r="G75" s="12" t="s">
        <v>424</v>
      </c>
      <c r="H75" s="13" t="s">
        <v>217</v>
      </c>
      <c r="I75" s="14">
        <v>7</v>
      </c>
      <c r="J75" s="14" t="s">
        <v>10</v>
      </c>
      <c r="K75" s="5" t="s">
        <v>584</v>
      </c>
      <c r="L75" s="6">
        <v>0.8125</v>
      </c>
      <c r="M75" s="7" t="s">
        <v>585</v>
      </c>
      <c r="N75" s="14" t="s">
        <v>11</v>
      </c>
      <c r="O75" s="14">
        <v>8</v>
      </c>
      <c r="P75" s="13" t="s">
        <v>294</v>
      </c>
      <c r="Q75" s="12" t="s">
        <v>216</v>
      </c>
      <c r="R75" s="11" t="s">
        <v>296</v>
      </c>
      <c r="S75" s="10" t="s">
        <v>294</v>
      </c>
      <c r="T75" s="8">
        <v>0.62</v>
      </c>
      <c r="U75" s="9">
        <v>0.12</v>
      </c>
      <c r="V75" s="8">
        <v>0.12</v>
      </c>
      <c r="W75" s="17"/>
      <c r="X75" s="65">
        <v>46250</v>
      </c>
    </row>
    <row r="76" spans="1:24" ht="13.8" thickBot="1" x14ac:dyDescent="0.3">
      <c r="A76" s="4" t="s">
        <v>90</v>
      </c>
      <c r="B76" s="8">
        <v>0</v>
      </c>
      <c r="C76" s="9">
        <v>0.25</v>
      </c>
      <c r="D76" s="8">
        <v>0.5</v>
      </c>
      <c r="E76" s="10" t="s">
        <v>222</v>
      </c>
      <c r="F76" s="11" t="s">
        <v>296</v>
      </c>
      <c r="G76" s="12" t="s">
        <v>239</v>
      </c>
      <c r="H76" s="13" t="s">
        <v>286</v>
      </c>
      <c r="I76" s="14">
        <v>8</v>
      </c>
      <c r="J76" s="14" t="s">
        <v>10</v>
      </c>
      <c r="K76" s="5" t="s">
        <v>586</v>
      </c>
      <c r="L76" s="6">
        <v>0.8125</v>
      </c>
      <c r="M76" s="7" t="s">
        <v>587</v>
      </c>
      <c r="N76" s="14" t="s">
        <v>11</v>
      </c>
      <c r="O76" s="14">
        <v>8</v>
      </c>
      <c r="P76" s="13" t="s">
        <v>220</v>
      </c>
      <c r="Q76" s="12" t="s">
        <v>346</v>
      </c>
      <c r="R76" s="11" t="s">
        <v>223</v>
      </c>
      <c r="S76" s="10" t="s">
        <v>220</v>
      </c>
      <c r="T76" s="8">
        <v>0.88</v>
      </c>
      <c r="U76" s="15">
        <v>0.62</v>
      </c>
      <c r="V76" s="8">
        <v>0.5</v>
      </c>
      <c r="W76" s="17"/>
      <c r="X76" s="65">
        <v>46250</v>
      </c>
    </row>
    <row r="77" spans="1:24" ht="13.8" thickBot="1" x14ac:dyDescent="0.3">
      <c r="A77" s="4" t="s">
        <v>90</v>
      </c>
      <c r="B77" s="8">
        <v>0.14000000000000001</v>
      </c>
      <c r="C77" s="15">
        <v>0.71</v>
      </c>
      <c r="D77" s="8">
        <v>1</v>
      </c>
      <c r="E77" s="10" t="s">
        <v>216</v>
      </c>
      <c r="F77" s="11" t="s">
        <v>292</v>
      </c>
      <c r="G77" s="12" t="s">
        <v>397</v>
      </c>
      <c r="H77" s="13" t="s">
        <v>393</v>
      </c>
      <c r="I77" s="14">
        <v>7</v>
      </c>
      <c r="J77" s="14" t="s">
        <v>10</v>
      </c>
      <c r="K77" s="5" t="s">
        <v>588</v>
      </c>
      <c r="L77" s="6">
        <v>0.5</v>
      </c>
      <c r="M77" s="7" t="s">
        <v>589</v>
      </c>
      <c r="N77" s="14" t="s">
        <v>11</v>
      </c>
      <c r="O77" s="14">
        <v>7</v>
      </c>
      <c r="P77" s="13" t="s">
        <v>216</v>
      </c>
      <c r="Q77" s="12" t="s">
        <v>390</v>
      </c>
      <c r="R77" s="11" t="s">
        <v>389</v>
      </c>
      <c r="S77" s="10" t="s">
        <v>292</v>
      </c>
      <c r="T77" s="8">
        <v>0.71</v>
      </c>
      <c r="U77" s="15">
        <v>0.71</v>
      </c>
      <c r="V77" s="8">
        <v>0.14000000000000001</v>
      </c>
      <c r="W77" s="17"/>
      <c r="X77" s="65">
        <v>46250</v>
      </c>
    </row>
    <row r="78" spans="1:24" ht="13.8" thickBot="1" x14ac:dyDescent="0.3">
      <c r="A78" s="4" t="s">
        <v>90</v>
      </c>
      <c r="B78" s="8">
        <v>0.14000000000000001</v>
      </c>
      <c r="C78" s="15">
        <v>0.56999999999999995</v>
      </c>
      <c r="D78" s="8">
        <v>0.86</v>
      </c>
      <c r="E78" s="10" t="s">
        <v>217</v>
      </c>
      <c r="F78" s="11" t="s">
        <v>395</v>
      </c>
      <c r="G78" s="12" t="s">
        <v>424</v>
      </c>
      <c r="H78" s="13" t="s">
        <v>395</v>
      </c>
      <c r="I78" s="14">
        <v>7</v>
      </c>
      <c r="J78" s="14" t="s">
        <v>10</v>
      </c>
      <c r="K78" s="5" t="s">
        <v>590</v>
      </c>
      <c r="L78" s="6">
        <v>0.5</v>
      </c>
      <c r="M78" s="7" t="s">
        <v>591</v>
      </c>
      <c r="N78" s="14" t="s">
        <v>11</v>
      </c>
      <c r="O78" s="14">
        <v>7</v>
      </c>
      <c r="P78" s="13" t="s">
        <v>400</v>
      </c>
      <c r="Q78" s="12" t="s">
        <v>291</v>
      </c>
      <c r="R78" s="11" t="s">
        <v>290</v>
      </c>
      <c r="S78" s="10" t="s">
        <v>292</v>
      </c>
      <c r="T78" s="8">
        <v>0.71</v>
      </c>
      <c r="U78" s="9">
        <v>0.28999999999999998</v>
      </c>
      <c r="V78" s="8">
        <v>0.14000000000000001</v>
      </c>
      <c r="W78" s="17"/>
      <c r="X78" s="65">
        <v>46250</v>
      </c>
    </row>
    <row r="79" spans="1:24" ht="13.8" thickBot="1" x14ac:dyDescent="0.3">
      <c r="A79" s="4" t="s">
        <v>90</v>
      </c>
      <c r="B79" s="8">
        <v>0.5</v>
      </c>
      <c r="C79" s="15">
        <v>0.75</v>
      </c>
      <c r="D79" s="8">
        <v>0.88</v>
      </c>
      <c r="E79" s="10" t="s">
        <v>237</v>
      </c>
      <c r="F79" s="11" t="s">
        <v>329</v>
      </c>
      <c r="G79" s="12" t="s">
        <v>246</v>
      </c>
      <c r="H79" s="13" t="s">
        <v>221</v>
      </c>
      <c r="I79" s="14">
        <v>8</v>
      </c>
      <c r="J79" s="14" t="s">
        <v>10</v>
      </c>
      <c r="K79" s="5" t="s">
        <v>592</v>
      </c>
      <c r="L79" s="6">
        <v>0.79166666666666663</v>
      </c>
      <c r="M79" s="7" t="s">
        <v>593</v>
      </c>
      <c r="N79" s="14" t="s">
        <v>11</v>
      </c>
      <c r="O79" s="14">
        <v>8</v>
      </c>
      <c r="P79" s="13" t="s">
        <v>222</v>
      </c>
      <c r="Q79" s="12" t="s">
        <v>216</v>
      </c>
      <c r="R79" s="11" t="s">
        <v>237</v>
      </c>
      <c r="S79" s="10" t="s">
        <v>286</v>
      </c>
      <c r="T79" s="8">
        <v>0.5</v>
      </c>
      <c r="U79" s="9">
        <v>0.38</v>
      </c>
      <c r="V79" s="8">
        <v>0.12</v>
      </c>
      <c r="W79" s="17"/>
      <c r="X79" s="65">
        <v>46250</v>
      </c>
    </row>
    <row r="80" spans="1:24" ht="13.8" thickBot="1" x14ac:dyDescent="0.3">
      <c r="A80" s="4" t="s">
        <v>305</v>
      </c>
      <c r="B80" s="8">
        <v>0.5</v>
      </c>
      <c r="C80" s="15">
        <v>1</v>
      </c>
      <c r="D80" s="8">
        <v>1</v>
      </c>
      <c r="E80" s="10" t="s">
        <v>220</v>
      </c>
      <c r="F80" s="11" t="s">
        <v>221</v>
      </c>
      <c r="G80" s="12" t="s">
        <v>226</v>
      </c>
      <c r="H80" s="13" t="s">
        <v>218</v>
      </c>
      <c r="I80" s="14">
        <v>2</v>
      </c>
      <c r="J80" s="14" t="s">
        <v>10</v>
      </c>
      <c r="K80" s="5" t="s">
        <v>594</v>
      </c>
      <c r="L80" s="6">
        <v>0.58333333333333337</v>
      </c>
      <c r="M80" s="7" t="s">
        <v>595</v>
      </c>
      <c r="N80" s="14" t="s">
        <v>11</v>
      </c>
      <c r="O80" s="14">
        <v>2</v>
      </c>
      <c r="P80" s="13" t="s">
        <v>219</v>
      </c>
      <c r="Q80" s="12" t="s">
        <v>218</v>
      </c>
      <c r="R80" s="11" t="s">
        <v>217</v>
      </c>
      <c r="S80" s="10" t="s">
        <v>216</v>
      </c>
      <c r="T80" s="8">
        <v>1</v>
      </c>
      <c r="U80" s="15">
        <v>1</v>
      </c>
      <c r="V80" s="8">
        <v>0</v>
      </c>
      <c r="W80" s="17"/>
      <c r="X80" s="65">
        <v>46250</v>
      </c>
    </row>
    <row r="81" spans="1:24" ht="13.8" thickBot="1" x14ac:dyDescent="0.3">
      <c r="A81" s="4" t="s">
        <v>305</v>
      </c>
      <c r="B81" s="8">
        <v>0</v>
      </c>
      <c r="C81" s="15">
        <v>1</v>
      </c>
      <c r="D81" s="8">
        <v>1</v>
      </c>
      <c r="E81" s="10" t="s">
        <v>217</v>
      </c>
      <c r="F81" s="11" t="s">
        <v>216</v>
      </c>
      <c r="G81" s="12" t="s">
        <v>218</v>
      </c>
      <c r="H81" s="13" t="s">
        <v>218</v>
      </c>
      <c r="I81" s="14">
        <v>1</v>
      </c>
      <c r="J81" s="14" t="s">
        <v>10</v>
      </c>
      <c r="K81" s="5" t="s">
        <v>596</v>
      </c>
      <c r="L81" s="6">
        <v>0.67708333333333337</v>
      </c>
      <c r="M81" s="7" t="s">
        <v>597</v>
      </c>
      <c r="N81" s="14" t="s">
        <v>11</v>
      </c>
      <c r="O81" s="14">
        <v>2</v>
      </c>
      <c r="P81" s="13" t="s">
        <v>219</v>
      </c>
      <c r="Q81" s="12" t="s">
        <v>218</v>
      </c>
      <c r="R81" s="11" t="s">
        <v>217</v>
      </c>
      <c r="S81" s="10" t="s">
        <v>216</v>
      </c>
      <c r="T81" s="8">
        <v>1</v>
      </c>
      <c r="U81" s="15">
        <v>1</v>
      </c>
      <c r="V81" s="8">
        <v>0</v>
      </c>
      <c r="W81" s="17"/>
      <c r="X81" s="65">
        <v>46250</v>
      </c>
    </row>
    <row r="82" spans="1:24" ht="19.8" thickBot="1" x14ac:dyDescent="0.3">
      <c r="A82" s="4" t="s">
        <v>305</v>
      </c>
      <c r="B82" s="8">
        <v>0</v>
      </c>
      <c r="C82" s="15">
        <v>1</v>
      </c>
      <c r="D82" s="8">
        <v>1</v>
      </c>
      <c r="E82" s="10" t="s">
        <v>217</v>
      </c>
      <c r="F82" s="11" t="s">
        <v>216</v>
      </c>
      <c r="G82" s="12" t="s">
        <v>218</v>
      </c>
      <c r="H82" s="13" t="s">
        <v>218</v>
      </c>
      <c r="I82" s="14">
        <v>1</v>
      </c>
      <c r="J82" s="14" t="s">
        <v>10</v>
      </c>
      <c r="K82" s="5" t="s">
        <v>598</v>
      </c>
      <c r="L82" s="6">
        <v>0.54166666666666663</v>
      </c>
      <c r="M82" s="7" t="s">
        <v>599</v>
      </c>
      <c r="N82" s="14" t="s">
        <v>11</v>
      </c>
      <c r="O82" s="14">
        <v>1</v>
      </c>
      <c r="P82" s="13" t="s">
        <v>219</v>
      </c>
      <c r="Q82" s="12" t="s">
        <v>218</v>
      </c>
      <c r="R82" s="11" t="s">
        <v>217</v>
      </c>
      <c r="S82" s="10" t="s">
        <v>216</v>
      </c>
      <c r="T82" s="8">
        <v>1</v>
      </c>
      <c r="U82" s="15">
        <v>1</v>
      </c>
      <c r="V82" s="8">
        <v>0</v>
      </c>
      <c r="W82" s="17"/>
      <c r="X82" s="65">
        <v>46250</v>
      </c>
    </row>
    <row r="83" spans="1:24" ht="19.8" thickBot="1" x14ac:dyDescent="0.3">
      <c r="A83" s="4" t="s">
        <v>305</v>
      </c>
      <c r="B83" s="8">
        <v>0.5</v>
      </c>
      <c r="C83" s="9">
        <v>0.5</v>
      </c>
      <c r="D83" s="8">
        <v>0.5</v>
      </c>
      <c r="E83" s="10" t="s">
        <v>217</v>
      </c>
      <c r="F83" s="11" t="s">
        <v>220</v>
      </c>
      <c r="G83" s="12" t="s">
        <v>221</v>
      </c>
      <c r="H83" s="13" t="s">
        <v>216</v>
      </c>
      <c r="I83" s="14">
        <v>2</v>
      </c>
      <c r="J83" s="14" t="s">
        <v>10</v>
      </c>
      <c r="K83" s="5" t="s">
        <v>600</v>
      </c>
      <c r="L83" s="6">
        <v>0.54166666666666663</v>
      </c>
      <c r="M83" s="7" t="s">
        <v>601</v>
      </c>
      <c r="N83" s="14" t="s">
        <v>11</v>
      </c>
      <c r="O83" s="14">
        <v>1</v>
      </c>
      <c r="P83" s="13" t="s">
        <v>219</v>
      </c>
      <c r="Q83" s="12" t="s">
        <v>226</v>
      </c>
      <c r="R83" s="11" t="s">
        <v>217</v>
      </c>
      <c r="S83" s="10" t="s">
        <v>218</v>
      </c>
      <c r="T83" s="8">
        <v>1</v>
      </c>
      <c r="U83" s="15">
        <v>1</v>
      </c>
      <c r="V83" s="8">
        <v>1</v>
      </c>
      <c r="W83" s="17"/>
      <c r="X83" s="65">
        <v>46250</v>
      </c>
    </row>
    <row r="84" spans="1:24" ht="13.8" thickBot="1" x14ac:dyDescent="0.3">
      <c r="A84" s="4" t="s">
        <v>305</v>
      </c>
      <c r="B84" s="8">
        <v>0.5</v>
      </c>
      <c r="C84" s="9">
        <v>0.5</v>
      </c>
      <c r="D84" s="8">
        <v>0.5</v>
      </c>
      <c r="E84" s="10" t="s">
        <v>247</v>
      </c>
      <c r="F84" s="11" t="s">
        <v>221</v>
      </c>
      <c r="G84" s="12" t="s">
        <v>218</v>
      </c>
      <c r="H84" s="13" t="s">
        <v>216</v>
      </c>
      <c r="I84" s="14">
        <v>2</v>
      </c>
      <c r="J84" s="14" t="s">
        <v>10</v>
      </c>
      <c r="K84" s="5" t="s">
        <v>602</v>
      </c>
      <c r="L84" s="6">
        <v>0.625</v>
      </c>
      <c r="M84" s="7" t="s">
        <v>603</v>
      </c>
      <c r="N84" s="14" t="s">
        <v>11</v>
      </c>
      <c r="O84" s="14">
        <v>1</v>
      </c>
      <c r="P84" s="13" t="s">
        <v>219</v>
      </c>
      <c r="Q84" s="12" t="s">
        <v>218</v>
      </c>
      <c r="R84" s="11" t="s">
        <v>217</v>
      </c>
      <c r="S84" s="10" t="s">
        <v>216</v>
      </c>
      <c r="T84" s="8">
        <v>1</v>
      </c>
      <c r="U84" s="15">
        <v>1</v>
      </c>
      <c r="V84" s="8">
        <v>0</v>
      </c>
      <c r="W84" s="17"/>
      <c r="X84" s="65">
        <v>46250</v>
      </c>
    </row>
    <row r="85" spans="1:24" ht="13.8" thickBot="1" x14ac:dyDescent="0.3">
      <c r="A85" s="4" t="s">
        <v>305</v>
      </c>
      <c r="B85" s="8">
        <v>0</v>
      </c>
      <c r="C85" s="9">
        <v>0.5</v>
      </c>
      <c r="D85" s="8">
        <v>0.5</v>
      </c>
      <c r="E85" s="10" t="s">
        <v>247</v>
      </c>
      <c r="F85" s="11" t="s">
        <v>220</v>
      </c>
      <c r="G85" s="12" t="s">
        <v>216</v>
      </c>
      <c r="H85" s="13" t="s">
        <v>218</v>
      </c>
      <c r="I85" s="14">
        <v>2</v>
      </c>
      <c r="J85" s="14" t="s">
        <v>10</v>
      </c>
      <c r="K85" s="5" t="s">
        <v>604</v>
      </c>
      <c r="L85" s="6">
        <v>0.625</v>
      </c>
      <c r="M85" s="7" t="s">
        <v>605</v>
      </c>
      <c r="N85" s="14" t="s">
        <v>11</v>
      </c>
      <c r="O85" s="14">
        <v>1</v>
      </c>
      <c r="P85" s="13" t="s">
        <v>219</v>
      </c>
      <c r="Q85" s="12" t="s">
        <v>217</v>
      </c>
      <c r="R85" s="11" t="s">
        <v>219</v>
      </c>
      <c r="S85" s="10" t="s">
        <v>217</v>
      </c>
      <c r="T85" s="8">
        <v>0</v>
      </c>
      <c r="U85" s="9">
        <v>0</v>
      </c>
      <c r="V85" s="8">
        <v>0</v>
      </c>
      <c r="W85" s="17"/>
      <c r="X85" s="65">
        <v>46250</v>
      </c>
    </row>
    <row r="86" spans="1:24" ht="13.8" thickBot="1" x14ac:dyDescent="0.3">
      <c r="A86" s="4" t="s">
        <v>305</v>
      </c>
      <c r="B86" s="8">
        <v>1</v>
      </c>
      <c r="C86" s="15">
        <v>1</v>
      </c>
      <c r="D86" s="8">
        <v>1</v>
      </c>
      <c r="E86" s="10" t="s">
        <v>217</v>
      </c>
      <c r="F86" s="11" t="s">
        <v>218</v>
      </c>
      <c r="G86" s="12" t="s">
        <v>226</v>
      </c>
      <c r="H86" s="13" t="s">
        <v>218</v>
      </c>
      <c r="I86" s="14">
        <v>1</v>
      </c>
      <c r="J86" s="14" t="s">
        <v>10</v>
      </c>
      <c r="K86" s="5" t="s">
        <v>606</v>
      </c>
      <c r="L86" s="6">
        <v>0.625</v>
      </c>
      <c r="M86" s="7" t="s">
        <v>607</v>
      </c>
      <c r="N86" s="14" t="s">
        <v>11</v>
      </c>
      <c r="O86" s="14">
        <v>3</v>
      </c>
      <c r="P86" s="13" t="s">
        <v>217</v>
      </c>
      <c r="Q86" s="12" t="s">
        <v>344</v>
      </c>
      <c r="R86" s="11" t="s">
        <v>310</v>
      </c>
      <c r="S86" s="10" t="s">
        <v>217</v>
      </c>
      <c r="T86" s="8">
        <v>0.33</v>
      </c>
      <c r="U86" s="9">
        <v>0.33</v>
      </c>
      <c r="V86" s="8">
        <v>0</v>
      </c>
      <c r="W86" s="17"/>
      <c r="X86" s="65">
        <v>46250</v>
      </c>
    </row>
    <row r="87" spans="1:24" ht="19.8" thickBot="1" x14ac:dyDescent="0.3">
      <c r="A87" s="4" t="s">
        <v>91</v>
      </c>
      <c r="B87" s="8">
        <v>0.25</v>
      </c>
      <c r="C87" s="9">
        <v>0.5</v>
      </c>
      <c r="D87" s="8">
        <v>0.75</v>
      </c>
      <c r="E87" s="10" t="s">
        <v>239</v>
      </c>
      <c r="F87" s="11" t="s">
        <v>294</v>
      </c>
      <c r="G87" s="12" t="s">
        <v>330</v>
      </c>
      <c r="H87" s="13" t="s">
        <v>217</v>
      </c>
      <c r="I87" s="14">
        <v>8</v>
      </c>
      <c r="J87" s="14" t="s">
        <v>10</v>
      </c>
      <c r="K87" s="5" t="s">
        <v>155</v>
      </c>
      <c r="L87" s="6">
        <v>0.58333333333333337</v>
      </c>
      <c r="M87" s="7" t="s">
        <v>153</v>
      </c>
      <c r="N87" s="14" t="s">
        <v>11</v>
      </c>
      <c r="O87" s="14">
        <v>8</v>
      </c>
      <c r="P87" s="13" t="s">
        <v>296</v>
      </c>
      <c r="Q87" s="12" t="s">
        <v>342</v>
      </c>
      <c r="R87" s="11" t="s">
        <v>293</v>
      </c>
      <c r="S87" s="10" t="s">
        <v>240</v>
      </c>
      <c r="T87" s="8">
        <v>0.88</v>
      </c>
      <c r="U87" s="15">
        <v>0.75</v>
      </c>
      <c r="V87" s="8">
        <v>0.62</v>
      </c>
      <c r="W87" s="17"/>
      <c r="X87" s="65">
        <v>46250</v>
      </c>
    </row>
    <row r="88" spans="1:24" ht="19.8" thickBot="1" x14ac:dyDescent="0.3">
      <c r="A88" s="4" t="s">
        <v>91</v>
      </c>
      <c r="B88" s="8">
        <v>0.83</v>
      </c>
      <c r="C88" s="15">
        <v>0.83</v>
      </c>
      <c r="D88" s="8">
        <v>0.83</v>
      </c>
      <c r="E88" s="10" t="s">
        <v>221</v>
      </c>
      <c r="F88" s="11" t="s">
        <v>344</v>
      </c>
      <c r="G88" s="12" t="s">
        <v>426</v>
      </c>
      <c r="H88" s="13" t="s">
        <v>348</v>
      </c>
      <c r="I88" s="14">
        <v>6</v>
      </c>
      <c r="J88" s="14" t="s">
        <v>10</v>
      </c>
      <c r="K88" s="5" t="s">
        <v>154</v>
      </c>
      <c r="L88" s="6">
        <v>0.75</v>
      </c>
      <c r="M88" s="7" t="s">
        <v>608</v>
      </c>
      <c r="N88" s="14" t="s">
        <v>11</v>
      </c>
      <c r="O88" s="14">
        <v>9</v>
      </c>
      <c r="P88" s="13" t="s">
        <v>306</v>
      </c>
      <c r="Q88" s="12" t="s">
        <v>307</v>
      </c>
      <c r="R88" s="11" t="s">
        <v>306</v>
      </c>
      <c r="S88" s="10" t="s">
        <v>224</v>
      </c>
      <c r="T88" s="8">
        <v>0.67</v>
      </c>
      <c r="U88" s="9">
        <v>0.44</v>
      </c>
      <c r="V88" s="8">
        <v>0.11</v>
      </c>
      <c r="W88" s="17"/>
      <c r="X88" s="65">
        <v>46250</v>
      </c>
    </row>
    <row r="89" spans="1:24" ht="19.8" thickBot="1" x14ac:dyDescent="0.3">
      <c r="A89" s="4" t="s">
        <v>157</v>
      </c>
      <c r="B89" s="8">
        <v>0.22</v>
      </c>
      <c r="C89" s="15">
        <v>0.56000000000000005</v>
      </c>
      <c r="D89" s="8">
        <v>0.67</v>
      </c>
      <c r="E89" s="10" t="s">
        <v>284</v>
      </c>
      <c r="F89" s="11" t="s">
        <v>224</v>
      </c>
      <c r="G89" s="12" t="s">
        <v>230</v>
      </c>
      <c r="H89" s="13" t="s">
        <v>224</v>
      </c>
      <c r="I89" s="14">
        <v>9</v>
      </c>
      <c r="J89" s="14" t="s">
        <v>10</v>
      </c>
      <c r="K89" s="5" t="s">
        <v>609</v>
      </c>
      <c r="L89" s="6">
        <v>0.91666666666666663</v>
      </c>
      <c r="M89" s="7" t="s">
        <v>610</v>
      </c>
      <c r="N89" s="14" t="s">
        <v>11</v>
      </c>
      <c r="O89" s="14">
        <v>8</v>
      </c>
      <c r="P89" s="13" t="s">
        <v>237</v>
      </c>
      <c r="Q89" s="12" t="s">
        <v>216</v>
      </c>
      <c r="R89" s="11" t="s">
        <v>247</v>
      </c>
      <c r="S89" s="10" t="s">
        <v>220</v>
      </c>
      <c r="T89" s="8">
        <v>0.5</v>
      </c>
      <c r="U89" s="9">
        <v>0.5</v>
      </c>
      <c r="V89" s="8">
        <v>0.12</v>
      </c>
      <c r="W89" s="17"/>
      <c r="X89" s="65">
        <v>46250</v>
      </c>
    </row>
    <row r="90" spans="1:24" ht="19.8" thickBot="1" x14ac:dyDescent="0.3">
      <c r="A90" s="4" t="s">
        <v>157</v>
      </c>
      <c r="B90" s="8">
        <v>0.33</v>
      </c>
      <c r="C90" s="9">
        <v>0.44</v>
      </c>
      <c r="D90" s="8">
        <v>0.78</v>
      </c>
      <c r="E90" s="10" t="s">
        <v>284</v>
      </c>
      <c r="F90" s="11" t="s">
        <v>224</v>
      </c>
      <c r="G90" s="12" t="s">
        <v>230</v>
      </c>
      <c r="H90" s="13" t="s">
        <v>232</v>
      </c>
      <c r="I90" s="14">
        <v>9</v>
      </c>
      <c r="J90" s="14" t="s">
        <v>10</v>
      </c>
      <c r="K90" s="5" t="s">
        <v>611</v>
      </c>
      <c r="L90" s="6">
        <v>0.60416666666666663</v>
      </c>
      <c r="M90" s="7" t="s">
        <v>612</v>
      </c>
      <c r="N90" s="14" t="s">
        <v>11</v>
      </c>
      <c r="O90" s="14">
        <v>8</v>
      </c>
      <c r="P90" s="13" t="s">
        <v>247</v>
      </c>
      <c r="Q90" s="12" t="s">
        <v>330</v>
      </c>
      <c r="R90" s="11" t="s">
        <v>347</v>
      </c>
      <c r="S90" s="10" t="s">
        <v>295</v>
      </c>
      <c r="T90" s="8">
        <v>0.75</v>
      </c>
      <c r="U90" s="15">
        <v>0.75</v>
      </c>
      <c r="V90" s="8">
        <v>0.38</v>
      </c>
      <c r="W90" s="17"/>
      <c r="X90" s="65">
        <v>46250</v>
      </c>
    </row>
    <row r="91" spans="1:24" ht="13.8" thickBot="1" x14ac:dyDescent="0.3">
      <c r="A91" s="4" t="s">
        <v>157</v>
      </c>
      <c r="B91" s="8">
        <v>0.5</v>
      </c>
      <c r="C91" s="9">
        <v>0.5</v>
      </c>
      <c r="D91" s="8">
        <v>0.5</v>
      </c>
      <c r="E91" s="10" t="s">
        <v>220</v>
      </c>
      <c r="F91" s="11" t="s">
        <v>239</v>
      </c>
      <c r="G91" s="12" t="s">
        <v>332</v>
      </c>
      <c r="H91" s="13" t="s">
        <v>220</v>
      </c>
      <c r="I91" s="14">
        <v>8</v>
      </c>
      <c r="J91" s="14" t="s">
        <v>10</v>
      </c>
      <c r="K91" s="5" t="s">
        <v>613</v>
      </c>
      <c r="L91" s="6">
        <v>0.70833333333333337</v>
      </c>
      <c r="M91" s="7" t="s">
        <v>614</v>
      </c>
      <c r="N91" s="14" t="s">
        <v>11</v>
      </c>
      <c r="O91" s="14">
        <v>8</v>
      </c>
      <c r="P91" s="13" t="s">
        <v>222</v>
      </c>
      <c r="Q91" s="12" t="s">
        <v>240</v>
      </c>
      <c r="R91" s="11" t="s">
        <v>237</v>
      </c>
      <c r="S91" s="10" t="s">
        <v>220</v>
      </c>
      <c r="T91" s="8">
        <v>0.62</v>
      </c>
      <c r="U91" s="9">
        <v>0.5</v>
      </c>
      <c r="V91" s="8">
        <v>0</v>
      </c>
      <c r="W91" s="17"/>
      <c r="X91" s="65">
        <v>46250</v>
      </c>
    </row>
    <row r="92" spans="1:24" ht="13.8" thickBot="1" x14ac:dyDescent="0.3">
      <c r="A92" s="4" t="s">
        <v>157</v>
      </c>
      <c r="B92" s="8">
        <v>0.33</v>
      </c>
      <c r="C92" s="9">
        <v>0.44</v>
      </c>
      <c r="D92" s="8">
        <v>0.67</v>
      </c>
      <c r="E92" s="10" t="s">
        <v>310</v>
      </c>
      <c r="F92" s="11" t="s">
        <v>307</v>
      </c>
      <c r="G92" s="12" t="s">
        <v>309</v>
      </c>
      <c r="H92" s="13" t="s">
        <v>334</v>
      </c>
      <c r="I92" s="14">
        <v>9</v>
      </c>
      <c r="J92" s="14" t="s">
        <v>10</v>
      </c>
      <c r="K92" s="5" t="s">
        <v>615</v>
      </c>
      <c r="L92" s="6">
        <v>0.8125</v>
      </c>
      <c r="M92" s="7" t="s">
        <v>616</v>
      </c>
      <c r="N92" s="14" t="s">
        <v>11</v>
      </c>
      <c r="O92" s="14">
        <v>9</v>
      </c>
      <c r="P92" s="13" t="s">
        <v>284</v>
      </c>
      <c r="Q92" s="12" t="s">
        <v>386</v>
      </c>
      <c r="R92" s="11" t="s">
        <v>232</v>
      </c>
      <c r="S92" s="10" t="s">
        <v>343</v>
      </c>
      <c r="T92" s="8">
        <v>0.89</v>
      </c>
      <c r="U92" s="15">
        <v>0.56000000000000005</v>
      </c>
      <c r="V92" s="8">
        <v>0.33</v>
      </c>
      <c r="W92" s="17"/>
      <c r="X92" s="65">
        <v>46250</v>
      </c>
    </row>
    <row r="93" spans="1:24" ht="19.8" thickBot="1" x14ac:dyDescent="0.3">
      <c r="A93" s="4" t="s">
        <v>157</v>
      </c>
      <c r="B93" s="8">
        <v>0.1</v>
      </c>
      <c r="C93" s="15">
        <v>0.6</v>
      </c>
      <c r="D93" s="8">
        <v>1</v>
      </c>
      <c r="E93" s="10" t="s">
        <v>274</v>
      </c>
      <c r="F93" s="11" t="s">
        <v>268</v>
      </c>
      <c r="G93" s="12" t="s">
        <v>377</v>
      </c>
      <c r="H93" s="13" t="s">
        <v>216</v>
      </c>
      <c r="I93" s="14">
        <v>10</v>
      </c>
      <c r="J93" s="14" t="s">
        <v>10</v>
      </c>
      <c r="K93" s="5" t="s">
        <v>617</v>
      </c>
      <c r="L93" s="6">
        <v>0.91666666666666663</v>
      </c>
      <c r="M93" s="7" t="s">
        <v>618</v>
      </c>
      <c r="N93" s="14" t="s">
        <v>11</v>
      </c>
      <c r="O93" s="14">
        <v>9</v>
      </c>
      <c r="P93" s="13" t="s">
        <v>229</v>
      </c>
      <c r="Q93" s="12" t="s">
        <v>334</v>
      </c>
      <c r="R93" s="11" t="s">
        <v>232</v>
      </c>
      <c r="S93" s="10" t="s">
        <v>306</v>
      </c>
      <c r="T93" s="8">
        <v>0.78</v>
      </c>
      <c r="U93" s="9">
        <v>0.33</v>
      </c>
      <c r="V93" s="8">
        <v>0.22</v>
      </c>
      <c r="W93" s="17"/>
      <c r="X93" s="65">
        <v>46250</v>
      </c>
    </row>
    <row r="94" spans="1:24" ht="13.8" thickBot="1" x14ac:dyDescent="0.3">
      <c r="A94" s="4" t="s">
        <v>157</v>
      </c>
      <c r="B94" s="8">
        <v>0.67</v>
      </c>
      <c r="C94" s="15">
        <v>0.67</v>
      </c>
      <c r="D94" s="8">
        <v>1</v>
      </c>
      <c r="E94" s="10" t="s">
        <v>232</v>
      </c>
      <c r="F94" s="11" t="s">
        <v>307</v>
      </c>
      <c r="G94" s="12" t="s">
        <v>349</v>
      </c>
      <c r="H94" s="13" t="s">
        <v>343</v>
      </c>
      <c r="I94" s="14">
        <v>9</v>
      </c>
      <c r="J94" s="14" t="s">
        <v>10</v>
      </c>
      <c r="K94" s="5" t="s">
        <v>619</v>
      </c>
      <c r="L94" s="6">
        <v>0.60416666666666663</v>
      </c>
      <c r="M94" s="7" t="s">
        <v>620</v>
      </c>
      <c r="N94" s="14" t="s">
        <v>11</v>
      </c>
      <c r="O94" s="14">
        <v>9</v>
      </c>
      <c r="P94" s="13" t="s">
        <v>284</v>
      </c>
      <c r="Q94" s="12" t="s">
        <v>231</v>
      </c>
      <c r="R94" s="11" t="s">
        <v>324</v>
      </c>
      <c r="S94" s="10" t="s">
        <v>228</v>
      </c>
      <c r="T94" s="8">
        <v>0.44</v>
      </c>
      <c r="U94" s="9">
        <v>0.44</v>
      </c>
      <c r="V94" s="8">
        <v>0.11</v>
      </c>
      <c r="W94" s="17"/>
      <c r="X94" s="65">
        <v>46250</v>
      </c>
    </row>
    <row r="95" spans="1:24" ht="13.8" thickBot="1" x14ac:dyDescent="0.3">
      <c r="A95" s="4" t="s">
        <v>157</v>
      </c>
      <c r="B95" s="8">
        <v>0</v>
      </c>
      <c r="C95" s="9">
        <v>0.12</v>
      </c>
      <c r="D95" s="8">
        <v>0.5</v>
      </c>
      <c r="E95" s="10" t="s">
        <v>247</v>
      </c>
      <c r="F95" s="11" t="s">
        <v>296</v>
      </c>
      <c r="G95" s="12" t="s">
        <v>286</v>
      </c>
      <c r="H95" s="13" t="s">
        <v>239</v>
      </c>
      <c r="I95" s="14">
        <v>8</v>
      </c>
      <c r="J95" s="14" t="s">
        <v>10</v>
      </c>
      <c r="K95" s="5" t="s">
        <v>621</v>
      </c>
      <c r="L95" s="6">
        <v>0.70833333333333337</v>
      </c>
      <c r="M95" s="7" t="s">
        <v>622</v>
      </c>
      <c r="N95" s="14" t="s">
        <v>11</v>
      </c>
      <c r="O95" s="14">
        <v>9</v>
      </c>
      <c r="P95" s="13" t="s">
        <v>217</v>
      </c>
      <c r="Q95" s="12" t="s">
        <v>325</v>
      </c>
      <c r="R95" s="11" t="s">
        <v>228</v>
      </c>
      <c r="S95" s="10" t="s">
        <v>229</v>
      </c>
      <c r="T95" s="8">
        <v>0.78</v>
      </c>
      <c r="U95" s="15">
        <v>0.56000000000000005</v>
      </c>
      <c r="V95" s="8">
        <v>0.33</v>
      </c>
      <c r="W95" s="17"/>
      <c r="X95" s="65">
        <v>46250</v>
      </c>
    </row>
    <row r="96" spans="1:24" ht="19.8" thickBot="1" x14ac:dyDescent="0.3">
      <c r="A96" s="4" t="s">
        <v>157</v>
      </c>
      <c r="B96" s="8">
        <v>0.12</v>
      </c>
      <c r="C96" s="9">
        <v>0.25</v>
      </c>
      <c r="D96" s="8">
        <v>0.5</v>
      </c>
      <c r="E96" s="10" t="s">
        <v>296</v>
      </c>
      <c r="F96" s="11" t="s">
        <v>294</v>
      </c>
      <c r="G96" s="12" t="s">
        <v>216</v>
      </c>
      <c r="H96" s="13" t="s">
        <v>236</v>
      </c>
      <c r="I96" s="14">
        <v>8</v>
      </c>
      <c r="J96" s="14" t="s">
        <v>10</v>
      </c>
      <c r="K96" s="5" t="s">
        <v>168</v>
      </c>
      <c r="L96" s="6">
        <v>0.375</v>
      </c>
      <c r="M96" s="7" t="s">
        <v>623</v>
      </c>
      <c r="N96" s="14" t="s">
        <v>11</v>
      </c>
      <c r="O96" s="14">
        <v>8</v>
      </c>
      <c r="P96" s="13" t="s">
        <v>223</v>
      </c>
      <c r="Q96" s="12" t="s">
        <v>240</v>
      </c>
      <c r="R96" s="11" t="s">
        <v>293</v>
      </c>
      <c r="S96" s="10" t="s">
        <v>296</v>
      </c>
      <c r="T96" s="8">
        <v>0.75</v>
      </c>
      <c r="U96" s="9">
        <v>0.5</v>
      </c>
      <c r="V96" s="8">
        <v>0</v>
      </c>
      <c r="W96" s="17"/>
      <c r="X96" s="65">
        <v>46250</v>
      </c>
    </row>
    <row r="97" spans="1:24" ht="19.8" thickBot="1" x14ac:dyDescent="0.3">
      <c r="A97" s="4" t="s">
        <v>157</v>
      </c>
      <c r="B97" s="8">
        <v>0.2</v>
      </c>
      <c r="C97" s="15">
        <v>0.6</v>
      </c>
      <c r="D97" s="8">
        <v>0.6</v>
      </c>
      <c r="E97" s="10" t="s">
        <v>227</v>
      </c>
      <c r="F97" s="11" t="s">
        <v>248</v>
      </c>
      <c r="G97" s="12" t="s">
        <v>279</v>
      </c>
      <c r="H97" s="13" t="s">
        <v>274</v>
      </c>
      <c r="I97" s="14">
        <v>10</v>
      </c>
      <c r="J97" s="14" t="s">
        <v>10</v>
      </c>
      <c r="K97" s="5" t="s">
        <v>167</v>
      </c>
      <c r="L97" s="6">
        <v>0.375</v>
      </c>
      <c r="M97" s="7" t="s">
        <v>170</v>
      </c>
      <c r="N97" s="14" t="s">
        <v>11</v>
      </c>
      <c r="O97" s="14">
        <v>9</v>
      </c>
      <c r="P97" s="13" t="s">
        <v>228</v>
      </c>
      <c r="Q97" s="12" t="s">
        <v>344</v>
      </c>
      <c r="R97" s="11" t="s">
        <v>324</v>
      </c>
      <c r="S97" s="10" t="s">
        <v>306</v>
      </c>
      <c r="T97" s="8">
        <v>0.67</v>
      </c>
      <c r="U97" s="9">
        <v>0.22</v>
      </c>
      <c r="V97" s="8">
        <v>0.11</v>
      </c>
      <c r="W97" s="17"/>
      <c r="X97" s="65">
        <v>46250</v>
      </c>
    </row>
    <row r="98" spans="1:24" ht="19.8" thickBot="1" x14ac:dyDescent="0.3">
      <c r="A98" s="4" t="s">
        <v>157</v>
      </c>
      <c r="B98" s="8">
        <v>0.33</v>
      </c>
      <c r="C98" s="9">
        <v>0.44</v>
      </c>
      <c r="D98" s="8">
        <v>0.89</v>
      </c>
      <c r="E98" s="10" t="s">
        <v>307</v>
      </c>
      <c r="F98" s="11" t="s">
        <v>310</v>
      </c>
      <c r="G98" s="12" t="s">
        <v>309</v>
      </c>
      <c r="H98" s="13" t="s">
        <v>436</v>
      </c>
      <c r="I98" s="14">
        <v>9</v>
      </c>
      <c r="J98" s="14" t="s">
        <v>10</v>
      </c>
      <c r="K98" s="5" t="s">
        <v>169</v>
      </c>
      <c r="L98" s="6">
        <v>0.39583333333333331</v>
      </c>
      <c r="M98" s="7" t="s">
        <v>171</v>
      </c>
      <c r="N98" s="14" t="s">
        <v>11</v>
      </c>
      <c r="O98" s="14">
        <v>8</v>
      </c>
      <c r="P98" s="13" t="s">
        <v>347</v>
      </c>
      <c r="Q98" s="12" t="s">
        <v>236</v>
      </c>
      <c r="R98" s="11" t="s">
        <v>247</v>
      </c>
      <c r="S98" s="10" t="s">
        <v>286</v>
      </c>
      <c r="T98" s="8">
        <v>0.62</v>
      </c>
      <c r="U98" s="9">
        <v>0.38</v>
      </c>
      <c r="V98" s="8">
        <v>0.12</v>
      </c>
      <c r="W98" s="17"/>
      <c r="X98" s="65">
        <v>46250</v>
      </c>
    </row>
    <row r="99" spans="1:24" ht="13.8" thickBot="1" x14ac:dyDescent="0.3">
      <c r="A99" s="4" t="s">
        <v>157</v>
      </c>
      <c r="B99" s="8">
        <v>0.22</v>
      </c>
      <c r="C99" s="9">
        <v>0.44</v>
      </c>
      <c r="D99" s="8">
        <v>0.67</v>
      </c>
      <c r="E99" s="10" t="s">
        <v>217</v>
      </c>
      <c r="F99" s="11" t="s">
        <v>284</v>
      </c>
      <c r="G99" s="12" t="s">
        <v>307</v>
      </c>
      <c r="H99" s="13" t="s">
        <v>229</v>
      </c>
      <c r="I99" s="14">
        <v>9</v>
      </c>
      <c r="J99" s="14" t="s">
        <v>10</v>
      </c>
      <c r="K99" s="5" t="s">
        <v>624</v>
      </c>
      <c r="L99" s="6">
        <v>0.39583333333333331</v>
      </c>
      <c r="M99" s="7" t="s">
        <v>625</v>
      </c>
      <c r="N99" s="14" t="s">
        <v>11</v>
      </c>
      <c r="O99" s="14">
        <v>9</v>
      </c>
      <c r="P99" s="13" t="s">
        <v>284</v>
      </c>
      <c r="Q99" s="12" t="s">
        <v>416</v>
      </c>
      <c r="R99" s="11" t="s">
        <v>344</v>
      </c>
      <c r="S99" s="10" t="s">
        <v>307</v>
      </c>
      <c r="T99" s="8">
        <v>0.89</v>
      </c>
      <c r="U99" s="15">
        <v>0.67</v>
      </c>
      <c r="V99" s="8">
        <v>0.44</v>
      </c>
      <c r="W99" s="17"/>
      <c r="X99" s="65">
        <v>46250</v>
      </c>
    </row>
    <row r="100" spans="1:24" ht="13.8" thickBot="1" x14ac:dyDescent="0.3">
      <c r="A100" s="4" t="s">
        <v>316</v>
      </c>
      <c r="B100" s="63"/>
      <c r="C100" s="63"/>
      <c r="D100" s="63"/>
      <c r="E100" s="63"/>
      <c r="F100" s="63"/>
      <c r="G100" s="63"/>
      <c r="H100" s="63"/>
      <c r="I100" s="64"/>
      <c r="J100" s="14" t="s">
        <v>10</v>
      </c>
      <c r="K100" s="5" t="s">
        <v>626</v>
      </c>
      <c r="L100" s="6">
        <v>0.96527777777777779</v>
      </c>
      <c r="M100" s="7" t="s">
        <v>627</v>
      </c>
      <c r="N100" s="14" t="s">
        <v>11</v>
      </c>
      <c r="O100" s="14">
        <v>1</v>
      </c>
      <c r="P100" s="13" t="s">
        <v>219</v>
      </c>
      <c r="Q100" s="12" t="s">
        <v>218</v>
      </c>
      <c r="R100" s="11" t="s">
        <v>217</v>
      </c>
      <c r="S100" s="10" t="s">
        <v>216</v>
      </c>
      <c r="T100" s="8">
        <v>1</v>
      </c>
      <c r="U100" s="15">
        <v>1</v>
      </c>
      <c r="V100" s="8">
        <v>0</v>
      </c>
      <c r="W100" s="17"/>
      <c r="X100" s="65">
        <v>46250</v>
      </c>
    </row>
    <row r="101" spans="1:24" ht="19.8" thickBot="1" x14ac:dyDescent="0.3">
      <c r="A101" s="4" t="s">
        <v>316</v>
      </c>
      <c r="B101" s="63"/>
      <c r="C101" s="63"/>
      <c r="D101" s="63"/>
      <c r="E101" s="63"/>
      <c r="F101" s="63"/>
      <c r="G101" s="63"/>
      <c r="H101" s="63"/>
      <c r="I101" s="64"/>
      <c r="J101" s="14" t="s">
        <v>10</v>
      </c>
      <c r="K101" s="5" t="s">
        <v>628</v>
      </c>
      <c r="L101" s="6">
        <v>0.79166666666666663</v>
      </c>
      <c r="M101" s="7" t="s">
        <v>629</v>
      </c>
      <c r="N101" s="14" t="s">
        <v>11</v>
      </c>
      <c r="O101" s="14">
        <v>2</v>
      </c>
      <c r="P101" s="13" t="s">
        <v>219</v>
      </c>
      <c r="Q101" s="12" t="s">
        <v>220</v>
      </c>
      <c r="R101" s="11" t="s">
        <v>219</v>
      </c>
      <c r="S101" s="10" t="s">
        <v>220</v>
      </c>
      <c r="T101" s="8">
        <v>0.5</v>
      </c>
      <c r="U101" s="9">
        <v>0</v>
      </c>
      <c r="V101" s="8">
        <v>0</v>
      </c>
      <c r="W101" s="17"/>
      <c r="X101" s="65">
        <v>46250</v>
      </c>
    </row>
    <row r="102" spans="1:24" ht="19.8" thickBot="1" x14ac:dyDescent="0.3">
      <c r="A102" s="4" t="s">
        <v>316</v>
      </c>
      <c r="B102" s="8">
        <v>0.5</v>
      </c>
      <c r="C102" s="9">
        <v>0.5</v>
      </c>
      <c r="D102" s="8">
        <v>0.5</v>
      </c>
      <c r="E102" s="10" t="s">
        <v>219</v>
      </c>
      <c r="F102" s="11" t="s">
        <v>226</v>
      </c>
      <c r="G102" s="12" t="s">
        <v>226</v>
      </c>
      <c r="H102" s="13" t="s">
        <v>218</v>
      </c>
      <c r="I102" s="14">
        <v>2</v>
      </c>
      <c r="J102" s="14" t="s">
        <v>10</v>
      </c>
      <c r="K102" s="5" t="s">
        <v>630</v>
      </c>
      <c r="L102" s="6">
        <v>0.87847222222222221</v>
      </c>
      <c r="M102" s="7" t="s">
        <v>631</v>
      </c>
      <c r="N102" s="14" t="s">
        <v>11</v>
      </c>
      <c r="O102" s="14">
        <v>2</v>
      </c>
      <c r="P102" s="13" t="s">
        <v>247</v>
      </c>
      <c r="Q102" s="12" t="s">
        <v>218</v>
      </c>
      <c r="R102" s="11" t="s">
        <v>217</v>
      </c>
      <c r="S102" s="10" t="s">
        <v>216</v>
      </c>
      <c r="T102" s="8">
        <v>1</v>
      </c>
      <c r="U102" s="9">
        <v>0.5</v>
      </c>
      <c r="V102" s="8">
        <v>0.5</v>
      </c>
      <c r="W102" s="17"/>
      <c r="X102" s="65">
        <v>46250</v>
      </c>
    </row>
    <row r="103" spans="1:24" ht="13.8" thickBot="1" x14ac:dyDescent="0.3">
      <c r="A103" s="4" t="s">
        <v>402</v>
      </c>
      <c r="B103" s="8">
        <v>0.5</v>
      </c>
      <c r="C103" s="15">
        <v>1</v>
      </c>
      <c r="D103" s="8">
        <v>1</v>
      </c>
      <c r="E103" s="10" t="s">
        <v>217</v>
      </c>
      <c r="F103" s="11" t="s">
        <v>246</v>
      </c>
      <c r="G103" s="12" t="s">
        <v>327</v>
      </c>
      <c r="H103" s="13" t="s">
        <v>218</v>
      </c>
      <c r="I103" s="14">
        <v>2</v>
      </c>
      <c r="J103" s="14" t="s">
        <v>10</v>
      </c>
      <c r="K103" s="5" t="s">
        <v>632</v>
      </c>
      <c r="L103" s="6">
        <v>0</v>
      </c>
      <c r="M103" s="7" t="s">
        <v>633</v>
      </c>
      <c r="N103" s="14" t="s">
        <v>11</v>
      </c>
      <c r="O103" s="14">
        <v>1</v>
      </c>
      <c r="P103" s="13" t="s">
        <v>219</v>
      </c>
      <c r="Q103" s="12" t="s">
        <v>217</v>
      </c>
      <c r="R103" s="11" t="s">
        <v>219</v>
      </c>
      <c r="S103" s="10" t="s">
        <v>217</v>
      </c>
      <c r="T103" s="8">
        <v>0</v>
      </c>
      <c r="U103" s="9">
        <v>0</v>
      </c>
      <c r="V103" s="8">
        <v>0</v>
      </c>
      <c r="W103" s="17"/>
      <c r="X103" s="65">
        <v>46250</v>
      </c>
    </row>
    <row r="104" spans="1:24" ht="13.8" thickBot="1" x14ac:dyDescent="0.3">
      <c r="A104" s="4" t="s">
        <v>402</v>
      </c>
      <c r="B104" s="8">
        <v>0</v>
      </c>
      <c r="C104" s="9">
        <v>0</v>
      </c>
      <c r="D104" s="8">
        <v>0</v>
      </c>
      <c r="E104" s="10" t="s">
        <v>219</v>
      </c>
      <c r="F104" s="11" t="s">
        <v>217</v>
      </c>
      <c r="G104" s="12" t="s">
        <v>217</v>
      </c>
      <c r="H104" s="13" t="s">
        <v>218</v>
      </c>
      <c r="I104" s="14">
        <v>1</v>
      </c>
      <c r="J104" s="14" t="s">
        <v>10</v>
      </c>
      <c r="K104" s="5" t="s">
        <v>634</v>
      </c>
      <c r="L104" s="6">
        <v>0.83333333333333337</v>
      </c>
      <c r="M104" s="7" t="s">
        <v>635</v>
      </c>
      <c r="N104" s="14" t="s">
        <v>11</v>
      </c>
      <c r="O104" s="14">
        <v>1</v>
      </c>
      <c r="P104" s="13" t="s">
        <v>219</v>
      </c>
      <c r="Q104" s="12" t="s">
        <v>226</v>
      </c>
      <c r="R104" s="11" t="s">
        <v>217</v>
      </c>
      <c r="S104" s="10" t="s">
        <v>218</v>
      </c>
      <c r="T104" s="8">
        <v>1</v>
      </c>
      <c r="U104" s="15">
        <v>1</v>
      </c>
      <c r="V104" s="8">
        <v>1</v>
      </c>
      <c r="W104" s="17"/>
      <c r="X104" s="65">
        <v>46250</v>
      </c>
    </row>
    <row r="105" spans="1:24" ht="13.8" thickBot="1" x14ac:dyDescent="0.3">
      <c r="A105" s="4" t="s">
        <v>320</v>
      </c>
      <c r="B105" s="8">
        <v>0</v>
      </c>
      <c r="C105" s="15">
        <v>1</v>
      </c>
      <c r="D105" s="8">
        <v>1</v>
      </c>
      <c r="E105" s="10" t="s">
        <v>217</v>
      </c>
      <c r="F105" s="11" t="s">
        <v>216</v>
      </c>
      <c r="G105" s="12" t="s">
        <v>218</v>
      </c>
      <c r="H105" s="13" t="s">
        <v>218</v>
      </c>
      <c r="I105" s="14">
        <v>1</v>
      </c>
      <c r="J105" s="14" t="s">
        <v>10</v>
      </c>
      <c r="K105" s="5" t="s">
        <v>636</v>
      </c>
      <c r="L105" s="6">
        <v>0.60416666666666663</v>
      </c>
      <c r="M105" s="7" t="s">
        <v>637</v>
      </c>
      <c r="N105" s="14" t="s">
        <v>11</v>
      </c>
      <c r="O105" s="64"/>
      <c r="P105" s="63"/>
      <c r="Q105" s="63"/>
      <c r="R105" s="63"/>
      <c r="S105" s="63"/>
      <c r="T105" s="63"/>
      <c r="U105" s="63"/>
      <c r="V105" s="63"/>
      <c r="W105" s="17"/>
      <c r="X105" s="65">
        <v>46250</v>
      </c>
    </row>
    <row r="106" spans="1:24" ht="13.8" thickBot="1" x14ac:dyDescent="0.3">
      <c r="A106" s="4" t="s">
        <v>320</v>
      </c>
      <c r="B106" s="8">
        <v>0</v>
      </c>
      <c r="C106" s="9">
        <v>0</v>
      </c>
      <c r="D106" s="8">
        <v>1</v>
      </c>
      <c r="E106" s="10" t="s">
        <v>216</v>
      </c>
      <c r="F106" s="11" t="s">
        <v>219</v>
      </c>
      <c r="G106" s="12" t="s">
        <v>216</v>
      </c>
      <c r="H106" s="13" t="s">
        <v>219</v>
      </c>
      <c r="I106" s="14">
        <v>1</v>
      </c>
      <c r="J106" s="14" t="s">
        <v>10</v>
      </c>
      <c r="K106" s="5" t="s">
        <v>638</v>
      </c>
      <c r="L106" s="6">
        <v>0.70833333333333337</v>
      </c>
      <c r="M106" s="7" t="s">
        <v>639</v>
      </c>
      <c r="N106" s="14" t="s">
        <v>11</v>
      </c>
      <c r="O106" s="14">
        <v>1</v>
      </c>
      <c r="P106" s="13" t="s">
        <v>219</v>
      </c>
      <c r="Q106" s="12" t="s">
        <v>218</v>
      </c>
      <c r="R106" s="11" t="s">
        <v>217</v>
      </c>
      <c r="S106" s="10" t="s">
        <v>216</v>
      </c>
      <c r="T106" s="8">
        <v>1</v>
      </c>
      <c r="U106" s="15">
        <v>1</v>
      </c>
      <c r="V106" s="8">
        <v>0</v>
      </c>
      <c r="W106" s="17"/>
      <c r="X106" s="65">
        <v>46250</v>
      </c>
    </row>
    <row r="107" spans="1:24" ht="19.8" thickBot="1" x14ac:dyDescent="0.3">
      <c r="A107" s="4" t="s">
        <v>321</v>
      </c>
      <c r="B107" s="8">
        <v>0</v>
      </c>
      <c r="C107" s="9">
        <v>0</v>
      </c>
      <c r="D107" s="8">
        <v>0</v>
      </c>
      <c r="E107" s="10" t="s">
        <v>219</v>
      </c>
      <c r="F107" s="11" t="s">
        <v>217</v>
      </c>
      <c r="G107" s="12" t="s">
        <v>217</v>
      </c>
      <c r="H107" s="13" t="s">
        <v>218</v>
      </c>
      <c r="I107" s="14">
        <v>1</v>
      </c>
      <c r="J107" s="14" t="s">
        <v>10</v>
      </c>
      <c r="K107" s="5" t="s">
        <v>640</v>
      </c>
      <c r="L107" s="6">
        <v>0.26041666666666669</v>
      </c>
      <c r="M107" s="7" t="s">
        <v>641</v>
      </c>
      <c r="N107" s="14" t="s">
        <v>11</v>
      </c>
      <c r="O107" s="14">
        <v>1</v>
      </c>
      <c r="P107" s="13" t="s">
        <v>219</v>
      </c>
      <c r="Q107" s="12" t="s">
        <v>217</v>
      </c>
      <c r="R107" s="11" t="s">
        <v>219</v>
      </c>
      <c r="S107" s="10" t="s">
        <v>217</v>
      </c>
      <c r="T107" s="8">
        <v>0</v>
      </c>
      <c r="U107" s="9">
        <v>0</v>
      </c>
      <c r="V107" s="8">
        <v>0</v>
      </c>
      <c r="W107" s="17"/>
      <c r="X107" s="65">
        <v>46250</v>
      </c>
    </row>
    <row r="108" spans="1:24" ht="13.8" thickBot="1" x14ac:dyDescent="0.3">
      <c r="A108" s="4" t="s">
        <v>322</v>
      </c>
      <c r="B108" s="8">
        <v>0</v>
      </c>
      <c r="C108" s="9">
        <v>0</v>
      </c>
      <c r="D108" s="8">
        <v>0</v>
      </c>
      <c r="E108" s="10" t="s">
        <v>219</v>
      </c>
      <c r="F108" s="11" t="s">
        <v>217</v>
      </c>
      <c r="G108" s="12" t="s">
        <v>217</v>
      </c>
      <c r="H108" s="13" t="s">
        <v>218</v>
      </c>
      <c r="I108" s="14">
        <v>1</v>
      </c>
      <c r="J108" s="14" t="s">
        <v>10</v>
      </c>
      <c r="K108" s="5" t="s">
        <v>642</v>
      </c>
      <c r="L108" s="6">
        <v>0.41666666666666669</v>
      </c>
      <c r="M108" s="7" t="s">
        <v>643</v>
      </c>
      <c r="N108" s="14" t="s">
        <v>11</v>
      </c>
      <c r="O108" s="14">
        <v>1</v>
      </c>
      <c r="P108" s="13" t="s">
        <v>217</v>
      </c>
      <c r="Q108" s="12" t="s">
        <v>216</v>
      </c>
      <c r="R108" s="11" t="s">
        <v>217</v>
      </c>
      <c r="S108" s="10" t="s">
        <v>217</v>
      </c>
      <c r="T108" s="8">
        <v>1</v>
      </c>
      <c r="U108" s="9">
        <v>0</v>
      </c>
      <c r="V108" s="8">
        <v>0</v>
      </c>
      <c r="W108" s="17"/>
      <c r="X108" s="65">
        <v>46250</v>
      </c>
    </row>
    <row r="109" spans="1:24" ht="13.8" thickBot="1" x14ac:dyDescent="0.3">
      <c r="A109" s="4" t="s">
        <v>322</v>
      </c>
      <c r="B109" s="8">
        <v>0</v>
      </c>
      <c r="C109" s="9">
        <v>0</v>
      </c>
      <c r="D109" s="8">
        <v>0</v>
      </c>
      <c r="E109" s="10" t="s">
        <v>219</v>
      </c>
      <c r="F109" s="11" t="s">
        <v>217</v>
      </c>
      <c r="G109" s="12" t="s">
        <v>217</v>
      </c>
      <c r="H109" s="13" t="s">
        <v>218</v>
      </c>
      <c r="I109" s="14">
        <v>1</v>
      </c>
      <c r="J109" s="14" t="s">
        <v>10</v>
      </c>
      <c r="K109" s="5" t="s">
        <v>644</v>
      </c>
      <c r="L109" s="6">
        <v>0.41666666666666669</v>
      </c>
      <c r="M109" s="7" t="s">
        <v>645</v>
      </c>
      <c r="N109" s="14" t="s">
        <v>11</v>
      </c>
      <c r="O109" s="14">
        <v>1</v>
      </c>
      <c r="P109" s="13" t="s">
        <v>219</v>
      </c>
      <c r="Q109" s="12" t="s">
        <v>218</v>
      </c>
      <c r="R109" s="11" t="s">
        <v>217</v>
      </c>
      <c r="S109" s="10" t="s">
        <v>216</v>
      </c>
      <c r="T109" s="8">
        <v>1</v>
      </c>
      <c r="U109" s="15">
        <v>1</v>
      </c>
      <c r="V109" s="8">
        <v>0</v>
      </c>
      <c r="W109" s="17"/>
      <c r="X109" s="65">
        <v>46250</v>
      </c>
    </row>
    <row r="110" spans="1:24" ht="19.8" thickBot="1" x14ac:dyDescent="0.3">
      <c r="A110" s="4" t="s">
        <v>322</v>
      </c>
      <c r="B110" s="8">
        <v>1</v>
      </c>
      <c r="C110" s="15">
        <v>1</v>
      </c>
      <c r="D110" s="8">
        <v>1</v>
      </c>
      <c r="E110" s="10" t="s">
        <v>216</v>
      </c>
      <c r="F110" s="11" t="s">
        <v>216</v>
      </c>
      <c r="G110" s="12" t="s">
        <v>226</v>
      </c>
      <c r="H110" s="13" t="s">
        <v>217</v>
      </c>
      <c r="I110" s="14">
        <v>1</v>
      </c>
      <c r="J110" s="14" t="s">
        <v>10</v>
      </c>
      <c r="K110" s="5" t="s">
        <v>646</v>
      </c>
      <c r="L110" s="6">
        <v>0.5</v>
      </c>
      <c r="M110" s="7" t="s">
        <v>647</v>
      </c>
      <c r="N110" s="14" t="s">
        <v>11</v>
      </c>
      <c r="O110" s="14">
        <v>1</v>
      </c>
      <c r="P110" s="13" t="s">
        <v>218</v>
      </c>
      <c r="Q110" s="12" t="s">
        <v>278</v>
      </c>
      <c r="R110" s="11" t="s">
        <v>218</v>
      </c>
      <c r="S110" s="10" t="s">
        <v>216</v>
      </c>
      <c r="T110" s="8">
        <v>1</v>
      </c>
      <c r="U110" s="15">
        <v>1</v>
      </c>
      <c r="V110" s="8">
        <v>1</v>
      </c>
      <c r="W110" s="17"/>
      <c r="X110" s="65">
        <v>46250</v>
      </c>
    </row>
    <row r="111" spans="1:24" ht="19.8" thickBot="1" x14ac:dyDescent="0.3">
      <c r="A111" s="4" t="s">
        <v>322</v>
      </c>
      <c r="B111" s="8">
        <v>0</v>
      </c>
      <c r="C111" s="9">
        <v>0</v>
      </c>
      <c r="D111" s="8">
        <v>1</v>
      </c>
      <c r="E111" s="10" t="s">
        <v>247</v>
      </c>
      <c r="F111" s="11" t="s">
        <v>220</v>
      </c>
      <c r="G111" s="12" t="s">
        <v>216</v>
      </c>
      <c r="H111" s="13" t="s">
        <v>216</v>
      </c>
      <c r="I111" s="14">
        <v>2</v>
      </c>
      <c r="J111" s="14" t="s">
        <v>10</v>
      </c>
      <c r="K111" s="5" t="s">
        <v>648</v>
      </c>
      <c r="L111" s="6">
        <v>0.58333333333333337</v>
      </c>
      <c r="M111" s="7" t="s">
        <v>649</v>
      </c>
      <c r="N111" s="14" t="s">
        <v>11</v>
      </c>
      <c r="O111" s="14">
        <v>1</v>
      </c>
      <c r="P111" s="13" t="s">
        <v>218</v>
      </c>
      <c r="Q111" s="12" t="s">
        <v>226</v>
      </c>
      <c r="R111" s="11" t="s">
        <v>218</v>
      </c>
      <c r="S111" s="10" t="s">
        <v>217</v>
      </c>
      <c r="T111" s="8">
        <v>1</v>
      </c>
      <c r="U111" s="15">
        <v>1</v>
      </c>
      <c r="V111" s="8">
        <v>1</v>
      </c>
      <c r="W111" s="17"/>
      <c r="X111" s="65">
        <v>46250</v>
      </c>
    </row>
    <row r="112" spans="1:24" ht="19.8" thickBot="1" x14ac:dyDescent="0.3">
      <c r="A112" s="4" t="s">
        <v>322</v>
      </c>
      <c r="B112" s="8">
        <v>0</v>
      </c>
      <c r="C112" s="15">
        <v>1</v>
      </c>
      <c r="D112" s="8">
        <v>1</v>
      </c>
      <c r="E112" s="10" t="s">
        <v>216</v>
      </c>
      <c r="F112" s="11" t="s">
        <v>217</v>
      </c>
      <c r="G112" s="12" t="s">
        <v>218</v>
      </c>
      <c r="H112" s="13" t="s">
        <v>219</v>
      </c>
      <c r="I112" s="14">
        <v>1</v>
      </c>
      <c r="J112" s="14" t="s">
        <v>10</v>
      </c>
      <c r="K112" s="5" t="s">
        <v>650</v>
      </c>
      <c r="L112" s="6">
        <v>0.41666666666666669</v>
      </c>
      <c r="M112" s="7" t="s">
        <v>651</v>
      </c>
      <c r="N112" s="14" t="s">
        <v>11</v>
      </c>
      <c r="O112" s="14">
        <v>2</v>
      </c>
      <c r="P112" s="13" t="s">
        <v>247</v>
      </c>
      <c r="Q112" s="12" t="s">
        <v>221</v>
      </c>
      <c r="R112" s="11" t="s">
        <v>217</v>
      </c>
      <c r="S112" s="10" t="s">
        <v>220</v>
      </c>
      <c r="T112" s="8">
        <v>0.5</v>
      </c>
      <c r="U112" s="9">
        <v>0.5</v>
      </c>
      <c r="V112" s="8">
        <v>0.5</v>
      </c>
      <c r="W112" s="17"/>
      <c r="X112" s="65">
        <v>46250</v>
      </c>
    </row>
    <row r="113" spans="1:24" ht="13.8" thickBot="1" x14ac:dyDescent="0.3">
      <c r="A113" s="4" t="s">
        <v>88</v>
      </c>
      <c r="B113" s="8">
        <v>0.33</v>
      </c>
      <c r="C113" s="9">
        <v>0.42</v>
      </c>
      <c r="D113" s="8">
        <v>0.57999999999999996</v>
      </c>
      <c r="E113" s="10" t="s">
        <v>250</v>
      </c>
      <c r="F113" s="11" t="s">
        <v>348</v>
      </c>
      <c r="G113" s="12" t="s">
        <v>225</v>
      </c>
      <c r="H113" s="13" t="s">
        <v>251</v>
      </c>
      <c r="I113" s="14">
        <v>12</v>
      </c>
      <c r="J113" s="14" t="s">
        <v>10</v>
      </c>
      <c r="K113" s="5" t="s">
        <v>652</v>
      </c>
      <c r="L113" s="6">
        <v>0.91666666666666663</v>
      </c>
      <c r="M113" s="7" t="s">
        <v>653</v>
      </c>
      <c r="N113" s="14" t="s">
        <v>11</v>
      </c>
      <c r="O113" s="14">
        <v>12</v>
      </c>
      <c r="P113" s="13" t="s">
        <v>368</v>
      </c>
      <c r="Q113" s="12" t="s">
        <v>223</v>
      </c>
      <c r="R113" s="11" t="s">
        <v>222</v>
      </c>
      <c r="S113" s="10" t="s">
        <v>217</v>
      </c>
      <c r="T113" s="8">
        <v>0.57999999999999996</v>
      </c>
      <c r="U113" s="9">
        <v>0.33</v>
      </c>
      <c r="V113" s="8">
        <v>0.08</v>
      </c>
      <c r="W113" s="17"/>
      <c r="X113" s="65">
        <v>46250</v>
      </c>
    </row>
    <row r="114" spans="1:24" ht="13.8" thickBot="1" x14ac:dyDescent="0.3">
      <c r="A114" s="4" t="s">
        <v>88</v>
      </c>
      <c r="B114" s="8">
        <v>0.17</v>
      </c>
      <c r="C114" s="15">
        <v>0.57999999999999996</v>
      </c>
      <c r="D114" s="8">
        <v>0.92</v>
      </c>
      <c r="E114" s="10" t="s">
        <v>373</v>
      </c>
      <c r="F114" s="11" t="s">
        <v>224</v>
      </c>
      <c r="G114" s="12" t="s">
        <v>330</v>
      </c>
      <c r="H114" s="13" t="s">
        <v>293</v>
      </c>
      <c r="I114" s="14">
        <v>12</v>
      </c>
      <c r="J114" s="14" t="s">
        <v>10</v>
      </c>
      <c r="K114" s="5" t="s">
        <v>173</v>
      </c>
      <c r="L114" s="6">
        <v>0.70833333333333337</v>
      </c>
      <c r="M114" s="7" t="s">
        <v>654</v>
      </c>
      <c r="N114" s="14" t="s">
        <v>11</v>
      </c>
      <c r="O114" s="14">
        <v>12</v>
      </c>
      <c r="P114" s="13" t="s">
        <v>224</v>
      </c>
      <c r="Q114" s="12" t="s">
        <v>223</v>
      </c>
      <c r="R114" s="11" t="s">
        <v>310</v>
      </c>
      <c r="S114" s="10" t="s">
        <v>250</v>
      </c>
      <c r="T114" s="8">
        <v>0.42</v>
      </c>
      <c r="U114" s="9">
        <v>0.17</v>
      </c>
      <c r="V114" s="8">
        <v>0.08</v>
      </c>
      <c r="W114" s="17"/>
      <c r="X114" s="65">
        <v>46250</v>
      </c>
    </row>
    <row r="115" spans="1:24" ht="13.8" thickBot="1" x14ac:dyDescent="0.3">
      <c r="A115" s="4" t="s">
        <v>88</v>
      </c>
      <c r="B115" s="8">
        <v>0.08</v>
      </c>
      <c r="C115" s="9">
        <v>0.17</v>
      </c>
      <c r="D115" s="8">
        <v>0.75</v>
      </c>
      <c r="E115" s="10" t="s">
        <v>368</v>
      </c>
      <c r="F115" s="11" t="s">
        <v>217</v>
      </c>
      <c r="G115" s="12" t="s">
        <v>391</v>
      </c>
      <c r="H115" s="13" t="s">
        <v>251</v>
      </c>
      <c r="I115" s="14">
        <v>12</v>
      </c>
      <c r="J115" s="14" t="s">
        <v>10</v>
      </c>
      <c r="K115" s="5" t="s">
        <v>174</v>
      </c>
      <c r="L115" s="6">
        <v>0.80208333333333337</v>
      </c>
      <c r="M115" s="7" t="s">
        <v>655</v>
      </c>
      <c r="N115" s="14" t="s">
        <v>11</v>
      </c>
      <c r="O115" s="14">
        <v>12</v>
      </c>
      <c r="P115" s="13" t="s">
        <v>288</v>
      </c>
      <c r="Q115" s="12" t="s">
        <v>252</v>
      </c>
      <c r="R115" s="11" t="s">
        <v>310</v>
      </c>
      <c r="S115" s="10" t="s">
        <v>220</v>
      </c>
      <c r="T115" s="8">
        <v>0.57999999999999996</v>
      </c>
      <c r="U115" s="9">
        <v>0.42</v>
      </c>
      <c r="V115" s="8">
        <v>0.08</v>
      </c>
      <c r="W115" s="17"/>
      <c r="X115" s="65">
        <v>46250</v>
      </c>
    </row>
    <row r="116" spans="1:24" ht="13.8" thickBot="1" x14ac:dyDescent="0.3">
      <c r="A116" s="4" t="s">
        <v>175</v>
      </c>
      <c r="B116" s="8">
        <v>0.18</v>
      </c>
      <c r="C116" s="15">
        <v>0.82</v>
      </c>
      <c r="D116" s="8">
        <v>0.91</v>
      </c>
      <c r="E116" s="10" t="s">
        <v>259</v>
      </c>
      <c r="F116" s="11" t="s">
        <v>255</v>
      </c>
      <c r="G116" s="12" t="s">
        <v>263</v>
      </c>
      <c r="H116" s="13" t="s">
        <v>301</v>
      </c>
      <c r="I116" s="14">
        <v>11</v>
      </c>
      <c r="J116" s="14" t="s">
        <v>10</v>
      </c>
      <c r="K116" s="5" t="s">
        <v>656</v>
      </c>
      <c r="L116" s="6">
        <v>0.5</v>
      </c>
      <c r="M116" s="7" t="s">
        <v>657</v>
      </c>
      <c r="N116" s="14" t="s">
        <v>11</v>
      </c>
      <c r="O116" s="14">
        <v>11</v>
      </c>
      <c r="P116" s="13" t="s">
        <v>302</v>
      </c>
      <c r="Q116" s="12" t="s">
        <v>407</v>
      </c>
      <c r="R116" s="11" t="s">
        <v>376</v>
      </c>
      <c r="S116" s="10" t="s">
        <v>259</v>
      </c>
      <c r="T116" s="8">
        <v>0.82</v>
      </c>
      <c r="U116" s="15">
        <v>0.64</v>
      </c>
      <c r="V116" s="8">
        <v>0.55000000000000004</v>
      </c>
      <c r="W116" s="17"/>
      <c r="X116" s="65">
        <v>46250</v>
      </c>
    </row>
    <row r="117" spans="1:24" ht="13.8" thickBot="1" x14ac:dyDescent="0.3">
      <c r="A117" s="4" t="s">
        <v>175</v>
      </c>
      <c r="B117" s="8">
        <v>0.27</v>
      </c>
      <c r="C117" s="15">
        <v>0.55000000000000004</v>
      </c>
      <c r="D117" s="8">
        <v>0.82</v>
      </c>
      <c r="E117" s="10" t="s">
        <v>217</v>
      </c>
      <c r="F117" s="11" t="s">
        <v>314</v>
      </c>
      <c r="G117" s="12" t="s">
        <v>658</v>
      </c>
      <c r="H117" s="13" t="s">
        <v>256</v>
      </c>
      <c r="I117" s="14">
        <v>11</v>
      </c>
      <c r="J117" s="14" t="s">
        <v>10</v>
      </c>
      <c r="K117" s="5" t="s">
        <v>659</v>
      </c>
      <c r="L117" s="6">
        <v>0.5</v>
      </c>
      <c r="M117" s="7" t="s">
        <v>660</v>
      </c>
      <c r="N117" s="14" t="s">
        <v>11</v>
      </c>
      <c r="O117" s="14">
        <v>10</v>
      </c>
      <c r="P117" s="13" t="s">
        <v>217</v>
      </c>
      <c r="Q117" s="12" t="s">
        <v>280</v>
      </c>
      <c r="R117" s="11" t="s">
        <v>217</v>
      </c>
      <c r="S117" s="10" t="s">
        <v>233</v>
      </c>
      <c r="T117" s="8">
        <v>0.8</v>
      </c>
      <c r="U117" s="15">
        <v>0.7</v>
      </c>
      <c r="V117" s="8">
        <v>0.3</v>
      </c>
      <c r="W117" s="17"/>
      <c r="X117" s="65">
        <v>46250</v>
      </c>
    </row>
    <row r="118" spans="1:24" ht="13.8" thickBot="1" x14ac:dyDescent="0.3">
      <c r="A118" s="4" t="s">
        <v>175</v>
      </c>
      <c r="B118" s="8">
        <v>0.3</v>
      </c>
      <c r="C118" s="15">
        <v>0.7</v>
      </c>
      <c r="D118" s="8">
        <v>0.8</v>
      </c>
      <c r="E118" s="10" t="s">
        <v>248</v>
      </c>
      <c r="F118" s="11" t="s">
        <v>267</v>
      </c>
      <c r="G118" s="12" t="s">
        <v>280</v>
      </c>
      <c r="H118" s="13" t="s">
        <v>234</v>
      </c>
      <c r="I118" s="14">
        <v>10</v>
      </c>
      <c r="J118" s="14" t="s">
        <v>10</v>
      </c>
      <c r="K118" s="5" t="s">
        <v>176</v>
      </c>
      <c r="L118" s="6">
        <v>0.58333333333333337</v>
      </c>
      <c r="M118" s="7" t="s">
        <v>661</v>
      </c>
      <c r="N118" s="14" t="s">
        <v>11</v>
      </c>
      <c r="O118" s="14">
        <v>11</v>
      </c>
      <c r="P118" s="13" t="s">
        <v>262</v>
      </c>
      <c r="Q118" s="12" t="s">
        <v>304</v>
      </c>
      <c r="R118" s="11" t="s">
        <v>264</v>
      </c>
      <c r="S118" s="10" t="s">
        <v>376</v>
      </c>
      <c r="T118" s="8">
        <v>0.73</v>
      </c>
      <c r="U118" s="15">
        <v>0.55000000000000004</v>
      </c>
      <c r="V118" s="8">
        <v>0.27</v>
      </c>
      <c r="W118" s="17"/>
      <c r="X118" s="65">
        <v>46250</v>
      </c>
    </row>
    <row r="119" spans="1:24" ht="13.8" thickBot="1" x14ac:dyDescent="0.3">
      <c r="A119" s="4" t="s">
        <v>175</v>
      </c>
      <c r="B119" s="8">
        <v>0.45</v>
      </c>
      <c r="C119" s="15">
        <v>0.73</v>
      </c>
      <c r="D119" s="8">
        <v>0.91</v>
      </c>
      <c r="E119" s="10" t="s">
        <v>303</v>
      </c>
      <c r="F119" s="11" t="s">
        <v>311</v>
      </c>
      <c r="G119" s="12" t="s">
        <v>662</v>
      </c>
      <c r="H119" s="13" t="s">
        <v>302</v>
      </c>
      <c r="I119" s="14">
        <v>11</v>
      </c>
      <c r="J119" s="14" t="s">
        <v>10</v>
      </c>
      <c r="K119" s="5" t="s">
        <v>663</v>
      </c>
      <c r="L119" s="6">
        <v>0.58333333333333337</v>
      </c>
      <c r="M119" s="7" t="s">
        <v>664</v>
      </c>
      <c r="N119" s="14" t="s">
        <v>11</v>
      </c>
      <c r="O119" s="14">
        <v>11</v>
      </c>
      <c r="P119" s="13" t="s">
        <v>375</v>
      </c>
      <c r="Q119" s="12" t="s">
        <v>258</v>
      </c>
      <c r="R119" s="11" t="s">
        <v>312</v>
      </c>
      <c r="S119" s="10" t="s">
        <v>264</v>
      </c>
      <c r="T119" s="8">
        <v>0.91</v>
      </c>
      <c r="U119" s="15">
        <v>0.73</v>
      </c>
      <c r="V119" s="8">
        <v>0.45</v>
      </c>
      <c r="W119" s="17"/>
      <c r="X119" s="65">
        <v>46250</v>
      </c>
    </row>
    <row r="120" spans="1:24" ht="13.8" thickBot="1" x14ac:dyDescent="0.3">
      <c r="A120" s="4" t="s">
        <v>665</v>
      </c>
      <c r="B120" s="8">
        <v>0.5</v>
      </c>
      <c r="C120" s="9">
        <v>0.5</v>
      </c>
      <c r="D120" s="8">
        <v>0.88</v>
      </c>
      <c r="E120" s="10" t="s">
        <v>286</v>
      </c>
      <c r="F120" s="11" t="s">
        <v>236</v>
      </c>
      <c r="G120" s="12" t="s">
        <v>346</v>
      </c>
      <c r="H120" s="13" t="s">
        <v>220</v>
      </c>
      <c r="I120" s="14">
        <v>8</v>
      </c>
      <c r="J120" s="14" t="s">
        <v>10</v>
      </c>
      <c r="K120" s="5" t="s">
        <v>666</v>
      </c>
      <c r="L120" s="6">
        <v>0.5</v>
      </c>
      <c r="M120" s="7" t="s">
        <v>667</v>
      </c>
      <c r="N120" s="14" t="s">
        <v>11</v>
      </c>
      <c r="O120" s="14">
        <v>9</v>
      </c>
      <c r="P120" s="13" t="s">
        <v>326</v>
      </c>
      <c r="Q120" s="12" t="s">
        <v>340</v>
      </c>
      <c r="R120" s="11" t="s">
        <v>310</v>
      </c>
      <c r="S120" s="10" t="s">
        <v>387</v>
      </c>
      <c r="T120" s="8">
        <v>0.78</v>
      </c>
      <c r="U120" s="9">
        <v>0.44</v>
      </c>
      <c r="V120" s="8">
        <v>0.33</v>
      </c>
      <c r="W120" s="17"/>
      <c r="X120" s="65">
        <v>46250</v>
      </c>
    </row>
    <row r="121" spans="1:24" ht="13.8" thickBot="1" x14ac:dyDescent="0.3">
      <c r="A121" s="4" t="s">
        <v>665</v>
      </c>
      <c r="B121" s="8">
        <v>0.11</v>
      </c>
      <c r="C121" s="9">
        <v>0.44</v>
      </c>
      <c r="D121" s="8">
        <v>0.56000000000000005</v>
      </c>
      <c r="E121" s="10" t="s">
        <v>436</v>
      </c>
      <c r="F121" s="11" t="s">
        <v>343</v>
      </c>
      <c r="G121" s="12" t="s">
        <v>216</v>
      </c>
      <c r="H121" s="13" t="s">
        <v>341</v>
      </c>
      <c r="I121" s="14">
        <v>9</v>
      </c>
      <c r="J121" s="14" t="s">
        <v>10</v>
      </c>
      <c r="K121" s="5" t="s">
        <v>668</v>
      </c>
      <c r="L121" s="6">
        <v>0.5</v>
      </c>
      <c r="M121" s="7" t="s">
        <v>669</v>
      </c>
      <c r="N121" s="14" t="s">
        <v>11</v>
      </c>
      <c r="O121" s="14">
        <v>8</v>
      </c>
      <c r="P121" s="13" t="s">
        <v>293</v>
      </c>
      <c r="Q121" s="12" t="s">
        <v>342</v>
      </c>
      <c r="R121" s="11" t="s">
        <v>239</v>
      </c>
      <c r="S121" s="10" t="s">
        <v>223</v>
      </c>
      <c r="T121" s="8">
        <v>0.88</v>
      </c>
      <c r="U121" s="15">
        <v>0.75</v>
      </c>
      <c r="V121" s="8">
        <v>0.25</v>
      </c>
      <c r="W121" s="17"/>
      <c r="X121" s="65">
        <v>46250</v>
      </c>
    </row>
    <row r="122" spans="1:24" ht="13.8" thickBot="1" x14ac:dyDescent="0.3">
      <c r="A122" s="4" t="s">
        <v>665</v>
      </c>
      <c r="B122" s="8">
        <v>0.56000000000000005</v>
      </c>
      <c r="C122" s="15">
        <v>0.56000000000000005</v>
      </c>
      <c r="D122" s="8">
        <v>0.78</v>
      </c>
      <c r="E122" s="10" t="s">
        <v>230</v>
      </c>
      <c r="F122" s="11" t="s">
        <v>284</v>
      </c>
      <c r="G122" s="12" t="s">
        <v>409</v>
      </c>
      <c r="H122" s="13" t="s">
        <v>217</v>
      </c>
      <c r="I122" s="14">
        <v>9</v>
      </c>
      <c r="J122" s="14" t="s">
        <v>10</v>
      </c>
      <c r="K122" s="5" t="s">
        <v>670</v>
      </c>
      <c r="L122" s="6">
        <v>0.59375</v>
      </c>
      <c r="M122" s="7" t="s">
        <v>671</v>
      </c>
      <c r="N122" s="14" t="s">
        <v>11</v>
      </c>
      <c r="O122" s="14">
        <v>9</v>
      </c>
      <c r="P122" s="13" t="s">
        <v>232</v>
      </c>
      <c r="Q122" s="12" t="s">
        <v>323</v>
      </c>
      <c r="R122" s="11" t="s">
        <v>344</v>
      </c>
      <c r="S122" s="10" t="s">
        <v>344</v>
      </c>
      <c r="T122" s="8">
        <v>0.78</v>
      </c>
      <c r="U122" s="15">
        <v>0.67</v>
      </c>
      <c r="V122" s="8">
        <v>0.44</v>
      </c>
      <c r="W122" s="17"/>
      <c r="X122" s="65">
        <v>46250</v>
      </c>
    </row>
    <row r="123" spans="1:24" ht="13.8" thickBot="1" x14ac:dyDescent="0.3">
      <c r="A123" s="4" t="s">
        <v>665</v>
      </c>
      <c r="B123" s="8">
        <v>0.56000000000000005</v>
      </c>
      <c r="C123" s="15">
        <v>0.67</v>
      </c>
      <c r="D123" s="8">
        <v>1</v>
      </c>
      <c r="E123" s="10" t="s">
        <v>344</v>
      </c>
      <c r="F123" s="11" t="s">
        <v>216</v>
      </c>
      <c r="G123" s="12" t="s">
        <v>349</v>
      </c>
      <c r="H123" s="13" t="s">
        <v>343</v>
      </c>
      <c r="I123" s="14">
        <v>9</v>
      </c>
      <c r="J123" s="14" t="s">
        <v>10</v>
      </c>
      <c r="K123" s="5" t="s">
        <v>672</v>
      </c>
      <c r="L123" s="6">
        <v>0.59375</v>
      </c>
      <c r="M123" s="7" t="s">
        <v>673</v>
      </c>
      <c r="N123" s="14" t="s">
        <v>11</v>
      </c>
      <c r="O123" s="14">
        <v>9</v>
      </c>
      <c r="P123" s="13" t="s">
        <v>231</v>
      </c>
      <c r="Q123" s="12" t="s">
        <v>309</v>
      </c>
      <c r="R123" s="11" t="s">
        <v>333</v>
      </c>
      <c r="S123" s="10" t="s">
        <v>324</v>
      </c>
      <c r="T123" s="8">
        <v>0.78</v>
      </c>
      <c r="U123" s="9">
        <v>0.44</v>
      </c>
      <c r="V123" s="8">
        <v>0.44</v>
      </c>
      <c r="W123" s="17"/>
      <c r="X123" s="65">
        <v>46250</v>
      </c>
    </row>
    <row r="124" spans="1:24" ht="13.8" thickBot="1" x14ac:dyDescent="0.3">
      <c r="A124" s="4" t="s">
        <v>665</v>
      </c>
      <c r="B124" s="8">
        <v>0.22</v>
      </c>
      <c r="C124" s="15">
        <v>0.67</v>
      </c>
      <c r="D124" s="8">
        <v>0.67</v>
      </c>
      <c r="E124" s="10" t="s">
        <v>229</v>
      </c>
      <c r="F124" s="11" t="s">
        <v>284</v>
      </c>
      <c r="G124" s="12" t="s">
        <v>341</v>
      </c>
      <c r="H124" s="13" t="s">
        <v>284</v>
      </c>
      <c r="I124" s="14">
        <v>9</v>
      </c>
      <c r="J124" s="14" t="s">
        <v>10</v>
      </c>
      <c r="K124" s="5" t="s">
        <v>674</v>
      </c>
      <c r="L124" s="6">
        <v>0.64583333333333337</v>
      </c>
      <c r="M124" s="7" t="s">
        <v>675</v>
      </c>
      <c r="N124" s="14" t="s">
        <v>11</v>
      </c>
      <c r="O124" s="14">
        <v>9</v>
      </c>
      <c r="P124" s="13" t="s">
        <v>344</v>
      </c>
      <c r="Q124" s="12" t="s">
        <v>333</v>
      </c>
      <c r="R124" s="11" t="s">
        <v>284</v>
      </c>
      <c r="S124" s="10" t="s">
        <v>306</v>
      </c>
      <c r="T124" s="8">
        <v>0.56000000000000005</v>
      </c>
      <c r="U124" s="9">
        <v>0.33</v>
      </c>
      <c r="V124" s="8">
        <v>0.22</v>
      </c>
      <c r="W124" s="17"/>
      <c r="X124" s="65">
        <v>46250</v>
      </c>
    </row>
    <row r="125" spans="1:24" ht="13.8" thickBot="1" x14ac:dyDescent="0.3">
      <c r="A125" s="4" t="s">
        <v>87</v>
      </c>
      <c r="B125" s="8">
        <v>0.33</v>
      </c>
      <c r="C125" s="15">
        <v>0.56000000000000005</v>
      </c>
      <c r="D125" s="8">
        <v>0.56000000000000005</v>
      </c>
      <c r="E125" s="10" t="s">
        <v>284</v>
      </c>
      <c r="F125" s="11" t="s">
        <v>232</v>
      </c>
      <c r="G125" s="12" t="s">
        <v>325</v>
      </c>
      <c r="H125" s="13" t="s">
        <v>231</v>
      </c>
      <c r="I125" s="14">
        <v>9</v>
      </c>
      <c r="J125" s="14" t="s">
        <v>10</v>
      </c>
      <c r="K125" s="5" t="s">
        <v>676</v>
      </c>
      <c r="L125" s="6">
        <v>0.45833333333333331</v>
      </c>
      <c r="M125" s="7" t="s">
        <v>677</v>
      </c>
      <c r="N125" s="14" t="s">
        <v>11</v>
      </c>
      <c r="O125" s="14">
        <v>9</v>
      </c>
      <c r="P125" s="13" t="s">
        <v>436</v>
      </c>
      <c r="Q125" s="12" t="s">
        <v>218</v>
      </c>
      <c r="R125" s="11" t="s">
        <v>326</v>
      </c>
      <c r="S125" s="10" t="s">
        <v>230</v>
      </c>
      <c r="T125" s="8">
        <v>0.89</v>
      </c>
      <c r="U125" s="15">
        <v>0.56000000000000005</v>
      </c>
      <c r="V125" s="8">
        <v>0.33</v>
      </c>
      <c r="W125" s="17"/>
      <c r="X125" s="65">
        <v>46250</v>
      </c>
    </row>
    <row r="126" spans="1:24" ht="13.8" thickBot="1" x14ac:dyDescent="0.3">
      <c r="A126" s="4" t="s">
        <v>87</v>
      </c>
      <c r="B126" s="8">
        <v>0.2</v>
      </c>
      <c r="C126" s="9">
        <v>0.3</v>
      </c>
      <c r="D126" s="8">
        <v>0.8</v>
      </c>
      <c r="E126" s="10" t="s">
        <v>384</v>
      </c>
      <c r="F126" s="11" t="s">
        <v>268</v>
      </c>
      <c r="G126" s="12" t="s">
        <v>371</v>
      </c>
      <c r="H126" s="13" t="s">
        <v>234</v>
      </c>
      <c r="I126" s="14">
        <v>10</v>
      </c>
      <c r="J126" s="14" t="s">
        <v>10</v>
      </c>
      <c r="K126" s="5" t="s">
        <v>678</v>
      </c>
      <c r="L126" s="6">
        <v>0.5</v>
      </c>
      <c r="M126" s="7" t="s">
        <v>679</v>
      </c>
      <c r="N126" s="14" t="s">
        <v>11</v>
      </c>
      <c r="O126" s="14">
        <v>9</v>
      </c>
      <c r="P126" s="13" t="s">
        <v>216</v>
      </c>
      <c r="Q126" s="12" t="s">
        <v>387</v>
      </c>
      <c r="R126" s="11" t="s">
        <v>344</v>
      </c>
      <c r="S126" s="10" t="s">
        <v>324</v>
      </c>
      <c r="T126" s="8">
        <v>0.89</v>
      </c>
      <c r="U126" s="9">
        <v>0.33</v>
      </c>
      <c r="V126" s="8">
        <v>0.22</v>
      </c>
      <c r="W126" s="17"/>
      <c r="X126" s="65">
        <v>46250</v>
      </c>
    </row>
    <row r="127" spans="1:24" ht="13.8" thickBot="1" x14ac:dyDescent="0.3">
      <c r="A127" s="4" t="s">
        <v>87</v>
      </c>
      <c r="B127" s="8">
        <v>0</v>
      </c>
      <c r="C127" s="9">
        <v>0.22</v>
      </c>
      <c r="D127" s="8">
        <v>0.56000000000000005</v>
      </c>
      <c r="E127" s="10" t="s">
        <v>310</v>
      </c>
      <c r="F127" s="11" t="s">
        <v>228</v>
      </c>
      <c r="G127" s="12" t="s">
        <v>343</v>
      </c>
      <c r="H127" s="13" t="s">
        <v>333</v>
      </c>
      <c r="I127" s="14">
        <v>9</v>
      </c>
      <c r="J127" s="14" t="s">
        <v>10</v>
      </c>
      <c r="K127" s="5" t="s">
        <v>680</v>
      </c>
      <c r="L127" s="6">
        <v>0.5</v>
      </c>
      <c r="M127" s="7" t="s">
        <v>681</v>
      </c>
      <c r="N127" s="14" t="s">
        <v>11</v>
      </c>
      <c r="O127" s="14">
        <v>9</v>
      </c>
      <c r="P127" s="13" t="s">
        <v>216</v>
      </c>
      <c r="Q127" s="12" t="s">
        <v>230</v>
      </c>
      <c r="R127" s="11" t="s">
        <v>344</v>
      </c>
      <c r="S127" s="10" t="s">
        <v>306</v>
      </c>
      <c r="T127" s="8">
        <v>0.78</v>
      </c>
      <c r="U127" s="9">
        <v>0.33</v>
      </c>
      <c r="V127" s="8">
        <v>0.33</v>
      </c>
      <c r="W127" s="17"/>
      <c r="X127" s="65">
        <v>46250</v>
      </c>
    </row>
    <row r="128" spans="1:24" ht="13.8" thickBot="1" x14ac:dyDescent="0.3">
      <c r="A128" s="4" t="s">
        <v>87</v>
      </c>
      <c r="B128" s="8">
        <v>0.38</v>
      </c>
      <c r="C128" s="15">
        <v>0.62</v>
      </c>
      <c r="D128" s="8">
        <v>0.62</v>
      </c>
      <c r="E128" s="10" t="s">
        <v>286</v>
      </c>
      <c r="F128" s="11" t="s">
        <v>220</v>
      </c>
      <c r="G128" s="12" t="s">
        <v>329</v>
      </c>
      <c r="H128" s="13" t="s">
        <v>223</v>
      </c>
      <c r="I128" s="14">
        <v>8</v>
      </c>
      <c r="J128" s="14" t="s">
        <v>10</v>
      </c>
      <c r="K128" s="5" t="s">
        <v>682</v>
      </c>
      <c r="L128" s="6">
        <v>0.5</v>
      </c>
      <c r="M128" s="7" t="s">
        <v>683</v>
      </c>
      <c r="N128" s="14" t="s">
        <v>11</v>
      </c>
      <c r="O128" s="14">
        <v>9</v>
      </c>
      <c r="P128" s="13" t="s">
        <v>308</v>
      </c>
      <c r="Q128" s="12" t="s">
        <v>323</v>
      </c>
      <c r="R128" s="11" t="s">
        <v>217</v>
      </c>
      <c r="S128" s="10" t="s">
        <v>334</v>
      </c>
      <c r="T128" s="8">
        <v>0.67</v>
      </c>
      <c r="U128" s="15">
        <v>0.56000000000000005</v>
      </c>
      <c r="V128" s="8">
        <v>0.44</v>
      </c>
      <c r="W128" s="17"/>
      <c r="X128" s="65">
        <v>46250</v>
      </c>
    </row>
    <row r="129" spans="1:24" ht="13.8" thickBot="1" x14ac:dyDescent="0.3">
      <c r="A129" s="4" t="s">
        <v>87</v>
      </c>
      <c r="B129" s="8">
        <v>0.22</v>
      </c>
      <c r="C129" s="9">
        <v>0.44</v>
      </c>
      <c r="D129" s="8">
        <v>1</v>
      </c>
      <c r="E129" s="10" t="s">
        <v>231</v>
      </c>
      <c r="F129" s="11" t="s">
        <v>232</v>
      </c>
      <c r="G129" s="12" t="s">
        <v>323</v>
      </c>
      <c r="H129" s="13" t="s">
        <v>217</v>
      </c>
      <c r="I129" s="14">
        <v>9</v>
      </c>
      <c r="J129" s="14" t="s">
        <v>10</v>
      </c>
      <c r="K129" s="5" t="s">
        <v>684</v>
      </c>
      <c r="L129" s="6">
        <v>0.45833333333333331</v>
      </c>
      <c r="M129" s="7" t="s">
        <v>685</v>
      </c>
      <c r="N129" s="14" t="s">
        <v>11</v>
      </c>
      <c r="O129" s="14">
        <v>9</v>
      </c>
      <c r="P129" s="13" t="s">
        <v>308</v>
      </c>
      <c r="Q129" s="12" t="s">
        <v>379</v>
      </c>
      <c r="R129" s="11" t="s">
        <v>308</v>
      </c>
      <c r="S129" s="10" t="s">
        <v>285</v>
      </c>
      <c r="T129" s="8">
        <v>0.78</v>
      </c>
      <c r="U129" s="15">
        <v>0.78</v>
      </c>
      <c r="V129" s="8">
        <v>0.67</v>
      </c>
      <c r="W129" s="17"/>
      <c r="X129" s="65">
        <v>46250</v>
      </c>
    </row>
    <row r="130" spans="1:24" ht="13.8" thickBot="1" x14ac:dyDescent="0.3">
      <c r="A130" s="4" t="s">
        <v>87</v>
      </c>
      <c r="B130" s="8">
        <v>0.44</v>
      </c>
      <c r="C130" s="15">
        <v>0.78</v>
      </c>
      <c r="D130" s="8">
        <v>0.78</v>
      </c>
      <c r="E130" s="10" t="s">
        <v>343</v>
      </c>
      <c r="F130" s="11" t="s">
        <v>344</v>
      </c>
      <c r="G130" s="12" t="s">
        <v>241</v>
      </c>
      <c r="H130" s="13" t="s">
        <v>324</v>
      </c>
      <c r="I130" s="14">
        <v>9</v>
      </c>
      <c r="J130" s="14" t="s">
        <v>10</v>
      </c>
      <c r="K130" s="5" t="s">
        <v>686</v>
      </c>
      <c r="L130" s="6">
        <v>0.45833333333333331</v>
      </c>
      <c r="M130" s="7" t="s">
        <v>687</v>
      </c>
      <c r="N130" s="14" t="s">
        <v>11</v>
      </c>
      <c r="O130" s="14">
        <v>9</v>
      </c>
      <c r="P130" s="13" t="s">
        <v>229</v>
      </c>
      <c r="Q130" s="12" t="s">
        <v>218</v>
      </c>
      <c r="R130" s="11" t="s">
        <v>343</v>
      </c>
      <c r="S130" s="10" t="s">
        <v>284</v>
      </c>
      <c r="T130" s="8">
        <v>0.67</v>
      </c>
      <c r="U130" s="15">
        <v>0.56000000000000005</v>
      </c>
      <c r="V130" s="8">
        <v>0.44</v>
      </c>
      <c r="W130" s="17"/>
      <c r="X130" s="65">
        <v>46250</v>
      </c>
    </row>
    <row r="131" spans="1:24" ht="13.8" thickBot="1" x14ac:dyDescent="0.3">
      <c r="A131" s="4" t="s">
        <v>87</v>
      </c>
      <c r="B131" s="8">
        <v>0.33</v>
      </c>
      <c r="C131" s="9">
        <v>0.44</v>
      </c>
      <c r="D131" s="8">
        <v>0.67</v>
      </c>
      <c r="E131" s="10" t="s">
        <v>228</v>
      </c>
      <c r="F131" s="11" t="s">
        <v>344</v>
      </c>
      <c r="G131" s="12" t="s">
        <v>341</v>
      </c>
      <c r="H131" s="13" t="s">
        <v>344</v>
      </c>
      <c r="I131" s="14">
        <v>9</v>
      </c>
      <c r="J131" s="14" t="s">
        <v>10</v>
      </c>
      <c r="K131" s="5" t="s">
        <v>688</v>
      </c>
      <c r="L131" s="6">
        <v>0.5</v>
      </c>
      <c r="M131" s="7" t="s">
        <v>689</v>
      </c>
      <c r="N131" s="14" t="s">
        <v>11</v>
      </c>
      <c r="O131" s="14">
        <v>9</v>
      </c>
      <c r="P131" s="13" t="s">
        <v>224</v>
      </c>
      <c r="Q131" s="12" t="s">
        <v>323</v>
      </c>
      <c r="R131" s="11" t="s">
        <v>229</v>
      </c>
      <c r="S131" s="10" t="s">
        <v>343</v>
      </c>
      <c r="T131" s="8">
        <v>0.78</v>
      </c>
      <c r="U131" s="15">
        <v>0.67</v>
      </c>
      <c r="V131" s="8">
        <v>0.33</v>
      </c>
      <c r="W131" s="17"/>
      <c r="X131" s="65">
        <v>46250</v>
      </c>
    </row>
    <row r="132" spans="1:24" ht="13.8" thickBot="1" x14ac:dyDescent="0.3">
      <c r="A132" s="4" t="s">
        <v>87</v>
      </c>
      <c r="B132" s="8">
        <v>0.62</v>
      </c>
      <c r="C132" s="15">
        <v>0.75</v>
      </c>
      <c r="D132" s="8">
        <v>0.88</v>
      </c>
      <c r="E132" s="10" t="s">
        <v>286</v>
      </c>
      <c r="F132" s="11" t="s">
        <v>221</v>
      </c>
      <c r="G132" s="12" t="s">
        <v>410</v>
      </c>
      <c r="H132" s="13" t="s">
        <v>221</v>
      </c>
      <c r="I132" s="14">
        <v>8</v>
      </c>
      <c r="J132" s="14" t="s">
        <v>10</v>
      </c>
      <c r="K132" s="5" t="s">
        <v>690</v>
      </c>
      <c r="L132" s="6">
        <v>0.375</v>
      </c>
      <c r="M132" s="7" t="s">
        <v>691</v>
      </c>
      <c r="N132" s="14" t="s">
        <v>11</v>
      </c>
      <c r="O132" s="14">
        <v>8</v>
      </c>
      <c r="P132" s="13" t="s">
        <v>286</v>
      </c>
      <c r="Q132" s="12" t="s">
        <v>394</v>
      </c>
      <c r="R132" s="11" t="s">
        <v>294</v>
      </c>
      <c r="S132" s="10" t="s">
        <v>220</v>
      </c>
      <c r="T132" s="8">
        <v>0.88</v>
      </c>
      <c r="U132" s="9">
        <v>0.5</v>
      </c>
      <c r="V132" s="8">
        <v>0.12</v>
      </c>
      <c r="W132" s="17"/>
      <c r="X132" s="65">
        <v>46250</v>
      </c>
    </row>
    <row r="133" spans="1:24" ht="13.8" thickBot="1" x14ac:dyDescent="0.3">
      <c r="A133" s="4" t="s">
        <v>87</v>
      </c>
      <c r="B133" s="8">
        <v>0.25</v>
      </c>
      <c r="C133" s="15">
        <v>0.75</v>
      </c>
      <c r="D133" s="8">
        <v>1</v>
      </c>
      <c r="E133" s="10" t="s">
        <v>296</v>
      </c>
      <c r="F133" s="11" t="s">
        <v>295</v>
      </c>
      <c r="G133" s="12" t="s">
        <v>346</v>
      </c>
      <c r="H133" s="13" t="s">
        <v>225</v>
      </c>
      <c r="I133" s="14">
        <v>8</v>
      </c>
      <c r="J133" s="14" t="s">
        <v>10</v>
      </c>
      <c r="K133" s="5" t="s">
        <v>692</v>
      </c>
      <c r="L133" s="6">
        <v>0.45833333333333331</v>
      </c>
      <c r="M133" s="7" t="s">
        <v>693</v>
      </c>
      <c r="N133" s="14" t="s">
        <v>11</v>
      </c>
      <c r="O133" s="14">
        <v>8</v>
      </c>
      <c r="P133" s="13" t="s">
        <v>286</v>
      </c>
      <c r="Q133" s="12" t="s">
        <v>394</v>
      </c>
      <c r="R133" s="11" t="s">
        <v>294</v>
      </c>
      <c r="S133" s="10" t="s">
        <v>220</v>
      </c>
      <c r="T133" s="8">
        <v>0.88</v>
      </c>
      <c r="U133" s="9">
        <v>0.5</v>
      </c>
      <c r="V133" s="8">
        <v>0.25</v>
      </c>
      <c r="W133" s="17"/>
      <c r="X133" s="65">
        <v>46250</v>
      </c>
    </row>
    <row r="134" spans="1:24" ht="19.8" thickBot="1" x14ac:dyDescent="0.3">
      <c r="A134" s="4" t="s">
        <v>87</v>
      </c>
      <c r="B134" s="8">
        <v>0.75</v>
      </c>
      <c r="C134" s="15">
        <v>0.88</v>
      </c>
      <c r="D134" s="8">
        <v>0.88</v>
      </c>
      <c r="E134" s="10" t="s">
        <v>236</v>
      </c>
      <c r="F134" s="11" t="s">
        <v>218</v>
      </c>
      <c r="G134" s="12" t="s">
        <v>694</v>
      </c>
      <c r="H134" s="13" t="s">
        <v>220</v>
      </c>
      <c r="I134" s="14">
        <v>8</v>
      </c>
      <c r="J134" s="14" t="s">
        <v>10</v>
      </c>
      <c r="K134" s="5" t="s">
        <v>695</v>
      </c>
      <c r="L134" s="6">
        <v>0.5625</v>
      </c>
      <c r="M134" s="7" t="s">
        <v>696</v>
      </c>
      <c r="N134" s="14" t="s">
        <v>11</v>
      </c>
      <c r="O134" s="14">
        <v>8</v>
      </c>
      <c r="P134" s="13" t="s">
        <v>217</v>
      </c>
      <c r="Q134" s="12" t="s">
        <v>412</v>
      </c>
      <c r="R134" s="11" t="s">
        <v>286</v>
      </c>
      <c r="S134" s="10" t="s">
        <v>329</v>
      </c>
      <c r="T134" s="8">
        <v>1</v>
      </c>
      <c r="U134" s="15">
        <v>0.88</v>
      </c>
      <c r="V134" s="8">
        <v>0.75</v>
      </c>
      <c r="W134" s="17"/>
      <c r="X134" s="65">
        <v>46250</v>
      </c>
    </row>
    <row r="135" spans="1:24" ht="13.8" thickBot="1" x14ac:dyDescent="0.3">
      <c r="A135" s="4" t="s">
        <v>414</v>
      </c>
      <c r="B135" s="8">
        <v>0.2</v>
      </c>
      <c r="C135" s="9">
        <v>0.4</v>
      </c>
      <c r="D135" s="8">
        <v>0.5</v>
      </c>
      <c r="E135" s="10" t="s">
        <v>248</v>
      </c>
      <c r="F135" s="11" t="s">
        <v>270</v>
      </c>
      <c r="G135" s="12" t="s">
        <v>233</v>
      </c>
      <c r="H135" s="13" t="s">
        <v>227</v>
      </c>
      <c r="I135" s="14">
        <v>10</v>
      </c>
      <c r="J135" s="14" t="s">
        <v>10</v>
      </c>
      <c r="K135" s="5" t="s">
        <v>697</v>
      </c>
      <c r="L135" s="6">
        <v>0.54166666666666663</v>
      </c>
      <c r="M135" s="7" t="s">
        <v>698</v>
      </c>
      <c r="N135" s="14" t="s">
        <v>11</v>
      </c>
      <c r="O135" s="14">
        <v>10</v>
      </c>
      <c r="P135" s="13" t="s">
        <v>382</v>
      </c>
      <c r="Q135" s="12" t="s">
        <v>282</v>
      </c>
      <c r="R135" s="11" t="s">
        <v>248</v>
      </c>
      <c r="S135" s="10" t="s">
        <v>273</v>
      </c>
      <c r="T135" s="8">
        <v>0.8</v>
      </c>
      <c r="U135" s="15">
        <v>0.6</v>
      </c>
      <c r="V135" s="8">
        <v>0.2</v>
      </c>
      <c r="W135" s="17"/>
      <c r="X135" s="65">
        <v>46250</v>
      </c>
    </row>
    <row r="136" spans="1:24" ht="19.8" thickBot="1" x14ac:dyDescent="0.3">
      <c r="A136" s="4" t="s">
        <v>414</v>
      </c>
      <c r="B136" s="8">
        <v>0.22</v>
      </c>
      <c r="C136" s="15">
        <v>0.56000000000000005</v>
      </c>
      <c r="D136" s="8">
        <v>0.78</v>
      </c>
      <c r="E136" s="10" t="s">
        <v>217</v>
      </c>
      <c r="F136" s="11" t="s">
        <v>229</v>
      </c>
      <c r="G136" s="12" t="s">
        <v>230</v>
      </c>
      <c r="H136" s="13" t="s">
        <v>231</v>
      </c>
      <c r="I136" s="14">
        <v>9</v>
      </c>
      <c r="J136" s="14" t="s">
        <v>10</v>
      </c>
      <c r="K136" s="5" t="s">
        <v>699</v>
      </c>
      <c r="L136" s="6">
        <v>0.625</v>
      </c>
      <c r="M136" s="7" t="s">
        <v>700</v>
      </c>
      <c r="N136" s="14" t="s">
        <v>11</v>
      </c>
      <c r="O136" s="14">
        <v>10</v>
      </c>
      <c r="P136" s="13" t="s">
        <v>217</v>
      </c>
      <c r="Q136" s="12" t="s">
        <v>275</v>
      </c>
      <c r="R136" s="11" t="s">
        <v>270</v>
      </c>
      <c r="S136" s="10" t="s">
        <v>268</v>
      </c>
      <c r="T136" s="8">
        <v>0.7</v>
      </c>
      <c r="U136" s="15">
        <v>0.6</v>
      </c>
      <c r="V136" s="8">
        <v>0.3</v>
      </c>
      <c r="W136" s="17"/>
      <c r="X136" s="65">
        <v>46250</v>
      </c>
    </row>
    <row r="137" spans="1:24" ht="19.8" thickBot="1" x14ac:dyDescent="0.3">
      <c r="A137" s="4" t="s">
        <v>215</v>
      </c>
      <c r="B137" s="63"/>
      <c r="C137" s="63"/>
      <c r="D137" s="63"/>
      <c r="E137" s="63"/>
      <c r="F137" s="63"/>
      <c r="G137" s="63"/>
      <c r="H137" s="63"/>
      <c r="I137" s="64"/>
      <c r="J137" s="14" t="s">
        <v>10</v>
      </c>
      <c r="K137" s="5" t="s">
        <v>701</v>
      </c>
      <c r="L137" s="6">
        <v>0.39583333333333331</v>
      </c>
      <c r="M137" s="7" t="s">
        <v>702</v>
      </c>
      <c r="N137" s="14" t="s">
        <v>11</v>
      </c>
      <c r="O137" s="64"/>
      <c r="P137" s="63"/>
      <c r="Q137" s="63"/>
      <c r="R137" s="63"/>
      <c r="S137" s="63"/>
      <c r="T137" s="63"/>
      <c r="U137" s="63"/>
      <c r="V137" s="63"/>
      <c r="W137" s="17"/>
      <c r="X137" s="65">
        <v>46250</v>
      </c>
    </row>
    <row r="138" spans="1:24" ht="13.8" thickBot="1" x14ac:dyDescent="0.3">
      <c r="A138" s="4" t="s">
        <v>215</v>
      </c>
      <c r="B138" s="63"/>
      <c r="C138" s="63"/>
      <c r="D138" s="63"/>
      <c r="E138" s="63"/>
      <c r="F138" s="63"/>
      <c r="G138" s="63"/>
      <c r="H138" s="63"/>
      <c r="I138" s="64"/>
      <c r="J138" s="14" t="s">
        <v>10</v>
      </c>
      <c r="K138" s="5" t="s">
        <v>703</v>
      </c>
      <c r="L138" s="6">
        <v>0.52083333333333337</v>
      </c>
      <c r="M138" s="7" t="s">
        <v>704</v>
      </c>
      <c r="N138" s="14" t="s">
        <v>11</v>
      </c>
      <c r="O138" s="64"/>
      <c r="P138" s="63"/>
      <c r="Q138" s="63"/>
      <c r="R138" s="63"/>
      <c r="S138" s="63"/>
      <c r="T138" s="63"/>
      <c r="U138" s="63"/>
      <c r="V138" s="63"/>
      <c r="W138" s="17"/>
      <c r="X138" s="65">
        <v>46250</v>
      </c>
    </row>
    <row r="139" spans="1:24" ht="19.8" thickBot="1" x14ac:dyDescent="0.3">
      <c r="A139" s="4" t="s">
        <v>215</v>
      </c>
      <c r="B139" s="63"/>
      <c r="C139" s="63"/>
      <c r="D139" s="63"/>
      <c r="E139" s="63"/>
      <c r="F139" s="63"/>
      <c r="G139" s="63"/>
      <c r="H139" s="63"/>
      <c r="I139" s="64"/>
      <c r="J139" s="14" t="s">
        <v>10</v>
      </c>
      <c r="K139" s="5" t="s">
        <v>705</v>
      </c>
      <c r="L139" s="6">
        <v>0.64583333333333337</v>
      </c>
      <c r="M139" s="7" t="s">
        <v>706</v>
      </c>
      <c r="N139" s="14" t="s">
        <v>11</v>
      </c>
      <c r="O139" s="64"/>
      <c r="P139" s="63"/>
      <c r="Q139" s="63"/>
      <c r="R139" s="63"/>
      <c r="S139" s="63"/>
      <c r="T139" s="63"/>
      <c r="U139" s="63"/>
      <c r="V139" s="63"/>
      <c r="W139" s="17"/>
      <c r="X139" s="65">
        <v>46250</v>
      </c>
    </row>
    <row r="140" spans="1:24" ht="19.8" thickBot="1" x14ac:dyDescent="0.3">
      <c r="A140" s="4" t="s">
        <v>215</v>
      </c>
      <c r="B140" s="8">
        <v>1</v>
      </c>
      <c r="C140" s="15">
        <v>1</v>
      </c>
      <c r="D140" s="8">
        <v>1</v>
      </c>
      <c r="E140" s="10" t="s">
        <v>216</v>
      </c>
      <c r="F140" s="11" t="s">
        <v>216</v>
      </c>
      <c r="G140" s="12" t="s">
        <v>226</v>
      </c>
      <c r="H140" s="13" t="s">
        <v>217</v>
      </c>
      <c r="I140" s="14">
        <v>1</v>
      </c>
      <c r="J140" s="14" t="s">
        <v>10</v>
      </c>
      <c r="K140" s="5" t="s">
        <v>707</v>
      </c>
      <c r="L140" s="6">
        <v>0.41666666666666669</v>
      </c>
      <c r="M140" s="7" t="s">
        <v>708</v>
      </c>
      <c r="N140" s="14" t="s">
        <v>11</v>
      </c>
      <c r="O140" s="14">
        <v>1</v>
      </c>
      <c r="P140" s="13" t="s">
        <v>219</v>
      </c>
      <c r="Q140" s="12" t="s">
        <v>226</v>
      </c>
      <c r="R140" s="11" t="s">
        <v>217</v>
      </c>
      <c r="S140" s="10" t="s">
        <v>218</v>
      </c>
      <c r="T140" s="8">
        <v>1</v>
      </c>
      <c r="U140" s="15">
        <v>1</v>
      </c>
      <c r="V140" s="8">
        <v>1</v>
      </c>
      <c r="W140" s="17"/>
      <c r="X140" s="65">
        <v>46250</v>
      </c>
    </row>
    <row r="141" spans="1:24" ht="19.8" thickBot="1" x14ac:dyDescent="0.3">
      <c r="A141" s="4" t="s">
        <v>215</v>
      </c>
      <c r="B141" s="8">
        <v>0</v>
      </c>
      <c r="C141" s="9">
        <v>0</v>
      </c>
      <c r="D141" s="8">
        <v>1</v>
      </c>
      <c r="E141" s="10" t="s">
        <v>219</v>
      </c>
      <c r="F141" s="11" t="s">
        <v>216</v>
      </c>
      <c r="G141" s="12" t="s">
        <v>216</v>
      </c>
      <c r="H141" s="13" t="s">
        <v>218</v>
      </c>
      <c r="I141" s="14">
        <v>1</v>
      </c>
      <c r="J141" s="14" t="s">
        <v>10</v>
      </c>
      <c r="K141" s="5" t="s">
        <v>709</v>
      </c>
      <c r="L141" s="6">
        <v>0.41666666666666669</v>
      </c>
      <c r="M141" s="7" t="s">
        <v>710</v>
      </c>
      <c r="N141" s="14" t="s">
        <v>11</v>
      </c>
      <c r="O141" s="14">
        <v>2</v>
      </c>
      <c r="P141" s="13" t="s">
        <v>247</v>
      </c>
      <c r="Q141" s="12" t="s">
        <v>246</v>
      </c>
      <c r="R141" s="11" t="s">
        <v>217</v>
      </c>
      <c r="S141" s="10" t="s">
        <v>221</v>
      </c>
      <c r="T141" s="8">
        <v>1</v>
      </c>
      <c r="U141" s="15">
        <v>1</v>
      </c>
      <c r="V141" s="8">
        <v>0.5</v>
      </c>
      <c r="W141" s="17"/>
      <c r="X141" s="65">
        <v>46250</v>
      </c>
    </row>
    <row r="142" spans="1:24" ht="19.8" thickBot="1" x14ac:dyDescent="0.3">
      <c r="A142" s="4" t="s">
        <v>215</v>
      </c>
      <c r="B142" s="8">
        <v>0</v>
      </c>
      <c r="C142" s="9">
        <v>0</v>
      </c>
      <c r="D142" s="8">
        <v>0</v>
      </c>
      <c r="E142" s="10" t="s">
        <v>217</v>
      </c>
      <c r="F142" s="11" t="s">
        <v>219</v>
      </c>
      <c r="G142" s="12" t="s">
        <v>217</v>
      </c>
      <c r="H142" s="13" t="s">
        <v>219</v>
      </c>
      <c r="I142" s="14">
        <v>1</v>
      </c>
      <c r="J142" s="14" t="s">
        <v>10</v>
      </c>
      <c r="K142" s="5" t="s">
        <v>711</v>
      </c>
      <c r="L142" s="6">
        <v>0.41666666666666669</v>
      </c>
      <c r="M142" s="7" t="s">
        <v>712</v>
      </c>
      <c r="N142" s="14" t="s">
        <v>11</v>
      </c>
      <c r="O142" s="14">
        <v>1</v>
      </c>
      <c r="P142" s="13" t="s">
        <v>217</v>
      </c>
      <c r="Q142" s="12" t="s">
        <v>238</v>
      </c>
      <c r="R142" s="11" t="s">
        <v>218</v>
      </c>
      <c r="S142" s="10" t="s">
        <v>218</v>
      </c>
      <c r="T142" s="8">
        <v>1</v>
      </c>
      <c r="U142" s="15">
        <v>1</v>
      </c>
      <c r="V142" s="8">
        <v>1</v>
      </c>
      <c r="W142" s="17"/>
      <c r="X142" s="65">
        <v>46250</v>
      </c>
    </row>
    <row r="143" spans="1:24" ht="19.8" thickBot="1" x14ac:dyDescent="0.3">
      <c r="A143" s="4" t="s">
        <v>215</v>
      </c>
      <c r="B143" s="8">
        <v>0</v>
      </c>
      <c r="C143" s="9">
        <v>0.5</v>
      </c>
      <c r="D143" s="8">
        <v>0.5</v>
      </c>
      <c r="E143" s="10" t="s">
        <v>220</v>
      </c>
      <c r="F143" s="11" t="s">
        <v>219</v>
      </c>
      <c r="G143" s="12" t="s">
        <v>220</v>
      </c>
      <c r="H143" s="13" t="s">
        <v>247</v>
      </c>
      <c r="I143" s="14">
        <v>2</v>
      </c>
      <c r="J143" s="14" t="s">
        <v>10</v>
      </c>
      <c r="K143" s="5" t="s">
        <v>713</v>
      </c>
      <c r="L143" s="6">
        <v>0.45833333333333331</v>
      </c>
      <c r="M143" s="7" t="s">
        <v>714</v>
      </c>
      <c r="N143" s="14" t="s">
        <v>11</v>
      </c>
      <c r="O143" s="14">
        <v>1</v>
      </c>
      <c r="P143" s="13" t="s">
        <v>219</v>
      </c>
      <c r="Q143" s="12" t="s">
        <v>216</v>
      </c>
      <c r="R143" s="11" t="s">
        <v>219</v>
      </c>
      <c r="S143" s="10" t="s">
        <v>216</v>
      </c>
      <c r="T143" s="8">
        <v>1</v>
      </c>
      <c r="U143" s="9">
        <v>0</v>
      </c>
      <c r="V143" s="8">
        <v>0</v>
      </c>
      <c r="W143" s="17"/>
      <c r="X143" s="65">
        <v>46250</v>
      </c>
    </row>
    <row r="144" spans="1:24" ht="13.8" thickBot="1" x14ac:dyDescent="0.3">
      <c r="A144" s="4" t="s">
        <v>215</v>
      </c>
      <c r="B144" s="8">
        <v>0</v>
      </c>
      <c r="C144" s="9">
        <v>0</v>
      </c>
      <c r="D144" s="8">
        <v>1</v>
      </c>
      <c r="E144" s="10" t="s">
        <v>217</v>
      </c>
      <c r="F144" s="11" t="s">
        <v>217</v>
      </c>
      <c r="G144" s="12" t="s">
        <v>216</v>
      </c>
      <c r="H144" s="13" t="s">
        <v>217</v>
      </c>
      <c r="I144" s="14">
        <v>1</v>
      </c>
      <c r="J144" s="14" t="s">
        <v>10</v>
      </c>
      <c r="K144" s="5" t="s">
        <v>715</v>
      </c>
      <c r="L144" s="6">
        <v>0.45833333333333331</v>
      </c>
      <c r="M144" s="7" t="s">
        <v>716</v>
      </c>
      <c r="N144" s="14" t="s">
        <v>11</v>
      </c>
      <c r="O144" s="14">
        <v>1</v>
      </c>
      <c r="P144" s="13" t="s">
        <v>217</v>
      </c>
      <c r="Q144" s="12" t="s">
        <v>226</v>
      </c>
      <c r="R144" s="11" t="s">
        <v>216</v>
      </c>
      <c r="S144" s="10" t="s">
        <v>216</v>
      </c>
      <c r="T144" s="8">
        <v>1</v>
      </c>
      <c r="U144" s="15">
        <v>1</v>
      </c>
      <c r="V144" s="8">
        <v>1</v>
      </c>
      <c r="W144" s="17"/>
      <c r="X144" s="65">
        <v>46250</v>
      </c>
    </row>
    <row r="145" spans="1:24" ht="13.8" thickBot="1" x14ac:dyDescent="0.3">
      <c r="A145" s="4" t="s">
        <v>215</v>
      </c>
      <c r="B145" s="8">
        <v>1</v>
      </c>
      <c r="C145" s="15">
        <v>1</v>
      </c>
      <c r="D145" s="8">
        <v>1</v>
      </c>
      <c r="E145" s="10" t="s">
        <v>217</v>
      </c>
      <c r="F145" s="11" t="s">
        <v>218</v>
      </c>
      <c r="G145" s="12" t="s">
        <v>226</v>
      </c>
      <c r="H145" s="13" t="s">
        <v>218</v>
      </c>
      <c r="I145" s="14">
        <v>1</v>
      </c>
      <c r="J145" s="14" t="s">
        <v>10</v>
      </c>
      <c r="K145" s="5" t="s">
        <v>717</v>
      </c>
      <c r="L145" s="6">
        <v>0.41666666666666669</v>
      </c>
      <c r="M145" s="7" t="s">
        <v>718</v>
      </c>
      <c r="N145" s="14" t="s">
        <v>11</v>
      </c>
      <c r="O145" s="14">
        <v>2</v>
      </c>
      <c r="P145" s="13" t="s">
        <v>216</v>
      </c>
      <c r="Q145" s="12" t="s">
        <v>221</v>
      </c>
      <c r="R145" s="11" t="s">
        <v>220</v>
      </c>
      <c r="S145" s="10" t="s">
        <v>217</v>
      </c>
      <c r="T145" s="8">
        <v>0.5</v>
      </c>
      <c r="U145" s="9">
        <v>0.5</v>
      </c>
      <c r="V145" s="8">
        <v>0.5</v>
      </c>
      <c r="W145" s="17"/>
      <c r="X145" s="65">
        <v>46250</v>
      </c>
    </row>
    <row r="146" spans="1:24" ht="19.8" thickBot="1" x14ac:dyDescent="0.3">
      <c r="A146" s="4" t="s">
        <v>215</v>
      </c>
      <c r="B146" s="8">
        <v>0</v>
      </c>
      <c r="C146" s="9">
        <v>0</v>
      </c>
      <c r="D146" s="8">
        <v>1</v>
      </c>
      <c r="E146" s="10" t="s">
        <v>216</v>
      </c>
      <c r="F146" s="11" t="s">
        <v>219</v>
      </c>
      <c r="G146" s="12" t="s">
        <v>216</v>
      </c>
      <c r="H146" s="13" t="s">
        <v>219</v>
      </c>
      <c r="I146" s="14">
        <v>1</v>
      </c>
      <c r="J146" s="14" t="s">
        <v>10</v>
      </c>
      <c r="K146" s="5" t="s">
        <v>719</v>
      </c>
      <c r="L146" s="6">
        <v>0.41666666666666669</v>
      </c>
      <c r="M146" s="7" t="s">
        <v>720</v>
      </c>
      <c r="N146" s="14" t="s">
        <v>11</v>
      </c>
      <c r="O146" s="14">
        <v>2</v>
      </c>
      <c r="P146" s="13" t="s">
        <v>218</v>
      </c>
      <c r="Q146" s="12" t="s">
        <v>246</v>
      </c>
      <c r="R146" s="11" t="s">
        <v>221</v>
      </c>
      <c r="S146" s="10" t="s">
        <v>217</v>
      </c>
      <c r="T146" s="8">
        <v>1</v>
      </c>
      <c r="U146" s="15">
        <v>1</v>
      </c>
      <c r="V146" s="8">
        <v>0.5</v>
      </c>
      <c r="W146" s="17"/>
      <c r="X146" s="65">
        <v>46250</v>
      </c>
    </row>
    <row r="147" spans="1:24" ht="13.8" thickBot="1" x14ac:dyDescent="0.3">
      <c r="A147" s="4" t="s">
        <v>215</v>
      </c>
      <c r="B147" s="8">
        <v>0</v>
      </c>
      <c r="C147" s="15">
        <v>1</v>
      </c>
      <c r="D147" s="8">
        <v>1</v>
      </c>
      <c r="E147" s="10" t="s">
        <v>217</v>
      </c>
      <c r="F147" s="11" t="s">
        <v>216</v>
      </c>
      <c r="G147" s="12" t="s">
        <v>218</v>
      </c>
      <c r="H147" s="13" t="s">
        <v>218</v>
      </c>
      <c r="I147" s="14">
        <v>1</v>
      </c>
      <c r="J147" s="14" t="s">
        <v>10</v>
      </c>
      <c r="K147" s="5" t="s">
        <v>721</v>
      </c>
      <c r="L147" s="6">
        <v>0.41666666666666669</v>
      </c>
      <c r="M147" s="7" t="s">
        <v>722</v>
      </c>
      <c r="N147" s="14" t="s">
        <v>11</v>
      </c>
      <c r="O147" s="14">
        <v>1</v>
      </c>
      <c r="P147" s="13" t="s">
        <v>218</v>
      </c>
      <c r="Q147" s="12" t="s">
        <v>217</v>
      </c>
      <c r="R147" s="11" t="s">
        <v>217</v>
      </c>
      <c r="S147" s="10" t="s">
        <v>219</v>
      </c>
      <c r="T147" s="8">
        <v>0</v>
      </c>
      <c r="U147" s="9">
        <v>0</v>
      </c>
      <c r="V147" s="8">
        <v>0</v>
      </c>
      <c r="W147" s="17"/>
      <c r="X147" s="65">
        <v>46250</v>
      </c>
    </row>
    <row r="148" spans="1:24" ht="13.8" thickBot="1" x14ac:dyDescent="0.3">
      <c r="A148" s="4" t="s">
        <v>215</v>
      </c>
      <c r="B148" s="63"/>
      <c r="C148" s="63"/>
      <c r="D148" s="63"/>
      <c r="E148" s="63"/>
      <c r="F148" s="63"/>
      <c r="G148" s="63"/>
      <c r="H148" s="63"/>
      <c r="I148" s="64"/>
      <c r="J148" s="14" t="s">
        <v>10</v>
      </c>
      <c r="K148" s="5" t="s">
        <v>723</v>
      </c>
      <c r="L148" s="6">
        <v>0.41666666666666669</v>
      </c>
      <c r="M148" s="7" t="s">
        <v>724</v>
      </c>
      <c r="N148" s="14" t="s">
        <v>11</v>
      </c>
      <c r="O148" s="64"/>
      <c r="P148" s="63"/>
      <c r="Q148" s="63"/>
      <c r="R148" s="63"/>
      <c r="S148" s="63"/>
      <c r="T148" s="63"/>
      <c r="U148" s="63"/>
      <c r="V148" s="63"/>
      <c r="W148" s="17"/>
      <c r="X148" s="65">
        <v>46250</v>
      </c>
    </row>
    <row r="149" spans="1:24" ht="13.8" thickBot="1" x14ac:dyDescent="0.3">
      <c r="A149" s="4" t="s">
        <v>215</v>
      </c>
      <c r="B149" s="63"/>
      <c r="C149" s="63"/>
      <c r="D149" s="63"/>
      <c r="E149" s="63"/>
      <c r="F149" s="63"/>
      <c r="G149" s="63"/>
      <c r="H149" s="63"/>
      <c r="I149" s="64"/>
      <c r="J149" s="14" t="s">
        <v>10</v>
      </c>
      <c r="K149" s="5" t="s">
        <v>725</v>
      </c>
      <c r="L149" s="6">
        <v>0.41666666666666669</v>
      </c>
      <c r="M149" s="7" t="s">
        <v>726</v>
      </c>
      <c r="N149" s="14" t="s">
        <v>11</v>
      </c>
      <c r="O149" s="64"/>
      <c r="P149" s="63"/>
      <c r="Q149" s="63"/>
      <c r="R149" s="63"/>
      <c r="S149" s="63"/>
      <c r="T149" s="63"/>
      <c r="U149" s="63"/>
      <c r="V149" s="63"/>
      <c r="W149" s="17"/>
      <c r="X149" s="65">
        <v>46250</v>
      </c>
    </row>
    <row r="150" spans="1:24" ht="19.8" thickBot="1" x14ac:dyDescent="0.3">
      <c r="A150" s="4" t="s">
        <v>215</v>
      </c>
      <c r="B150" s="63"/>
      <c r="C150" s="63"/>
      <c r="D150" s="63"/>
      <c r="E150" s="63"/>
      <c r="F150" s="63"/>
      <c r="G150" s="63"/>
      <c r="H150" s="63"/>
      <c r="I150" s="64"/>
      <c r="J150" s="14" t="s">
        <v>10</v>
      </c>
      <c r="K150" s="5" t="s">
        <v>727</v>
      </c>
      <c r="L150" s="6">
        <v>0.41666666666666669</v>
      </c>
      <c r="M150" s="7" t="s">
        <v>728</v>
      </c>
      <c r="N150" s="14" t="s">
        <v>11</v>
      </c>
      <c r="O150" s="64"/>
      <c r="P150" s="63"/>
      <c r="Q150" s="63"/>
      <c r="R150" s="63"/>
      <c r="S150" s="63"/>
      <c r="T150" s="63"/>
      <c r="U150" s="63"/>
      <c r="V150" s="63"/>
      <c r="W150" s="17"/>
      <c r="X150" s="65">
        <v>46250</v>
      </c>
    </row>
    <row r="151" spans="1:24" ht="19.8" thickBot="1" x14ac:dyDescent="0.3">
      <c r="A151" s="4" t="s">
        <v>415</v>
      </c>
      <c r="B151" s="8">
        <v>0</v>
      </c>
      <c r="C151" s="9">
        <v>0</v>
      </c>
      <c r="D151" s="8">
        <v>0</v>
      </c>
      <c r="E151" s="10" t="s">
        <v>219</v>
      </c>
      <c r="F151" s="11" t="s">
        <v>217</v>
      </c>
      <c r="G151" s="12" t="s">
        <v>217</v>
      </c>
      <c r="H151" s="13" t="s">
        <v>218</v>
      </c>
      <c r="I151" s="14">
        <v>1</v>
      </c>
      <c r="J151" s="14" t="s">
        <v>10</v>
      </c>
      <c r="K151" s="5" t="s">
        <v>729</v>
      </c>
      <c r="L151" s="6">
        <v>0.95833333333333337</v>
      </c>
      <c r="M151" s="7" t="s">
        <v>730</v>
      </c>
      <c r="N151" s="14" t="s">
        <v>11</v>
      </c>
      <c r="O151" s="14">
        <v>1</v>
      </c>
      <c r="P151" s="13" t="s">
        <v>219</v>
      </c>
      <c r="Q151" s="12" t="s">
        <v>226</v>
      </c>
      <c r="R151" s="11" t="s">
        <v>219</v>
      </c>
      <c r="S151" s="10" t="s">
        <v>226</v>
      </c>
      <c r="T151" s="8">
        <v>1</v>
      </c>
      <c r="U151" s="15">
        <v>1</v>
      </c>
      <c r="V151" s="8">
        <v>1</v>
      </c>
      <c r="W151" s="17"/>
      <c r="X151" s="65">
        <v>46250</v>
      </c>
    </row>
    <row r="152" spans="1:24" ht="13.8" thickBot="1" x14ac:dyDescent="0.3">
      <c r="A152" s="4" t="s">
        <v>415</v>
      </c>
      <c r="B152" s="8">
        <v>0</v>
      </c>
      <c r="C152" s="9">
        <v>0.5</v>
      </c>
      <c r="D152" s="8">
        <v>0.5</v>
      </c>
      <c r="E152" s="10" t="s">
        <v>219</v>
      </c>
      <c r="F152" s="11" t="s">
        <v>216</v>
      </c>
      <c r="G152" s="12" t="s">
        <v>216</v>
      </c>
      <c r="H152" s="13" t="s">
        <v>218</v>
      </c>
      <c r="I152" s="14">
        <v>2</v>
      </c>
      <c r="J152" s="14" t="s">
        <v>10</v>
      </c>
      <c r="K152" s="5" t="s">
        <v>731</v>
      </c>
      <c r="L152" s="6">
        <v>0.79166666666666663</v>
      </c>
      <c r="M152" s="7" t="s">
        <v>732</v>
      </c>
      <c r="N152" s="14" t="s">
        <v>11</v>
      </c>
      <c r="O152" s="14">
        <v>1</v>
      </c>
      <c r="P152" s="13" t="s">
        <v>219</v>
      </c>
      <c r="Q152" s="12" t="s">
        <v>226</v>
      </c>
      <c r="R152" s="11" t="s">
        <v>217</v>
      </c>
      <c r="S152" s="10" t="s">
        <v>218</v>
      </c>
      <c r="T152" s="8">
        <v>1</v>
      </c>
      <c r="U152" s="15">
        <v>1</v>
      </c>
      <c r="V152" s="8">
        <v>1</v>
      </c>
      <c r="W152" s="17"/>
      <c r="X152" s="65">
        <v>46250</v>
      </c>
    </row>
    <row r="153" spans="1:24" ht="19.8" thickBot="1" x14ac:dyDescent="0.3">
      <c r="A153" s="4" t="s">
        <v>415</v>
      </c>
      <c r="B153" s="8">
        <v>0</v>
      </c>
      <c r="C153" s="9">
        <v>0</v>
      </c>
      <c r="D153" s="8">
        <v>0</v>
      </c>
      <c r="E153" s="10" t="s">
        <v>219</v>
      </c>
      <c r="F153" s="11" t="s">
        <v>219</v>
      </c>
      <c r="G153" s="12" t="s">
        <v>219</v>
      </c>
      <c r="H153" s="13" t="s">
        <v>217</v>
      </c>
      <c r="I153" s="14">
        <v>1</v>
      </c>
      <c r="J153" s="14" t="s">
        <v>10</v>
      </c>
      <c r="K153" s="5" t="s">
        <v>733</v>
      </c>
      <c r="L153" s="6">
        <v>0.875</v>
      </c>
      <c r="M153" s="7" t="s">
        <v>734</v>
      </c>
      <c r="N153" s="14" t="s">
        <v>11</v>
      </c>
      <c r="O153" s="14">
        <v>2</v>
      </c>
      <c r="P153" s="13" t="s">
        <v>219</v>
      </c>
      <c r="Q153" s="12" t="s">
        <v>221</v>
      </c>
      <c r="R153" s="11" t="s">
        <v>247</v>
      </c>
      <c r="S153" s="10" t="s">
        <v>216</v>
      </c>
      <c r="T153" s="8">
        <v>0.5</v>
      </c>
      <c r="U153" s="9">
        <v>0.5</v>
      </c>
      <c r="V153" s="8">
        <v>0.5</v>
      </c>
      <c r="W153" s="17"/>
      <c r="X153" s="65">
        <v>46250</v>
      </c>
    </row>
    <row r="154" spans="1:24" ht="13.8" thickBot="1" x14ac:dyDescent="0.3">
      <c r="A154" s="4" t="s">
        <v>328</v>
      </c>
      <c r="B154" s="8">
        <v>0</v>
      </c>
      <c r="C154" s="9">
        <v>0</v>
      </c>
      <c r="D154" s="8">
        <v>0.5</v>
      </c>
      <c r="E154" s="10" t="s">
        <v>217</v>
      </c>
      <c r="F154" s="11" t="s">
        <v>247</v>
      </c>
      <c r="G154" s="12" t="s">
        <v>220</v>
      </c>
      <c r="H154" s="13" t="s">
        <v>220</v>
      </c>
      <c r="I154" s="14">
        <v>2</v>
      </c>
      <c r="J154" s="14" t="s">
        <v>10</v>
      </c>
      <c r="K154" s="5" t="s">
        <v>735</v>
      </c>
      <c r="L154" s="6">
        <v>0.52083333333333337</v>
      </c>
      <c r="M154" s="7" t="s">
        <v>736</v>
      </c>
      <c r="N154" s="14" t="s">
        <v>11</v>
      </c>
      <c r="O154" s="14">
        <v>1</v>
      </c>
      <c r="P154" s="13" t="s">
        <v>217</v>
      </c>
      <c r="Q154" s="12" t="s">
        <v>226</v>
      </c>
      <c r="R154" s="11" t="s">
        <v>216</v>
      </c>
      <c r="S154" s="10" t="s">
        <v>216</v>
      </c>
      <c r="T154" s="8">
        <v>1</v>
      </c>
      <c r="U154" s="15">
        <v>1</v>
      </c>
      <c r="V154" s="8">
        <v>1</v>
      </c>
      <c r="W154" s="17"/>
      <c r="X154" s="65">
        <v>46250</v>
      </c>
    </row>
    <row r="155" spans="1:24" ht="13.8" thickBot="1" x14ac:dyDescent="0.3">
      <c r="A155" s="4" t="s">
        <v>328</v>
      </c>
      <c r="B155" s="8">
        <v>0</v>
      </c>
      <c r="C155" s="9">
        <v>0</v>
      </c>
      <c r="D155" s="8">
        <v>1</v>
      </c>
      <c r="E155" s="10" t="s">
        <v>216</v>
      </c>
      <c r="F155" s="11" t="s">
        <v>219</v>
      </c>
      <c r="G155" s="12" t="s">
        <v>216</v>
      </c>
      <c r="H155" s="13" t="s">
        <v>219</v>
      </c>
      <c r="I155" s="14">
        <v>1</v>
      </c>
      <c r="J155" s="14" t="s">
        <v>10</v>
      </c>
      <c r="K155" s="5" t="s">
        <v>737</v>
      </c>
      <c r="L155" s="6">
        <v>0.5625</v>
      </c>
      <c r="M155" s="7" t="s">
        <v>738</v>
      </c>
      <c r="N155" s="14" t="s">
        <v>11</v>
      </c>
      <c r="O155" s="14">
        <v>1</v>
      </c>
      <c r="P155" s="13" t="s">
        <v>219</v>
      </c>
      <c r="Q155" s="12" t="s">
        <v>357</v>
      </c>
      <c r="R155" s="11" t="s">
        <v>216</v>
      </c>
      <c r="S155" s="10" t="s">
        <v>278</v>
      </c>
      <c r="T155" s="8">
        <v>1</v>
      </c>
      <c r="U155" s="15">
        <v>1</v>
      </c>
      <c r="V155" s="8">
        <v>1</v>
      </c>
      <c r="W155" s="17"/>
      <c r="X155" s="65">
        <v>46250</v>
      </c>
    </row>
    <row r="156" spans="1:24" ht="13.8" thickBot="1" x14ac:dyDescent="0.3">
      <c r="A156" s="4" t="s">
        <v>328</v>
      </c>
      <c r="B156" s="8">
        <v>1</v>
      </c>
      <c r="C156" s="15">
        <v>1</v>
      </c>
      <c r="D156" s="8">
        <v>1</v>
      </c>
      <c r="E156" s="10" t="s">
        <v>216</v>
      </c>
      <c r="F156" s="11" t="s">
        <v>216</v>
      </c>
      <c r="G156" s="12" t="s">
        <v>226</v>
      </c>
      <c r="H156" s="13" t="s">
        <v>217</v>
      </c>
      <c r="I156" s="14">
        <v>1</v>
      </c>
      <c r="J156" s="14" t="s">
        <v>10</v>
      </c>
      <c r="K156" s="5" t="s">
        <v>739</v>
      </c>
      <c r="L156" s="6">
        <v>0.5625</v>
      </c>
      <c r="M156" s="7" t="s">
        <v>740</v>
      </c>
      <c r="N156" s="14" t="s">
        <v>11</v>
      </c>
      <c r="O156" s="14">
        <v>1</v>
      </c>
      <c r="P156" s="13" t="s">
        <v>217</v>
      </c>
      <c r="Q156" s="12" t="s">
        <v>216</v>
      </c>
      <c r="R156" s="11" t="s">
        <v>217</v>
      </c>
      <c r="S156" s="10" t="s">
        <v>217</v>
      </c>
      <c r="T156" s="8">
        <v>1</v>
      </c>
      <c r="U156" s="9">
        <v>0</v>
      </c>
      <c r="V156" s="8">
        <v>0</v>
      </c>
      <c r="W156" s="17"/>
      <c r="X156" s="65">
        <v>46250</v>
      </c>
    </row>
    <row r="157" spans="1:24" ht="13.8" thickBot="1" x14ac:dyDescent="0.3">
      <c r="A157" s="4" t="s">
        <v>328</v>
      </c>
      <c r="B157" s="8">
        <v>0</v>
      </c>
      <c r="C157" s="9">
        <v>0</v>
      </c>
      <c r="D157" s="8">
        <v>0</v>
      </c>
      <c r="E157" s="10" t="s">
        <v>219</v>
      </c>
      <c r="F157" s="11" t="s">
        <v>247</v>
      </c>
      <c r="G157" s="12" t="s">
        <v>247</v>
      </c>
      <c r="H157" s="13" t="s">
        <v>216</v>
      </c>
      <c r="I157" s="14">
        <v>2</v>
      </c>
      <c r="J157" s="14" t="s">
        <v>10</v>
      </c>
      <c r="K157" s="5" t="s">
        <v>741</v>
      </c>
      <c r="L157" s="6">
        <v>0.5625</v>
      </c>
      <c r="M157" s="7" t="s">
        <v>742</v>
      </c>
      <c r="N157" s="14" t="s">
        <v>11</v>
      </c>
      <c r="O157" s="14">
        <v>1</v>
      </c>
      <c r="P157" s="13" t="s">
        <v>219</v>
      </c>
      <c r="Q157" s="12" t="s">
        <v>226</v>
      </c>
      <c r="R157" s="11" t="s">
        <v>217</v>
      </c>
      <c r="S157" s="10" t="s">
        <v>218</v>
      </c>
      <c r="T157" s="8">
        <v>1</v>
      </c>
      <c r="U157" s="15">
        <v>1</v>
      </c>
      <c r="V157" s="8">
        <v>1</v>
      </c>
      <c r="W157" s="17"/>
      <c r="X157" s="65">
        <v>46250</v>
      </c>
    </row>
    <row r="158" spans="1:24" ht="13.8" thickBot="1" x14ac:dyDescent="0.3">
      <c r="A158" s="4" t="s">
        <v>86</v>
      </c>
      <c r="B158" s="8">
        <v>0.22</v>
      </c>
      <c r="C158" s="9">
        <v>0.33</v>
      </c>
      <c r="D158" s="8">
        <v>0.78</v>
      </c>
      <c r="E158" s="10" t="s">
        <v>224</v>
      </c>
      <c r="F158" s="11" t="s">
        <v>284</v>
      </c>
      <c r="G158" s="12" t="s">
        <v>230</v>
      </c>
      <c r="H158" s="13" t="s">
        <v>306</v>
      </c>
      <c r="I158" s="14">
        <v>9</v>
      </c>
      <c r="J158" s="14" t="s">
        <v>10</v>
      </c>
      <c r="K158" s="5" t="s">
        <v>743</v>
      </c>
      <c r="L158" s="6">
        <v>0.66666666666666663</v>
      </c>
      <c r="M158" s="7" t="s">
        <v>744</v>
      </c>
      <c r="N158" s="14" t="s">
        <v>11</v>
      </c>
      <c r="O158" s="14">
        <v>9</v>
      </c>
      <c r="P158" s="13" t="s">
        <v>387</v>
      </c>
      <c r="Q158" s="12" t="s">
        <v>416</v>
      </c>
      <c r="R158" s="11" t="s">
        <v>218</v>
      </c>
      <c r="S158" s="10" t="s">
        <v>306</v>
      </c>
      <c r="T158" s="8">
        <v>1</v>
      </c>
      <c r="U158" s="15">
        <v>0.78</v>
      </c>
      <c r="V158" s="8">
        <v>0.67</v>
      </c>
      <c r="W158" s="17"/>
      <c r="X158" s="65">
        <v>46250</v>
      </c>
    </row>
    <row r="159" spans="1:24" ht="13.8" thickBot="1" x14ac:dyDescent="0.3">
      <c r="A159" s="4" t="s">
        <v>86</v>
      </c>
      <c r="B159" s="8">
        <v>0.33</v>
      </c>
      <c r="C159" s="15">
        <v>0.67</v>
      </c>
      <c r="D159" s="8">
        <v>0.89</v>
      </c>
      <c r="E159" s="10" t="s">
        <v>231</v>
      </c>
      <c r="F159" s="11" t="s">
        <v>343</v>
      </c>
      <c r="G159" s="12" t="s">
        <v>349</v>
      </c>
      <c r="H159" s="13" t="s">
        <v>284</v>
      </c>
      <c r="I159" s="14">
        <v>9</v>
      </c>
      <c r="J159" s="14" t="s">
        <v>10</v>
      </c>
      <c r="K159" s="5" t="s">
        <v>745</v>
      </c>
      <c r="L159" s="6">
        <v>0.66666666666666663</v>
      </c>
      <c r="M159" s="7" t="s">
        <v>746</v>
      </c>
      <c r="N159" s="14" t="s">
        <v>11</v>
      </c>
      <c r="O159" s="14">
        <v>9</v>
      </c>
      <c r="P159" s="13" t="s">
        <v>228</v>
      </c>
      <c r="Q159" s="12" t="s">
        <v>380</v>
      </c>
      <c r="R159" s="11" t="s">
        <v>344</v>
      </c>
      <c r="S159" s="10" t="s">
        <v>230</v>
      </c>
      <c r="T159" s="8">
        <v>0.78</v>
      </c>
      <c r="U159" s="15">
        <v>0.78</v>
      </c>
      <c r="V159" s="8">
        <v>0.56000000000000005</v>
      </c>
      <c r="W159" s="17"/>
      <c r="X159" s="65">
        <v>46250</v>
      </c>
    </row>
    <row r="160" spans="1:24" ht="13.8" thickBot="1" x14ac:dyDescent="0.3">
      <c r="A160" s="4" t="s">
        <v>86</v>
      </c>
      <c r="B160" s="8">
        <v>1</v>
      </c>
      <c r="C160" s="15">
        <v>1</v>
      </c>
      <c r="D160" s="8">
        <v>1</v>
      </c>
      <c r="E160" s="10" t="s">
        <v>231</v>
      </c>
      <c r="F160" s="11" t="s">
        <v>379</v>
      </c>
      <c r="G160" s="12" t="s">
        <v>238</v>
      </c>
      <c r="H160" s="13" t="s">
        <v>341</v>
      </c>
      <c r="I160" s="14">
        <v>9</v>
      </c>
      <c r="J160" s="14" t="s">
        <v>10</v>
      </c>
      <c r="K160" s="5" t="s">
        <v>747</v>
      </c>
      <c r="L160" s="6">
        <v>0.66666666666666663</v>
      </c>
      <c r="M160" s="7" t="s">
        <v>748</v>
      </c>
      <c r="N160" s="14" t="s">
        <v>11</v>
      </c>
      <c r="O160" s="14">
        <v>9</v>
      </c>
      <c r="P160" s="13" t="s">
        <v>228</v>
      </c>
      <c r="Q160" s="12" t="s">
        <v>386</v>
      </c>
      <c r="R160" s="11" t="s">
        <v>229</v>
      </c>
      <c r="S160" s="10" t="s">
        <v>344</v>
      </c>
      <c r="T160" s="8">
        <v>0.67</v>
      </c>
      <c r="U160" s="15">
        <v>0.56000000000000005</v>
      </c>
      <c r="V160" s="8">
        <v>0.33</v>
      </c>
      <c r="W160" s="17"/>
      <c r="X160" s="65">
        <v>46250</v>
      </c>
    </row>
    <row r="161" spans="1:24" ht="19.8" thickBot="1" x14ac:dyDescent="0.3">
      <c r="A161" s="4" t="s">
        <v>331</v>
      </c>
      <c r="B161" s="63"/>
      <c r="C161" s="63"/>
      <c r="D161" s="63"/>
      <c r="E161" s="63"/>
      <c r="F161" s="63"/>
      <c r="G161" s="63"/>
      <c r="H161" s="63"/>
      <c r="I161" s="64"/>
      <c r="J161" s="14" t="s">
        <v>10</v>
      </c>
      <c r="K161" s="5" t="s">
        <v>749</v>
      </c>
      <c r="L161" s="6">
        <v>0.29166666666666669</v>
      </c>
      <c r="M161" s="7" t="s">
        <v>750</v>
      </c>
      <c r="N161" s="14" t="s">
        <v>11</v>
      </c>
      <c r="O161" s="64"/>
      <c r="P161" s="63"/>
      <c r="Q161" s="63"/>
      <c r="R161" s="63"/>
      <c r="S161" s="63"/>
      <c r="T161" s="63"/>
      <c r="U161" s="63"/>
      <c r="V161" s="63"/>
      <c r="W161" s="17"/>
      <c r="X161" s="65">
        <v>46250</v>
      </c>
    </row>
    <row r="162" spans="1:24" ht="13.8" thickBot="1" x14ac:dyDescent="0.3">
      <c r="A162" s="4" t="s">
        <v>331</v>
      </c>
      <c r="B162" s="63"/>
      <c r="C162" s="63"/>
      <c r="D162" s="63"/>
      <c r="E162" s="63"/>
      <c r="F162" s="63"/>
      <c r="G162" s="63"/>
      <c r="H162" s="63"/>
      <c r="I162" s="64"/>
      <c r="J162" s="14" t="s">
        <v>10</v>
      </c>
      <c r="K162" s="5" t="s">
        <v>751</v>
      </c>
      <c r="L162" s="6">
        <v>0.33333333333333331</v>
      </c>
      <c r="M162" s="7" t="s">
        <v>752</v>
      </c>
      <c r="N162" s="14" t="s">
        <v>11</v>
      </c>
      <c r="O162" s="64"/>
      <c r="P162" s="63"/>
      <c r="Q162" s="63"/>
      <c r="R162" s="63"/>
      <c r="S162" s="63"/>
      <c r="T162" s="63"/>
      <c r="U162" s="63"/>
      <c r="V162" s="63"/>
      <c r="W162" s="17"/>
      <c r="X162" s="65">
        <v>46250</v>
      </c>
    </row>
    <row r="163" spans="1:24" ht="19.8" thickBot="1" x14ac:dyDescent="0.3">
      <c r="A163" s="4" t="s">
        <v>331</v>
      </c>
      <c r="B163" s="63"/>
      <c r="C163" s="63"/>
      <c r="D163" s="63"/>
      <c r="E163" s="63"/>
      <c r="F163" s="63"/>
      <c r="G163" s="63"/>
      <c r="H163" s="63"/>
      <c r="I163" s="64"/>
      <c r="J163" s="14" t="s">
        <v>10</v>
      </c>
      <c r="K163" s="5" t="s">
        <v>753</v>
      </c>
      <c r="L163" s="6">
        <v>0.29166666666666669</v>
      </c>
      <c r="M163" s="7" t="s">
        <v>754</v>
      </c>
      <c r="N163" s="14" t="s">
        <v>11</v>
      </c>
      <c r="O163" s="64"/>
      <c r="P163" s="63"/>
      <c r="Q163" s="63"/>
      <c r="R163" s="63"/>
      <c r="S163" s="63"/>
      <c r="T163" s="63"/>
      <c r="U163" s="63"/>
      <c r="V163" s="63"/>
      <c r="W163" s="17"/>
      <c r="X163" s="65">
        <v>46250</v>
      </c>
    </row>
    <row r="164" spans="1:24" ht="19.8" thickBot="1" x14ac:dyDescent="0.3">
      <c r="A164" s="4" t="s">
        <v>331</v>
      </c>
      <c r="B164" s="63"/>
      <c r="C164" s="63"/>
      <c r="D164" s="63"/>
      <c r="E164" s="63"/>
      <c r="F164" s="63"/>
      <c r="G164" s="63"/>
      <c r="H164" s="63"/>
      <c r="I164" s="64"/>
      <c r="J164" s="14" t="s">
        <v>10</v>
      </c>
      <c r="K164" s="5" t="s">
        <v>755</v>
      </c>
      <c r="L164" s="6">
        <v>0.29166666666666669</v>
      </c>
      <c r="M164" s="7" t="s">
        <v>756</v>
      </c>
      <c r="N164" s="14" t="s">
        <v>11</v>
      </c>
      <c r="O164" s="64"/>
      <c r="P164" s="63"/>
      <c r="Q164" s="63"/>
      <c r="R164" s="63"/>
      <c r="S164" s="63"/>
      <c r="T164" s="63"/>
      <c r="U164" s="63"/>
      <c r="V164" s="63"/>
      <c r="W164" s="17"/>
      <c r="X164" s="65">
        <v>46250</v>
      </c>
    </row>
    <row r="165" spans="1:24" ht="19.8" thickBot="1" x14ac:dyDescent="0.3">
      <c r="A165" s="4" t="s">
        <v>331</v>
      </c>
      <c r="B165" s="8">
        <v>1</v>
      </c>
      <c r="C165" s="15">
        <v>1</v>
      </c>
      <c r="D165" s="8">
        <v>1</v>
      </c>
      <c r="E165" s="10" t="s">
        <v>217</v>
      </c>
      <c r="F165" s="11" t="s">
        <v>226</v>
      </c>
      <c r="G165" s="12" t="s">
        <v>278</v>
      </c>
      <c r="H165" s="13" t="s">
        <v>218</v>
      </c>
      <c r="I165" s="14">
        <v>1</v>
      </c>
      <c r="J165" s="14" t="s">
        <v>10</v>
      </c>
      <c r="K165" s="5" t="s">
        <v>757</v>
      </c>
      <c r="L165" s="6">
        <v>0.33333333333333331</v>
      </c>
      <c r="M165" s="7" t="s">
        <v>758</v>
      </c>
      <c r="N165" s="14" t="s">
        <v>11</v>
      </c>
      <c r="O165" s="64"/>
      <c r="P165" s="63"/>
      <c r="Q165" s="63"/>
      <c r="R165" s="63"/>
      <c r="S165" s="63"/>
      <c r="T165" s="63"/>
      <c r="U165" s="63"/>
      <c r="V165" s="63"/>
      <c r="W165" s="17"/>
      <c r="X165" s="65">
        <v>46250</v>
      </c>
    </row>
    <row r="166" spans="1:24" ht="19.8" thickBot="1" x14ac:dyDescent="0.3">
      <c r="A166" s="4" t="s">
        <v>331</v>
      </c>
      <c r="B166" s="63"/>
      <c r="C166" s="63"/>
      <c r="D166" s="63"/>
      <c r="E166" s="63"/>
      <c r="F166" s="63"/>
      <c r="G166" s="63"/>
      <c r="H166" s="63"/>
      <c r="I166" s="64"/>
      <c r="J166" s="14" t="s">
        <v>10</v>
      </c>
      <c r="K166" s="5" t="s">
        <v>759</v>
      </c>
      <c r="L166" s="6">
        <v>0.33333333333333331</v>
      </c>
      <c r="M166" s="7" t="s">
        <v>760</v>
      </c>
      <c r="N166" s="14" t="s">
        <v>11</v>
      </c>
      <c r="O166" s="64"/>
      <c r="P166" s="63"/>
      <c r="Q166" s="63"/>
      <c r="R166" s="63"/>
      <c r="S166" s="63"/>
      <c r="T166" s="63"/>
      <c r="U166" s="63"/>
      <c r="V166" s="63"/>
      <c r="W166" s="17"/>
      <c r="X166" s="65">
        <v>46250</v>
      </c>
    </row>
    <row r="167" spans="1:24" ht="13.8" thickBot="1" x14ac:dyDescent="0.3">
      <c r="A167" s="4" t="s">
        <v>419</v>
      </c>
      <c r="B167" s="8">
        <v>0.22</v>
      </c>
      <c r="C167" s="9">
        <v>0.44</v>
      </c>
      <c r="D167" s="8">
        <v>0.67</v>
      </c>
      <c r="E167" s="10" t="s">
        <v>224</v>
      </c>
      <c r="F167" s="11" t="s">
        <v>228</v>
      </c>
      <c r="G167" s="12" t="s">
        <v>387</v>
      </c>
      <c r="H167" s="13" t="s">
        <v>217</v>
      </c>
      <c r="I167" s="14">
        <v>9</v>
      </c>
      <c r="J167" s="14" t="s">
        <v>10</v>
      </c>
      <c r="K167" s="5" t="s">
        <v>761</v>
      </c>
      <c r="L167" s="6">
        <v>0.41666666666666669</v>
      </c>
      <c r="M167" s="7" t="s">
        <v>762</v>
      </c>
      <c r="N167" s="14" t="s">
        <v>11</v>
      </c>
      <c r="O167" s="14">
        <v>11</v>
      </c>
      <c r="P167" s="13" t="s">
        <v>763</v>
      </c>
      <c r="Q167" s="12" t="s">
        <v>261</v>
      </c>
      <c r="R167" s="11" t="s">
        <v>300</v>
      </c>
      <c r="S167" s="10" t="s">
        <v>259</v>
      </c>
      <c r="T167" s="8">
        <v>0.73</v>
      </c>
      <c r="U167" s="9">
        <v>0.36</v>
      </c>
      <c r="V167" s="8">
        <v>0.09</v>
      </c>
      <c r="W167" s="17"/>
      <c r="X167" s="65">
        <v>46250</v>
      </c>
    </row>
    <row r="168" spans="1:24" ht="19.8" thickBot="1" x14ac:dyDescent="0.3">
      <c r="A168" s="4" t="s">
        <v>419</v>
      </c>
      <c r="B168" s="8">
        <v>0.44</v>
      </c>
      <c r="C168" s="15">
        <v>0.56000000000000005</v>
      </c>
      <c r="D168" s="8">
        <v>0.78</v>
      </c>
      <c r="E168" s="10" t="s">
        <v>232</v>
      </c>
      <c r="F168" s="11" t="s">
        <v>229</v>
      </c>
      <c r="G168" s="12" t="s">
        <v>218</v>
      </c>
      <c r="H168" s="13" t="s">
        <v>229</v>
      </c>
      <c r="I168" s="14">
        <v>9</v>
      </c>
      <c r="J168" s="14" t="s">
        <v>10</v>
      </c>
      <c r="K168" s="5" t="s">
        <v>764</v>
      </c>
      <c r="L168" s="6">
        <v>0.45833333333333331</v>
      </c>
      <c r="M168" s="7" t="s">
        <v>765</v>
      </c>
      <c r="N168" s="14" t="s">
        <v>11</v>
      </c>
      <c r="O168" s="14">
        <v>10</v>
      </c>
      <c r="P168" s="13" t="s">
        <v>268</v>
      </c>
      <c r="Q168" s="12" t="s">
        <v>377</v>
      </c>
      <c r="R168" s="11" t="s">
        <v>220</v>
      </c>
      <c r="S168" s="10" t="s">
        <v>270</v>
      </c>
      <c r="T168" s="8">
        <v>0.6</v>
      </c>
      <c r="U168" s="9">
        <v>0.5</v>
      </c>
      <c r="V168" s="8">
        <v>0.5</v>
      </c>
      <c r="W168" s="17"/>
      <c r="X168" s="65">
        <v>46250</v>
      </c>
    </row>
    <row r="169" spans="1:24" ht="13.8" thickBot="1" x14ac:dyDescent="0.3">
      <c r="A169" s="4" t="s">
        <v>419</v>
      </c>
      <c r="B169" s="8">
        <v>0.45</v>
      </c>
      <c r="C169" s="15">
        <v>0.73</v>
      </c>
      <c r="D169" s="8">
        <v>0.82</v>
      </c>
      <c r="E169" s="10" t="s">
        <v>303</v>
      </c>
      <c r="F169" s="11" t="s">
        <v>259</v>
      </c>
      <c r="G169" s="12" t="s">
        <v>420</v>
      </c>
      <c r="H169" s="13" t="s">
        <v>265</v>
      </c>
      <c r="I169" s="14">
        <v>11</v>
      </c>
      <c r="J169" s="14" t="s">
        <v>10</v>
      </c>
      <c r="K169" s="5" t="s">
        <v>766</v>
      </c>
      <c r="L169" s="6">
        <v>0.5</v>
      </c>
      <c r="M169" s="7" t="s">
        <v>767</v>
      </c>
      <c r="N169" s="14" t="s">
        <v>11</v>
      </c>
      <c r="O169" s="14">
        <v>9</v>
      </c>
      <c r="P169" s="13" t="s">
        <v>324</v>
      </c>
      <c r="Q169" s="12" t="s">
        <v>307</v>
      </c>
      <c r="R169" s="11" t="s">
        <v>324</v>
      </c>
      <c r="S169" s="10" t="s">
        <v>232</v>
      </c>
      <c r="T169" s="8">
        <v>0.67</v>
      </c>
      <c r="U169" s="9">
        <v>0.33</v>
      </c>
      <c r="V169" s="8">
        <v>0.33</v>
      </c>
      <c r="W169" s="17"/>
      <c r="X169" s="65">
        <v>46250</v>
      </c>
    </row>
    <row r="170" spans="1:24" ht="13.8" thickBot="1" x14ac:dyDescent="0.3">
      <c r="A170" s="4" t="s">
        <v>419</v>
      </c>
      <c r="B170" s="8">
        <v>0.1</v>
      </c>
      <c r="C170" s="9">
        <v>0.2</v>
      </c>
      <c r="D170" s="8">
        <v>0.6</v>
      </c>
      <c r="E170" s="10" t="s">
        <v>248</v>
      </c>
      <c r="F170" s="11" t="s">
        <v>384</v>
      </c>
      <c r="G170" s="12" t="s">
        <v>273</v>
      </c>
      <c r="H170" s="13" t="s">
        <v>274</v>
      </c>
      <c r="I170" s="14">
        <v>10</v>
      </c>
      <c r="J170" s="14" t="s">
        <v>10</v>
      </c>
      <c r="K170" s="5" t="s">
        <v>768</v>
      </c>
      <c r="L170" s="6">
        <v>0.54166666666666663</v>
      </c>
      <c r="M170" s="7" t="s">
        <v>769</v>
      </c>
      <c r="N170" s="14" t="s">
        <v>11</v>
      </c>
      <c r="O170" s="14">
        <v>10</v>
      </c>
      <c r="P170" s="13" t="s">
        <v>274</v>
      </c>
      <c r="Q170" s="12" t="s">
        <v>218</v>
      </c>
      <c r="R170" s="11" t="s">
        <v>270</v>
      </c>
      <c r="S170" s="10" t="s">
        <v>234</v>
      </c>
      <c r="T170" s="8">
        <v>0.8</v>
      </c>
      <c r="U170" s="15">
        <v>0.7</v>
      </c>
      <c r="V170" s="8">
        <v>0.4</v>
      </c>
      <c r="W170" s="17"/>
      <c r="X170" s="65">
        <v>46250</v>
      </c>
    </row>
    <row r="171" spans="1:24" ht="19.8" thickBot="1" x14ac:dyDescent="0.3">
      <c r="A171" s="4" t="s">
        <v>770</v>
      </c>
      <c r="B171" s="8">
        <v>0.33</v>
      </c>
      <c r="C171" s="9">
        <v>0.5</v>
      </c>
      <c r="D171" s="8">
        <v>0.67</v>
      </c>
      <c r="E171" s="10" t="s">
        <v>369</v>
      </c>
      <c r="F171" s="11" t="s">
        <v>391</v>
      </c>
      <c r="G171" s="12" t="s">
        <v>221</v>
      </c>
      <c r="H171" s="13" t="s">
        <v>223</v>
      </c>
      <c r="I171" s="14">
        <v>12</v>
      </c>
      <c r="J171" s="14" t="s">
        <v>10</v>
      </c>
      <c r="K171" s="5" t="s">
        <v>771</v>
      </c>
      <c r="L171" s="6">
        <v>0.57291666666666663</v>
      </c>
      <c r="M171" s="7" t="s">
        <v>772</v>
      </c>
      <c r="N171" s="14" t="s">
        <v>11</v>
      </c>
      <c r="O171" s="14">
        <v>12</v>
      </c>
      <c r="P171" s="13" t="s">
        <v>344</v>
      </c>
      <c r="Q171" s="12" t="s">
        <v>346</v>
      </c>
      <c r="R171" s="11" t="s">
        <v>223</v>
      </c>
      <c r="S171" s="10" t="s">
        <v>220</v>
      </c>
      <c r="T171" s="8">
        <v>0.92</v>
      </c>
      <c r="U171" s="15">
        <v>0.83</v>
      </c>
      <c r="V171" s="8">
        <v>0.5</v>
      </c>
      <c r="W171" s="17"/>
      <c r="X171" s="65">
        <v>46250</v>
      </c>
    </row>
    <row r="172" spans="1:24" ht="13.8" thickBot="1" x14ac:dyDescent="0.3">
      <c r="A172" s="4" t="s">
        <v>770</v>
      </c>
      <c r="B172" s="8">
        <v>0.5</v>
      </c>
      <c r="C172" s="15">
        <v>0.8</v>
      </c>
      <c r="D172" s="8">
        <v>0.9</v>
      </c>
      <c r="E172" s="10" t="s">
        <v>220</v>
      </c>
      <c r="F172" s="11" t="s">
        <v>249</v>
      </c>
      <c r="G172" s="12" t="s">
        <v>281</v>
      </c>
      <c r="H172" s="13" t="s">
        <v>268</v>
      </c>
      <c r="I172" s="14">
        <v>10</v>
      </c>
      <c r="J172" s="14" t="s">
        <v>10</v>
      </c>
      <c r="K172" s="5" t="s">
        <v>773</v>
      </c>
      <c r="L172" s="6">
        <v>0.60416666666666663</v>
      </c>
      <c r="M172" s="7" t="s">
        <v>774</v>
      </c>
      <c r="N172" s="14" t="s">
        <v>11</v>
      </c>
      <c r="O172" s="14">
        <v>12</v>
      </c>
      <c r="P172" s="13" t="s">
        <v>220</v>
      </c>
      <c r="Q172" s="12" t="s">
        <v>220</v>
      </c>
      <c r="R172" s="11" t="s">
        <v>368</v>
      </c>
      <c r="S172" s="10" t="s">
        <v>369</v>
      </c>
      <c r="T172" s="8">
        <v>0.33</v>
      </c>
      <c r="U172" s="9">
        <v>0.17</v>
      </c>
      <c r="V172" s="8">
        <v>0.17</v>
      </c>
      <c r="W172" s="17"/>
      <c r="X172" s="65">
        <v>46250</v>
      </c>
    </row>
    <row r="173" spans="1:24" ht="13.8" thickBot="1" x14ac:dyDescent="0.3">
      <c r="A173" s="4" t="s">
        <v>421</v>
      </c>
      <c r="B173" s="8">
        <v>1</v>
      </c>
      <c r="C173" s="15">
        <v>1</v>
      </c>
      <c r="D173" s="8">
        <v>1</v>
      </c>
      <c r="E173" s="10" t="s">
        <v>216</v>
      </c>
      <c r="F173" s="11" t="s">
        <v>218</v>
      </c>
      <c r="G173" s="12" t="s">
        <v>278</v>
      </c>
      <c r="H173" s="13" t="s">
        <v>218</v>
      </c>
      <c r="I173" s="14">
        <v>1</v>
      </c>
      <c r="J173" s="14" t="s">
        <v>10</v>
      </c>
      <c r="K173" s="5" t="s">
        <v>775</v>
      </c>
      <c r="L173" s="6">
        <v>0.95833333333333337</v>
      </c>
      <c r="M173" s="7" t="s">
        <v>776</v>
      </c>
      <c r="N173" s="14" t="s">
        <v>11</v>
      </c>
      <c r="O173" s="14">
        <v>1</v>
      </c>
      <c r="P173" s="13" t="s">
        <v>219</v>
      </c>
      <c r="Q173" s="12" t="s">
        <v>217</v>
      </c>
      <c r="R173" s="11" t="s">
        <v>219</v>
      </c>
      <c r="S173" s="10" t="s">
        <v>217</v>
      </c>
      <c r="T173" s="8">
        <v>0</v>
      </c>
      <c r="U173" s="9">
        <v>0</v>
      </c>
      <c r="V173" s="8">
        <v>0</v>
      </c>
      <c r="W173" s="17"/>
      <c r="X173" s="65">
        <v>46250</v>
      </c>
    </row>
    <row r="174" spans="1:24" ht="13.8" thickBot="1" x14ac:dyDescent="0.3">
      <c r="A174" s="4" t="s">
        <v>421</v>
      </c>
      <c r="B174" s="8">
        <v>0</v>
      </c>
      <c r="C174" s="9">
        <v>0</v>
      </c>
      <c r="D174" s="8">
        <v>1</v>
      </c>
      <c r="E174" s="10" t="s">
        <v>216</v>
      </c>
      <c r="F174" s="11" t="s">
        <v>219</v>
      </c>
      <c r="G174" s="12" t="s">
        <v>216</v>
      </c>
      <c r="H174" s="13" t="s">
        <v>219</v>
      </c>
      <c r="I174" s="14">
        <v>1</v>
      </c>
      <c r="J174" s="14" t="s">
        <v>10</v>
      </c>
      <c r="K174" s="5" t="s">
        <v>777</v>
      </c>
      <c r="L174" s="6">
        <v>4.1666666666666664E-2</v>
      </c>
      <c r="M174" s="7" t="s">
        <v>778</v>
      </c>
      <c r="N174" s="14" t="s">
        <v>11</v>
      </c>
      <c r="O174" s="14">
        <v>2</v>
      </c>
      <c r="P174" s="13" t="s">
        <v>219</v>
      </c>
      <c r="Q174" s="12" t="s">
        <v>327</v>
      </c>
      <c r="R174" s="11" t="s">
        <v>220</v>
      </c>
      <c r="S174" s="10" t="s">
        <v>218</v>
      </c>
      <c r="T174" s="8">
        <v>1</v>
      </c>
      <c r="U174" s="15">
        <v>1</v>
      </c>
      <c r="V174" s="8">
        <v>1</v>
      </c>
      <c r="W174" s="17"/>
      <c r="X174" s="65">
        <v>46250</v>
      </c>
    </row>
    <row r="175" spans="1:24" ht="19.8" thickBot="1" x14ac:dyDescent="0.3">
      <c r="A175" s="4" t="s">
        <v>421</v>
      </c>
      <c r="B175" s="8">
        <v>0</v>
      </c>
      <c r="C175" s="15">
        <v>1</v>
      </c>
      <c r="D175" s="8">
        <v>1</v>
      </c>
      <c r="E175" s="10" t="s">
        <v>218</v>
      </c>
      <c r="F175" s="11" t="s">
        <v>219</v>
      </c>
      <c r="G175" s="12" t="s">
        <v>218</v>
      </c>
      <c r="H175" s="13" t="s">
        <v>219</v>
      </c>
      <c r="I175" s="14">
        <v>1</v>
      </c>
      <c r="J175" s="14" t="s">
        <v>10</v>
      </c>
      <c r="K175" s="5" t="s">
        <v>779</v>
      </c>
      <c r="L175" s="6">
        <v>0.66666666666666663</v>
      </c>
      <c r="M175" s="7" t="s">
        <v>780</v>
      </c>
      <c r="N175" s="14" t="s">
        <v>11</v>
      </c>
      <c r="O175" s="14">
        <v>1</v>
      </c>
      <c r="P175" s="13" t="s">
        <v>218</v>
      </c>
      <c r="Q175" s="12" t="s">
        <v>218</v>
      </c>
      <c r="R175" s="11" t="s">
        <v>216</v>
      </c>
      <c r="S175" s="10" t="s">
        <v>217</v>
      </c>
      <c r="T175" s="8">
        <v>1</v>
      </c>
      <c r="U175" s="15">
        <v>1</v>
      </c>
      <c r="V175" s="8">
        <v>0</v>
      </c>
      <c r="W175" s="17"/>
      <c r="X175" s="65">
        <v>46250</v>
      </c>
    </row>
    <row r="176" spans="1:24" ht="13.8" thickBot="1" x14ac:dyDescent="0.3">
      <c r="A176" s="4" t="s">
        <v>421</v>
      </c>
      <c r="B176" s="8">
        <v>0</v>
      </c>
      <c r="C176" s="15">
        <v>1</v>
      </c>
      <c r="D176" s="8">
        <v>1</v>
      </c>
      <c r="E176" s="10" t="s">
        <v>219</v>
      </c>
      <c r="F176" s="11" t="s">
        <v>218</v>
      </c>
      <c r="G176" s="12" t="s">
        <v>218</v>
      </c>
      <c r="H176" s="13" t="s">
        <v>218</v>
      </c>
      <c r="I176" s="14">
        <v>1</v>
      </c>
      <c r="J176" s="14" t="s">
        <v>10</v>
      </c>
      <c r="K176" s="5" t="s">
        <v>781</v>
      </c>
      <c r="L176" s="6">
        <v>0.875</v>
      </c>
      <c r="M176" s="7" t="s">
        <v>782</v>
      </c>
      <c r="N176" s="14" t="s">
        <v>11</v>
      </c>
      <c r="O176" s="14">
        <v>1</v>
      </c>
      <c r="P176" s="13" t="s">
        <v>217</v>
      </c>
      <c r="Q176" s="12" t="s">
        <v>226</v>
      </c>
      <c r="R176" s="11" t="s">
        <v>216</v>
      </c>
      <c r="S176" s="10" t="s">
        <v>216</v>
      </c>
      <c r="T176" s="8">
        <v>1</v>
      </c>
      <c r="U176" s="15">
        <v>1</v>
      </c>
      <c r="V176" s="8">
        <v>1</v>
      </c>
      <c r="W176" s="17"/>
      <c r="X176" s="65">
        <v>46250</v>
      </c>
    </row>
    <row r="177" spans="1:24" ht="13.8" thickBot="1" x14ac:dyDescent="0.3">
      <c r="A177" s="4" t="s">
        <v>422</v>
      </c>
      <c r="B177" s="8">
        <v>0</v>
      </c>
      <c r="C177" s="9">
        <v>0.33</v>
      </c>
      <c r="D177" s="8">
        <v>0.67</v>
      </c>
      <c r="E177" s="10" t="s">
        <v>217</v>
      </c>
      <c r="F177" s="11" t="s">
        <v>310</v>
      </c>
      <c r="G177" s="12" t="s">
        <v>344</v>
      </c>
      <c r="H177" s="13" t="s">
        <v>310</v>
      </c>
      <c r="I177" s="14">
        <v>3</v>
      </c>
      <c r="J177" s="14" t="s">
        <v>10</v>
      </c>
      <c r="K177" s="5" t="s">
        <v>783</v>
      </c>
      <c r="L177" s="6">
        <v>0.625</v>
      </c>
      <c r="M177" s="7" t="s">
        <v>784</v>
      </c>
      <c r="N177" s="14" t="s">
        <v>11</v>
      </c>
      <c r="O177" s="14">
        <v>3</v>
      </c>
      <c r="P177" s="13" t="s">
        <v>334</v>
      </c>
      <c r="Q177" s="12" t="s">
        <v>349</v>
      </c>
      <c r="R177" s="11" t="s">
        <v>325</v>
      </c>
      <c r="S177" s="10" t="s">
        <v>217</v>
      </c>
      <c r="T177" s="8">
        <v>0.67</v>
      </c>
      <c r="U177" s="15">
        <v>0.67</v>
      </c>
      <c r="V177" s="8">
        <v>0.67</v>
      </c>
      <c r="W177" s="17"/>
      <c r="X177" s="65">
        <v>46250</v>
      </c>
    </row>
    <row r="178" spans="1:24" ht="19.8" thickBot="1" x14ac:dyDescent="0.3">
      <c r="A178" s="4" t="s">
        <v>422</v>
      </c>
      <c r="B178" s="8">
        <v>0</v>
      </c>
      <c r="C178" s="15">
        <v>0.67</v>
      </c>
      <c r="D178" s="8">
        <v>1</v>
      </c>
      <c r="E178" s="10" t="s">
        <v>217</v>
      </c>
      <c r="F178" s="11" t="s">
        <v>344</v>
      </c>
      <c r="G178" s="12" t="s">
        <v>325</v>
      </c>
      <c r="H178" s="13" t="s">
        <v>224</v>
      </c>
      <c r="I178" s="14">
        <v>3</v>
      </c>
      <c r="J178" s="14" t="s">
        <v>10</v>
      </c>
      <c r="K178" s="5" t="s">
        <v>785</v>
      </c>
      <c r="L178" s="6">
        <v>0.625</v>
      </c>
      <c r="M178" s="7" t="s">
        <v>786</v>
      </c>
      <c r="N178" s="14" t="s">
        <v>11</v>
      </c>
      <c r="O178" s="14">
        <v>3</v>
      </c>
      <c r="P178" s="13" t="s">
        <v>310</v>
      </c>
      <c r="Q178" s="12" t="s">
        <v>334</v>
      </c>
      <c r="R178" s="11" t="s">
        <v>401</v>
      </c>
      <c r="S178" s="10" t="s">
        <v>216</v>
      </c>
      <c r="T178" s="8">
        <v>0.67</v>
      </c>
      <c r="U178" s="9">
        <v>0.33</v>
      </c>
      <c r="V178" s="8">
        <v>0.33</v>
      </c>
      <c r="W178" s="17"/>
      <c r="X178" s="65">
        <v>46250</v>
      </c>
    </row>
    <row r="179" spans="1:24" ht="13.8" thickBot="1" x14ac:dyDescent="0.3">
      <c r="A179" s="4" t="s">
        <v>423</v>
      </c>
      <c r="B179" s="63"/>
      <c r="C179" s="63"/>
      <c r="D179" s="63"/>
      <c r="E179" s="63"/>
      <c r="F179" s="63"/>
      <c r="G179" s="63"/>
      <c r="H179" s="63"/>
      <c r="I179" s="64"/>
      <c r="J179" s="14" t="s">
        <v>10</v>
      </c>
      <c r="K179" s="5" t="s">
        <v>787</v>
      </c>
      <c r="L179" s="6">
        <v>0.66666666666666663</v>
      </c>
      <c r="M179" s="7" t="s">
        <v>788</v>
      </c>
      <c r="N179" s="14" t="s">
        <v>11</v>
      </c>
      <c r="O179" s="14">
        <v>1</v>
      </c>
      <c r="P179" s="13" t="s">
        <v>218</v>
      </c>
      <c r="Q179" s="12" t="s">
        <v>217</v>
      </c>
      <c r="R179" s="11" t="s">
        <v>217</v>
      </c>
      <c r="S179" s="10" t="s">
        <v>219</v>
      </c>
      <c r="T179" s="8">
        <v>0</v>
      </c>
      <c r="U179" s="9">
        <v>0</v>
      </c>
      <c r="V179" s="8">
        <v>0</v>
      </c>
      <c r="W179" s="17"/>
      <c r="X179" s="65">
        <v>46250</v>
      </c>
    </row>
    <row r="180" spans="1:24" ht="13.8" thickBot="1" x14ac:dyDescent="0.3">
      <c r="A180" s="4" t="s">
        <v>423</v>
      </c>
      <c r="B180" s="8">
        <v>0</v>
      </c>
      <c r="C180" s="15">
        <v>1</v>
      </c>
      <c r="D180" s="8">
        <v>1</v>
      </c>
      <c r="E180" s="10" t="s">
        <v>217</v>
      </c>
      <c r="F180" s="11" t="s">
        <v>216</v>
      </c>
      <c r="G180" s="12" t="s">
        <v>218</v>
      </c>
      <c r="H180" s="13" t="s">
        <v>218</v>
      </c>
      <c r="I180" s="14">
        <v>1</v>
      </c>
      <c r="J180" s="14" t="s">
        <v>10</v>
      </c>
      <c r="K180" s="5" t="s">
        <v>789</v>
      </c>
      <c r="L180" s="6">
        <v>0.66666666666666663</v>
      </c>
      <c r="M180" s="7" t="s">
        <v>790</v>
      </c>
      <c r="N180" s="14" t="s">
        <v>11</v>
      </c>
      <c r="O180" s="14">
        <v>1</v>
      </c>
      <c r="P180" s="13" t="s">
        <v>217</v>
      </c>
      <c r="Q180" s="12" t="s">
        <v>219</v>
      </c>
      <c r="R180" s="11" t="s">
        <v>219</v>
      </c>
      <c r="S180" s="10" t="s">
        <v>219</v>
      </c>
      <c r="T180" s="8">
        <v>0</v>
      </c>
      <c r="U180" s="9">
        <v>0</v>
      </c>
      <c r="V180" s="8">
        <v>0</v>
      </c>
      <c r="W180" s="17"/>
      <c r="X180" s="65">
        <v>46250</v>
      </c>
    </row>
    <row r="181" spans="1:24" ht="13.8" thickBot="1" x14ac:dyDescent="0.3">
      <c r="A181" s="4" t="s">
        <v>423</v>
      </c>
      <c r="B181" s="8">
        <v>0</v>
      </c>
      <c r="C181" s="9">
        <v>0</v>
      </c>
      <c r="D181" s="8">
        <v>0</v>
      </c>
      <c r="E181" s="10" t="s">
        <v>217</v>
      </c>
      <c r="F181" s="11" t="s">
        <v>219</v>
      </c>
      <c r="G181" s="12" t="s">
        <v>217</v>
      </c>
      <c r="H181" s="13" t="s">
        <v>219</v>
      </c>
      <c r="I181" s="14">
        <v>1</v>
      </c>
      <c r="J181" s="14" t="s">
        <v>10</v>
      </c>
      <c r="K181" s="5" t="s">
        <v>791</v>
      </c>
      <c r="L181" s="6">
        <v>0.66666666666666663</v>
      </c>
      <c r="M181" s="7" t="s">
        <v>792</v>
      </c>
      <c r="N181" s="14" t="s">
        <v>11</v>
      </c>
      <c r="O181" s="64"/>
      <c r="P181" s="63"/>
      <c r="Q181" s="63"/>
      <c r="R181" s="63"/>
      <c r="S181" s="63"/>
      <c r="T181" s="63"/>
      <c r="U181" s="63"/>
      <c r="V181" s="63"/>
      <c r="W181" s="17"/>
      <c r="X181" s="65">
        <v>46250</v>
      </c>
    </row>
    <row r="182" spans="1:24" ht="13.8" thickBot="1" x14ac:dyDescent="0.3">
      <c r="A182" s="4" t="s">
        <v>92</v>
      </c>
      <c r="B182" s="8">
        <v>0.67</v>
      </c>
      <c r="C182" s="15">
        <v>0.78</v>
      </c>
      <c r="D182" s="8">
        <v>1</v>
      </c>
      <c r="E182" s="10" t="s">
        <v>334</v>
      </c>
      <c r="F182" s="11" t="s">
        <v>344</v>
      </c>
      <c r="G182" s="12" t="s">
        <v>226</v>
      </c>
      <c r="H182" s="13" t="s">
        <v>306</v>
      </c>
      <c r="I182" s="14">
        <v>9</v>
      </c>
      <c r="J182" s="14" t="s">
        <v>10</v>
      </c>
      <c r="K182" s="5" t="s">
        <v>793</v>
      </c>
      <c r="L182" s="6">
        <v>0.4375</v>
      </c>
      <c r="M182" s="7" t="s">
        <v>794</v>
      </c>
      <c r="N182" s="14" t="s">
        <v>11</v>
      </c>
      <c r="O182" s="14">
        <v>7</v>
      </c>
      <c r="P182" s="13" t="s">
        <v>217</v>
      </c>
      <c r="Q182" s="12" t="s">
        <v>392</v>
      </c>
      <c r="R182" s="11" t="s">
        <v>217</v>
      </c>
      <c r="S182" s="10" t="s">
        <v>291</v>
      </c>
      <c r="T182" s="8">
        <v>0.86</v>
      </c>
      <c r="U182" s="9">
        <v>0.43</v>
      </c>
      <c r="V182" s="8">
        <v>0.43</v>
      </c>
      <c r="W182" s="17"/>
      <c r="X182" s="65">
        <v>46250</v>
      </c>
    </row>
    <row r="183" spans="1:24" ht="13.8" thickBot="1" x14ac:dyDescent="0.3">
      <c r="A183" s="4" t="s">
        <v>92</v>
      </c>
      <c r="B183" s="8">
        <v>0.38</v>
      </c>
      <c r="C183" s="15">
        <v>0.88</v>
      </c>
      <c r="D183" s="8">
        <v>0.88</v>
      </c>
      <c r="E183" s="10" t="s">
        <v>239</v>
      </c>
      <c r="F183" s="11" t="s">
        <v>223</v>
      </c>
      <c r="G183" s="12" t="s">
        <v>342</v>
      </c>
      <c r="H183" s="13" t="s">
        <v>220</v>
      </c>
      <c r="I183" s="14">
        <v>8</v>
      </c>
      <c r="J183" s="14" t="s">
        <v>10</v>
      </c>
      <c r="K183" s="5" t="s">
        <v>795</v>
      </c>
      <c r="L183" s="6">
        <v>0.54166666666666663</v>
      </c>
      <c r="M183" s="7" t="s">
        <v>796</v>
      </c>
      <c r="N183" s="14" t="s">
        <v>11</v>
      </c>
      <c r="O183" s="14">
        <v>8</v>
      </c>
      <c r="P183" s="13" t="s">
        <v>222</v>
      </c>
      <c r="Q183" s="12" t="s">
        <v>332</v>
      </c>
      <c r="R183" s="11" t="s">
        <v>293</v>
      </c>
      <c r="S183" s="10" t="s">
        <v>236</v>
      </c>
      <c r="T183" s="8">
        <v>0.88</v>
      </c>
      <c r="U183" s="15">
        <v>0.75</v>
      </c>
      <c r="V183" s="8">
        <v>0.38</v>
      </c>
      <c r="W183" s="17"/>
      <c r="X183" s="65">
        <v>46250</v>
      </c>
    </row>
    <row r="184" spans="1:24" ht="13.8" thickBot="1" x14ac:dyDescent="0.3">
      <c r="A184" s="4" t="s">
        <v>92</v>
      </c>
      <c r="B184" s="8">
        <v>0.38</v>
      </c>
      <c r="C184" s="15">
        <v>0.62</v>
      </c>
      <c r="D184" s="8">
        <v>0.75</v>
      </c>
      <c r="E184" s="10" t="s">
        <v>294</v>
      </c>
      <c r="F184" s="11" t="s">
        <v>225</v>
      </c>
      <c r="G184" s="12" t="s">
        <v>342</v>
      </c>
      <c r="H184" s="13" t="s">
        <v>216</v>
      </c>
      <c r="I184" s="14">
        <v>8</v>
      </c>
      <c r="J184" s="14" t="s">
        <v>10</v>
      </c>
      <c r="K184" s="5" t="s">
        <v>797</v>
      </c>
      <c r="L184" s="6">
        <v>0.54166666666666663</v>
      </c>
      <c r="M184" s="7" t="s">
        <v>798</v>
      </c>
      <c r="N184" s="14" t="s">
        <v>11</v>
      </c>
      <c r="O184" s="14">
        <v>7</v>
      </c>
      <c r="P184" s="13" t="s">
        <v>216</v>
      </c>
      <c r="Q184" s="12" t="s">
        <v>297</v>
      </c>
      <c r="R184" s="11" t="s">
        <v>216</v>
      </c>
      <c r="S184" s="10" t="s">
        <v>389</v>
      </c>
      <c r="T184" s="8">
        <v>0.71</v>
      </c>
      <c r="U184" s="15">
        <v>0.56999999999999995</v>
      </c>
      <c r="V184" s="8">
        <v>0.43</v>
      </c>
      <c r="W184" s="17"/>
      <c r="X184" s="65">
        <v>46250</v>
      </c>
    </row>
    <row r="185" spans="1:24" ht="13.8" thickBot="1" x14ac:dyDescent="0.3">
      <c r="A185" s="4" t="s">
        <v>92</v>
      </c>
      <c r="B185" s="8">
        <v>0</v>
      </c>
      <c r="C185" s="9">
        <v>0.28999999999999998</v>
      </c>
      <c r="D185" s="8">
        <v>0.56999999999999995</v>
      </c>
      <c r="E185" s="10" t="s">
        <v>393</v>
      </c>
      <c r="F185" s="11" t="s">
        <v>350</v>
      </c>
      <c r="G185" s="12" t="s">
        <v>352</v>
      </c>
      <c r="H185" s="13" t="s">
        <v>216</v>
      </c>
      <c r="I185" s="14">
        <v>7</v>
      </c>
      <c r="J185" s="14" t="s">
        <v>10</v>
      </c>
      <c r="K185" s="5" t="s">
        <v>799</v>
      </c>
      <c r="L185" s="6">
        <v>0.54166666666666663</v>
      </c>
      <c r="M185" s="7" t="s">
        <v>800</v>
      </c>
      <c r="N185" s="14" t="s">
        <v>11</v>
      </c>
      <c r="O185" s="14">
        <v>8</v>
      </c>
      <c r="P185" s="13" t="s">
        <v>222</v>
      </c>
      <c r="Q185" s="12" t="s">
        <v>221</v>
      </c>
      <c r="R185" s="11" t="s">
        <v>296</v>
      </c>
      <c r="S185" s="10" t="s">
        <v>239</v>
      </c>
      <c r="T185" s="8">
        <v>0.62</v>
      </c>
      <c r="U185" s="15">
        <v>0.62</v>
      </c>
      <c r="V185" s="8">
        <v>0.25</v>
      </c>
      <c r="W185" s="17"/>
      <c r="X185" s="65">
        <v>46250</v>
      </c>
    </row>
    <row r="186" spans="1:24" ht="13.8" thickBot="1" x14ac:dyDescent="0.3">
      <c r="A186" s="4" t="s">
        <v>92</v>
      </c>
      <c r="B186" s="8">
        <v>0.14000000000000001</v>
      </c>
      <c r="C186" s="15">
        <v>0.56999999999999995</v>
      </c>
      <c r="D186" s="8">
        <v>0.86</v>
      </c>
      <c r="E186" s="10" t="s">
        <v>350</v>
      </c>
      <c r="F186" s="11" t="s">
        <v>389</v>
      </c>
      <c r="G186" s="12" t="s">
        <v>424</v>
      </c>
      <c r="H186" s="13" t="s">
        <v>352</v>
      </c>
      <c r="I186" s="14">
        <v>7</v>
      </c>
      <c r="J186" s="14" t="s">
        <v>10</v>
      </c>
      <c r="K186" s="5" t="s">
        <v>195</v>
      </c>
      <c r="L186" s="6">
        <v>0.63541666666666663</v>
      </c>
      <c r="M186" s="7" t="s">
        <v>801</v>
      </c>
      <c r="N186" s="14" t="s">
        <v>11</v>
      </c>
      <c r="O186" s="14">
        <v>8</v>
      </c>
      <c r="P186" s="13" t="s">
        <v>247</v>
      </c>
      <c r="Q186" s="12" t="s">
        <v>221</v>
      </c>
      <c r="R186" s="11" t="s">
        <v>237</v>
      </c>
      <c r="S186" s="10" t="s">
        <v>236</v>
      </c>
      <c r="T186" s="8">
        <v>0.88</v>
      </c>
      <c r="U186" s="9">
        <v>0.5</v>
      </c>
      <c r="V186" s="8">
        <v>0.12</v>
      </c>
      <c r="W186" s="17"/>
      <c r="X186" s="65">
        <v>46250</v>
      </c>
    </row>
    <row r="187" spans="1:24" ht="13.8" thickBot="1" x14ac:dyDescent="0.3">
      <c r="A187" s="4" t="s">
        <v>92</v>
      </c>
      <c r="B187" s="8">
        <v>0.22</v>
      </c>
      <c r="C187" s="15">
        <v>0.56000000000000005</v>
      </c>
      <c r="D187" s="8">
        <v>0.67</v>
      </c>
      <c r="E187" s="10" t="s">
        <v>217</v>
      </c>
      <c r="F187" s="11" t="s">
        <v>343</v>
      </c>
      <c r="G187" s="12" t="s">
        <v>341</v>
      </c>
      <c r="H187" s="13" t="s">
        <v>333</v>
      </c>
      <c r="I187" s="14">
        <v>9</v>
      </c>
      <c r="J187" s="14" t="s">
        <v>10</v>
      </c>
      <c r="K187" s="5" t="s">
        <v>802</v>
      </c>
      <c r="L187" s="6">
        <v>0.54166666666666663</v>
      </c>
      <c r="M187" s="7" t="s">
        <v>803</v>
      </c>
      <c r="N187" s="14" t="s">
        <v>11</v>
      </c>
      <c r="O187" s="14">
        <v>9</v>
      </c>
      <c r="P187" s="13" t="s">
        <v>344</v>
      </c>
      <c r="Q187" s="12" t="s">
        <v>323</v>
      </c>
      <c r="R187" s="11" t="s">
        <v>333</v>
      </c>
      <c r="S187" s="10" t="s">
        <v>284</v>
      </c>
      <c r="T187" s="8">
        <v>0.78</v>
      </c>
      <c r="U187" s="15">
        <v>0.67</v>
      </c>
      <c r="V187" s="8">
        <v>0.56000000000000005</v>
      </c>
      <c r="W187" s="17"/>
      <c r="X187" s="65">
        <v>46250</v>
      </c>
    </row>
    <row r="188" spans="1:24" ht="13.8" thickBot="1" x14ac:dyDescent="0.3">
      <c r="A188" s="4" t="s">
        <v>92</v>
      </c>
      <c r="B188" s="8">
        <v>0.38</v>
      </c>
      <c r="C188" s="15">
        <v>0.75</v>
      </c>
      <c r="D188" s="8">
        <v>0.88</v>
      </c>
      <c r="E188" s="10" t="s">
        <v>220</v>
      </c>
      <c r="F188" s="11" t="s">
        <v>236</v>
      </c>
      <c r="G188" s="12" t="s">
        <v>342</v>
      </c>
      <c r="H188" s="13" t="s">
        <v>216</v>
      </c>
      <c r="I188" s="14">
        <v>8</v>
      </c>
      <c r="J188" s="14" t="s">
        <v>10</v>
      </c>
      <c r="K188" s="5" t="s">
        <v>804</v>
      </c>
      <c r="L188" s="6">
        <v>0.54166666666666663</v>
      </c>
      <c r="M188" s="7" t="s">
        <v>805</v>
      </c>
      <c r="N188" s="14" t="s">
        <v>11</v>
      </c>
      <c r="O188" s="14">
        <v>8</v>
      </c>
      <c r="P188" s="13" t="s">
        <v>296</v>
      </c>
      <c r="Q188" s="12" t="s">
        <v>411</v>
      </c>
      <c r="R188" s="11" t="s">
        <v>220</v>
      </c>
      <c r="S188" s="10" t="s">
        <v>225</v>
      </c>
      <c r="T188" s="8">
        <v>0.75</v>
      </c>
      <c r="U188" s="15">
        <v>0.62</v>
      </c>
      <c r="V188" s="8">
        <v>0.5</v>
      </c>
      <c r="W188" s="17"/>
      <c r="X188" s="65">
        <v>46250</v>
      </c>
    </row>
    <row r="189" spans="1:24" ht="13.8" thickBot="1" x14ac:dyDescent="0.3">
      <c r="A189" s="4" t="s">
        <v>92</v>
      </c>
      <c r="B189" s="8">
        <v>0.62</v>
      </c>
      <c r="C189" s="15">
        <v>1</v>
      </c>
      <c r="D189" s="8">
        <v>1</v>
      </c>
      <c r="E189" s="10" t="s">
        <v>239</v>
      </c>
      <c r="F189" s="11" t="s">
        <v>218</v>
      </c>
      <c r="G189" s="12" t="s">
        <v>413</v>
      </c>
      <c r="H189" s="13" t="s">
        <v>295</v>
      </c>
      <c r="I189" s="14">
        <v>8</v>
      </c>
      <c r="J189" s="14" t="s">
        <v>10</v>
      </c>
      <c r="K189" s="5" t="s">
        <v>806</v>
      </c>
      <c r="L189" s="6">
        <v>0.54166666666666663</v>
      </c>
      <c r="M189" s="7" t="s">
        <v>807</v>
      </c>
      <c r="N189" s="14" t="s">
        <v>11</v>
      </c>
      <c r="O189" s="14">
        <v>9</v>
      </c>
      <c r="P189" s="13" t="s">
        <v>216</v>
      </c>
      <c r="Q189" s="12" t="s">
        <v>808</v>
      </c>
      <c r="R189" s="11" t="s">
        <v>386</v>
      </c>
      <c r="S189" s="10" t="s">
        <v>387</v>
      </c>
      <c r="T189" s="8">
        <v>1</v>
      </c>
      <c r="U189" s="15">
        <v>0.89</v>
      </c>
      <c r="V189" s="8">
        <v>0.89</v>
      </c>
      <c r="W189" s="17"/>
      <c r="X189" s="65">
        <v>46250</v>
      </c>
    </row>
    <row r="190" spans="1:24" ht="13.8" thickBot="1" x14ac:dyDescent="0.3">
      <c r="A190" s="4" t="s">
        <v>92</v>
      </c>
      <c r="B190" s="8">
        <v>0.38</v>
      </c>
      <c r="C190" s="9">
        <v>0.5</v>
      </c>
      <c r="D190" s="8">
        <v>0.75</v>
      </c>
      <c r="E190" s="10" t="s">
        <v>220</v>
      </c>
      <c r="F190" s="11" t="s">
        <v>220</v>
      </c>
      <c r="G190" s="12" t="s">
        <v>218</v>
      </c>
      <c r="H190" s="13" t="s">
        <v>293</v>
      </c>
      <c r="I190" s="14">
        <v>8</v>
      </c>
      <c r="J190" s="14" t="s">
        <v>10</v>
      </c>
      <c r="K190" s="5" t="s">
        <v>809</v>
      </c>
      <c r="L190" s="6">
        <v>0.54166666666666663</v>
      </c>
      <c r="M190" s="7" t="s">
        <v>810</v>
      </c>
      <c r="N190" s="14" t="s">
        <v>11</v>
      </c>
      <c r="O190" s="14">
        <v>8</v>
      </c>
      <c r="P190" s="13" t="s">
        <v>398</v>
      </c>
      <c r="Q190" s="12" t="s">
        <v>342</v>
      </c>
      <c r="R190" s="11" t="s">
        <v>237</v>
      </c>
      <c r="S190" s="10" t="s">
        <v>330</v>
      </c>
      <c r="T190" s="8">
        <v>0.75</v>
      </c>
      <c r="U190" s="9">
        <v>0.5</v>
      </c>
      <c r="V190" s="8">
        <v>0.5</v>
      </c>
      <c r="W190" s="17"/>
      <c r="X190" s="65">
        <v>46250</v>
      </c>
    </row>
    <row r="191" spans="1:24" ht="13.8" thickBot="1" x14ac:dyDescent="0.3">
      <c r="A191" s="4" t="s">
        <v>92</v>
      </c>
      <c r="B191" s="8">
        <v>0.62</v>
      </c>
      <c r="C191" s="15">
        <v>0.75</v>
      </c>
      <c r="D191" s="8">
        <v>1</v>
      </c>
      <c r="E191" s="10" t="s">
        <v>216</v>
      </c>
      <c r="F191" s="11" t="s">
        <v>225</v>
      </c>
      <c r="G191" s="12" t="s">
        <v>412</v>
      </c>
      <c r="H191" s="13" t="s">
        <v>239</v>
      </c>
      <c r="I191" s="14">
        <v>8</v>
      </c>
      <c r="J191" s="14" t="s">
        <v>10</v>
      </c>
      <c r="K191" s="5" t="s">
        <v>811</v>
      </c>
      <c r="L191" s="6">
        <v>0.54166666666666663</v>
      </c>
      <c r="M191" s="7" t="s">
        <v>812</v>
      </c>
      <c r="N191" s="14" t="s">
        <v>11</v>
      </c>
      <c r="O191" s="14">
        <v>8</v>
      </c>
      <c r="P191" s="13" t="s">
        <v>296</v>
      </c>
      <c r="Q191" s="12" t="s">
        <v>218</v>
      </c>
      <c r="R191" s="11" t="s">
        <v>294</v>
      </c>
      <c r="S191" s="10" t="s">
        <v>236</v>
      </c>
      <c r="T191" s="8">
        <v>1</v>
      </c>
      <c r="U191" s="9">
        <v>0.38</v>
      </c>
      <c r="V191" s="8">
        <v>0.25</v>
      </c>
      <c r="W191" s="17"/>
      <c r="X191" s="65">
        <v>46250</v>
      </c>
    </row>
    <row r="192" spans="1:24" ht="13.8" thickBot="1" x14ac:dyDescent="0.3">
      <c r="A192" s="4" t="s">
        <v>92</v>
      </c>
      <c r="B192" s="8">
        <v>0.71</v>
      </c>
      <c r="C192" s="15">
        <v>0.71</v>
      </c>
      <c r="D192" s="8">
        <v>0.71</v>
      </c>
      <c r="E192" s="10" t="s">
        <v>424</v>
      </c>
      <c r="F192" s="11" t="s">
        <v>400</v>
      </c>
      <c r="G192" s="12" t="s">
        <v>425</v>
      </c>
      <c r="H192" s="13" t="s">
        <v>292</v>
      </c>
      <c r="I192" s="14">
        <v>7</v>
      </c>
      <c r="J192" s="14" t="s">
        <v>10</v>
      </c>
      <c r="K192" s="5" t="s">
        <v>434</v>
      </c>
      <c r="L192" s="6">
        <v>0.41666666666666669</v>
      </c>
      <c r="M192" s="7" t="s">
        <v>813</v>
      </c>
      <c r="N192" s="14" t="s">
        <v>11</v>
      </c>
      <c r="O192" s="14">
        <v>8</v>
      </c>
      <c r="P192" s="13" t="s">
        <v>295</v>
      </c>
      <c r="Q192" s="12" t="s">
        <v>342</v>
      </c>
      <c r="R192" s="11" t="s">
        <v>225</v>
      </c>
      <c r="S192" s="10" t="s">
        <v>294</v>
      </c>
      <c r="T192" s="8">
        <v>0.88</v>
      </c>
      <c r="U192" s="15">
        <v>0.88</v>
      </c>
      <c r="V192" s="8">
        <v>0.5</v>
      </c>
      <c r="W192" s="17"/>
      <c r="X192" s="65">
        <v>46250</v>
      </c>
    </row>
    <row r="193" spans="1:24" ht="19.8" thickBot="1" x14ac:dyDescent="0.3">
      <c r="A193" s="4" t="s">
        <v>92</v>
      </c>
      <c r="B193" s="8">
        <v>0.12</v>
      </c>
      <c r="C193" s="9">
        <v>0.38</v>
      </c>
      <c r="D193" s="8">
        <v>0.62</v>
      </c>
      <c r="E193" s="10" t="s">
        <v>286</v>
      </c>
      <c r="F193" s="11" t="s">
        <v>296</v>
      </c>
      <c r="G193" s="12" t="s">
        <v>225</v>
      </c>
      <c r="H193" s="13" t="s">
        <v>217</v>
      </c>
      <c r="I193" s="14">
        <v>8</v>
      </c>
      <c r="J193" s="14" t="s">
        <v>10</v>
      </c>
      <c r="K193" s="5" t="s">
        <v>814</v>
      </c>
      <c r="L193" s="6">
        <v>0.4375</v>
      </c>
      <c r="M193" s="7" t="s">
        <v>815</v>
      </c>
      <c r="N193" s="14" t="s">
        <v>11</v>
      </c>
      <c r="O193" s="14">
        <v>7</v>
      </c>
      <c r="P193" s="13" t="s">
        <v>291</v>
      </c>
      <c r="Q193" s="12" t="s">
        <v>399</v>
      </c>
      <c r="R193" s="11" t="s">
        <v>400</v>
      </c>
      <c r="S193" s="10" t="s">
        <v>217</v>
      </c>
      <c r="T193" s="8">
        <v>0.71</v>
      </c>
      <c r="U193" s="15">
        <v>0.56999999999999995</v>
      </c>
      <c r="V193" s="8">
        <v>0.28999999999999998</v>
      </c>
      <c r="W193" s="17"/>
      <c r="X193" s="65">
        <v>46250</v>
      </c>
    </row>
    <row r="194" spans="1:24" ht="13.8" thickBot="1" x14ac:dyDescent="0.3">
      <c r="A194" s="4" t="s">
        <v>92</v>
      </c>
      <c r="B194" s="8">
        <v>0.56999999999999995</v>
      </c>
      <c r="C194" s="15">
        <v>0.86</v>
      </c>
      <c r="D194" s="8">
        <v>0.86</v>
      </c>
      <c r="E194" s="10" t="s">
        <v>350</v>
      </c>
      <c r="F194" s="11" t="s">
        <v>354</v>
      </c>
      <c r="G194" s="12" t="s">
        <v>396</v>
      </c>
      <c r="H194" s="13" t="s">
        <v>389</v>
      </c>
      <c r="I194" s="14">
        <v>7</v>
      </c>
      <c r="J194" s="14" t="s">
        <v>10</v>
      </c>
      <c r="K194" s="5" t="s">
        <v>816</v>
      </c>
      <c r="L194" s="6">
        <v>0.5</v>
      </c>
      <c r="M194" s="7" t="s">
        <v>817</v>
      </c>
      <c r="N194" s="14" t="s">
        <v>11</v>
      </c>
      <c r="O194" s="14">
        <v>7</v>
      </c>
      <c r="P194" s="13" t="s">
        <v>395</v>
      </c>
      <c r="Q194" s="12" t="s">
        <v>399</v>
      </c>
      <c r="R194" s="11" t="s">
        <v>290</v>
      </c>
      <c r="S194" s="10" t="s">
        <v>389</v>
      </c>
      <c r="T194" s="8">
        <v>0.71</v>
      </c>
      <c r="U194" s="9">
        <v>0.43</v>
      </c>
      <c r="V194" s="8">
        <v>0.28999999999999998</v>
      </c>
      <c r="W194" s="17"/>
      <c r="X194" s="65">
        <v>46250</v>
      </c>
    </row>
    <row r="195" spans="1:24" ht="13.8" thickBot="1" x14ac:dyDescent="0.3">
      <c r="A195" s="4" t="s">
        <v>92</v>
      </c>
      <c r="B195" s="8">
        <v>0.38</v>
      </c>
      <c r="C195" s="15">
        <v>0.62</v>
      </c>
      <c r="D195" s="8">
        <v>0.88</v>
      </c>
      <c r="E195" s="10" t="s">
        <v>216</v>
      </c>
      <c r="F195" s="11" t="s">
        <v>294</v>
      </c>
      <c r="G195" s="12" t="s">
        <v>332</v>
      </c>
      <c r="H195" s="13" t="s">
        <v>247</v>
      </c>
      <c r="I195" s="14">
        <v>8</v>
      </c>
      <c r="J195" s="14" t="s">
        <v>10</v>
      </c>
      <c r="K195" s="5" t="s">
        <v>818</v>
      </c>
      <c r="L195" s="6">
        <v>0.375</v>
      </c>
      <c r="M195" s="7" t="s">
        <v>819</v>
      </c>
      <c r="N195" s="14" t="s">
        <v>11</v>
      </c>
      <c r="O195" s="14">
        <v>7</v>
      </c>
      <c r="P195" s="13" t="s">
        <v>217</v>
      </c>
      <c r="Q195" s="12" t="s">
        <v>425</v>
      </c>
      <c r="R195" s="11" t="s">
        <v>352</v>
      </c>
      <c r="S195" s="10" t="s">
        <v>354</v>
      </c>
      <c r="T195" s="8">
        <v>1</v>
      </c>
      <c r="U195" s="15">
        <v>1</v>
      </c>
      <c r="V195" s="8">
        <v>0.56999999999999995</v>
      </c>
      <c r="W195" s="17"/>
      <c r="X195" s="65">
        <v>46250</v>
      </c>
    </row>
    <row r="196" spans="1:24" ht="13.8" thickBot="1" x14ac:dyDescent="0.3">
      <c r="A196" s="4" t="s">
        <v>92</v>
      </c>
      <c r="B196" s="8">
        <v>0.56999999999999995</v>
      </c>
      <c r="C196" s="15">
        <v>1</v>
      </c>
      <c r="D196" s="8">
        <v>1</v>
      </c>
      <c r="E196" s="10" t="s">
        <v>397</v>
      </c>
      <c r="F196" s="11" t="s">
        <v>352</v>
      </c>
      <c r="G196" s="12" t="s">
        <v>820</v>
      </c>
      <c r="H196" s="13" t="s">
        <v>292</v>
      </c>
      <c r="I196" s="14">
        <v>7</v>
      </c>
      <c r="J196" s="14" t="s">
        <v>10</v>
      </c>
      <c r="K196" s="5" t="s">
        <v>821</v>
      </c>
      <c r="L196" s="6">
        <v>0.41666666666666669</v>
      </c>
      <c r="M196" s="7" t="s">
        <v>822</v>
      </c>
      <c r="N196" s="14" t="s">
        <v>11</v>
      </c>
      <c r="O196" s="14">
        <v>8</v>
      </c>
      <c r="P196" s="13" t="s">
        <v>347</v>
      </c>
      <c r="Q196" s="12" t="s">
        <v>411</v>
      </c>
      <c r="R196" s="11" t="s">
        <v>217</v>
      </c>
      <c r="S196" s="10" t="s">
        <v>330</v>
      </c>
      <c r="T196" s="8">
        <v>0.88</v>
      </c>
      <c r="U196" s="15">
        <v>0.88</v>
      </c>
      <c r="V196" s="8">
        <v>0.38</v>
      </c>
      <c r="W196" s="17"/>
      <c r="X196" s="65">
        <v>46250</v>
      </c>
    </row>
    <row r="197" spans="1:24" ht="13.8" thickBot="1" x14ac:dyDescent="0.3">
      <c r="A197" s="4" t="s">
        <v>92</v>
      </c>
      <c r="B197" s="8">
        <v>0.43</v>
      </c>
      <c r="C197" s="15">
        <v>0.71</v>
      </c>
      <c r="D197" s="8">
        <v>0.86</v>
      </c>
      <c r="E197" s="10" t="s">
        <v>352</v>
      </c>
      <c r="F197" s="11" t="s">
        <v>390</v>
      </c>
      <c r="G197" s="12" t="s">
        <v>823</v>
      </c>
      <c r="H197" s="13" t="s">
        <v>389</v>
      </c>
      <c r="I197" s="14">
        <v>7</v>
      </c>
      <c r="J197" s="14" t="s">
        <v>10</v>
      </c>
      <c r="K197" s="5" t="s">
        <v>824</v>
      </c>
      <c r="L197" s="6">
        <v>0.45833333333333331</v>
      </c>
      <c r="M197" s="7" t="s">
        <v>825</v>
      </c>
      <c r="N197" s="14" t="s">
        <v>11</v>
      </c>
      <c r="O197" s="14">
        <v>8</v>
      </c>
      <c r="P197" s="13" t="s">
        <v>225</v>
      </c>
      <c r="Q197" s="12" t="s">
        <v>346</v>
      </c>
      <c r="R197" s="11" t="s">
        <v>236</v>
      </c>
      <c r="S197" s="10" t="s">
        <v>286</v>
      </c>
      <c r="T197" s="8">
        <v>0.75</v>
      </c>
      <c r="U197" s="15">
        <v>0.62</v>
      </c>
      <c r="V197" s="8">
        <v>0.5</v>
      </c>
      <c r="W197" s="17"/>
      <c r="X197" s="65">
        <v>46250</v>
      </c>
    </row>
    <row r="198" spans="1:24" ht="19.8" thickBot="1" x14ac:dyDescent="0.3">
      <c r="A198" s="4" t="s">
        <v>92</v>
      </c>
      <c r="B198" s="8">
        <v>0.14000000000000001</v>
      </c>
      <c r="C198" s="15">
        <v>0.56999999999999995</v>
      </c>
      <c r="D198" s="8">
        <v>0.86</v>
      </c>
      <c r="E198" s="10" t="s">
        <v>389</v>
      </c>
      <c r="F198" s="11" t="s">
        <v>389</v>
      </c>
      <c r="G198" s="12" t="s">
        <v>397</v>
      </c>
      <c r="H198" s="13" t="s">
        <v>350</v>
      </c>
      <c r="I198" s="14">
        <v>7</v>
      </c>
      <c r="J198" s="14" t="s">
        <v>10</v>
      </c>
      <c r="K198" s="5" t="s">
        <v>826</v>
      </c>
      <c r="L198" s="6">
        <v>0.47916666666666669</v>
      </c>
      <c r="M198" s="7" t="s">
        <v>827</v>
      </c>
      <c r="N198" s="14" t="s">
        <v>11</v>
      </c>
      <c r="O198" s="14">
        <v>7</v>
      </c>
      <c r="P198" s="13" t="s">
        <v>352</v>
      </c>
      <c r="Q198" s="12" t="s">
        <v>425</v>
      </c>
      <c r="R198" s="11" t="s">
        <v>399</v>
      </c>
      <c r="S198" s="10" t="s">
        <v>395</v>
      </c>
      <c r="T198" s="8">
        <v>1</v>
      </c>
      <c r="U198" s="15">
        <v>1</v>
      </c>
      <c r="V198" s="8">
        <v>0.71</v>
      </c>
      <c r="W198" s="17"/>
      <c r="X198" s="65">
        <v>46250</v>
      </c>
    </row>
    <row r="199" spans="1:24" ht="13.8" thickBot="1" x14ac:dyDescent="0.3">
      <c r="A199" s="4" t="s">
        <v>92</v>
      </c>
      <c r="B199" s="8">
        <v>0.28999999999999998</v>
      </c>
      <c r="C199" s="15">
        <v>0.56999999999999995</v>
      </c>
      <c r="D199" s="8">
        <v>0.56999999999999995</v>
      </c>
      <c r="E199" s="10" t="s">
        <v>217</v>
      </c>
      <c r="F199" s="11" t="s">
        <v>395</v>
      </c>
      <c r="G199" s="12" t="s">
        <v>424</v>
      </c>
      <c r="H199" s="13" t="s">
        <v>352</v>
      </c>
      <c r="I199" s="14">
        <v>7</v>
      </c>
      <c r="J199" s="14" t="s">
        <v>10</v>
      </c>
      <c r="K199" s="5" t="s">
        <v>828</v>
      </c>
      <c r="L199" s="6">
        <v>0.54166666666666663</v>
      </c>
      <c r="M199" s="7" t="s">
        <v>829</v>
      </c>
      <c r="N199" s="14" t="s">
        <v>11</v>
      </c>
      <c r="O199" s="14">
        <v>7</v>
      </c>
      <c r="P199" s="13" t="s">
        <v>389</v>
      </c>
      <c r="Q199" s="12" t="s">
        <v>830</v>
      </c>
      <c r="R199" s="11" t="s">
        <v>395</v>
      </c>
      <c r="S199" s="10" t="s">
        <v>390</v>
      </c>
      <c r="T199" s="8">
        <v>1</v>
      </c>
      <c r="U199" s="15">
        <v>0.86</v>
      </c>
      <c r="V199" s="8">
        <v>0.43</v>
      </c>
      <c r="W199" s="17"/>
      <c r="X199" s="65">
        <v>46250</v>
      </c>
    </row>
    <row r="200" spans="1:24" ht="13.8" thickBot="1" x14ac:dyDescent="0.3">
      <c r="A200" s="4" t="s">
        <v>92</v>
      </c>
      <c r="B200" s="8">
        <v>0.62</v>
      </c>
      <c r="C200" s="15">
        <v>0.88</v>
      </c>
      <c r="D200" s="8">
        <v>0.88</v>
      </c>
      <c r="E200" s="10" t="s">
        <v>220</v>
      </c>
      <c r="F200" s="11" t="s">
        <v>225</v>
      </c>
      <c r="G200" s="12" t="s">
        <v>411</v>
      </c>
      <c r="H200" s="13" t="s">
        <v>225</v>
      </c>
      <c r="I200" s="14">
        <v>8</v>
      </c>
      <c r="J200" s="14" t="s">
        <v>10</v>
      </c>
      <c r="K200" s="5" t="s">
        <v>831</v>
      </c>
      <c r="L200" s="6">
        <v>0.54166666666666663</v>
      </c>
      <c r="M200" s="7" t="s">
        <v>832</v>
      </c>
      <c r="N200" s="14" t="s">
        <v>11</v>
      </c>
      <c r="O200" s="14">
        <v>7</v>
      </c>
      <c r="P200" s="13" t="s">
        <v>353</v>
      </c>
      <c r="Q200" s="12" t="s">
        <v>399</v>
      </c>
      <c r="R200" s="11" t="s">
        <v>353</v>
      </c>
      <c r="S200" s="10" t="s">
        <v>291</v>
      </c>
      <c r="T200" s="8">
        <v>0.86</v>
      </c>
      <c r="U200" s="15">
        <v>0.56999999999999995</v>
      </c>
      <c r="V200" s="8">
        <v>0.14000000000000001</v>
      </c>
      <c r="W200" s="17"/>
      <c r="X200" s="65">
        <v>46250</v>
      </c>
    </row>
    <row r="201" spans="1:24" ht="19.8" thickBot="1" x14ac:dyDescent="0.3">
      <c r="A201" s="4" t="s">
        <v>336</v>
      </c>
      <c r="B201" s="8">
        <v>0</v>
      </c>
      <c r="C201" s="15">
        <v>1</v>
      </c>
      <c r="D201" s="8">
        <v>1</v>
      </c>
      <c r="E201" s="10" t="s">
        <v>217</v>
      </c>
      <c r="F201" s="11" t="s">
        <v>216</v>
      </c>
      <c r="G201" s="12" t="s">
        <v>218</v>
      </c>
      <c r="H201" s="13" t="s">
        <v>220</v>
      </c>
      <c r="I201" s="14">
        <v>2</v>
      </c>
      <c r="J201" s="14" t="s">
        <v>10</v>
      </c>
      <c r="K201" s="5" t="s">
        <v>833</v>
      </c>
      <c r="L201" s="6">
        <v>0.45833333333333331</v>
      </c>
      <c r="M201" s="7" t="s">
        <v>366</v>
      </c>
      <c r="N201" s="14" t="s">
        <v>11</v>
      </c>
      <c r="O201" s="14">
        <v>2</v>
      </c>
      <c r="P201" s="13" t="s">
        <v>247</v>
      </c>
      <c r="Q201" s="12" t="s">
        <v>221</v>
      </c>
      <c r="R201" s="11" t="s">
        <v>247</v>
      </c>
      <c r="S201" s="10" t="s">
        <v>216</v>
      </c>
      <c r="T201" s="8">
        <v>1</v>
      </c>
      <c r="U201" s="9">
        <v>0.5</v>
      </c>
      <c r="V201" s="8">
        <v>0</v>
      </c>
      <c r="W201" s="17"/>
      <c r="X201" s="65">
        <v>46250</v>
      </c>
    </row>
    <row r="202" spans="1:24" ht="13.8" thickBot="1" x14ac:dyDescent="0.3">
      <c r="A202" s="4" t="s">
        <v>336</v>
      </c>
      <c r="B202" s="8">
        <v>1</v>
      </c>
      <c r="C202" s="15">
        <v>1</v>
      </c>
      <c r="D202" s="8">
        <v>1</v>
      </c>
      <c r="E202" s="10" t="s">
        <v>226</v>
      </c>
      <c r="F202" s="11" t="s">
        <v>217</v>
      </c>
      <c r="G202" s="12" t="s">
        <v>278</v>
      </c>
      <c r="H202" s="13" t="s">
        <v>219</v>
      </c>
      <c r="I202" s="14">
        <v>1</v>
      </c>
      <c r="J202" s="14" t="s">
        <v>10</v>
      </c>
      <c r="K202" s="5" t="s">
        <v>834</v>
      </c>
      <c r="L202" s="6">
        <v>0.70833333333333337</v>
      </c>
      <c r="M202" s="7" t="s">
        <v>404</v>
      </c>
      <c r="N202" s="14" t="s">
        <v>11</v>
      </c>
      <c r="O202" s="14">
        <v>2</v>
      </c>
      <c r="P202" s="13" t="s">
        <v>220</v>
      </c>
      <c r="Q202" s="12" t="s">
        <v>216</v>
      </c>
      <c r="R202" s="11" t="s">
        <v>217</v>
      </c>
      <c r="S202" s="10" t="s">
        <v>217</v>
      </c>
      <c r="T202" s="8">
        <v>0.5</v>
      </c>
      <c r="U202" s="9">
        <v>0.5</v>
      </c>
      <c r="V202" s="8">
        <v>0</v>
      </c>
      <c r="W202" s="17"/>
      <c r="X202" s="65">
        <v>46250</v>
      </c>
    </row>
    <row r="203" spans="1:24" ht="13.8" thickBot="1" x14ac:dyDescent="0.3">
      <c r="A203" s="4" t="s">
        <v>336</v>
      </c>
      <c r="B203" s="8">
        <v>0.5</v>
      </c>
      <c r="C203" s="9">
        <v>0.5</v>
      </c>
      <c r="D203" s="8">
        <v>0.5</v>
      </c>
      <c r="E203" s="10" t="s">
        <v>247</v>
      </c>
      <c r="F203" s="11" t="s">
        <v>221</v>
      </c>
      <c r="G203" s="12" t="s">
        <v>218</v>
      </c>
      <c r="H203" s="13" t="s">
        <v>220</v>
      </c>
      <c r="I203" s="14">
        <v>2</v>
      </c>
      <c r="J203" s="14" t="s">
        <v>10</v>
      </c>
      <c r="K203" s="5" t="s">
        <v>835</v>
      </c>
      <c r="L203" s="6">
        <v>0.8125</v>
      </c>
      <c r="M203" s="7" t="s">
        <v>836</v>
      </c>
      <c r="N203" s="14" t="s">
        <v>11</v>
      </c>
      <c r="O203" s="14">
        <v>1</v>
      </c>
      <c r="P203" s="13" t="s">
        <v>217</v>
      </c>
      <c r="Q203" s="12" t="s">
        <v>216</v>
      </c>
      <c r="R203" s="11" t="s">
        <v>217</v>
      </c>
      <c r="S203" s="10" t="s">
        <v>217</v>
      </c>
      <c r="T203" s="8">
        <v>1</v>
      </c>
      <c r="U203" s="9">
        <v>0</v>
      </c>
      <c r="V203" s="8">
        <v>0</v>
      </c>
      <c r="W203" s="17"/>
      <c r="X203" s="65">
        <v>46250</v>
      </c>
    </row>
    <row r="204" spans="1:24" ht="13.8" thickBot="1" x14ac:dyDescent="0.3">
      <c r="A204" s="4" t="s">
        <v>337</v>
      </c>
      <c r="B204" s="8">
        <v>0</v>
      </c>
      <c r="C204" s="15">
        <v>1</v>
      </c>
      <c r="D204" s="8">
        <v>1</v>
      </c>
      <c r="E204" s="10" t="s">
        <v>216</v>
      </c>
      <c r="F204" s="11" t="s">
        <v>217</v>
      </c>
      <c r="G204" s="12" t="s">
        <v>218</v>
      </c>
      <c r="H204" s="13" t="s">
        <v>219</v>
      </c>
      <c r="I204" s="14">
        <v>1</v>
      </c>
      <c r="J204" s="14" t="s">
        <v>10</v>
      </c>
      <c r="K204" s="5" t="s">
        <v>837</v>
      </c>
      <c r="L204" s="6">
        <v>0.44791666666666669</v>
      </c>
      <c r="M204" s="7" t="s">
        <v>838</v>
      </c>
      <c r="N204" s="14" t="s">
        <v>11</v>
      </c>
      <c r="O204" s="14">
        <v>1</v>
      </c>
      <c r="P204" s="13" t="s">
        <v>219</v>
      </c>
      <c r="Q204" s="12" t="s">
        <v>218</v>
      </c>
      <c r="R204" s="11" t="s">
        <v>217</v>
      </c>
      <c r="S204" s="10" t="s">
        <v>216</v>
      </c>
      <c r="T204" s="8">
        <v>1</v>
      </c>
      <c r="U204" s="15">
        <v>1</v>
      </c>
      <c r="V204" s="8">
        <v>0</v>
      </c>
      <c r="W204" s="17"/>
      <c r="X204" s="65">
        <v>46250</v>
      </c>
    </row>
    <row r="205" spans="1:24" ht="19.8" thickBot="1" x14ac:dyDescent="0.3">
      <c r="A205" s="4" t="s">
        <v>337</v>
      </c>
      <c r="B205" s="8">
        <v>0</v>
      </c>
      <c r="C205" s="9">
        <v>0</v>
      </c>
      <c r="D205" s="8">
        <v>1</v>
      </c>
      <c r="E205" s="10" t="s">
        <v>216</v>
      </c>
      <c r="F205" s="11" t="s">
        <v>219</v>
      </c>
      <c r="G205" s="12" t="s">
        <v>216</v>
      </c>
      <c r="H205" s="13" t="s">
        <v>219</v>
      </c>
      <c r="I205" s="14">
        <v>1</v>
      </c>
      <c r="J205" s="14" t="s">
        <v>10</v>
      </c>
      <c r="K205" s="5" t="s">
        <v>839</v>
      </c>
      <c r="L205" s="6">
        <v>0.5625</v>
      </c>
      <c r="M205" s="7" t="s">
        <v>840</v>
      </c>
      <c r="N205" s="14" t="s">
        <v>11</v>
      </c>
      <c r="O205" s="14">
        <v>1</v>
      </c>
      <c r="P205" s="13" t="s">
        <v>219</v>
      </c>
      <c r="Q205" s="12" t="s">
        <v>218</v>
      </c>
      <c r="R205" s="11" t="s">
        <v>217</v>
      </c>
      <c r="S205" s="10" t="s">
        <v>216</v>
      </c>
      <c r="T205" s="8">
        <v>1</v>
      </c>
      <c r="U205" s="15">
        <v>1</v>
      </c>
      <c r="V205" s="8">
        <v>0</v>
      </c>
      <c r="W205" s="17"/>
      <c r="X205" s="65">
        <v>46250</v>
      </c>
    </row>
    <row r="206" spans="1:24" ht="13.8" thickBot="1" x14ac:dyDescent="0.3">
      <c r="A206" s="4" t="s">
        <v>337</v>
      </c>
      <c r="B206" s="8">
        <v>0</v>
      </c>
      <c r="C206" s="15">
        <v>1</v>
      </c>
      <c r="D206" s="8">
        <v>1</v>
      </c>
      <c r="E206" s="10" t="s">
        <v>217</v>
      </c>
      <c r="F206" s="11" t="s">
        <v>216</v>
      </c>
      <c r="G206" s="12" t="s">
        <v>218</v>
      </c>
      <c r="H206" s="13" t="s">
        <v>218</v>
      </c>
      <c r="I206" s="14">
        <v>1</v>
      </c>
      <c r="J206" s="14" t="s">
        <v>10</v>
      </c>
      <c r="K206" s="5" t="s">
        <v>841</v>
      </c>
      <c r="L206" s="6">
        <v>0.67708333333333337</v>
      </c>
      <c r="M206" s="7" t="s">
        <v>842</v>
      </c>
      <c r="N206" s="14" t="s">
        <v>11</v>
      </c>
      <c r="O206" s="14">
        <v>1</v>
      </c>
      <c r="P206" s="13" t="s">
        <v>219</v>
      </c>
      <c r="Q206" s="12" t="s">
        <v>357</v>
      </c>
      <c r="R206" s="11" t="s">
        <v>218</v>
      </c>
      <c r="S206" s="10" t="s">
        <v>226</v>
      </c>
      <c r="T206" s="8">
        <v>1</v>
      </c>
      <c r="U206" s="15">
        <v>1</v>
      </c>
      <c r="V206" s="8">
        <v>1</v>
      </c>
      <c r="W206" s="17"/>
      <c r="X206" s="65">
        <v>46250</v>
      </c>
    </row>
    <row r="207" spans="1:24" ht="13.8" thickBot="1" x14ac:dyDescent="0.3">
      <c r="A207" s="4" t="s">
        <v>337</v>
      </c>
      <c r="B207" s="8">
        <v>0</v>
      </c>
      <c r="C207" s="9">
        <v>0</v>
      </c>
      <c r="D207" s="8">
        <v>0</v>
      </c>
      <c r="E207" s="10" t="s">
        <v>219</v>
      </c>
      <c r="F207" s="11" t="s">
        <v>219</v>
      </c>
      <c r="G207" s="12" t="s">
        <v>219</v>
      </c>
      <c r="H207" s="13" t="s">
        <v>217</v>
      </c>
      <c r="I207" s="14">
        <v>1</v>
      </c>
      <c r="J207" s="14" t="s">
        <v>10</v>
      </c>
      <c r="K207" s="5" t="s">
        <v>843</v>
      </c>
      <c r="L207" s="6">
        <v>0.67708333333333337</v>
      </c>
      <c r="M207" s="7" t="s">
        <v>844</v>
      </c>
      <c r="N207" s="14" t="s">
        <v>11</v>
      </c>
      <c r="O207" s="14">
        <v>1</v>
      </c>
      <c r="P207" s="13" t="s">
        <v>218</v>
      </c>
      <c r="Q207" s="12" t="s">
        <v>218</v>
      </c>
      <c r="R207" s="11" t="s">
        <v>216</v>
      </c>
      <c r="S207" s="10" t="s">
        <v>217</v>
      </c>
      <c r="T207" s="8">
        <v>1</v>
      </c>
      <c r="U207" s="15">
        <v>1</v>
      </c>
      <c r="V207" s="8">
        <v>0</v>
      </c>
      <c r="W207" s="17"/>
      <c r="X207" s="65">
        <v>46250</v>
      </c>
    </row>
    <row r="208" spans="1:24" ht="13.8" thickBot="1" x14ac:dyDescent="0.3">
      <c r="A208" s="4" t="s">
        <v>337</v>
      </c>
      <c r="B208" s="8">
        <v>0</v>
      </c>
      <c r="C208" s="15">
        <v>1</v>
      </c>
      <c r="D208" s="8">
        <v>1</v>
      </c>
      <c r="E208" s="10" t="s">
        <v>220</v>
      </c>
      <c r="F208" s="11" t="s">
        <v>220</v>
      </c>
      <c r="G208" s="12" t="s">
        <v>218</v>
      </c>
      <c r="H208" s="13" t="s">
        <v>220</v>
      </c>
      <c r="I208" s="14">
        <v>2</v>
      </c>
      <c r="J208" s="14" t="s">
        <v>10</v>
      </c>
      <c r="K208" s="5" t="s">
        <v>845</v>
      </c>
      <c r="L208" s="6">
        <v>0.4375</v>
      </c>
      <c r="M208" s="7" t="s">
        <v>846</v>
      </c>
      <c r="N208" s="14" t="s">
        <v>11</v>
      </c>
      <c r="O208" s="14">
        <v>1</v>
      </c>
      <c r="P208" s="13" t="s">
        <v>218</v>
      </c>
      <c r="Q208" s="12" t="s">
        <v>218</v>
      </c>
      <c r="R208" s="11" t="s">
        <v>216</v>
      </c>
      <c r="S208" s="10" t="s">
        <v>217</v>
      </c>
      <c r="T208" s="8">
        <v>1</v>
      </c>
      <c r="U208" s="15">
        <v>1</v>
      </c>
      <c r="V208" s="8">
        <v>0</v>
      </c>
      <c r="W208" s="17"/>
      <c r="X208" s="65">
        <v>46250</v>
      </c>
    </row>
    <row r="209" spans="1:24" ht="19.8" thickBot="1" x14ac:dyDescent="0.3">
      <c r="A209" s="4" t="s">
        <v>337</v>
      </c>
      <c r="B209" s="8">
        <v>0.5</v>
      </c>
      <c r="C209" s="9">
        <v>0.5</v>
      </c>
      <c r="D209" s="8">
        <v>1</v>
      </c>
      <c r="E209" s="10" t="s">
        <v>216</v>
      </c>
      <c r="F209" s="11" t="s">
        <v>216</v>
      </c>
      <c r="G209" s="12" t="s">
        <v>226</v>
      </c>
      <c r="H209" s="13" t="s">
        <v>217</v>
      </c>
      <c r="I209" s="14">
        <v>2</v>
      </c>
      <c r="J209" s="14" t="s">
        <v>10</v>
      </c>
      <c r="K209" s="5" t="s">
        <v>847</v>
      </c>
      <c r="L209" s="6">
        <v>0.54166666666666663</v>
      </c>
      <c r="M209" s="7" t="s">
        <v>848</v>
      </c>
      <c r="N209" s="14" t="s">
        <v>11</v>
      </c>
      <c r="O209" s="14">
        <v>1</v>
      </c>
      <c r="P209" s="13" t="s">
        <v>219</v>
      </c>
      <c r="Q209" s="12" t="s">
        <v>218</v>
      </c>
      <c r="R209" s="11" t="s">
        <v>217</v>
      </c>
      <c r="S209" s="10" t="s">
        <v>216</v>
      </c>
      <c r="T209" s="8">
        <v>1</v>
      </c>
      <c r="U209" s="15">
        <v>1</v>
      </c>
      <c r="V209" s="8">
        <v>0</v>
      </c>
      <c r="W209" s="17"/>
      <c r="X209" s="65">
        <v>46250</v>
      </c>
    </row>
    <row r="210" spans="1:24" ht="19.8" thickBot="1" x14ac:dyDescent="0.3">
      <c r="A210" s="4" t="s">
        <v>337</v>
      </c>
      <c r="B210" s="8">
        <v>0</v>
      </c>
      <c r="C210" s="9">
        <v>0.5</v>
      </c>
      <c r="D210" s="8">
        <v>1</v>
      </c>
      <c r="E210" s="10" t="s">
        <v>217</v>
      </c>
      <c r="F210" s="11" t="s">
        <v>220</v>
      </c>
      <c r="G210" s="12" t="s">
        <v>221</v>
      </c>
      <c r="H210" s="13" t="s">
        <v>220</v>
      </c>
      <c r="I210" s="14">
        <v>2</v>
      </c>
      <c r="J210" s="14" t="s">
        <v>10</v>
      </c>
      <c r="K210" s="5" t="s">
        <v>849</v>
      </c>
      <c r="L210" s="6">
        <v>0.64583333333333337</v>
      </c>
      <c r="M210" s="7" t="s">
        <v>850</v>
      </c>
      <c r="N210" s="14" t="s">
        <v>11</v>
      </c>
      <c r="O210" s="14">
        <v>1</v>
      </c>
      <c r="P210" s="13" t="s">
        <v>218</v>
      </c>
      <c r="Q210" s="12" t="s">
        <v>216</v>
      </c>
      <c r="R210" s="11" t="s">
        <v>216</v>
      </c>
      <c r="S210" s="10" t="s">
        <v>219</v>
      </c>
      <c r="T210" s="8">
        <v>1</v>
      </c>
      <c r="U210" s="9">
        <v>0</v>
      </c>
      <c r="V210" s="8">
        <v>0</v>
      </c>
      <c r="W210" s="17"/>
      <c r="X210" s="65">
        <v>46250</v>
      </c>
    </row>
    <row r="211" spans="1:24" ht="19.8" thickBot="1" x14ac:dyDescent="0.3">
      <c r="A211" s="4" t="s">
        <v>337</v>
      </c>
      <c r="B211" s="8">
        <v>0</v>
      </c>
      <c r="C211" s="9">
        <v>0.5</v>
      </c>
      <c r="D211" s="8">
        <v>0.5</v>
      </c>
      <c r="E211" s="10" t="s">
        <v>247</v>
      </c>
      <c r="F211" s="11" t="s">
        <v>220</v>
      </c>
      <c r="G211" s="12" t="s">
        <v>216</v>
      </c>
      <c r="H211" s="13" t="s">
        <v>218</v>
      </c>
      <c r="I211" s="14">
        <v>2</v>
      </c>
      <c r="J211" s="14" t="s">
        <v>10</v>
      </c>
      <c r="K211" s="5" t="s">
        <v>430</v>
      </c>
      <c r="L211" s="6">
        <v>0.33333333333333331</v>
      </c>
      <c r="M211" s="7" t="s">
        <v>429</v>
      </c>
      <c r="N211" s="14" t="s">
        <v>11</v>
      </c>
      <c r="O211" s="14">
        <v>3</v>
      </c>
      <c r="P211" s="13" t="s">
        <v>310</v>
      </c>
      <c r="Q211" s="12" t="s">
        <v>349</v>
      </c>
      <c r="R211" s="11" t="s">
        <v>224</v>
      </c>
      <c r="S211" s="10" t="s">
        <v>334</v>
      </c>
      <c r="T211" s="8">
        <v>1</v>
      </c>
      <c r="U211" s="15">
        <v>0.67</v>
      </c>
      <c r="V211" s="8">
        <v>0.67</v>
      </c>
      <c r="W211" s="17"/>
      <c r="X211" s="65">
        <v>46250</v>
      </c>
    </row>
    <row r="212" spans="1:24" ht="19.8" thickBot="1" x14ac:dyDescent="0.3">
      <c r="A212" s="4" t="s">
        <v>337</v>
      </c>
      <c r="B212" s="8">
        <v>0</v>
      </c>
      <c r="C212" s="9">
        <v>0</v>
      </c>
      <c r="D212" s="8">
        <v>0.5</v>
      </c>
      <c r="E212" s="10" t="s">
        <v>247</v>
      </c>
      <c r="F212" s="11" t="s">
        <v>217</v>
      </c>
      <c r="G212" s="12" t="s">
        <v>220</v>
      </c>
      <c r="H212" s="13" t="s">
        <v>216</v>
      </c>
      <c r="I212" s="14">
        <v>2</v>
      </c>
      <c r="J212" s="14" t="s">
        <v>10</v>
      </c>
      <c r="K212" s="5" t="s">
        <v>851</v>
      </c>
      <c r="L212" s="6">
        <v>0.375</v>
      </c>
      <c r="M212" s="7" t="s">
        <v>852</v>
      </c>
      <c r="N212" s="14" t="s">
        <v>11</v>
      </c>
      <c r="O212" s="64"/>
      <c r="P212" s="63"/>
      <c r="Q212" s="63"/>
      <c r="R212" s="63"/>
      <c r="S212" s="63"/>
      <c r="T212" s="63"/>
      <c r="U212" s="63"/>
      <c r="V212" s="63"/>
      <c r="W212" s="17"/>
      <c r="X212" s="65">
        <v>46250</v>
      </c>
    </row>
    <row r="213" spans="1:24" ht="19.8" thickBot="1" x14ac:dyDescent="0.3">
      <c r="A213" s="4" t="s">
        <v>337</v>
      </c>
      <c r="B213" s="8">
        <v>0</v>
      </c>
      <c r="C213" s="15">
        <v>1</v>
      </c>
      <c r="D213" s="8">
        <v>1</v>
      </c>
      <c r="E213" s="10" t="s">
        <v>219</v>
      </c>
      <c r="F213" s="11" t="s">
        <v>218</v>
      </c>
      <c r="G213" s="12" t="s">
        <v>218</v>
      </c>
      <c r="H213" s="13" t="s">
        <v>218</v>
      </c>
      <c r="I213" s="14">
        <v>1</v>
      </c>
      <c r="J213" s="14" t="s">
        <v>10</v>
      </c>
      <c r="K213" s="5" t="s">
        <v>853</v>
      </c>
      <c r="L213" s="6">
        <v>0.5</v>
      </c>
      <c r="M213" s="7" t="s">
        <v>854</v>
      </c>
      <c r="N213" s="14" t="s">
        <v>11</v>
      </c>
      <c r="O213" s="14">
        <v>1</v>
      </c>
      <c r="P213" s="13" t="s">
        <v>219</v>
      </c>
      <c r="Q213" s="12" t="s">
        <v>218</v>
      </c>
      <c r="R213" s="11" t="s">
        <v>217</v>
      </c>
      <c r="S213" s="10" t="s">
        <v>216</v>
      </c>
      <c r="T213" s="8">
        <v>1</v>
      </c>
      <c r="U213" s="15">
        <v>1</v>
      </c>
      <c r="V213" s="8">
        <v>0</v>
      </c>
      <c r="W213" s="17"/>
      <c r="X213" s="65">
        <v>46250</v>
      </c>
    </row>
    <row r="214" spans="1:24" ht="13.8" thickBot="1" x14ac:dyDescent="0.3">
      <c r="A214" s="4" t="s">
        <v>337</v>
      </c>
      <c r="B214" s="8">
        <v>0</v>
      </c>
      <c r="C214" s="15">
        <v>1</v>
      </c>
      <c r="D214" s="8">
        <v>1</v>
      </c>
      <c r="E214" s="10" t="s">
        <v>216</v>
      </c>
      <c r="F214" s="11" t="s">
        <v>217</v>
      </c>
      <c r="G214" s="12" t="s">
        <v>218</v>
      </c>
      <c r="H214" s="13" t="s">
        <v>219</v>
      </c>
      <c r="I214" s="14">
        <v>1</v>
      </c>
      <c r="J214" s="14" t="s">
        <v>10</v>
      </c>
      <c r="K214" s="5" t="s">
        <v>855</v>
      </c>
      <c r="L214" s="6">
        <v>0.64583333333333337</v>
      </c>
      <c r="M214" s="7" t="s">
        <v>856</v>
      </c>
      <c r="N214" s="14" t="s">
        <v>11</v>
      </c>
      <c r="O214" s="14">
        <v>1</v>
      </c>
      <c r="P214" s="13" t="s">
        <v>218</v>
      </c>
      <c r="Q214" s="12" t="s">
        <v>217</v>
      </c>
      <c r="R214" s="11" t="s">
        <v>217</v>
      </c>
      <c r="S214" s="10" t="s">
        <v>219</v>
      </c>
      <c r="T214" s="8">
        <v>0</v>
      </c>
      <c r="U214" s="9">
        <v>0</v>
      </c>
      <c r="V214" s="8">
        <v>0</v>
      </c>
      <c r="W214" s="17"/>
      <c r="X214" s="65">
        <v>46250</v>
      </c>
    </row>
    <row r="215" spans="1:24" ht="19.8" thickBot="1" x14ac:dyDescent="0.3">
      <c r="A215" s="4" t="s">
        <v>243</v>
      </c>
      <c r="B215" s="63"/>
      <c r="C215" s="63"/>
      <c r="D215" s="63"/>
      <c r="E215" s="63"/>
      <c r="F215" s="63"/>
      <c r="G215" s="63"/>
      <c r="H215" s="63"/>
      <c r="I215" s="64"/>
      <c r="J215" s="14" t="s">
        <v>10</v>
      </c>
      <c r="K215" s="5" t="s">
        <v>857</v>
      </c>
      <c r="L215" s="6">
        <v>0.33333333333333331</v>
      </c>
      <c r="M215" s="7" t="s">
        <v>858</v>
      </c>
      <c r="N215" s="14" t="s">
        <v>11</v>
      </c>
      <c r="O215" s="64"/>
      <c r="P215" s="63"/>
      <c r="Q215" s="63"/>
      <c r="R215" s="63"/>
      <c r="S215" s="63"/>
      <c r="T215" s="63"/>
      <c r="U215" s="63"/>
      <c r="V215" s="63"/>
      <c r="W215" s="17"/>
      <c r="X215" s="65">
        <v>46250</v>
      </c>
    </row>
    <row r="216" spans="1:24" ht="13.8" thickBot="1" x14ac:dyDescent="0.3">
      <c r="A216" s="4" t="s">
        <v>243</v>
      </c>
      <c r="B216" s="63"/>
      <c r="C216" s="63"/>
      <c r="D216" s="63"/>
      <c r="E216" s="63"/>
      <c r="F216" s="63"/>
      <c r="G216" s="63"/>
      <c r="H216" s="63"/>
      <c r="I216" s="64"/>
      <c r="J216" s="14" t="s">
        <v>10</v>
      </c>
      <c r="K216" s="5" t="s">
        <v>859</v>
      </c>
      <c r="L216" s="6">
        <v>0.45833333333333331</v>
      </c>
      <c r="M216" s="7" t="s">
        <v>860</v>
      </c>
      <c r="N216" s="14" t="s">
        <v>11</v>
      </c>
      <c r="O216" s="64"/>
      <c r="P216" s="63"/>
      <c r="Q216" s="63"/>
      <c r="R216" s="63"/>
      <c r="S216" s="63"/>
      <c r="T216" s="63"/>
      <c r="U216" s="63"/>
      <c r="V216" s="63"/>
      <c r="W216" s="17"/>
      <c r="X216" s="65">
        <v>46250</v>
      </c>
    </row>
    <row r="217" spans="1:24" ht="13.8" thickBot="1" x14ac:dyDescent="0.3">
      <c r="A217" s="4" t="s">
        <v>243</v>
      </c>
      <c r="B217" s="63"/>
      <c r="C217" s="63"/>
      <c r="D217" s="63"/>
      <c r="E217" s="63"/>
      <c r="F217" s="63"/>
      <c r="G217" s="63"/>
      <c r="H217" s="63"/>
      <c r="I217" s="64"/>
      <c r="J217" s="14" t="s">
        <v>10</v>
      </c>
      <c r="K217" s="5" t="s">
        <v>861</v>
      </c>
      <c r="L217" s="6">
        <v>0.52083333333333337</v>
      </c>
      <c r="M217" s="7" t="s">
        <v>862</v>
      </c>
      <c r="N217" s="14" t="s">
        <v>11</v>
      </c>
      <c r="O217" s="64"/>
      <c r="P217" s="63"/>
      <c r="Q217" s="63"/>
      <c r="R217" s="63"/>
      <c r="S217" s="63"/>
      <c r="T217" s="63"/>
      <c r="U217" s="63"/>
      <c r="V217" s="63"/>
      <c r="W217" s="17"/>
      <c r="X217" s="65">
        <v>46250</v>
      </c>
    </row>
    <row r="218" spans="1:24" ht="13.8" thickBot="1" x14ac:dyDescent="0.3">
      <c r="A218" s="4" t="s">
        <v>243</v>
      </c>
      <c r="B218" s="63"/>
      <c r="C218" s="63"/>
      <c r="D218" s="63"/>
      <c r="E218" s="63"/>
      <c r="F218" s="63"/>
      <c r="G218" s="63"/>
      <c r="H218" s="63"/>
      <c r="I218" s="64"/>
      <c r="J218" s="14" t="s">
        <v>10</v>
      </c>
      <c r="K218" s="5" t="s">
        <v>863</v>
      </c>
      <c r="L218" s="6">
        <v>0.625</v>
      </c>
      <c r="M218" s="7" t="s">
        <v>864</v>
      </c>
      <c r="N218" s="14" t="s">
        <v>11</v>
      </c>
      <c r="O218" s="64"/>
      <c r="P218" s="63"/>
      <c r="Q218" s="63"/>
      <c r="R218" s="63"/>
      <c r="S218" s="63"/>
      <c r="T218" s="63"/>
      <c r="U218" s="63"/>
      <c r="V218" s="63"/>
      <c r="W218" s="17"/>
      <c r="X218" s="65">
        <v>46250</v>
      </c>
    </row>
    <row r="219" spans="1:24" ht="13.8" thickBot="1" x14ac:dyDescent="0.3">
      <c r="A219" s="4" t="s">
        <v>338</v>
      </c>
      <c r="B219" s="8">
        <v>0</v>
      </c>
      <c r="C219" s="9">
        <v>0.5</v>
      </c>
      <c r="D219" s="8">
        <v>1</v>
      </c>
      <c r="E219" s="10" t="s">
        <v>247</v>
      </c>
      <c r="F219" s="11" t="s">
        <v>216</v>
      </c>
      <c r="G219" s="12" t="s">
        <v>221</v>
      </c>
      <c r="H219" s="13" t="s">
        <v>216</v>
      </c>
      <c r="I219" s="14">
        <v>2</v>
      </c>
      <c r="J219" s="14" t="s">
        <v>10</v>
      </c>
      <c r="K219" s="5" t="s">
        <v>865</v>
      </c>
      <c r="L219" s="6">
        <v>0.5625</v>
      </c>
      <c r="M219" s="7" t="s">
        <v>866</v>
      </c>
      <c r="N219" s="14" t="s">
        <v>11</v>
      </c>
      <c r="O219" s="14">
        <v>2</v>
      </c>
      <c r="P219" s="13" t="s">
        <v>219</v>
      </c>
      <c r="Q219" s="12" t="s">
        <v>246</v>
      </c>
      <c r="R219" s="11" t="s">
        <v>217</v>
      </c>
      <c r="S219" s="10" t="s">
        <v>221</v>
      </c>
      <c r="T219" s="8">
        <v>1</v>
      </c>
      <c r="U219" s="15">
        <v>1</v>
      </c>
      <c r="V219" s="8">
        <v>0.5</v>
      </c>
      <c r="W219" s="17"/>
      <c r="X219" s="65">
        <v>46250</v>
      </c>
    </row>
    <row r="220" spans="1:24" ht="13.8" thickBot="1" x14ac:dyDescent="0.3">
      <c r="A220" s="4" t="s">
        <v>338</v>
      </c>
      <c r="B220" s="8">
        <v>0</v>
      </c>
      <c r="C220" s="9">
        <v>0.5</v>
      </c>
      <c r="D220" s="8">
        <v>1</v>
      </c>
      <c r="E220" s="10" t="s">
        <v>217</v>
      </c>
      <c r="F220" s="11" t="s">
        <v>220</v>
      </c>
      <c r="G220" s="12" t="s">
        <v>221</v>
      </c>
      <c r="H220" s="13" t="s">
        <v>216</v>
      </c>
      <c r="I220" s="14">
        <v>2</v>
      </c>
      <c r="J220" s="14" t="s">
        <v>10</v>
      </c>
      <c r="K220" s="5" t="s">
        <v>867</v>
      </c>
      <c r="L220" s="6">
        <v>0.6875</v>
      </c>
      <c r="M220" s="7" t="s">
        <v>868</v>
      </c>
      <c r="N220" s="14" t="s">
        <v>11</v>
      </c>
      <c r="O220" s="14">
        <v>1</v>
      </c>
      <c r="P220" s="13" t="s">
        <v>219</v>
      </c>
      <c r="Q220" s="12" t="s">
        <v>238</v>
      </c>
      <c r="R220" s="11" t="s">
        <v>217</v>
      </c>
      <c r="S220" s="10" t="s">
        <v>278</v>
      </c>
      <c r="T220" s="8">
        <v>1</v>
      </c>
      <c r="U220" s="15">
        <v>1</v>
      </c>
      <c r="V220" s="8">
        <v>1</v>
      </c>
      <c r="W220" s="17"/>
      <c r="X220" s="65">
        <v>46250</v>
      </c>
    </row>
    <row r="221" spans="1:24" ht="19.8" thickBot="1" x14ac:dyDescent="0.3">
      <c r="A221" s="4" t="s">
        <v>339</v>
      </c>
      <c r="B221" s="8">
        <v>0</v>
      </c>
      <c r="C221" s="15">
        <v>1</v>
      </c>
      <c r="D221" s="8">
        <v>1</v>
      </c>
      <c r="E221" s="10" t="s">
        <v>216</v>
      </c>
      <c r="F221" s="11" t="s">
        <v>217</v>
      </c>
      <c r="G221" s="12" t="s">
        <v>218</v>
      </c>
      <c r="H221" s="13" t="s">
        <v>219</v>
      </c>
      <c r="I221" s="14">
        <v>1</v>
      </c>
      <c r="J221" s="14" t="s">
        <v>10</v>
      </c>
      <c r="K221" s="5" t="s">
        <v>869</v>
      </c>
      <c r="L221" s="6">
        <v>0.39583333333333331</v>
      </c>
      <c r="M221" s="7" t="s">
        <v>870</v>
      </c>
      <c r="N221" s="14" t="s">
        <v>11</v>
      </c>
      <c r="O221" s="14">
        <v>1</v>
      </c>
      <c r="P221" s="13" t="s">
        <v>219</v>
      </c>
      <c r="Q221" s="12" t="s">
        <v>218</v>
      </c>
      <c r="R221" s="11" t="s">
        <v>217</v>
      </c>
      <c r="S221" s="10" t="s">
        <v>216</v>
      </c>
      <c r="T221" s="8">
        <v>1</v>
      </c>
      <c r="U221" s="15">
        <v>1</v>
      </c>
      <c r="V221" s="8">
        <v>0</v>
      </c>
      <c r="W221" s="17"/>
      <c r="X221" s="65">
        <v>46250</v>
      </c>
    </row>
    <row r="222" spans="1:24" ht="19.8" thickBot="1" x14ac:dyDescent="0.3">
      <c r="A222" s="4" t="s">
        <v>339</v>
      </c>
      <c r="B222" s="8">
        <v>0</v>
      </c>
      <c r="C222" s="9">
        <v>0</v>
      </c>
      <c r="D222" s="8">
        <v>1</v>
      </c>
      <c r="E222" s="10" t="s">
        <v>216</v>
      </c>
      <c r="F222" s="11" t="s">
        <v>219</v>
      </c>
      <c r="G222" s="12" t="s">
        <v>216</v>
      </c>
      <c r="H222" s="13" t="s">
        <v>219</v>
      </c>
      <c r="I222" s="14">
        <v>1</v>
      </c>
      <c r="J222" s="14" t="s">
        <v>10</v>
      </c>
      <c r="K222" s="5" t="s">
        <v>871</v>
      </c>
      <c r="L222" s="6">
        <v>0.5</v>
      </c>
      <c r="M222" s="7" t="s">
        <v>872</v>
      </c>
      <c r="N222" s="14" t="s">
        <v>11</v>
      </c>
      <c r="O222" s="14">
        <v>2</v>
      </c>
      <c r="P222" s="13" t="s">
        <v>220</v>
      </c>
      <c r="Q222" s="12" t="s">
        <v>246</v>
      </c>
      <c r="R222" s="11" t="s">
        <v>220</v>
      </c>
      <c r="S222" s="10" t="s">
        <v>216</v>
      </c>
      <c r="T222" s="8">
        <v>1</v>
      </c>
      <c r="U222" s="15">
        <v>1</v>
      </c>
      <c r="V222" s="8">
        <v>0.5</v>
      </c>
      <c r="W222" s="17"/>
      <c r="X222" s="65">
        <v>46250</v>
      </c>
    </row>
    <row r="223" spans="1:24" ht="19.8" thickBot="1" x14ac:dyDescent="0.3">
      <c r="A223" s="4" t="s">
        <v>339</v>
      </c>
      <c r="B223" s="8">
        <v>0</v>
      </c>
      <c r="C223" s="15">
        <v>1</v>
      </c>
      <c r="D223" s="8">
        <v>1</v>
      </c>
      <c r="E223" s="10" t="s">
        <v>217</v>
      </c>
      <c r="F223" s="11" t="s">
        <v>216</v>
      </c>
      <c r="G223" s="12" t="s">
        <v>218</v>
      </c>
      <c r="H223" s="13" t="s">
        <v>218</v>
      </c>
      <c r="I223" s="14">
        <v>1</v>
      </c>
      <c r="J223" s="14" t="s">
        <v>10</v>
      </c>
      <c r="K223" s="5" t="s">
        <v>873</v>
      </c>
      <c r="L223" s="6">
        <v>0.60416666666666663</v>
      </c>
      <c r="M223" s="7" t="s">
        <v>874</v>
      </c>
      <c r="N223" s="14" t="s">
        <v>11</v>
      </c>
      <c r="O223" s="14">
        <v>1</v>
      </c>
      <c r="P223" s="13" t="s">
        <v>218</v>
      </c>
      <c r="Q223" s="12" t="s">
        <v>218</v>
      </c>
      <c r="R223" s="11" t="s">
        <v>216</v>
      </c>
      <c r="S223" s="10" t="s">
        <v>217</v>
      </c>
      <c r="T223" s="8">
        <v>1</v>
      </c>
      <c r="U223" s="15">
        <v>1</v>
      </c>
      <c r="V223" s="8">
        <v>0</v>
      </c>
      <c r="W223" s="17"/>
      <c r="X223" s="65">
        <v>46250</v>
      </c>
    </row>
    <row r="224" spans="1:24" ht="19.8" thickBot="1" x14ac:dyDescent="0.3">
      <c r="A224" s="4" t="s">
        <v>431</v>
      </c>
      <c r="B224" s="8">
        <v>1</v>
      </c>
      <c r="C224" s="15">
        <v>1</v>
      </c>
      <c r="D224" s="8">
        <v>1</v>
      </c>
      <c r="E224" s="10" t="s">
        <v>219</v>
      </c>
      <c r="F224" s="11" t="s">
        <v>226</v>
      </c>
      <c r="G224" s="12" t="s">
        <v>226</v>
      </c>
      <c r="H224" s="13" t="s">
        <v>218</v>
      </c>
      <c r="I224" s="14">
        <v>1</v>
      </c>
      <c r="J224" s="14" t="s">
        <v>10</v>
      </c>
      <c r="K224" s="5" t="s">
        <v>875</v>
      </c>
      <c r="L224" s="6">
        <v>0.625</v>
      </c>
      <c r="M224" s="7" t="s">
        <v>876</v>
      </c>
      <c r="N224" s="14" t="s">
        <v>11</v>
      </c>
      <c r="O224" s="14">
        <v>2</v>
      </c>
      <c r="P224" s="13" t="s">
        <v>220</v>
      </c>
      <c r="Q224" s="12" t="s">
        <v>216</v>
      </c>
      <c r="R224" s="11" t="s">
        <v>217</v>
      </c>
      <c r="S224" s="10" t="s">
        <v>217</v>
      </c>
      <c r="T224" s="8">
        <v>0.5</v>
      </c>
      <c r="U224" s="9">
        <v>0.5</v>
      </c>
      <c r="V224" s="8">
        <v>0</v>
      </c>
      <c r="W224" s="17"/>
      <c r="X224" s="65">
        <v>46250</v>
      </c>
    </row>
    <row r="225" spans="1:24" ht="13.8" thickBot="1" x14ac:dyDescent="0.3">
      <c r="A225" s="4" t="s">
        <v>431</v>
      </c>
      <c r="B225" s="8">
        <v>0</v>
      </c>
      <c r="C225" s="15">
        <v>1</v>
      </c>
      <c r="D225" s="8">
        <v>1</v>
      </c>
      <c r="E225" s="10" t="s">
        <v>216</v>
      </c>
      <c r="F225" s="11" t="s">
        <v>217</v>
      </c>
      <c r="G225" s="12" t="s">
        <v>218</v>
      </c>
      <c r="H225" s="13" t="s">
        <v>219</v>
      </c>
      <c r="I225" s="14">
        <v>1</v>
      </c>
      <c r="J225" s="14" t="s">
        <v>10</v>
      </c>
      <c r="K225" s="5" t="s">
        <v>877</v>
      </c>
      <c r="L225" s="6">
        <v>0.70833333333333337</v>
      </c>
      <c r="M225" s="7" t="s">
        <v>878</v>
      </c>
      <c r="N225" s="14" t="s">
        <v>11</v>
      </c>
      <c r="O225" s="14">
        <v>2</v>
      </c>
      <c r="P225" s="13" t="s">
        <v>219</v>
      </c>
      <c r="Q225" s="12" t="s">
        <v>216</v>
      </c>
      <c r="R225" s="11" t="s">
        <v>219</v>
      </c>
      <c r="S225" s="10" t="s">
        <v>216</v>
      </c>
      <c r="T225" s="8">
        <v>0.5</v>
      </c>
      <c r="U225" s="9">
        <v>0.5</v>
      </c>
      <c r="V225" s="8">
        <v>0</v>
      </c>
      <c r="W225" s="17"/>
      <c r="X225" s="65">
        <v>46250</v>
      </c>
    </row>
    <row r="226" spans="1:24" ht="19.8" thickBot="1" x14ac:dyDescent="0.3">
      <c r="A226" s="4" t="s">
        <v>431</v>
      </c>
      <c r="B226" s="8">
        <v>0.5</v>
      </c>
      <c r="C226" s="9">
        <v>0.5</v>
      </c>
      <c r="D226" s="8">
        <v>0.5</v>
      </c>
      <c r="E226" s="10" t="s">
        <v>220</v>
      </c>
      <c r="F226" s="11" t="s">
        <v>217</v>
      </c>
      <c r="G226" s="12" t="s">
        <v>221</v>
      </c>
      <c r="H226" s="13" t="s">
        <v>247</v>
      </c>
      <c r="I226" s="14">
        <v>2</v>
      </c>
      <c r="J226" s="14" t="s">
        <v>10</v>
      </c>
      <c r="K226" s="5" t="s">
        <v>879</v>
      </c>
      <c r="L226" s="6">
        <v>0.70833333333333337</v>
      </c>
      <c r="M226" s="7" t="s">
        <v>880</v>
      </c>
      <c r="N226" s="14" t="s">
        <v>11</v>
      </c>
      <c r="O226" s="14">
        <v>2</v>
      </c>
      <c r="P226" s="13" t="s">
        <v>217</v>
      </c>
      <c r="Q226" s="12" t="s">
        <v>217</v>
      </c>
      <c r="R226" s="11" t="s">
        <v>247</v>
      </c>
      <c r="S226" s="10" t="s">
        <v>247</v>
      </c>
      <c r="T226" s="8">
        <v>0.5</v>
      </c>
      <c r="U226" s="9">
        <v>0</v>
      </c>
      <c r="V226" s="8">
        <v>0</v>
      </c>
      <c r="W226" s="17"/>
      <c r="X226" s="65">
        <v>46250</v>
      </c>
    </row>
    <row r="227" spans="1:24" ht="19.8" thickBot="1" x14ac:dyDescent="0.3">
      <c r="A227" s="4" t="s">
        <v>432</v>
      </c>
      <c r="B227" s="8">
        <v>0</v>
      </c>
      <c r="C227" s="9">
        <v>0.5</v>
      </c>
      <c r="D227" s="8">
        <v>1</v>
      </c>
      <c r="E227" s="10" t="s">
        <v>247</v>
      </c>
      <c r="F227" s="11" t="s">
        <v>216</v>
      </c>
      <c r="G227" s="12" t="s">
        <v>221</v>
      </c>
      <c r="H227" s="13" t="s">
        <v>216</v>
      </c>
      <c r="I227" s="14">
        <v>2</v>
      </c>
      <c r="J227" s="14" t="s">
        <v>10</v>
      </c>
      <c r="K227" s="5" t="s">
        <v>881</v>
      </c>
      <c r="L227" s="6">
        <v>0.54166666666666663</v>
      </c>
      <c r="M227" s="7" t="s">
        <v>882</v>
      </c>
      <c r="N227" s="14" t="s">
        <v>11</v>
      </c>
      <c r="O227" s="14">
        <v>1</v>
      </c>
      <c r="P227" s="13" t="s">
        <v>219</v>
      </c>
      <c r="Q227" s="12" t="s">
        <v>216</v>
      </c>
      <c r="R227" s="11" t="s">
        <v>219</v>
      </c>
      <c r="S227" s="10" t="s">
        <v>216</v>
      </c>
      <c r="T227" s="8">
        <v>1</v>
      </c>
      <c r="U227" s="9">
        <v>0</v>
      </c>
      <c r="V227" s="8">
        <v>0</v>
      </c>
      <c r="W227" s="17"/>
      <c r="X227" s="65">
        <v>46250</v>
      </c>
    </row>
    <row r="228" spans="1:24" ht="13.8" thickBot="1" x14ac:dyDescent="0.3">
      <c r="A228" s="4" t="s">
        <v>432</v>
      </c>
      <c r="B228" s="8">
        <v>0</v>
      </c>
      <c r="C228" s="15">
        <v>1</v>
      </c>
      <c r="D228" s="8">
        <v>1</v>
      </c>
      <c r="E228" s="10" t="s">
        <v>216</v>
      </c>
      <c r="F228" s="11" t="s">
        <v>217</v>
      </c>
      <c r="G228" s="12" t="s">
        <v>218</v>
      </c>
      <c r="H228" s="13" t="s">
        <v>219</v>
      </c>
      <c r="I228" s="14">
        <v>1</v>
      </c>
      <c r="J228" s="14" t="s">
        <v>10</v>
      </c>
      <c r="K228" s="5" t="s">
        <v>883</v>
      </c>
      <c r="L228" s="6">
        <v>0.625</v>
      </c>
      <c r="M228" s="7" t="s">
        <v>884</v>
      </c>
      <c r="N228" s="14" t="s">
        <v>11</v>
      </c>
      <c r="O228" s="14">
        <v>1</v>
      </c>
      <c r="P228" s="13" t="s">
        <v>217</v>
      </c>
      <c r="Q228" s="12" t="s">
        <v>216</v>
      </c>
      <c r="R228" s="11" t="s">
        <v>217</v>
      </c>
      <c r="S228" s="10" t="s">
        <v>217</v>
      </c>
      <c r="T228" s="8">
        <v>1</v>
      </c>
      <c r="U228" s="9">
        <v>0</v>
      </c>
      <c r="V228" s="8">
        <v>0</v>
      </c>
      <c r="W228" s="17"/>
      <c r="X228" s="65">
        <v>46250</v>
      </c>
    </row>
    <row r="229" spans="1:24" ht="13.8" thickBot="1" x14ac:dyDescent="0.3">
      <c r="A229" s="4" t="s">
        <v>432</v>
      </c>
      <c r="B229" s="8">
        <v>0</v>
      </c>
      <c r="C229" s="9">
        <v>0.5</v>
      </c>
      <c r="D229" s="8">
        <v>1</v>
      </c>
      <c r="E229" s="10" t="s">
        <v>216</v>
      </c>
      <c r="F229" s="11" t="s">
        <v>247</v>
      </c>
      <c r="G229" s="12" t="s">
        <v>221</v>
      </c>
      <c r="H229" s="13" t="s">
        <v>219</v>
      </c>
      <c r="I229" s="14">
        <v>2</v>
      </c>
      <c r="J229" s="14" t="s">
        <v>10</v>
      </c>
      <c r="K229" s="5" t="s">
        <v>885</v>
      </c>
      <c r="L229" s="6">
        <v>0.5625</v>
      </c>
      <c r="M229" s="7" t="s">
        <v>886</v>
      </c>
      <c r="N229" s="14" t="s">
        <v>11</v>
      </c>
      <c r="O229" s="14">
        <v>1</v>
      </c>
      <c r="P229" s="13" t="s">
        <v>219</v>
      </c>
      <c r="Q229" s="12" t="s">
        <v>217</v>
      </c>
      <c r="R229" s="11" t="s">
        <v>219</v>
      </c>
      <c r="S229" s="10" t="s">
        <v>217</v>
      </c>
      <c r="T229" s="8">
        <v>0</v>
      </c>
      <c r="U229" s="9">
        <v>0</v>
      </c>
      <c r="V229" s="8">
        <v>0</v>
      </c>
      <c r="W229" s="17"/>
      <c r="X229" s="65">
        <v>46250</v>
      </c>
    </row>
    <row r="230" spans="1:24" ht="13.8" thickBot="1" x14ac:dyDescent="0.3">
      <c r="A230" s="4" t="s">
        <v>432</v>
      </c>
      <c r="B230" s="8">
        <v>0</v>
      </c>
      <c r="C230" s="9">
        <v>0</v>
      </c>
      <c r="D230" s="8">
        <v>1</v>
      </c>
      <c r="E230" s="10" t="s">
        <v>217</v>
      </c>
      <c r="F230" s="11" t="s">
        <v>217</v>
      </c>
      <c r="G230" s="12" t="s">
        <v>216</v>
      </c>
      <c r="H230" s="13" t="s">
        <v>217</v>
      </c>
      <c r="I230" s="14">
        <v>1</v>
      </c>
      <c r="J230" s="14" t="s">
        <v>10</v>
      </c>
      <c r="K230" s="5" t="s">
        <v>887</v>
      </c>
      <c r="L230" s="6">
        <v>0.58333333333333337</v>
      </c>
      <c r="M230" s="7" t="s">
        <v>888</v>
      </c>
      <c r="N230" s="14" t="s">
        <v>11</v>
      </c>
      <c r="O230" s="14">
        <v>2</v>
      </c>
      <c r="P230" s="13" t="s">
        <v>247</v>
      </c>
      <c r="Q230" s="12" t="s">
        <v>254</v>
      </c>
      <c r="R230" s="11" t="s">
        <v>216</v>
      </c>
      <c r="S230" s="10" t="s">
        <v>246</v>
      </c>
      <c r="T230" s="8">
        <v>1</v>
      </c>
      <c r="U230" s="15">
        <v>1</v>
      </c>
      <c r="V230" s="8">
        <v>1</v>
      </c>
      <c r="W230" s="17"/>
      <c r="X230" s="65">
        <v>46250</v>
      </c>
    </row>
    <row r="231" spans="1:24" ht="13.8" thickBot="1" x14ac:dyDescent="0.3">
      <c r="A231" s="4" t="s">
        <v>432</v>
      </c>
      <c r="B231" s="8">
        <v>1</v>
      </c>
      <c r="C231" s="15">
        <v>1</v>
      </c>
      <c r="D231" s="8">
        <v>1</v>
      </c>
      <c r="E231" s="10" t="s">
        <v>216</v>
      </c>
      <c r="F231" s="11" t="s">
        <v>216</v>
      </c>
      <c r="G231" s="12" t="s">
        <v>226</v>
      </c>
      <c r="H231" s="13" t="s">
        <v>217</v>
      </c>
      <c r="I231" s="14">
        <v>1</v>
      </c>
      <c r="J231" s="14" t="s">
        <v>10</v>
      </c>
      <c r="K231" s="5" t="s">
        <v>889</v>
      </c>
      <c r="L231" s="6">
        <v>0.67708333333333337</v>
      </c>
      <c r="M231" s="7" t="s">
        <v>890</v>
      </c>
      <c r="N231" s="14" t="s">
        <v>11</v>
      </c>
      <c r="O231" s="14">
        <v>2</v>
      </c>
      <c r="P231" s="13" t="s">
        <v>218</v>
      </c>
      <c r="Q231" s="12" t="s">
        <v>221</v>
      </c>
      <c r="R231" s="11" t="s">
        <v>216</v>
      </c>
      <c r="S231" s="10" t="s">
        <v>247</v>
      </c>
      <c r="T231" s="8">
        <v>1</v>
      </c>
      <c r="U231" s="9">
        <v>0.5</v>
      </c>
      <c r="V231" s="8">
        <v>0</v>
      </c>
      <c r="W231" s="17"/>
      <c r="X231" s="65">
        <v>46250</v>
      </c>
    </row>
    <row r="232" spans="1:24" ht="19.8" thickBot="1" x14ac:dyDescent="0.3">
      <c r="A232" s="4" t="s">
        <v>196</v>
      </c>
      <c r="B232" s="8">
        <v>0</v>
      </c>
      <c r="C232" s="9">
        <v>0</v>
      </c>
      <c r="D232" s="8">
        <v>1</v>
      </c>
      <c r="E232" s="10" t="s">
        <v>217</v>
      </c>
      <c r="F232" s="11" t="s">
        <v>217</v>
      </c>
      <c r="G232" s="12" t="s">
        <v>216</v>
      </c>
      <c r="H232" s="13" t="s">
        <v>217</v>
      </c>
      <c r="I232" s="14">
        <v>1</v>
      </c>
      <c r="J232" s="14" t="s">
        <v>10</v>
      </c>
      <c r="K232" s="5" t="s">
        <v>891</v>
      </c>
      <c r="L232" s="6">
        <v>0.45833333333333331</v>
      </c>
      <c r="M232" s="7" t="s">
        <v>892</v>
      </c>
      <c r="N232" s="14" t="s">
        <v>11</v>
      </c>
      <c r="O232" s="14">
        <v>1</v>
      </c>
      <c r="P232" s="13" t="s">
        <v>217</v>
      </c>
      <c r="Q232" s="12" t="s">
        <v>216</v>
      </c>
      <c r="R232" s="11" t="s">
        <v>217</v>
      </c>
      <c r="S232" s="10" t="s">
        <v>217</v>
      </c>
      <c r="T232" s="8">
        <v>1</v>
      </c>
      <c r="U232" s="9">
        <v>0</v>
      </c>
      <c r="V232" s="8">
        <v>0</v>
      </c>
      <c r="W232" s="17"/>
      <c r="X232" s="65">
        <v>46250</v>
      </c>
    </row>
    <row r="233" spans="1:24" ht="19.8" thickBot="1" x14ac:dyDescent="0.3">
      <c r="A233" s="4" t="s">
        <v>196</v>
      </c>
      <c r="B233" s="8">
        <v>1</v>
      </c>
      <c r="C233" s="15">
        <v>1</v>
      </c>
      <c r="D233" s="8">
        <v>1</v>
      </c>
      <c r="E233" s="10" t="s">
        <v>218</v>
      </c>
      <c r="F233" s="11" t="s">
        <v>216</v>
      </c>
      <c r="G233" s="12" t="s">
        <v>278</v>
      </c>
      <c r="H233" s="13" t="s">
        <v>219</v>
      </c>
      <c r="I233" s="14">
        <v>1</v>
      </c>
      <c r="J233" s="14" t="s">
        <v>10</v>
      </c>
      <c r="K233" s="5" t="s">
        <v>893</v>
      </c>
      <c r="L233" s="6">
        <v>0.5625</v>
      </c>
      <c r="M233" s="7" t="s">
        <v>894</v>
      </c>
      <c r="N233" s="14" t="s">
        <v>11</v>
      </c>
      <c r="O233" s="14">
        <v>1</v>
      </c>
      <c r="P233" s="13" t="s">
        <v>217</v>
      </c>
      <c r="Q233" s="12" t="s">
        <v>219</v>
      </c>
      <c r="R233" s="11" t="s">
        <v>219</v>
      </c>
      <c r="S233" s="10" t="s">
        <v>219</v>
      </c>
      <c r="T233" s="8">
        <v>0</v>
      </c>
      <c r="U233" s="9">
        <v>0</v>
      </c>
      <c r="V233" s="8">
        <v>0</v>
      </c>
      <c r="W233" s="17"/>
      <c r="X233" s="65">
        <v>46250</v>
      </c>
    </row>
    <row r="234" spans="1:24" ht="13.8" thickBot="1" x14ac:dyDescent="0.3">
      <c r="A234" s="4" t="s">
        <v>196</v>
      </c>
      <c r="B234" s="8">
        <v>0.27</v>
      </c>
      <c r="C234" s="9">
        <v>0.36</v>
      </c>
      <c r="D234" s="8">
        <v>0.64</v>
      </c>
      <c r="E234" s="10" t="s">
        <v>265</v>
      </c>
      <c r="F234" s="11" t="s">
        <v>313</v>
      </c>
      <c r="G234" s="12" t="s">
        <v>315</v>
      </c>
      <c r="H234" s="13" t="s">
        <v>298</v>
      </c>
      <c r="I234" s="14">
        <v>11</v>
      </c>
      <c r="J234" s="14" t="s">
        <v>10</v>
      </c>
      <c r="K234" s="5" t="s">
        <v>895</v>
      </c>
      <c r="L234" s="6">
        <v>0.35416666666666669</v>
      </c>
      <c r="M234" s="7" t="s">
        <v>896</v>
      </c>
      <c r="N234" s="14" t="s">
        <v>11</v>
      </c>
      <c r="O234" s="14">
        <v>11</v>
      </c>
      <c r="P234" s="13" t="s">
        <v>303</v>
      </c>
      <c r="Q234" s="12" t="s">
        <v>303</v>
      </c>
      <c r="R234" s="11" t="s">
        <v>217</v>
      </c>
      <c r="S234" s="10" t="s">
        <v>300</v>
      </c>
      <c r="T234" s="8">
        <v>0.55000000000000004</v>
      </c>
      <c r="U234" s="9">
        <v>0.09</v>
      </c>
      <c r="V234" s="8">
        <v>0.09</v>
      </c>
      <c r="W234" s="17"/>
      <c r="X234" s="65">
        <v>46250</v>
      </c>
    </row>
    <row r="235" spans="1:24" ht="19.8" thickBot="1" x14ac:dyDescent="0.3">
      <c r="A235" s="4" t="s">
        <v>196</v>
      </c>
      <c r="B235" s="8">
        <v>0.18</v>
      </c>
      <c r="C235" s="9">
        <v>0.45</v>
      </c>
      <c r="D235" s="8">
        <v>0.55000000000000004</v>
      </c>
      <c r="E235" s="10" t="s">
        <v>301</v>
      </c>
      <c r="F235" s="11" t="s">
        <v>301</v>
      </c>
      <c r="G235" s="12" t="s">
        <v>314</v>
      </c>
      <c r="H235" s="13" t="s">
        <v>255</v>
      </c>
      <c r="I235" s="14">
        <v>11</v>
      </c>
      <c r="J235" s="14" t="s">
        <v>10</v>
      </c>
      <c r="K235" s="5" t="s">
        <v>897</v>
      </c>
      <c r="L235" s="6">
        <v>0.35416666666666669</v>
      </c>
      <c r="M235" s="7" t="s">
        <v>898</v>
      </c>
      <c r="N235" s="14" t="s">
        <v>11</v>
      </c>
      <c r="O235" s="14">
        <v>11</v>
      </c>
      <c r="P235" s="13" t="s">
        <v>265</v>
      </c>
      <c r="Q235" s="12" t="s">
        <v>314</v>
      </c>
      <c r="R235" s="11" t="s">
        <v>301</v>
      </c>
      <c r="S235" s="10" t="s">
        <v>301</v>
      </c>
      <c r="T235" s="8">
        <v>0.73</v>
      </c>
      <c r="U235" s="9">
        <v>0.27</v>
      </c>
      <c r="V235" s="8">
        <v>0.18</v>
      </c>
      <c r="W235" s="17"/>
      <c r="X235" s="65">
        <v>46250</v>
      </c>
    </row>
    <row r="236" spans="1:24" ht="13.8" thickBot="1" x14ac:dyDescent="0.3">
      <c r="A236" s="4" t="s">
        <v>196</v>
      </c>
      <c r="B236" s="8">
        <v>0.55000000000000004</v>
      </c>
      <c r="C236" s="15">
        <v>0.73</v>
      </c>
      <c r="D236" s="8">
        <v>0.73</v>
      </c>
      <c r="E236" s="10" t="s">
        <v>256</v>
      </c>
      <c r="F236" s="11" t="s">
        <v>256</v>
      </c>
      <c r="G236" s="12" t="s">
        <v>420</v>
      </c>
      <c r="H236" s="13" t="s">
        <v>302</v>
      </c>
      <c r="I236" s="14">
        <v>11</v>
      </c>
      <c r="J236" s="14" t="s">
        <v>10</v>
      </c>
      <c r="K236" s="5" t="s">
        <v>899</v>
      </c>
      <c r="L236" s="6">
        <v>0.35416666666666669</v>
      </c>
      <c r="M236" s="7" t="s">
        <v>900</v>
      </c>
      <c r="N236" s="14" t="s">
        <v>11</v>
      </c>
      <c r="O236" s="14">
        <v>11</v>
      </c>
      <c r="P236" s="13" t="s">
        <v>302</v>
      </c>
      <c r="Q236" s="12" t="s">
        <v>259</v>
      </c>
      <c r="R236" s="11" t="s">
        <v>217</v>
      </c>
      <c r="S236" s="10" t="s">
        <v>298</v>
      </c>
      <c r="T236" s="8">
        <v>0.55000000000000004</v>
      </c>
      <c r="U236" s="9">
        <v>0.36</v>
      </c>
      <c r="V236" s="8">
        <v>0.09</v>
      </c>
      <c r="W236" s="17"/>
      <c r="X236" s="65">
        <v>46250</v>
      </c>
    </row>
    <row r="237" spans="1:24" ht="13.8" thickBot="1" x14ac:dyDescent="0.3">
      <c r="A237" s="4" t="s">
        <v>196</v>
      </c>
      <c r="B237" s="8">
        <v>0.4</v>
      </c>
      <c r="C237" s="15">
        <v>0.7</v>
      </c>
      <c r="D237" s="8">
        <v>0.8</v>
      </c>
      <c r="E237" s="10" t="s">
        <v>227</v>
      </c>
      <c r="F237" s="11" t="s">
        <v>216</v>
      </c>
      <c r="G237" s="12" t="s">
        <v>281</v>
      </c>
      <c r="H237" s="13" t="s">
        <v>249</v>
      </c>
      <c r="I237" s="14">
        <v>10</v>
      </c>
      <c r="J237" s="14" t="s">
        <v>10</v>
      </c>
      <c r="K237" s="5" t="s">
        <v>901</v>
      </c>
      <c r="L237" s="6">
        <v>0.35416666666666669</v>
      </c>
      <c r="M237" s="7" t="s">
        <v>902</v>
      </c>
      <c r="N237" s="14" t="s">
        <v>11</v>
      </c>
      <c r="O237" s="14">
        <v>9</v>
      </c>
      <c r="P237" s="13" t="s">
        <v>217</v>
      </c>
      <c r="Q237" s="12" t="s">
        <v>307</v>
      </c>
      <c r="R237" s="11" t="s">
        <v>228</v>
      </c>
      <c r="S237" s="10" t="s">
        <v>228</v>
      </c>
      <c r="T237" s="8">
        <v>0.56000000000000005</v>
      </c>
      <c r="U237" s="9">
        <v>0.44</v>
      </c>
      <c r="V237" s="8">
        <v>0.33</v>
      </c>
      <c r="W237" s="17"/>
      <c r="X237" s="65">
        <v>46250</v>
      </c>
    </row>
    <row r="238" spans="1:24" ht="13.8" thickBot="1" x14ac:dyDescent="0.3">
      <c r="A238" s="4" t="s">
        <v>196</v>
      </c>
      <c r="B238" s="8">
        <v>0.17</v>
      </c>
      <c r="C238" s="9">
        <v>0.33</v>
      </c>
      <c r="D238" s="8">
        <v>1</v>
      </c>
      <c r="E238" s="10" t="s">
        <v>348</v>
      </c>
      <c r="F238" s="11" t="s">
        <v>224</v>
      </c>
      <c r="G238" s="12" t="s">
        <v>221</v>
      </c>
      <c r="H238" s="13" t="s">
        <v>348</v>
      </c>
      <c r="I238" s="14">
        <v>6</v>
      </c>
      <c r="J238" s="14" t="s">
        <v>10</v>
      </c>
      <c r="K238" s="5" t="s">
        <v>903</v>
      </c>
      <c r="L238" s="6">
        <v>0.35416666666666669</v>
      </c>
      <c r="M238" s="7" t="s">
        <v>904</v>
      </c>
      <c r="N238" s="14" t="s">
        <v>11</v>
      </c>
      <c r="O238" s="14">
        <v>10</v>
      </c>
      <c r="P238" s="13" t="s">
        <v>384</v>
      </c>
      <c r="Q238" s="12" t="s">
        <v>269</v>
      </c>
      <c r="R238" s="11" t="s">
        <v>273</v>
      </c>
      <c r="S238" s="10" t="s">
        <v>216</v>
      </c>
      <c r="T238" s="8">
        <v>0.8</v>
      </c>
      <c r="U238" s="15">
        <v>0.8</v>
      </c>
      <c r="V238" s="8">
        <v>0.6</v>
      </c>
      <c r="W238" s="17"/>
      <c r="X238" s="65">
        <v>46250</v>
      </c>
    </row>
    <row r="239" spans="1:24" ht="13.8" thickBot="1" x14ac:dyDescent="0.3">
      <c r="A239" s="4" t="s">
        <v>196</v>
      </c>
      <c r="B239" s="8">
        <v>0.3</v>
      </c>
      <c r="C239" s="9">
        <v>0.3</v>
      </c>
      <c r="D239" s="8">
        <v>0.4</v>
      </c>
      <c r="E239" s="10" t="s">
        <v>270</v>
      </c>
      <c r="F239" s="11" t="s">
        <v>384</v>
      </c>
      <c r="G239" s="12" t="s">
        <v>216</v>
      </c>
      <c r="H239" s="13" t="s">
        <v>381</v>
      </c>
      <c r="I239" s="14">
        <v>10</v>
      </c>
      <c r="J239" s="14" t="s">
        <v>10</v>
      </c>
      <c r="K239" s="5" t="s">
        <v>905</v>
      </c>
      <c r="L239" s="6">
        <v>0.35416666666666669</v>
      </c>
      <c r="M239" s="7" t="s">
        <v>906</v>
      </c>
      <c r="N239" s="14" t="s">
        <v>11</v>
      </c>
      <c r="O239" s="14">
        <v>9</v>
      </c>
      <c r="P239" s="13" t="s">
        <v>217</v>
      </c>
      <c r="Q239" s="12" t="s">
        <v>230</v>
      </c>
      <c r="R239" s="11" t="s">
        <v>228</v>
      </c>
      <c r="S239" s="10" t="s">
        <v>232</v>
      </c>
      <c r="T239" s="8">
        <v>0.78</v>
      </c>
      <c r="U239" s="9">
        <v>0.44</v>
      </c>
      <c r="V239" s="8">
        <v>0.33</v>
      </c>
      <c r="W239" s="17"/>
      <c r="X239" s="65">
        <v>46250</v>
      </c>
    </row>
    <row r="240" spans="1:24" ht="19.8" thickBot="1" x14ac:dyDescent="0.3">
      <c r="A240" s="4" t="s">
        <v>196</v>
      </c>
      <c r="B240" s="8">
        <v>0.44</v>
      </c>
      <c r="C240" s="15">
        <v>0.89</v>
      </c>
      <c r="D240" s="8">
        <v>0.89</v>
      </c>
      <c r="E240" s="10" t="s">
        <v>229</v>
      </c>
      <c r="F240" s="11" t="s">
        <v>333</v>
      </c>
      <c r="G240" s="12" t="s">
        <v>349</v>
      </c>
      <c r="H240" s="13" t="s">
        <v>343</v>
      </c>
      <c r="I240" s="14">
        <v>9</v>
      </c>
      <c r="J240" s="14" t="s">
        <v>10</v>
      </c>
      <c r="K240" s="5" t="s">
        <v>907</v>
      </c>
      <c r="L240" s="6">
        <v>0.35416666666666669</v>
      </c>
      <c r="M240" s="7" t="s">
        <v>908</v>
      </c>
      <c r="N240" s="14" t="s">
        <v>11</v>
      </c>
      <c r="O240" s="14">
        <v>8</v>
      </c>
      <c r="P240" s="13" t="s">
        <v>286</v>
      </c>
      <c r="Q240" s="12" t="s">
        <v>394</v>
      </c>
      <c r="R240" s="11" t="s">
        <v>217</v>
      </c>
      <c r="S240" s="10" t="s">
        <v>239</v>
      </c>
      <c r="T240" s="8">
        <v>0.75</v>
      </c>
      <c r="U240" s="9">
        <v>0.38</v>
      </c>
      <c r="V240" s="8">
        <v>0.25</v>
      </c>
      <c r="W240" s="17"/>
      <c r="X240" s="65">
        <v>46250</v>
      </c>
    </row>
    <row r="241" spans="1:24" ht="19.8" thickBot="1" x14ac:dyDescent="0.3">
      <c r="A241" s="4" t="s">
        <v>199</v>
      </c>
      <c r="B241" s="8">
        <v>0.14000000000000001</v>
      </c>
      <c r="C241" s="15">
        <v>0.56999999999999995</v>
      </c>
      <c r="D241" s="8">
        <v>0.86</v>
      </c>
      <c r="E241" s="10" t="s">
        <v>389</v>
      </c>
      <c r="F241" s="11" t="s">
        <v>350</v>
      </c>
      <c r="G241" s="12" t="s">
        <v>424</v>
      </c>
      <c r="H241" s="13" t="s">
        <v>292</v>
      </c>
      <c r="I241" s="14">
        <v>7</v>
      </c>
      <c r="J241" s="14" t="s">
        <v>10</v>
      </c>
      <c r="K241" s="5" t="s">
        <v>201</v>
      </c>
      <c r="L241" s="6">
        <v>0.41666666666666669</v>
      </c>
      <c r="M241" s="7" t="s">
        <v>909</v>
      </c>
      <c r="N241" s="14" t="s">
        <v>11</v>
      </c>
      <c r="O241" s="14">
        <v>8</v>
      </c>
      <c r="P241" s="13" t="s">
        <v>222</v>
      </c>
      <c r="Q241" s="12" t="s">
        <v>342</v>
      </c>
      <c r="R241" s="11" t="s">
        <v>222</v>
      </c>
      <c r="S241" s="10" t="s">
        <v>394</v>
      </c>
      <c r="T241" s="8">
        <v>1</v>
      </c>
      <c r="U241" s="9">
        <v>0.5</v>
      </c>
      <c r="V241" s="8">
        <v>0.25</v>
      </c>
      <c r="W241" s="17"/>
      <c r="X241" s="65">
        <v>46250</v>
      </c>
    </row>
    <row r="242" spans="1:24" ht="13.8" thickBot="1" x14ac:dyDescent="0.3">
      <c r="A242" s="4" t="s">
        <v>199</v>
      </c>
      <c r="B242" s="8">
        <v>0.25</v>
      </c>
      <c r="C242" s="9">
        <v>0.5</v>
      </c>
      <c r="D242" s="8">
        <v>0.62</v>
      </c>
      <c r="E242" s="10" t="s">
        <v>223</v>
      </c>
      <c r="F242" s="11" t="s">
        <v>222</v>
      </c>
      <c r="G242" s="12" t="s">
        <v>221</v>
      </c>
      <c r="H242" s="13" t="s">
        <v>237</v>
      </c>
      <c r="I242" s="14">
        <v>8</v>
      </c>
      <c r="J242" s="14" t="s">
        <v>10</v>
      </c>
      <c r="K242" s="5" t="s">
        <v>910</v>
      </c>
      <c r="L242" s="6">
        <v>0.41666666666666669</v>
      </c>
      <c r="M242" s="7" t="s">
        <v>200</v>
      </c>
      <c r="N242" s="14" t="s">
        <v>11</v>
      </c>
      <c r="O242" s="14">
        <v>8</v>
      </c>
      <c r="P242" s="13" t="s">
        <v>217</v>
      </c>
      <c r="Q242" s="12" t="s">
        <v>417</v>
      </c>
      <c r="R242" s="11" t="s">
        <v>286</v>
      </c>
      <c r="S242" s="10" t="s">
        <v>218</v>
      </c>
      <c r="T242" s="8">
        <v>1</v>
      </c>
      <c r="U242" s="15">
        <v>0.62</v>
      </c>
      <c r="V242" s="8">
        <v>0.62</v>
      </c>
      <c r="W242" s="17"/>
      <c r="X242" s="65">
        <v>46250</v>
      </c>
    </row>
    <row r="243" spans="1:24" ht="13.8" thickBot="1" x14ac:dyDescent="0.3">
      <c r="A243" s="4" t="s">
        <v>199</v>
      </c>
      <c r="B243" s="8">
        <v>0.5</v>
      </c>
      <c r="C243" s="15">
        <v>0.75</v>
      </c>
      <c r="D243" s="8">
        <v>0.88</v>
      </c>
      <c r="E243" s="10" t="s">
        <v>294</v>
      </c>
      <c r="F243" s="11" t="s">
        <v>330</v>
      </c>
      <c r="G243" s="12" t="s">
        <v>410</v>
      </c>
      <c r="H243" s="13" t="s">
        <v>239</v>
      </c>
      <c r="I243" s="14">
        <v>8</v>
      </c>
      <c r="J243" s="14" t="s">
        <v>10</v>
      </c>
      <c r="K243" s="5" t="s">
        <v>911</v>
      </c>
      <c r="L243" s="6">
        <v>0.41666666666666669</v>
      </c>
      <c r="M243" s="7" t="s">
        <v>912</v>
      </c>
      <c r="N243" s="14" t="s">
        <v>11</v>
      </c>
      <c r="O243" s="14">
        <v>9</v>
      </c>
      <c r="P243" s="13" t="s">
        <v>343</v>
      </c>
      <c r="Q243" s="12" t="s">
        <v>218</v>
      </c>
      <c r="R243" s="11" t="s">
        <v>344</v>
      </c>
      <c r="S243" s="10" t="s">
        <v>224</v>
      </c>
      <c r="T243" s="8">
        <v>0.89</v>
      </c>
      <c r="U243" s="15">
        <v>0.67</v>
      </c>
      <c r="V243" s="8">
        <v>0.22</v>
      </c>
      <c r="W243" s="17"/>
      <c r="X243" s="65">
        <v>46250</v>
      </c>
    </row>
    <row r="244" spans="1:24" ht="13.8" thickBot="1" x14ac:dyDescent="0.3">
      <c r="A244" s="4" t="s">
        <v>199</v>
      </c>
      <c r="B244" s="8">
        <v>0.12</v>
      </c>
      <c r="C244" s="9">
        <v>0.25</v>
      </c>
      <c r="D244" s="8">
        <v>0.62</v>
      </c>
      <c r="E244" s="10" t="s">
        <v>347</v>
      </c>
      <c r="F244" s="11" t="s">
        <v>220</v>
      </c>
      <c r="G244" s="12" t="s">
        <v>236</v>
      </c>
      <c r="H244" s="13" t="s">
        <v>236</v>
      </c>
      <c r="I244" s="14">
        <v>8</v>
      </c>
      <c r="J244" s="14" t="s">
        <v>10</v>
      </c>
      <c r="K244" s="5" t="s">
        <v>913</v>
      </c>
      <c r="L244" s="6">
        <v>0.52083333333333337</v>
      </c>
      <c r="M244" s="7" t="s">
        <v>914</v>
      </c>
      <c r="N244" s="14" t="s">
        <v>11</v>
      </c>
      <c r="O244" s="14">
        <v>8</v>
      </c>
      <c r="P244" s="13" t="s">
        <v>223</v>
      </c>
      <c r="Q244" s="12" t="s">
        <v>330</v>
      </c>
      <c r="R244" s="11" t="s">
        <v>286</v>
      </c>
      <c r="S244" s="10" t="s">
        <v>286</v>
      </c>
      <c r="T244" s="8">
        <v>0.62</v>
      </c>
      <c r="U244" s="9">
        <v>0.5</v>
      </c>
      <c r="V244" s="8">
        <v>0.38</v>
      </c>
      <c r="W244" s="17"/>
      <c r="X244" s="65">
        <v>46250</v>
      </c>
    </row>
    <row r="245" spans="1:24" ht="13.8" thickBot="1" x14ac:dyDescent="0.3">
      <c r="A245" s="4" t="s">
        <v>199</v>
      </c>
      <c r="B245" s="8">
        <v>0.12</v>
      </c>
      <c r="C245" s="15">
        <v>0.62</v>
      </c>
      <c r="D245" s="8">
        <v>0.88</v>
      </c>
      <c r="E245" s="10" t="s">
        <v>296</v>
      </c>
      <c r="F245" s="11" t="s">
        <v>223</v>
      </c>
      <c r="G245" s="12" t="s">
        <v>394</v>
      </c>
      <c r="H245" s="13" t="s">
        <v>240</v>
      </c>
      <c r="I245" s="14">
        <v>8</v>
      </c>
      <c r="J245" s="14" t="s">
        <v>10</v>
      </c>
      <c r="K245" s="5" t="s">
        <v>915</v>
      </c>
      <c r="L245" s="6">
        <v>0.52083333333333337</v>
      </c>
      <c r="M245" s="7" t="s">
        <v>916</v>
      </c>
      <c r="N245" s="14" t="s">
        <v>11</v>
      </c>
      <c r="O245" s="14">
        <v>7</v>
      </c>
      <c r="P245" s="13" t="s">
        <v>350</v>
      </c>
      <c r="Q245" s="12" t="s">
        <v>354</v>
      </c>
      <c r="R245" s="11" t="s">
        <v>217</v>
      </c>
      <c r="S245" s="10" t="s">
        <v>389</v>
      </c>
      <c r="T245" s="8">
        <v>0.86</v>
      </c>
      <c r="U245" s="9">
        <v>0.28999999999999998</v>
      </c>
      <c r="V245" s="8">
        <v>0.14000000000000001</v>
      </c>
      <c r="W245" s="17"/>
      <c r="X245" s="65">
        <v>46250</v>
      </c>
    </row>
    <row r="246" spans="1:24" ht="13.8" thickBot="1" x14ac:dyDescent="0.3">
      <c r="A246" s="4" t="s">
        <v>199</v>
      </c>
      <c r="B246" s="8">
        <v>0.38</v>
      </c>
      <c r="C246" s="9">
        <v>0.5</v>
      </c>
      <c r="D246" s="8">
        <v>0.62</v>
      </c>
      <c r="E246" s="10" t="s">
        <v>293</v>
      </c>
      <c r="F246" s="11" t="s">
        <v>293</v>
      </c>
      <c r="G246" s="12" t="s">
        <v>221</v>
      </c>
      <c r="H246" s="13" t="s">
        <v>217</v>
      </c>
      <c r="I246" s="14">
        <v>8</v>
      </c>
      <c r="J246" s="14" t="s">
        <v>10</v>
      </c>
      <c r="K246" s="5" t="s">
        <v>917</v>
      </c>
      <c r="L246" s="6">
        <v>0.375</v>
      </c>
      <c r="M246" s="7" t="s">
        <v>918</v>
      </c>
      <c r="N246" s="14" t="s">
        <v>11</v>
      </c>
      <c r="O246" s="14">
        <v>9</v>
      </c>
      <c r="P246" s="13" t="s">
        <v>224</v>
      </c>
      <c r="Q246" s="12" t="s">
        <v>325</v>
      </c>
      <c r="R246" s="11" t="s">
        <v>232</v>
      </c>
      <c r="S246" s="10" t="s">
        <v>284</v>
      </c>
      <c r="T246" s="8">
        <v>0.78</v>
      </c>
      <c r="U246" s="9">
        <v>0.44</v>
      </c>
      <c r="V246" s="8">
        <v>0.22</v>
      </c>
      <c r="W246" s="17"/>
      <c r="X246" s="65">
        <v>46250</v>
      </c>
    </row>
    <row r="247" spans="1:24" ht="13.8" thickBot="1" x14ac:dyDescent="0.3">
      <c r="A247" s="4" t="s">
        <v>199</v>
      </c>
      <c r="B247" s="8">
        <v>0.5</v>
      </c>
      <c r="C247" s="15">
        <v>0.62</v>
      </c>
      <c r="D247" s="8">
        <v>1</v>
      </c>
      <c r="E247" s="10" t="s">
        <v>394</v>
      </c>
      <c r="F247" s="11" t="s">
        <v>296</v>
      </c>
      <c r="G247" s="12" t="s">
        <v>246</v>
      </c>
      <c r="H247" s="13" t="s">
        <v>435</v>
      </c>
      <c r="I247" s="14">
        <v>8</v>
      </c>
      <c r="J247" s="14" t="s">
        <v>10</v>
      </c>
      <c r="K247" s="5" t="s">
        <v>919</v>
      </c>
      <c r="L247" s="6">
        <v>0.35416666666666669</v>
      </c>
      <c r="M247" s="7" t="s">
        <v>920</v>
      </c>
      <c r="N247" s="14" t="s">
        <v>11</v>
      </c>
      <c r="O247" s="14">
        <v>8</v>
      </c>
      <c r="P247" s="13" t="s">
        <v>222</v>
      </c>
      <c r="Q247" s="12" t="s">
        <v>411</v>
      </c>
      <c r="R247" s="11" t="s">
        <v>286</v>
      </c>
      <c r="S247" s="10" t="s">
        <v>295</v>
      </c>
      <c r="T247" s="8">
        <v>1</v>
      </c>
      <c r="U247" s="15">
        <v>0.88</v>
      </c>
      <c r="V247" s="8">
        <v>0.62</v>
      </c>
      <c r="W247" s="17"/>
      <c r="X247" s="65">
        <v>46250</v>
      </c>
    </row>
    <row r="248" spans="1:24" ht="19.8" thickBot="1" x14ac:dyDescent="0.3">
      <c r="A248" s="4" t="s">
        <v>199</v>
      </c>
      <c r="B248" s="8">
        <v>0.25</v>
      </c>
      <c r="C248" s="9">
        <v>0.5</v>
      </c>
      <c r="D248" s="8">
        <v>0.88</v>
      </c>
      <c r="E248" s="10" t="s">
        <v>296</v>
      </c>
      <c r="F248" s="11" t="s">
        <v>236</v>
      </c>
      <c r="G248" s="12" t="s">
        <v>330</v>
      </c>
      <c r="H248" s="13" t="s">
        <v>216</v>
      </c>
      <c r="I248" s="14">
        <v>8</v>
      </c>
      <c r="J248" s="14" t="s">
        <v>10</v>
      </c>
      <c r="K248" s="5" t="s">
        <v>921</v>
      </c>
      <c r="L248" s="6">
        <v>0.375</v>
      </c>
      <c r="M248" s="7" t="s">
        <v>922</v>
      </c>
      <c r="N248" s="14" t="s">
        <v>11</v>
      </c>
      <c r="O248" s="14">
        <v>7</v>
      </c>
      <c r="P248" s="13" t="s">
        <v>216</v>
      </c>
      <c r="Q248" s="12" t="s">
        <v>351</v>
      </c>
      <c r="R248" s="11" t="s">
        <v>216</v>
      </c>
      <c r="S248" s="10" t="s">
        <v>290</v>
      </c>
      <c r="T248" s="8">
        <v>0.56999999999999995</v>
      </c>
      <c r="U248" s="15">
        <v>0.56999999999999995</v>
      </c>
      <c r="V248" s="8">
        <v>0.43</v>
      </c>
      <c r="W248" s="17"/>
      <c r="X248" s="65">
        <v>46250</v>
      </c>
    </row>
    <row r="249" spans="1:24" ht="13.8" thickBot="1" x14ac:dyDescent="0.3">
      <c r="A249" s="4" t="s">
        <v>199</v>
      </c>
      <c r="B249" s="8">
        <v>0.25</v>
      </c>
      <c r="C249" s="9">
        <v>0.38</v>
      </c>
      <c r="D249" s="8">
        <v>0.75</v>
      </c>
      <c r="E249" s="10" t="s">
        <v>223</v>
      </c>
      <c r="F249" s="11" t="s">
        <v>217</v>
      </c>
      <c r="G249" s="12" t="s">
        <v>330</v>
      </c>
      <c r="H249" s="13" t="s">
        <v>286</v>
      </c>
      <c r="I249" s="14">
        <v>8</v>
      </c>
      <c r="J249" s="14" t="s">
        <v>10</v>
      </c>
      <c r="K249" s="5" t="s">
        <v>923</v>
      </c>
      <c r="L249" s="6">
        <v>0.5</v>
      </c>
      <c r="M249" s="7" t="s">
        <v>924</v>
      </c>
      <c r="N249" s="14" t="s">
        <v>11</v>
      </c>
      <c r="O249" s="14">
        <v>7</v>
      </c>
      <c r="P249" s="13" t="s">
        <v>290</v>
      </c>
      <c r="Q249" s="12" t="s">
        <v>351</v>
      </c>
      <c r="R249" s="11" t="s">
        <v>400</v>
      </c>
      <c r="S249" s="10" t="s">
        <v>395</v>
      </c>
      <c r="T249" s="8">
        <v>1</v>
      </c>
      <c r="U249" s="15">
        <v>0.71</v>
      </c>
      <c r="V249" s="8">
        <v>0.28999999999999998</v>
      </c>
      <c r="W249" s="17"/>
      <c r="X249" s="65">
        <v>46250</v>
      </c>
    </row>
    <row r="250" spans="1:24" ht="13.8" thickBot="1" x14ac:dyDescent="0.3">
      <c r="A250" s="4" t="s">
        <v>199</v>
      </c>
      <c r="B250" s="8">
        <v>0.62</v>
      </c>
      <c r="C250" s="15">
        <v>0.75</v>
      </c>
      <c r="D250" s="8">
        <v>1</v>
      </c>
      <c r="E250" s="10" t="s">
        <v>293</v>
      </c>
      <c r="F250" s="11" t="s">
        <v>295</v>
      </c>
      <c r="G250" s="12" t="s">
        <v>345</v>
      </c>
      <c r="H250" s="13" t="s">
        <v>216</v>
      </c>
      <c r="I250" s="14">
        <v>8</v>
      </c>
      <c r="J250" s="14" t="s">
        <v>10</v>
      </c>
      <c r="K250" s="5" t="s">
        <v>925</v>
      </c>
      <c r="L250" s="6">
        <v>0.375</v>
      </c>
      <c r="M250" s="7" t="s">
        <v>926</v>
      </c>
      <c r="N250" s="14" t="s">
        <v>11</v>
      </c>
      <c r="O250" s="14">
        <v>7</v>
      </c>
      <c r="P250" s="13" t="s">
        <v>292</v>
      </c>
      <c r="Q250" s="12" t="s">
        <v>297</v>
      </c>
      <c r="R250" s="11" t="s">
        <v>389</v>
      </c>
      <c r="S250" s="10" t="s">
        <v>216</v>
      </c>
      <c r="T250" s="8">
        <v>0.86</v>
      </c>
      <c r="U250" s="15">
        <v>0.86</v>
      </c>
      <c r="V250" s="8">
        <v>0.43</v>
      </c>
      <c r="W250" s="17"/>
      <c r="X250" s="65">
        <v>46250</v>
      </c>
    </row>
    <row r="251" spans="1:24" ht="13.8" thickBot="1" x14ac:dyDescent="0.3">
      <c r="A251" s="4" t="s">
        <v>199</v>
      </c>
      <c r="B251" s="8">
        <v>0.5</v>
      </c>
      <c r="C251" s="15">
        <v>0.88</v>
      </c>
      <c r="D251" s="8">
        <v>0.88</v>
      </c>
      <c r="E251" s="10" t="s">
        <v>294</v>
      </c>
      <c r="F251" s="11" t="s">
        <v>295</v>
      </c>
      <c r="G251" s="12" t="s">
        <v>246</v>
      </c>
      <c r="H251" s="13" t="s">
        <v>240</v>
      </c>
      <c r="I251" s="14">
        <v>8</v>
      </c>
      <c r="J251" s="14" t="s">
        <v>10</v>
      </c>
      <c r="K251" s="5" t="s">
        <v>927</v>
      </c>
      <c r="L251" s="6">
        <v>0.5</v>
      </c>
      <c r="M251" s="7" t="s">
        <v>928</v>
      </c>
      <c r="N251" s="14" t="s">
        <v>11</v>
      </c>
      <c r="O251" s="14">
        <v>8</v>
      </c>
      <c r="P251" s="13" t="s">
        <v>222</v>
      </c>
      <c r="Q251" s="12" t="s">
        <v>329</v>
      </c>
      <c r="R251" s="11" t="s">
        <v>296</v>
      </c>
      <c r="S251" s="10" t="s">
        <v>216</v>
      </c>
      <c r="T251" s="8">
        <v>0.88</v>
      </c>
      <c r="U251" s="15">
        <v>0.62</v>
      </c>
      <c r="V251" s="8">
        <v>0.38</v>
      </c>
      <c r="W251" s="17"/>
      <c r="X251" s="65">
        <v>46250</v>
      </c>
    </row>
    <row r="252" spans="1:24" ht="13.8" thickBot="1" x14ac:dyDescent="0.3">
      <c r="A252" s="4" t="s">
        <v>199</v>
      </c>
      <c r="B252" s="8">
        <v>0.28999999999999998</v>
      </c>
      <c r="C252" s="15">
        <v>0.86</v>
      </c>
      <c r="D252" s="8">
        <v>0.86</v>
      </c>
      <c r="E252" s="10" t="s">
        <v>395</v>
      </c>
      <c r="F252" s="11" t="s">
        <v>400</v>
      </c>
      <c r="G252" s="12" t="s">
        <v>351</v>
      </c>
      <c r="H252" s="13" t="s">
        <v>389</v>
      </c>
      <c r="I252" s="14">
        <v>7</v>
      </c>
      <c r="J252" s="14" t="s">
        <v>10</v>
      </c>
      <c r="K252" s="5" t="s">
        <v>929</v>
      </c>
      <c r="L252" s="6">
        <v>0.5</v>
      </c>
      <c r="M252" s="7" t="s">
        <v>930</v>
      </c>
      <c r="N252" s="14" t="s">
        <v>11</v>
      </c>
      <c r="O252" s="14">
        <v>8</v>
      </c>
      <c r="P252" s="13" t="s">
        <v>247</v>
      </c>
      <c r="Q252" s="12" t="s">
        <v>412</v>
      </c>
      <c r="R252" s="11" t="s">
        <v>217</v>
      </c>
      <c r="S252" s="10" t="s">
        <v>346</v>
      </c>
      <c r="T252" s="8">
        <v>1</v>
      </c>
      <c r="U252" s="15">
        <v>1</v>
      </c>
      <c r="V252" s="8">
        <v>0.75</v>
      </c>
      <c r="W252" s="17"/>
      <c r="X252" s="65">
        <v>46250</v>
      </c>
    </row>
    <row r="253" spans="1:24" ht="19.8" thickBot="1" x14ac:dyDescent="0.3">
      <c r="A253" s="4" t="s">
        <v>199</v>
      </c>
      <c r="B253" s="8">
        <v>0.14000000000000001</v>
      </c>
      <c r="C253" s="9">
        <v>0.43</v>
      </c>
      <c r="D253" s="8">
        <v>0.86</v>
      </c>
      <c r="E253" s="10" t="s">
        <v>389</v>
      </c>
      <c r="F253" s="11" t="s">
        <v>292</v>
      </c>
      <c r="G253" s="12" t="s">
        <v>390</v>
      </c>
      <c r="H253" s="13" t="s">
        <v>292</v>
      </c>
      <c r="I253" s="14">
        <v>7</v>
      </c>
      <c r="J253" s="14" t="s">
        <v>10</v>
      </c>
      <c r="K253" s="5" t="s">
        <v>931</v>
      </c>
      <c r="L253" s="6">
        <v>0.45833333333333331</v>
      </c>
      <c r="M253" s="7" t="s">
        <v>932</v>
      </c>
      <c r="N253" s="14" t="s">
        <v>11</v>
      </c>
      <c r="O253" s="14">
        <v>6</v>
      </c>
      <c r="P253" s="13" t="s">
        <v>288</v>
      </c>
      <c r="Q253" s="12" t="s">
        <v>427</v>
      </c>
      <c r="R253" s="11" t="s">
        <v>224</v>
      </c>
      <c r="S253" s="10" t="s">
        <v>221</v>
      </c>
      <c r="T253" s="8">
        <v>0.83</v>
      </c>
      <c r="U253" s="15">
        <v>0.67</v>
      </c>
      <c r="V253" s="8">
        <v>0.67</v>
      </c>
      <c r="W253" s="17"/>
      <c r="X253" s="65">
        <v>46250</v>
      </c>
    </row>
    <row r="254" spans="1:24" ht="13.8" thickBot="1" x14ac:dyDescent="0.3">
      <c r="A254" s="4" t="s">
        <v>355</v>
      </c>
      <c r="B254" s="63"/>
      <c r="C254" s="63"/>
      <c r="D254" s="63"/>
      <c r="E254" s="63"/>
      <c r="F254" s="63"/>
      <c r="G254" s="63"/>
      <c r="H254" s="63"/>
      <c r="I254" s="64"/>
      <c r="J254" s="14" t="s">
        <v>10</v>
      </c>
      <c r="K254" s="5" t="s">
        <v>933</v>
      </c>
      <c r="L254" s="6">
        <v>0.58333333333333337</v>
      </c>
      <c r="M254" s="7" t="s">
        <v>934</v>
      </c>
      <c r="N254" s="14" t="s">
        <v>11</v>
      </c>
      <c r="O254" s="64"/>
      <c r="P254" s="63"/>
      <c r="Q254" s="63"/>
      <c r="R254" s="63"/>
      <c r="S254" s="63"/>
      <c r="T254" s="63"/>
      <c r="U254" s="63"/>
      <c r="V254" s="63"/>
      <c r="W254" s="17"/>
      <c r="X254" s="65">
        <v>46250</v>
      </c>
    </row>
    <row r="255" spans="1:24" ht="13.8" thickBot="1" x14ac:dyDescent="0.3">
      <c r="A255" s="4" t="s">
        <v>355</v>
      </c>
      <c r="B255" s="63"/>
      <c r="C255" s="63"/>
      <c r="D255" s="63"/>
      <c r="E255" s="63"/>
      <c r="F255" s="63"/>
      <c r="G255" s="63"/>
      <c r="H255" s="63"/>
      <c r="I255" s="64"/>
      <c r="J255" s="14" t="s">
        <v>10</v>
      </c>
      <c r="K255" s="5" t="s">
        <v>935</v>
      </c>
      <c r="L255" s="6">
        <v>0.6875</v>
      </c>
      <c r="M255" s="7" t="s">
        <v>936</v>
      </c>
      <c r="N255" s="14" t="s">
        <v>11</v>
      </c>
      <c r="O255" s="64"/>
      <c r="P255" s="63"/>
      <c r="Q255" s="63"/>
      <c r="R255" s="63"/>
      <c r="S255" s="63"/>
      <c r="T255" s="63"/>
      <c r="U255" s="63"/>
      <c r="V255" s="63"/>
      <c r="W255" s="17"/>
      <c r="X255" s="65">
        <v>46250</v>
      </c>
    </row>
    <row r="256" spans="1:24" ht="13.8" thickBot="1" x14ac:dyDescent="0.3">
      <c r="A256" s="4" t="s">
        <v>355</v>
      </c>
      <c r="B256" s="63"/>
      <c r="C256" s="63"/>
      <c r="D256" s="63"/>
      <c r="E256" s="63"/>
      <c r="F256" s="63"/>
      <c r="G256" s="63"/>
      <c r="H256" s="63"/>
      <c r="I256" s="64"/>
      <c r="J256" s="14" t="s">
        <v>10</v>
      </c>
      <c r="K256" s="5" t="s">
        <v>937</v>
      </c>
      <c r="L256" s="6">
        <v>0.6875</v>
      </c>
      <c r="M256" s="7" t="s">
        <v>938</v>
      </c>
      <c r="N256" s="14" t="s">
        <v>11</v>
      </c>
      <c r="O256" s="64"/>
      <c r="P256" s="63"/>
      <c r="Q256" s="63"/>
      <c r="R256" s="63"/>
      <c r="S256" s="63"/>
      <c r="T256" s="63"/>
      <c r="U256" s="63"/>
      <c r="V256" s="63"/>
      <c r="W256" s="17"/>
      <c r="X256" s="65">
        <v>46250</v>
      </c>
    </row>
    <row r="257" spans="1:24" ht="13.8" thickBot="1" x14ac:dyDescent="0.3">
      <c r="A257" s="4" t="s">
        <v>355</v>
      </c>
      <c r="B257" s="63"/>
      <c r="C257" s="63"/>
      <c r="D257" s="63"/>
      <c r="E257" s="63"/>
      <c r="F257" s="63"/>
      <c r="G257" s="63"/>
      <c r="H257" s="63"/>
      <c r="I257" s="64"/>
      <c r="J257" s="14" t="s">
        <v>10</v>
      </c>
      <c r="K257" s="5" t="s">
        <v>939</v>
      </c>
      <c r="L257" s="6">
        <v>0.58333333333333337</v>
      </c>
      <c r="M257" s="7" t="s">
        <v>940</v>
      </c>
      <c r="N257" s="14" t="s">
        <v>11</v>
      </c>
      <c r="O257" s="64"/>
      <c r="P257" s="63"/>
      <c r="Q257" s="63"/>
      <c r="R257" s="63"/>
      <c r="S257" s="63"/>
      <c r="T257" s="63"/>
      <c r="U257" s="63"/>
      <c r="V257" s="63"/>
      <c r="W257" s="17"/>
      <c r="X257" s="65">
        <v>46250</v>
      </c>
    </row>
    <row r="258" spans="1:24" ht="13.8" thickBot="1" x14ac:dyDescent="0.3">
      <c r="A258" s="4" t="s">
        <v>355</v>
      </c>
      <c r="B258" s="63"/>
      <c r="C258" s="63"/>
      <c r="D258" s="63"/>
      <c r="E258" s="63"/>
      <c r="F258" s="63"/>
      <c r="G258" s="63"/>
      <c r="H258" s="63"/>
      <c r="I258" s="64"/>
      <c r="J258" s="14" t="s">
        <v>10</v>
      </c>
      <c r="K258" s="5" t="s">
        <v>941</v>
      </c>
      <c r="L258" s="6">
        <v>0.58333333333333337</v>
      </c>
      <c r="M258" s="7" t="s">
        <v>942</v>
      </c>
      <c r="N258" s="14" t="s">
        <v>11</v>
      </c>
      <c r="O258" s="64"/>
      <c r="P258" s="63"/>
      <c r="Q258" s="63"/>
      <c r="R258" s="63"/>
      <c r="S258" s="63"/>
      <c r="T258" s="63"/>
      <c r="U258" s="63"/>
      <c r="V258" s="63"/>
      <c r="W258" s="17"/>
      <c r="X258" s="65">
        <v>46250</v>
      </c>
    </row>
    <row r="259" spans="1:24" ht="13.8" thickBot="1" x14ac:dyDescent="0.3">
      <c r="A259" s="4" t="s">
        <v>355</v>
      </c>
      <c r="B259" s="63"/>
      <c r="C259" s="63"/>
      <c r="D259" s="63"/>
      <c r="E259" s="63"/>
      <c r="F259" s="63"/>
      <c r="G259" s="63"/>
      <c r="H259" s="63"/>
      <c r="I259" s="64"/>
      <c r="J259" s="14" t="s">
        <v>10</v>
      </c>
      <c r="K259" s="5" t="s">
        <v>943</v>
      </c>
      <c r="L259" s="6">
        <v>0.6875</v>
      </c>
      <c r="M259" s="7" t="s">
        <v>944</v>
      </c>
      <c r="N259" s="14" t="s">
        <v>11</v>
      </c>
      <c r="O259" s="64"/>
      <c r="P259" s="63"/>
      <c r="Q259" s="63"/>
      <c r="R259" s="63"/>
      <c r="S259" s="63"/>
      <c r="T259" s="63"/>
      <c r="U259" s="63"/>
      <c r="V259" s="63"/>
      <c r="W259" s="17"/>
      <c r="X259" s="65">
        <v>46250</v>
      </c>
    </row>
    <row r="260" spans="1:24" ht="19.8" thickBot="1" x14ac:dyDescent="0.3">
      <c r="A260" s="4" t="s">
        <v>355</v>
      </c>
      <c r="B260" s="63"/>
      <c r="C260" s="63"/>
      <c r="D260" s="63"/>
      <c r="E260" s="63"/>
      <c r="F260" s="63"/>
      <c r="G260" s="63"/>
      <c r="H260" s="63"/>
      <c r="I260" s="64"/>
      <c r="J260" s="14" t="s">
        <v>10</v>
      </c>
      <c r="K260" s="5" t="s">
        <v>945</v>
      </c>
      <c r="L260" s="6">
        <v>0.6875</v>
      </c>
      <c r="M260" s="7" t="s">
        <v>946</v>
      </c>
      <c r="N260" s="14" t="s">
        <v>11</v>
      </c>
      <c r="O260" s="64"/>
      <c r="P260" s="63"/>
      <c r="Q260" s="63"/>
      <c r="R260" s="63"/>
      <c r="S260" s="63"/>
      <c r="T260" s="63"/>
      <c r="U260" s="63"/>
      <c r="V260" s="63"/>
      <c r="W260" s="17"/>
      <c r="X260" s="65">
        <v>46250</v>
      </c>
    </row>
    <row r="261" spans="1:24" ht="19.8" thickBot="1" x14ac:dyDescent="0.3">
      <c r="A261" s="4" t="s">
        <v>356</v>
      </c>
      <c r="B261" s="63"/>
      <c r="C261" s="63"/>
      <c r="D261" s="63"/>
      <c r="E261" s="63"/>
      <c r="F261" s="63"/>
      <c r="G261" s="63"/>
      <c r="H261" s="63"/>
      <c r="I261" s="64"/>
      <c r="J261" s="14" t="s">
        <v>10</v>
      </c>
      <c r="K261" s="5" t="s">
        <v>947</v>
      </c>
      <c r="L261" s="6">
        <v>0.33333333333333331</v>
      </c>
      <c r="M261" s="7" t="s">
        <v>948</v>
      </c>
      <c r="N261" s="14" t="s">
        <v>11</v>
      </c>
      <c r="O261" s="64"/>
      <c r="P261" s="63"/>
      <c r="Q261" s="63"/>
      <c r="R261" s="63"/>
      <c r="S261" s="63"/>
      <c r="T261" s="63"/>
      <c r="U261" s="63"/>
      <c r="V261" s="63"/>
      <c r="W261" s="17"/>
      <c r="X261" s="65">
        <v>46250</v>
      </c>
    </row>
    <row r="262" spans="1:24" ht="13.8" thickBot="1" x14ac:dyDescent="0.3">
      <c r="A262" s="4" t="s">
        <v>356</v>
      </c>
      <c r="B262" s="8">
        <v>0</v>
      </c>
      <c r="C262" s="9">
        <v>0</v>
      </c>
      <c r="D262" s="8">
        <v>0</v>
      </c>
      <c r="E262" s="10" t="s">
        <v>219</v>
      </c>
      <c r="F262" s="11" t="s">
        <v>217</v>
      </c>
      <c r="G262" s="12" t="s">
        <v>217</v>
      </c>
      <c r="H262" s="13" t="s">
        <v>218</v>
      </c>
      <c r="I262" s="14">
        <v>1</v>
      </c>
      <c r="J262" s="14" t="s">
        <v>10</v>
      </c>
      <c r="K262" s="5" t="s">
        <v>949</v>
      </c>
      <c r="L262" s="6">
        <v>0.4375</v>
      </c>
      <c r="M262" s="7" t="s">
        <v>950</v>
      </c>
      <c r="N262" s="14" t="s">
        <v>11</v>
      </c>
      <c r="O262" s="14">
        <v>1</v>
      </c>
      <c r="P262" s="13" t="s">
        <v>218</v>
      </c>
      <c r="Q262" s="12" t="s">
        <v>216</v>
      </c>
      <c r="R262" s="11" t="s">
        <v>216</v>
      </c>
      <c r="S262" s="10" t="s">
        <v>219</v>
      </c>
      <c r="T262" s="8">
        <v>1</v>
      </c>
      <c r="U262" s="9">
        <v>0</v>
      </c>
      <c r="V262" s="8">
        <v>0</v>
      </c>
      <c r="W262" s="17"/>
      <c r="X262" s="65">
        <v>46250</v>
      </c>
    </row>
    <row r="263" spans="1:24" ht="19.8" thickBot="1" x14ac:dyDescent="0.3">
      <c r="A263" s="4" t="s">
        <v>356</v>
      </c>
      <c r="B263" s="63"/>
      <c r="C263" s="63"/>
      <c r="D263" s="63"/>
      <c r="E263" s="63"/>
      <c r="F263" s="63"/>
      <c r="G263" s="63"/>
      <c r="H263" s="63"/>
      <c r="I263" s="64"/>
      <c r="J263" s="14" t="s">
        <v>10</v>
      </c>
      <c r="K263" s="5" t="s">
        <v>951</v>
      </c>
      <c r="L263" s="6">
        <v>0.54166666666666663</v>
      </c>
      <c r="M263" s="7" t="s">
        <v>952</v>
      </c>
      <c r="N263" s="14" t="s">
        <v>11</v>
      </c>
      <c r="O263" s="14">
        <v>1</v>
      </c>
      <c r="P263" s="13" t="s">
        <v>219</v>
      </c>
      <c r="Q263" s="12" t="s">
        <v>216</v>
      </c>
      <c r="R263" s="11" t="s">
        <v>219</v>
      </c>
      <c r="S263" s="10" t="s">
        <v>216</v>
      </c>
      <c r="T263" s="8">
        <v>1</v>
      </c>
      <c r="U263" s="9">
        <v>0</v>
      </c>
      <c r="V263" s="8">
        <v>0</v>
      </c>
      <c r="W263" s="17"/>
      <c r="X263" s="65">
        <v>46250</v>
      </c>
    </row>
    <row r="264" spans="1:24" ht="19.8" thickBot="1" x14ac:dyDescent="0.3">
      <c r="A264" s="4" t="s">
        <v>204</v>
      </c>
      <c r="B264" s="63"/>
      <c r="C264" s="63"/>
      <c r="D264" s="63"/>
      <c r="E264" s="63"/>
      <c r="F264" s="63"/>
      <c r="G264" s="63"/>
      <c r="H264" s="63"/>
      <c r="I264" s="64"/>
      <c r="J264" s="14" t="s">
        <v>10</v>
      </c>
      <c r="K264" s="5" t="s">
        <v>953</v>
      </c>
      <c r="L264" s="6">
        <v>0.5</v>
      </c>
      <c r="M264" s="7" t="s">
        <v>954</v>
      </c>
      <c r="N264" s="14" t="s">
        <v>11</v>
      </c>
      <c r="O264" s="64"/>
      <c r="P264" s="63"/>
      <c r="Q264" s="63"/>
      <c r="R264" s="63"/>
      <c r="S264" s="63"/>
      <c r="T264" s="63"/>
      <c r="U264" s="63"/>
      <c r="V264" s="63"/>
      <c r="W264" s="17"/>
      <c r="X264" s="65">
        <v>46250</v>
      </c>
    </row>
    <row r="265" spans="1:24" ht="13.8" thickBot="1" x14ac:dyDescent="0.3">
      <c r="A265" s="4" t="s">
        <v>204</v>
      </c>
      <c r="B265" s="8">
        <v>0</v>
      </c>
      <c r="C265" s="9">
        <v>0</v>
      </c>
      <c r="D265" s="8">
        <v>0</v>
      </c>
      <c r="E265" s="10" t="s">
        <v>217</v>
      </c>
      <c r="F265" s="11" t="s">
        <v>219</v>
      </c>
      <c r="G265" s="12" t="s">
        <v>217</v>
      </c>
      <c r="H265" s="13" t="s">
        <v>219</v>
      </c>
      <c r="I265" s="14">
        <v>1</v>
      </c>
      <c r="J265" s="14" t="s">
        <v>10</v>
      </c>
      <c r="K265" s="5" t="s">
        <v>955</v>
      </c>
      <c r="L265" s="6">
        <v>0.66666666666666663</v>
      </c>
      <c r="M265" s="7" t="s">
        <v>956</v>
      </c>
      <c r="N265" s="14" t="s">
        <v>11</v>
      </c>
      <c r="O265" s="64"/>
      <c r="P265" s="63"/>
      <c r="Q265" s="63"/>
      <c r="R265" s="63"/>
      <c r="S265" s="63"/>
      <c r="T265" s="63"/>
      <c r="U265" s="63"/>
      <c r="V265" s="63"/>
      <c r="W265" s="17"/>
      <c r="X265" s="65">
        <v>46250</v>
      </c>
    </row>
    <row r="266" spans="1:24" ht="19.8" thickBot="1" x14ac:dyDescent="0.3">
      <c r="A266" s="4" t="s">
        <v>204</v>
      </c>
      <c r="B266" s="63"/>
      <c r="C266" s="63"/>
      <c r="D266" s="63"/>
      <c r="E266" s="63"/>
      <c r="F266" s="63"/>
      <c r="G266" s="63"/>
      <c r="H266" s="63"/>
      <c r="I266" s="64"/>
      <c r="J266" s="14" t="s">
        <v>10</v>
      </c>
      <c r="K266" s="5" t="s">
        <v>957</v>
      </c>
      <c r="L266" s="6">
        <v>0.8125</v>
      </c>
      <c r="M266" s="7" t="s">
        <v>958</v>
      </c>
      <c r="N266" s="14" t="s">
        <v>11</v>
      </c>
      <c r="O266" s="64"/>
      <c r="P266" s="63"/>
      <c r="Q266" s="63"/>
      <c r="R266" s="63"/>
      <c r="S266" s="63"/>
      <c r="T266" s="63"/>
      <c r="U266" s="63"/>
      <c r="V266" s="63"/>
      <c r="W266" s="17"/>
      <c r="X266" s="65">
        <v>46250</v>
      </c>
    </row>
    <row r="267" spans="1:24" ht="19.8" thickBot="1" x14ac:dyDescent="0.3">
      <c r="A267" s="4" t="s">
        <v>93</v>
      </c>
      <c r="B267" s="8">
        <v>0.11</v>
      </c>
      <c r="C267" s="9">
        <v>0.33</v>
      </c>
      <c r="D267" s="8">
        <v>0.56000000000000005</v>
      </c>
      <c r="E267" s="10" t="s">
        <v>324</v>
      </c>
      <c r="F267" s="11" t="s">
        <v>224</v>
      </c>
      <c r="G267" s="12" t="s">
        <v>333</v>
      </c>
      <c r="H267" s="13" t="s">
        <v>333</v>
      </c>
      <c r="I267" s="14">
        <v>9</v>
      </c>
      <c r="J267" s="14" t="s">
        <v>10</v>
      </c>
      <c r="K267" s="5" t="s">
        <v>959</v>
      </c>
      <c r="L267" s="6">
        <v>0.9375</v>
      </c>
      <c r="M267" s="7" t="s">
        <v>960</v>
      </c>
      <c r="N267" s="14" t="s">
        <v>11</v>
      </c>
      <c r="O267" s="14">
        <v>9</v>
      </c>
      <c r="P267" s="13" t="s">
        <v>224</v>
      </c>
      <c r="Q267" s="12" t="s">
        <v>340</v>
      </c>
      <c r="R267" s="11" t="s">
        <v>232</v>
      </c>
      <c r="S267" s="10" t="s">
        <v>344</v>
      </c>
      <c r="T267" s="8">
        <v>1</v>
      </c>
      <c r="U267" s="15">
        <v>0.67</v>
      </c>
      <c r="V267" s="8">
        <v>0.33</v>
      </c>
      <c r="W267" s="17"/>
      <c r="X267" s="65">
        <v>46250</v>
      </c>
    </row>
    <row r="268" spans="1:24" ht="13.8" thickBot="1" x14ac:dyDescent="0.3">
      <c r="A268" s="4" t="s">
        <v>93</v>
      </c>
      <c r="B268" s="8">
        <v>0.67</v>
      </c>
      <c r="C268" s="15">
        <v>0.78</v>
      </c>
      <c r="D268" s="8">
        <v>0.78</v>
      </c>
      <c r="E268" s="10" t="s">
        <v>217</v>
      </c>
      <c r="F268" s="11" t="s">
        <v>341</v>
      </c>
      <c r="G268" s="12" t="s">
        <v>409</v>
      </c>
      <c r="H268" s="13" t="s">
        <v>341</v>
      </c>
      <c r="I268" s="14">
        <v>9</v>
      </c>
      <c r="J268" s="14" t="s">
        <v>10</v>
      </c>
      <c r="K268" s="5" t="s">
        <v>961</v>
      </c>
      <c r="L268" s="6">
        <v>0.9375</v>
      </c>
      <c r="M268" s="7" t="s">
        <v>962</v>
      </c>
      <c r="N268" s="14" t="s">
        <v>11</v>
      </c>
      <c r="O268" s="14">
        <v>10</v>
      </c>
      <c r="P268" s="13" t="s">
        <v>221</v>
      </c>
      <c r="Q268" s="12" t="s">
        <v>235</v>
      </c>
      <c r="R268" s="11" t="s">
        <v>371</v>
      </c>
      <c r="S268" s="10" t="s">
        <v>220</v>
      </c>
      <c r="T268" s="8">
        <v>0.8</v>
      </c>
      <c r="U268" s="15">
        <v>0.7</v>
      </c>
      <c r="V268" s="8">
        <v>0.5</v>
      </c>
      <c r="W268" s="17"/>
      <c r="X268" s="65">
        <v>46250</v>
      </c>
    </row>
    <row r="269" spans="1:24" ht="19.8" thickBot="1" x14ac:dyDescent="0.3">
      <c r="A269" s="4" t="s">
        <v>93</v>
      </c>
      <c r="B269" s="8">
        <v>0.38</v>
      </c>
      <c r="C269" s="9">
        <v>0.5</v>
      </c>
      <c r="D269" s="8">
        <v>0.62</v>
      </c>
      <c r="E269" s="10" t="s">
        <v>294</v>
      </c>
      <c r="F269" s="11" t="s">
        <v>240</v>
      </c>
      <c r="G269" s="12" t="s">
        <v>346</v>
      </c>
      <c r="H269" s="13" t="s">
        <v>236</v>
      </c>
      <c r="I269" s="14">
        <v>8</v>
      </c>
      <c r="J269" s="14" t="s">
        <v>10</v>
      </c>
      <c r="K269" s="5" t="s">
        <v>963</v>
      </c>
      <c r="L269" s="6">
        <v>0.97916666666666663</v>
      </c>
      <c r="M269" s="7" t="s">
        <v>211</v>
      </c>
      <c r="N269" s="14" t="s">
        <v>11</v>
      </c>
      <c r="O269" s="14">
        <v>9</v>
      </c>
      <c r="P269" s="13" t="s">
        <v>310</v>
      </c>
      <c r="Q269" s="12" t="s">
        <v>226</v>
      </c>
      <c r="R269" s="11" t="s">
        <v>324</v>
      </c>
      <c r="S269" s="10" t="s">
        <v>386</v>
      </c>
      <c r="T269" s="8">
        <v>1</v>
      </c>
      <c r="U269" s="15">
        <v>1</v>
      </c>
      <c r="V269" s="8">
        <v>0.56000000000000005</v>
      </c>
      <c r="W269" s="17"/>
      <c r="X269" s="65">
        <v>46250</v>
      </c>
    </row>
    <row r="270" spans="1:24" ht="19.8" thickBot="1" x14ac:dyDescent="0.3">
      <c r="A270" s="4" t="s">
        <v>93</v>
      </c>
      <c r="B270" s="8">
        <v>0.25</v>
      </c>
      <c r="C270" s="15">
        <v>0.75</v>
      </c>
      <c r="D270" s="8">
        <v>1</v>
      </c>
      <c r="E270" s="10" t="s">
        <v>217</v>
      </c>
      <c r="F270" s="11" t="s">
        <v>225</v>
      </c>
      <c r="G270" s="12" t="s">
        <v>346</v>
      </c>
      <c r="H270" s="13" t="s">
        <v>394</v>
      </c>
      <c r="I270" s="14">
        <v>8</v>
      </c>
      <c r="J270" s="14" t="s">
        <v>10</v>
      </c>
      <c r="K270" s="5" t="s">
        <v>964</v>
      </c>
      <c r="L270" s="6">
        <v>0.97916666666666663</v>
      </c>
      <c r="M270" s="7" t="s">
        <v>965</v>
      </c>
      <c r="N270" s="14" t="s">
        <v>11</v>
      </c>
      <c r="O270" s="14">
        <v>9</v>
      </c>
      <c r="P270" s="13" t="s">
        <v>232</v>
      </c>
      <c r="Q270" s="12" t="s">
        <v>285</v>
      </c>
      <c r="R270" s="11" t="s">
        <v>232</v>
      </c>
      <c r="S270" s="10" t="s">
        <v>333</v>
      </c>
      <c r="T270" s="8">
        <v>0.89</v>
      </c>
      <c r="U270" s="15">
        <v>0.89</v>
      </c>
      <c r="V270" s="8">
        <v>0.44</v>
      </c>
      <c r="W270" s="17"/>
      <c r="X270" s="65">
        <v>46250</v>
      </c>
    </row>
    <row r="271" spans="1:24" ht="19.8" thickBot="1" x14ac:dyDescent="0.3">
      <c r="A271" s="4" t="s">
        <v>93</v>
      </c>
      <c r="B271" s="8">
        <v>0.5</v>
      </c>
      <c r="C271" s="15">
        <v>0.6</v>
      </c>
      <c r="D271" s="8">
        <v>0.7</v>
      </c>
      <c r="E271" s="10" t="s">
        <v>248</v>
      </c>
      <c r="F271" s="11" t="s">
        <v>267</v>
      </c>
      <c r="G271" s="12" t="s">
        <v>280</v>
      </c>
      <c r="H271" s="13" t="s">
        <v>267</v>
      </c>
      <c r="I271" s="14">
        <v>10</v>
      </c>
      <c r="J271" s="14" t="s">
        <v>10</v>
      </c>
      <c r="K271" s="5" t="s">
        <v>966</v>
      </c>
      <c r="L271" s="6">
        <v>2.0833333333333332E-2</v>
      </c>
      <c r="M271" s="7" t="s">
        <v>967</v>
      </c>
      <c r="N271" s="14" t="s">
        <v>11</v>
      </c>
      <c r="O271" s="14">
        <v>8</v>
      </c>
      <c r="P271" s="13" t="s">
        <v>222</v>
      </c>
      <c r="Q271" s="12" t="s">
        <v>330</v>
      </c>
      <c r="R271" s="11" t="s">
        <v>217</v>
      </c>
      <c r="S271" s="10" t="s">
        <v>223</v>
      </c>
      <c r="T271" s="8">
        <v>0.62</v>
      </c>
      <c r="U271" s="9">
        <v>0.38</v>
      </c>
      <c r="V271" s="8">
        <v>0.25</v>
      </c>
      <c r="W271" s="17"/>
      <c r="X271" s="65">
        <v>46250</v>
      </c>
    </row>
    <row r="272" spans="1:24" ht="19.8" thickBot="1" x14ac:dyDescent="0.3">
      <c r="A272" s="4" t="s">
        <v>93</v>
      </c>
      <c r="B272" s="8">
        <v>0.33</v>
      </c>
      <c r="C272" s="15">
        <v>0.56000000000000005</v>
      </c>
      <c r="D272" s="8">
        <v>0.89</v>
      </c>
      <c r="E272" s="10" t="s">
        <v>284</v>
      </c>
      <c r="F272" s="11" t="s">
        <v>231</v>
      </c>
      <c r="G272" s="12" t="s">
        <v>340</v>
      </c>
      <c r="H272" s="13" t="s">
        <v>229</v>
      </c>
      <c r="I272" s="14">
        <v>9</v>
      </c>
      <c r="J272" s="14" t="s">
        <v>10</v>
      </c>
      <c r="K272" s="5" t="s">
        <v>968</v>
      </c>
      <c r="L272" s="6">
        <v>2.0833333333333332E-2</v>
      </c>
      <c r="M272" s="7" t="s">
        <v>210</v>
      </c>
      <c r="N272" s="14" t="s">
        <v>11</v>
      </c>
      <c r="O272" s="14">
        <v>9</v>
      </c>
      <c r="P272" s="13" t="s">
        <v>217</v>
      </c>
      <c r="Q272" s="12" t="s">
        <v>387</v>
      </c>
      <c r="R272" s="11" t="s">
        <v>306</v>
      </c>
      <c r="S272" s="10" t="s">
        <v>229</v>
      </c>
      <c r="T272" s="8">
        <v>0.89</v>
      </c>
      <c r="U272" s="9">
        <v>0.22</v>
      </c>
      <c r="V272" s="8">
        <v>0.22</v>
      </c>
      <c r="W272" s="17"/>
      <c r="X272" s="65">
        <v>46250</v>
      </c>
    </row>
    <row r="273" spans="1:24" ht="13.8" thickBot="1" x14ac:dyDescent="0.3">
      <c r="A273" s="4" t="s">
        <v>93</v>
      </c>
      <c r="B273" s="8">
        <v>0.33</v>
      </c>
      <c r="C273" s="15">
        <v>0.78</v>
      </c>
      <c r="D273" s="8">
        <v>0.78</v>
      </c>
      <c r="E273" s="10" t="s">
        <v>228</v>
      </c>
      <c r="F273" s="11" t="s">
        <v>216</v>
      </c>
      <c r="G273" s="12" t="s">
        <v>340</v>
      </c>
      <c r="H273" s="13" t="s">
        <v>216</v>
      </c>
      <c r="I273" s="14">
        <v>9</v>
      </c>
      <c r="J273" s="14" t="s">
        <v>10</v>
      </c>
      <c r="K273" s="5" t="s">
        <v>209</v>
      </c>
      <c r="L273" s="6">
        <v>0.83333333333333337</v>
      </c>
      <c r="M273" s="7" t="s">
        <v>213</v>
      </c>
      <c r="N273" s="14" t="s">
        <v>11</v>
      </c>
      <c r="O273" s="14">
        <v>9</v>
      </c>
      <c r="P273" s="13" t="s">
        <v>324</v>
      </c>
      <c r="Q273" s="12" t="s">
        <v>241</v>
      </c>
      <c r="R273" s="11" t="s">
        <v>232</v>
      </c>
      <c r="S273" s="10" t="s">
        <v>216</v>
      </c>
      <c r="T273" s="8">
        <v>1</v>
      </c>
      <c r="U273" s="15">
        <v>0.56000000000000005</v>
      </c>
      <c r="V273" s="8">
        <v>0.44</v>
      </c>
      <c r="W273" s="17"/>
      <c r="X273" s="65">
        <v>46250</v>
      </c>
    </row>
    <row r="274" spans="1:24" ht="19.8" thickBot="1" x14ac:dyDescent="0.3">
      <c r="A274" s="4" t="s">
        <v>93</v>
      </c>
      <c r="B274" s="8">
        <v>0.5</v>
      </c>
      <c r="C274" s="15">
        <v>0.7</v>
      </c>
      <c r="D274" s="8">
        <v>1</v>
      </c>
      <c r="E274" s="10" t="s">
        <v>220</v>
      </c>
      <c r="F274" s="11" t="s">
        <v>279</v>
      </c>
      <c r="G274" s="12" t="s">
        <v>272</v>
      </c>
      <c r="H274" s="13" t="s">
        <v>220</v>
      </c>
      <c r="I274" s="14">
        <v>10</v>
      </c>
      <c r="J274" s="14" t="s">
        <v>10</v>
      </c>
      <c r="K274" s="5" t="s">
        <v>969</v>
      </c>
      <c r="L274" s="6">
        <v>0.83333333333333337</v>
      </c>
      <c r="M274" s="7" t="s">
        <v>970</v>
      </c>
      <c r="N274" s="14" t="s">
        <v>11</v>
      </c>
      <c r="O274" s="14">
        <v>9</v>
      </c>
      <c r="P274" s="13" t="s">
        <v>326</v>
      </c>
      <c r="Q274" s="12" t="s">
        <v>388</v>
      </c>
      <c r="R274" s="11" t="s">
        <v>344</v>
      </c>
      <c r="S274" s="10" t="s">
        <v>325</v>
      </c>
      <c r="T274" s="8">
        <v>0.89</v>
      </c>
      <c r="U274" s="15">
        <v>0.78</v>
      </c>
      <c r="V274" s="8">
        <v>0.44</v>
      </c>
      <c r="W274" s="17"/>
      <c r="X274" s="65">
        <v>46250</v>
      </c>
    </row>
    <row r="275" spans="1:24" ht="19.8" thickBot="1" x14ac:dyDescent="0.3">
      <c r="A275" s="4" t="s">
        <v>93</v>
      </c>
      <c r="B275" s="8">
        <v>0.44</v>
      </c>
      <c r="C275" s="15">
        <v>0.67</v>
      </c>
      <c r="D275" s="8">
        <v>0.89</v>
      </c>
      <c r="E275" s="10" t="s">
        <v>284</v>
      </c>
      <c r="F275" s="11" t="s">
        <v>216</v>
      </c>
      <c r="G275" s="12" t="s">
        <v>386</v>
      </c>
      <c r="H275" s="13" t="s">
        <v>231</v>
      </c>
      <c r="I275" s="14">
        <v>9</v>
      </c>
      <c r="J275" s="14" t="s">
        <v>10</v>
      </c>
      <c r="K275" s="5" t="s">
        <v>971</v>
      </c>
      <c r="L275" s="6">
        <v>0.95833333333333337</v>
      </c>
      <c r="M275" s="7" t="s">
        <v>972</v>
      </c>
      <c r="N275" s="14" t="s">
        <v>11</v>
      </c>
      <c r="O275" s="14">
        <v>7</v>
      </c>
      <c r="P275" s="13" t="s">
        <v>292</v>
      </c>
      <c r="Q275" s="12" t="s">
        <v>392</v>
      </c>
      <c r="R275" s="11" t="s">
        <v>389</v>
      </c>
      <c r="S275" s="10" t="s">
        <v>400</v>
      </c>
      <c r="T275" s="8">
        <v>1</v>
      </c>
      <c r="U275" s="15">
        <v>0.56999999999999995</v>
      </c>
      <c r="V275" s="8">
        <v>0.43</v>
      </c>
      <c r="W275" s="17"/>
      <c r="X275" s="65">
        <v>46250</v>
      </c>
    </row>
    <row r="276" spans="1:24" ht="13.8" thickBot="1" x14ac:dyDescent="0.3">
      <c r="A276" s="4" t="s">
        <v>93</v>
      </c>
      <c r="B276" s="8">
        <v>0.22</v>
      </c>
      <c r="C276" s="15">
        <v>0.56000000000000005</v>
      </c>
      <c r="D276" s="8">
        <v>0.67</v>
      </c>
      <c r="E276" s="10" t="s">
        <v>306</v>
      </c>
      <c r="F276" s="11" t="s">
        <v>229</v>
      </c>
      <c r="G276" s="12" t="s">
        <v>387</v>
      </c>
      <c r="H276" s="13" t="s">
        <v>216</v>
      </c>
      <c r="I276" s="14">
        <v>9</v>
      </c>
      <c r="J276" s="14" t="s">
        <v>10</v>
      </c>
      <c r="K276" s="5" t="s">
        <v>973</v>
      </c>
      <c r="L276" s="6">
        <v>0.95833333333333337</v>
      </c>
      <c r="M276" s="7" t="s">
        <v>974</v>
      </c>
      <c r="N276" s="14" t="s">
        <v>11</v>
      </c>
      <c r="O276" s="14">
        <v>10</v>
      </c>
      <c r="P276" s="13" t="s">
        <v>227</v>
      </c>
      <c r="Q276" s="12" t="s">
        <v>282</v>
      </c>
      <c r="R276" s="11" t="s">
        <v>220</v>
      </c>
      <c r="S276" s="10" t="s">
        <v>274</v>
      </c>
      <c r="T276" s="8">
        <v>0.8</v>
      </c>
      <c r="U276" s="15">
        <v>0.6</v>
      </c>
      <c r="V276" s="8">
        <v>0.2</v>
      </c>
      <c r="W276" s="17"/>
      <c r="X276" s="65">
        <v>46250</v>
      </c>
    </row>
    <row r="277" spans="1:24" ht="13.8" thickBot="1" x14ac:dyDescent="0.3">
      <c r="A277" s="4" t="s">
        <v>93</v>
      </c>
      <c r="B277" s="8">
        <v>0.38</v>
      </c>
      <c r="C277" s="9">
        <v>0.5</v>
      </c>
      <c r="D277" s="8">
        <v>0.62</v>
      </c>
      <c r="E277" s="10" t="s">
        <v>217</v>
      </c>
      <c r="F277" s="11" t="s">
        <v>239</v>
      </c>
      <c r="G277" s="12" t="s">
        <v>394</v>
      </c>
      <c r="H277" s="13" t="s">
        <v>240</v>
      </c>
      <c r="I277" s="14">
        <v>8</v>
      </c>
      <c r="J277" s="14" t="s">
        <v>10</v>
      </c>
      <c r="K277" s="5" t="s">
        <v>975</v>
      </c>
      <c r="L277" s="6">
        <v>0.97916666666666663</v>
      </c>
      <c r="M277" s="7" t="s">
        <v>976</v>
      </c>
      <c r="N277" s="14" t="s">
        <v>11</v>
      </c>
      <c r="O277" s="14">
        <v>7</v>
      </c>
      <c r="P277" s="13" t="s">
        <v>395</v>
      </c>
      <c r="Q277" s="12" t="s">
        <v>399</v>
      </c>
      <c r="R277" s="11" t="s">
        <v>290</v>
      </c>
      <c r="S277" s="10" t="s">
        <v>389</v>
      </c>
      <c r="T277" s="8">
        <v>0.71</v>
      </c>
      <c r="U277" s="9">
        <v>0.43</v>
      </c>
      <c r="V277" s="8">
        <v>0.28999999999999998</v>
      </c>
      <c r="W277" s="17"/>
      <c r="X277" s="65">
        <v>46250</v>
      </c>
    </row>
    <row r="278" spans="1:24" ht="19.8" thickBot="1" x14ac:dyDescent="0.3">
      <c r="A278" s="4" t="s">
        <v>93</v>
      </c>
      <c r="B278" s="8">
        <v>0.2</v>
      </c>
      <c r="C278" s="9">
        <v>0.4</v>
      </c>
      <c r="D278" s="8">
        <v>0.6</v>
      </c>
      <c r="E278" s="10" t="s">
        <v>270</v>
      </c>
      <c r="F278" s="11" t="s">
        <v>274</v>
      </c>
      <c r="G278" s="12" t="s">
        <v>279</v>
      </c>
      <c r="H278" s="13" t="s">
        <v>270</v>
      </c>
      <c r="I278" s="14">
        <v>10</v>
      </c>
      <c r="J278" s="14" t="s">
        <v>10</v>
      </c>
      <c r="K278" s="5" t="s">
        <v>977</v>
      </c>
      <c r="L278" s="6">
        <v>0</v>
      </c>
      <c r="M278" s="7" t="s">
        <v>978</v>
      </c>
      <c r="N278" s="14" t="s">
        <v>11</v>
      </c>
      <c r="O278" s="14">
        <v>10</v>
      </c>
      <c r="P278" s="13" t="s">
        <v>335</v>
      </c>
      <c r="Q278" s="12" t="s">
        <v>276</v>
      </c>
      <c r="R278" s="11" t="s">
        <v>384</v>
      </c>
      <c r="S278" s="10" t="s">
        <v>233</v>
      </c>
      <c r="T278" s="8">
        <v>0.7</v>
      </c>
      <c r="U278" s="9">
        <v>0.5</v>
      </c>
      <c r="V278" s="8">
        <v>0.5</v>
      </c>
      <c r="W278" s="17"/>
      <c r="X278" s="65">
        <v>46250</v>
      </c>
    </row>
    <row r="279" spans="1:24" ht="19.8" thickBot="1" x14ac:dyDescent="0.3">
      <c r="A279" s="4" t="s">
        <v>93</v>
      </c>
      <c r="B279" s="8">
        <v>0.12</v>
      </c>
      <c r="C279" s="9">
        <v>0.25</v>
      </c>
      <c r="D279" s="8">
        <v>0.62</v>
      </c>
      <c r="E279" s="10" t="s">
        <v>296</v>
      </c>
      <c r="F279" s="11" t="s">
        <v>294</v>
      </c>
      <c r="G279" s="12" t="s">
        <v>216</v>
      </c>
      <c r="H279" s="13" t="s">
        <v>223</v>
      </c>
      <c r="I279" s="14">
        <v>8</v>
      </c>
      <c r="J279" s="14" t="s">
        <v>10</v>
      </c>
      <c r="K279" s="5" t="s">
        <v>979</v>
      </c>
      <c r="L279" s="6">
        <v>0</v>
      </c>
      <c r="M279" s="7" t="s">
        <v>980</v>
      </c>
      <c r="N279" s="14" t="s">
        <v>11</v>
      </c>
      <c r="O279" s="14">
        <v>9</v>
      </c>
      <c r="P279" s="13" t="s">
        <v>284</v>
      </c>
      <c r="Q279" s="12" t="s">
        <v>379</v>
      </c>
      <c r="R279" s="11" t="s">
        <v>216</v>
      </c>
      <c r="S279" s="10" t="s">
        <v>333</v>
      </c>
      <c r="T279" s="8">
        <v>0.89</v>
      </c>
      <c r="U279" s="15">
        <v>0.67</v>
      </c>
      <c r="V279" s="8">
        <v>0.44</v>
      </c>
      <c r="W279" s="17"/>
      <c r="X279" s="65">
        <v>46250</v>
      </c>
    </row>
    <row r="280" spans="1:24" ht="13.8" thickBot="1" x14ac:dyDescent="0.3">
      <c r="A280" s="4" t="s">
        <v>93</v>
      </c>
      <c r="B280" s="8">
        <v>0.11</v>
      </c>
      <c r="C280" s="9">
        <v>0.33</v>
      </c>
      <c r="D280" s="8">
        <v>0.67</v>
      </c>
      <c r="E280" s="10" t="s">
        <v>306</v>
      </c>
      <c r="F280" s="11" t="s">
        <v>228</v>
      </c>
      <c r="G280" s="12" t="s">
        <v>216</v>
      </c>
      <c r="H280" s="13" t="s">
        <v>232</v>
      </c>
      <c r="I280" s="14">
        <v>9</v>
      </c>
      <c r="J280" s="14" t="s">
        <v>10</v>
      </c>
      <c r="K280" s="5" t="s">
        <v>981</v>
      </c>
      <c r="L280" s="6">
        <v>2.0833333333333332E-2</v>
      </c>
      <c r="M280" s="7" t="s">
        <v>982</v>
      </c>
      <c r="N280" s="14" t="s">
        <v>11</v>
      </c>
      <c r="O280" s="14">
        <v>9</v>
      </c>
      <c r="P280" s="13" t="s">
        <v>310</v>
      </c>
      <c r="Q280" s="12" t="s">
        <v>416</v>
      </c>
      <c r="R280" s="11" t="s">
        <v>284</v>
      </c>
      <c r="S280" s="10" t="s">
        <v>325</v>
      </c>
      <c r="T280" s="8">
        <v>1</v>
      </c>
      <c r="U280" s="15">
        <v>0.89</v>
      </c>
      <c r="V280" s="8">
        <v>0.67</v>
      </c>
      <c r="W280" s="17"/>
      <c r="X280" s="65">
        <v>46250</v>
      </c>
    </row>
    <row r="281" spans="1:24" ht="19.8" thickBot="1" x14ac:dyDescent="0.3">
      <c r="A281" s="4" t="s">
        <v>93</v>
      </c>
      <c r="B281" s="8">
        <v>0.25</v>
      </c>
      <c r="C281" s="9">
        <v>0.5</v>
      </c>
      <c r="D281" s="8">
        <v>0.88</v>
      </c>
      <c r="E281" s="10" t="s">
        <v>296</v>
      </c>
      <c r="F281" s="11" t="s">
        <v>216</v>
      </c>
      <c r="G281" s="12" t="s">
        <v>329</v>
      </c>
      <c r="H281" s="13" t="s">
        <v>216</v>
      </c>
      <c r="I281" s="14">
        <v>8</v>
      </c>
      <c r="J281" s="14" t="s">
        <v>10</v>
      </c>
      <c r="K281" s="5" t="s">
        <v>983</v>
      </c>
      <c r="L281" s="6">
        <v>4.1666666666666664E-2</v>
      </c>
      <c r="M281" s="7" t="s">
        <v>984</v>
      </c>
      <c r="N281" s="14" t="s">
        <v>11</v>
      </c>
      <c r="O281" s="14">
        <v>8</v>
      </c>
      <c r="P281" s="13" t="s">
        <v>294</v>
      </c>
      <c r="Q281" s="12" t="s">
        <v>394</v>
      </c>
      <c r="R281" s="11" t="s">
        <v>286</v>
      </c>
      <c r="S281" s="10" t="s">
        <v>293</v>
      </c>
      <c r="T281" s="8">
        <v>0.75</v>
      </c>
      <c r="U281" s="9">
        <v>0.5</v>
      </c>
      <c r="V281" s="8">
        <v>0.38</v>
      </c>
      <c r="W281" s="17"/>
      <c r="X281" s="65">
        <v>46250</v>
      </c>
    </row>
    <row r="282" spans="1:24" ht="19.8" thickBot="1" x14ac:dyDescent="0.3">
      <c r="A282" s="4" t="s">
        <v>93</v>
      </c>
      <c r="B282" s="8">
        <v>0.45</v>
      </c>
      <c r="C282" s="15">
        <v>0.73</v>
      </c>
      <c r="D282" s="8">
        <v>0.73</v>
      </c>
      <c r="E282" s="10" t="s">
        <v>217</v>
      </c>
      <c r="F282" s="11" t="s">
        <v>311</v>
      </c>
      <c r="G282" s="12" t="s">
        <v>263</v>
      </c>
      <c r="H282" s="13" t="s">
        <v>312</v>
      </c>
      <c r="I282" s="14">
        <v>11</v>
      </c>
      <c r="J282" s="14" t="s">
        <v>10</v>
      </c>
      <c r="K282" s="5" t="s">
        <v>985</v>
      </c>
      <c r="L282" s="6">
        <v>0.95833333333333337</v>
      </c>
      <c r="M282" s="7" t="s">
        <v>986</v>
      </c>
      <c r="N282" s="14" t="s">
        <v>11</v>
      </c>
      <c r="O282" s="14">
        <v>11</v>
      </c>
      <c r="P282" s="13" t="s">
        <v>298</v>
      </c>
      <c r="Q282" s="12" t="s">
        <v>299</v>
      </c>
      <c r="R282" s="11" t="s">
        <v>313</v>
      </c>
      <c r="S282" s="10" t="s">
        <v>303</v>
      </c>
      <c r="T282" s="8">
        <v>0.73</v>
      </c>
      <c r="U282" s="15">
        <v>0.55000000000000004</v>
      </c>
      <c r="V282" s="8">
        <v>0.18</v>
      </c>
      <c r="W282" s="17"/>
      <c r="X282" s="65">
        <v>46250</v>
      </c>
    </row>
    <row r="283" spans="1:24" ht="19.8" thickBot="1" x14ac:dyDescent="0.3">
      <c r="A283" s="4" t="s">
        <v>93</v>
      </c>
      <c r="B283" s="8">
        <v>0.22</v>
      </c>
      <c r="C283" s="15">
        <v>0.56000000000000005</v>
      </c>
      <c r="D283" s="8">
        <v>0.89</v>
      </c>
      <c r="E283" s="10" t="s">
        <v>284</v>
      </c>
      <c r="F283" s="11" t="s">
        <v>229</v>
      </c>
      <c r="G283" s="12" t="s">
        <v>341</v>
      </c>
      <c r="H283" s="13" t="s">
        <v>224</v>
      </c>
      <c r="I283" s="14">
        <v>9</v>
      </c>
      <c r="J283" s="14" t="s">
        <v>10</v>
      </c>
      <c r="K283" s="5" t="s">
        <v>987</v>
      </c>
      <c r="L283" s="6">
        <v>0.85416666666666663</v>
      </c>
      <c r="M283" s="7" t="s">
        <v>988</v>
      </c>
      <c r="N283" s="14" t="s">
        <v>11</v>
      </c>
      <c r="O283" s="14">
        <v>10</v>
      </c>
      <c r="P283" s="13" t="s">
        <v>271</v>
      </c>
      <c r="Q283" s="12" t="s">
        <v>371</v>
      </c>
      <c r="R283" s="11" t="s">
        <v>274</v>
      </c>
      <c r="S283" s="10" t="s">
        <v>271</v>
      </c>
      <c r="T283" s="8">
        <v>0.6</v>
      </c>
      <c r="U283" s="9">
        <v>0.5</v>
      </c>
      <c r="V283" s="8">
        <v>0.3</v>
      </c>
      <c r="W283" s="17"/>
      <c r="X283" s="65">
        <v>46250</v>
      </c>
    </row>
    <row r="284" spans="1:24" ht="19.8" thickBot="1" x14ac:dyDescent="0.3">
      <c r="A284" s="4" t="s">
        <v>93</v>
      </c>
      <c r="B284" s="8">
        <v>0.44</v>
      </c>
      <c r="C284" s="15">
        <v>0.67</v>
      </c>
      <c r="D284" s="8">
        <v>0.89</v>
      </c>
      <c r="E284" s="10" t="s">
        <v>217</v>
      </c>
      <c r="F284" s="11" t="s">
        <v>333</v>
      </c>
      <c r="G284" s="12" t="s">
        <v>340</v>
      </c>
      <c r="H284" s="13" t="s">
        <v>230</v>
      </c>
      <c r="I284" s="14">
        <v>9</v>
      </c>
      <c r="J284" s="14" t="s">
        <v>10</v>
      </c>
      <c r="K284" s="5" t="s">
        <v>989</v>
      </c>
      <c r="L284" s="6">
        <v>0.875</v>
      </c>
      <c r="M284" s="7" t="s">
        <v>990</v>
      </c>
      <c r="N284" s="14" t="s">
        <v>11</v>
      </c>
      <c r="O284" s="14">
        <v>10</v>
      </c>
      <c r="P284" s="13" t="s">
        <v>266</v>
      </c>
      <c r="Q284" s="12" t="s">
        <v>383</v>
      </c>
      <c r="R284" s="11" t="s">
        <v>384</v>
      </c>
      <c r="S284" s="10" t="s">
        <v>221</v>
      </c>
      <c r="T284" s="8">
        <v>0.8</v>
      </c>
      <c r="U284" s="15">
        <v>0.7</v>
      </c>
      <c r="V284" s="8">
        <v>0.5</v>
      </c>
      <c r="W284" s="17"/>
      <c r="X284" s="65">
        <v>46250</v>
      </c>
    </row>
    <row r="285" spans="1:24" ht="19.8" thickBot="1" x14ac:dyDescent="0.3">
      <c r="A285" s="4" t="s">
        <v>93</v>
      </c>
      <c r="B285" s="8">
        <v>0.38</v>
      </c>
      <c r="C285" s="9">
        <v>0.38</v>
      </c>
      <c r="D285" s="8">
        <v>0.88</v>
      </c>
      <c r="E285" s="10" t="s">
        <v>247</v>
      </c>
      <c r="F285" s="11" t="s">
        <v>216</v>
      </c>
      <c r="G285" s="12" t="s">
        <v>221</v>
      </c>
      <c r="H285" s="13" t="s">
        <v>225</v>
      </c>
      <c r="I285" s="14">
        <v>8</v>
      </c>
      <c r="J285" s="14" t="s">
        <v>10</v>
      </c>
      <c r="K285" s="5" t="s">
        <v>991</v>
      </c>
      <c r="L285" s="6">
        <v>0.94791666666666663</v>
      </c>
      <c r="M285" s="7" t="s">
        <v>992</v>
      </c>
      <c r="N285" s="14" t="s">
        <v>11</v>
      </c>
      <c r="O285" s="14">
        <v>9</v>
      </c>
      <c r="P285" s="13" t="s">
        <v>324</v>
      </c>
      <c r="Q285" s="12" t="s">
        <v>325</v>
      </c>
      <c r="R285" s="11" t="s">
        <v>306</v>
      </c>
      <c r="S285" s="10" t="s">
        <v>343</v>
      </c>
      <c r="T285" s="8">
        <v>0.67</v>
      </c>
      <c r="U285" s="15">
        <v>0.56000000000000005</v>
      </c>
      <c r="V285" s="8">
        <v>0.33</v>
      </c>
      <c r="W285" s="17"/>
      <c r="X285" s="65">
        <v>46250</v>
      </c>
    </row>
    <row r="286" spans="1:24" ht="19.8" thickBot="1" x14ac:dyDescent="0.3">
      <c r="A286" s="4" t="s">
        <v>93</v>
      </c>
      <c r="B286" s="8">
        <v>0.67</v>
      </c>
      <c r="C286" s="15">
        <v>0.89</v>
      </c>
      <c r="D286" s="8">
        <v>1</v>
      </c>
      <c r="E286" s="10" t="s">
        <v>344</v>
      </c>
      <c r="F286" s="11" t="s">
        <v>333</v>
      </c>
      <c r="G286" s="12" t="s">
        <v>409</v>
      </c>
      <c r="H286" s="13" t="s">
        <v>232</v>
      </c>
      <c r="I286" s="14">
        <v>9</v>
      </c>
      <c r="J286" s="14" t="s">
        <v>10</v>
      </c>
      <c r="K286" s="5" t="s">
        <v>993</v>
      </c>
      <c r="L286" s="6">
        <v>0.875</v>
      </c>
      <c r="M286" s="7" t="s">
        <v>994</v>
      </c>
      <c r="N286" s="14" t="s">
        <v>11</v>
      </c>
      <c r="O286" s="14">
        <v>8</v>
      </c>
      <c r="P286" s="13" t="s">
        <v>237</v>
      </c>
      <c r="Q286" s="12" t="s">
        <v>295</v>
      </c>
      <c r="R286" s="11" t="s">
        <v>222</v>
      </c>
      <c r="S286" s="10" t="s">
        <v>239</v>
      </c>
      <c r="T286" s="8">
        <v>0.75</v>
      </c>
      <c r="U286" s="9">
        <v>0.5</v>
      </c>
      <c r="V286" s="8">
        <v>0.12</v>
      </c>
      <c r="W286" s="17"/>
      <c r="X286" s="65">
        <v>46250</v>
      </c>
    </row>
    <row r="287" spans="1:24" ht="19.8" thickBot="1" x14ac:dyDescent="0.3">
      <c r="A287" s="4" t="s">
        <v>93</v>
      </c>
      <c r="B287" s="63"/>
      <c r="C287" s="63"/>
      <c r="D287" s="63"/>
      <c r="E287" s="63"/>
      <c r="F287" s="63"/>
      <c r="G287" s="63"/>
      <c r="H287" s="63"/>
      <c r="I287" s="64"/>
      <c r="J287" s="14" t="s">
        <v>10</v>
      </c>
      <c r="K287" s="5" t="s">
        <v>995</v>
      </c>
      <c r="L287" s="6">
        <v>0.9375</v>
      </c>
      <c r="M287" s="7" t="s">
        <v>996</v>
      </c>
      <c r="N287" s="14" t="s">
        <v>11</v>
      </c>
      <c r="O287" s="64"/>
      <c r="P287" s="63"/>
      <c r="Q287" s="63"/>
      <c r="R287" s="63"/>
      <c r="S287" s="63"/>
      <c r="T287" s="63"/>
      <c r="U287" s="63"/>
      <c r="V287" s="63"/>
      <c r="W287" s="17"/>
      <c r="X287" s="65">
        <v>46250</v>
      </c>
    </row>
    <row r="288" spans="1:24" ht="13.8" thickBot="1" x14ac:dyDescent="0.3">
      <c r="A288" s="51" t="s">
        <v>245</v>
      </c>
      <c r="B288" s="66"/>
      <c r="C288" s="66"/>
      <c r="D288" s="66"/>
      <c r="E288" s="66"/>
      <c r="F288" s="66"/>
      <c r="G288" s="66"/>
      <c r="H288" s="66"/>
      <c r="I288" s="3"/>
      <c r="J288" s="58" t="s">
        <v>10</v>
      </c>
      <c r="K288" s="59" t="s">
        <v>997</v>
      </c>
      <c r="L288" s="60">
        <v>0.70833333333333337</v>
      </c>
      <c r="M288" s="61" t="s">
        <v>998</v>
      </c>
      <c r="N288" s="58" t="s">
        <v>11</v>
      </c>
      <c r="O288" s="3"/>
      <c r="P288" s="66"/>
      <c r="Q288" s="66"/>
      <c r="R288" s="66"/>
      <c r="S288" s="66"/>
      <c r="T288" s="66"/>
      <c r="U288" s="66"/>
      <c r="V288" s="66"/>
      <c r="W288" s="62"/>
      <c r="X288" s="65">
        <v>46251</v>
      </c>
    </row>
    <row r="289" spans="1:24" ht="13.8" thickBot="1" x14ac:dyDescent="0.3">
      <c r="A289" s="4" t="s">
        <v>243</v>
      </c>
      <c r="B289" s="63"/>
      <c r="C289" s="63"/>
      <c r="D289" s="63"/>
      <c r="E289" s="63"/>
      <c r="F289" s="63"/>
      <c r="G289" s="63"/>
      <c r="H289" s="63"/>
      <c r="I289" s="64"/>
      <c r="J289" s="14" t="s">
        <v>10</v>
      </c>
      <c r="K289" s="5" t="s">
        <v>999</v>
      </c>
      <c r="L289" s="6">
        <v>0.71875</v>
      </c>
      <c r="M289" s="7" t="s">
        <v>1000</v>
      </c>
      <c r="N289" s="14" t="s">
        <v>11</v>
      </c>
      <c r="O289" s="64"/>
      <c r="P289" s="63"/>
      <c r="Q289" s="63"/>
      <c r="R289" s="63"/>
      <c r="S289" s="63"/>
      <c r="T289" s="63"/>
      <c r="U289" s="63"/>
      <c r="V289" s="63"/>
      <c r="W289" s="17"/>
      <c r="X289" s="65">
        <v>46251</v>
      </c>
    </row>
    <row r="290" spans="1:24" ht="13.8" thickBot="1" x14ac:dyDescent="0.3">
      <c r="A290" s="4" t="s">
        <v>244</v>
      </c>
      <c r="B290" s="63"/>
      <c r="C290" s="63"/>
      <c r="D290" s="63"/>
      <c r="E290" s="63"/>
      <c r="F290" s="63"/>
      <c r="G290" s="63"/>
      <c r="H290" s="63"/>
      <c r="I290" s="64"/>
      <c r="J290" s="14" t="s">
        <v>10</v>
      </c>
      <c r="K290" s="5" t="s">
        <v>1001</v>
      </c>
      <c r="L290" s="6">
        <v>0.70833333333333337</v>
      </c>
      <c r="M290" s="7" t="s">
        <v>1002</v>
      </c>
      <c r="N290" s="14" t="s">
        <v>11</v>
      </c>
      <c r="O290" s="64"/>
      <c r="P290" s="63"/>
      <c r="Q290" s="63"/>
      <c r="R290" s="63"/>
      <c r="S290" s="63"/>
      <c r="T290" s="63"/>
      <c r="U290" s="63"/>
      <c r="V290" s="63"/>
      <c r="W290" s="17"/>
      <c r="X290" s="65">
        <v>46251</v>
      </c>
    </row>
    <row r="291" spans="1:24" ht="19.8" thickBot="1" x14ac:dyDescent="0.3">
      <c r="A291" s="4" t="s">
        <v>245</v>
      </c>
      <c r="B291" s="63"/>
      <c r="C291" s="63"/>
      <c r="D291" s="63"/>
      <c r="E291" s="63"/>
      <c r="F291" s="63"/>
      <c r="G291" s="63"/>
      <c r="H291" s="63"/>
      <c r="I291" s="64"/>
      <c r="J291" s="14" t="s">
        <v>10</v>
      </c>
      <c r="K291" s="5" t="s">
        <v>1003</v>
      </c>
      <c r="L291" s="6">
        <v>0.625</v>
      </c>
      <c r="M291" s="7" t="s">
        <v>1004</v>
      </c>
      <c r="N291" s="14" t="s">
        <v>11</v>
      </c>
      <c r="O291" s="64"/>
      <c r="P291" s="63"/>
      <c r="Q291" s="63"/>
      <c r="R291" s="63"/>
      <c r="S291" s="63"/>
      <c r="T291" s="63"/>
      <c r="U291" s="63"/>
      <c r="V291" s="63"/>
      <c r="W291" s="17"/>
      <c r="X291" s="65">
        <v>46251</v>
      </c>
    </row>
    <row r="292" spans="1:24" ht="13.8" thickBot="1" x14ac:dyDescent="0.3">
      <c r="A292" s="4" t="s">
        <v>245</v>
      </c>
      <c r="B292" s="63"/>
      <c r="C292" s="63"/>
      <c r="D292" s="63"/>
      <c r="E292" s="63"/>
      <c r="F292" s="63"/>
      <c r="G292" s="63"/>
      <c r="H292" s="63"/>
      <c r="I292" s="64"/>
      <c r="J292" s="14" t="s">
        <v>10</v>
      </c>
      <c r="K292" s="5" t="s">
        <v>1005</v>
      </c>
      <c r="L292" s="6">
        <v>0.72916666666666663</v>
      </c>
      <c r="M292" s="7" t="s">
        <v>1006</v>
      </c>
      <c r="N292" s="14" t="s">
        <v>11</v>
      </c>
      <c r="O292" s="64"/>
      <c r="P292" s="63"/>
      <c r="Q292" s="63"/>
      <c r="R292" s="63"/>
      <c r="S292" s="63"/>
      <c r="T292" s="63"/>
      <c r="U292" s="63"/>
      <c r="V292" s="63"/>
      <c r="W292" s="17"/>
      <c r="X292" s="65">
        <v>46251</v>
      </c>
    </row>
    <row r="293" spans="1:24" ht="19.8" thickBot="1" x14ac:dyDescent="0.3">
      <c r="A293" s="4" t="s">
        <v>242</v>
      </c>
      <c r="B293" s="63"/>
      <c r="C293" s="63"/>
      <c r="D293" s="63"/>
      <c r="E293" s="63"/>
      <c r="F293" s="63"/>
      <c r="G293" s="63"/>
      <c r="H293" s="63"/>
      <c r="I293" s="64"/>
      <c r="J293" s="14" t="s">
        <v>10</v>
      </c>
      <c r="K293" s="5" t="s">
        <v>1007</v>
      </c>
      <c r="L293" s="6">
        <v>0.66666666666666663</v>
      </c>
      <c r="M293" s="7" t="s">
        <v>1008</v>
      </c>
      <c r="N293" s="14" t="s">
        <v>11</v>
      </c>
      <c r="O293" s="64"/>
      <c r="P293" s="63"/>
      <c r="Q293" s="63"/>
      <c r="R293" s="63"/>
      <c r="S293" s="63"/>
      <c r="T293" s="63"/>
      <c r="U293" s="63"/>
      <c r="V293" s="63"/>
      <c r="W293" s="17"/>
      <c r="X293" s="65">
        <v>46251</v>
      </c>
    </row>
    <row r="294" spans="1:24" ht="13.8" thickBot="1" x14ac:dyDescent="0.3">
      <c r="A294" s="4" t="s">
        <v>242</v>
      </c>
      <c r="B294" s="63"/>
      <c r="C294" s="63"/>
      <c r="D294" s="63"/>
      <c r="E294" s="63"/>
      <c r="F294" s="63"/>
      <c r="G294" s="63"/>
      <c r="H294" s="63"/>
      <c r="I294" s="64"/>
      <c r="J294" s="14" t="s">
        <v>10</v>
      </c>
      <c r="K294" s="5" t="s">
        <v>1009</v>
      </c>
      <c r="L294" s="6">
        <v>0.66666666666666663</v>
      </c>
      <c r="M294" s="7" t="s">
        <v>1010</v>
      </c>
      <c r="N294" s="14" t="s">
        <v>11</v>
      </c>
      <c r="O294" s="64"/>
      <c r="P294" s="63"/>
      <c r="Q294" s="63"/>
      <c r="R294" s="63"/>
      <c r="S294" s="63"/>
      <c r="T294" s="63"/>
      <c r="U294" s="63"/>
      <c r="V294" s="63"/>
      <c r="W294" s="17"/>
      <c r="X294" s="65">
        <v>46251</v>
      </c>
    </row>
    <row r="295" spans="1:24" ht="19.8" thickBot="1" x14ac:dyDescent="0.3">
      <c r="A295" s="4" t="s">
        <v>242</v>
      </c>
      <c r="B295" s="63"/>
      <c r="C295" s="63"/>
      <c r="D295" s="63"/>
      <c r="E295" s="63"/>
      <c r="F295" s="63"/>
      <c r="G295" s="63"/>
      <c r="H295" s="63"/>
      <c r="I295" s="64"/>
      <c r="J295" s="14" t="s">
        <v>10</v>
      </c>
      <c r="K295" s="5" t="s">
        <v>1011</v>
      </c>
      <c r="L295" s="6">
        <v>0.66666666666666663</v>
      </c>
      <c r="M295" s="7" t="s">
        <v>1012</v>
      </c>
      <c r="N295" s="14" t="s">
        <v>11</v>
      </c>
      <c r="O295" s="64"/>
      <c r="P295" s="63"/>
      <c r="Q295" s="63"/>
      <c r="R295" s="63"/>
      <c r="S295" s="63"/>
      <c r="T295" s="63"/>
      <c r="U295" s="63"/>
      <c r="V295" s="63"/>
      <c r="W295" s="17"/>
      <c r="X295" s="65">
        <v>46251</v>
      </c>
    </row>
    <row r="296" spans="1:24" ht="13.8" thickBot="1" x14ac:dyDescent="0.3">
      <c r="A296" s="4" t="s">
        <v>117</v>
      </c>
      <c r="B296" s="8">
        <v>0</v>
      </c>
      <c r="C296" s="9">
        <v>0</v>
      </c>
      <c r="D296" s="8">
        <v>0</v>
      </c>
      <c r="E296" s="10" t="s">
        <v>219</v>
      </c>
      <c r="F296" s="11" t="s">
        <v>247</v>
      </c>
      <c r="G296" s="12" t="s">
        <v>247</v>
      </c>
      <c r="H296" s="13" t="s">
        <v>216</v>
      </c>
      <c r="I296" s="14">
        <v>2</v>
      </c>
      <c r="J296" s="14" t="s">
        <v>10</v>
      </c>
      <c r="K296" s="5" t="s">
        <v>1013</v>
      </c>
      <c r="L296" s="6">
        <v>0.65625</v>
      </c>
      <c r="M296" s="7" t="s">
        <v>1014</v>
      </c>
      <c r="N296" s="14" t="s">
        <v>11</v>
      </c>
      <c r="O296" s="14">
        <v>2</v>
      </c>
      <c r="P296" s="13" t="s">
        <v>216</v>
      </c>
      <c r="Q296" s="12" t="s">
        <v>217</v>
      </c>
      <c r="R296" s="11" t="s">
        <v>217</v>
      </c>
      <c r="S296" s="10" t="s">
        <v>219</v>
      </c>
      <c r="T296" s="8">
        <v>0.5</v>
      </c>
      <c r="U296" s="9">
        <v>0</v>
      </c>
      <c r="V296" s="8">
        <v>0</v>
      </c>
      <c r="W296" s="17"/>
      <c r="X296" s="65">
        <v>46251</v>
      </c>
    </row>
    <row r="297" spans="1:24" ht="19.8" thickBot="1" x14ac:dyDescent="0.3">
      <c r="A297" s="4" t="s">
        <v>117</v>
      </c>
      <c r="B297" s="8">
        <v>0</v>
      </c>
      <c r="C297" s="9">
        <v>0</v>
      </c>
      <c r="D297" s="8">
        <v>0</v>
      </c>
      <c r="E297" s="10" t="s">
        <v>247</v>
      </c>
      <c r="F297" s="11" t="s">
        <v>247</v>
      </c>
      <c r="G297" s="12" t="s">
        <v>217</v>
      </c>
      <c r="H297" s="13" t="s">
        <v>220</v>
      </c>
      <c r="I297" s="14">
        <v>2</v>
      </c>
      <c r="J297" s="14" t="s">
        <v>10</v>
      </c>
      <c r="K297" s="5" t="s">
        <v>1015</v>
      </c>
      <c r="L297" s="6">
        <v>0.75</v>
      </c>
      <c r="M297" s="7" t="s">
        <v>1016</v>
      </c>
      <c r="N297" s="14" t="s">
        <v>11</v>
      </c>
      <c r="O297" s="14">
        <v>2</v>
      </c>
      <c r="P297" s="13" t="s">
        <v>220</v>
      </c>
      <c r="Q297" s="12" t="s">
        <v>220</v>
      </c>
      <c r="R297" s="11" t="s">
        <v>217</v>
      </c>
      <c r="S297" s="10" t="s">
        <v>247</v>
      </c>
      <c r="T297" s="8">
        <v>0.5</v>
      </c>
      <c r="U297" s="9">
        <v>0</v>
      </c>
      <c r="V297" s="8">
        <v>0</v>
      </c>
      <c r="W297" s="17"/>
      <c r="X297" s="65">
        <v>46251</v>
      </c>
    </row>
    <row r="298" spans="1:24" ht="19.8" thickBot="1" x14ac:dyDescent="0.3">
      <c r="A298" s="4" t="s">
        <v>117</v>
      </c>
      <c r="B298" s="8">
        <v>0</v>
      </c>
      <c r="C298" s="9">
        <v>0</v>
      </c>
      <c r="D298" s="8">
        <v>0</v>
      </c>
      <c r="E298" s="10" t="s">
        <v>219</v>
      </c>
      <c r="F298" s="11" t="s">
        <v>217</v>
      </c>
      <c r="G298" s="12" t="s">
        <v>217</v>
      </c>
      <c r="H298" s="13" t="s">
        <v>218</v>
      </c>
      <c r="I298" s="14">
        <v>2</v>
      </c>
      <c r="J298" s="14" t="s">
        <v>10</v>
      </c>
      <c r="K298" s="5" t="s">
        <v>1017</v>
      </c>
      <c r="L298" s="6">
        <v>0.84375</v>
      </c>
      <c r="M298" s="7" t="s">
        <v>1018</v>
      </c>
      <c r="N298" s="14" t="s">
        <v>11</v>
      </c>
      <c r="O298" s="14">
        <v>1</v>
      </c>
      <c r="P298" s="13" t="s">
        <v>219</v>
      </c>
      <c r="Q298" s="12" t="s">
        <v>218</v>
      </c>
      <c r="R298" s="11" t="s">
        <v>219</v>
      </c>
      <c r="S298" s="10" t="s">
        <v>218</v>
      </c>
      <c r="T298" s="8">
        <v>1</v>
      </c>
      <c r="U298" s="15">
        <v>1</v>
      </c>
      <c r="V298" s="8">
        <v>0</v>
      </c>
      <c r="W298" s="17"/>
      <c r="X298" s="65">
        <v>46251</v>
      </c>
    </row>
    <row r="299" spans="1:24" ht="19.8" thickBot="1" x14ac:dyDescent="0.3">
      <c r="A299" s="4" t="s">
        <v>117</v>
      </c>
      <c r="B299" s="8">
        <v>0</v>
      </c>
      <c r="C299" s="9">
        <v>0.08</v>
      </c>
      <c r="D299" s="8">
        <v>0.42</v>
      </c>
      <c r="E299" s="10" t="s">
        <v>374</v>
      </c>
      <c r="F299" s="11" t="s">
        <v>310</v>
      </c>
      <c r="G299" s="12" t="s">
        <v>250</v>
      </c>
      <c r="H299" s="13" t="s">
        <v>220</v>
      </c>
      <c r="I299" s="14">
        <v>12</v>
      </c>
      <c r="J299" s="14" t="s">
        <v>10</v>
      </c>
      <c r="K299" s="5" t="s">
        <v>123</v>
      </c>
      <c r="L299" s="6">
        <v>0.66666666666666663</v>
      </c>
      <c r="M299" s="7" t="s">
        <v>118</v>
      </c>
      <c r="N299" s="14" t="s">
        <v>11</v>
      </c>
      <c r="O299" s="14">
        <v>11</v>
      </c>
      <c r="P299" s="13" t="s">
        <v>264</v>
      </c>
      <c r="Q299" s="12" t="s">
        <v>376</v>
      </c>
      <c r="R299" s="11" t="s">
        <v>300</v>
      </c>
      <c r="S299" s="10" t="s">
        <v>265</v>
      </c>
      <c r="T299" s="8">
        <v>0.55000000000000004</v>
      </c>
      <c r="U299" s="9">
        <v>0.27</v>
      </c>
      <c r="V299" s="8">
        <v>0.09</v>
      </c>
      <c r="W299" s="17"/>
      <c r="X299" s="65">
        <v>46251</v>
      </c>
    </row>
    <row r="300" spans="1:24" ht="13.8" thickBot="1" x14ac:dyDescent="0.3">
      <c r="A300" s="4" t="s">
        <v>253</v>
      </c>
      <c r="B300" s="8">
        <v>0</v>
      </c>
      <c r="C300" s="15">
        <v>1</v>
      </c>
      <c r="D300" s="8">
        <v>1</v>
      </c>
      <c r="E300" s="10" t="s">
        <v>219</v>
      </c>
      <c r="F300" s="11" t="s">
        <v>218</v>
      </c>
      <c r="G300" s="12" t="s">
        <v>218</v>
      </c>
      <c r="H300" s="13" t="s">
        <v>218</v>
      </c>
      <c r="I300" s="14">
        <v>1</v>
      </c>
      <c r="J300" s="14" t="s">
        <v>10</v>
      </c>
      <c r="K300" s="5" t="s">
        <v>1019</v>
      </c>
      <c r="L300" s="6">
        <v>0.58333333333333337</v>
      </c>
      <c r="M300" s="7" t="s">
        <v>1020</v>
      </c>
      <c r="N300" s="14" t="s">
        <v>11</v>
      </c>
      <c r="O300" s="64"/>
      <c r="P300" s="63"/>
      <c r="Q300" s="63"/>
      <c r="R300" s="63"/>
      <c r="S300" s="63"/>
      <c r="T300" s="63"/>
      <c r="U300" s="63"/>
      <c r="V300" s="63"/>
      <c r="W300" s="17"/>
      <c r="X300" s="65">
        <v>46251</v>
      </c>
    </row>
    <row r="301" spans="1:24" ht="13.8" thickBot="1" x14ac:dyDescent="0.3">
      <c r="A301" s="4" t="s">
        <v>359</v>
      </c>
      <c r="B301" s="63"/>
      <c r="C301" s="63"/>
      <c r="D301" s="63"/>
      <c r="E301" s="63"/>
      <c r="F301" s="63"/>
      <c r="G301" s="63"/>
      <c r="H301" s="63"/>
      <c r="I301" s="64"/>
      <c r="J301" s="14" t="s">
        <v>10</v>
      </c>
      <c r="K301" s="5" t="s">
        <v>1021</v>
      </c>
      <c r="L301" s="6">
        <v>0.5625</v>
      </c>
      <c r="M301" s="7" t="s">
        <v>1022</v>
      </c>
      <c r="N301" s="14" t="s">
        <v>11</v>
      </c>
      <c r="O301" s="64"/>
      <c r="P301" s="63"/>
      <c r="Q301" s="63"/>
      <c r="R301" s="63"/>
      <c r="S301" s="63"/>
      <c r="T301" s="63"/>
      <c r="U301" s="63"/>
      <c r="V301" s="63"/>
      <c r="W301" s="17"/>
      <c r="X301" s="65">
        <v>46251</v>
      </c>
    </row>
    <row r="302" spans="1:24" ht="19.8" thickBot="1" x14ac:dyDescent="0.3">
      <c r="A302" s="4" t="s">
        <v>289</v>
      </c>
      <c r="B302" s="63"/>
      <c r="C302" s="63"/>
      <c r="D302" s="63"/>
      <c r="E302" s="63"/>
      <c r="F302" s="63"/>
      <c r="G302" s="63"/>
      <c r="H302" s="63"/>
      <c r="I302" s="64"/>
      <c r="J302" s="14" t="s">
        <v>10</v>
      </c>
      <c r="K302" s="5" t="s">
        <v>1023</v>
      </c>
      <c r="L302" s="6">
        <v>0.66666666666666663</v>
      </c>
      <c r="M302" s="7" t="s">
        <v>1024</v>
      </c>
      <c r="N302" s="14" t="s">
        <v>11</v>
      </c>
      <c r="O302" s="64"/>
      <c r="P302" s="63"/>
      <c r="Q302" s="63"/>
      <c r="R302" s="63"/>
      <c r="S302" s="63"/>
      <c r="T302" s="63"/>
      <c r="U302" s="63"/>
      <c r="V302" s="63"/>
      <c r="W302" s="17"/>
      <c r="X302" s="65">
        <v>46251</v>
      </c>
    </row>
    <row r="303" spans="1:24" ht="13.8" thickBot="1" x14ac:dyDescent="0.3">
      <c r="A303" s="4" t="s">
        <v>90</v>
      </c>
      <c r="B303" s="8">
        <v>0.18</v>
      </c>
      <c r="C303" s="9">
        <v>0.36</v>
      </c>
      <c r="D303" s="8">
        <v>0.73</v>
      </c>
      <c r="E303" s="10" t="s">
        <v>301</v>
      </c>
      <c r="F303" s="11" t="s">
        <v>255</v>
      </c>
      <c r="G303" s="12" t="s">
        <v>261</v>
      </c>
      <c r="H303" s="13" t="s">
        <v>301</v>
      </c>
      <c r="I303" s="14">
        <v>11</v>
      </c>
      <c r="J303" s="14" t="s">
        <v>10</v>
      </c>
      <c r="K303" s="5" t="s">
        <v>1025</v>
      </c>
      <c r="L303" s="6">
        <v>0.875</v>
      </c>
      <c r="M303" s="7" t="s">
        <v>1026</v>
      </c>
      <c r="N303" s="14" t="s">
        <v>11</v>
      </c>
      <c r="O303" s="14">
        <v>11</v>
      </c>
      <c r="P303" s="13" t="s">
        <v>298</v>
      </c>
      <c r="Q303" s="12" t="s">
        <v>378</v>
      </c>
      <c r="R303" s="11" t="s">
        <v>217</v>
      </c>
      <c r="S303" s="10" t="s">
        <v>315</v>
      </c>
      <c r="T303" s="8">
        <v>0.82</v>
      </c>
      <c r="U303" s="15">
        <v>0.64</v>
      </c>
      <c r="V303" s="8">
        <v>0.27</v>
      </c>
      <c r="W303" s="17"/>
      <c r="X303" s="65">
        <v>46251</v>
      </c>
    </row>
    <row r="304" spans="1:24" ht="13.8" thickBot="1" x14ac:dyDescent="0.3">
      <c r="A304" s="4" t="s">
        <v>90</v>
      </c>
      <c r="B304" s="8">
        <v>0.12</v>
      </c>
      <c r="C304" s="9">
        <v>0.12</v>
      </c>
      <c r="D304" s="8">
        <v>0.38</v>
      </c>
      <c r="E304" s="10" t="s">
        <v>237</v>
      </c>
      <c r="F304" s="11" t="s">
        <v>296</v>
      </c>
      <c r="G304" s="12" t="s">
        <v>220</v>
      </c>
      <c r="H304" s="13" t="s">
        <v>223</v>
      </c>
      <c r="I304" s="14">
        <v>8</v>
      </c>
      <c r="J304" s="14" t="s">
        <v>10</v>
      </c>
      <c r="K304" s="5" t="s">
        <v>1027</v>
      </c>
      <c r="L304" s="6">
        <v>0.875</v>
      </c>
      <c r="M304" s="7" t="s">
        <v>1028</v>
      </c>
      <c r="N304" s="14" t="s">
        <v>11</v>
      </c>
      <c r="O304" s="14">
        <v>7</v>
      </c>
      <c r="P304" s="13" t="s">
        <v>290</v>
      </c>
      <c r="Q304" s="12" t="s">
        <v>390</v>
      </c>
      <c r="R304" s="11" t="s">
        <v>350</v>
      </c>
      <c r="S304" s="10" t="s">
        <v>350</v>
      </c>
      <c r="T304" s="8">
        <v>0.56999999999999995</v>
      </c>
      <c r="U304" s="9">
        <v>0.43</v>
      </c>
      <c r="V304" s="8">
        <v>0.14000000000000001</v>
      </c>
      <c r="W304" s="17"/>
      <c r="X304" s="65">
        <v>46251</v>
      </c>
    </row>
    <row r="305" spans="1:24" ht="13.8" thickBot="1" x14ac:dyDescent="0.3">
      <c r="A305" s="4" t="s">
        <v>90</v>
      </c>
      <c r="B305" s="8">
        <v>0.38</v>
      </c>
      <c r="C305" s="9">
        <v>0.5</v>
      </c>
      <c r="D305" s="8">
        <v>0.75</v>
      </c>
      <c r="E305" s="10" t="s">
        <v>222</v>
      </c>
      <c r="F305" s="11" t="s">
        <v>236</v>
      </c>
      <c r="G305" s="12" t="s">
        <v>394</v>
      </c>
      <c r="H305" s="13" t="s">
        <v>240</v>
      </c>
      <c r="I305" s="14">
        <v>8</v>
      </c>
      <c r="J305" s="14" t="s">
        <v>10</v>
      </c>
      <c r="K305" s="5" t="s">
        <v>428</v>
      </c>
      <c r="L305" s="6">
        <v>0.875</v>
      </c>
      <c r="M305" s="7" t="s">
        <v>1029</v>
      </c>
      <c r="N305" s="14" t="s">
        <v>11</v>
      </c>
      <c r="O305" s="14">
        <v>7</v>
      </c>
      <c r="P305" s="13" t="s">
        <v>292</v>
      </c>
      <c r="Q305" s="12" t="s">
        <v>399</v>
      </c>
      <c r="R305" s="11" t="s">
        <v>217</v>
      </c>
      <c r="S305" s="10" t="s">
        <v>400</v>
      </c>
      <c r="T305" s="8">
        <v>0.86</v>
      </c>
      <c r="U305" s="15">
        <v>0.86</v>
      </c>
      <c r="V305" s="8">
        <v>0</v>
      </c>
      <c r="W305" s="17"/>
      <c r="X305" s="65">
        <v>46251</v>
      </c>
    </row>
    <row r="306" spans="1:24" ht="19.8" thickBot="1" x14ac:dyDescent="0.3">
      <c r="A306" s="4" t="s">
        <v>305</v>
      </c>
      <c r="B306" s="8">
        <v>0.5</v>
      </c>
      <c r="C306" s="9">
        <v>0.5</v>
      </c>
      <c r="D306" s="8">
        <v>0.5</v>
      </c>
      <c r="E306" s="10" t="s">
        <v>217</v>
      </c>
      <c r="F306" s="11" t="s">
        <v>220</v>
      </c>
      <c r="G306" s="12" t="s">
        <v>221</v>
      </c>
      <c r="H306" s="13" t="s">
        <v>216</v>
      </c>
      <c r="I306" s="14">
        <v>2</v>
      </c>
      <c r="J306" s="14" t="s">
        <v>10</v>
      </c>
      <c r="K306" s="5" t="s">
        <v>1030</v>
      </c>
      <c r="L306" s="6">
        <v>0.58333333333333337</v>
      </c>
      <c r="M306" s="7" t="s">
        <v>1031</v>
      </c>
      <c r="N306" s="14" t="s">
        <v>11</v>
      </c>
      <c r="O306" s="14">
        <v>2</v>
      </c>
      <c r="P306" s="13" t="s">
        <v>219</v>
      </c>
      <c r="Q306" s="12" t="s">
        <v>218</v>
      </c>
      <c r="R306" s="11" t="s">
        <v>247</v>
      </c>
      <c r="S306" s="10" t="s">
        <v>221</v>
      </c>
      <c r="T306" s="8">
        <v>1</v>
      </c>
      <c r="U306" s="15">
        <v>1</v>
      </c>
      <c r="V306" s="8">
        <v>0</v>
      </c>
      <c r="W306" s="17"/>
      <c r="X306" s="65">
        <v>46251</v>
      </c>
    </row>
    <row r="307" spans="1:24" ht="19.8" thickBot="1" x14ac:dyDescent="0.3">
      <c r="A307" s="4" t="s">
        <v>305</v>
      </c>
      <c r="B307" s="8">
        <v>0</v>
      </c>
      <c r="C307" s="9">
        <v>0</v>
      </c>
      <c r="D307" s="8">
        <v>0</v>
      </c>
      <c r="E307" s="10" t="s">
        <v>219</v>
      </c>
      <c r="F307" s="11" t="s">
        <v>217</v>
      </c>
      <c r="G307" s="12" t="s">
        <v>217</v>
      </c>
      <c r="H307" s="13" t="s">
        <v>218</v>
      </c>
      <c r="I307" s="14">
        <v>1</v>
      </c>
      <c r="J307" s="14" t="s">
        <v>10</v>
      </c>
      <c r="K307" s="5" t="s">
        <v>1032</v>
      </c>
      <c r="L307" s="6">
        <v>0.67708333333333337</v>
      </c>
      <c r="M307" s="7" t="s">
        <v>1033</v>
      </c>
      <c r="N307" s="14" t="s">
        <v>11</v>
      </c>
      <c r="O307" s="14">
        <v>2</v>
      </c>
      <c r="P307" s="13" t="s">
        <v>217</v>
      </c>
      <c r="Q307" s="12" t="s">
        <v>216</v>
      </c>
      <c r="R307" s="11" t="s">
        <v>217</v>
      </c>
      <c r="S307" s="10" t="s">
        <v>217</v>
      </c>
      <c r="T307" s="8">
        <v>1</v>
      </c>
      <c r="U307" s="9">
        <v>0</v>
      </c>
      <c r="V307" s="8">
        <v>0</v>
      </c>
      <c r="W307" s="17"/>
      <c r="X307" s="65">
        <v>46251</v>
      </c>
    </row>
    <row r="308" spans="1:24" ht="13.8" thickBot="1" x14ac:dyDescent="0.3">
      <c r="A308" s="4" t="s">
        <v>305</v>
      </c>
      <c r="B308" s="8">
        <v>0</v>
      </c>
      <c r="C308" s="9">
        <v>0</v>
      </c>
      <c r="D308" s="8">
        <v>0</v>
      </c>
      <c r="E308" s="10" t="s">
        <v>219</v>
      </c>
      <c r="F308" s="11" t="s">
        <v>217</v>
      </c>
      <c r="G308" s="12" t="s">
        <v>217</v>
      </c>
      <c r="H308" s="13" t="s">
        <v>218</v>
      </c>
      <c r="I308" s="14">
        <v>1</v>
      </c>
      <c r="J308" s="14" t="s">
        <v>10</v>
      </c>
      <c r="K308" s="5" t="s">
        <v>1034</v>
      </c>
      <c r="L308" s="6">
        <v>0.54166666666666663</v>
      </c>
      <c r="M308" s="7" t="s">
        <v>1035</v>
      </c>
      <c r="N308" s="14" t="s">
        <v>11</v>
      </c>
      <c r="O308" s="14">
        <v>2</v>
      </c>
      <c r="P308" s="13" t="s">
        <v>216</v>
      </c>
      <c r="Q308" s="12" t="s">
        <v>221</v>
      </c>
      <c r="R308" s="11" t="s">
        <v>216</v>
      </c>
      <c r="S308" s="10" t="s">
        <v>247</v>
      </c>
      <c r="T308" s="8">
        <v>1</v>
      </c>
      <c r="U308" s="9">
        <v>0.5</v>
      </c>
      <c r="V308" s="8">
        <v>0</v>
      </c>
      <c r="W308" s="17"/>
      <c r="X308" s="65">
        <v>46251</v>
      </c>
    </row>
    <row r="309" spans="1:24" ht="13.8" thickBot="1" x14ac:dyDescent="0.3">
      <c r="A309" s="4" t="s">
        <v>157</v>
      </c>
      <c r="B309" s="8">
        <v>0.2</v>
      </c>
      <c r="C309" s="9">
        <v>0.4</v>
      </c>
      <c r="D309" s="8">
        <v>0.7</v>
      </c>
      <c r="E309" s="10" t="s">
        <v>382</v>
      </c>
      <c r="F309" s="11" t="s">
        <v>268</v>
      </c>
      <c r="G309" s="12" t="s">
        <v>267</v>
      </c>
      <c r="H309" s="13" t="s">
        <v>273</v>
      </c>
      <c r="I309" s="14">
        <v>10</v>
      </c>
      <c r="J309" s="14" t="s">
        <v>10</v>
      </c>
      <c r="K309" s="5" t="s">
        <v>363</v>
      </c>
      <c r="L309" s="6">
        <v>0.91666666666666663</v>
      </c>
      <c r="M309" s="7" t="s">
        <v>1036</v>
      </c>
      <c r="N309" s="14" t="s">
        <v>11</v>
      </c>
      <c r="O309" s="14">
        <v>10</v>
      </c>
      <c r="P309" s="13" t="s">
        <v>270</v>
      </c>
      <c r="Q309" s="12" t="s">
        <v>276</v>
      </c>
      <c r="R309" s="11" t="s">
        <v>220</v>
      </c>
      <c r="S309" s="10" t="s">
        <v>227</v>
      </c>
      <c r="T309" s="8">
        <v>0.9</v>
      </c>
      <c r="U309" s="9">
        <v>0.4</v>
      </c>
      <c r="V309" s="8">
        <v>0.3</v>
      </c>
      <c r="W309" s="17"/>
      <c r="X309" s="65">
        <v>46251</v>
      </c>
    </row>
    <row r="310" spans="1:24" ht="19.8" thickBot="1" x14ac:dyDescent="0.3">
      <c r="A310" s="4" t="s">
        <v>157</v>
      </c>
      <c r="B310" s="8">
        <v>0.67</v>
      </c>
      <c r="C310" s="15">
        <v>0.67</v>
      </c>
      <c r="D310" s="8">
        <v>0.78</v>
      </c>
      <c r="E310" s="10" t="s">
        <v>343</v>
      </c>
      <c r="F310" s="11" t="s">
        <v>232</v>
      </c>
      <c r="G310" s="12" t="s">
        <v>386</v>
      </c>
      <c r="H310" s="13" t="s">
        <v>306</v>
      </c>
      <c r="I310" s="14">
        <v>9</v>
      </c>
      <c r="J310" s="14" t="s">
        <v>10</v>
      </c>
      <c r="K310" s="5" t="s">
        <v>362</v>
      </c>
      <c r="L310" s="6">
        <v>0.83333333333333337</v>
      </c>
      <c r="M310" s="7" t="s">
        <v>1037</v>
      </c>
      <c r="N310" s="14" t="s">
        <v>11</v>
      </c>
      <c r="O310" s="14">
        <v>9</v>
      </c>
      <c r="P310" s="13" t="s">
        <v>324</v>
      </c>
      <c r="Q310" s="12" t="s">
        <v>230</v>
      </c>
      <c r="R310" s="11" t="s">
        <v>306</v>
      </c>
      <c r="S310" s="10" t="s">
        <v>344</v>
      </c>
      <c r="T310" s="8">
        <v>0.89</v>
      </c>
      <c r="U310" s="9">
        <v>0.44</v>
      </c>
      <c r="V310" s="8">
        <v>0.33</v>
      </c>
      <c r="W310" s="17"/>
      <c r="X310" s="65">
        <v>46251</v>
      </c>
    </row>
    <row r="311" spans="1:24" ht="13.8" thickBot="1" x14ac:dyDescent="0.3">
      <c r="A311" s="4" t="s">
        <v>157</v>
      </c>
      <c r="B311" s="8">
        <v>0.22</v>
      </c>
      <c r="C311" s="9">
        <v>0.44</v>
      </c>
      <c r="D311" s="8">
        <v>0.89</v>
      </c>
      <c r="E311" s="10" t="s">
        <v>284</v>
      </c>
      <c r="F311" s="11" t="s">
        <v>229</v>
      </c>
      <c r="G311" s="12" t="s">
        <v>341</v>
      </c>
      <c r="H311" s="13" t="s">
        <v>231</v>
      </c>
      <c r="I311" s="14">
        <v>9</v>
      </c>
      <c r="J311" s="14" t="s">
        <v>10</v>
      </c>
      <c r="K311" s="5" t="s">
        <v>364</v>
      </c>
      <c r="L311" s="6">
        <v>0.83333333333333337</v>
      </c>
      <c r="M311" s="7" t="s">
        <v>361</v>
      </c>
      <c r="N311" s="14" t="s">
        <v>11</v>
      </c>
      <c r="O311" s="14">
        <v>9</v>
      </c>
      <c r="P311" s="13" t="s">
        <v>306</v>
      </c>
      <c r="Q311" s="12" t="s">
        <v>230</v>
      </c>
      <c r="R311" s="11" t="s">
        <v>306</v>
      </c>
      <c r="S311" s="10" t="s">
        <v>344</v>
      </c>
      <c r="T311" s="8">
        <v>0.67</v>
      </c>
      <c r="U311" s="9">
        <v>0.33</v>
      </c>
      <c r="V311" s="8">
        <v>0.33</v>
      </c>
      <c r="W311" s="17"/>
      <c r="X311" s="65">
        <v>46251</v>
      </c>
    </row>
    <row r="312" spans="1:24" ht="19.8" thickBot="1" x14ac:dyDescent="0.3">
      <c r="A312" s="4" t="s">
        <v>316</v>
      </c>
      <c r="B312" s="8">
        <v>0</v>
      </c>
      <c r="C312" s="9">
        <v>0</v>
      </c>
      <c r="D312" s="8">
        <v>1</v>
      </c>
      <c r="E312" s="10" t="s">
        <v>217</v>
      </c>
      <c r="F312" s="11" t="s">
        <v>217</v>
      </c>
      <c r="G312" s="12" t="s">
        <v>216</v>
      </c>
      <c r="H312" s="13" t="s">
        <v>217</v>
      </c>
      <c r="I312" s="14">
        <v>2</v>
      </c>
      <c r="J312" s="14" t="s">
        <v>10</v>
      </c>
      <c r="K312" s="5" t="s">
        <v>1038</v>
      </c>
      <c r="L312" s="6">
        <v>0.79513888888888884</v>
      </c>
      <c r="M312" s="7" t="s">
        <v>1039</v>
      </c>
      <c r="N312" s="14" t="s">
        <v>11</v>
      </c>
      <c r="O312" s="14">
        <v>2</v>
      </c>
      <c r="P312" s="13" t="s">
        <v>219</v>
      </c>
      <c r="Q312" s="12" t="s">
        <v>246</v>
      </c>
      <c r="R312" s="11" t="s">
        <v>217</v>
      </c>
      <c r="S312" s="10" t="s">
        <v>221</v>
      </c>
      <c r="T312" s="8">
        <v>1</v>
      </c>
      <c r="U312" s="9">
        <v>0.5</v>
      </c>
      <c r="V312" s="8">
        <v>0.5</v>
      </c>
      <c r="W312" s="17"/>
      <c r="X312" s="65">
        <v>46251</v>
      </c>
    </row>
    <row r="313" spans="1:24" ht="19.8" thickBot="1" x14ac:dyDescent="0.3">
      <c r="A313" s="4" t="s">
        <v>316</v>
      </c>
      <c r="B313" s="8">
        <v>0</v>
      </c>
      <c r="C313" s="9">
        <v>0</v>
      </c>
      <c r="D313" s="8">
        <v>0.5</v>
      </c>
      <c r="E313" s="10" t="s">
        <v>247</v>
      </c>
      <c r="F313" s="11" t="s">
        <v>217</v>
      </c>
      <c r="G313" s="12" t="s">
        <v>220</v>
      </c>
      <c r="H313" s="13" t="s">
        <v>220</v>
      </c>
      <c r="I313" s="14">
        <v>2</v>
      </c>
      <c r="J313" s="14" t="s">
        <v>10</v>
      </c>
      <c r="K313" s="5" t="s">
        <v>1040</v>
      </c>
      <c r="L313" s="6">
        <v>0.88194444444444453</v>
      </c>
      <c r="M313" s="7" t="s">
        <v>1041</v>
      </c>
      <c r="N313" s="14" t="s">
        <v>11</v>
      </c>
      <c r="O313" s="14">
        <v>2</v>
      </c>
      <c r="P313" s="13" t="s">
        <v>220</v>
      </c>
      <c r="Q313" s="12" t="s">
        <v>220</v>
      </c>
      <c r="R313" s="11" t="s">
        <v>217</v>
      </c>
      <c r="S313" s="10" t="s">
        <v>247</v>
      </c>
      <c r="T313" s="8">
        <v>0.5</v>
      </c>
      <c r="U313" s="9">
        <v>0</v>
      </c>
      <c r="V313" s="8">
        <v>0</v>
      </c>
      <c r="W313" s="17"/>
      <c r="X313" s="65">
        <v>46251</v>
      </c>
    </row>
    <row r="314" spans="1:24" ht="19.8" thickBot="1" x14ac:dyDescent="0.3">
      <c r="A314" s="4" t="s">
        <v>321</v>
      </c>
      <c r="B314" s="8">
        <v>0</v>
      </c>
      <c r="C314" s="9">
        <v>0</v>
      </c>
      <c r="D314" s="8">
        <v>0</v>
      </c>
      <c r="E314" s="10" t="s">
        <v>219</v>
      </c>
      <c r="F314" s="11" t="s">
        <v>219</v>
      </c>
      <c r="G314" s="12" t="s">
        <v>219</v>
      </c>
      <c r="H314" s="13" t="s">
        <v>217</v>
      </c>
      <c r="I314" s="14">
        <v>1</v>
      </c>
      <c r="J314" s="14" t="s">
        <v>10</v>
      </c>
      <c r="K314" s="5" t="s">
        <v>1042</v>
      </c>
      <c r="L314" s="6">
        <v>0.58333333333333337</v>
      </c>
      <c r="M314" s="7" t="s">
        <v>1043</v>
      </c>
      <c r="N314" s="14" t="s">
        <v>11</v>
      </c>
      <c r="O314" s="14">
        <v>1</v>
      </c>
      <c r="P314" s="13" t="s">
        <v>218</v>
      </c>
      <c r="Q314" s="12" t="s">
        <v>216</v>
      </c>
      <c r="R314" s="11" t="s">
        <v>216</v>
      </c>
      <c r="S314" s="10" t="s">
        <v>219</v>
      </c>
      <c r="T314" s="8">
        <v>1</v>
      </c>
      <c r="U314" s="9">
        <v>0</v>
      </c>
      <c r="V314" s="8">
        <v>0</v>
      </c>
      <c r="W314" s="17"/>
      <c r="X314" s="65">
        <v>46251</v>
      </c>
    </row>
    <row r="315" spans="1:24" ht="13.8" thickBot="1" x14ac:dyDescent="0.3">
      <c r="A315" s="4" t="s">
        <v>322</v>
      </c>
      <c r="B315" s="8">
        <v>0</v>
      </c>
      <c r="C315" s="9">
        <v>0</v>
      </c>
      <c r="D315" s="8">
        <v>0</v>
      </c>
      <c r="E315" s="10" t="s">
        <v>219</v>
      </c>
      <c r="F315" s="11" t="s">
        <v>217</v>
      </c>
      <c r="G315" s="12" t="s">
        <v>217</v>
      </c>
      <c r="H315" s="13" t="s">
        <v>218</v>
      </c>
      <c r="I315" s="14">
        <v>1</v>
      </c>
      <c r="J315" s="14" t="s">
        <v>10</v>
      </c>
      <c r="K315" s="5" t="s">
        <v>1044</v>
      </c>
      <c r="L315" s="6">
        <v>0.625</v>
      </c>
      <c r="M315" s="7" t="s">
        <v>1045</v>
      </c>
      <c r="N315" s="14" t="s">
        <v>11</v>
      </c>
      <c r="O315" s="14">
        <v>1</v>
      </c>
      <c r="P315" s="13" t="s">
        <v>219</v>
      </c>
      <c r="Q315" s="12" t="s">
        <v>217</v>
      </c>
      <c r="R315" s="11" t="s">
        <v>219</v>
      </c>
      <c r="S315" s="10" t="s">
        <v>217</v>
      </c>
      <c r="T315" s="8">
        <v>0</v>
      </c>
      <c r="U315" s="9">
        <v>0</v>
      </c>
      <c r="V315" s="8">
        <v>0</v>
      </c>
      <c r="W315" s="17"/>
      <c r="X315" s="65">
        <v>46251</v>
      </c>
    </row>
    <row r="316" spans="1:24" ht="13.8" thickBot="1" x14ac:dyDescent="0.3">
      <c r="A316" s="4" t="s">
        <v>88</v>
      </c>
      <c r="B316" s="8">
        <v>0.25</v>
      </c>
      <c r="C316" s="9">
        <v>0.5</v>
      </c>
      <c r="D316" s="8">
        <v>0.67</v>
      </c>
      <c r="E316" s="10" t="s">
        <v>348</v>
      </c>
      <c r="F316" s="11" t="s">
        <v>373</v>
      </c>
      <c r="G316" s="12" t="s">
        <v>370</v>
      </c>
      <c r="H316" s="13" t="s">
        <v>367</v>
      </c>
      <c r="I316" s="14">
        <v>12</v>
      </c>
      <c r="J316" s="14" t="s">
        <v>10</v>
      </c>
      <c r="K316" s="5" t="s">
        <v>1046</v>
      </c>
      <c r="L316" s="6">
        <v>0.91666666666666663</v>
      </c>
      <c r="M316" s="7" t="s">
        <v>1047</v>
      </c>
      <c r="N316" s="14" t="s">
        <v>11</v>
      </c>
      <c r="O316" s="14">
        <v>12</v>
      </c>
      <c r="P316" s="13" t="s">
        <v>373</v>
      </c>
      <c r="Q316" s="12" t="s">
        <v>391</v>
      </c>
      <c r="R316" s="11" t="s">
        <v>250</v>
      </c>
      <c r="S316" s="10" t="s">
        <v>288</v>
      </c>
      <c r="T316" s="8">
        <v>0.57999999999999996</v>
      </c>
      <c r="U316" s="9">
        <v>0.25</v>
      </c>
      <c r="V316" s="8">
        <v>0.08</v>
      </c>
      <c r="W316" s="17"/>
      <c r="X316" s="65">
        <v>46251</v>
      </c>
    </row>
    <row r="317" spans="1:24" ht="19.8" thickBot="1" x14ac:dyDescent="0.3">
      <c r="A317" s="4" t="s">
        <v>244</v>
      </c>
      <c r="B317" s="8">
        <v>0</v>
      </c>
      <c r="C317" s="9">
        <v>0</v>
      </c>
      <c r="D317" s="8">
        <v>0</v>
      </c>
      <c r="E317" s="10" t="s">
        <v>219</v>
      </c>
      <c r="F317" s="11" t="s">
        <v>219</v>
      </c>
      <c r="G317" s="12" t="s">
        <v>219</v>
      </c>
      <c r="H317" s="13" t="s">
        <v>217</v>
      </c>
      <c r="I317" s="14">
        <v>1</v>
      </c>
      <c r="J317" s="14" t="s">
        <v>10</v>
      </c>
      <c r="K317" s="5" t="s">
        <v>405</v>
      </c>
      <c r="L317" s="6">
        <v>0.69791666666666663</v>
      </c>
      <c r="M317" s="7" t="s">
        <v>406</v>
      </c>
      <c r="N317" s="14" t="s">
        <v>11</v>
      </c>
      <c r="O317" s="64"/>
      <c r="P317" s="63"/>
      <c r="Q317" s="63"/>
      <c r="R317" s="63"/>
      <c r="S317" s="63"/>
      <c r="T317" s="63"/>
      <c r="U317" s="63"/>
      <c r="V317" s="63"/>
      <c r="W317" s="17"/>
      <c r="X317" s="65">
        <v>46251</v>
      </c>
    </row>
    <row r="318" spans="1:24" ht="19.8" thickBot="1" x14ac:dyDescent="0.3">
      <c r="A318" s="4" t="s">
        <v>175</v>
      </c>
      <c r="B318" s="8">
        <v>0.36</v>
      </c>
      <c r="C318" s="15">
        <v>0.82</v>
      </c>
      <c r="D318" s="8">
        <v>0.91</v>
      </c>
      <c r="E318" s="10" t="s">
        <v>311</v>
      </c>
      <c r="F318" s="11" t="s">
        <v>302</v>
      </c>
      <c r="G318" s="12" t="s">
        <v>258</v>
      </c>
      <c r="H318" s="13" t="s">
        <v>301</v>
      </c>
      <c r="I318" s="14">
        <v>11</v>
      </c>
      <c r="J318" s="14" t="s">
        <v>10</v>
      </c>
      <c r="K318" s="5" t="s">
        <v>1048</v>
      </c>
      <c r="L318" s="6">
        <v>0.58333333333333337</v>
      </c>
      <c r="M318" s="7" t="s">
        <v>1049</v>
      </c>
      <c r="N318" s="14" t="s">
        <v>11</v>
      </c>
      <c r="O318" s="14">
        <v>10</v>
      </c>
      <c r="P318" s="13" t="s">
        <v>381</v>
      </c>
      <c r="Q318" s="12" t="s">
        <v>358</v>
      </c>
      <c r="R318" s="11" t="s">
        <v>273</v>
      </c>
      <c r="S318" s="10" t="s">
        <v>276</v>
      </c>
      <c r="T318" s="8">
        <v>1</v>
      </c>
      <c r="U318" s="15">
        <v>0.9</v>
      </c>
      <c r="V318" s="8">
        <v>0.6</v>
      </c>
      <c r="W318" s="17"/>
      <c r="X318" s="65">
        <v>46251</v>
      </c>
    </row>
    <row r="319" spans="1:24" ht="13.8" thickBot="1" x14ac:dyDescent="0.3">
      <c r="A319" s="4" t="s">
        <v>665</v>
      </c>
      <c r="B319" s="8">
        <v>0.56000000000000005</v>
      </c>
      <c r="C319" s="15">
        <v>0.67</v>
      </c>
      <c r="D319" s="8">
        <v>1</v>
      </c>
      <c r="E319" s="10" t="s">
        <v>344</v>
      </c>
      <c r="F319" s="11" t="s">
        <v>216</v>
      </c>
      <c r="G319" s="12" t="s">
        <v>349</v>
      </c>
      <c r="H319" s="13" t="s">
        <v>343</v>
      </c>
      <c r="I319" s="14">
        <v>9</v>
      </c>
      <c r="J319" s="14" t="s">
        <v>10</v>
      </c>
      <c r="K319" s="5" t="s">
        <v>672</v>
      </c>
      <c r="L319" s="6">
        <v>0.64583333333333337</v>
      </c>
      <c r="M319" s="7" t="s">
        <v>673</v>
      </c>
      <c r="N319" s="14" t="s">
        <v>11</v>
      </c>
      <c r="O319" s="14">
        <v>9</v>
      </c>
      <c r="P319" s="13" t="s">
        <v>231</v>
      </c>
      <c r="Q319" s="12" t="s">
        <v>309</v>
      </c>
      <c r="R319" s="11" t="s">
        <v>333</v>
      </c>
      <c r="S319" s="10" t="s">
        <v>324</v>
      </c>
      <c r="T319" s="8">
        <v>0.78</v>
      </c>
      <c r="U319" s="9">
        <v>0.44</v>
      </c>
      <c r="V319" s="8">
        <v>0.44</v>
      </c>
      <c r="W319" s="17"/>
      <c r="X319" s="65">
        <v>46251</v>
      </c>
    </row>
    <row r="320" spans="1:24" ht="13.8" thickBot="1" x14ac:dyDescent="0.3">
      <c r="A320" s="4" t="s">
        <v>87</v>
      </c>
      <c r="B320" s="8">
        <v>0.44</v>
      </c>
      <c r="C320" s="15">
        <v>0.56000000000000005</v>
      </c>
      <c r="D320" s="8">
        <v>0.78</v>
      </c>
      <c r="E320" s="10" t="s">
        <v>229</v>
      </c>
      <c r="F320" s="11" t="s">
        <v>231</v>
      </c>
      <c r="G320" s="12" t="s">
        <v>241</v>
      </c>
      <c r="H320" s="13" t="s">
        <v>343</v>
      </c>
      <c r="I320" s="14">
        <v>9</v>
      </c>
      <c r="J320" s="14" t="s">
        <v>10</v>
      </c>
      <c r="K320" s="5" t="s">
        <v>1050</v>
      </c>
      <c r="L320" s="6">
        <v>0.54166666666666663</v>
      </c>
      <c r="M320" s="7" t="s">
        <v>1051</v>
      </c>
      <c r="N320" s="14" t="s">
        <v>11</v>
      </c>
      <c r="O320" s="14">
        <v>10</v>
      </c>
      <c r="P320" s="13" t="s">
        <v>382</v>
      </c>
      <c r="Q320" s="12" t="s">
        <v>272</v>
      </c>
      <c r="R320" s="11" t="s">
        <v>220</v>
      </c>
      <c r="S320" s="10" t="s">
        <v>279</v>
      </c>
      <c r="T320" s="8">
        <v>0.9</v>
      </c>
      <c r="U320" s="15">
        <v>0.8</v>
      </c>
      <c r="V320" s="8">
        <v>0.6</v>
      </c>
      <c r="W320" s="17"/>
      <c r="X320" s="65">
        <v>46251</v>
      </c>
    </row>
    <row r="321" spans="1:24" ht="13.8" thickBot="1" x14ac:dyDescent="0.3">
      <c r="A321" s="4" t="s">
        <v>414</v>
      </c>
      <c r="B321" s="8">
        <v>0.1</v>
      </c>
      <c r="C321" s="9">
        <v>0.5</v>
      </c>
      <c r="D321" s="8">
        <v>0.8</v>
      </c>
      <c r="E321" s="10" t="s">
        <v>271</v>
      </c>
      <c r="F321" s="11" t="s">
        <v>217</v>
      </c>
      <c r="G321" s="12" t="s">
        <v>279</v>
      </c>
      <c r="H321" s="13" t="s">
        <v>217</v>
      </c>
      <c r="I321" s="14">
        <v>10</v>
      </c>
      <c r="J321" s="14" t="s">
        <v>10</v>
      </c>
      <c r="K321" s="5" t="s">
        <v>1052</v>
      </c>
      <c r="L321" s="6">
        <v>0.58333333333333337</v>
      </c>
      <c r="M321" s="7" t="s">
        <v>1053</v>
      </c>
      <c r="N321" s="14" t="s">
        <v>11</v>
      </c>
      <c r="O321" s="14">
        <v>10</v>
      </c>
      <c r="P321" s="13" t="s">
        <v>217</v>
      </c>
      <c r="Q321" s="12" t="s">
        <v>279</v>
      </c>
      <c r="R321" s="11" t="s">
        <v>217</v>
      </c>
      <c r="S321" s="10" t="s">
        <v>271</v>
      </c>
      <c r="T321" s="8">
        <v>0.7</v>
      </c>
      <c r="U321" s="15">
        <v>0.6</v>
      </c>
      <c r="V321" s="8">
        <v>0.2</v>
      </c>
      <c r="W321" s="17"/>
      <c r="X321" s="65">
        <v>46251</v>
      </c>
    </row>
    <row r="322" spans="1:24" ht="13.8" thickBot="1" x14ac:dyDescent="0.3">
      <c r="A322" s="4" t="s">
        <v>328</v>
      </c>
      <c r="B322" s="8">
        <v>1</v>
      </c>
      <c r="C322" s="15">
        <v>1</v>
      </c>
      <c r="D322" s="8">
        <v>1</v>
      </c>
      <c r="E322" s="10" t="s">
        <v>216</v>
      </c>
      <c r="F322" s="11" t="s">
        <v>278</v>
      </c>
      <c r="G322" s="12" t="s">
        <v>357</v>
      </c>
      <c r="H322" s="13" t="s">
        <v>218</v>
      </c>
      <c r="I322" s="14">
        <v>1</v>
      </c>
      <c r="J322" s="14" t="s">
        <v>10</v>
      </c>
      <c r="K322" s="5" t="s">
        <v>1054</v>
      </c>
      <c r="L322" s="6">
        <v>0.5625</v>
      </c>
      <c r="M322" s="7" t="s">
        <v>1055</v>
      </c>
      <c r="N322" s="14" t="s">
        <v>11</v>
      </c>
      <c r="O322" s="14">
        <v>1</v>
      </c>
      <c r="P322" s="13" t="s">
        <v>219</v>
      </c>
      <c r="Q322" s="12" t="s">
        <v>238</v>
      </c>
      <c r="R322" s="11" t="s">
        <v>216</v>
      </c>
      <c r="S322" s="10" t="s">
        <v>226</v>
      </c>
      <c r="T322" s="8">
        <v>1</v>
      </c>
      <c r="U322" s="15">
        <v>1</v>
      </c>
      <c r="V322" s="8">
        <v>1</v>
      </c>
      <c r="W322" s="17"/>
      <c r="X322" s="65">
        <v>46251</v>
      </c>
    </row>
    <row r="323" spans="1:24" ht="13.8" thickBot="1" x14ac:dyDescent="0.3">
      <c r="A323" s="4" t="s">
        <v>86</v>
      </c>
      <c r="B323" s="8">
        <v>0.56000000000000005</v>
      </c>
      <c r="C323" s="15">
        <v>0.89</v>
      </c>
      <c r="D323" s="8">
        <v>1</v>
      </c>
      <c r="E323" s="10" t="s">
        <v>334</v>
      </c>
      <c r="F323" s="11" t="s">
        <v>343</v>
      </c>
      <c r="G323" s="12" t="s">
        <v>379</v>
      </c>
      <c r="H323" s="13" t="s">
        <v>228</v>
      </c>
      <c r="I323" s="14">
        <v>9</v>
      </c>
      <c r="J323" s="14" t="s">
        <v>10</v>
      </c>
      <c r="K323" s="5" t="s">
        <v>1056</v>
      </c>
      <c r="L323" s="6">
        <v>0.66666666666666663</v>
      </c>
      <c r="M323" s="7" t="s">
        <v>1057</v>
      </c>
      <c r="N323" s="14" t="s">
        <v>11</v>
      </c>
      <c r="O323" s="14">
        <v>9</v>
      </c>
      <c r="P323" s="13" t="s">
        <v>306</v>
      </c>
      <c r="Q323" s="12" t="s">
        <v>409</v>
      </c>
      <c r="R323" s="11" t="s">
        <v>232</v>
      </c>
      <c r="S323" s="10" t="s">
        <v>334</v>
      </c>
      <c r="T323" s="8">
        <v>0.89</v>
      </c>
      <c r="U323" s="15">
        <v>0.78</v>
      </c>
      <c r="V323" s="8">
        <v>0.56000000000000005</v>
      </c>
      <c r="W323" s="17"/>
      <c r="X323" s="65">
        <v>46251</v>
      </c>
    </row>
    <row r="324" spans="1:24" ht="13.8" thickBot="1" x14ac:dyDescent="0.3">
      <c r="A324" s="4" t="s">
        <v>86</v>
      </c>
      <c r="B324" s="8">
        <v>0.89</v>
      </c>
      <c r="C324" s="15">
        <v>0.89</v>
      </c>
      <c r="D324" s="8">
        <v>0.89</v>
      </c>
      <c r="E324" s="10" t="s">
        <v>334</v>
      </c>
      <c r="F324" s="11" t="s">
        <v>309</v>
      </c>
      <c r="G324" s="12" t="s">
        <v>1058</v>
      </c>
      <c r="H324" s="13" t="s">
        <v>231</v>
      </c>
      <c r="I324" s="14">
        <v>9</v>
      </c>
      <c r="J324" s="14" t="s">
        <v>10</v>
      </c>
      <c r="K324" s="5" t="s">
        <v>1059</v>
      </c>
      <c r="L324" s="6">
        <v>0.71875</v>
      </c>
      <c r="M324" s="7" t="s">
        <v>1060</v>
      </c>
      <c r="N324" s="14" t="s">
        <v>11</v>
      </c>
      <c r="O324" s="14">
        <v>9</v>
      </c>
      <c r="P324" s="13" t="s">
        <v>284</v>
      </c>
      <c r="Q324" s="12" t="s">
        <v>388</v>
      </c>
      <c r="R324" s="11" t="s">
        <v>343</v>
      </c>
      <c r="S324" s="10" t="s">
        <v>230</v>
      </c>
      <c r="T324" s="8">
        <v>1</v>
      </c>
      <c r="U324" s="15">
        <v>0.89</v>
      </c>
      <c r="V324" s="8">
        <v>0.78</v>
      </c>
      <c r="W324" s="17"/>
      <c r="X324" s="65">
        <v>46251</v>
      </c>
    </row>
    <row r="325" spans="1:24" ht="13.8" thickBot="1" x14ac:dyDescent="0.3">
      <c r="A325" s="4" t="s">
        <v>86</v>
      </c>
      <c r="B325" s="8">
        <v>0.22</v>
      </c>
      <c r="C325" s="9">
        <v>0.33</v>
      </c>
      <c r="D325" s="8">
        <v>0.33</v>
      </c>
      <c r="E325" s="10" t="s">
        <v>310</v>
      </c>
      <c r="F325" s="11" t="s">
        <v>324</v>
      </c>
      <c r="G325" s="12" t="s">
        <v>232</v>
      </c>
      <c r="H325" s="13" t="s">
        <v>232</v>
      </c>
      <c r="I325" s="14">
        <v>9</v>
      </c>
      <c r="J325" s="14" t="s">
        <v>10</v>
      </c>
      <c r="K325" s="5" t="s">
        <v>1061</v>
      </c>
      <c r="L325" s="6">
        <v>0.66666666666666663</v>
      </c>
      <c r="M325" s="7" t="s">
        <v>1062</v>
      </c>
      <c r="N325" s="14" t="s">
        <v>11</v>
      </c>
      <c r="O325" s="14">
        <v>8</v>
      </c>
      <c r="P325" s="13" t="s">
        <v>216</v>
      </c>
      <c r="Q325" s="12" t="s">
        <v>332</v>
      </c>
      <c r="R325" s="11" t="s">
        <v>223</v>
      </c>
      <c r="S325" s="10" t="s">
        <v>286</v>
      </c>
      <c r="T325" s="8">
        <v>0.75</v>
      </c>
      <c r="U325" s="15">
        <v>0.75</v>
      </c>
      <c r="V325" s="8">
        <v>0.38</v>
      </c>
      <c r="W325" s="17"/>
      <c r="X325" s="65">
        <v>46251</v>
      </c>
    </row>
    <row r="326" spans="1:24" ht="13.8" thickBot="1" x14ac:dyDescent="0.3">
      <c r="A326" s="4" t="s">
        <v>86</v>
      </c>
      <c r="B326" s="8">
        <v>0.44</v>
      </c>
      <c r="C326" s="15">
        <v>0.56000000000000005</v>
      </c>
      <c r="D326" s="8">
        <v>0.78</v>
      </c>
      <c r="E326" s="10" t="s">
        <v>232</v>
      </c>
      <c r="F326" s="11" t="s">
        <v>231</v>
      </c>
      <c r="G326" s="12" t="s">
        <v>323</v>
      </c>
      <c r="H326" s="13" t="s">
        <v>344</v>
      </c>
      <c r="I326" s="14">
        <v>9</v>
      </c>
      <c r="J326" s="14" t="s">
        <v>10</v>
      </c>
      <c r="K326" s="5" t="s">
        <v>1063</v>
      </c>
      <c r="L326" s="6">
        <v>0.66666666666666663</v>
      </c>
      <c r="M326" s="7" t="s">
        <v>187</v>
      </c>
      <c r="N326" s="14" t="s">
        <v>11</v>
      </c>
      <c r="O326" s="14">
        <v>9</v>
      </c>
      <c r="P326" s="13" t="s">
        <v>228</v>
      </c>
      <c r="Q326" s="12" t="s">
        <v>230</v>
      </c>
      <c r="R326" s="11" t="s">
        <v>228</v>
      </c>
      <c r="S326" s="10" t="s">
        <v>232</v>
      </c>
      <c r="T326" s="8">
        <v>0.78</v>
      </c>
      <c r="U326" s="9">
        <v>0.44</v>
      </c>
      <c r="V326" s="8">
        <v>0.22</v>
      </c>
      <c r="W326" s="17"/>
      <c r="X326" s="65">
        <v>46251</v>
      </c>
    </row>
    <row r="327" spans="1:24" ht="13.8" thickBot="1" x14ac:dyDescent="0.3">
      <c r="A327" s="4" t="s">
        <v>86</v>
      </c>
      <c r="B327" s="8">
        <v>0.33</v>
      </c>
      <c r="C327" s="15">
        <v>0.67</v>
      </c>
      <c r="D327" s="8">
        <v>0.67</v>
      </c>
      <c r="E327" s="10" t="s">
        <v>229</v>
      </c>
      <c r="F327" s="11" t="s">
        <v>229</v>
      </c>
      <c r="G327" s="12" t="s">
        <v>340</v>
      </c>
      <c r="H327" s="13" t="s">
        <v>229</v>
      </c>
      <c r="I327" s="14">
        <v>9</v>
      </c>
      <c r="J327" s="14" t="s">
        <v>10</v>
      </c>
      <c r="K327" s="5" t="s">
        <v>1064</v>
      </c>
      <c r="L327" s="6">
        <v>0.66666666666666663</v>
      </c>
      <c r="M327" s="7" t="s">
        <v>1065</v>
      </c>
      <c r="N327" s="14" t="s">
        <v>11</v>
      </c>
      <c r="O327" s="14">
        <v>9</v>
      </c>
      <c r="P327" s="13" t="s">
        <v>308</v>
      </c>
      <c r="Q327" s="12" t="s">
        <v>379</v>
      </c>
      <c r="R327" s="11" t="s">
        <v>228</v>
      </c>
      <c r="S327" s="10" t="s">
        <v>218</v>
      </c>
      <c r="T327" s="8">
        <v>0.78</v>
      </c>
      <c r="U327" s="15">
        <v>0.78</v>
      </c>
      <c r="V327" s="8">
        <v>0.56000000000000005</v>
      </c>
      <c r="W327" s="17"/>
      <c r="X327" s="65">
        <v>46251</v>
      </c>
    </row>
    <row r="328" spans="1:24" ht="13.8" thickBot="1" x14ac:dyDescent="0.3">
      <c r="A328" s="4" t="s">
        <v>86</v>
      </c>
      <c r="B328" s="8">
        <v>0.44</v>
      </c>
      <c r="C328" s="15">
        <v>0.67</v>
      </c>
      <c r="D328" s="8">
        <v>0.89</v>
      </c>
      <c r="E328" s="10" t="s">
        <v>333</v>
      </c>
      <c r="F328" s="11" t="s">
        <v>232</v>
      </c>
      <c r="G328" s="12" t="s">
        <v>285</v>
      </c>
      <c r="H328" s="13" t="s">
        <v>284</v>
      </c>
      <c r="I328" s="14">
        <v>9</v>
      </c>
      <c r="J328" s="14" t="s">
        <v>10</v>
      </c>
      <c r="K328" s="5" t="s">
        <v>1066</v>
      </c>
      <c r="L328" s="6">
        <v>0.66666666666666663</v>
      </c>
      <c r="M328" s="7" t="s">
        <v>1067</v>
      </c>
      <c r="N328" s="14" t="s">
        <v>11</v>
      </c>
      <c r="O328" s="14">
        <v>9</v>
      </c>
      <c r="P328" s="13" t="s">
        <v>306</v>
      </c>
      <c r="Q328" s="12" t="s">
        <v>386</v>
      </c>
      <c r="R328" s="11" t="s">
        <v>228</v>
      </c>
      <c r="S328" s="10" t="s">
        <v>333</v>
      </c>
      <c r="T328" s="8">
        <v>0.67</v>
      </c>
      <c r="U328" s="9">
        <v>0.44</v>
      </c>
      <c r="V328" s="8">
        <v>0.33</v>
      </c>
      <c r="W328" s="17"/>
      <c r="X328" s="65">
        <v>46251</v>
      </c>
    </row>
    <row r="329" spans="1:24" ht="19.8" thickBot="1" x14ac:dyDescent="0.3">
      <c r="A329" s="4" t="s">
        <v>86</v>
      </c>
      <c r="B329" s="8">
        <v>0.75</v>
      </c>
      <c r="C329" s="15">
        <v>0.75</v>
      </c>
      <c r="D329" s="8">
        <v>0.88</v>
      </c>
      <c r="E329" s="10" t="s">
        <v>236</v>
      </c>
      <c r="F329" s="11" t="s">
        <v>411</v>
      </c>
      <c r="G329" s="12" t="s">
        <v>1068</v>
      </c>
      <c r="H329" s="13" t="s">
        <v>295</v>
      </c>
      <c r="I329" s="14">
        <v>8</v>
      </c>
      <c r="J329" s="14" t="s">
        <v>10</v>
      </c>
      <c r="K329" s="5" t="s">
        <v>1069</v>
      </c>
      <c r="L329" s="6">
        <v>0.71875</v>
      </c>
      <c r="M329" s="7" t="s">
        <v>1070</v>
      </c>
      <c r="N329" s="14" t="s">
        <v>11</v>
      </c>
      <c r="O329" s="14">
        <v>9</v>
      </c>
      <c r="P329" s="13" t="s">
        <v>310</v>
      </c>
      <c r="Q329" s="12" t="s">
        <v>515</v>
      </c>
      <c r="R329" s="11" t="s">
        <v>343</v>
      </c>
      <c r="S329" s="10" t="s">
        <v>325</v>
      </c>
      <c r="T329" s="8">
        <v>1</v>
      </c>
      <c r="U329" s="15">
        <v>0.78</v>
      </c>
      <c r="V329" s="8">
        <v>0.67</v>
      </c>
      <c r="W329" s="17"/>
      <c r="X329" s="65">
        <v>46251</v>
      </c>
    </row>
    <row r="330" spans="1:24" ht="13.8" thickBot="1" x14ac:dyDescent="0.3">
      <c r="A330" s="4" t="s">
        <v>86</v>
      </c>
      <c r="B330" s="8">
        <v>0.33</v>
      </c>
      <c r="C330" s="9">
        <v>0.33</v>
      </c>
      <c r="D330" s="8">
        <v>0.89</v>
      </c>
      <c r="E330" s="10" t="s">
        <v>324</v>
      </c>
      <c r="F330" s="11" t="s">
        <v>216</v>
      </c>
      <c r="G330" s="12" t="s">
        <v>341</v>
      </c>
      <c r="H330" s="13" t="s">
        <v>307</v>
      </c>
      <c r="I330" s="14">
        <v>9</v>
      </c>
      <c r="J330" s="14" t="s">
        <v>10</v>
      </c>
      <c r="K330" s="5" t="s">
        <v>1071</v>
      </c>
      <c r="L330" s="6">
        <v>0.71875</v>
      </c>
      <c r="M330" s="7" t="s">
        <v>186</v>
      </c>
      <c r="N330" s="14" t="s">
        <v>11</v>
      </c>
      <c r="O330" s="14">
        <v>9</v>
      </c>
      <c r="P330" s="13" t="s">
        <v>344</v>
      </c>
      <c r="Q330" s="12" t="s">
        <v>416</v>
      </c>
      <c r="R330" s="11" t="s">
        <v>231</v>
      </c>
      <c r="S330" s="10" t="s">
        <v>216</v>
      </c>
      <c r="T330" s="8">
        <v>0.78</v>
      </c>
      <c r="U330" s="15">
        <v>0.56000000000000005</v>
      </c>
      <c r="V330" s="8">
        <v>0.44</v>
      </c>
      <c r="W330" s="17"/>
      <c r="X330" s="65">
        <v>46251</v>
      </c>
    </row>
    <row r="331" spans="1:24" ht="13.8" thickBot="1" x14ac:dyDescent="0.3">
      <c r="A331" s="4" t="s">
        <v>770</v>
      </c>
      <c r="B331" s="8">
        <v>0.55000000000000004</v>
      </c>
      <c r="C331" s="15">
        <v>0.73</v>
      </c>
      <c r="D331" s="8">
        <v>0.91</v>
      </c>
      <c r="E331" s="10" t="s">
        <v>408</v>
      </c>
      <c r="F331" s="11" t="s">
        <v>264</v>
      </c>
      <c r="G331" s="12" t="s">
        <v>662</v>
      </c>
      <c r="H331" s="13" t="s">
        <v>262</v>
      </c>
      <c r="I331" s="14">
        <v>11</v>
      </c>
      <c r="J331" s="14" t="s">
        <v>10</v>
      </c>
      <c r="K331" s="5" t="s">
        <v>1072</v>
      </c>
      <c r="L331" s="6">
        <v>0.54166666666666663</v>
      </c>
      <c r="M331" s="7" t="s">
        <v>1073</v>
      </c>
      <c r="N331" s="14" t="s">
        <v>11</v>
      </c>
      <c r="O331" s="14">
        <v>11</v>
      </c>
      <c r="P331" s="13" t="s">
        <v>313</v>
      </c>
      <c r="Q331" s="12" t="s">
        <v>658</v>
      </c>
      <c r="R331" s="11" t="s">
        <v>313</v>
      </c>
      <c r="S331" s="10" t="s">
        <v>299</v>
      </c>
      <c r="T331" s="8">
        <v>0.82</v>
      </c>
      <c r="U331" s="15">
        <v>0.73</v>
      </c>
      <c r="V331" s="8">
        <v>0.45</v>
      </c>
      <c r="W331" s="17"/>
      <c r="X331" s="65">
        <v>46251</v>
      </c>
    </row>
    <row r="332" spans="1:24" ht="19.8" thickBot="1" x14ac:dyDescent="0.3">
      <c r="A332" s="4" t="s">
        <v>770</v>
      </c>
      <c r="B332" s="8">
        <v>0.25</v>
      </c>
      <c r="C332" s="15">
        <v>0.57999999999999996</v>
      </c>
      <c r="D332" s="8">
        <v>0.57999999999999996</v>
      </c>
      <c r="E332" s="10" t="s">
        <v>250</v>
      </c>
      <c r="F332" s="11" t="s">
        <v>220</v>
      </c>
      <c r="G332" s="12" t="s">
        <v>370</v>
      </c>
      <c r="H332" s="13" t="s">
        <v>344</v>
      </c>
      <c r="I332" s="14">
        <v>12</v>
      </c>
      <c r="J332" s="14" t="s">
        <v>10</v>
      </c>
      <c r="K332" s="5" t="s">
        <v>1074</v>
      </c>
      <c r="L332" s="6">
        <v>0.57291666666666663</v>
      </c>
      <c r="M332" s="7" t="s">
        <v>1075</v>
      </c>
      <c r="N332" s="14" t="s">
        <v>11</v>
      </c>
      <c r="O332" s="14">
        <v>10</v>
      </c>
      <c r="P332" s="13" t="s">
        <v>271</v>
      </c>
      <c r="Q332" s="12" t="s">
        <v>371</v>
      </c>
      <c r="R332" s="11" t="s">
        <v>271</v>
      </c>
      <c r="S332" s="10" t="s">
        <v>274</v>
      </c>
      <c r="T332" s="8">
        <v>0.8</v>
      </c>
      <c r="U332" s="15">
        <v>0.6</v>
      </c>
      <c r="V332" s="8">
        <v>0.1</v>
      </c>
      <c r="W332" s="17"/>
      <c r="X332" s="65">
        <v>46251</v>
      </c>
    </row>
    <row r="333" spans="1:24" ht="19.8" thickBot="1" x14ac:dyDescent="0.3">
      <c r="A333" s="4" t="s">
        <v>421</v>
      </c>
      <c r="B333" s="8">
        <v>0</v>
      </c>
      <c r="C333" s="9">
        <v>0</v>
      </c>
      <c r="D333" s="8">
        <v>0</v>
      </c>
      <c r="E333" s="10" t="s">
        <v>217</v>
      </c>
      <c r="F333" s="11" t="s">
        <v>219</v>
      </c>
      <c r="G333" s="12" t="s">
        <v>217</v>
      </c>
      <c r="H333" s="13" t="s">
        <v>219</v>
      </c>
      <c r="I333" s="14">
        <v>1</v>
      </c>
      <c r="J333" s="14" t="s">
        <v>10</v>
      </c>
      <c r="K333" s="5" t="s">
        <v>1076</v>
      </c>
      <c r="L333" s="6">
        <v>0.96527777777777779</v>
      </c>
      <c r="M333" s="7" t="s">
        <v>1077</v>
      </c>
      <c r="N333" s="14" t="s">
        <v>11</v>
      </c>
      <c r="O333" s="14">
        <v>1</v>
      </c>
      <c r="P333" s="13" t="s">
        <v>217</v>
      </c>
      <c r="Q333" s="12" t="s">
        <v>216</v>
      </c>
      <c r="R333" s="11" t="s">
        <v>217</v>
      </c>
      <c r="S333" s="10" t="s">
        <v>217</v>
      </c>
      <c r="T333" s="8">
        <v>1</v>
      </c>
      <c r="U333" s="9">
        <v>0</v>
      </c>
      <c r="V333" s="8">
        <v>0</v>
      </c>
      <c r="W333" s="17"/>
      <c r="X333" s="65">
        <v>46251</v>
      </c>
    </row>
    <row r="334" spans="1:24" ht="13.8" thickBot="1" x14ac:dyDescent="0.3">
      <c r="A334" s="4" t="s">
        <v>421</v>
      </c>
      <c r="B334" s="8">
        <v>0.5</v>
      </c>
      <c r="C334" s="9">
        <v>0.5</v>
      </c>
      <c r="D334" s="8">
        <v>0.5</v>
      </c>
      <c r="E334" s="10" t="s">
        <v>247</v>
      </c>
      <c r="F334" s="11" t="s">
        <v>216</v>
      </c>
      <c r="G334" s="12" t="s">
        <v>221</v>
      </c>
      <c r="H334" s="13" t="s">
        <v>218</v>
      </c>
      <c r="I334" s="14">
        <v>2</v>
      </c>
      <c r="J334" s="14" t="s">
        <v>10</v>
      </c>
      <c r="K334" s="5" t="s">
        <v>1078</v>
      </c>
      <c r="L334" s="6">
        <v>4.1666666666666664E-2</v>
      </c>
      <c r="M334" s="7" t="s">
        <v>1079</v>
      </c>
      <c r="N334" s="14" t="s">
        <v>11</v>
      </c>
      <c r="O334" s="14">
        <v>1</v>
      </c>
      <c r="P334" s="13" t="s">
        <v>218</v>
      </c>
      <c r="Q334" s="12" t="s">
        <v>278</v>
      </c>
      <c r="R334" s="11" t="s">
        <v>218</v>
      </c>
      <c r="S334" s="10" t="s">
        <v>216</v>
      </c>
      <c r="T334" s="8">
        <v>1</v>
      </c>
      <c r="U334" s="15">
        <v>1</v>
      </c>
      <c r="V334" s="8">
        <v>1</v>
      </c>
      <c r="W334" s="17"/>
      <c r="X334" s="65">
        <v>46251</v>
      </c>
    </row>
    <row r="335" spans="1:24" ht="13.8" thickBot="1" x14ac:dyDescent="0.3">
      <c r="A335" s="4" t="s">
        <v>423</v>
      </c>
      <c r="B335" s="8">
        <v>0</v>
      </c>
      <c r="C335" s="9">
        <v>0</v>
      </c>
      <c r="D335" s="8">
        <v>0</v>
      </c>
      <c r="E335" s="10" t="s">
        <v>219</v>
      </c>
      <c r="F335" s="11" t="s">
        <v>219</v>
      </c>
      <c r="G335" s="12" t="s">
        <v>219</v>
      </c>
      <c r="H335" s="13" t="s">
        <v>217</v>
      </c>
      <c r="I335" s="14">
        <v>1</v>
      </c>
      <c r="J335" s="14" t="s">
        <v>10</v>
      </c>
      <c r="K335" s="5" t="s">
        <v>1080</v>
      </c>
      <c r="L335" s="6">
        <v>0.66666666666666663</v>
      </c>
      <c r="M335" s="7" t="s">
        <v>1081</v>
      </c>
      <c r="N335" s="14" t="s">
        <v>11</v>
      </c>
      <c r="O335" s="14">
        <v>1</v>
      </c>
      <c r="P335" s="13" t="s">
        <v>218</v>
      </c>
      <c r="Q335" s="12" t="s">
        <v>217</v>
      </c>
      <c r="R335" s="11" t="s">
        <v>217</v>
      </c>
      <c r="S335" s="10" t="s">
        <v>219</v>
      </c>
      <c r="T335" s="8">
        <v>0</v>
      </c>
      <c r="U335" s="9">
        <v>0</v>
      </c>
      <c r="V335" s="8">
        <v>0</v>
      </c>
      <c r="W335" s="17"/>
      <c r="X335" s="65">
        <v>46251</v>
      </c>
    </row>
    <row r="336" spans="1:24" ht="19.8" thickBot="1" x14ac:dyDescent="0.3">
      <c r="A336" s="4" t="s">
        <v>337</v>
      </c>
      <c r="B336" s="8">
        <v>1</v>
      </c>
      <c r="C336" s="15">
        <v>1</v>
      </c>
      <c r="D336" s="8">
        <v>1</v>
      </c>
      <c r="E336" s="10" t="s">
        <v>219</v>
      </c>
      <c r="F336" s="11" t="s">
        <v>226</v>
      </c>
      <c r="G336" s="12" t="s">
        <v>226</v>
      </c>
      <c r="H336" s="13" t="s">
        <v>218</v>
      </c>
      <c r="I336" s="14">
        <v>1</v>
      </c>
      <c r="J336" s="14" t="s">
        <v>10</v>
      </c>
      <c r="K336" s="5" t="s">
        <v>1082</v>
      </c>
      <c r="L336" s="6">
        <v>0.625</v>
      </c>
      <c r="M336" s="7" t="s">
        <v>1083</v>
      </c>
      <c r="N336" s="14" t="s">
        <v>11</v>
      </c>
      <c r="O336" s="14">
        <v>1</v>
      </c>
      <c r="P336" s="13" t="s">
        <v>219</v>
      </c>
      <c r="Q336" s="12" t="s">
        <v>217</v>
      </c>
      <c r="R336" s="11" t="s">
        <v>219</v>
      </c>
      <c r="S336" s="10" t="s">
        <v>217</v>
      </c>
      <c r="T336" s="8">
        <v>0</v>
      </c>
      <c r="U336" s="9">
        <v>0</v>
      </c>
      <c r="V336" s="8">
        <v>0</v>
      </c>
      <c r="W336" s="17"/>
      <c r="X336" s="65">
        <v>46251</v>
      </c>
    </row>
    <row r="337" spans="1:24" ht="13.8" thickBot="1" x14ac:dyDescent="0.3">
      <c r="A337" s="4" t="s">
        <v>243</v>
      </c>
      <c r="B337" s="63"/>
      <c r="C337" s="63"/>
      <c r="D337" s="63"/>
      <c r="E337" s="63"/>
      <c r="F337" s="63"/>
      <c r="G337" s="63"/>
      <c r="H337" s="63"/>
      <c r="I337" s="64"/>
      <c r="J337" s="14" t="s">
        <v>10</v>
      </c>
      <c r="K337" s="5" t="s">
        <v>1084</v>
      </c>
      <c r="L337" s="6">
        <v>0.625</v>
      </c>
      <c r="M337" s="7" t="s">
        <v>1085</v>
      </c>
      <c r="N337" s="14" t="s">
        <v>11</v>
      </c>
      <c r="O337" s="64"/>
      <c r="P337" s="63"/>
      <c r="Q337" s="63"/>
      <c r="R337" s="63"/>
      <c r="S337" s="63"/>
      <c r="T337" s="63"/>
      <c r="U337" s="63"/>
      <c r="V337" s="63"/>
      <c r="W337" s="17"/>
      <c r="X337" s="65">
        <v>46251</v>
      </c>
    </row>
    <row r="338" spans="1:24" ht="13.8" thickBot="1" x14ac:dyDescent="0.3">
      <c r="A338" s="4" t="s">
        <v>338</v>
      </c>
      <c r="B338" s="8">
        <v>0</v>
      </c>
      <c r="C338" s="15">
        <v>1</v>
      </c>
      <c r="D338" s="8">
        <v>1</v>
      </c>
      <c r="E338" s="10" t="s">
        <v>217</v>
      </c>
      <c r="F338" s="11" t="s">
        <v>216</v>
      </c>
      <c r="G338" s="12" t="s">
        <v>218</v>
      </c>
      <c r="H338" s="13" t="s">
        <v>218</v>
      </c>
      <c r="I338" s="14">
        <v>2</v>
      </c>
      <c r="J338" s="14" t="s">
        <v>10</v>
      </c>
      <c r="K338" s="5" t="s">
        <v>1086</v>
      </c>
      <c r="L338" s="6">
        <v>0.5625</v>
      </c>
      <c r="M338" s="7" t="s">
        <v>1087</v>
      </c>
      <c r="N338" s="14" t="s">
        <v>11</v>
      </c>
      <c r="O338" s="14">
        <v>2</v>
      </c>
      <c r="P338" s="13" t="s">
        <v>219</v>
      </c>
      <c r="Q338" s="12" t="s">
        <v>221</v>
      </c>
      <c r="R338" s="11" t="s">
        <v>219</v>
      </c>
      <c r="S338" s="10" t="s">
        <v>221</v>
      </c>
      <c r="T338" s="8">
        <v>0.5</v>
      </c>
      <c r="U338" s="9">
        <v>0.5</v>
      </c>
      <c r="V338" s="8">
        <v>0.5</v>
      </c>
      <c r="W338" s="17"/>
      <c r="X338" s="65">
        <v>46251</v>
      </c>
    </row>
    <row r="339" spans="1:24" ht="13.8" thickBot="1" x14ac:dyDescent="0.3">
      <c r="A339" s="4" t="s">
        <v>338</v>
      </c>
      <c r="B339" s="8">
        <v>0.5</v>
      </c>
      <c r="C339" s="9">
        <v>0.5</v>
      </c>
      <c r="D339" s="8">
        <v>1</v>
      </c>
      <c r="E339" s="10" t="s">
        <v>217</v>
      </c>
      <c r="F339" s="11" t="s">
        <v>216</v>
      </c>
      <c r="G339" s="12" t="s">
        <v>218</v>
      </c>
      <c r="H339" s="13" t="s">
        <v>216</v>
      </c>
      <c r="I339" s="14">
        <v>2</v>
      </c>
      <c r="J339" s="14" t="s">
        <v>10</v>
      </c>
      <c r="K339" s="5" t="s">
        <v>1088</v>
      </c>
      <c r="L339" s="6">
        <v>0.6875</v>
      </c>
      <c r="M339" s="7" t="s">
        <v>1089</v>
      </c>
      <c r="N339" s="14" t="s">
        <v>11</v>
      </c>
      <c r="O339" s="14">
        <v>2</v>
      </c>
      <c r="P339" s="13" t="s">
        <v>247</v>
      </c>
      <c r="Q339" s="12" t="s">
        <v>246</v>
      </c>
      <c r="R339" s="11" t="s">
        <v>220</v>
      </c>
      <c r="S339" s="10" t="s">
        <v>216</v>
      </c>
      <c r="T339" s="8">
        <v>1</v>
      </c>
      <c r="U339" s="15">
        <v>1</v>
      </c>
      <c r="V339" s="8">
        <v>0.5</v>
      </c>
      <c r="W339" s="17"/>
      <c r="X339" s="65">
        <v>46251</v>
      </c>
    </row>
    <row r="340" spans="1:24" ht="13.8" thickBot="1" x14ac:dyDescent="0.3">
      <c r="A340" s="4" t="s">
        <v>431</v>
      </c>
      <c r="B340" s="8">
        <v>0.5</v>
      </c>
      <c r="C340" s="9">
        <v>0.5</v>
      </c>
      <c r="D340" s="8">
        <v>0.5</v>
      </c>
      <c r="E340" s="10" t="s">
        <v>216</v>
      </c>
      <c r="F340" s="11" t="s">
        <v>217</v>
      </c>
      <c r="G340" s="12" t="s">
        <v>218</v>
      </c>
      <c r="H340" s="13" t="s">
        <v>220</v>
      </c>
      <c r="I340" s="14">
        <v>2</v>
      </c>
      <c r="J340" s="14" t="s">
        <v>10</v>
      </c>
      <c r="K340" s="5" t="s">
        <v>1090</v>
      </c>
      <c r="L340" s="6">
        <v>0.66666666666666663</v>
      </c>
      <c r="M340" s="7" t="s">
        <v>1091</v>
      </c>
      <c r="N340" s="14" t="s">
        <v>11</v>
      </c>
      <c r="O340" s="14">
        <v>1</v>
      </c>
      <c r="P340" s="13" t="s">
        <v>219</v>
      </c>
      <c r="Q340" s="12" t="s">
        <v>226</v>
      </c>
      <c r="R340" s="11" t="s">
        <v>217</v>
      </c>
      <c r="S340" s="10" t="s">
        <v>218</v>
      </c>
      <c r="T340" s="8">
        <v>1</v>
      </c>
      <c r="U340" s="15">
        <v>1</v>
      </c>
      <c r="V340" s="8">
        <v>1</v>
      </c>
      <c r="W340" s="17"/>
      <c r="X340" s="65">
        <v>46251</v>
      </c>
    </row>
    <row r="341" spans="1:24" ht="13.8" thickBot="1" x14ac:dyDescent="0.3">
      <c r="A341" s="4" t="s">
        <v>199</v>
      </c>
      <c r="B341" s="8">
        <v>0.62</v>
      </c>
      <c r="C341" s="15">
        <v>0.75</v>
      </c>
      <c r="D341" s="8">
        <v>0.88</v>
      </c>
      <c r="E341" s="10" t="s">
        <v>223</v>
      </c>
      <c r="F341" s="11" t="s">
        <v>236</v>
      </c>
      <c r="G341" s="12" t="s">
        <v>345</v>
      </c>
      <c r="H341" s="13" t="s">
        <v>239</v>
      </c>
      <c r="I341" s="14">
        <v>8</v>
      </c>
      <c r="J341" s="14" t="s">
        <v>10</v>
      </c>
      <c r="K341" s="5" t="s">
        <v>1092</v>
      </c>
      <c r="L341" s="6">
        <v>0.625</v>
      </c>
      <c r="M341" s="7" t="s">
        <v>1093</v>
      </c>
      <c r="N341" s="14" t="s">
        <v>11</v>
      </c>
      <c r="O341" s="14">
        <v>7</v>
      </c>
      <c r="P341" s="13" t="s">
        <v>418</v>
      </c>
      <c r="Q341" s="12" t="s">
        <v>218</v>
      </c>
      <c r="R341" s="11" t="s">
        <v>393</v>
      </c>
      <c r="S341" s="10" t="s">
        <v>390</v>
      </c>
      <c r="T341" s="8">
        <v>1</v>
      </c>
      <c r="U341" s="9">
        <v>0.43</v>
      </c>
      <c r="V341" s="8">
        <v>0.14000000000000001</v>
      </c>
      <c r="W341" s="17"/>
      <c r="X341" s="65">
        <v>46251</v>
      </c>
    </row>
    <row r="342" spans="1:24" ht="13.8" thickBot="1" x14ac:dyDescent="0.3">
      <c r="A342" s="4" t="s">
        <v>355</v>
      </c>
      <c r="B342" s="63"/>
      <c r="C342" s="63"/>
      <c r="D342" s="63"/>
      <c r="E342" s="63"/>
      <c r="F342" s="63"/>
      <c r="G342" s="63"/>
      <c r="H342" s="63"/>
      <c r="I342" s="64"/>
      <c r="J342" s="14" t="s">
        <v>10</v>
      </c>
      <c r="K342" s="5" t="s">
        <v>1094</v>
      </c>
      <c r="L342" s="6">
        <v>0.6875</v>
      </c>
      <c r="M342" s="7" t="s">
        <v>1095</v>
      </c>
      <c r="N342" s="14" t="s">
        <v>11</v>
      </c>
      <c r="O342" s="64"/>
      <c r="P342" s="63"/>
      <c r="Q342" s="63"/>
      <c r="R342" s="63"/>
      <c r="S342" s="63"/>
      <c r="T342" s="63"/>
      <c r="U342" s="63"/>
      <c r="V342" s="63"/>
      <c r="W342" s="17"/>
      <c r="X342" s="65">
        <v>46251</v>
      </c>
    </row>
    <row r="343" spans="1:24" ht="13.8" thickBot="1" x14ac:dyDescent="0.3">
      <c r="A343" s="4" t="s">
        <v>355</v>
      </c>
      <c r="B343" s="63"/>
      <c r="C343" s="63"/>
      <c r="D343" s="63"/>
      <c r="E343" s="63"/>
      <c r="F343" s="63"/>
      <c r="G343" s="63"/>
      <c r="H343" s="63"/>
      <c r="I343" s="64"/>
      <c r="J343" s="14" t="s">
        <v>10</v>
      </c>
      <c r="K343" s="5" t="s">
        <v>1096</v>
      </c>
      <c r="L343" s="6">
        <v>0.6875</v>
      </c>
      <c r="M343" s="7" t="s">
        <v>1097</v>
      </c>
      <c r="N343" s="14" t="s">
        <v>11</v>
      </c>
      <c r="O343" s="64"/>
      <c r="P343" s="63"/>
      <c r="Q343" s="63"/>
      <c r="R343" s="63"/>
      <c r="S343" s="63"/>
      <c r="T343" s="63"/>
      <c r="U343" s="63"/>
      <c r="V343" s="63"/>
      <c r="W343" s="17"/>
      <c r="X343" s="65">
        <v>46251</v>
      </c>
    </row>
    <row r="344" spans="1:24" ht="19.8" thickBot="1" x14ac:dyDescent="0.3">
      <c r="A344" s="4" t="s">
        <v>356</v>
      </c>
      <c r="B344" s="8">
        <v>1</v>
      </c>
      <c r="C344" s="15">
        <v>1</v>
      </c>
      <c r="D344" s="8">
        <v>1</v>
      </c>
      <c r="E344" s="10" t="s">
        <v>217</v>
      </c>
      <c r="F344" s="11" t="s">
        <v>218</v>
      </c>
      <c r="G344" s="12" t="s">
        <v>226</v>
      </c>
      <c r="H344" s="13" t="s">
        <v>218</v>
      </c>
      <c r="I344" s="14">
        <v>1</v>
      </c>
      <c r="J344" s="14" t="s">
        <v>10</v>
      </c>
      <c r="K344" s="5" t="s">
        <v>1098</v>
      </c>
      <c r="L344" s="6">
        <v>0.54166666666666663</v>
      </c>
      <c r="M344" s="7" t="s">
        <v>1099</v>
      </c>
      <c r="N344" s="14" t="s">
        <v>11</v>
      </c>
      <c r="O344" s="64"/>
      <c r="P344" s="63"/>
      <c r="Q344" s="63"/>
      <c r="R344" s="63"/>
      <c r="S344" s="63"/>
      <c r="T344" s="63"/>
      <c r="U344" s="63"/>
      <c r="V344" s="63"/>
      <c r="W344" s="17"/>
      <c r="X344" s="65">
        <v>46251</v>
      </c>
    </row>
    <row r="345" spans="1:24" ht="13.8" thickBot="1" x14ac:dyDescent="0.3">
      <c r="A345" s="4" t="s">
        <v>93</v>
      </c>
      <c r="B345" s="8">
        <v>0.25</v>
      </c>
      <c r="C345" s="9">
        <v>0.5</v>
      </c>
      <c r="D345" s="8">
        <v>0.75</v>
      </c>
      <c r="E345" s="10" t="s">
        <v>296</v>
      </c>
      <c r="F345" s="11" t="s">
        <v>220</v>
      </c>
      <c r="G345" s="12" t="s">
        <v>295</v>
      </c>
      <c r="H345" s="13" t="s">
        <v>223</v>
      </c>
      <c r="I345" s="14">
        <v>8</v>
      </c>
      <c r="J345" s="14" t="s">
        <v>10</v>
      </c>
      <c r="K345" s="5" t="s">
        <v>1100</v>
      </c>
      <c r="L345" s="6">
        <v>0.9375</v>
      </c>
      <c r="M345" s="7" t="s">
        <v>1101</v>
      </c>
      <c r="N345" s="14" t="s">
        <v>11</v>
      </c>
      <c r="O345" s="14">
        <v>9</v>
      </c>
      <c r="P345" s="13" t="s">
        <v>229</v>
      </c>
      <c r="Q345" s="12" t="s">
        <v>230</v>
      </c>
      <c r="R345" s="11" t="s">
        <v>229</v>
      </c>
      <c r="S345" s="10" t="s">
        <v>217</v>
      </c>
      <c r="T345" s="8">
        <v>0.67</v>
      </c>
      <c r="U345" s="15">
        <v>0.56000000000000005</v>
      </c>
      <c r="V345" s="8">
        <v>0.33</v>
      </c>
      <c r="W345" s="17"/>
      <c r="X345" s="65">
        <v>46251</v>
      </c>
    </row>
    <row r="346" spans="1:24" ht="13.8" thickBot="1" x14ac:dyDescent="0.3">
      <c r="A346" s="4" t="s">
        <v>93</v>
      </c>
      <c r="B346" s="8">
        <v>0.43</v>
      </c>
      <c r="C346" s="15">
        <v>0.56999999999999995</v>
      </c>
      <c r="D346" s="8">
        <v>1</v>
      </c>
      <c r="E346" s="10" t="s">
        <v>400</v>
      </c>
      <c r="F346" s="11" t="s">
        <v>352</v>
      </c>
      <c r="G346" s="12" t="s">
        <v>396</v>
      </c>
      <c r="H346" s="13" t="s">
        <v>352</v>
      </c>
      <c r="I346" s="14">
        <v>7</v>
      </c>
      <c r="J346" s="14" t="s">
        <v>10</v>
      </c>
      <c r="K346" s="5" t="s">
        <v>212</v>
      </c>
      <c r="L346" s="6">
        <v>2.0833333333333332E-2</v>
      </c>
      <c r="M346" s="7" t="s">
        <v>89</v>
      </c>
      <c r="N346" s="14" t="s">
        <v>11</v>
      </c>
      <c r="O346" s="14">
        <v>8</v>
      </c>
      <c r="P346" s="13" t="s">
        <v>220</v>
      </c>
      <c r="Q346" s="12" t="s">
        <v>246</v>
      </c>
      <c r="R346" s="11" t="s">
        <v>216</v>
      </c>
      <c r="S346" s="10" t="s">
        <v>220</v>
      </c>
      <c r="T346" s="8">
        <v>0.75</v>
      </c>
      <c r="U346" s="9">
        <v>0.5</v>
      </c>
      <c r="V346" s="8">
        <v>0.5</v>
      </c>
      <c r="W346" s="17"/>
      <c r="X346" s="65">
        <v>46251</v>
      </c>
    </row>
    <row r="347" spans="1:24" ht="19.8" thickBot="1" x14ac:dyDescent="0.3">
      <c r="A347" s="4" t="s">
        <v>93</v>
      </c>
      <c r="B347" s="8">
        <v>0.11</v>
      </c>
      <c r="C347" s="15">
        <v>0.78</v>
      </c>
      <c r="D347" s="8">
        <v>0.89</v>
      </c>
      <c r="E347" s="10" t="s">
        <v>284</v>
      </c>
      <c r="F347" s="11" t="s">
        <v>229</v>
      </c>
      <c r="G347" s="12" t="s">
        <v>341</v>
      </c>
      <c r="H347" s="13" t="s">
        <v>224</v>
      </c>
      <c r="I347" s="14">
        <v>9</v>
      </c>
      <c r="J347" s="14" t="s">
        <v>10</v>
      </c>
      <c r="K347" s="5" t="s">
        <v>1102</v>
      </c>
      <c r="L347" s="6">
        <v>0.95833333333333337</v>
      </c>
      <c r="M347" s="7" t="s">
        <v>1103</v>
      </c>
      <c r="N347" s="14" t="s">
        <v>11</v>
      </c>
      <c r="O347" s="14">
        <v>10</v>
      </c>
      <c r="P347" s="13" t="s">
        <v>216</v>
      </c>
      <c r="Q347" s="12" t="s">
        <v>279</v>
      </c>
      <c r="R347" s="11" t="s">
        <v>220</v>
      </c>
      <c r="S347" s="10" t="s">
        <v>384</v>
      </c>
      <c r="T347" s="8">
        <v>0.6</v>
      </c>
      <c r="U347" s="9">
        <v>0.4</v>
      </c>
      <c r="V347" s="8">
        <v>0.2</v>
      </c>
      <c r="W347" s="17"/>
      <c r="X347" s="65">
        <v>46251</v>
      </c>
    </row>
  </sheetData>
  <hyperlinks>
    <hyperlink ref="A2" r:id="rId1" display="https://www.soccerstats.com/latest.asp?league=spain"/>
    <hyperlink ref="A3" r:id="rId2" display="https://www.soccerstats.com/latest.asp?league=spain"/>
    <hyperlink ref="A4" r:id="rId3" display="https://www.soccerstats.com/latest.asp?league=spain"/>
    <hyperlink ref="A5" r:id="rId4" display="https://www.soccerstats.com/latest.asp?league=netherlands"/>
    <hyperlink ref="A6" r:id="rId5" display="https://www.soccerstats.com/latest.asp?league=netherlands"/>
    <hyperlink ref="A7" r:id="rId6" display="https://www.soccerstats.com/latest.asp?league=netherlands"/>
    <hyperlink ref="A8" r:id="rId7" display="https://www.soccerstats.com/latest.asp?league=netherlands"/>
    <hyperlink ref="A9" r:id="rId8" display="https://www.soccerstats.com/latest.asp?league=portugal"/>
    <hyperlink ref="A10" r:id="rId9" display="https://www.soccerstats.com/latest.asp?league=portugal"/>
    <hyperlink ref="A11" r:id="rId10" display="https://www.soccerstats.com/latest.asp?league=portugal"/>
    <hyperlink ref="A12" r:id="rId11" display="https://www.soccerstats.com/latest.asp?league=portugal"/>
    <hyperlink ref="A13" r:id="rId12" display="https://www.soccerstats.com/latest.asp?league=england2"/>
    <hyperlink ref="A14" r:id="rId13" display="https://www.soccerstats.com/latest.asp?league=england2"/>
    <hyperlink ref="A15" r:id="rId14" display="https://www.soccerstats.com/latest.asp?league=spain2"/>
    <hyperlink ref="A16" r:id="rId15" display="https://www.soccerstats.com/latest.asp?league=spain2"/>
    <hyperlink ref="A17" r:id="rId16" display="https://www.soccerstats.com/latest.asp?league=spain2"/>
    <hyperlink ref="A18" r:id="rId17" display="https://www.soccerstats.com/latest.asp?league=spain2"/>
    <hyperlink ref="A19" r:id="rId18" display="https://www.soccerstats.com/latest.asp?league=germany2"/>
    <hyperlink ref="A20" r:id="rId19" display="https://www.soccerstats.com/latest.asp?league=germany2"/>
    <hyperlink ref="A21" r:id="rId20" display="https://www.soccerstats.com/latest.asp?league=germany2"/>
    <hyperlink ref="A22" r:id="rId21" display="https://www.soccerstats.com/latest.asp?league=argentina2"/>
    <hyperlink ref="A23" r:id="rId22" display="https://www.soccerstats.com/latest.asp?league=argentina2"/>
    <hyperlink ref="A24" r:id="rId23" display="https://www.soccerstats.com/latest.asp?league=argentina2"/>
    <hyperlink ref="A25" r:id="rId24" display="https://www.soccerstats.com/latest.asp?league=argentina2"/>
    <hyperlink ref="A26" r:id="rId25" display="https://www.soccerstats.com/latest.asp?league=argentina2"/>
    <hyperlink ref="A27" r:id="rId26" display="https://www.soccerstats.com/latest.asp?league=argentina3"/>
    <hyperlink ref="A28" r:id="rId27" display="https://www.soccerstats.com/latest.asp?league=argentina3"/>
    <hyperlink ref="A29" r:id="rId28" display="https://www.soccerstats.com/latest.asp?league=argentina3"/>
    <hyperlink ref="A30" r:id="rId29" display="https://www.soccerstats.com/latest.asp?league=argentina3"/>
    <hyperlink ref="A31" r:id="rId30" display="https://www.soccerstats.com/latest.asp?league=argentina3"/>
    <hyperlink ref="A32" r:id="rId31" display="https://www.soccerstats.com/latest.asp?league=argentina3"/>
    <hyperlink ref="A33" r:id="rId32" display="https://www.soccerstats.com/latest.asp?league=argentina3"/>
    <hyperlink ref="A34" r:id="rId33" display="https://www.soccerstats.com/latest.asp?league=armenia"/>
    <hyperlink ref="A35" r:id="rId34" display="https://www.soccerstats.com/latest.asp?league=australia3"/>
    <hyperlink ref="A36" r:id="rId35" display="https://www.soccerstats.com/latest.asp?league=australia7"/>
    <hyperlink ref="A37" r:id="rId36" display="https://www.soccerstats.com/latest.asp?league=australia7"/>
    <hyperlink ref="A38" r:id="rId37" display="https://www.soccerstats.com/latest.asp?league=australia7"/>
    <hyperlink ref="A39" r:id="rId38" display="https://www.soccerstats.com/latest.asp?league=australia7"/>
    <hyperlink ref="A40" r:id="rId39" display="https://www.soccerstats.com/latest.asp?league=australia7"/>
    <hyperlink ref="A41" r:id="rId40" display="https://www.soccerstats.com/latest.asp?league=australia7"/>
    <hyperlink ref="A42" r:id="rId41" display="https://www.soccerstats.com/latest.asp?league=australia10"/>
    <hyperlink ref="A43" r:id="rId42" display="https://www.soccerstats.com/latest.asp?league=australia10"/>
    <hyperlink ref="A44" r:id="rId43" display="https://www.soccerstats.com/latest.asp?league=australia11"/>
    <hyperlink ref="A45" r:id="rId44" display="https://www.soccerstats.com/latest.asp?league=australia11"/>
    <hyperlink ref="A46" r:id="rId45" display="https://www.soccerstats.com/latest.asp?league=australia11"/>
    <hyperlink ref="A47" r:id="rId46" display="https://www.soccerstats.com/latest.asp?league=austria"/>
    <hyperlink ref="A48" r:id="rId47" display="https://www.soccerstats.com/latest.asp?league=austria"/>
    <hyperlink ref="A49" r:id="rId48" display="https://www.soccerstats.com/latest.asp?league=austria"/>
    <hyperlink ref="A50" r:id="rId49" display="https://www.soccerstats.com/latest.asp?league=austria2"/>
    <hyperlink ref="A51" r:id="rId50" display="https://www.soccerstats.com/latest.asp?league=azerbaijan"/>
    <hyperlink ref="A52" r:id="rId51" display="https://www.soccerstats.com/latest.asp?league=azerbaijan"/>
    <hyperlink ref="A53" r:id="rId52" display="https://www.soccerstats.com/latest.asp?league=belarus"/>
    <hyperlink ref="A54" r:id="rId53" display="https://www.soccerstats.com/latest.asp?league=belarus"/>
    <hyperlink ref="A55" r:id="rId54" display="https://www.soccerstats.com/latest.asp?league=belarus"/>
    <hyperlink ref="A56" r:id="rId55" display="https://www.soccerstats.com/latest.asp?league=belgium"/>
    <hyperlink ref="A57" r:id="rId56" display="https://www.soccerstats.com/latest.asp?league=belgium"/>
    <hyperlink ref="A58" r:id="rId57" display="https://www.soccerstats.com/latest.asp?league=belgium"/>
    <hyperlink ref="A59" r:id="rId58" display="https://www.soccerstats.com/latest.asp?league=belgium"/>
    <hyperlink ref="A60" r:id="rId59" display="https://www.soccerstats.com/latest.asp?league=belgium2"/>
    <hyperlink ref="A61" r:id="rId60" display="https://www.soccerstats.com/latest.asp?league=bosnia"/>
    <hyperlink ref="A62" r:id="rId61" display="https://www.soccerstats.com/latest.asp?league=bosnia"/>
    <hyperlink ref="A63" r:id="rId62" display="https://www.soccerstats.com/latest.asp?league=brazil"/>
    <hyperlink ref="A64" r:id="rId63" display="https://www.soccerstats.com/latest.asp?league=brazil"/>
    <hyperlink ref="A65" r:id="rId64" display="https://www.soccerstats.com/latest.asp?league=brazil"/>
    <hyperlink ref="A66" r:id="rId65" display="https://www.soccerstats.com/latest.asp?league=brazil"/>
    <hyperlink ref="A67" r:id="rId66" display="https://www.soccerstats.com/latest.asp?league=brazil"/>
    <hyperlink ref="A68" r:id="rId67" display="https://www.soccerstats.com/latest.asp?league=brazil"/>
    <hyperlink ref="A69" r:id="rId68" display="https://www.soccerstats.com/latest.asp?league=brazil"/>
    <hyperlink ref="A70" r:id="rId69" display="https://www.soccerstats.com/latest.asp?league=brazil2"/>
    <hyperlink ref="A71" r:id="rId70" display="https://www.soccerstats.com/latest.asp?league=brazil2"/>
    <hyperlink ref="A72" r:id="rId71" display="https://www.soccerstats.com/latest.asp?league=brazil2"/>
    <hyperlink ref="A73" r:id="rId72" display="https://www.soccerstats.com/latest.asp?league=brazil3"/>
    <hyperlink ref="A74" r:id="rId73" display="https://www.soccerstats.com/latest.asp?league=brazil3"/>
    <hyperlink ref="A75" r:id="rId74" display="https://www.soccerstats.com/latest.asp?league=brazil3"/>
    <hyperlink ref="A76" r:id="rId75" display="https://www.soccerstats.com/latest.asp?league=brazil3"/>
    <hyperlink ref="A77" r:id="rId76" display="https://www.soccerstats.com/latest.asp?league=brazil5"/>
    <hyperlink ref="A78" r:id="rId77" display="https://www.soccerstats.com/latest.asp?league=brazil5"/>
    <hyperlink ref="A79" r:id="rId78" display="https://www.soccerstats.com/latest.asp?league=brazil5"/>
    <hyperlink ref="A80" r:id="rId79" display="https://www.soccerstats.com/latest.asp?league=bulgaria"/>
    <hyperlink ref="A81" r:id="rId80" display="https://www.soccerstats.com/latest.asp?league=bulgaria"/>
    <hyperlink ref="A82" r:id="rId81" display="https://www.soccerstats.com/latest.asp?league=bulgaria2"/>
    <hyperlink ref="A83" r:id="rId82" display="https://www.soccerstats.com/latest.asp?league=bulgaria2"/>
    <hyperlink ref="A84" r:id="rId83" display="https://www.soccerstats.com/latest.asp?league=bulgaria2"/>
    <hyperlink ref="A85" r:id="rId84" display="https://www.soccerstats.com/latest.asp?league=bulgaria2"/>
    <hyperlink ref="A86" r:id="rId85" display="https://www.soccerstats.com/latest.asp?league=bulgaria2"/>
    <hyperlink ref="A87" r:id="rId86" display="https://www.soccerstats.com/latest.asp?league=canada"/>
    <hyperlink ref="A88" r:id="rId87" display="https://www.soccerstats.com/latest.asp?league=canada"/>
    <hyperlink ref="A89" r:id="rId88" display="https://www.soccerstats.com/latest.asp?league=chile"/>
    <hyperlink ref="A90" r:id="rId89" display="https://www.soccerstats.com/latest.asp?league=chile"/>
    <hyperlink ref="A91" r:id="rId90" display="https://www.soccerstats.com/latest.asp?league=chile"/>
    <hyperlink ref="A92" r:id="rId91" display="https://www.soccerstats.com/latest.asp?league=chile"/>
    <hyperlink ref="A93" r:id="rId92" display="https://www.soccerstats.com/latest.asp?league=chile2"/>
    <hyperlink ref="A94" r:id="rId93" display="https://www.soccerstats.com/latest.asp?league=chile2"/>
    <hyperlink ref="A95" r:id="rId94" display="https://www.soccerstats.com/latest.asp?league=chile2"/>
    <hyperlink ref="A96" r:id="rId95" display="https://www.soccerstats.com/latest.asp?league=china2"/>
    <hyperlink ref="A97" r:id="rId96" display="https://www.soccerstats.com/latest.asp?league=china2"/>
    <hyperlink ref="A98" r:id="rId97" display="https://www.soccerstats.com/latest.asp?league=china2"/>
    <hyperlink ref="A99" r:id="rId98" display="https://www.soccerstats.com/latest.asp?league=china2"/>
    <hyperlink ref="A100" r:id="rId99" display="https://www.soccerstats.com/latest.asp?league=colombia2"/>
    <hyperlink ref="A101" r:id="rId100" display="https://www.soccerstats.com/latest.asp?league=colombia2"/>
    <hyperlink ref="A102" r:id="rId101" display="https://www.soccerstats.com/latest.asp?league=colombia2"/>
    <hyperlink ref="A103" r:id="rId102" display="https://www.soccerstats.com/latest.asp?league=costarica"/>
    <hyperlink ref="A104" r:id="rId103" display="https://www.soccerstats.com/latest.asp?league=costarica"/>
    <hyperlink ref="A105" r:id="rId104" display="https://www.soccerstats.com/latest.asp?league=croatia"/>
    <hyperlink ref="A106" r:id="rId105" display="https://www.soccerstats.com/latest.asp?league=croatia"/>
    <hyperlink ref="A107" r:id="rId106" display="https://www.soccerstats.com/latest.asp?league=czechrepublic2"/>
    <hyperlink ref="A108" r:id="rId107" display="https://www.soccerstats.com/latest.asp?league=denmark"/>
    <hyperlink ref="A109" r:id="rId108" display="https://www.soccerstats.com/latest.asp?league=denmark"/>
    <hyperlink ref="A110" r:id="rId109" display="https://www.soccerstats.com/latest.asp?league=denmark"/>
    <hyperlink ref="A111" r:id="rId110" display="https://www.soccerstats.com/latest.asp?league=denmark"/>
    <hyperlink ref="A112" r:id="rId111" display="https://www.soccerstats.com/latest.asp?league=denmark2"/>
    <hyperlink ref="A113" r:id="rId112" display="https://www.soccerstats.com/latest.asp?league=ecuador"/>
    <hyperlink ref="A114" r:id="rId113" display="https://www.soccerstats.com/latest.asp?league=ecuador"/>
    <hyperlink ref="A115" r:id="rId114" display="https://www.soccerstats.com/latest.asp?league=ecuador"/>
    <hyperlink ref="A116" r:id="rId115" display="https://www.soccerstats.com/latest.asp?league=estonia"/>
    <hyperlink ref="A117" r:id="rId116" display="https://www.soccerstats.com/latest.asp?league=estonia"/>
    <hyperlink ref="A118" r:id="rId117" display="https://www.soccerstats.com/latest.asp?league=estonia"/>
    <hyperlink ref="A119" r:id="rId118" display="https://www.soccerstats.com/latest.asp?league=estonia"/>
    <hyperlink ref="A120" r:id="rId119" display="https://www.soccerstats.com/latest.asp?league=faroeislands"/>
    <hyperlink ref="A121" r:id="rId120" display="https://www.soccerstats.com/latest.asp?league=faroeislands"/>
    <hyperlink ref="A122" r:id="rId121" display="https://www.soccerstats.com/latest.asp?league=faroeislands"/>
    <hyperlink ref="A123" r:id="rId122" display="https://www.soccerstats.com/latest.asp?league=faroeislands"/>
    <hyperlink ref="A124" r:id="rId123" display="https://www.soccerstats.com/latest.asp?league=faroeislands"/>
    <hyperlink ref="A125" r:id="rId124" display="https://www.soccerstats.com/latest.asp?league=finland"/>
    <hyperlink ref="A126" r:id="rId125" display="https://www.soccerstats.com/latest.asp?league=finland"/>
    <hyperlink ref="A127" r:id="rId126" display="https://www.soccerstats.com/latest.asp?league=finland"/>
    <hyperlink ref="A128" r:id="rId127" display="https://www.soccerstats.com/latest.asp?league=finland2"/>
    <hyperlink ref="A129" r:id="rId128" display="https://www.soccerstats.com/latest.asp?league=finland3"/>
    <hyperlink ref="A130" r:id="rId129" display="https://www.soccerstats.com/latest.asp?league=finland3"/>
    <hyperlink ref="A131" r:id="rId130" display="https://www.soccerstats.com/latest.asp?league=finland3"/>
    <hyperlink ref="A132" r:id="rId131" display="https://www.soccerstats.com/latest.asp?league=finland4"/>
    <hyperlink ref="A133" r:id="rId132" display="https://www.soccerstats.com/latest.asp?league=finland6"/>
    <hyperlink ref="A134" r:id="rId133" display="https://www.soccerstats.com/latest.asp?league=finland6"/>
    <hyperlink ref="A135" r:id="rId134" display="https://www.soccerstats.com/latest.asp?league=georgia"/>
    <hyperlink ref="A136" r:id="rId135" display="https://www.soccerstats.com/latest.asp?league=georgia"/>
    <hyperlink ref="A137" r:id="rId136" display="https://www.soccerstats.com/latest.asp?league=germany3"/>
    <hyperlink ref="A138" r:id="rId137" display="https://www.soccerstats.com/latest.asp?league=germany3"/>
    <hyperlink ref="A139" r:id="rId138" display="https://www.soccerstats.com/latest.asp?league=germany3"/>
    <hyperlink ref="A140" r:id="rId139" display="https://www.soccerstats.com/latest.asp?league=germany4"/>
    <hyperlink ref="A141" r:id="rId140" display="https://www.soccerstats.com/latest.asp?league=germany4"/>
    <hyperlink ref="A142" r:id="rId141" display="https://www.soccerstats.com/latest.asp?league=germany4"/>
    <hyperlink ref="A143" r:id="rId142" display="https://www.soccerstats.com/latest.asp?league=germany4"/>
    <hyperlink ref="A144" r:id="rId143" display="https://www.soccerstats.com/latest.asp?league=germany4"/>
    <hyperlink ref="A145" r:id="rId144" display="https://www.soccerstats.com/latest.asp?league=germany5"/>
    <hyperlink ref="A146" r:id="rId145" display="https://www.soccerstats.com/latest.asp?league=germany5"/>
    <hyperlink ref="A147" r:id="rId146" display="https://www.soccerstats.com/latest.asp?league=germany6"/>
    <hyperlink ref="A148" r:id="rId147" display="https://www.soccerstats.com/latest.asp?league=germany7"/>
    <hyperlink ref="A149" r:id="rId148" display="https://www.soccerstats.com/latest.asp?league=germany7"/>
    <hyperlink ref="A150" r:id="rId149" display="https://www.soccerstats.com/latest.asp?league=germany7"/>
    <hyperlink ref="A151" r:id="rId150" display="https://www.soccerstats.com/latest.asp?league=guatemala"/>
    <hyperlink ref="A152" r:id="rId151" display="https://www.soccerstats.com/latest.asp?league=guatemala"/>
    <hyperlink ref="A153" r:id="rId152" display="https://www.soccerstats.com/latest.asp?league=guatemala"/>
    <hyperlink ref="A154" r:id="rId153" display="https://www.soccerstats.com/latest.asp?league=hungary"/>
    <hyperlink ref="A155" r:id="rId154" display="https://www.soccerstats.com/latest.asp?league=hungary"/>
    <hyperlink ref="A156" r:id="rId155" display="https://www.soccerstats.com/latest.asp?league=hungary2"/>
    <hyperlink ref="A157" r:id="rId156" display="https://www.soccerstats.com/latest.asp?league=hungary2"/>
    <hyperlink ref="A158" r:id="rId157" display="https://www.soccerstats.com/latest.asp?league=iceland"/>
    <hyperlink ref="A159" r:id="rId158" display="https://www.soccerstats.com/latest.asp?league=iceland"/>
    <hyperlink ref="A160" r:id="rId159" display="https://www.soccerstats.com/latest.asp?league=iceland"/>
    <hyperlink ref="A161" r:id="rId160" display="https://www.soccerstats.com/latest.asp?league=japan2"/>
    <hyperlink ref="A162" r:id="rId161" display="https://www.soccerstats.com/latest.asp?league=japan2"/>
    <hyperlink ref="A163" r:id="rId162" display="https://www.soccerstats.com/latest.asp?league=japan3"/>
    <hyperlink ref="A164" r:id="rId163" display="https://www.soccerstats.com/latest.asp?league=japan3"/>
    <hyperlink ref="A165" r:id="rId164" display="https://www.soccerstats.com/latest.asp?league=japan3"/>
    <hyperlink ref="A166" r:id="rId165" display="https://www.soccerstats.com/latest.asp?league=japan3"/>
    <hyperlink ref="A167" r:id="rId166" display="https://www.soccerstats.com/latest.asp?league=kazakhstan"/>
    <hyperlink ref="A168" r:id="rId167" display="https://www.soccerstats.com/latest.asp?league=kazakhstan"/>
    <hyperlink ref="A169" r:id="rId168" display="https://www.soccerstats.com/latest.asp?league=kazakhstan"/>
    <hyperlink ref="A170" r:id="rId169" display="https://www.soccerstats.com/latest.asp?league=kazakhstan"/>
    <hyperlink ref="A171" r:id="rId170" display="https://www.soccerstats.com/latest.asp?league=lithuania"/>
    <hyperlink ref="A172" r:id="rId171" display="https://www.soccerstats.com/latest.asp?league=lithuania"/>
    <hyperlink ref="A173" r:id="rId172" display="https://www.soccerstats.com/latest.asp?league=mexico"/>
    <hyperlink ref="A174" r:id="rId173" display="https://www.soccerstats.com/latest.asp?league=mexico"/>
    <hyperlink ref="A175" r:id="rId174" display="https://www.soccerstats.com/latest.asp?league=mexico"/>
    <hyperlink ref="A176" r:id="rId175" display="https://www.soccerstats.com/latest.asp?league=mexico"/>
    <hyperlink ref="A177" r:id="rId176" display="https://www.soccerstats.com/latest.asp?league=moldova"/>
    <hyperlink ref="A178" r:id="rId177" display="https://www.soccerstats.com/latest.asp?league=moldova"/>
    <hyperlink ref="A179" r:id="rId178" display="https://www.soccerstats.com/latest.asp?league=montenegro"/>
    <hyperlink ref="A180" r:id="rId179" display="https://www.soccerstats.com/latest.asp?league=montenegro"/>
    <hyperlink ref="A181" r:id="rId180" display="https://www.soccerstats.com/latest.asp?league=montenegro"/>
    <hyperlink ref="A182" r:id="rId181" display="https://www.soccerstats.com/latest.asp?league=norway"/>
    <hyperlink ref="A183" r:id="rId182" display="https://www.soccerstats.com/latest.asp?league=norway"/>
    <hyperlink ref="A184" r:id="rId183" display="https://www.soccerstats.com/latest.asp?league=norway"/>
    <hyperlink ref="A185" r:id="rId184" display="https://www.soccerstats.com/latest.asp?league=norway"/>
    <hyperlink ref="A186" r:id="rId185" display="https://www.soccerstats.com/latest.asp?league=norway"/>
    <hyperlink ref="A187" r:id="rId186" display="https://www.soccerstats.com/latest.asp?league=norway2"/>
    <hyperlink ref="A188" r:id="rId187" display="https://www.soccerstats.com/latest.asp?league=norway2"/>
    <hyperlink ref="A189" r:id="rId188" display="https://www.soccerstats.com/latest.asp?league=norway2"/>
    <hyperlink ref="A190" r:id="rId189" display="https://www.soccerstats.com/latest.asp?league=norway2"/>
    <hyperlink ref="A191" r:id="rId190" display="https://www.soccerstats.com/latest.asp?league=norway2"/>
    <hyperlink ref="A192" r:id="rId191" display="https://www.soccerstats.com/latest.asp?league=norway3"/>
    <hyperlink ref="A193" r:id="rId192" display="https://www.soccerstats.com/latest.asp?league=norway3"/>
    <hyperlink ref="A194" r:id="rId193" display="https://www.soccerstats.com/latest.asp?league=norway3"/>
    <hyperlink ref="A195" r:id="rId194" display="https://www.soccerstats.com/latest.asp?league=norway4"/>
    <hyperlink ref="A196" r:id="rId195" display="https://www.soccerstats.com/latest.asp?league=norway4"/>
    <hyperlink ref="A197" r:id="rId196" display="https://www.soccerstats.com/latest.asp?league=norway4"/>
    <hyperlink ref="A198" r:id="rId197" display="https://www.soccerstats.com/latest.asp?league=norway4"/>
    <hyperlink ref="A199" r:id="rId198" display="https://www.soccerstats.com/latest.asp?league=norway4"/>
    <hyperlink ref="A200" r:id="rId199" display="https://www.soccerstats.com/latest.asp?league=norway4"/>
    <hyperlink ref="A201" r:id="rId200" display="https://www.soccerstats.com/latest.asp?league=paraguay2"/>
    <hyperlink ref="A202" r:id="rId201" display="https://www.soccerstats.com/latest.asp?league=paraguay2"/>
    <hyperlink ref="A203" r:id="rId202" display="https://www.soccerstats.com/latest.asp?league=paraguay2"/>
    <hyperlink ref="A204" r:id="rId203" display="https://www.soccerstats.com/latest.asp?league=poland"/>
    <hyperlink ref="A205" r:id="rId204" display="https://www.soccerstats.com/latest.asp?league=poland"/>
    <hyperlink ref="A206" r:id="rId205" display="https://www.soccerstats.com/latest.asp?league=poland"/>
    <hyperlink ref="A207" r:id="rId206" display="https://www.soccerstats.com/latest.asp?league=poland"/>
    <hyperlink ref="A208" r:id="rId207" display="https://www.soccerstats.com/latest.asp?league=poland2"/>
    <hyperlink ref="A209" r:id="rId208" display="https://www.soccerstats.com/latest.asp?league=poland2"/>
    <hyperlink ref="A210" r:id="rId209" display="https://www.soccerstats.com/latest.asp?league=poland2"/>
    <hyperlink ref="A211" r:id="rId210" display="https://www.soccerstats.com/latest.asp?league=poland3"/>
    <hyperlink ref="A212" r:id="rId211" display="https://www.soccerstats.com/latest.asp?league=poland3"/>
    <hyperlink ref="A213" r:id="rId212" display="https://www.soccerstats.com/latest.asp?league=poland3"/>
    <hyperlink ref="A214" r:id="rId213" display="https://www.soccerstats.com/latest.asp?league=poland3"/>
    <hyperlink ref="A215" r:id="rId214" display="https://www.soccerstats.com/latest.asp?league=portugal2"/>
    <hyperlink ref="A216" r:id="rId215" display="https://www.soccerstats.com/latest.asp?league=portugal2"/>
    <hyperlink ref="A217" r:id="rId216" display="https://www.soccerstats.com/latest.asp?league=portugal2"/>
    <hyperlink ref="A218" r:id="rId217" display="https://www.soccerstats.com/latest.asp?league=portugal2"/>
    <hyperlink ref="A219" r:id="rId218" display="https://www.soccerstats.com/latest.asp?league=romania"/>
    <hyperlink ref="A220" r:id="rId219" display="https://www.soccerstats.com/latest.asp?league=romania"/>
    <hyperlink ref="A221" r:id="rId220" display="https://www.soccerstats.com/latest.asp?league=russia"/>
    <hyperlink ref="A222" r:id="rId221" display="https://www.soccerstats.com/latest.asp?league=russia"/>
    <hyperlink ref="A223" r:id="rId222" display="https://www.soccerstats.com/latest.asp?league=russia"/>
    <hyperlink ref="A224" r:id="rId223" display="https://www.soccerstats.com/latest.asp?league=serbia"/>
    <hyperlink ref="A225" r:id="rId224" display="https://www.soccerstats.com/latest.asp?league=serbia"/>
    <hyperlink ref="A226" r:id="rId225" display="https://www.soccerstats.com/latest.asp?league=serbia"/>
    <hyperlink ref="A227" r:id="rId226" display="https://www.soccerstats.com/latest.asp?league=slovakia"/>
    <hyperlink ref="A228" r:id="rId227" display="https://www.soccerstats.com/latest.asp?league=slovakia"/>
    <hyperlink ref="A229" r:id="rId228" display="https://www.soccerstats.com/latest.asp?league=slovenia"/>
    <hyperlink ref="A230" r:id="rId229" display="https://www.soccerstats.com/latest.asp?league=slovenia"/>
    <hyperlink ref="A231" r:id="rId230" display="https://www.soccerstats.com/latest.asp?league=slovenia"/>
    <hyperlink ref="A232" r:id="rId231" display="https://www.soccerstats.com/latest.asp?league=southafrica"/>
    <hyperlink ref="A233" r:id="rId232" display="https://www.soccerstats.com/latest.asp?league=southafrica"/>
    <hyperlink ref="A234" r:id="rId233" display="https://www.soccerstats.com/latest.asp?league=southkorea"/>
    <hyperlink ref="A235" r:id="rId234" display="https://www.soccerstats.com/latest.asp?league=southkorea"/>
    <hyperlink ref="A236" r:id="rId235" display="https://www.soccerstats.com/latest.asp?league=southkorea"/>
    <hyperlink ref="A237" r:id="rId236" display="https://www.soccerstats.com/latest.asp?league=southkorea2"/>
    <hyperlink ref="A238" r:id="rId237" display="https://www.soccerstats.com/latest.asp?league=southkorea2"/>
    <hyperlink ref="A239" r:id="rId238" display="https://www.soccerstats.com/latest.asp?league=southkorea2"/>
    <hyperlink ref="A240" r:id="rId239" display="https://www.soccerstats.com/latest.asp?league=southkorea2"/>
    <hyperlink ref="A241" r:id="rId240" display="https://www.soccerstats.com/latest.asp?league=sweden"/>
    <hyperlink ref="A242" r:id="rId241" display="https://www.soccerstats.com/latest.asp?league=sweden"/>
    <hyperlink ref="A243" r:id="rId242" display="https://www.soccerstats.com/latest.asp?league=sweden"/>
    <hyperlink ref="A244" r:id="rId243" display="https://www.soccerstats.com/latest.asp?league=sweden"/>
    <hyperlink ref="A245" r:id="rId244" display="https://www.soccerstats.com/latest.asp?league=sweden"/>
    <hyperlink ref="A246" r:id="rId245" display="https://www.soccerstats.com/latest.asp?league=sweden2"/>
    <hyperlink ref="A247" r:id="rId246" display="https://www.soccerstats.com/latest.asp?league=sweden3"/>
    <hyperlink ref="A248" r:id="rId247" display="https://www.soccerstats.com/latest.asp?league=sweden3"/>
    <hyperlink ref="A249" r:id="rId248" display="https://www.soccerstats.com/latest.asp?league=sweden3"/>
    <hyperlink ref="A250" r:id="rId249" display="https://www.soccerstats.com/latest.asp?league=sweden4"/>
    <hyperlink ref="A251" r:id="rId250" display="https://www.soccerstats.com/latest.asp?league=sweden4"/>
    <hyperlink ref="A252" r:id="rId251" display="https://www.soccerstats.com/latest.asp?league=sweden4"/>
    <hyperlink ref="A253" r:id="rId252" display="https://www.soccerstats.com/latest.asp?league=sweden11"/>
    <hyperlink ref="A254" r:id="rId253" display="https://www.soccerstats.com/latest.asp?league=turkey"/>
    <hyperlink ref="A255" r:id="rId254" display="https://www.soccerstats.com/latest.asp?league=turkey"/>
    <hyperlink ref="A256" r:id="rId255" display="https://www.soccerstats.com/latest.asp?league=turkey"/>
    <hyperlink ref="A257" r:id="rId256" display="https://www.soccerstats.com/latest.asp?league=turkey2"/>
    <hyperlink ref="A258" r:id="rId257" display="https://www.soccerstats.com/latest.asp?league=turkey2"/>
    <hyperlink ref="A259" r:id="rId258" display="https://www.soccerstats.com/latest.asp?league=turkey2"/>
    <hyperlink ref="A260" r:id="rId259" display="https://www.soccerstats.com/latest.asp?league=turkey2"/>
    <hyperlink ref="A261" r:id="rId260" display="https://www.soccerstats.com/latest.asp?league=ukraine"/>
    <hyperlink ref="A262" r:id="rId261" display="https://www.soccerstats.com/latest.asp?league=ukraine"/>
    <hyperlink ref="A263" r:id="rId262" display="https://www.soccerstats.com/latest.asp?league=ukraine"/>
    <hyperlink ref="A264" r:id="rId263" display="https://www.soccerstats.com/latest.asp?league=uruguay3"/>
    <hyperlink ref="A265" r:id="rId264" display="https://www.soccerstats.com/latest.asp?league=uruguay3"/>
    <hyperlink ref="A266" r:id="rId265" display="https://www.soccerstats.com/latest.asp?league=uruguay3"/>
    <hyperlink ref="A267" r:id="rId266" display="https://www.soccerstats.com/latest.asp?league=usa"/>
    <hyperlink ref="A268" r:id="rId267" display="https://www.soccerstats.com/latest.asp?league=usa"/>
    <hyperlink ref="A269" r:id="rId268" display="https://www.soccerstats.com/latest.asp?league=usa"/>
    <hyperlink ref="A270" r:id="rId269" display="https://www.soccerstats.com/latest.asp?league=usa"/>
    <hyperlink ref="A271" r:id="rId270" display="https://www.soccerstats.com/latest.asp?league=usa"/>
    <hyperlink ref="A272" r:id="rId271" display="https://www.soccerstats.com/latest.asp?league=usa"/>
    <hyperlink ref="A273" r:id="rId272" display="https://www.soccerstats.com/latest.asp?league=usa"/>
    <hyperlink ref="A274" r:id="rId273" display="https://www.soccerstats.com/latest.asp?league=usa"/>
    <hyperlink ref="A275" r:id="rId274" display="https://www.soccerstats.com/latest.asp?league=usa2"/>
    <hyperlink ref="A276" r:id="rId275" display="https://www.soccerstats.com/latest.asp?league=usa2"/>
    <hyperlink ref="A277" r:id="rId276" display="https://www.soccerstats.com/latest.asp?league=usa2"/>
    <hyperlink ref="A278" r:id="rId277" display="https://www.soccerstats.com/latest.asp?league=usa2"/>
    <hyperlink ref="A279" r:id="rId278" display="https://www.soccerstats.com/latest.asp?league=usa2"/>
    <hyperlink ref="A280" r:id="rId279" display="https://www.soccerstats.com/latest.asp?league=usa2"/>
    <hyperlink ref="A281" r:id="rId280" display="https://www.soccerstats.com/latest.asp?league=usa2"/>
    <hyperlink ref="A282" r:id="rId281" display="https://www.soccerstats.com/latest.asp?league=usa3"/>
    <hyperlink ref="A283" r:id="rId282" display="https://www.soccerstats.com/latest.asp?league=usa3"/>
    <hyperlink ref="A284" r:id="rId283" display="https://www.soccerstats.com/latest.asp?league=usa3"/>
    <hyperlink ref="A285" r:id="rId284" display="https://www.soccerstats.com/latest.asp?league=usa6"/>
    <hyperlink ref="A286" r:id="rId285" display="https://www.soccerstats.com/latest.asp?league=usa6"/>
    <hyperlink ref="A287" r:id="rId286" display="https://www.soccerstats.com/latest.asp?league=usa7"/>
    <hyperlink ref="A288" r:id="rId287" display="https://www.soccerstats.com/latest.asp?league=spain"/>
    <hyperlink ref="A289" r:id="rId288" display="https://www.soccerstats.com/latest.asp?league=portugal"/>
    <hyperlink ref="A290" r:id="rId289" display="https://www.soccerstats.com/latest.asp?league=england2"/>
    <hyperlink ref="A291" r:id="rId290" display="https://www.soccerstats.com/latest.asp?league=spain2"/>
    <hyperlink ref="A292" r:id="rId291" display="https://www.soccerstats.com/latest.asp?league=spain2"/>
    <hyperlink ref="A293" r:id="rId292" display="https://www.soccerstats.com/latest.asp?league=netherlands2"/>
    <hyperlink ref="A294" r:id="rId293" display="https://www.soccerstats.com/latest.asp?league=netherlands2"/>
    <hyperlink ref="A295" r:id="rId294" display="https://www.soccerstats.com/latest.asp?league=netherlands2"/>
    <hyperlink ref="A296" r:id="rId295" display="https://www.soccerstats.com/latest.asp?league=argentina2"/>
    <hyperlink ref="A297" r:id="rId296" display="https://www.soccerstats.com/latest.asp?league=argentina2"/>
    <hyperlink ref="A298" r:id="rId297" display="https://www.soccerstats.com/latest.asp?league=argentina2"/>
    <hyperlink ref="A299" r:id="rId298" display="https://www.soccerstats.com/latest.asp?league=argentina3"/>
    <hyperlink ref="A300" r:id="rId299" display="https://www.soccerstats.com/latest.asp?league=armenia"/>
    <hyperlink ref="A301" r:id="rId300" display="https://www.soccerstats.com/latest.asp?league=azerbaijan"/>
    <hyperlink ref="A302" r:id="rId301" display="https://www.soccerstats.com/latest.asp?league=belgium2"/>
    <hyperlink ref="A303" r:id="rId302" display="https://www.soccerstats.com/latest.asp?league=brazil"/>
    <hyperlink ref="A304" r:id="rId303" display="https://www.soccerstats.com/latest.asp?league=brazil3"/>
    <hyperlink ref="A305" r:id="rId304" display="https://www.soccerstats.com/latest.asp?league=brazil3"/>
    <hyperlink ref="A306" r:id="rId305" display="https://www.soccerstats.com/latest.asp?league=bulgaria"/>
    <hyperlink ref="A307" r:id="rId306" display="https://www.soccerstats.com/latest.asp?league=bulgaria"/>
    <hyperlink ref="A308" r:id="rId307" display="https://www.soccerstats.com/latest.asp?league=bulgaria2"/>
    <hyperlink ref="A309" r:id="rId308" display="https://www.soccerstats.com/latest.asp?league=chile2"/>
    <hyperlink ref="A310" r:id="rId309" display="https://www.soccerstats.com/latest.asp?league=chile2"/>
    <hyperlink ref="A311" r:id="rId310" display="https://www.soccerstats.com/latest.asp?league=chile2"/>
    <hyperlink ref="A312" r:id="rId311" display="https://www.soccerstats.com/latest.asp?league=colombia2"/>
    <hyperlink ref="A313" r:id="rId312" display="https://www.soccerstats.com/latest.asp?league=colombia2"/>
    <hyperlink ref="A314" r:id="rId313" display="https://www.soccerstats.com/latest.asp?league=czechrepublic2"/>
    <hyperlink ref="A315" r:id="rId314" display="https://www.soccerstats.com/latest.asp?league=denmark"/>
    <hyperlink ref="A316" r:id="rId315" display="https://www.soccerstats.com/latest.asp?league=ecuador"/>
    <hyperlink ref="A317" r:id="rId316" display="https://www.soccerstats.com/latest.asp?league=england7"/>
    <hyperlink ref="A318" r:id="rId317" display="https://www.soccerstats.com/latest.asp?league=estonia2"/>
    <hyperlink ref="A319" r:id="rId318" display="https://www.soccerstats.com/latest.asp?league=faroeislands"/>
    <hyperlink ref="A320" r:id="rId319" display="https://www.soccerstats.com/latest.asp?league=finland"/>
    <hyperlink ref="A321" r:id="rId320" display="https://www.soccerstats.com/latest.asp?league=georgia"/>
    <hyperlink ref="A322" r:id="rId321" display="https://www.soccerstats.com/latest.asp?league=hungary"/>
    <hyperlink ref="A323" r:id="rId322" display="https://www.soccerstats.com/latest.asp?league=iceland"/>
    <hyperlink ref="A324" r:id="rId323" display="https://www.soccerstats.com/latest.asp?league=iceland"/>
    <hyperlink ref="A325" r:id="rId324" display="https://www.soccerstats.com/latest.asp?league=iceland2"/>
    <hyperlink ref="A326" r:id="rId325" display="https://www.soccerstats.com/latest.asp?league=iceland2"/>
    <hyperlink ref="A327" r:id="rId326" display="https://www.soccerstats.com/latest.asp?league=iceland2"/>
    <hyperlink ref="A328" r:id="rId327" display="https://www.soccerstats.com/latest.asp?league=iceland2"/>
    <hyperlink ref="A329" r:id="rId328" display="https://www.soccerstats.com/latest.asp?league=iceland2"/>
    <hyperlink ref="A330" r:id="rId329" display="https://www.soccerstats.com/latest.asp?league=iceland2"/>
    <hyperlink ref="A331" r:id="rId330" display="https://www.soccerstats.com/latest.asp?league=lithuania"/>
    <hyperlink ref="A332" r:id="rId331" display="https://www.soccerstats.com/latest.asp?league=lithuania"/>
    <hyperlink ref="A333" r:id="rId332" display="https://www.soccerstats.com/latest.asp?league=mexico"/>
    <hyperlink ref="A334" r:id="rId333" display="https://www.soccerstats.com/latest.asp?league=mexico"/>
    <hyperlink ref="A335" r:id="rId334" display="https://www.soccerstats.com/latest.asp?league=montenegro"/>
    <hyperlink ref="A336" r:id="rId335" display="https://www.soccerstats.com/latest.asp?league=poland2"/>
    <hyperlink ref="A337" r:id="rId336" display="https://www.soccerstats.com/latest.asp?league=portugal2"/>
    <hyperlink ref="A338" r:id="rId337" display="https://www.soccerstats.com/latest.asp?league=romania"/>
    <hyperlink ref="A339" r:id="rId338" display="https://www.soccerstats.com/latest.asp?league=romania"/>
    <hyperlink ref="A340" r:id="rId339" display="https://www.soccerstats.com/latest.asp?league=serbia"/>
    <hyperlink ref="A341" r:id="rId340" display="https://www.soccerstats.com/latest.asp?league=sweden"/>
    <hyperlink ref="A342" r:id="rId341" display="https://www.soccerstats.com/latest.asp?league=turkey"/>
    <hyperlink ref="A343" r:id="rId342" display="https://www.soccerstats.com/latest.asp?league=turkey2"/>
    <hyperlink ref="A344" r:id="rId343" display="https://www.soccerstats.com/latest.asp?league=ukraine"/>
    <hyperlink ref="A345" r:id="rId344" display="https://www.soccerstats.com/latest.asp?league=usa"/>
    <hyperlink ref="A346" r:id="rId345" display="https://www.soccerstats.com/latest.asp?league=usa"/>
    <hyperlink ref="A347" r:id="rId346" display="https://www.soccerstats.com/latest.asp?league=usa6"/>
  </hyperlinks>
  <pageMargins left="0.511811024" right="0.511811024" top="0.78740157499999996" bottom="0.78740157499999996" header="0.31496062000000002" footer="0.31496062000000002"/>
  <pageSetup paperSize="9" orientation="portrait" r:id="rId347"/>
  <drawing r:id="rId34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1"/>
  <sheetViews>
    <sheetView showGridLines="0" zoomScale="80" zoomScaleNormal="80" workbookViewId="0">
      <selection activeCell="C8" sqref="C8"/>
    </sheetView>
  </sheetViews>
  <sheetFormatPr defaultRowHeight="15" customHeight="1" x14ac:dyDescent="0.25"/>
  <cols>
    <col min="2" max="2" width="10.5546875" bestFit="1" customWidth="1"/>
    <col min="3" max="3" width="13" bestFit="1" customWidth="1"/>
    <col min="4" max="4" width="22.44140625" customWidth="1"/>
    <col min="5" max="5" width="16.109375" bestFit="1" customWidth="1"/>
    <col min="6" max="10" width="20.77734375" customWidth="1"/>
  </cols>
  <sheetData>
    <row r="2" spans="2:11" ht="15" customHeight="1" x14ac:dyDescent="0.25">
      <c r="B2" s="28" t="s">
        <v>69</v>
      </c>
      <c r="C2" s="28" t="s">
        <v>51</v>
      </c>
      <c r="D2" s="28" t="s">
        <v>52</v>
      </c>
      <c r="E2" s="28" t="s">
        <v>53</v>
      </c>
      <c r="F2" s="28" t="s">
        <v>83</v>
      </c>
      <c r="G2" s="28" t="s">
        <v>78</v>
      </c>
      <c r="H2" s="28"/>
      <c r="I2" s="28"/>
      <c r="J2" s="28"/>
      <c r="K2" s="28"/>
    </row>
    <row r="3" spans="2:11" ht="15" customHeight="1" x14ac:dyDescent="0.25">
      <c r="B3" s="37">
        <v>46194</v>
      </c>
      <c r="C3" s="35">
        <v>0.33333333333333331</v>
      </c>
      <c r="D3" s="25" t="s">
        <v>74</v>
      </c>
      <c r="E3" s="25" t="s">
        <v>14</v>
      </c>
      <c r="F3" s="25"/>
      <c r="G3" s="25" t="s">
        <v>79</v>
      </c>
      <c r="H3" s="25"/>
      <c r="I3" s="25"/>
      <c r="J3" s="25"/>
      <c r="K3" s="25"/>
    </row>
    <row r="4" spans="2:11" ht="15" customHeight="1" x14ac:dyDescent="0.25">
      <c r="B4" s="37">
        <v>46194</v>
      </c>
      <c r="C4" s="35">
        <v>0.35416666666666669</v>
      </c>
      <c r="D4" s="25" t="s">
        <v>75</v>
      </c>
      <c r="E4" s="25" t="s">
        <v>13</v>
      </c>
      <c r="F4" s="25"/>
      <c r="G4" s="25" t="s">
        <v>79</v>
      </c>
      <c r="H4" s="25"/>
      <c r="I4" s="25"/>
      <c r="J4" s="25"/>
      <c r="K4" s="25"/>
    </row>
    <row r="5" spans="2:11" ht="15" customHeight="1" x14ac:dyDescent="0.25">
      <c r="B5" s="37">
        <v>46194</v>
      </c>
      <c r="C5" s="35">
        <v>0.45833333333333331</v>
      </c>
      <c r="D5" s="25" t="s">
        <v>71</v>
      </c>
      <c r="E5" s="25" t="s">
        <v>68</v>
      </c>
      <c r="F5" s="25" t="s">
        <v>84</v>
      </c>
      <c r="G5" s="25"/>
      <c r="H5" s="25"/>
      <c r="I5" s="25"/>
      <c r="J5" s="25"/>
      <c r="K5" s="25"/>
    </row>
    <row r="6" spans="2:11" ht="15" customHeight="1" x14ac:dyDescent="0.25">
      <c r="B6" s="37">
        <v>46194</v>
      </c>
      <c r="C6" s="35">
        <v>0.45833333333333331</v>
      </c>
      <c r="D6" s="25" t="s">
        <v>72</v>
      </c>
      <c r="E6" s="25" t="s">
        <v>68</v>
      </c>
      <c r="F6" s="25" t="s">
        <v>84</v>
      </c>
      <c r="G6" s="25"/>
      <c r="H6" s="25"/>
      <c r="I6" s="25"/>
      <c r="J6" s="25"/>
      <c r="K6" s="25"/>
    </row>
    <row r="7" spans="2:11" ht="15" customHeight="1" x14ac:dyDescent="0.25">
      <c r="B7" s="37">
        <v>46194</v>
      </c>
      <c r="C7" s="35">
        <v>0.45833333333333331</v>
      </c>
      <c r="D7" s="25" t="s">
        <v>76</v>
      </c>
      <c r="E7" s="25" t="s">
        <v>13</v>
      </c>
      <c r="F7" s="25" t="s">
        <v>84</v>
      </c>
      <c r="G7" s="25" t="s">
        <v>81</v>
      </c>
      <c r="H7" s="25"/>
      <c r="I7" s="25"/>
      <c r="J7" s="25"/>
      <c r="K7" s="25"/>
    </row>
    <row r="8" spans="2:11" ht="15" customHeight="1" x14ac:dyDescent="0.25">
      <c r="B8" s="37">
        <v>46194</v>
      </c>
      <c r="C8" s="35">
        <v>0.625</v>
      </c>
      <c r="D8" s="25" t="s">
        <v>73</v>
      </c>
      <c r="E8" s="25" t="s">
        <v>13</v>
      </c>
      <c r="F8" s="25"/>
      <c r="G8" s="25" t="s">
        <v>81</v>
      </c>
      <c r="H8" s="25"/>
      <c r="I8" s="25"/>
      <c r="J8" s="25"/>
      <c r="K8" s="25"/>
    </row>
    <row r="9" spans="2:11" ht="15" customHeight="1" x14ac:dyDescent="0.25">
      <c r="B9" s="37">
        <v>46194</v>
      </c>
      <c r="C9" s="35">
        <v>0.625</v>
      </c>
      <c r="D9" s="25" t="s">
        <v>73</v>
      </c>
      <c r="E9" s="25" t="s">
        <v>68</v>
      </c>
      <c r="F9" s="25"/>
      <c r="G9" s="25"/>
      <c r="H9" s="25"/>
      <c r="I9" s="25"/>
      <c r="J9" s="25"/>
      <c r="K9" s="25"/>
    </row>
    <row r="10" spans="2:11" ht="15" customHeight="1" x14ac:dyDescent="0.25">
      <c r="B10" s="37">
        <v>46194</v>
      </c>
      <c r="C10" s="35">
        <v>0.66666666666666663</v>
      </c>
      <c r="D10" s="25" t="s">
        <v>85</v>
      </c>
      <c r="E10" s="25" t="s">
        <v>13</v>
      </c>
      <c r="F10" s="25"/>
      <c r="G10" s="25" t="s">
        <v>80</v>
      </c>
      <c r="H10" s="25"/>
      <c r="I10" s="25"/>
      <c r="J10" s="25"/>
      <c r="K10" s="25"/>
    </row>
    <row r="11" spans="2:11" ht="15" customHeight="1" x14ac:dyDescent="0.25">
      <c r="B11" s="37">
        <v>46194</v>
      </c>
      <c r="C11" s="35">
        <v>0.71875</v>
      </c>
      <c r="D11" s="25" t="s">
        <v>82</v>
      </c>
      <c r="E11" s="25" t="s">
        <v>13</v>
      </c>
      <c r="F11" s="25"/>
      <c r="G11" s="25" t="s">
        <v>80</v>
      </c>
      <c r="H11" s="25"/>
      <c r="I11" s="25"/>
      <c r="J11" s="25"/>
      <c r="K11" s="25"/>
    </row>
    <row r="12" spans="2:11" ht="15" customHeight="1" x14ac:dyDescent="0.25">
      <c r="B12" s="37">
        <v>46194</v>
      </c>
      <c r="C12" s="35">
        <v>0.77083333333333337</v>
      </c>
      <c r="D12" s="25" t="s">
        <v>70</v>
      </c>
      <c r="E12" s="25" t="s">
        <v>68</v>
      </c>
      <c r="F12" s="25"/>
      <c r="G12" s="25"/>
      <c r="H12" s="25"/>
      <c r="I12" s="25"/>
      <c r="J12" s="25"/>
      <c r="K12" s="25"/>
    </row>
    <row r="15" spans="2:11" ht="15" customHeight="1" x14ac:dyDescent="0.25">
      <c r="D15" s="25" t="s">
        <v>61</v>
      </c>
      <c r="E15" s="25">
        <v>100</v>
      </c>
    </row>
    <row r="16" spans="2:11" ht="15" customHeight="1" x14ac:dyDescent="0.25">
      <c r="D16" s="28" t="s">
        <v>63</v>
      </c>
      <c r="E16" s="28" t="s">
        <v>56</v>
      </c>
      <c r="F16" s="28" t="s">
        <v>57</v>
      </c>
      <c r="G16" s="28" t="s">
        <v>58</v>
      </c>
      <c r="H16" s="28" t="s">
        <v>59</v>
      </c>
      <c r="I16" s="28" t="s">
        <v>67</v>
      </c>
      <c r="J16" s="28" t="s">
        <v>62</v>
      </c>
    </row>
    <row r="17" spans="2:10" ht="15" customHeight="1" x14ac:dyDescent="0.25">
      <c r="D17" s="25" t="s">
        <v>13</v>
      </c>
      <c r="E17" s="25">
        <v>366</v>
      </c>
      <c r="F17" s="25">
        <v>73</v>
      </c>
      <c r="G17" s="25">
        <v>121</v>
      </c>
      <c r="H17" s="25">
        <f>E17-F17-G17</f>
        <v>172</v>
      </c>
      <c r="I17" s="29">
        <f>F17*-$E$15+H17*$E$15*0.8</f>
        <v>6460</v>
      </c>
      <c r="J17" s="36">
        <f>I17/(E17*$E$15)</f>
        <v>0.17650273224043717</v>
      </c>
    </row>
    <row r="18" spans="2:10" ht="15" customHeight="1" x14ac:dyDescent="0.25">
      <c r="D18" s="25" t="s">
        <v>54</v>
      </c>
      <c r="E18" s="25">
        <v>85</v>
      </c>
      <c r="F18" s="25">
        <v>12</v>
      </c>
      <c r="G18" s="25">
        <v>24</v>
      </c>
      <c r="H18" s="25">
        <f>E18-F18-G18</f>
        <v>49</v>
      </c>
      <c r="I18" s="29">
        <f>F18*-$E$15+H18*$E$15*0.8</f>
        <v>2720</v>
      </c>
      <c r="J18" s="36">
        <f>I18/(E18*$E$15)</f>
        <v>0.32</v>
      </c>
    </row>
    <row r="19" spans="2:10" ht="15" customHeight="1" x14ac:dyDescent="0.25">
      <c r="D19" s="25" t="s">
        <v>55</v>
      </c>
      <c r="E19" s="25">
        <v>82</v>
      </c>
      <c r="F19" s="25">
        <v>16</v>
      </c>
      <c r="G19" s="25">
        <v>28</v>
      </c>
      <c r="H19" s="25">
        <f>E19-F19-G19</f>
        <v>38</v>
      </c>
      <c r="I19" s="29">
        <f>F19*-$E$15+H19*$E$15*0.8</f>
        <v>1440</v>
      </c>
      <c r="J19" s="36">
        <f>I19/(E19*$E$15)</f>
        <v>0.17560975609756097</v>
      </c>
    </row>
    <row r="20" spans="2:10" ht="15" customHeight="1" x14ac:dyDescent="0.25">
      <c r="D20" s="28" t="s">
        <v>64</v>
      </c>
      <c r="E20" s="28" t="s">
        <v>56</v>
      </c>
      <c r="F20" s="28" t="s">
        <v>57</v>
      </c>
      <c r="G20" s="28" t="s">
        <v>58</v>
      </c>
      <c r="H20" s="28" t="s">
        <v>59</v>
      </c>
      <c r="I20" s="28" t="s">
        <v>60</v>
      </c>
      <c r="J20" s="28" t="s">
        <v>62</v>
      </c>
    </row>
    <row r="21" spans="2:10" ht="15" customHeight="1" x14ac:dyDescent="0.25">
      <c r="D21" s="25" t="s">
        <v>14</v>
      </c>
      <c r="E21" s="25">
        <v>82</v>
      </c>
      <c r="F21" s="25">
        <v>19</v>
      </c>
      <c r="G21" s="25">
        <v>26</v>
      </c>
      <c r="H21" s="25">
        <f>E21-F21-G21</f>
        <v>37</v>
      </c>
      <c r="I21" s="29">
        <f>F21*-$E$15+H21*$E$15*0.8</f>
        <v>1060</v>
      </c>
      <c r="J21" s="36">
        <f>I21/(E21*$E$15)</f>
        <v>0.12926829268292683</v>
      </c>
    </row>
    <row r="22" spans="2:10" ht="15" customHeight="1" x14ac:dyDescent="0.25">
      <c r="D22" s="25" t="s">
        <v>65</v>
      </c>
      <c r="E22" s="25">
        <v>13</v>
      </c>
      <c r="F22" s="25">
        <v>2</v>
      </c>
      <c r="G22" s="25">
        <v>4</v>
      </c>
      <c r="H22" s="25">
        <f>E22-F22-G22</f>
        <v>7</v>
      </c>
      <c r="I22" s="29">
        <f>F22*-$E$15+H22*$E$15*0.8</f>
        <v>360</v>
      </c>
      <c r="J22" s="36">
        <f>I22/(E22*$E$15)</f>
        <v>0.27692307692307694</v>
      </c>
    </row>
    <row r="23" spans="2:10" ht="15" customHeight="1" x14ac:dyDescent="0.25">
      <c r="D23" s="25" t="s">
        <v>66</v>
      </c>
      <c r="E23" s="25">
        <v>17</v>
      </c>
      <c r="F23" s="25">
        <v>1</v>
      </c>
      <c r="G23" s="25">
        <v>8</v>
      </c>
      <c r="H23" s="25">
        <f>E23-F23-G23</f>
        <v>8</v>
      </c>
      <c r="I23" s="29">
        <f>F23*-$E$15+H23*$E$15*0.8</f>
        <v>540</v>
      </c>
      <c r="J23" s="36">
        <f>I23/(E23*$E$15)</f>
        <v>0.31764705882352939</v>
      </c>
    </row>
    <row r="27" spans="2:10" ht="15" customHeight="1" x14ac:dyDescent="0.25">
      <c r="B27" t="s">
        <v>57</v>
      </c>
      <c r="C27" s="38">
        <v>0.05</v>
      </c>
      <c r="D27" s="38">
        <v>-0.5</v>
      </c>
      <c r="F27" t="s">
        <v>57</v>
      </c>
      <c r="G27" s="38">
        <v>0.05</v>
      </c>
      <c r="H27" s="38">
        <v>-0.28000000000000003</v>
      </c>
    </row>
    <row r="28" spans="2:10" ht="15" customHeight="1" x14ac:dyDescent="0.25">
      <c r="B28" t="s">
        <v>59</v>
      </c>
      <c r="C28" s="38">
        <v>0.85</v>
      </c>
      <c r="D28" s="38">
        <v>0.09</v>
      </c>
      <c r="F28" t="s">
        <v>59</v>
      </c>
      <c r="G28" s="38">
        <v>0.75</v>
      </c>
      <c r="H28" s="38">
        <v>0.09</v>
      </c>
    </row>
    <row r="29" spans="2:10" ht="15" customHeight="1" x14ac:dyDescent="0.25">
      <c r="B29" t="s">
        <v>77</v>
      </c>
      <c r="C29" s="38">
        <v>0.1</v>
      </c>
      <c r="D29" s="38">
        <v>-7.0000000000000007E-2</v>
      </c>
      <c r="F29" t="s">
        <v>77</v>
      </c>
      <c r="G29" s="38">
        <v>0.25</v>
      </c>
      <c r="H29" s="38">
        <v>-7.0000000000000007E-2</v>
      </c>
    </row>
    <row r="31" spans="2:10" ht="15" customHeight="1" x14ac:dyDescent="0.25">
      <c r="B31" t="s">
        <v>57</v>
      </c>
      <c r="C31" s="40">
        <f>(C27*D27+C29*D29)/(C27+C29)</f>
        <v>-0.21333333333333332</v>
      </c>
      <c r="D31" s="39">
        <f>SUMPRODUCT(C27:C29,D27:D29)</f>
        <v>4.4499999999999998E-2</v>
      </c>
      <c r="F31" t="s">
        <v>57</v>
      </c>
      <c r="G31" s="40">
        <f>(G27*H27+G29*H29)/(G27+G29)</f>
        <v>-0.10500000000000001</v>
      </c>
      <c r="H31" s="39">
        <f>SUMPRODUCT(G27:G29,H27:H29)</f>
        <v>3.6000000000000004E-2</v>
      </c>
    </row>
  </sheetData>
  <autoFilter ref="B2:G2"/>
  <sortState ref="B3:G13">
    <sortCondition ref="B3:B13"/>
    <sortCondition ref="C3:C1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8"/>
  <sheetViews>
    <sheetView showGridLines="0" topLeftCell="J1" workbookViewId="0">
      <pane ySplit="1" topLeftCell="A9" activePane="bottomLeft" state="frozen"/>
      <selection activeCell="AA2" sqref="AA2:AA16"/>
      <selection pane="bottomLeft" activeCell="AF9" sqref="AF9"/>
    </sheetView>
  </sheetViews>
  <sheetFormatPr defaultRowHeight="13.2" x14ac:dyDescent="0.25"/>
  <cols>
    <col min="28" max="28" width="11" bestFit="1" customWidth="1"/>
    <col min="30" max="30" width="6.88671875" customWidth="1"/>
  </cols>
  <sheetData>
    <row r="1" spans="1:38" ht="2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/>
      <c r="L1" s="3"/>
      <c r="M1" s="3"/>
      <c r="N1" s="2" t="s">
        <v>9</v>
      </c>
      <c r="O1" s="2" t="s">
        <v>8</v>
      </c>
      <c r="P1" s="1" t="s">
        <v>7</v>
      </c>
      <c r="Q1" s="1" t="s">
        <v>6</v>
      </c>
      <c r="R1" s="1" t="s">
        <v>5</v>
      </c>
      <c r="S1" s="1" t="s">
        <v>4</v>
      </c>
      <c r="T1" s="1" t="s">
        <v>3</v>
      </c>
      <c r="U1" s="1" t="s">
        <v>2</v>
      </c>
      <c r="V1" s="1" t="s">
        <v>1</v>
      </c>
      <c r="W1" s="16"/>
      <c r="X1" s="20" t="s">
        <v>15</v>
      </c>
      <c r="Y1" s="20" t="s">
        <v>16</v>
      </c>
      <c r="Z1" s="20" t="s">
        <v>17</v>
      </c>
      <c r="AA1" s="20" t="s">
        <v>18</v>
      </c>
      <c r="AB1" s="20" t="s">
        <v>50</v>
      </c>
      <c r="AC1" s="23" t="s">
        <v>19</v>
      </c>
      <c r="AD1" s="23" t="s">
        <v>12</v>
      </c>
      <c r="AE1" s="21" t="s">
        <v>13</v>
      </c>
      <c r="AF1" s="22" t="s">
        <v>14</v>
      </c>
      <c r="AG1" s="20" t="s">
        <v>20</v>
      </c>
      <c r="AH1" s="20" t="s">
        <v>21</v>
      </c>
      <c r="AI1" s="20" t="s">
        <v>22</v>
      </c>
      <c r="AJ1" s="20" t="s">
        <v>23</v>
      </c>
      <c r="AK1" s="20" t="s">
        <v>24</v>
      </c>
      <c r="AL1" s="20" t="s">
        <v>25</v>
      </c>
    </row>
    <row r="2" spans="1:38" ht="19.8" thickBot="1" x14ac:dyDescent="0.3">
      <c r="A2" s="4" t="s">
        <v>114</v>
      </c>
      <c r="B2" s="8">
        <v>0.2</v>
      </c>
      <c r="C2" s="9">
        <v>0.3</v>
      </c>
      <c r="D2" s="8">
        <v>0.4</v>
      </c>
      <c r="E2" s="10">
        <v>0.7</v>
      </c>
      <c r="F2" s="11">
        <v>1.2</v>
      </c>
      <c r="G2" s="12">
        <v>1.9</v>
      </c>
      <c r="H2" s="13">
        <v>1.9</v>
      </c>
      <c r="I2" s="14">
        <v>10</v>
      </c>
      <c r="J2" s="14" t="s">
        <v>10</v>
      </c>
      <c r="K2" s="5" t="s">
        <v>115</v>
      </c>
      <c r="L2" s="6">
        <v>0.66666666666666663</v>
      </c>
      <c r="M2" s="7" t="s">
        <v>116</v>
      </c>
      <c r="N2" s="14" t="s">
        <v>11</v>
      </c>
      <c r="O2" s="14">
        <v>10</v>
      </c>
      <c r="P2" s="13">
        <v>1.2</v>
      </c>
      <c r="Q2" s="12">
        <v>1.7</v>
      </c>
      <c r="R2" s="11">
        <v>0.7</v>
      </c>
      <c r="S2" s="10">
        <v>1</v>
      </c>
      <c r="T2" s="8">
        <v>0.7</v>
      </c>
      <c r="U2" s="9">
        <v>0</v>
      </c>
      <c r="V2" s="8">
        <v>0</v>
      </c>
      <c r="W2" s="17"/>
      <c r="X2" s="18">
        <f t="shared" ref="X2:X6" si="0">AVERAGE(F2,S2)</f>
        <v>1.1000000000000001</v>
      </c>
      <c r="Y2" s="18">
        <f t="shared" ref="Y2:Y6" si="1">AVERAGE(R2,E2)</f>
        <v>0.7</v>
      </c>
      <c r="Z2" s="18">
        <f t="shared" ref="Z2:Z6" si="2">SUM(X2:Y2)</f>
        <v>1.8</v>
      </c>
      <c r="AA2" s="18">
        <f>ABS(X2-Y2)</f>
        <v>0.40000000000000013</v>
      </c>
      <c r="AB2" s="24">
        <f t="shared" ref="AB2:AB6" si="3">IF(AND(C2&gt;=0.5,U2&gt;=0.5,AVERAGE(C2,U2)&gt;=0.5,G2&gt;=2.3,Q2&gt;=2.3,AVERAGE(G2,Q2)&gt;=2.5),1,0)</f>
        <v>0</v>
      </c>
      <c r="AC2" s="24">
        <f>SUM(AG2:AL2)</f>
        <v>3</v>
      </c>
      <c r="AD2" s="19">
        <f t="shared" ref="AD2:AD6" si="4">IF(OR(I2&lt;3,O2&lt;3),0,IF(H2&gt;P2,IF(AND(F2&gt;E2,S2&gt;=R2,F2&gt;=1.5,E2&lt;=1.3,R2&lt;=1.4,S2&gt;=1.4,AVERAGE(C2,U2)&gt;=50%),1,0),IF(AND(E2&gt;=F2,R2&gt;S2,R2&gt;=1.5,S2&lt;1.3,E2&gt;=1.4,F2&lt;=1.4,AVERAGE(C2,U2)&gt;=50%),1,0)))</f>
        <v>0</v>
      </c>
      <c r="AE2" s="19">
        <f t="shared" ref="AE2:AE6" si="5">IF(OR(I2&lt;3,O2&lt;3),0,IF(H2&gt;P2,IF(AND(F2&gt;=1.5,S2&gt;=1,AVERAGE(C2,U2)&gt;=50%,C2&gt;=40%,U2&gt;=40%),1,0),IF(AND(R2&gt;=1.5,E2&gt;=1,F2&lt;=1.4,AVERAGE(C2,U2)&gt;=50%,C2&gt;=40%,U2&gt;=40%),1,0)))</f>
        <v>0</v>
      </c>
      <c r="AF2" s="19">
        <f t="shared" ref="AF2:AF6" si="6">IF(OR(I2&lt;3,O2&lt;3),0,IF(H2&gt;P2,IF(AND(AVERAGE(C2,U2)&gt;=50%,C2&gt;=40%,U2&gt;=40%,OR(AND(G2&gt;=2.8,Q2&gt;=2.8),AVERAGE(G2,Q2)&gt;=2.8)),1,0),IF(AND(AVERAGE(C2,U2)&gt;=50%,C2&gt;=40%,U2&gt;=40%,OR(AND(G2&gt;=2.8,Q2&gt;=2.8),AVERAGE(G2,Q2)&gt;=2.8)),1,0)))</f>
        <v>0</v>
      </c>
      <c r="AG2" s="19">
        <f t="shared" ref="AG2:AG6" si="7">IF($H2&gt;$P2,IF(S2&gt;=R2,1,0),IF(E2&gt;=F2,1,0))</f>
        <v>1</v>
      </c>
      <c r="AH2" s="19">
        <f t="shared" ref="AH2:AH6" si="8">IF($H2&gt;$P2,IF(F2&gt;=1.5,1,0),IF(R2&gt;=1.5,1,0))</f>
        <v>0</v>
      </c>
      <c r="AI2" s="19">
        <f t="shared" ref="AI2:AI6" si="9">IF($H2&gt;$P2,IF(E2&lt;=1.3,1,0),IF(S2&lt;=1.3,1,0))</f>
        <v>1</v>
      </c>
      <c r="AJ2" s="19">
        <f t="shared" ref="AJ2:AJ6" si="10">IF($H2&gt;$P2,IF(R2&lt;=1.4,1,0),IF(F2&lt;=1.4,1,0))</f>
        <v>1</v>
      </c>
      <c r="AK2" s="19">
        <f t="shared" ref="AK2:AK6" si="11">IF($H2&gt;$P2,IF(S2&gt;=1.4,1,0),IF(E2&gt;=1.4,1,0))</f>
        <v>0</v>
      </c>
      <c r="AL2" s="19">
        <f t="shared" ref="AL2:AL6" si="12">IF(AVERAGE(C2,U2)&gt;=0.5,1,0)</f>
        <v>0</v>
      </c>
    </row>
    <row r="3" spans="1:38" ht="19.8" thickBot="1" x14ac:dyDescent="0.3">
      <c r="A3" s="4" t="s">
        <v>117</v>
      </c>
      <c r="B3" s="8">
        <v>0.2</v>
      </c>
      <c r="C3" s="9">
        <v>0.3</v>
      </c>
      <c r="D3" s="8">
        <v>0.6</v>
      </c>
      <c r="E3" s="10">
        <v>0.6</v>
      </c>
      <c r="F3" s="11">
        <v>1.1000000000000001</v>
      </c>
      <c r="G3" s="12">
        <v>1.7</v>
      </c>
      <c r="H3" s="13">
        <v>1.5</v>
      </c>
      <c r="I3" s="14">
        <v>10</v>
      </c>
      <c r="J3" s="14" t="s">
        <v>10</v>
      </c>
      <c r="K3" s="5" t="s">
        <v>118</v>
      </c>
      <c r="L3" s="6">
        <v>0.8125</v>
      </c>
      <c r="M3" s="7" t="s">
        <v>119</v>
      </c>
      <c r="N3" s="14" t="s">
        <v>11</v>
      </c>
      <c r="O3" s="14">
        <v>10</v>
      </c>
      <c r="P3" s="13">
        <v>0.6</v>
      </c>
      <c r="Q3" s="12">
        <v>2.2000000000000002</v>
      </c>
      <c r="R3" s="11">
        <v>0.6</v>
      </c>
      <c r="S3" s="10">
        <v>1.6</v>
      </c>
      <c r="T3" s="8">
        <v>0.7</v>
      </c>
      <c r="U3" s="9">
        <v>0.3</v>
      </c>
      <c r="V3" s="8">
        <v>0.2</v>
      </c>
      <c r="W3" s="17"/>
      <c r="X3" s="18">
        <f t="shared" si="0"/>
        <v>1.35</v>
      </c>
      <c r="Y3" s="18">
        <f t="shared" si="1"/>
        <v>0.6</v>
      </c>
      <c r="Z3" s="18">
        <f t="shared" si="2"/>
        <v>1.9500000000000002</v>
      </c>
      <c r="AA3" s="18">
        <f>ABS(X3-Y3)</f>
        <v>0.75000000000000011</v>
      </c>
      <c r="AB3" s="24">
        <f t="shared" si="3"/>
        <v>0</v>
      </c>
      <c r="AC3" s="24">
        <f t="shared" ref="AC3:AC6" si="13">SUM(AG3:AL3)</f>
        <v>4</v>
      </c>
      <c r="AD3" s="19">
        <f t="shared" si="4"/>
        <v>0</v>
      </c>
      <c r="AE3" s="19">
        <f t="shared" si="5"/>
        <v>0</v>
      </c>
      <c r="AF3" s="19">
        <f t="shared" si="6"/>
        <v>0</v>
      </c>
      <c r="AG3" s="19">
        <f t="shared" si="7"/>
        <v>1</v>
      </c>
      <c r="AH3" s="19">
        <f t="shared" si="8"/>
        <v>0</v>
      </c>
      <c r="AI3" s="19">
        <f t="shared" si="9"/>
        <v>1</v>
      </c>
      <c r="AJ3" s="19">
        <f t="shared" si="10"/>
        <v>1</v>
      </c>
      <c r="AK3" s="19">
        <f t="shared" si="11"/>
        <v>1</v>
      </c>
      <c r="AL3" s="19">
        <f t="shared" si="12"/>
        <v>0</v>
      </c>
    </row>
    <row r="4" spans="1:38" ht="19.8" thickBot="1" x14ac:dyDescent="0.3">
      <c r="A4" s="4" t="s">
        <v>117</v>
      </c>
      <c r="B4" s="8">
        <v>0</v>
      </c>
      <c r="C4" s="9">
        <v>0.33</v>
      </c>
      <c r="D4" s="8">
        <v>0.56000000000000005</v>
      </c>
      <c r="E4" s="10">
        <v>0.89</v>
      </c>
      <c r="F4" s="11">
        <v>1</v>
      </c>
      <c r="G4" s="12">
        <v>1.89</v>
      </c>
      <c r="H4" s="13">
        <v>1.78</v>
      </c>
      <c r="I4" s="14">
        <v>9</v>
      </c>
      <c r="J4" s="14" t="s">
        <v>10</v>
      </c>
      <c r="K4" s="5" t="s">
        <v>120</v>
      </c>
      <c r="L4" s="6">
        <v>0.85416666666666663</v>
      </c>
      <c r="M4" s="7" t="s">
        <v>121</v>
      </c>
      <c r="N4" s="14" t="s">
        <v>11</v>
      </c>
      <c r="O4" s="14">
        <v>10</v>
      </c>
      <c r="P4" s="13">
        <v>1.3</v>
      </c>
      <c r="Q4" s="12">
        <v>2.1</v>
      </c>
      <c r="R4" s="11">
        <v>1.1000000000000001</v>
      </c>
      <c r="S4" s="10">
        <v>1</v>
      </c>
      <c r="T4" s="8">
        <v>0.8</v>
      </c>
      <c r="U4" s="9">
        <v>0.3</v>
      </c>
      <c r="V4" s="8">
        <v>0.1</v>
      </c>
      <c r="W4" s="17"/>
      <c r="X4" s="18">
        <f t="shared" si="0"/>
        <v>1</v>
      </c>
      <c r="Y4" s="18">
        <f t="shared" si="1"/>
        <v>0.99500000000000011</v>
      </c>
      <c r="Z4" s="18">
        <f t="shared" si="2"/>
        <v>1.9950000000000001</v>
      </c>
      <c r="AA4" s="18">
        <f>ABS(X4-Y4)</f>
        <v>4.9999999999998934E-3</v>
      </c>
      <c r="AB4" s="24">
        <f t="shared" si="3"/>
        <v>0</v>
      </c>
      <c r="AC4" s="24">
        <f t="shared" si="13"/>
        <v>2</v>
      </c>
      <c r="AD4" s="19">
        <f t="shared" si="4"/>
        <v>0</v>
      </c>
      <c r="AE4" s="19">
        <f t="shared" si="5"/>
        <v>0</v>
      </c>
      <c r="AF4" s="19">
        <f t="shared" si="6"/>
        <v>0</v>
      </c>
      <c r="AG4" s="19">
        <f t="shared" si="7"/>
        <v>0</v>
      </c>
      <c r="AH4" s="19">
        <f t="shared" si="8"/>
        <v>0</v>
      </c>
      <c r="AI4" s="19">
        <f t="shared" si="9"/>
        <v>1</v>
      </c>
      <c r="AJ4" s="19">
        <f t="shared" si="10"/>
        <v>1</v>
      </c>
      <c r="AK4" s="19">
        <f t="shared" si="11"/>
        <v>0</v>
      </c>
      <c r="AL4" s="19">
        <f t="shared" si="12"/>
        <v>0</v>
      </c>
    </row>
    <row r="5" spans="1:38" ht="19.8" thickBot="1" x14ac:dyDescent="0.3">
      <c r="A5" s="51" t="s">
        <v>117</v>
      </c>
      <c r="B5" s="52">
        <v>0.2</v>
      </c>
      <c r="C5" s="53">
        <v>0.4</v>
      </c>
      <c r="D5" s="52">
        <v>0.6</v>
      </c>
      <c r="E5" s="54">
        <v>1.1000000000000001</v>
      </c>
      <c r="F5" s="55">
        <v>1.1000000000000001</v>
      </c>
      <c r="G5" s="56">
        <v>2.2000000000000002</v>
      </c>
      <c r="H5" s="57">
        <v>1.3</v>
      </c>
      <c r="I5" s="58">
        <v>10</v>
      </c>
      <c r="J5" s="58" t="s">
        <v>10</v>
      </c>
      <c r="K5" s="59" t="s">
        <v>122</v>
      </c>
      <c r="L5" s="60">
        <v>0.875</v>
      </c>
      <c r="M5" s="61" t="s">
        <v>123</v>
      </c>
      <c r="N5" s="58" t="s">
        <v>11</v>
      </c>
      <c r="O5" s="58">
        <v>10</v>
      </c>
      <c r="P5" s="57">
        <v>0.5</v>
      </c>
      <c r="Q5" s="56">
        <v>2.2000000000000002</v>
      </c>
      <c r="R5" s="55">
        <v>0.6</v>
      </c>
      <c r="S5" s="54">
        <v>1.6</v>
      </c>
      <c r="T5" s="52">
        <v>0.6</v>
      </c>
      <c r="U5" s="53">
        <v>0.4</v>
      </c>
      <c r="V5" s="52">
        <v>0.2</v>
      </c>
      <c r="W5" s="62"/>
      <c r="X5" s="18">
        <f t="shared" si="0"/>
        <v>1.35</v>
      </c>
      <c r="Y5" s="18">
        <f t="shared" si="1"/>
        <v>0.85000000000000009</v>
      </c>
      <c r="Z5" s="18">
        <f t="shared" si="2"/>
        <v>2.2000000000000002</v>
      </c>
      <c r="AA5" s="18">
        <f>ABS(X5-Y5)</f>
        <v>0.5</v>
      </c>
      <c r="AB5" s="24">
        <f t="shared" si="3"/>
        <v>0</v>
      </c>
      <c r="AC5" s="24">
        <f t="shared" si="13"/>
        <v>4</v>
      </c>
      <c r="AD5" s="19">
        <f t="shared" si="4"/>
        <v>0</v>
      </c>
      <c r="AE5" s="19">
        <f t="shared" si="5"/>
        <v>0</v>
      </c>
      <c r="AF5" s="19">
        <f t="shared" si="6"/>
        <v>0</v>
      </c>
      <c r="AG5" s="19">
        <f t="shared" si="7"/>
        <v>1</v>
      </c>
      <c r="AH5" s="19">
        <f t="shared" si="8"/>
        <v>0</v>
      </c>
      <c r="AI5" s="19">
        <f t="shared" si="9"/>
        <v>1</v>
      </c>
      <c r="AJ5" s="19">
        <f t="shared" si="10"/>
        <v>1</v>
      </c>
      <c r="AK5" s="19">
        <f t="shared" si="11"/>
        <v>1</v>
      </c>
      <c r="AL5" s="19">
        <f t="shared" si="12"/>
        <v>0</v>
      </c>
    </row>
    <row r="6" spans="1:38" ht="13.8" thickBot="1" x14ac:dyDescent="0.3">
      <c r="A6" s="4" t="s">
        <v>117</v>
      </c>
      <c r="B6" s="8">
        <v>0.33</v>
      </c>
      <c r="C6" s="15">
        <v>0.56000000000000005</v>
      </c>
      <c r="D6" s="8">
        <v>0.67</v>
      </c>
      <c r="E6" s="10">
        <v>1.33</v>
      </c>
      <c r="F6" s="11">
        <v>1.56</v>
      </c>
      <c r="G6" s="12">
        <v>2.89</v>
      </c>
      <c r="H6" s="13">
        <v>2</v>
      </c>
      <c r="I6" s="14">
        <v>9</v>
      </c>
      <c r="J6" s="14" t="s">
        <v>10</v>
      </c>
      <c r="K6" s="5" t="s">
        <v>124</v>
      </c>
      <c r="L6" s="6">
        <v>0.89583333333333337</v>
      </c>
      <c r="M6" s="7" t="s">
        <v>125</v>
      </c>
      <c r="N6" s="14" t="s">
        <v>11</v>
      </c>
      <c r="O6" s="14">
        <v>10</v>
      </c>
      <c r="P6" s="13">
        <v>0.7</v>
      </c>
      <c r="Q6" s="12">
        <v>1.4</v>
      </c>
      <c r="R6" s="11">
        <v>0.4</v>
      </c>
      <c r="S6" s="10">
        <v>1</v>
      </c>
      <c r="T6" s="8">
        <v>0.5</v>
      </c>
      <c r="U6" s="9">
        <v>0.2</v>
      </c>
      <c r="V6" s="8">
        <v>0</v>
      </c>
      <c r="W6" s="17"/>
      <c r="X6" s="18">
        <f t="shared" si="0"/>
        <v>1.28</v>
      </c>
      <c r="Y6" s="18">
        <f t="shared" si="1"/>
        <v>0.86499999999999999</v>
      </c>
      <c r="Z6" s="18">
        <f t="shared" si="2"/>
        <v>2.145</v>
      </c>
      <c r="AA6" s="18">
        <f t="shared" ref="AA6" si="14">ABS(X6-Y6)</f>
        <v>0.41500000000000004</v>
      </c>
      <c r="AB6" s="24">
        <f t="shared" si="3"/>
        <v>0</v>
      </c>
      <c r="AC6" s="24">
        <f t="shared" si="13"/>
        <v>3</v>
      </c>
      <c r="AD6" s="19">
        <f t="shared" si="4"/>
        <v>0</v>
      </c>
      <c r="AE6" s="19">
        <f t="shared" si="5"/>
        <v>0</v>
      </c>
      <c r="AF6" s="19">
        <f t="shared" si="6"/>
        <v>0</v>
      </c>
      <c r="AG6" s="19">
        <f t="shared" si="7"/>
        <v>1</v>
      </c>
      <c r="AH6" s="19">
        <f t="shared" si="8"/>
        <v>1</v>
      </c>
      <c r="AI6" s="19">
        <f t="shared" si="9"/>
        <v>0</v>
      </c>
      <c r="AJ6" s="19">
        <f t="shared" si="10"/>
        <v>1</v>
      </c>
      <c r="AK6" s="19">
        <f t="shared" si="11"/>
        <v>0</v>
      </c>
      <c r="AL6" s="19">
        <f t="shared" si="12"/>
        <v>0</v>
      </c>
    </row>
    <row r="7" spans="1:38" ht="19.8" thickBot="1" x14ac:dyDescent="0.3">
      <c r="A7" s="4" t="s">
        <v>126</v>
      </c>
      <c r="B7" s="8">
        <v>0.55000000000000004</v>
      </c>
      <c r="C7" s="15">
        <v>0.64</v>
      </c>
      <c r="D7" s="8">
        <v>0.82</v>
      </c>
      <c r="E7" s="10">
        <v>2.36</v>
      </c>
      <c r="F7" s="11">
        <v>1.36</v>
      </c>
      <c r="G7" s="12">
        <v>3.73</v>
      </c>
      <c r="H7" s="13">
        <v>1.0900000000000001</v>
      </c>
      <c r="I7" s="14">
        <v>11</v>
      </c>
      <c r="J7" s="14" t="s">
        <v>10</v>
      </c>
      <c r="K7" s="5" t="s">
        <v>127</v>
      </c>
      <c r="L7" s="6">
        <v>0.3125</v>
      </c>
      <c r="M7" s="7" t="s">
        <v>128</v>
      </c>
      <c r="N7" s="14" t="s">
        <v>11</v>
      </c>
      <c r="O7" s="14">
        <v>9</v>
      </c>
      <c r="P7" s="13">
        <v>0.89</v>
      </c>
      <c r="Q7" s="12">
        <v>2.44</v>
      </c>
      <c r="R7" s="11">
        <v>0.89</v>
      </c>
      <c r="S7" s="10">
        <v>1.56</v>
      </c>
      <c r="T7" s="8">
        <v>0.44</v>
      </c>
      <c r="U7" s="9">
        <v>0.44</v>
      </c>
      <c r="V7" s="8">
        <v>0.33</v>
      </c>
      <c r="W7" s="17"/>
      <c r="X7" s="18">
        <f t="shared" ref="X7:X10" si="15">AVERAGE(F7,S7)</f>
        <v>1.46</v>
      </c>
      <c r="Y7" s="18">
        <f t="shared" ref="Y7:Y10" si="16">AVERAGE(R7,E7)</f>
        <v>1.625</v>
      </c>
      <c r="Z7" s="18">
        <f t="shared" ref="Z7:Z10" si="17">SUM(X7:Y7)</f>
        <v>3.085</v>
      </c>
      <c r="AA7" s="18">
        <f t="shared" ref="AA7:AA10" si="18">ABS(X7-Y7)</f>
        <v>0.16500000000000004</v>
      </c>
      <c r="AB7" s="24">
        <f t="shared" ref="AB7:AB10" si="19">IF(AND(C7&gt;=0.5,U7&gt;=0.5,AVERAGE(C7,U7)&gt;=0.5,G7&gt;=2.3,Q7&gt;=2.3,AVERAGE(G7,Q7)&gt;=2.5),1,0)</f>
        <v>0</v>
      </c>
      <c r="AC7" s="24">
        <f t="shared" ref="AC7:AC10" si="20">SUM(AG7:AL7)</f>
        <v>4</v>
      </c>
      <c r="AD7" s="19">
        <f t="shared" ref="AD7:AD10" si="21">IF(OR(I7&lt;3,O7&lt;3),0,IF(H7&gt;P7,IF(AND(F7&gt;E7,S7&gt;=R7,F7&gt;=1.5,E7&lt;=1.3,R7&lt;=1.4,S7&gt;=1.4,AVERAGE(C7,U7)&gt;=50%),1,0),IF(AND(E7&gt;=F7,R7&gt;S7,R7&gt;=1.5,S7&lt;1.3,E7&gt;=1.4,F7&lt;=1.4,AVERAGE(C7,U7)&gt;=50%),1,0)))</f>
        <v>0</v>
      </c>
      <c r="AE7" s="19">
        <f t="shared" ref="AE7:AE10" si="22">IF(OR(I7&lt;3,O7&lt;3),0,IF(H7&gt;P7,IF(AND(F7&gt;=1.5,S7&gt;=1,AVERAGE(C7,U7)&gt;=50%,C7&gt;=40%,U7&gt;=40%),1,0),IF(AND(R7&gt;=1.5,E7&gt;=1,F7&lt;=1.4,AVERAGE(C7,U7)&gt;=50%,C7&gt;=40%,U7&gt;=40%),1,0)))</f>
        <v>0</v>
      </c>
      <c r="AF7" s="19">
        <f t="shared" ref="AF7:AF10" si="23">IF(OR(I7&lt;3,O7&lt;3),0,IF(H7&gt;P7,IF(AND(AVERAGE(C7,U7)&gt;=50%,C7&gt;=40%,U7&gt;=40%,OR(AND(G7&gt;=2.8,Q7&gt;=2.8),AVERAGE(G7,Q7)&gt;=2.8)),1,0),IF(AND(AVERAGE(C7,U7)&gt;=50%,C7&gt;=40%,U7&gt;=40%,OR(AND(G7&gt;=2.8,Q7&gt;=2.8),AVERAGE(G7,Q7)&gt;=2.8)),1,0)))</f>
        <v>1</v>
      </c>
      <c r="AG7" s="19">
        <f t="shared" ref="AG7:AG10" si="24">IF($H7&gt;$P7,IF(S7&gt;=R7,1,0),IF(E7&gt;=F7,1,0))</f>
        <v>1</v>
      </c>
      <c r="AH7" s="19">
        <f t="shared" ref="AH7:AH10" si="25">IF($H7&gt;$P7,IF(F7&gt;=1.5,1,0),IF(R7&gt;=1.5,1,0))</f>
        <v>0</v>
      </c>
      <c r="AI7" s="19">
        <f t="shared" ref="AI7:AI10" si="26">IF($H7&gt;$P7,IF(E7&lt;=1.3,1,0),IF(S7&lt;=1.3,1,0))</f>
        <v>0</v>
      </c>
      <c r="AJ7" s="19">
        <f t="shared" ref="AJ7:AJ10" si="27">IF($H7&gt;$P7,IF(R7&lt;=1.4,1,0),IF(F7&lt;=1.4,1,0))</f>
        <v>1</v>
      </c>
      <c r="AK7" s="19">
        <f t="shared" ref="AK7:AK10" si="28">IF($H7&gt;$P7,IF(S7&gt;=1.4,1,0),IF(E7&gt;=1.4,1,0))</f>
        <v>1</v>
      </c>
      <c r="AL7" s="19">
        <f t="shared" ref="AL7:AL10" si="29">IF(AVERAGE(C7,U7)&gt;=0.5,1,0)</f>
        <v>1</v>
      </c>
    </row>
    <row r="8" spans="1:38" ht="19.8" thickBot="1" x14ac:dyDescent="0.3">
      <c r="A8" s="4" t="s">
        <v>126</v>
      </c>
      <c r="B8" s="8">
        <v>0.4</v>
      </c>
      <c r="C8" s="9">
        <v>0.5</v>
      </c>
      <c r="D8" s="8">
        <v>0.8</v>
      </c>
      <c r="E8" s="10">
        <v>2.2000000000000002</v>
      </c>
      <c r="F8" s="11">
        <v>0.6</v>
      </c>
      <c r="G8" s="12">
        <v>2.8</v>
      </c>
      <c r="H8" s="13">
        <v>0.4</v>
      </c>
      <c r="I8" s="14">
        <v>10</v>
      </c>
      <c r="J8" s="14" t="s">
        <v>10</v>
      </c>
      <c r="K8" s="5" t="s">
        <v>129</v>
      </c>
      <c r="L8" s="6">
        <v>0.3125</v>
      </c>
      <c r="M8" s="7" t="s">
        <v>130</v>
      </c>
      <c r="N8" s="14" t="s">
        <v>11</v>
      </c>
      <c r="O8" s="14">
        <v>10</v>
      </c>
      <c r="P8" s="13">
        <v>0.6</v>
      </c>
      <c r="Q8" s="12">
        <v>3.9</v>
      </c>
      <c r="R8" s="11">
        <v>1</v>
      </c>
      <c r="S8" s="10">
        <v>2.9</v>
      </c>
      <c r="T8" s="8">
        <v>0.8</v>
      </c>
      <c r="U8" s="15">
        <v>0.6</v>
      </c>
      <c r="V8" s="8">
        <v>0.4</v>
      </c>
      <c r="W8" s="17"/>
      <c r="X8" s="18">
        <f t="shared" si="15"/>
        <v>1.75</v>
      </c>
      <c r="Y8" s="18">
        <f t="shared" si="16"/>
        <v>1.6</v>
      </c>
      <c r="Z8" s="18">
        <f t="shared" si="17"/>
        <v>3.35</v>
      </c>
      <c r="AA8" s="18">
        <f t="shared" si="18"/>
        <v>0.14999999999999991</v>
      </c>
      <c r="AB8" s="24">
        <f t="shared" si="19"/>
        <v>1</v>
      </c>
      <c r="AC8" s="24">
        <f t="shared" si="20"/>
        <v>4</v>
      </c>
      <c r="AD8" s="19">
        <f t="shared" si="21"/>
        <v>0</v>
      </c>
      <c r="AE8" s="19">
        <f t="shared" si="22"/>
        <v>0</v>
      </c>
      <c r="AF8" s="19">
        <f t="shared" si="23"/>
        <v>1</v>
      </c>
      <c r="AG8" s="19">
        <f t="shared" si="24"/>
        <v>1</v>
      </c>
      <c r="AH8" s="19">
        <f t="shared" si="25"/>
        <v>0</v>
      </c>
      <c r="AI8" s="19">
        <f t="shared" si="26"/>
        <v>0</v>
      </c>
      <c r="AJ8" s="19">
        <f t="shared" si="27"/>
        <v>1</v>
      </c>
      <c r="AK8" s="19">
        <f t="shared" si="28"/>
        <v>1</v>
      </c>
      <c r="AL8" s="19">
        <f t="shared" si="29"/>
        <v>1</v>
      </c>
    </row>
    <row r="9" spans="1:38" ht="13.8" thickBot="1" x14ac:dyDescent="0.3">
      <c r="A9" s="4" t="s">
        <v>126</v>
      </c>
      <c r="B9" s="8">
        <v>0.62</v>
      </c>
      <c r="C9" s="15">
        <v>0.75</v>
      </c>
      <c r="D9" s="8">
        <v>0.88</v>
      </c>
      <c r="E9" s="10">
        <v>1.25</v>
      </c>
      <c r="F9" s="11">
        <v>3.13</v>
      </c>
      <c r="G9" s="12">
        <v>4.38</v>
      </c>
      <c r="H9" s="13">
        <v>2.5</v>
      </c>
      <c r="I9" s="14">
        <v>8</v>
      </c>
      <c r="J9" s="14" t="s">
        <v>10</v>
      </c>
      <c r="K9" s="5" t="s">
        <v>131</v>
      </c>
      <c r="L9" s="6">
        <v>0.375</v>
      </c>
      <c r="M9" s="7" t="s">
        <v>132</v>
      </c>
      <c r="N9" s="14" t="s">
        <v>11</v>
      </c>
      <c r="O9" s="14">
        <v>8</v>
      </c>
      <c r="P9" s="13">
        <v>1.63</v>
      </c>
      <c r="Q9" s="12">
        <v>2.25</v>
      </c>
      <c r="R9" s="11">
        <v>1.1299999999999999</v>
      </c>
      <c r="S9" s="10">
        <v>1.1299999999999999</v>
      </c>
      <c r="T9" s="8">
        <v>0.62</v>
      </c>
      <c r="U9" s="9">
        <v>0.38</v>
      </c>
      <c r="V9" s="8">
        <v>0.12</v>
      </c>
      <c r="W9" s="17"/>
      <c r="X9" s="18">
        <f t="shared" si="15"/>
        <v>2.13</v>
      </c>
      <c r="Y9" s="18">
        <f t="shared" si="16"/>
        <v>1.19</v>
      </c>
      <c r="Z9" s="18">
        <f t="shared" si="17"/>
        <v>3.32</v>
      </c>
      <c r="AA9" s="18">
        <f t="shared" si="18"/>
        <v>0.94</v>
      </c>
      <c r="AB9" s="24">
        <f t="shared" si="19"/>
        <v>0</v>
      </c>
      <c r="AC9" s="24">
        <f t="shared" si="20"/>
        <v>5</v>
      </c>
      <c r="AD9" s="19">
        <f t="shared" si="21"/>
        <v>0</v>
      </c>
      <c r="AE9" s="19">
        <f t="shared" si="22"/>
        <v>0</v>
      </c>
      <c r="AF9" s="19">
        <f t="shared" si="23"/>
        <v>0</v>
      </c>
      <c r="AG9" s="19">
        <f t="shared" si="24"/>
        <v>1</v>
      </c>
      <c r="AH9" s="19">
        <f t="shared" si="25"/>
        <v>1</v>
      </c>
      <c r="AI9" s="19">
        <f t="shared" si="26"/>
        <v>1</v>
      </c>
      <c r="AJ9" s="19">
        <f t="shared" si="27"/>
        <v>1</v>
      </c>
      <c r="AK9" s="19">
        <f t="shared" si="28"/>
        <v>0</v>
      </c>
      <c r="AL9" s="19">
        <f t="shared" si="29"/>
        <v>1</v>
      </c>
    </row>
    <row r="10" spans="1:38" ht="19.8" thickBot="1" x14ac:dyDescent="0.3">
      <c r="A10" s="4" t="s">
        <v>126</v>
      </c>
      <c r="B10" s="8">
        <v>0.43</v>
      </c>
      <c r="C10" s="15">
        <v>0.56999999999999995</v>
      </c>
      <c r="D10" s="8">
        <v>1</v>
      </c>
      <c r="E10" s="10">
        <v>1.86</v>
      </c>
      <c r="F10" s="11">
        <v>2.4300000000000002</v>
      </c>
      <c r="G10" s="12">
        <v>4.29</v>
      </c>
      <c r="H10" s="13">
        <v>1.71</v>
      </c>
      <c r="I10" s="14">
        <v>7</v>
      </c>
      <c r="J10" s="14" t="s">
        <v>10</v>
      </c>
      <c r="K10" s="5" t="s">
        <v>133</v>
      </c>
      <c r="L10" s="6">
        <v>0.375</v>
      </c>
      <c r="M10" s="7" t="s">
        <v>134</v>
      </c>
      <c r="N10" s="14" t="s">
        <v>11</v>
      </c>
      <c r="O10" s="14">
        <v>9</v>
      </c>
      <c r="P10" s="13">
        <v>0.56000000000000005</v>
      </c>
      <c r="Q10" s="12">
        <v>2.2200000000000002</v>
      </c>
      <c r="R10" s="11">
        <v>0.78</v>
      </c>
      <c r="S10" s="10">
        <v>1.44</v>
      </c>
      <c r="T10" s="8">
        <v>0.56000000000000005</v>
      </c>
      <c r="U10" s="15">
        <v>0.56000000000000005</v>
      </c>
      <c r="V10" s="8">
        <v>0.22</v>
      </c>
      <c r="W10" s="17"/>
      <c r="X10" s="18">
        <f t="shared" si="15"/>
        <v>1.9350000000000001</v>
      </c>
      <c r="Y10" s="18">
        <f t="shared" si="16"/>
        <v>1.32</v>
      </c>
      <c r="Z10" s="18">
        <f t="shared" si="17"/>
        <v>3.2549999999999999</v>
      </c>
      <c r="AA10" s="18">
        <f t="shared" si="18"/>
        <v>0.61499999999999999</v>
      </c>
      <c r="AB10" s="24">
        <f t="shared" si="19"/>
        <v>0</v>
      </c>
      <c r="AC10" s="24">
        <f t="shared" si="20"/>
        <v>5</v>
      </c>
      <c r="AD10" s="19">
        <f t="shared" si="21"/>
        <v>0</v>
      </c>
      <c r="AE10" s="19">
        <f t="shared" si="22"/>
        <v>1</v>
      </c>
      <c r="AF10" s="19">
        <f t="shared" si="23"/>
        <v>1</v>
      </c>
      <c r="AG10" s="19">
        <f t="shared" si="24"/>
        <v>1</v>
      </c>
      <c r="AH10" s="19">
        <f t="shared" si="25"/>
        <v>1</v>
      </c>
      <c r="AI10" s="19">
        <f t="shared" si="26"/>
        <v>0</v>
      </c>
      <c r="AJ10" s="19">
        <f t="shared" si="27"/>
        <v>1</v>
      </c>
      <c r="AK10" s="19">
        <f t="shared" si="28"/>
        <v>1</v>
      </c>
      <c r="AL10" s="19">
        <f t="shared" si="29"/>
        <v>1</v>
      </c>
    </row>
    <row r="11" spans="1:38" ht="19.8" thickBot="1" x14ac:dyDescent="0.3">
      <c r="A11" s="4" t="s">
        <v>126</v>
      </c>
      <c r="B11" s="8">
        <v>0.12</v>
      </c>
      <c r="C11" s="15">
        <v>0.62</v>
      </c>
      <c r="D11" s="8">
        <v>0.88</v>
      </c>
      <c r="E11" s="10">
        <v>1.1299999999999999</v>
      </c>
      <c r="F11" s="11">
        <v>1.5</v>
      </c>
      <c r="G11" s="12">
        <v>2.63</v>
      </c>
      <c r="H11" s="13">
        <v>1.38</v>
      </c>
      <c r="I11" s="14">
        <v>8</v>
      </c>
      <c r="J11" s="14" t="s">
        <v>10</v>
      </c>
      <c r="K11" s="5" t="s">
        <v>135</v>
      </c>
      <c r="L11" s="6">
        <v>0.3125</v>
      </c>
      <c r="M11" s="7" t="s">
        <v>136</v>
      </c>
      <c r="N11" s="14" t="s">
        <v>11</v>
      </c>
      <c r="O11" s="14">
        <v>8</v>
      </c>
      <c r="P11" s="13">
        <v>0.5</v>
      </c>
      <c r="Q11" s="12">
        <v>3.38</v>
      </c>
      <c r="R11" s="11">
        <v>1</v>
      </c>
      <c r="S11" s="10">
        <v>2.38</v>
      </c>
      <c r="T11" s="8">
        <v>0.88</v>
      </c>
      <c r="U11" s="15">
        <v>0.75</v>
      </c>
      <c r="V11" s="8">
        <v>0.62</v>
      </c>
      <c r="W11" s="17"/>
      <c r="X11" s="18">
        <f t="shared" ref="X11:X48" si="30">AVERAGE(F11,S11)</f>
        <v>1.94</v>
      </c>
      <c r="Y11" s="18">
        <f t="shared" ref="Y11:Y48" si="31">AVERAGE(R11,E11)</f>
        <v>1.0649999999999999</v>
      </c>
      <c r="Z11" s="18">
        <f t="shared" ref="Z11:Z48" si="32">SUM(X11:Y11)</f>
        <v>3.0049999999999999</v>
      </c>
      <c r="AA11" s="18">
        <f t="shared" ref="AA11:AA48" si="33">ABS(X11-Y11)</f>
        <v>0.875</v>
      </c>
      <c r="AB11" s="24">
        <f t="shared" ref="AB11:AB48" si="34">IF(AND(C11&gt;=0.5,U11&gt;=0.5,AVERAGE(C11,U11)&gt;=0.5,G11&gt;=2.3,Q11&gt;=2.3,AVERAGE(G11,Q11)&gt;=2.5),1,0)</f>
        <v>1</v>
      </c>
      <c r="AC11" s="24">
        <f t="shared" ref="AC11:AC48" si="35">SUM(AG11:AL11)</f>
        <v>6</v>
      </c>
      <c r="AD11" s="19">
        <f t="shared" ref="AD11:AD48" si="36">IF(OR(I11&lt;3,O11&lt;3),0,IF(H11&gt;P11,IF(AND(F11&gt;E11,S11&gt;=R11,F11&gt;=1.5,E11&lt;=1.3,R11&lt;=1.4,S11&gt;=1.4,AVERAGE(C11,U11)&gt;=50%),1,0),IF(AND(E11&gt;=F11,R11&gt;S11,R11&gt;=1.5,S11&lt;1.3,E11&gt;=1.4,F11&lt;=1.4,AVERAGE(C11,U11)&gt;=50%),1,0)))</f>
        <v>1</v>
      </c>
      <c r="AE11" s="19">
        <f t="shared" ref="AE11:AE48" si="37">IF(OR(I11&lt;3,O11&lt;3),0,IF(H11&gt;P11,IF(AND(F11&gt;=1.5,S11&gt;=1,AVERAGE(C11,U11)&gt;=50%,C11&gt;=40%,U11&gt;=40%),1,0),IF(AND(R11&gt;=1.5,E11&gt;=1,F11&lt;=1.4,AVERAGE(C11,U11)&gt;=50%,C11&gt;=40%,U11&gt;=40%),1,0)))</f>
        <v>1</v>
      </c>
      <c r="AF11" s="19">
        <f t="shared" ref="AF11:AF48" si="38">IF(OR(I11&lt;3,O11&lt;3),0,IF(H11&gt;P11,IF(AND(AVERAGE(C11,U11)&gt;=50%,C11&gt;=40%,U11&gt;=40%,OR(AND(G11&gt;=2.8,Q11&gt;=2.8),AVERAGE(G11,Q11)&gt;=2.8)),1,0),IF(AND(AVERAGE(C11,U11)&gt;=50%,C11&gt;=40%,U11&gt;=40%,OR(AND(G11&gt;=2.8,Q11&gt;=2.8),AVERAGE(G11,Q11)&gt;=2.8)),1,0)))</f>
        <v>1</v>
      </c>
      <c r="AG11" s="19">
        <f t="shared" ref="AG11:AG48" si="39">IF($H11&gt;$P11,IF(S11&gt;=R11,1,0),IF(E11&gt;=F11,1,0))</f>
        <v>1</v>
      </c>
      <c r="AH11" s="19">
        <f t="shared" ref="AH11:AH48" si="40">IF($H11&gt;$P11,IF(F11&gt;=1.5,1,0),IF(R11&gt;=1.5,1,0))</f>
        <v>1</v>
      </c>
      <c r="AI11" s="19">
        <f t="shared" ref="AI11:AI48" si="41">IF($H11&gt;$P11,IF(E11&lt;=1.3,1,0),IF(S11&lt;=1.3,1,0))</f>
        <v>1</v>
      </c>
      <c r="AJ11" s="19">
        <f t="shared" ref="AJ11:AJ48" si="42">IF($H11&gt;$P11,IF(R11&lt;=1.4,1,0),IF(F11&lt;=1.4,1,0))</f>
        <v>1</v>
      </c>
      <c r="AK11" s="19">
        <f t="shared" ref="AK11:AK48" si="43">IF($H11&gt;$P11,IF(S11&gt;=1.4,1,0),IF(E11&gt;=1.4,1,0))</f>
        <v>1</v>
      </c>
      <c r="AL11" s="19">
        <f t="shared" ref="AL11:AL48" si="44">IF(AVERAGE(C11,U11)&gt;=0.5,1,0)</f>
        <v>1</v>
      </c>
    </row>
    <row r="12" spans="1:38" ht="13.8" thickBot="1" x14ac:dyDescent="0.3">
      <c r="A12" s="4" t="s">
        <v>126</v>
      </c>
      <c r="B12" s="8">
        <v>0.5</v>
      </c>
      <c r="C12" s="15">
        <v>0.62</v>
      </c>
      <c r="D12" s="8">
        <v>0.62</v>
      </c>
      <c r="E12" s="10">
        <v>1</v>
      </c>
      <c r="F12" s="11">
        <v>2.25</v>
      </c>
      <c r="G12" s="12">
        <v>3.25</v>
      </c>
      <c r="H12" s="13">
        <v>2.5</v>
      </c>
      <c r="I12" s="14">
        <v>8</v>
      </c>
      <c r="J12" s="14" t="s">
        <v>10</v>
      </c>
      <c r="K12" s="5" t="s">
        <v>137</v>
      </c>
      <c r="L12" s="6">
        <v>0.35416666666666669</v>
      </c>
      <c r="M12" s="7" t="s">
        <v>138</v>
      </c>
      <c r="N12" s="14" t="s">
        <v>11</v>
      </c>
      <c r="O12" s="14">
        <v>8</v>
      </c>
      <c r="P12" s="13">
        <v>0</v>
      </c>
      <c r="Q12" s="12">
        <v>5.13</v>
      </c>
      <c r="R12" s="11">
        <v>0.38</v>
      </c>
      <c r="S12" s="10">
        <v>4.75</v>
      </c>
      <c r="T12" s="8">
        <v>1</v>
      </c>
      <c r="U12" s="15">
        <v>0.88</v>
      </c>
      <c r="V12" s="8">
        <v>0.75</v>
      </c>
      <c r="W12" s="17"/>
      <c r="X12" s="18">
        <f t="shared" si="30"/>
        <v>3.5</v>
      </c>
      <c r="Y12" s="18">
        <f t="shared" si="31"/>
        <v>0.69</v>
      </c>
      <c r="Z12" s="18">
        <f t="shared" si="32"/>
        <v>4.1899999999999995</v>
      </c>
      <c r="AA12" s="18">
        <f t="shared" si="33"/>
        <v>2.81</v>
      </c>
      <c r="AB12" s="24">
        <f t="shared" si="34"/>
        <v>1</v>
      </c>
      <c r="AC12" s="24">
        <f t="shared" si="35"/>
        <v>6</v>
      </c>
      <c r="AD12" s="19">
        <f t="shared" si="36"/>
        <v>1</v>
      </c>
      <c r="AE12" s="19">
        <f t="shared" si="37"/>
        <v>1</v>
      </c>
      <c r="AF12" s="19">
        <f t="shared" si="38"/>
        <v>1</v>
      </c>
      <c r="AG12" s="19">
        <f t="shared" si="39"/>
        <v>1</v>
      </c>
      <c r="AH12" s="19">
        <f t="shared" si="40"/>
        <v>1</v>
      </c>
      <c r="AI12" s="19">
        <f t="shared" si="41"/>
        <v>1</v>
      </c>
      <c r="AJ12" s="19">
        <f t="shared" si="42"/>
        <v>1</v>
      </c>
      <c r="AK12" s="19">
        <f t="shared" si="43"/>
        <v>1</v>
      </c>
      <c r="AL12" s="19">
        <f t="shared" si="44"/>
        <v>1</v>
      </c>
    </row>
    <row r="13" spans="1:38" ht="13.8" thickBot="1" x14ac:dyDescent="0.3">
      <c r="A13" s="4" t="s">
        <v>126</v>
      </c>
      <c r="B13" s="8">
        <v>0.33</v>
      </c>
      <c r="C13" s="9">
        <v>0.42</v>
      </c>
      <c r="D13" s="8">
        <v>0.67</v>
      </c>
      <c r="E13" s="10">
        <v>1.5</v>
      </c>
      <c r="F13" s="11">
        <v>1.25</v>
      </c>
      <c r="G13" s="12">
        <v>2.75</v>
      </c>
      <c r="H13" s="13">
        <v>1.67</v>
      </c>
      <c r="I13" s="14">
        <v>12</v>
      </c>
      <c r="J13" s="14" t="s">
        <v>10</v>
      </c>
      <c r="K13" s="5" t="s">
        <v>139</v>
      </c>
      <c r="L13" s="6">
        <v>0.3125</v>
      </c>
      <c r="M13" s="7" t="s">
        <v>140</v>
      </c>
      <c r="N13" s="14" t="s">
        <v>11</v>
      </c>
      <c r="O13" s="14">
        <v>11</v>
      </c>
      <c r="P13" s="13">
        <v>0.73</v>
      </c>
      <c r="Q13" s="12">
        <v>2.73</v>
      </c>
      <c r="R13" s="11">
        <v>0.82</v>
      </c>
      <c r="S13" s="10">
        <v>1.91</v>
      </c>
      <c r="T13" s="8">
        <v>0.73</v>
      </c>
      <c r="U13" s="15">
        <v>0.55000000000000004</v>
      </c>
      <c r="V13" s="8">
        <v>0.27</v>
      </c>
      <c r="W13" s="17"/>
      <c r="X13" s="18">
        <f t="shared" si="30"/>
        <v>1.58</v>
      </c>
      <c r="Y13" s="18">
        <f t="shared" si="31"/>
        <v>1.1599999999999999</v>
      </c>
      <c r="Z13" s="18">
        <f t="shared" si="32"/>
        <v>2.74</v>
      </c>
      <c r="AA13" s="18">
        <f t="shared" si="33"/>
        <v>0.42000000000000015</v>
      </c>
      <c r="AB13" s="24">
        <f t="shared" si="34"/>
        <v>0</v>
      </c>
      <c r="AC13" s="24">
        <f t="shared" si="35"/>
        <v>3</v>
      </c>
      <c r="AD13" s="19">
        <f t="shared" si="36"/>
        <v>0</v>
      </c>
      <c r="AE13" s="19">
        <f t="shared" si="37"/>
        <v>0</v>
      </c>
      <c r="AF13" s="19">
        <f t="shared" si="38"/>
        <v>0</v>
      </c>
      <c r="AG13" s="19">
        <f t="shared" si="39"/>
        <v>1</v>
      </c>
      <c r="AH13" s="19">
        <f t="shared" si="40"/>
        <v>0</v>
      </c>
      <c r="AI13" s="19">
        <f t="shared" si="41"/>
        <v>0</v>
      </c>
      <c r="AJ13" s="19">
        <f t="shared" si="42"/>
        <v>1</v>
      </c>
      <c r="AK13" s="19">
        <f t="shared" si="43"/>
        <v>1</v>
      </c>
      <c r="AL13" s="19">
        <f t="shared" si="44"/>
        <v>0</v>
      </c>
    </row>
    <row r="14" spans="1:38" ht="13.8" thickBot="1" x14ac:dyDescent="0.3">
      <c r="A14" s="4" t="s">
        <v>90</v>
      </c>
      <c r="B14" s="8">
        <v>0.11</v>
      </c>
      <c r="C14" s="15">
        <v>0.56000000000000005</v>
      </c>
      <c r="D14" s="8">
        <v>1</v>
      </c>
      <c r="E14" s="10">
        <v>1.1100000000000001</v>
      </c>
      <c r="F14" s="11">
        <v>1.56</v>
      </c>
      <c r="G14" s="12">
        <v>2.67</v>
      </c>
      <c r="H14" s="13">
        <v>1.44</v>
      </c>
      <c r="I14" s="14">
        <v>9</v>
      </c>
      <c r="J14" s="14" t="s">
        <v>10</v>
      </c>
      <c r="K14" s="5" t="s">
        <v>141</v>
      </c>
      <c r="L14" s="6">
        <v>0.85416666666666663</v>
      </c>
      <c r="M14" s="7" t="s">
        <v>142</v>
      </c>
      <c r="N14" s="14" t="s">
        <v>11</v>
      </c>
      <c r="O14" s="14">
        <v>8</v>
      </c>
      <c r="P14" s="13">
        <v>0.25</v>
      </c>
      <c r="Q14" s="12">
        <v>2.13</v>
      </c>
      <c r="R14" s="11">
        <v>0.5</v>
      </c>
      <c r="S14" s="10">
        <v>1.63</v>
      </c>
      <c r="T14" s="8">
        <v>0.88</v>
      </c>
      <c r="U14" s="9">
        <v>0.25</v>
      </c>
      <c r="V14" s="8">
        <v>0</v>
      </c>
      <c r="W14" s="17"/>
      <c r="X14" s="18">
        <f t="shared" si="30"/>
        <v>1.595</v>
      </c>
      <c r="Y14" s="18">
        <f t="shared" si="31"/>
        <v>0.80500000000000005</v>
      </c>
      <c r="Z14" s="18">
        <f t="shared" si="32"/>
        <v>2.4</v>
      </c>
      <c r="AA14" s="18">
        <f t="shared" si="33"/>
        <v>0.78999999999999992</v>
      </c>
      <c r="AB14" s="24">
        <f t="shared" si="34"/>
        <v>0</v>
      </c>
      <c r="AC14" s="24">
        <f t="shared" si="35"/>
        <v>5</v>
      </c>
      <c r="AD14" s="19">
        <f t="shared" si="36"/>
        <v>0</v>
      </c>
      <c r="AE14" s="19">
        <f t="shared" si="37"/>
        <v>0</v>
      </c>
      <c r="AF14" s="19">
        <f t="shared" si="38"/>
        <v>0</v>
      </c>
      <c r="AG14" s="19">
        <f t="shared" si="39"/>
        <v>1</v>
      </c>
      <c r="AH14" s="19">
        <f t="shared" si="40"/>
        <v>1</v>
      </c>
      <c r="AI14" s="19">
        <f t="shared" si="41"/>
        <v>1</v>
      </c>
      <c r="AJ14" s="19">
        <f t="shared" si="42"/>
        <v>1</v>
      </c>
      <c r="AK14" s="19">
        <f t="shared" si="43"/>
        <v>1</v>
      </c>
      <c r="AL14" s="19">
        <f t="shared" si="44"/>
        <v>0</v>
      </c>
    </row>
    <row r="15" spans="1:38" ht="13.8" thickBot="1" x14ac:dyDescent="0.3">
      <c r="A15" s="4" t="s">
        <v>90</v>
      </c>
      <c r="B15" s="8">
        <v>0.33</v>
      </c>
      <c r="C15" s="15">
        <v>0.78</v>
      </c>
      <c r="D15" s="8">
        <v>0.78</v>
      </c>
      <c r="E15" s="10">
        <v>1.1100000000000001</v>
      </c>
      <c r="F15" s="11">
        <v>1.89</v>
      </c>
      <c r="G15" s="12">
        <v>3</v>
      </c>
      <c r="H15" s="13">
        <v>2.44</v>
      </c>
      <c r="I15" s="14">
        <v>9</v>
      </c>
      <c r="J15" s="14" t="s">
        <v>10</v>
      </c>
      <c r="K15" s="5" t="s">
        <v>143</v>
      </c>
      <c r="L15" s="6">
        <v>0.875</v>
      </c>
      <c r="M15" s="7" t="s">
        <v>144</v>
      </c>
      <c r="N15" s="14" t="s">
        <v>11</v>
      </c>
      <c r="O15" s="14">
        <v>9</v>
      </c>
      <c r="P15" s="13">
        <v>1.44</v>
      </c>
      <c r="Q15" s="12">
        <v>2.11</v>
      </c>
      <c r="R15" s="11">
        <v>1</v>
      </c>
      <c r="S15" s="10">
        <v>1.1100000000000001</v>
      </c>
      <c r="T15" s="8">
        <v>0.78</v>
      </c>
      <c r="U15" s="9">
        <v>0.33</v>
      </c>
      <c r="V15" s="8">
        <v>0</v>
      </c>
      <c r="W15" s="17"/>
      <c r="X15" s="18">
        <f t="shared" si="30"/>
        <v>1.5</v>
      </c>
      <c r="Y15" s="18">
        <f t="shared" si="31"/>
        <v>1.0550000000000002</v>
      </c>
      <c r="Z15" s="18">
        <f t="shared" si="32"/>
        <v>2.5550000000000002</v>
      </c>
      <c r="AA15" s="18">
        <f t="shared" si="33"/>
        <v>0.44499999999999984</v>
      </c>
      <c r="AB15" s="24">
        <f t="shared" si="34"/>
        <v>0</v>
      </c>
      <c r="AC15" s="24">
        <f t="shared" si="35"/>
        <v>5</v>
      </c>
      <c r="AD15" s="19">
        <f t="shared" si="36"/>
        <v>0</v>
      </c>
      <c r="AE15" s="19">
        <f t="shared" si="37"/>
        <v>0</v>
      </c>
      <c r="AF15" s="19">
        <f t="shared" si="38"/>
        <v>0</v>
      </c>
      <c r="AG15" s="19">
        <f t="shared" si="39"/>
        <v>1</v>
      </c>
      <c r="AH15" s="19">
        <f t="shared" si="40"/>
        <v>1</v>
      </c>
      <c r="AI15" s="19">
        <f t="shared" si="41"/>
        <v>1</v>
      </c>
      <c r="AJ15" s="19">
        <f t="shared" si="42"/>
        <v>1</v>
      </c>
      <c r="AK15" s="19">
        <f t="shared" si="43"/>
        <v>0</v>
      </c>
      <c r="AL15" s="19">
        <f t="shared" si="44"/>
        <v>1</v>
      </c>
    </row>
    <row r="16" spans="1:38" ht="13.8" thickBot="1" x14ac:dyDescent="0.3">
      <c r="A16" s="4" t="s">
        <v>90</v>
      </c>
      <c r="B16" s="8">
        <v>0.22</v>
      </c>
      <c r="C16" s="15">
        <v>0.56000000000000005</v>
      </c>
      <c r="D16" s="8">
        <v>0.67</v>
      </c>
      <c r="E16" s="10">
        <v>1.22</v>
      </c>
      <c r="F16" s="11">
        <v>1.22</v>
      </c>
      <c r="G16" s="12">
        <v>2.44</v>
      </c>
      <c r="H16" s="13">
        <v>1.33</v>
      </c>
      <c r="I16" s="14">
        <v>9</v>
      </c>
      <c r="J16" s="14" t="s">
        <v>10</v>
      </c>
      <c r="K16" s="5" t="s">
        <v>145</v>
      </c>
      <c r="L16" s="6">
        <v>0.875</v>
      </c>
      <c r="M16" s="7" t="s">
        <v>146</v>
      </c>
      <c r="N16" s="14" t="s">
        <v>11</v>
      </c>
      <c r="O16" s="14">
        <v>9</v>
      </c>
      <c r="P16" s="13">
        <v>0.44</v>
      </c>
      <c r="Q16" s="12">
        <v>1.89</v>
      </c>
      <c r="R16" s="11">
        <v>0.56000000000000005</v>
      </c>
      <c r="S16" s="10">
        <v>1.33</v>
      </c>
      <c r="T16" s="8">
        <v>0.78</v>
      </c>
      <c r="U16" s="9">
        <v>0.33</v>
      </c>
      <c r="V16" s="8">
        <v>0</v>
      </c>
      <c r="W16" s="17"/>
      <c r="X16" s="18">
        <f t="shared" si="30"/>
        <v>1.2749999999999999</v>
      </c>
      <c r="Y16" s="18">
        <f t="shared" si="31"/>
        <v>0.89</v>
      </c>
      <c r="Z16" s="18">
        <f t="shared" si="32"/>
        <v>2.165</v>
      </c>
      <c r="AA16" s="18">
        <f t="shared" si="33"/>
        <v>0.3849999999999999</v>
      </c>
      <c r="AB16" s="24">
        <f t="shared" si="34"/>
        <v>0</v>
      </c>
      <c r="AC16" s="24">
        <f t="shared" si="35"/>
        <v>3</v>
      </c>
      <c r="AD16" s="19">
        <f t="shared" si="36"/>
        <v>0</v>
      </c>
      <c r="AE16" s="19">
        <f t="shared" si="37"/>
        <v>0</v>
      </c>
      <c r="AF16" s="19">
        <f t="shared" si="38"/>
        <v>0</v>
      </c>
      <c r="AG16" s="19">
        <f t="shared" si="39"/>
        <v>1</v>
      </c>
      <c r="AH16" s="19">
        <f t="shared" si="40"/>
        <v>0</v>
      </c>
      <c r="AI16" s="19">
        <f t="shared" si="41"/>
        <v>1</v>
      </c>
      <c r="AJ16" s="19">
        <f t="shared" si="42"/>
        <v>1</v>
      </c>
      <c r="AK16" s="19">
        <f t="shared" si="43"/>
        <v>0</v>
      </c>
      <c r="AL16" s="19">
        <f t="shared" si="44"/>
        <v>0</v>
      </c>
    </row>
    <row r="17" spans="1:38" ht="13.8" thickBot="1" x14ac:dyDescent="0.3">
      <c r="A17" s="4" t="s">
        <v>90</v>
      </c>
      <c r="B17" s="8">
        <v>0</v>
      </c>
      <c r="C17" s="15">
        <v>0.62</v>
      </c>
      <c r="D17" s="8">
        <v>0.75</v>
      </c>
      <c r="E17" s="10">
        <v>1.63</v>
      </c>
      <c r="F17" s="11">
        <v>0.63</v>
      </c>
      <c r="G17" s="12">
        <v>2.25</v>
      </c>
      <c r="H17" s="13">
        <v>0.25</v>
      </c>
      <c r="I17" s="14">
        <v>8</v>
      </c>
      <c r="J17" s="14" t="s">
        <v>10</v>
      </c>
      <c r="K17" s="5" t="s">
        <v>147</v>
      </c>
      <c r="L17" s="6">
        <v>0.83333333333333337</v>
      </c>
      <c r="M17" s="7" t="s">
        <v>148</v>
      </c>
      <c r="N17" s="14" t="s">
        <v>11</v>
      </c>
      <c r="O17" s="14">
        <v>8</v>
      </c>
      <c r="P17" s="13">
        <v>0.75</v>
      </c>
      <c r="Q17" s="12">
        <v>1.88</v>
      </c>
      <c r="R17" s="11">
        <v>0.63</v>
      </c>
      <c r="S17" s="10">
        <v>1.25</v>
      </c>
      <c r="T17" s="8">
        <v>0.88</v>
      </c>
      <c r="U17" s="9">
        <v>0.12</v>
      </c>
      <c r="V17" s="8">
        <v>0</v>
      </c>
      <c r="W17" s="17"/>
      <c r="X17" s="18">
        <f t="shared" si="30"/>
        <v>0.94</v>
      </c>
      <c r="Y17" s="18">
        <f t="shared" si="31"/>
        <v>1.1299999999999999</v>
      </c>
      <c r="Z17" s="18">
        <f t="shared" si="32"/>
        <v>2.0699999999999998</v>
      </c>
      <c r="AA17" s="18">
        <f t="shared" si="33"/>
        <v>0.18999999999999995</v>
      </c>
      <c r="AB17" s="24">
        <f t="shared" si="34"/>
        <v>0</v>
      </c>
      <c r="AC17" s="24">
        <f t="shared" si="35"/>
        <v>4</v>
      </c>
      <c r="AD17" s="19">
        <f t="shared" si="36"/>
        <v>0</v>
      </c>
      <c r="AE17" s="19">
        <f t="shared" si="37"/>
        <v>0</v>
      </c>
      <c r="AF17" s="19">
        <f t="shared" si="38"/>
        <v>0</v>
      </c>
      <c r="AG17" s="19">
        <f t="shared" si="39"/>
        <v>1</v>
      </c>
      <c r="AH17" s="19">
        <f t="shared" si="40"/>
        <v>0</v>
      </c>
      <c r="AI17" s="19">
        <f t="shared" si="41"/>
        <v>1</v>
      </c>
      <c r="AJ17" s="19">
        <f t="shared" si="42"/>
        <v>1</v>
      </c>
      <c r="AK17" s="19">
        <f t="shared" si="43"/>
        <v>1</v>
      </c>
      <c r="AL17" s="19">
        <f t="shared" si="44"/>
        <v>0</v>
      </c>
    </row>
    <row r="18" spans="1:38" ht="13.8" thickBot="1" x14ac:dyDescent="0.3">
      <c r="A18" s="4" t="s">
        <v>90</v>
      </c>
      <c r="B18" s="8">
        <v>0</v>
      </c>
      <c r="C18" s="9">
        <v>0.22</v>
      </c>
      <c r="D18" s="8">
        <v>0.44</v>
      </c>
      <c r="E18" s="10">
        <v>0.11</v>
      </c>
      <c r="F18" s="11">
        <v>1.33</v>
      </c>
      <c r="G18" s="12">
        <v>1.44</v>
      </c>
      <c r="H18" s="13">
        <v>2.2200000000000002</v>
      </c>
      <c r="I18" s="14">
        <v>9</v>
      </c>
      <c r="J18" s="14" t="s">
        <v>10</v>
      </c>
      <c r="K18" s="5" t="s">
        <v>149</v>
      </c>
      <c r="L18" s="6">
        <v>0.83333333333333337</v>
      </c>
      <c r="M18" s="7" t="s">
        <v>150</v>
      </c>
      <c r="N18" s="14" t="s">
        <v>11</v>
      </c>
      <c r="O18" s="14">
        <v>8</v>
      </c>
      <c r="P18" s="13">
        <v>1.25</v>
      </c>
      <c r="Q18" s="12">
        <v>1.38</v>
      </c>
      <c r="R18" s="11">
        <v>0.75</v>
      </c>
      <c r="S18" s="10">
        <v>0.63</v>
      </c>
      <c r="T18" s="8">
        <v>0.38</v>
      </c>
      <c r="U18" s="9">
        <v>0.25</v>
      </c>
      <c r="V18" s="8">
        <v>0.12</v>
      </c>
      <c r="W18" s="17"/>
      <c r="X18" s="18">
        <f t="shared" si="30"/>
        <v>0.98</v>
      </c>
      <c r="Y18" s="18">
        <f t="shared" si="31"/>
        <v>0.43</v>
      </c>
      <c r="Z18" s="18">
        <f t="shared" si="32"/>
        <v>1.41</v>
      </c>
      <c r="AA18" s="18">
        <f t="shared" si="33"/>
        <v>0.55000000000000004</v>
      </c>
      <c r="AB18" s="24">
        <f t="shared" si="34"/>
        <v>0</v>
      </c>
      <c r="AC18" s="24">
        <f t="shared" si="35"/>
        <v>2</v>
      </c>
      <c r="AD18" s="19">
        <f t="shared" si="36"/>
        <v>0</v>
      </c>
      <c r="AE18" s="19">
        <f t="shared" si="37"/>
        <v>0</v>
      </c>
      <c r="AF18" s="19">
        <f t="shared" si="38"/>
        <v>0</v>
      </c>
      <c r="AG18" s="19">
        <f t="shared" si="39"/>
        <v>0</v>
      </c>
      <c r="AH18" s="19">
        <f t="shared" si="40"/>
        <v>0</v>
      </c>
      <c r="AI18" s="19">
        <f t="shared" si="41"/>
        <v>1</v>
      </c>
      <c r="AJ18" s="19">
        <f t="shared" si="42"/>
        <v>1</v>
      </c>
      <c r="AK18" s="19">
        <f t="shared" si="43"/>
        <v>0</v>
      </c>
      <c r="AL18" s="19">
        <f t="shared" si="44"/>
        <v>0</v>
      </c>
    </row>
    <row r="19" spans="1:38" ht="13.8" thickBot="1" x14ac:dyDescent="0.3">
      <c r="A19" s="4" t="s">
        <v>90</v>
      </c>
      <c r="B19" s="8">
        <v>0.11</v>
      </c>
      <c r="C19" s="9">
        <v>0.33</v>
      </c>
      <c r="D19" s="8">
        <v>0.56000000000000005</v>
      </c>
      <c r="E19" s="10">
        <v>0.89</v>
      </c>
      <c r="F19" s="11">
        <v>1</v>
      </c>
      <c r="G19" s="12">
        <v>1.89</v>
      </c>
      <c r="H19" s="13">
        <v>1.1100000000000001</v>
      </c>
      <c r="I19" s="14">
        <v>9</v>
      </c>
      <c r="J19" s="14" t="s">
        <v>10</v>
      </c>
      <c r="K19" s="5" t="s">
        <v>151</v>
      </c>
      <c r="L19" s="6">
        <v>0.83333333333333337</v>
      </c>
      <c r="M19" s="7" t="s">
        <v>152</v>
      </c>
      <c r="N19" s="14" t="s">
        <v>11</v>
      </c>
      <c r="O19" s="14">
        <v>8</v>
      </c>
      <c r="P19" s="13">
        <v>0.5</v>
      </c>
      <c r="Q19" s="12">
        <v>2.88</v>
      </c>
      <c r="R19" s="11">
        <v>1</v>
      </c>
      <c r="S19" s="10">
        <v>1.88</v>
      </c>
      <c r="T19" s="8">
        <v>0.75</v>
      </c>
      <c r="U19" s="15">
        <v>0.62</v>
      </c>
      <c r="V19" s="8">
        <v>0.38</v>
      </c>
      <c r="W19" s="17"/>
      <c r="X19" s="18">
        <f t="shared" si="30"/>
        <v>1.44</v>
      </c>
      <c r="Y19" s="18">
        <f t="shared" si="31"/>
        <v>0.94500000000000006</v>
      </c>
      <c r="Z19" s="18">
        <f t="shared" si="32"/>
        <v>2.3849999999999998</v>
      </c>
      <c r="AA19" s="18">
        <f t="shared" si="33"/>
        <v>0.49499999999999988</v>
      </c>
      <c r="AB19" s="24">
        <f t="shared" si="34"/>
        <v>0</v>
      </c>
      <c r="AC19" s="24">
        <f t="shared" si="35"/>
        <v>4</v>
      </c>
      <c r="AD19" s="19">
        <f t="shared" si="36"/>
        <v>0</v>
      </c>
      <c r="AE19" s="19">
        <f t="shared" si="37"/>
        <v>0</v>
      </c>
      <c r="AF19" s="19">
        <f t="shared" si="38"/>
        <v>0</v>
      </c>
      <c r="AG19" s="19">
        <f t="shared" si="39"/>
        <v>1</v>
      </c>
      <c r="AH19" s="19">
        <f t="shared" si="40"/>
        <v>0</v>
      </c>
      <c r="AI19" s="19">
        <f t="shared" si="41"/>
        <v>1</v>
      </c>
      <c r="AJ19" s="19">
        <f t="shared" si="42"/>
        <v>1</v>
      </c>
      <c r="AK19" s="19">
        <f t="shared" si="43"/>
        <v>1</v>
      </c>
      <c r="AL19" s="19">
        <f t="shared" si="44"/>
        <v>0</v>
      </c>
    </row>
    <row r="20" spans="1:38" ht="13.8" thickBot="1" x14ac:dyDescent="0.3">
      <c r="A20" s="4" t="s">
        <v>91</v>
      </c>
      <c r="B20" s="8">
        <v>0.2</v>
      </c>
      <c r="C20" s="15">
        <v>0.6</v>
      </c>
      <c r="D20" s="8">
        <v>0.8</v>
      </c>
      <c r="E20" s="10">
        <v>1.6</v>
      </c>
      <c r="F20" s="11">
        <v>1.8</v>
      </c>
      <c r="G20" s="12">
        <v>3.4</v>
      </c>
      <c r="H20" s="13">
        <v>2</v>
      </c>
      <c r="I20" s="14">
        <v>5</v>
      </c>
      <c r="J20" s="14" t="s">
        <v>10</v>
      </c>
      <c r="K20" s="5" t="s">
        <v>153</v>
      </c>
      <c r="L20" s="6">
        <v>0.875</v>
      </c>
      <c r="M20" s="7" t="s">
        <v>154</v>
      </c>
      <c r="N20" s="14" t="s">
        <v>11</v>
      </c>
      <c r="O20" s="14">
        <v>5</v>
      </c>
      <c r="P20" s="13">
        <v>1</v>
      </c>
      <c r="Q20" s="12">
        <v>2.6</v>
      </c>
      <c r="R20" s="11">
        <v>0.8</v>
      </c>
      <c r="S20" s="10">
        <v>1.8</v>
      </c>
      <c r="T20" s="8">
        <v>0.8</v>
      </c>
      <c r="U20" s="9">
        <v>0.4</v>
      </c>
      <c r="V20" s="8">
        <v>0.4</v>
      </c>
      <c r="W20" s="17"/>
      <c r="X20" s="18">
        <f t="shared" si="30"/>
        <v>1.8</v>
      </c>
      <c r="Y20" s="18">
        <f t="shared" si="31"/>
        <v>1.2000000000000002</v>
      </c>
      <c r="Z20" s="18">
        <f t="shared" si="32"/>
        <v>3</v>
      </c>
      <c r="AA20" s="18">
        <f t="shared" si="33"/>
        <v>0.59999999999999987</v>
      </c>
      <c r="AB20" s="24">
        <f t="shared" si="34"/>
        <v>0</v>
      </c>
      <c r="AC20" s="24">
        <f t="shared" si="35"/>
        <v>5</v>
      </c>
      <c r="AD20" s="19">
        <f t="shared" si="36"/>
        <v>0</v>
      </c>
      <c r="AE20" s="19">
        <f t="shared" si="37"/>
        <v>1</v>
      </c>
      <c r="AF20" s="19">
        <f t="shared" si="38"/>
        <v>1</v>
      </c>
      <c r="AG20" s="19">
        <f t="shared" si="39"/>
        <v>1</v>
      </c>
      <c r="AH20" s="19">
        <f t="shared" si="40"/>
        <v>1</v>
      </c>
      <c r="AI20" s="19">
        <f t="shared" si="41"/>
        <v>0</v>
      </c>
      <c r="AJ20" s="19">
        <f t="shared" si="42"/>
        <v>1</v>
      </c>
      <c r="AK20" s="19">
        <f t="shared" si="43"/>
        <v>1</v>
      </c>
      <c r="AL20" s="19">
        <f t="shared" si="44"/>
        <v>1</v>
      </c>
    </row>
    <row r="21" spans="1:38" ht="19.8" thickBot="1" x14ac:dyDescent="0.3">
      <c r="A21" s="4" t="s">
        <v>91</v>
      </c>
      <c r="B21" s="8">
        <v>0.17</v>
      </c>
      <c r="C21" s="9">
        <v>0.5</v>
      </c>
      <c r="D21" s="8">
        <v>0.67</v>
      </c>
      <c r="E21" s="10">
        <v>1.17</v>
      </c>
      <c r="F21" s="11">
        <v>1.17</v>
      </c>
      <c r="G21" s="12">
        <v>2.33</v>
      </c>
      <c r="H21" s="13">
        <v>1.17</v>
      </c>
      <c r="I21" s="14">
        <v>6</v>
      </c>
      <c r="J21" s="14" t="s">
        <v>10</v>
      </c>
      <c r="K21" s="5" t="s">
        <v>155</v>
      </c>
      <c r="L21" s="6">
        <v>0.875</v>
      </c>
      <c r="M21" s="7" t="s">
        <v>156</v>
      </c>
      <c r="N21" s="14" t="s">
        <v>11</v>
      </c>
      <c r="O21" s="14">
        <v>5</v>
      </c>
      <c r="P21" s="13">
        <v>0.8</v>
      </c>
      <c r="Q21" s="12">
        <v>2.6</v>
      </c>
      <c r="R21" s="11">
        <v>1.2</v>
      </c>
      <c r="S21" s="10">
        <v>1.4</v>
      </c>
      <c r="T21" s="8">
        <v>0.6</v>
      </c>
      <c r="U21" s="9">
        <v>0.4</v>
      </c>
      <c r="V21" s="8">
        <v>0.4</v>
      </c>
      <c r="W21" s="17"/>
      <c r="X21" s="18">
        <f t="shared" si="30"/>
        <v>1.2849999999999999</v>
      </c>
      <c r="Y21" s="18">
        <f t="shared" si="31"/>
        <v>1.1850000000000001</v>
      </c>
      <c r="Z21" s="18">
        <f t="shared" si="32"/>
        <v>2.4699999999999998</v>
      </c>
      <c r="AA21" s="18">
        <f t="shared" si="33"/>
        <v>9.9999999999999867E-2</v>
      </c>
      <c r="AB21" s="24">
        <f t="shared" si="34"/>
        <v>0</v>
      </c>
      <c r="AC21" s="24">
        <f t="shared" si="35"/>
        <v>4</v>
      </c>
      <c r="AD21" s="19">
        <f t="shared" si="36"/>
        <v>0</v>
      </c>
      <c r="AE21" s="19">
        <f t="shared" si="37"/>
        <v>0</v>
      </c>
      <c r="AF21" s="19">
        <f t="shared" si="38"/>
        <v>0</v>
      </c>
      <c r="AG21" s="19">
        <f t="shared" si="39"/>
        <v>1</v>
      </c>
      <c r="AH21" s="19">
        <f t="shared" si="40"/>
        <v>0</v>
      </c>
      <c r="AI21" s="19">
        <f t="shared" si="41"/>
        <v>1</v>
      </c>
      <c r="AJ21" s="19">
        <f t="shared" si="42"/>
        <v>1</v>
      </c>
      <c r="AK21" s="19">
        <f t="shared" si="43"/>
        <v>1</v>
      </c>
      <c r="AL21" s="19">
        <f t="shared" si="44"/>
        <v>0</v>
      </c>
    </row>
    <row r="22" spans="1:38" ht="19.8" thickBot="1" x14ac:dyDescent="0.3">
      <c r="A22" s="4" t="s">
        <v>157</v>
      </c>
      <c r="B22" s="8">
        <v>0.22</v>
      </c>
      <c r="C22" s="9">
        <v>0.33</v>
      </c>
      <c r="D22" s="8">
        <v>0.78</v>
      </c>
      <c r="E22" s="10">
        <v>0.89</v>
      </c>
      <c r="F22" s="11">
        <v>1.33</v>
      </c>
      <c r="G22" s="12">
        <v>2.2200000000000002</v>
      </c>
      <c r="H22" s="13">
        <v>1.67</v>
      </c>
      <c r="I22" s="14">
        <v>9</v>
      </c>
      <c r="J22" s="14" t="s">
        <v>10</v>
      </c>
      <c r="K22" s="5" t="s">
        <v>158</v>
      </c>
      <c r="L22" s="6">
        <v>0.375</v>
      </c>
      <c r="M22" s="7" t="s">
        <v>111</v>
      </c>
      <c r="N22" s="14" t="s">
        <v>11</v>
      </c>
      <c r="O22" s="14">
        <v>9</v>
      </c>
      <c r="P22" s="13">
        <v>2.2200000000000002</v>
      </c>
      <c r="Q22" s="12">
        <v>3.11</v>
      </c>
      <c r="R22" s="11">
        <v>1.78</v>
      </c>
      <c r="S22" s="10">
        <v>1.33</v>
      </c>
      <c r="T22" s="8">
        <v>0.78</v>
      </c>
      <c r="U22" s="15">
        <v>0.56000000000000005</v>
      </c>
      <c r="V22" s="8">
        <v>0.33</v>
      </c>
      <c r="W22" s="17"/>
      <c r="X22" s="18">
        <f t="shared" si="30"/>
        <v>1.33</v>
      </c>
      <c r="Y22" s="18">
        <f t="shared" si="31"/>
        <v>1.335</v>
      </c>
      <c r="Z22" s="18">
        <f t="shared" si="32"/>
        <v>2.665</v>
      </c>
      <c r="AA22" s="18">
        <f t="shared" si="33"/>
        <v>4.9999999999998934E-3</v>
      </c>
      <c r="AB22" s="24">
        <f t="shared" si="34"/>
        <v>0</v>
      </c>
      <c r="AC22" s="24">
        <f t="shared" si="35"/>
        <v>2</v>
      </c>
      <c r="AD22" s="19">
        <f t="shared" si="36"/>
        <v>0</v>
      </c>
      <c r="AE22" s="19">
        <f t="shared" si="37"/>
        <v>0</v>
      </c>
      <c r="AF22" s="19">
        <f t="shared" si="38"/>
        <v>0</v>
      </c>
      <c r="AG22" s="19">
        <f t="shared" si="39"/>
        <v>0</v>
      </c>
      <c r="AH22" s="19">
        <f t="shared" si="40"/>
        <v>1</v>
      </c>
      <c r="AI22" s="19">
        <f t="shared" si="41"/>
        <v>0</v>
      </c>
      <c r="AJ22" s="19">
        <f t="shared" si="42"/>
        <v>1</v>
      </c>
      <c r="AK22" s="19">
        <f t="shared" si="43"/>
        <v>0</v>
      </c>
      <c r="AL22" s="19">
        <f t="shared" si="44"/>
        <v>0</v>
      </c>
    </row>
    <row r="23" spans="1:38" ht="19.8" thickBot="1" x14ac:dyDescent="0.3">
      <c r="A23" s="4" t="s">
        <v>157</v>
      </c>
      <c r="B23" s="8">
        <v>0.33</v>
      </c>
      <c r="C23" s="15">
        <v>0.67</v>
      </c>
      <c r="D23" s="8">
        <v>0.89</v>
      </c>
      <c r="E23" s="10">
        <v>1.44</v>
      </c>
      <c r="F23" s="11">
        <v>1.89</v>
      </c>
      <c r="G23" s="12">
        <v>3.33</v>
      </c>
      <c r="H23" s="13">
        <v>1.56</v>
      </c>
      <c r="I23" s="14">
        <v>9</v>
      </c>
      <c r="J23" s="14" t="s">
        <v>10</v>
      </c>
      <c r="K23" s="5" t="s">
        <v>159</v>
      </c>
      <c r="L23" s="6">
        <v>0.39930555555555558</v>
      </c>
      <c r="M23" s="7" t="s">
        <v>160</v>
      </c>
      <c r="N23" s="14" t="s">
        <v>11</v>
      </c>
      <c r="O23" s="14">
        <v>8</v>
      </c>
      <c r="P23" s="13">
        <v>0.63</v>
      </c>
      <c r="Q23" s="12">
        <v>3</v>
      </c>
      <c r="R23" s="11">
        <v>1.1299999999999999</v>
      </c>
      <c r="S23" s="10">
        <v>1.88</v>
      </c>
      <c r="T23" s="8">
        <v>0.75</v>
      </c>
      <c r="U23" s="15">
        <v>0.62</v>
      </c>
      <c r="V23" s="8">
        <v>0.5</v>
      </c>
      <c r="W23" s="17"/>
      <c r="X23" s="18">
        <f t="shared" si="30"/>
        <v>1.8849999999999998</v>
      </c>
      <c r="Y23" s="18">
        <f t="shared" si="31"/>
        <v>1.2849999999999999</v>
      </c>
      <c r="Z23" s="18">
        <f t="shared" si="32"/>
        <v>3.17</v>
      </c>
      <c r="AA23" s="18">
        <f t="shared" si="33"/>
        <v>0.59999999999999987</v>
      </c>
      <c r="AB23" s="24">
        <f t="shared" si="34"/>
        <v>1</v>
      </c>
      <c r="AC23" s="24">
        <f t="shared" si="35"/>
        <v>5</v>
      </c>
      <c r="AD23" s="19">
        <f t="shared" si="36"/>
        <v>0</v>
      </c>
      <c r="AE23" s="19">
        <f t="shared" si="37"/>
        <v>1</v>
      </c>
      <c r="AF23" s="19">
        <f t="shared" si="38"/>
        <v>1</v>
      </c>
      <c r="AG23" s="19">
        <f t="shared" si="39"/>
        <v>1</v>
      </c>
      <c r="AH23" s="19">
        <f t="shared" si="40"/>
        <v>1</v>
      </c>
      <c r="AI23" s="19">
        <f t="shared" si="41"/>
        <v>0</v>
      </c>
      <c r="AJ23" s="19">
        <f t="shared" si="42"/>
        <v>1</v>
      </c>
      <c r="AK23" s="19">
        <f t="shared" si="43"/>
        <v>1</v>
      </c>
      <c r="AL23" s="19">
        <f t="shared" si="44"/>
        <v>1</v>
      </c>
    </row>
    <row r="24" spans="1:38" ht="19.8" thickBot="1" x14ac:dyDescent="0.3">
      <c r="A24" s="4" t="s">
        <v>157</v>
      </c>
      <c r="B24" s="8">
        <v>0.12</v>
      </c>
      <c r="C24" s="9">
        <v>0.5</v>
      </c>
      <c r="D24" s="8">
        <v>0.75</v>
      </c>
      <c r="E24" s="10">
        <v>1.25</v>
      </c>
      <c r="F24" s="11">
        <v>1.1299999999999999</v>
      </c>
      <c r="G24" s="12">
        <v>2.38</v>
      </c>
      <c r="H24" s="13">
        <v>1.25</v>
      </c>
      <c r="I24" s="14">
        <v>8</v>
      </c>
      <c r="J24" s="14" t="s">
        <v>10</v>
      </c>
      <c r="K24" s="5" t="s">
        <v>161</v>
      </c>
      <c r="L24" s="6">
        <v>0.39930555555555558</v>
      </c>
      <c r="M24" s="7" t="s">
        <v>162</v>
      </c>
      <c r="N24" s="14" t="s">
        <v>11</v>
      </c>
      <c r="O24" s="14">
        <v>9</v>
      </c>
      <c r="P24" s="13">
        <v>0.44</v>
      </c>
      <c r="Q24" s="12">
        <v>3.56</v>
      </c>
      <c r="R24" s="11">
        <v>1.33</v>
      </c>
      <c r="S24" s="10">
        <v>2.2200000000000002</v>
      </c>
      <c r="T24" s="8">
        <v>0.89</v>
      </c>
      <c r="U24" s="15">
        <v>0.67</v>
      </c>
      <c r="V24" s="8">
        <v>0.56000000000000005</v>
      </c>
      <c r="W24" s="17"/>
      <c r="X24" s="18">
        <f t="shared" si="30"/>
        <v>1.675</v>
      </c>
      <c r="Y24" s="18">
        <f t="shared" si="31"/>
        <v>1.29</v>
      </c>
      <c r="Z24" s="18">
        <f t="shared" si="32"/>
        <v>2.9649999999999999</v>
      </c>
      <c r="AA24" s="18">
        <f t="shared" si="33"/>
        <v>0.38500000000000001</v>
      </c>
      <c r="AB24" s="24">
        <f t="shared" si="34"/>
        <v>1</v>
      </c>
      <c r="AC24" s="24">
        <f t="shared" si="35"/>
        <v>5</v>
      </c>
      <c r="AD24" s="19">
        <f t="shared" si="36"/>
        <v>0</v>
      </c>
      <c r="AE24" s="19">
        <f t="shared" si="37"/>
        <v>0</v>
      </c>
      <c r="AF24" s="19">
        <f t="shared" si="38"/>
        <v>1</v>
      </c>
      <c r="AG24" s="19">
        <f t="shared" si="39"/>
        <v>1</v>
      </c>
      <c r="AH24" s="19">
        <f t="shared" si="40"/>
        <v>0</v>
      </c>
      <c r="AI24" s="19">
        <f t="shared" si="41"/>
        <v>1</v>
      </c>
      <c r="AJ24" s="19">
        <f t="shared" si="42"/>
        <v>1</v>
      </c>
      <c r="AK24" s="19">
        <f t="shared" si="43"/>
        <v>1</v>
      </c>
      <c r="AL24" s="19">
        <f t="shared" si="44"/>
        <v>1</v>
      </c>
    </row>
    <row r="25" spans="1:38" ht="19.8" thickBot="1" x14ac:dyDescent="0.3">
      <c r="A25" s="4" t="s">
        <v>157</v>
      </c>
      <c r="B25" s="8">
        <v>0.5</v>
      </c>
      <c r="C25" s="15">
        <v>0.88</v>
      </c>
      <c r="D25" s="8">
        <v>0.88</v>
      </c>
      <c r="E25" s="10">
        <v>1.63</v>
      </c>
      <c r="F25" s="11">
        <v>2</v>
      </c>
      <c r="G25" s="12">
        <v>3.63</v>
      </c>
      <c r="H25" s="13">
        <v>1.63</v>
      </c>
      <c r="I25" s="14">
        <v>8</v>
      </c>
      <c r="J25" s="14" t="s">
        <v>10</v>
      </c>
      <c r="K25" s="5" t="s">
        <v>163</v>
      </c>
      <c r="L25" s="6">
        <v>0.41666666666666669</v>
      </c>
      <c r="M25" s="7" t="s">
        <v>164</v>
      </c>
      <c r="N25" s="14" t="s">
        <v>11</v>
      </c>
      <c r="O25" s="14">
        <v>9</v>
      </c>
      <c r="P25" s="13">
        <v>0.89</v>
      </c>
      <c r="Q25" s="12">
        <v>2.67</v>
      </c>
      <c r="R25" s="11">
        <v>1.1100000000000001</v>
      </c>
      <c r="S25" s="10">
        <v>1.56</v>
      </c>
      <c r="T25" s="8">
        <v>0.67</v>
      </c>
      <c r="U25" s="15">
        <v>0.56000000000000005</v>
      </c>
      <c r="V25" s="8">
        <v>0.33</v>
      </c>
      <c r="W25" s="17"/>
      <c r="X25" s="18">
        <f t="shared" si="30"/>
        <v>1.78</v>
      </c>
      <c r="Y25" s="18">
        <f t="shared" si="31"/>
        <v>1.37</v>
      </c>
      <c r="Z25" s="18">
        <f t="shared" si="32"/>
        <v>3.1500000000000004</v>
      </c>
      <c r="AA25" s="18">
        <f t="shared" si="33"/>
        <v>0.40999999999999992</v>
      </c>
      <c r="AB25" s="24">
        <f t="shared" si="34"/>
        <v>1</v>
      </c>
      <c r="AC25" s="24">
        <f t="shared" si="35"/>
        <v>5</v>
      </c>
      <c r="AD25" s="19">
        <f t="shared" si="36"/>
        <v>0</v>
      </c>
      <c r="AE25" s="19">
        <f t="shared" si="37"/>
        <v>1</v>
      </c>
      <c r="AF25" s="19">
        <f t="shared" si="38"/>
        <v>1</v>
      </c>
      <c r="AG25" s="19">
        <f t="shared" si="39"/>
        <v>1</v>
      </c>
      <c r="AH25" s="19">
        <f t="shared" si="40"/>
        <v>1</v>
      </c>
      <c r="AI25" s="19">
        <f t="shared" si="41"/>
        <v>0</v>
      </c>
      <c r="AJ25" s="19">
        <f t="shared" si="42"/>
        <v>1</v>
      </c>
      <c r="AK25" s="19">
        <f t="shared" si="43"/>
        <v>1</v>
      </c>
      <c r="AL25" s="19">
        <f t="shared" si="44"/>
        <v>1</v>
      </c>
    </row>
    <row r="26" spans="1:38" ht="19.8" thickBot="1" x14ac:dyDescent="0.3">
      <c r="A26" s="4" t="s">
        <v>157</v>
      </c>
      <c r="B26" s="8">
        <v>0.17</v>
      </c>
      <c r="C26" s="15">
        <v>0.83</v>
      </c>
      <c r="D26" s="8">
        <v>0.83</v>
      </c>
      <c r="E26" s="10">
        <v>1.67</v>
      </c>
      <c r="F26" s="11">
        <v>1.17</v>
      </c>
      <c r="G26" s="12">
        <v>2.83</v>
      </c>
      <c r="H26" s="13">
        <v>1.5</v>
      </c>
      <c r="I26" s="14">
        <v>6</v>
      </c>
      <c r="J26" s="14" t="s">
        <v>10</v>
      </c>
      <c r="K26" s="5" t="s">
        <v>165</v>
      </c>
      <c r="L26" s="6">
        <v>0.375</v>
      </c>
      <c r="M26" s="7" t="s">
        <v>166</v>
      </c>
      <c r="N26" s="14" t="s">
        <v>11</v>
      </c>
      <c r="O26" s="14">
        <v>7</v>
      </c>
      <c r="P26" s="13">
        <v>1.1399999999999999</v>
      </c>
      <c r="Q26" s="12">
        <v>3.14</v>
      </c>
      <c r="R26" s="11">
        <v>1.57</v>
      </c>
      <c r="S26" s="10">
        <v>1.57</v>
      </c>
      <c r="T26" s="8">
        <v>0.71</v>
      </c>
      <c r="U26" s="15">
        <v>0.56999999999999995</v>
      </c>
      <c r="V26" s="8">
        <v>0.43</v>
      </c>
      <c r="W26" s="17"/>
      <c r="X26" s="18">
        <f t="shared" si="30"/>
        <v>1.37</v>
      </c>
      <c r="Y26" s="18">
        <f t="shared" si="31"/>
        <v>1.62</v>
      </c>
      <c r="Z26" s="18">
        <f t="shared" si="32"/>
        <v>2.99</v>
      </c>
      <c r="AA26" s="18">
        <f t="shared" si="33"/>
        <v>0.25</v>
      </c>
      <c r="AB26" s="24">
        <f t="shared" si="34"/>
        <v>1</v>
      </c>
      <c r="AC26" s="24">
        <f t="shared" si="35"/>
        <v>3</v>
      </c>
      <c r="AD26" s="19">
        <f t="shared" si="36"/>
        <v>0</v>
      </c>
      <c r="AE26" s="19">
        <f t="shared" si="37"/>
        <v>0</v>
      </c>
      <c r="AF26" s="19">
        <f t="shared" si="38"/>
        <v>1</v>
      </c>
      <c r="AG26" s="19">
        <f t="shared" si="39"/>
        <v>1</v>
      </c>
      <c r="AH26" s="19">
        <f t="shared" si="40"/>
        <v>0</v>
      </c>
      <c r="AI26" s="19">
        <f t="shared" si="41"/>
        <v>0</v>
      </c>
      <c r="AJ26" s="19">
        <f t="shared" si="42"/>
        <v>0</v>
      </c>
      <c r="AK26" s="19">
        <f t="shared" si="43"/>
        <v>1</v>
      </c>
      <c r="AL26" s="19">
        <f t="shared" si="44"/>
        <v>1</v>
      </c>
    </row>
    <row r="27" spans="1:38" ht="19.8" thickBot="1" x14ac:dyDescent="0.3">
      <c r="A27" s="4" t="s">
        <v>157</v>
      </c>
      <c r="B27" s="8">
        <v>0.28999999999999998</v>
      </c>
      <c r="C27" s="15">
        <v>0.71</v>
      </c>
      <c r="D27" s="8">
        <v>0.71</v>
      </c>
      <c r="E27" s="10">
        <v>1.86</v>
      </c>
      <c r="F27" s="11">
        <v>0.86</v>
      </c>
      <c r="G27" s="12">
        <v>2.71</v>
      </c>
      <c r="H27" s="13">
        <v>0.56999999999999995</v>
      </c>
      <c r="I27" s="14">
        <v>7</v>
      </c>
      <c r="J27" s="14" t="s">
        <v>10</v>
      </c>
      <c r="K27" s="5" t="s">
        <v>167</v>
      </c>
      <c r="L27" s="6">
        <v>0.375</v>
      </c>
      <c r="M27" s="7" t="s">
        <v>168</v>
      </c>
      <c r="N27" s="14" t="s">
        <v>11</v>
      </c>
      <c r="O27" s="14">
        <v>7</v>
      </c>
      <c r="P27" s="13">
        <v>1.86</v>
      </c>
      <c r="Q27" s="12">
        <v>4.1399999999999997</v>
      </c>
      <c r="R27" s="11">
        <v>2.57</v>
      </c>
      <c r="S27" s="10">
        <v>1.57</v>
      </c>
      <c r="T27" s="8">
        <v>0.86</v>
      </c>
      <c r="U27" s="15">
        <v>0.86</v>
      </c>
      <c r="V27" s="8">
        <v>0.71</v>
      </c>
      <c r="W27" s="17"/>
      <c r="X27" s="18">
        <f t="shared" si="30"/>
        <v>1.2150000000000001</v>
      </c>
      <c r="Y27" s="18">
        <f t="shared" si="31"/>
        <v>2.2149999999999999</v>
      </c>
      <c r="Z27" s="18">
        <f t="shared" si="32"/>
        <v>3.4299999999999997</v>
      </c>
      <c r="AA27" s="18">
        <f t="shared" si="33"/>
        <v>0.99999999999999978</v>
      </c>
      <c r="AB27" s="24">
        <f t="shared" si="34"/>
        <v>1</v>
      </c>
      <c r="AC27" s="24">
        <f t="shared" si="35"/>
        <v>5</v>
      </c>
      <c r="AD27" s="19">
        <f t="shared" si="36"/>
        <v>0</v>
      </c>
      <c r="AE27" s="19">
        <f t="shared" si="37"/>
        <v>1</v>
      </c>
      <c r="AF27" s="19">
        <f t="shared" si="38"/>
        <v>1</v>
      </c>
      <c r="AG27" s="19">
        <f t="shared" si="39"/>
        <v>1</v>
      </c>
      <c r="AH27" s="19">
        <f t="shared" si="40"/>
        <v>1</v>
      </c>
      <c r="AI27" s="19">
        <f t="shared" si="41"/>
        <v>0</v>
      </c>
      <c r="AJ27" s="19">
        <f t="shared" si="42"/>
        <v>1</v>
      </c>
      <c r="AK27" s="19">
        <f t="shared" si="43"/>
        <v>1</v>
      </c>
      <c r="AL27" s="19">
        <f t="shared" si="44"/>
        <v>1</v>
      </c>
    </row>
    <row r="28" spans="1:38" ht="19.8" thickBot="1" x14ac:dyDescent="0.3">
      <c r="A28" s="4" t="s">
        <v>157</v>
      </c>
      <c r="B28" s="8">
        <v>0.43</v>
      </c>
      <c r="C28" s="9">
        <v>0.43</v>
      </c>
      <c r="D28" s="8">
        <v>0.86</v>
      </c>
      <c r="E28" s="10">
        <v>2.29</v>
      </c>
      <c r="F28" s="11">
        <v>0.71</v>
      </c>
      <c r="G28" s="12">
        <v>3</v>
      </c>
      <c r="H28" s="13">
        <v>0.28999999999999998</v>
      </c>
      <c r="I28" s="14">
        <v>7</v>
      </c>
      <c r="J28" s="14" t="s">
        <v>10</v>
      </c>
      <c r="K28" s="5" t="s">
        <v>169</v>
      </c>
      <c r="L28" s="6">
        <v>0.39583333333333331</v>
      </c>
      <c r="M28" s="7" t="s">
        <v>170</v>
      </c>
      <c r="N28" s="14" t="s">
        <v>11</v>
      </c>
      <c r="O28" s="14">
        <v>6</v>
      </c>
      <c r="P28" s="13">
        <v>0.83</v>
      </c>
      <c r="Q28" s="12">
        <v>1.33</v>
      </c>
      <c r="R28" s="11">
        <v>0.5</v>
      </c>
      <c r="S28" s="10">
        <v>0.83</v>
      </c>
      <c r="T28" s="8">
        <v>0.5</v>
      </c>
      <c r="U28" s="9">
        <v>0.17</v>
      </c>
      <c r="V28" s="8">
        <v>0.17</v>
      </c>
      <c r="W28" s="17"/>
      <c r="X28" s="18">
        <f t="shared" si="30"/>
        <v>0.77</v>
      </c>
      <c r="Y28" s="18">
        <f t="shared" si="31"/>
        <v>1.395</v>
      </c>
      <c r="Z28" s="18">
        <f t="shared" si="32"/>
        <v>2.165</v>
      </c>
      <c r="AA28" s="18">
        <f t="shared" si="33"/>
        <v>0.625</v>
      </c>
      <c r="AB28" s="24">
        <f t="shared" si="34"/>
        <v>0</v>
      </c>
      <c r="AC28" s="24">
        <f t="shared" si="35"/>
        <v>4</v>
      </c>
      <c r="AD28" s="19">
        <f t="shared" si="36"/>
        <v>0</v>
      </c>
      <c r="AE28" s="19">
        <f t="shared" si="37"/>
        <v>0</v>
      </c>
      <c r="AF28" s="19">
        <f t="shared" si="38"/>
        <v>0</v>
      </c>
      <c r="AG28" s="19">
        <f t="shared" si="39"/>
        <v>1</v>
      </c>
      <c r="AH28" s="19">
        <f t="shared" si="40"/>
        <v>0</v>
      </c>
      <c r="AI28" s="19">
        <f t="shared" si="41"/>
        <v>1</v>
      </c>
      <c r="AJ28" s="19">
        <f t="shared" si="42"/>
        <v>1</v>
      </c>
      <c r="AK28" s="19">
        <f t="shared" si="43"/>
        <v>1</v>
      </c>
      <c r="AL28" s="19">
        <f t="shared" si="44"/>
        <v>0</v>
      </c>
    </row>
    <row r="29" spans="1:38" ht="19.8" thickBot="1" x14ac:dyDescent="0.3">
      <c r="A29" s="4" t="s">
        <v>157</v>
      </c>
      <c r="B29" s="8">
        <v>0</v>
      </c>
      <c r="C29" s="9">
        <v>0.43</v>
      </c>
      <c r="D29" s="8">
        <v>0.56999999999999995</v>
      </c>
      <c r="E29" s="10">
        <v>1.29</v>
      </c>
      <c r="F29" s="11">
        <v>0.71</v>
      </c>
      <c r="G29" s="12">
        <v>2</v>
      </c>
      <c r="H29" s="13">
        <v>1</v>
      </c>
      <c r="I29" s="14">
        <v>7</v>
      </c>
      <c r="J29" s="14" t="s">
        <v>10</v>
      </c>
      <c r="K29" s="5" t="s">
        <v>171</v>
      </c>
      <c r="L29" s="6">
        <v>0.39583333333333331</v>
      </c>
      <c r="M29" s="7" t="s">
        <v>172</v>
      </c>
      <c r="N29" s="14" t="s">
        <v>11</v>
      </c>
      <c r="O29" s="14">
        <v>7</v>
      </c>
      <c r="P29" s="13">
        <v>1.86</v>
      </c>
      <c r="Q29" s="12">
        <v>2.57</v>
      </c>
      <c r="R29" s="11">
        <v>1.57</v>
      </c>
      <c r="S29" s="10">
        <v>1</v>
      </c>
      <c r="T29" s="8">
        <v>0.71</v>
      </c>
      <c r="U29" s="9">
        <v>0.43</v>
      </c>
      <c r="V29" s="8">
        <v>0.14000000000000001</v>
      </c>
      <c r="W29" s="17"/>
      <c r="X29" s="18">
        <f t="shared" si="30"/>
        <v>0.85499999999999998</v>
      </c>
      <c r="Y29" s="18">
        <f t="shared" si="31"/>
        <v>1.4300000000000002</v>
      </c>
      <c r="Z29" s="18">
        <f t="shared" si="32"/>
        <v>2.2850000000000001</v>
      </c>
      <c r="AA29" s="18">
        <f t="shared" si="33"/>
        <v>0.57500000000000018</v>
      </c>
      <c r="AB29" s="24">
        <f t="shared" si="34"/>
        <v>0</v>
      </c>
      <c r="AC29" s="24">
        <f t="shared" si="35"/>
        <v>4</v>
      </c>
      <c r="AD29" s="19">
        <f t="shared" si="36"/>
        <v>0</v>
      </c>
      <c r="AE29" s="19">
        <f t="shared" si="37"/>
        <v>0</v>
      </c>
      <c r="AF29" s="19">
        <f t="shared" si="38"/>
        <v>0</v>
      </c>
      <c r="AG29" s="19">
        <f t="shared" si="39"/>
        <v>1</v>
      </c>
      <c r="AH29" s="19">
        <f t="shared" si="40"/>
        <v>1</v>
      </c>
      <c r="AI29" s="19">
        <f t="shared" si="41"/>
        <v>1</v>
      </c>
      <c r="AJ29" s="19">
        <f t="shared" si="42"/>
        <v>1</v>
      </c>
      <c r="AK29" s="19">
        <f t="shared" si="43"/>
        <v>0</v>
      </c>
      <c r="AL29" s="19">
        <f t="shared" si="44"/>
        <v>0</v>
      </c>
    </row>
    <row r="30" spans="1:38" ht="13.8" thickBot="1" x14ac:dyDescent="0.3">
      <c r="A30" s="4" t="s">
        <v>88</v>
      </c>
      <c r="B30" s="8">
        <v>0.11</v>
      </c>
      <c r="C30" s="15">
        <v>0.56000000000000005</v>
      </c>
      <c r="D30" s="8">
        <v>0.89</v>
      </c>
      <c r="E30" s="10">
        <v>1.22</v>
      </c>
      <c r="F30" s="11">
        <v>1.33</v>
      </c>
      <c r="G30" s="12">
        <v>2.56</v>
      </c>
      <c r="H30" s="13">
        <v>1.33</v>
      </c>
      <c r="I30" s="14">
        <v>9</v>
      </c>
      <c r="J30" s="14" t="s">
        <v>10</v>
      </c>
      <c r="K30" s="5" t="s">
        <v>173</v>
      </c>
      <c r="L30" s="6">
        <v>0.91666666666666663</v>
      </c>
      <c r="M30" s="7" t="s">
        <v>174</v>
      </c>
      <c r="N30" s="14" t="s">
        <v>11</v>
      </c>
      <c r="O30" s="14">
        <v>8</v>
      </c>
      <c r="P30" s="13">
        <v>0.75</v>
      </c>
      <c r="Q30" s="12">
        <v>1.5</v>
      </c>
      <c r="R30" s="11">
        <v>0.38</v>
      </c>
      <c r="S30" s="10">
        <v>1.1299999999999999</v>
      </c>
      <c r="T30" s="8">
        <v>0.62</v>
      </c>
      <c r="U30" s="9">
        <v>0</v>
      </c>
      <c r="V30" s="8">
        <v>0</v>
      </c>
      <c r="W30" s="17"/>
      <c r="X30" s="18">
        <f t="shared" si="30"/>
        <v>1.23</v>
      </c>
      <c r="Y30" s="18">
        <f t="shared" si="31"/>
        <v>0.8</v>
      </c>
      <c r="Z30" s="18">
        <f t="shared" si="32"/>
        <v>2.0300000000000002</v>
      </c>
      <c r="AA30" s="18">
        <f t="shared" si="33"/>
        <v>0.42999999999999994</v>
      </c>
      <c r="AB30" s="24">
        <f t="shared" si="34"/>
        <v>0</v>
      </c>
      <c r="AC30" s="24">
        <f t="shared" si="35"/>
        <v>3</v>
      </c>
      <c r="AD30" s="19">
        <f t="shared" si="36"/>
        <v>0</v>
      </c>
      <c r="AE30" s="19">
        <f t="shared" si="37"/>
        <v>0</v>
      </c>
      <c r="AF30" s="19">
        <f t="shared" si="38"/>
        <v>0</v>
      </c>
      <c r="AG30" s="19">
        <f t="shared" si="39"/>
        <v>1</v>
      </c>
      <c r="AH30" s="19">
        <f t="shared" si="40"/>
        <v>0</v>
      </c>
      <c r="AI30" s="19">
        <f t="shared" si="41"/>
        <v>1</v>
      </c>
      <c r="AJ30" s="19">
        <f t="shared" si="42"/>
        <v>1</v>
      </c>
      <c r="AK30" s="19">
        <f t="shared" si="43"/>
        <v>0</v>
      </c>
      <c r="AL30" s="19">
        <f t="shared" si="44"/>
        <v>0</v>
      </c>
    </row>
    <row r="31" spans="1:38" ht="13.8" thickBot="1" x14ac:dyDescent="0.3">
      <c r="A31" s="4" t="s">
        <v>175</v>
      </c>
      <c r="B31" s="8">
        <v>0.38</v>
      </c>
      <c r="C31" s="15">
        <v>0.75</v>
      </c>
      <c r="D31" s="8">
        <v>0.88</v>
      </c>
      <c r="E31" s="10">
        <v>0.88</v>
      </c>
      <c r="F31" s="11">
        <v>2.5</v>
      </c>
      <c r="G31" s="12">
        <v>3.38</v>
      </c>
      <c r="H31" s="13">
        <v>1.88</v>
      </c>
      <c r="I31" s="14">
        <v>8</v>
      </c>
      <c r="J31" s="14" t="s">
        <v>10</v>
      </c>
      <c r="K31" s="5" t="s">
        <v>176</v>
      </c>
      <c r="L31" s="6">
        <v>0.58333333333333337</v>
      </c>
      <c r="M31" s="7" t="s">
        <v>177</v>
      </c>
      <c r="N31" s="14" t="s">
        <v>11</v>
      </c>
      <c r="O31" s="14">
        <v>9</v>
      </c>
      <c r="P31" s="13">
        <v>1.1100000000000001</v>
      </c>
      <c r="Q31" s="12">
        <v>4</v>
      </c>
      <c r="R31" s="11">
        <v>1.44</v>
      </c>
      <c r="S31" s="10">
        <v>2.56</v>
      </c>
      <c r="T31" s="8">
        <v>1</v>
      </c>
      <c r="U31" s="15">
        <v>0.89</v>
      </c>
      <c r="V31" s="8">
        <v>0.56000000000000005</v>
      </c>
      <c r="W31" s="17"/>
      <c r="X31" s="18">
        <f t="shared" si="30"/>
        <v>2.5300000000000002</v>
      </c>
      <c r="Y31" s="18">
        <f t="shared" si="31"/>
        <v>1.1599999999999999</v>
      </c>
      <c r="Z31" s="18">
        <f t="shared" si="32"/>
        <v>3.6900000000000004</v>
      </c>
      <c r="AA31" s="18">
        <f t="shared" si="33"/>
        <v>1.3700000000000003</v>
      </c>
      <c r="AB31" s="24">
        <f t="shared" si="34"/>
        <v>1</v>
      </c>
      <c r="AC31" s="24">
        <f t="shared" si="35"/>
        <v>5</v>
      </c>
      <c r="AD31" s="19">
        <f t="shared" si="36"/>
        <v>0</v>
      </c>
      <c r="AE31" s="19">
        <f t="shared" si="37"/>
        <v>1</v>
      </c>
      <c r="AF31" s="19">
        <f t="shared" si="38"/>
        <v>1</v>
      </c>
      <c r="AG31" s="19">
        <f t="shared" si="39"/>
        <v>1</v>
      </c>
      <c r="AH31" s="19">
        <f t="shared" si="40"/>
        <v>1</v>
      </c>
      <c r="AI31" s="19">
        <f t="shared" si="41"/>
        <v>1</v>
      </c>
      <c r="AJ31" s="19">
        <f t="shared" si="42"/>
        <v>0</v>
      </c>
      <c r="AK31" s="19">
        <f t="shared" si="43"/>
        <v>1</v>
      </c>
      <c r="AL31" s="19">
        <f t="shared" si="44"/>
        <v>1</v>
      </c>
    </row>
    <row r="32" spans="1:38" ht="13.8" thickBot="1" x14ac:dyDescent="0.3">
      <c r="A32" s="4" t="s">
        <v>87</v>
      </c>
      <c r="B32" s="8">
        <v>0.33</v>
      </c>
      <c r="C32" s="15">
        <v>0.67</v>
      </c>
      <c r="D32" s="8">
        <v>0.83</v>
      </c>
      <c r="E32" s="10">
        <v>1.33</v>
      </c>
      <c r="F32" s="11">
        <v>1.33</v>
      </c>
      <c r="G32" s="12">
        <v>2.67</v>
      </c>
      <c r="H32" s="13">
        <v>1.33</v>
      </c>
      <c r="I32" s="14">
        <v>6</v>
      </c>
      <c r="J32" s="14" t="s">
        <v>10</v>
      </c>
      <c r="K32" s="5" t="s">
        <v>178</v>
      </c>
      <c r="L32" s="6">
        <v>0.58333333333333337</v>
      </c>
      <c r="M32" s="7" t="s">
        <v>179</v>
      </c>
      <c r="N32" s="14" t="s">
        <v>11</v>
      </c>
      <c r="O32" s="14">
        <v>7</v>
      </c>
      <c r="P32" s="13">
        <v>0.28999999999999998</v>
      </c>
      <c r="Q32" s="12">
        <v>2</v>
      </c>
      <c r="R32" s="11">
        <v>0.43</v>
      </c>
      <c r="S32" s="10">
        <v>1.57</v>
      </c>
      <c r="T32" s="8">
        <v>0.56999999999999995</v>
      </c>
      <c r="U32" s="9">
        <v>0.28999999999999998</v>
      </c>
      <c r="V32" s="8">
        <v>0.14000000000000001</v>
      </c>
      <c r="W32" s="17"/>
      <c r="X32" s="18">
        <f t="shared" si="30"/>
        <v>1.4500000000000002</v>
      </c>
      <c r="Y32" s="18">
        <f t="shared" si="31"/>
        <v>0.88</v>
      </c>
      <c r="Z32" s="18">
        <f t="shared" si="32"/>
        <v>2.33</v>
      </c>
      <c r="AA32" s="18">
        <f t="shared" si="33"/>
        <v>0.57000000000000017</v>
      </c>
      <c r="AB32" s="24">
        <f t="shared" si="34"/>
        <v>0</v>
      </c>
      <c r="AC32" s="24">
        <f t="shared" si="35"/>
        <v>3</v>
      </c>
      <c r="AD32" s="19">
        <f t="shared" si="36"/>
        <v>0</v>
      </c>
      <c r="AE32" s="19">
        <f t="shared" si="37"/>
        <v>0</v>
      </c>
      <c r="AF32" s="19">
        <f t="shared" si="38"/>
        <v>0</v>
      </c>
      <c r="AG32" s="19">
        <f t="shared" si="39"/>
        <v>1</v>
      </c>
      <c r="AH32" s="19">
        <f t="shared" si="40"/>
        <v>0</v>
      </c>
      <c r="AI32" s="19">
        <f t="shared" si="41"/>
        <v>0</v>
      </c>
      <c r="AJ32" s="19">
        <f t="shared" si="42"/>
        <v>1</v>
      </c>
      <c r="AK32" s="19">
        <f t="shared" si="43"/>
        <v>1</v>
      </c>
      <c r="AL32" s="19">
        <f t="shared" si="44"/>
        <v>0</v>
      </c>
    </row>
    <row r="33" spans="1:38" ht="13.8" thickBot="1" x14ac:dyDescent="0.3">
      <c r="A33" s="4" t="s">
        <v>87</v>
      </c>
      <c r="B33" s="8">
        <v>0</v>
      </c>
      <c r="C33" s="9">
        <v>0.14000000000000001</v>
      </c>
      <c r="D33" s="8">
        <v>0.56999999999999995</v>
      </c>
      <c r="E33" s="10">
        <v>1.1399999999999999</v>
      </c>
      <c r="F33" s="11">
        <v>0.56999999999999995</v>
      </c>
      <c r="G33" s="12">
        <v>1.71</v>
      </c>
      <c r="H33" s="13">
        <v>0.56999999999999995</v>
      </c>
      <c r="I33" s="14">
        <v>7</v>
      </c>
      <c r="J33" s="14" t="s">
        <v>10</v>
      </c>
      <c r="K33" s="5" t="s">
        <v>180</v>
      </c>
      <c r="L33" s="6">
        <v>0.58333333333333337</v>
      </c>
      <c r="M33" s="7" t="s">
        <v>181</v>
      </c>
      <c r="N33" s="14" t="s">
        <v>11</v>
      </c>
      <c r="O33" s="14">
        <v>6</v>
      </c>
      <c r="P33" s="13">
        <v>1.67</v>
      </c>
      <c r="Q33" s="12">
        <v>1.5</v>
      </c>
      <c r="R33" s="11">
        <v>1</v>
      </c>
      <c r="S33" s="10">
        <v>0.5</v>
      </c>
      <c r="T33" s="8">
        <v>0.5</v>
      </c>
      <c r="U33" s="9">
        <v>0.17</v>
      </c>
      <c r="V33" s="8">
        <v>0</v>
      </c>
      <c r="W33" s="17"/>
      <c r="X33" s="18">
        <f t="shared" si="30"/>
        <v>0.53499999999999992</v>
      </c>
      <c r="Y33" s="18">
        <f t="shared" si="31"/>
        <v>1.0699999999999998</v>
      </c>
      <c r="Z33" s="18">
        <f t="shared" si="32"/>
        <v>1.6049999999999998</v>
      </c>
      <c r="AA33" s="18">
        <f t="shared" si="33"/>
        <v>0.53499999999999992</v>
      </c>
      <c r="AB33" s="24">
        <f t="shared" si="34"/>
        <v>0</v>
      </c>
      <c r="AC33" s="24">
        <f t="shared" si="35"/>
        <v>3</v>
      </c>
      <c r="AD33" s="19">
        <f t="shared" si="36"/>
        <v>0</v>
      </c>
      <c r="AE33" s="19">
        <f t="shared" si="37"/>
        <v>0</v>
      </c>
      <c r="AF33" s="19">
        <f t="shared" si="38"/>
        <v>0</v>
      </c>
      <c r="AG33" s="19">
        <f t="shared" si="39"/>
        <v>1</v>
      </c>
      <c r="AH33" s="19">
        <f t="shared" si="40"/>
        <v>0</v>
      </c>
      <c r="AI33" s="19">
        <f t="shared" si="41"/>
        <v>1</v>
      </c>
      <c r="AJ33" s="19">
        <f t="shared" si="42"/>
        <v>1</v>
      </c>
      <c r="AK33" s="19">
        <f t="shared" si="43"/>
        <v>0</v>
      </c>
      <c r="AL33" s="19">
        <f t="shared" si="44"/>
        <v>0</v>
      </c>
    </row>
    <row r="34" spans="1:38" ht="13.8" thickBot="1" x14ac:dyDescent="0.3">
      <c r="A34" s="4" t="s">
        <v>87</v>
      </c>
      <c r="B34" s="8">
        <v>0.33</v>
      </c>
      <c r="C34" s="9">
        <v>0.33</v>
      </c>
      <c r="D34" s="8">
        <v>0.83</v>
      </c>
      <c r="E34" s="10">
        <v>1.5</v>
      </c>
      <c r="F34" s="11">
        <v>1.33</v>
      </c>
      <c r="G34" s="12">
        <v>2.83</v>
      </c>
      <c r="H34" s="13">
        <v>1.5</v>
      </c>
      <c r="I34" s="14">
        <v>6</v>
      </c>
      <c r="J34" s="14" t="s">
        <v>10</v>
      </c>
      <c r="K34" s="5" t="s">
        <v>182</v>
      </c>
      <c r="L34" s="6">
        <v>0.5625</v>
      </c>
      <c r="M34" s="7" t="s">
        <v>183</v>
      </c>
      <c r="N34" s="14" t="s">
        <v>11</v>
      </c>
      <c r="O34" s="14">
        <v>5</v>
      </c>
      <c r="P34" s="13">
        <v>2.2000000000000002</v>
      </c>
      <c r="Q34" s="12">
        <v>3.4</v>
      </c>
      <c r="R34" s="11">
        <v>2.4</v>
      </c>
      <c r="S34" s="10">
        <v>1</v>
      </c>
      <c r="T34" s="8">
        <v>1</v>
      </c>
      <c r="U34" s="15">
        <v>0.6</v>
      </c>
      <c r="V34" s="8">
        <v>0.2</v>
      </c>
      <c r="W34" s="17"/>
      <c r="X34" s="18">
        <f t="shared" si="30"/>
        <v>1.165</v>
      </c>
      <c r="Y34" s="18">
        <f t="shared" si="31"/>
        <v>1.95</v>
      </c>
      <c r="Z34" s="18">
        <f t="shared" si="32"/>
        <v>3.1150000000000002</v>
      </c>
      <c r="AA34" s="18">
        <f t="shared" si="33"/>
        <v>0.78499999999999992</v>
      </c>
      <c r="AB34" s="24">
        <f t="shared" si="34"/>
        <v>0</v>
      </c>
      <c r="AC34" s="24">
        <f t="shared" si="35"/>
        <v>5</v>
      </c>
      <c r="AD34" s="19">
        <f t="shared" si="36"/>
        <v>0</v>
      </c>
      <c r="AE34" s="19">
        <f t="shared" si="37"/>
        <v>0</v>
      </c>
      <c r="AF34" s="19">
        <f t="shared" si="38"/>
        <v>0</v>
      </c>
      <c r="AG34" s="19">
        <f t="shared" si="39"/>
        <v>1</v>
      </c>
      <c r="AH34" s="19">
        <f t="shared" si="40"/>
        <v>1</v>
      </c>
      <c r="AI34" s="19">
        <f t="shared" si="41"/>
        <v>1</v>
      </c>
      <c r="AJ34" s="19">
        <f t="shared" si="42"/>
        <v>1</v>
      </c>
      <c r="AK34" s="19">
        <f t="shared" si="43"/>
        <v>1</v>
      </c>
      <c r="AL34" s="19">
        <f t="shared" si="44"/>
        <v>0</v>
      </c>
    </row>
    <row r="35" spans="1:38" ht="13.8" thickBot="1" x14ac:dyDescent="0.3">
      <c r="A35" s="4" t="s">
        <v>87</v>
      </c>
      <c r="B35" s="8">
        <v>0.83</v>
      </c>
      <c r="C35" s="15">
        <v>0.83</v>
      </c>
      <c r="D35" s="8">
        <v>1</v>
      </c>
      <c r="E35" s="10">
        <v>3</v>
      </c>
      <c r="F35" s="11">
        <v>3</v>
      </c>
      <c r="G35" s="12">
        <v>6</v>
      </c>
      <c r="H35" s="13">
        <v>1.5</v>
      </c>
      <c r="I35" s="14">
        <v>6</v>
      </c>
      <c r="J35" s="14" t="s">
        <v>10</v>
      </c>
      <c r="K35" s="5" t="s">
        <v>184</v>
      </c>
      <c r="L35" s="6">
        <v>0.5625</v>
      </c>
      <c r="M35" s="7" t="s">
        <v>185</v>
      </c>
      <c r="N35" s="14" t="s">
        <v>11</v>
      </c>
      <c r="O35" s="14">
        <v>6</v>
      </c>
      <c r="P35" s="13">
        <v>1.17</v>
      </c>
      <c r="Q35" s="12">
        <v>3.67</v>
      </c>
      <c r="R35" s="11">
        <v>1.67</v>
      </c>
      <c r="S35" s="10">
        <v>2</v>
      </c>
      <c r="T35" s="8">
        <v>0.83</v>
      </c>
      <c r="U35" s="15">
        <v>0.67</v>
      </c>
      <c r="V35" s="8">
        <v>0.5</v>
      </c>
      <c r="W35" s="17"/>
      <c r="X35" s="18">
        <f t="shared" si="30"/>
        <v>2.5</v>
      </c>
      <c r="Y35" s="18">
        <f t="shared" si="31"/>
        <v>2.335</v>
      </c>
      <c r="Z35" s="18">
        <f t="shared" si="32"/>
        <v>4.835</v>
      </c>
      <c r="AA35" s="18">
        <f t="shared" si="33"/>
        <v>0.16500000000000004</v>
      </c>
      <c r="AB35" s="24">
        <f t="shared" si="34"/>
        <v>1</v>
      </c>
      <c r="AC35" s="24">
        <f t="shared" si="35"/>
        <v>4</v>
      </c>
      <c r="AD35" s="19">
        <f t="shared" si="36"/>
        <v>0</v>
      </c>
      <c r="AE35" s="19">
        <f t="shared" si="37"/>
        <v>1</v>
      </c>
      <c r="AF35" s="19">
        <f t="shared" si="38"/>
        <v>1</v>
      </c>
      <c r="AG35" s="19">
        <f t="shared" si="39"/>
        <v>1</v>
      </c>
      <c r="AH35" s="19">
        <f t="shared" si="40"/>
        <v>1</v>
      </c>
      <c r="AI35" s="19">
        <f t="shared" si="41"/>
        <v>0</v>
      </c>
      <c r="AJ35" s="19">
        <f t="shared" si="42"/>
        <v>0</v>
      </c>
      <c r="AK35" s="19">
        <f t="shared" si="43"/>
        <v>1</v>
      </c>
      <c r="AL35" s="19">
        <f t="shared" si="44"/>
        <v>1</v>
      </c>
    </row>
    <row r="36" spans="1:38" ht="13.8" thickBot="1" x14ac:dyDescent="0.3">
      <c r="A36" s="4" t="s">
        <v>86</v>
      </c>
      <c r="B36" s="8">
        <v>0.17</v>
      </c>
      <c r="C36" s="15">
        <v>0.67</v>
      </c>
      <c r="D36" s="8">
        <v>1</v>
      </c>
      <c r="E36" s="10">
        <v>1</v>
      </c>
      <c r="F36" s="11">
        <v>1.83</v>
      </c>
      <c r="G36" s="12">
        <v>2.83</v>
      </c>
      <c r="H36" s="13">
        <v>2</v>
      </c>
      <c r="I36" s="14">
        <v>6</v>
      </c>
      <c r="J36" s="14" t="s">
        <v>10</v>
      </c>
      <c r="K36" s="5" t="s">
        <v>186</v>
      </c>
      <c r="L36" s="6">
        <v>0.71875</v>
      </c>
      <c r="M36" s="7" t="s">
        <v>187</v>
      </c>
      <c r="N36" s="14" t="s">
        <v>11</v>
      </c>
      <c r="O36" s="14">
        <v>6</v>
      </c>
      <c r="P36" s="13">
        <v>0.67</v>
      </c>
      <c r="Q36" s="12">
        <v>2</v>
      </c>
      <c r="R36" s="11">
        <v>0.67</v>
      </c>
      <c r="S36" s="10">
        <v>1.33</v>
      </c>
      <c r="T36" s="8">
        <v>0.83</v>
      </c>
      <c r="U36" s="9">
        <v>0.33</v>
      </c>
      <c r="V36" s="8">
        <v>0</v>
      </c>
      <c r="W36" s="17"/>
      <c r="X36" s="18">
        <f t="shared" si="30"/>
        <v>1.58</v>
      </c>
      <c r="Y36" s="18">
        <f t="shared" si="31"/>
        <v>0.83499999999999996</v>
      </c>
      <c r="Z36" s="18">
        <f t="shared" si="32"/>
        <v>2.415</v>
      </c>
      <c r="AA36" s="18">
        <f t="shared" si="33"/>
        <v>0.74500000000000011</v>
      </c>
      <c r="AB36" s="24">
        <f t="shared" si="34"/>
        <v>0</v>
      </c>
      <c r="AC36" s="24">
        <f t="shared" si="35"/>
        <v>5</v>
      </c>
      <c r="AD36" s="19">
        <f t="shared" si="36"/>
        <v>0</v>
      </c>
      <c r="AE36" s="19">
        <f t="shared" si="37"/>
        <v>0</v>
      </c>
      <c r="AF36" s="19">
        <f t="shared" si="38"/>
        <v>0</v>
      </c>
      <c r="AG36" s="19">
        <f t="shared" si="39"/>
        <v>1</v>
      </c>
      <c r="AH36" s="19">
        <f t="shared" si="40"/>
        <v>1</v>
      </c>
      <c r="AI36" s="19">
        <f t="shared" si="41"/>
        <v>1</v>
      </c>
      <c r="AJ36" s="19">
        <f t="shared" si="42"/>
        <v>1</v>
      </c>
      <c r="AK36" s="19">
        <f t="shared" si="43"/>
        <v>0</v>
      </c>
      <c r="AL36" s="19">
        <f t="shared" si="44"/>
        <v>1</v>
      </c>
    </row>
    <row r="37" spans="1:38" ht="19.8" thickBot="1" x14ac:dyDescent="0.3">
      <c r="A37" s="4" t="s">
        <v>86</v>
      </c>
      <c r="B37" s="8">
        <v>0.83</v>
      </c>
      <c r="C37" s="15">
        <v>0.83</v>
      </c>
      <c r="D37" s="8">
        <v>0.83</v>
      </c>
      <c r="E37" s="10">
        <v>1.17</v>
      </c>
      <c r="F37" s="11">
        <v>3.17</v>
      </c>
      <c r="G37" s="12">
        <v>4.33</v>
      </c>
      <c r="H37" s="13">
        <v>2.67</v>
      </c>
      <c r="I37" s="14">
        <v>6</v>
      </c>
      <c r="J37" s="14" t="s">
        <v>10</v>
      </c>
      <c r="K37" s="5" t="s">
        <v>188</v>
      </c>
      <c r="L37" s="6">
        <v>0.71875</v>
      </c>
      <c r="M37" s="7" t="s">
        <v>189</v>
      </c>
      <c r="N37" s="14" t="s">
        <v>11</v>
      </c>
      <c r="O37" s="14">
        <v>5</v>
      </c>
      <c r="P37" s="13">
        <v>0</v>
      </c>
      <c r="Q37" s="12">
        <v>3.6</v>
      </c>
      <c r="R37" s="11">
        <v>1</v>
      </c>
      <c r="S37" s="10">
        <v>2.6</v>
      </c>
      <c r="T37" s="8">
        <v>0.8</v>
      </c>
      <c r="U37" s="15">
        <v>0.6</v>
      </c>
      <c r="V37" s="8">
        <v>0.6</v>
      </c>
      <c r="W37" s="17"/>
      <c r="X37" s="18">
        <f t="shared" si="30"/>
        <v>2.8849999999999998</v>
      </c>
      <c r="Y37" s="18">
        <f t="shared" si="31"/>
        <v>1.085</v>
      </c>
      <c r="Z37" s="18">
        <f t="shared" si="32"/>
        <v>3.9699999999999998</v>
      </c>
      <c r="AA37" s="18">
        <f t="shared" si="33"/>
        <v>1.7999999999999998</v>
      </c>
      <c r="AB37" s="24">
        <f t="shared" si="34"/>
        <v>1</v>
      </c>
      <c r="AC37" s="24">
        <f t="shared" si="35"/>
        <v>6</v>
      </c>
      <c r="AD37" s="19">
        <f t="shared" si="36"/>
        <v>1</v>
      </c>
      <c r="AE37" s="19">
        <f t="shared" si="37"/>
        <v>1</v>
      </c>
      <c r="AF37" s="19">
        <f t="shared" si="38"/>
        <v>1</v>
      </c>
      <c r="AG37" s="19">
        <f t="shared" si="39"/>
        <v>1</v>
      </c>
      <c r="AH37" s="19">
        <f t="shared" si="40"/>
        <v>1</v>
      </c>
      <c r="AI37" s="19">
        <f t="shared" si="41"/>
        <v>1</v>
      </c>
      <c r="AJ37" s="19">
        <f t="shared" si="42"/>
        <v>1</v>
      </c>
      <c r="AK37" s="19">
        <f t="shared" si="43"/>
        <v>1</v>
      </c>
      <c r="AL37" s="19">
        <f t="shared" si="44"/>
        <v>1</v>
      </c>
    </row>
    <row r="38" spans="1:38" ht="13.8" thickBot="1" x14ac:dyDescent="0.3">
      <c r="A38" s="4" t="s">
        <v>86</v>
      </c>
      <c r="B38" s="8">
        <v>0.71</v>
      </c>
      <c r="C38" s="15">
        <v>0.86</v>
      </c>
      <c r="D38" s="8">
        <v>0.86</v>
      </c>
      <c r="E38" s="10">
        <v>2.71</v>
      </c>
      <c r="F38" s="11">
        <v>1.57</v>
      </c>
      <c r="G38" s="12">
        <v>4.29</v>
      </c>
      <c r="H38" s="13">
        <v>1.29</v>
      </c>
      <c r="I38" s="14">
        <v>7</v>
      </c>
      <c r="J38" s="14" t="s">
        <v>10</v>
      </c>
      <c r="K38" s="5" t="s">
        <v>190</v>
      </c>
      <c r="L38" s="6">
        <v>0.71875</v>
      </c>
      <c r="M38" s="7" t="s">
        <v>191</v>
      </c>
      <c r="N38" s="14" t="s">
        <v>11</v>
      </c>
      <c r="O38" s="14">
        <v>6</v>
      </c>
      <c r="P38" s="13">
        <v>1.33</v>
      </c>
      <c r="Q38" s="12">
        <v>5.17</v>
      </c>
      <c r="R38" s="11">
        <v>2.5</v>
      </c>
      <c r="S38" s="10">
        <v>2.67</v>
      </c>
      <c r="T38" s="8">
        <v>1</v>
      </c>
      <c r="U38" s="15">
        <v>1</v>
      </c>
      <c r="V38" s="8">
        <v>1</v>
      </c>
      <c r="W38" s="17"/>
      <c r="X38" s="18">
        <f t="shared" si="30"/>
        <v>2.12</v>
      </c>
      <c r="Y38" s="18">
        <f t="shared" si="31"/>
        <v>2.605</v>
      </c>
      <c r="Z38" s="18">
        <f t="shared" si="32"/>
        <v>4.7249999999999996</v>
      </c>
      <c r="AA38" s="18">
        <f t="shared" si="33"/>
        <v>0.48499999999999988</v>
      </c>
      <c r="AB38" s="24">
        <f t="shared" si="34"/>
        <v>1</v>
      </c>
      <c r="AC38" s="24">
        <f t="shared" si="35"/>
        <v>4</v>
      </c>
      <c r="AD38" s="19">
        <f t="shared" si="36"/>
        <v>0</v>
      </c>
      <c r="AE38" s="19">
        <f t="shared" si="37"/>
        <v>0</v>
      </c>
      <c r="AF38" s="19">
        <f t="shared" si="38"/>
        <v>1</v>
      </c>
      <c r="AG38" s="19">
        <f t="shared" si="39"/>
        <v>1</v>
      </c>
      <c r="AH38" s="19">
        <f t="shared" si="40"/>
        <v>1</v>
      </c>
      <c r="AI38" s="19">
        <f t="shared" si="41"/>
        <v>0</v>
      </c>
      <c r="AJ38" s="19">
        <f t="shared" si="42"/>
        <v>0</v>
      </c>
      <c r="AK38" s="19">
        <f t="shared" si="43"/>
        <v>1</v>
      </c>
      <c r="AL38" s="19">
        <f t="shared" si="44"/>
        <v>1</v>
      </c>
    </row>
    <row r="39" spans="1:38" ht="19.8" thickBot="1" x14ac:dyDescent="0.3">
      <c r="A39" s="4" t="s">
        <v>86</v>
      </c>
      <c r="B39" s="8">
        <v>0.4</v>
      </c>
      <c r="C39" s="9">
        <v>0.4</v>
      </c>
      <c r="D39" s="8">
        <v>1</v>
      </c>
      <c r="E39" s="10">
        <v>1.8</v>
      </c>
      <c r="F39" s="11">
        <v>2</v>
      </c>
      <c r="G39" s="12">
        <v>3.8</v>
      </c>
      <c r="H39" s="13">
        <v>1.6</v>
      </c>
      <c r="I39" s="14">
        <v>5</v>
      </c>
      <c r="J39" s="14" t="s">
        <v>10</v>
      </c>
      <c r="K39" s="5" t="s">
        <v>192</v>
      </c>
      <c r="L39" s="6">
        <v>0.75</v>
      </c>
      <c r="M39" s="7" t="s">
        <v>193</v>
      </c>
      <c r="N39" s="14" t="s">
        <v>11</v>
      </c>
      <c r="O39" s="14">
        <v>6</v>
      </c>
      <c r="P39" s="13">
        <v>0.67</v>
      </c>
      <c r="Q39" s="12">
        <v>2.83</v>
      </c>
      <c r="R39" s="11">
        <v>0.67</v>
      </c>
      <c r="S39" s="10">
        <v>2.17</v>
      </c>
      <c r="T39" s="8">
        <v>0.67</v>
      </c>
      <c r="U39" s="15">
        <v>0.67</v>
      </c>
      <c r="V39" s="8">
        <v>0.33</v>
      </c>
      <c r="W39" s="17"/>
      <c r="X39" s="18">
        <f t="shared" si="30"/>
        <v>2.085</v>
      </c>
      <c r="Y39" s="18">
        <f t="shared" si="31"/>
        <v>1.2350000000000001</v>
      </c>
      <c r="Z39" s="18">
        <f t="shared" si="32"/>
        <v>3.3200000000000003</v>
      </c>
      <c r="AA39" s="18">
        <f t="shared" si="33"/>
        <v>0.84999999999999987</v>
      </c>
      <c r="AB39" s="24">
        <f t="shared" si="34"/>
        <v>0</v>
      </c>
      <c r="AC39" s="24">
        <f t="shared" si="35"/>
        <v>5</v>
      </c>
      <c r="AD39" s="19">
        <f t="shared" si="36"/>
        <v>0</v>
      </c>
      <c r="AE39" s="19">
        <f t="shared" si="37"/>
        <v>1</v>
      </c>
      <c r="AF39" s="19">
        <f t="shared" si="38"/>
        <v>1</v>
      </c>
      <c r="AG39" s="19">
        <f t="shared" si="39"/>
        <v>1</v>
      </c>
      <c r="AH39" s="19">
        <f t="shared" si="40"/>
        <v>1</v>
      </c>
      <c r="AI39" s="19">
        <f t="shared" si="41"/>
        <v>0</v>
      </c>
      <c r="AJ39" s="19">
        <f t="shared" si="42"/>
        <v>1</v>
      </c>
      <c r="AK39" s="19">
        <f t="shared" si="43"/>
        <v>1</v>
      </c>
      <c r="AL39" s="19">
        <f t="shared" si="44"/>
        <v>1</v>
      </c>
    </row>
    <row r="40" spans="1:38" ht="13.8" thickBot="1" x14ac:dyDescent="0.3">
      <c r="A40" s="4" t="s">
        <v>92</v>
      </c>
      <c r="B40" s="8">
        <v>0.6</v>
      </c>
      <c r="C40" s="15">
        <v>0.8</v>
      </c>
      <c r="D40" s="8">
        <v>0.8</v>
      </c>
      <c r="E40" s="10">
        <v>0.4</v>
      </c>
      <c r="F40" s="11">
        <v>3.2</v>
      </c>
      <c r="G40" s="12">
        <v>3.6</v>
      </c>
      <c r="H40" s="13">
        <v>2.4</v>
      </c>
      <c r="I40" s="14">
        <v>5</v>
      </c>
      <c r="J40" s="14" t="s">
        <v>10</v>
      </c>
      <c r="K40" s="5" t="s">
        <v>194</v>
      </c>
      <c r="L40" s="6">
        <v>0.63541666666666663</v>
      </c>
      <c r="M40" s="7" t="s">
        <v>195</v>
      </c>
      <c r="N40" s="14" t="s">
        <v>11</v>
      </c>
      <c r="O40" s="14">
        <v>6</v>
      </c>
      <c r="P40" s="13">
        <v>0.67</v>
      </c>
      <c r="Q40" s="12">
        <v>3.33</v>
      </c>
      <c r="R40" s="11">
        <v>1</v>
      </c>
      <c r="S40" s="10">
        <v>2.33</v>
      </c>
      <c r="T40" s="8">
        <v>1</v>
      </c>
      <c r="U40" s="15">
        <v>0.67</v>
      </c>
      <c r="V40" s="8">
        <v>0.5</v>
      </c>
      <c r="W40" s="17"/>
      <c r="X40" s="18">
        <f t="shared" si="30"/>
        <v>2.7650000000000001</v>
      </c>
      <c r="Y40" s="18">
        <f t="shared" si="31"/>
        <v>0.7</v>
      </c>
      <c r="Z40" s="18">
        <f t="shared" si="32"/>
        <v>3.4649999999999999</v>
      </c>
      <c r="AA40" s="18">
        <f t="shared" si="33"/>
        <v>2.0650000000000004</v>
      </c>
      <c r="AB40" s="24">
        <f t="shared" si="34"/>
        <v>1</v>
      </c>
      <c r="AC40" s="24">
        <f t="shared" si="35"/>
        <v>6</v>
      </c>
      <c r="AD40" s="19">
        <f t="shared" si="36"/>
        <v>1</v>
      </c>
      <c r="AE40" s="19">
        <f t="shared" si="37"/>
        <v>1</v>
      </c>
      <c r="AF40" s="19">
        <f t="shared" si="38"/>
        <v>1</v>
      </c>
      <c r="AG40" s="19">
        <f t="shared" si="39"/>
        <v>1</v>
      </c>
      <c r="AH40" s="19">
        <f t="shared" si="40"/>
        <v>1</v>
      </c>
      <c r="AI40" s="19">
        <f t="shared" si="41"/>
        <v>1</v>
      </c>
      <c r="AJ40" s="19">
        <f t="shared" si="42"/>
        <v>1</v>
      </c>
      <c r="AK40" s="19">
        <f t="shared" si="43"/>
        <v>1</v>
      </c>
      <c r="AL40" s="19">
        <f t="shared" si="44"/>
        <v>1</v>
      </c>
    </row>
    <row r="41" spans="1:38" ht="19.8" thickBot="1" x14ac:dyDescent="0.3">
      <c r="A41" s="4" t="s">
        <v>196</v>
      </c>
      <c r="B41" s="8">
        <v>0.2</v>
      </c>
      <c r="C41" s="15">
        <v>0.8</v>
      </c>
      <c r="D41" s="8">
        <v>0.8</v>
      </c>
      <c r="E41" s="10">
        <v>1</v>
      </c>
      <c r="F41" s="11">
        <v>2.2000000000000002</v>
      </c>
      <c r="G41" s="12">
        <v>3.2</v>
      </c>
      <c r="H41" s="13">
        <v>1.8</v>
      </c>
      <c r="I41" s="14">
        <v>5</v>
      </c>
      <c r="J41" s="14" t="s">
        <v>10</v>
      </c>
      <c r="K41" s="5" t="s">
        <v>197</v>
      </c>
      <c r="L41" s="6">
        <v>0.33333333333333331</v>
      </c>
      <c r="M41" s="7" t="s">
        <v>198</v>
      </c>
      <c r="N41" s="14" t="s">
        <v>11</v>
      </c>
      <c r="O41" s="14">
        <v>5</v>
      </c>
      <c r="P41" s="13">
        <v>2.4</v>
      </c>
      <c r="Q41" s="12">
        <v>1.8</v>
      </c>
      <c r="R41" s="11">
        <v>1.4</v>
      </c>
      <c r="S41" s="10">
        <v>0.4</v>
      </c>
      <c r="T41" s="8">
        <v>0.4</v>
      </c>
      <c r="U41" s="9">
        <v>0.2</v>
      </c>
      <c r="V41" s="8">
        <v>0.2</v>
      </c>
      <c r="W41" s="17"/>
      <c r="X41" s="18">
        <f t="shared" si="30"/>
        <v>1.3</v>
      </c>
      <c r="Y41" s="18">
        <f t="shared" si="31"/>
        <v>1.2</v>
      </c>
      <c r="Z41" s="18">
        <f t="shared" si="32"/>
        <v>2.5</v>
      </c>
      <c r="AA41" s="18">
        <f t="shared" si="33"/>
        <v>0.10000000000000009</v>
      </c>
      <c r="AB41" s="24">
        <f t="shared" si="34"/>
        <v>0</v>
      </c>
      <c r="AC41" s="24">
        <f t="shared" si="35"/>
        <v>2</v>
      </c>
      <c r="AD41" s="19">
        <f t="shared" si="36"/>
        <v>0</v>
      </c>
      <c r="AE41" s="19">
        <f t="shared" si="37"/>
        <v>0</v>
      </c>
      <c r="AF41" s="19">
        <f t="shared" si="38"/>
        <v>0</v>
      </c>
      <c r="AG41" s="19">
        <f t="shared" si="39"/>
        <v>0</v>
      </c>
      <c r="AH41" s="19">
        <f t="shared" si="40"/>
        <v>0</v>
      </c>
      <c r="AI41" s="19">
        <f t="shared" si="41"/>
        <v>1</v>
      </c>
      <c r="AJ41" s="19">
        <f t="shared" si="42"/>
        <v>0</v>
      </c>
      <c r="AK41" s="19">
        <f t="shared" si="43"/>
        <v>0</v>
      </c>
      <c r="AL41" s="19">
        <f t="shared" si="44"/>
        <v>1</v>
      </c>
    </row>
    <row r="42" spans="1:38" ht="19.8" thickBot="1" x14ac:dyDescent="0.3">
      <c r="A42" s="4" t="s">
        <v>199</v>
      </c>
      <c r="B42" s="8">
        <v>0.2</v>
      </c>
      <c r="C42" s="9">
        <v>0.4</v>
      </c>
      <c r="D42" s="8">
        <v>0.8</v>
      </c>
      <c r="E42" s="10">
        <v>1.6</v>
      </c>
      <c r="F42" s="11">
        <v>0.8</v>
      </c>
      <c r="G42" s="12">
        <v>2.4</v>
      </c>
      <c r="H42" s="13">
        <v>0.4</v>
      </c>
      <c r="I42" s="14">
        <v>5</v>
      </c>
      <c r="J42" s="14" t="s">
        <v>10</v>
      </c>
      <c r="K42" s="5" t="s">
        <v>200</v>
      </c>
      <c r="L42" s="6">
        <v>0.625</v>
      </c>
      <c r="M42" s="7" t="s">
        <v>201</v>
      </c>
      <c r="N42" s="14" t="s">
        <v>11</v>
      </c>
      <c r="O42" s="14">
        <v>7</v>
      </c>
      <c r="P42" s="13">
        <v>1.57</v>
      </c>
      <c r="Q42" s="12">
        <v>3.29</v>
      </c>
      <c r="R42" s="11">
        <v>1.57</v>
      </c>
      <c r="S42" s="10">
        <v>1.71</v>
      </c>
      <c r="T42" s="8">
        <v>1</v>
      </c>
      <c r="U42" s="15">
        <v>0.86</v>
      </c>
      <c r="V42" s="8">
        <v>0.43</v>
      </c>
      <c r="W42" s="17"/>
      <c r="X42" s="18">
        <f t="shared" si="30"/>
        <v>1.2549999999999999</v>
      </c>
      <c r="Y42" s="18">
        <f t="shared" si="31"/>
        <v>1.585</v>
      </c>
      <c r="Z42" s="18">
        <f t="shared" si="32"/>
        <v>2.84</v>
      </c>
      <c r="AA42" s="18">
        <f t="shared" si="33"/>
        <v>0.33000000000000007</v>
      </c>
      <c r="AB42" s="24">
        <f t="shared" si="34"/>
        <v>0</v>
      </c>
      <c r="AC42" s="24">
        <f t="shared" si="35"/>
        <v>5</v>
      </c>
      <c r="AD42" s="19">
        <f t="shared" si="36"/>
        <v>0</v>
      </c>
      <c r="AE42" s="19">
        <f t="shared" si="37"/>
        <v>1</v>
      </c>
      <c r="AF42" s="19">
        <f t="shared" si="38"/>
        <v>1</v>
      </c>
      <c r="AG42" s="19">
        <f t="shared" si="39"/>
        <v>1</v>
      </c>
      <c r="AH42" s="19">
        <f t="shared" si="40"/>
        <v>1</v>
      </c>
      <c r="AI42" s="19">
        <f t="shared" si="41"/>
        <v>0</v>
      </c>
      <c r="AJ42" s="19">
        <f t="shared" si="42"/>
        <v>1</v>
      </c>
      <c r="AK42" s="19">
        <f t="shared" si="43"/>
        <v>1</v>
      </c>
      <c r="AL42" s="19">
        <f t="shared" si="44"/>
        <v>1</v>
      </c>
    </row>
    <row r="43" spans="1:38" ht="13.8" thickBot="1" x14ac:dyDescent="0.3">
      <c r="A43" s="4" t="s">
        <v>199</v>
      </c>
      <c r="B43" s="8">
        <v>0</v>
      </c>
      <c r="C43" s="9">
        <v>0.4</v>
      </c>
      <c r="D43" s="8">
        <v>0.8</v>
      </c>
      <c r="E43" s="10">
        <v>1</v>
      </c>
      <c r="F43" s="11">
        <v>1.2</v>
      </c>
      <c r="G43" s="12">
        <v>2.2000000000000002</v>
      </c>
      <c r="H43" s="13">
        <v>1.2</v>
      </c>
      <c r="I43" s="14">
        <v>5</v>
      </c>
      <c r="J43" s="14" t="s">
        <v>10</v>
      </c>
      <c r="K43" s="5" t="s">
        <v>202</v>
      </c>
      <c r="L43" s="6">
        <v>0.625</v>
      </c>
      <c r="M43" s="7" t="s">
        <v>203</v>
      </c>
      <c r="N43" s="14" t="s">
        <v>11</v>
      </c>
      <c r="O43" s="14">
        <v>6</v>
      </c>
      <c r="P43" s="13">
        <v>2</v>
      </c>
      <c r="Q43" s="12">
        <v>3.5</v>
      </c>
      <c r="R43" s="11">
        <v>1.67</v>
      </c>
      <c r="S43" s="10">
        <v>1.83</v>
      </c>
      <c r="T43" s="8">
        <v>0.83</v>
      </c>
      <c r="U43" s="15">
        <v>0.83</v>
      </c>
      <c r="V43" s="8">
        <v>0.5</v>
      </c>
      <c r="W43" s="17"/>
      <c r="X43" s="18">
        <f t="shared" si="30"/>
        <v>1.5150000000000001</v>
      </c>
      <c r="Y43" s="18">
        <f t="shared" si="31"/>
        <v>1.335</v>
      </c>
      <c r="Z43" s="18">
        <f t="shared" si="32"/>
        <v>2.85</v>
      </c>
      <c r="AA43" s="18">
        <f t="shared" si="33"/>
        <v>0.18000000000000016</v>
      </c>
      <c r="AB43" s="24">
        <f t="shared" si="34"/>
        <v>0</v>
      </c>
      <c r="AC43" s="24">
        <f t="shared" si="35"/>
        <v>3</v>
      </c>
      <c r="AD43" s="19">
        <f t="shared" si="36"/>
        <v>0</v>
      </c>
      <c r="AE43" s="19">
        <f t="shared" si="37"/>
        <v>1</v>
      </c>
      <c r="AF43" s="19">
        <f t="shared" si="38"/>
        <v>1</v>
      </c>
      <c r="AG43" s="19">
        <f t="shared" si="39"/>
        <v>0</v>
      </c>
      <c r="AH43" s="19">
        <f t="shared" si="40"/>
        <v>1</v>
      </c>
      <c r="AI43" s="19">
        <f t="shared" si="41"/>
        <v>0</v>
      </c>
      <c r="AJ43" s="19">
        <f t="shared" si="42"/>
        <v>1</v>
      </c>
      <c r="AK43" s="19">
        <f t="shared" si="43"/>
        <v>0</v>
      </c>
      <c r="AL43" s="19">
        <f t="shared" si="44"/>
        <v>1</v>
      </c>
    </row>
    <row r="44" spans="1:38" ht="13.8" thickBot="1" x14ac:dyDescent="0.3">
      <c r="A44" s="4" t="s">
        <v>204</v>
      </c>
      <c r="B44" s="8">
        <v>0</v>
      </c>
      <c r="C44" s="9">
        <v>0.5</v>
      </c>
      <c r="D44" s="8">
        <v>0.5</v>
      </c>
      <c r="E44" s="10">
        <v>1</v>
      </c>
      <c r="F44" s="11">
        <v>0.5</v>
      </c>
      <c r="G44" s="12">
        <v>1.5</v>
      </c>
      <c r="H44" s="13">
        <v>0.5</v>
      </c>
      <c r="I44" s="14">
        <v>2</v>
      </c>
      <c r="J44" s="14" t="s">
        <v>10</v>
      </c>
      <c r="K44" s="5" t="s">
        <v>205</v>
      </c>
      <c r="L44" s="6">
        <v>0.66666666666666663</v>
      </c>
      <c r="M44" s="7" t="s">
        <v>206</v>
      </c>
      <c r="N44" s="14" t="s">
        <v>11</v>
      </c>
      <c r="O44" s="14">
        <v>2</v>
      </c>
      <c r="P44" s="13">
        <v>0.5</v>
      </c>
      <c r="Q44" s="12">
        <v>2.5</v>
      </c>
      <c r="R44" s="11">
        <v>1</v>
      </c>
      <c r="S44" s="10">
        <v>1.5</v>
      </c>
      <c r="T44" s="8">
        <v>1</v>
      </c>
      <c r="U44" s="9">
        <v>0.5</v>
      </c>
      <c r="V44" s="8">
        <v>0</v>
      </c>
      <c r="W44" s="17"/>
      <c r="X44" s="18">
        <f t="shared" si="30"/>
        <v>1</v>
      </c>
      <c r="Y44" s="18">
        <f t="shared" si="31"/>
        <v>1</v>
      </c>
      <c r="Z44" s="18">
        <f t="shared" si="32"/>
        <v>2</v>
      </c>
      <c r="AA44" s="18">
        <f t="shared" si="33"/>
        <v>0</v>
      </c>
      <c r="AB44" s="24">
        <f t="shared" si="34"/>
        <v>0</v>
      </c>
      <c r="AC44" s="24">
        <f t="shared" si="35"/>
        <v>3</v>
      </c>
      <c r="AD44" s="19">
        <f t="shared" si="36"/>
        <v>0</v>
      </c>
      <c r="AE44" s="19">
        <f t="shared" si="37"/>
        <v>0</v>
      </c>
      <c r="AF44" s="19">
        <f t="shared" si="38"/>
        <v>0</v>
      </c>
      <c r="AG44" s="19">
        <f t="shared" si="39"/>
        <v>1</v>
      </c>
      <c r="AH44" s="19">
        <f t="shared" si="40"/>
        <v>0</v>
      </c>
      <c r="AI44" s="19">
        <f t="shared" si="41"/>
        <v>0</v>
      </c>
      <c r="AJ44" s="19">
        <f t="shared" si="42"/>
        <v>1</v>
      </c>
      <c r="AK44" s="19">
        <f t="shared" si="43"/>
        <v>0</v>
      </c>
      <c r="AL44" s="19">
        <f t="shared" si="44"/>
        <v>1</v>
      </c>
    </row>
    <row r="45" spans="1:38" ht="13.8" thickBot="1" x14ac:dyDescent="0.3">
      <c r="A45" s="4" t="s">
        <v>204</v>
      </c>
      <c r="B45" s="8">
        <v>0</v>
      </c>
      <c r="C45" s="9">
        <v>0.5</v>
      </c>
      <c r="D45" s="8">
        <v>0.5</v>
      </c>
      <c r="E45" s="10">
        <v>0.5</v>
      </c>
      <c r="F45" s="11">
        <v>1.5</v>
      </c>
      <c r="G45" s="12">
        <v>2</v>
      </c>
      <c r="H45" s="13">
        <v>3</v>
      </c>
      <c r="I45" s="14">
        <v>2</v>
      </c>
      <c r="J45" s="14" t="s">
        <v>10</v>
      </c>
      <c r="K45" s="5" t="s">
        <v>207</v>
      </c>
      <c r="L45" s="6">
        <v>0.85416666666666663</v>
      </c>
      <c r="M45" s="7" t="s">
        <v>208</v>
      </c>
      <c r="N45" s="14" t="s">
        <v>11</v>
      </c>
      <c r="O45" s="14">
        <v>2</v>
      </c>
      <c r="P45" s="13">
        <v>2</v>
      </c>
      <c r="Q45" s="12">
        <v>3.5</v>
      </c>
      <c r="R45" s="11">
        <v>2.5</v>
      </c>
      <c r="S45" s="10">
        <v>1</v>
      </c>
      <c r="T45" s="8">
        <v>0.5</v>
      </c>
      <c r="U45" s="9">
        <v>0.5</v>
      </c>
      <c r="V45" s="8">
        <v>0.5</v>
      </c>
      <c r="W45" s="17"/>
      <c r="X45" s="18">
        <f t="shared" si="30"/>
        <v>1.25</v>
      </c>
      <c r="Y45" s="18">
        <f t="shared" si="31"/>
        <v>1.5</v>
      </c>
      <c r="Z45" s="18">
        <f t="shared" si="32"/>
        <v>2.75</v>
      </c>
      <c r="AA45" s="18">
        <f t="shared" si="33"/>
        <v>0.25</v>
      </c>
      <c r="AB45" s="24">
        <f t="shared" si="34"/>
        <v>0</v>
      </c>
      <c r="AC45" s="24">
        <f t="shared" si="35"/>
        <v>3</v>
      </c>
      <c r="AD45" s="19">
        <f t="shared" si="36"/>
        <v>0</v>
      </c>
      <c r="AE45" s="19">
        <f t="shared" si="37"/>
        <v>0</v>
      </c>
      <c r="AF45" s="19">
        <f t="shared" si="38"/>
        <v>0</v>
      </c>
      <c r="AG45" s="19">
        <f t="shared" si="39"/>
        <v>0</v>
      </c>
      <c r="AH45" s="19">
        <f t="shared" si="40"/>
        <v>1</v>
      </c>
      <c r="AI45" s="19">
        <f t="shared" si="41"/>
        <v>1</v>
      </c>
      <c r="AJ45" s="19">
        <f t="shared" si="42"/>
        <v>0</v>
      </c>
      <c r="AK45" s="19">
        <f t="shared" si="43"/>
        <v>0</v>
      </c>
      <c r="AL45" s="19">
        <f t="shared" si="44"/>
        <v>1</v>
      </c>
    </row>
    <row r="46" spans="1:38" ht="13.8" thickBot="1" x14ac:dyDescent="0.3">
      <c r="A46" s="4" t="s">
        <v>93</v>
      </c>
      <c r="B46" s="8">
        <v>0.38</v>
      </c>
      <c r="C46" s="15">
        <v>0.75</v>
      </c>
      <c r="D46" s="8">
        <v>0.75</v>
      </c>
      <c r="E46" s="10">
        <v>1.1299999999999999</v>
      </c>
      <c r="F46" s="11">
        <v>2</v>
      </c>
      <c r="G46" s="12">
        <v>3.13</v>
      </c>
      <c r="H46" s="13">
        <v>1.88</v>
      </c>
      <c r="I46" s="14">
        <v>8</v>
      </c>
      <c r="J46" s="14" t="s">
        <v>10</v>
      </c>
      <c r="K46" s="5" t="s">
        <v>209</v>
      </c>
      <c r="L46" s="6">
        <v>0.9375</v>
      </c>
      <c r="M46" s="7" t="s">
        <v>89</v>
      </c>
      <c r="N46" s="14" t="s">
        <v>11</v>
      </c>
      <c r="O46" s="14">
        <v>6</v>
      </c>
      <c r="P46" s="13">
        <v>1.83</v>
      </c>
      <c r="Q46" s="12">
        <v>3.5</v>
      </c>
      <c r="R46" s="11">
        <v>2.17</v>
      </c>
      <c r="S46" s="10">
        <v>1.33</v>
      </c>
      <c r="T46" s="8">
        <v>0.83</v>
      </c>
      <c r="U46" s="9">
        <v>0.5</v>
      </c>
      <c r="V46" s="8">
        <v>0.5</v>
      </c>
      <c r="W46" s="17"/>
      <c r="X46" s="18">
        <f t="shared" si="30"/>
        <v>1.665</v>
      </c>
      <c r="Y46" s="18">
        <f t="shared" si="31"/>
        <v>1.65</v>
      </c>
      <c r="Z46" s="18">
        <f t="shared" si="32"/>
        <v>3.3149999999999999</v>
      </c>
      <c r="AA46" s="18">
        <f t="shared" si="33"/>
        <v>1.5000000000000124E-2</v>
      </c>
      <c r="AB46" s="24">
        <f t="shared" si="34"/>
        <v>1</v>
      </c>
      <c r="AC46" s="24">
        <f t="shared" si="35"/>
        <v>3</v>
      </c>
      <c r="AD46" s="19">
        <f t="shared" si="36"/>
        <v>0</v>
      </c>
      <c r="AE46" s="19">
        <f t="shared" si="37"/>
        <v>1</v>
      </c>
      <c r="AF46" s="19">
        <f t="shared" si="38"/>
        <v>1</v>
      </c>
      <c r="AG46" s="19">
        <f t="shared" si="39"/>
        <v>0</v>
      </c>
      <c r="AH46" s="19">
        <f t="shared" si="40"/>
        <v>1</v>
      </c>
      <c r="AI46" s="19">
        <f t="shared" si="41"/>
        <v>1</v>
      </c>
      <c r="AJ46" s="19">
        <f t="shared" si="42"/>
        <v>0</v>
      </c>
      <c r="AK46" s="19">
        <f t="shared" si="43"/>
        <v>0</v>
      </c>
      <c r="AL46" s="19">
        <f t="shared" si="44"/>
        <v>1</v>
      </c>
    </row>
    <row r="47" spans="1:38" ht="13.8" thickBot="1" x14ac:dyDescent="0.3">
      <c r="A47" s="4" t="s">
        <v>93</v>
      </c>
      <c r="B47" s="8">
        <v>0.33</v>
      </c>
      <c r="C47" s="15">
        <v>0.67</v>
      </c>
      <c r="D47" s="8">
        <v>0.83</v>
      </c>
      <c r="E47" s="10">
        <v>1.17</v>
      </c>
      <c r="F47" s="11">
        <v>1.83</v>
      </c>
      <c r="G47" s="12">
        <v>3</v>
      </c>
      <c r="H47" s="13">
        <v>1.67</v>
      </c>
      <c r="I47" s="14">
        <v>6</v>
      </c>
      <c r="J47" s="14" t="s">
        <v>10</v>
      </c>
      <c r="K47" s="5" t="s">
        <v>210</v>
      </c>
      <c r="L47" s="6">
        <v>0.9375</v>
      </c>
      <c r="M47" s="7" t="s">
        <v>211</v>
      </c>
      <c r="N47" s="14" t="s">
        <v>11</v>
      </c>
      <c r="O47" s="14">
        <v>7</v>
      </c>
      <c r="P47" s="13">
        <v>0.86</v>
      </c>
      <c r="Q47" s="12">
        <v>3.86</v>
      </c>
      <c r="R47" s="11">
        <v>0.71</v>
      </c>
      <c r="S47" s="10">
        <v>3.14</v>
      </c>
      <c r="T47" s="8">
        <v>1</v>
      </c>
      <c r="U47" s="15">
        <v>1</v>
      </c>
      <c r="V47" s="8">
        <v>0.43</v>
      </c>
      <c r="W47" s="17"/>
      <c r="X47" s="18">
        <f t="shared" si="30"/>
        <v>2.4850000000000003</v>
      </c>
      <c r="Y47" s="18">
        <f t="shared" si="31"/>
        <v>0.94</v>
      </c>
      <c r="Z47" s="18">
        <f t="shared" si="32"/>
        <v>3.4250000000000003</v>
      </c>
      <c r="AA47" s="18">
        <f t="shared" si="33"/>
        <v>1.5450000000000004</v>
      </c>
      <c r="AB47" s="24">
        <f t="shared" si="34"/>
        <v>1</v>
      </c>
      <c r="AC47" s="24">
        <f t="shared" si="35"/>
        <v>6</v>
      </c>
      <c r="AD47" s="19">
        <f t="shared" si="36"/>
        <v>1</v>
      </c>
      <c r="AE47" s="19">
        <f t="shared" si="37"/>
        <v>1</v>
      </c>
      <c r="AF47" s="19">
        <f t="shared" si="38"/>
        <v>1</v>
      </c>
      <c r="AG47" s="19">
        <f t="shared" si="39"/>
        <v>1</v>
      </c>
      <c r="AH47" s="19">
        <f t="shared" si="40"/>
        <v>1</v>
      </c>
      <c r="AI47" s="19">
        <f t="shared" si="41"/>
        <v>1</v>
      </c>
      <c r="AJ47" s="19">
        <f t="shared" si="42"/>
        <v>1</v>
      </c>
      <c r="AK47" s="19">
        <f t="shared" si="43"/>
        <v>1</v>
      </c>
      <c r="AL47" s="19">
        <f t="shared" si="44"/>
        <v>1</v>
      </c>
    </row>
    <row r="48" spans="1:38" ht="13.8" thickBot="1" x14ac:dyDescent="0.3">
      <c r="A48" s="4" t="s">
        <v>93</v>
      </c>
      <c r="B48" s="8">
        <v>0.33</v>
      </c>
      <c r="C48" s="9">
        <v>0.5</v>
      </c>
      <c r="D48" s="8">
        <v>1</v>
      </c>
      <c r="E48" s="10">
        <v>1.17</v>
      </c>
      <c r="F48" s="11">
        <v>2</v>
      </c>
      <c r="G48" s="12">
        <v>3.17</v>
      </c>
      <c r="H48" s="13">
        <v>2.17</v>
      </c>
      <c r="I48" s="14">
        <v>6</v>
      </c>
      <c r="J48" s="14" t="s">
        <v>10</v>
      </c>
      <c r="K48" s="5" t="s">
        <v>212</v>
      </c>
      <c r="L48" s="6">
        <v>2.0833333333333332E-2</v>
      </c>
      <c r="M48" s="7" t="s">
        <v>213</v>
      </c>
      <c r="N48" s="14" t="s">
        <v>11</v>
      </c>
      <c r="O48" s="14">
        <v>8</v>
      </c>
      <c r="P48" s="13">
        <v>0.5</v>
      </c>
      <c r="Q48" s="12">
        <v>3.13</v>
      </c>
      <c r="R48" s="11">
        <v>1</v>
      </c>
      <c r="S48" s="10">
        <v>2.13</v>
      </c>
      <c r="T48" s="8">
        <v>1</v>
      </c>
      <c r="U48" s="9">
        <v>0.5</v>
      </c>
      <c r="V48" s="8">
        <v>0.38</v>
      </c>
      <c r="W48" s="17"/>
      <c r="X48" s="18">
        <f t="shared" si="30"/>
        <v>2.0649999999999999</v>
      </c>
      <c r="Y48" s="18">
        <f t="shared" si="31"/>
        <v>1.085</v>
      </c>
      <c r="Z48" s="18">
        <f t="shared" si="32"/>
        <v>3.15</v>
      </c>
      <c r="AA48" s="18">
        <f t="shared" si="33"/>
        <v>0.98</v>
      </c>
      <c r="AB48" s="24">
        <f t="shared" si="34"/>
        <v>1</v>
      </c>
      <c r="AC48" s="24">
        <f t="shared" si="35"/>
        <v>6</v>
      </c>
      <c r="AD48" s="19">
        <f t="shared" si="36"/>
        <v>1</v>
      </c>
      <c r="AE48" s="19">
        <f t="shared" si="37"/>
        <v>1</v>
      </c>
      <c r="AF48" s="19">
        <f t="shared" si="38"/>
        <v>1</v>
      </c>
      <c r="AG48" s="19">
        <f t="shared" si="39"/>
        <v>1</v>
      </c>
      <c r="AH48" s="19">
        <f t="shared" si="40"/>
        <v>1</v>
      </c>
      <c r="AI48" s="19">
        <f t="shared" si="41"/>
        <v>1</v>
      </c>
      <c r="AJ48" s="19">
        <f t="shared" si="42"/>
        <v>1</v>
      </c>
      <c r="AK48" s="19">
        <f t="shared" si="43"/>
        <v>1</v>
      </c>
      <c r="AL48" s="19">
        <f t="shared" si="44"/>
        <v>1</v>
      </c>
    </row>
  </sheetData>
  <autoFilter ref="A1:AF48"/>
  <hyperlinks>
    <hyperlink ref="A2" r:id="rId1" display="https://www.soccerstats.com/latest.asp?league=argentina3"/>
    <hyperlink ref="A3" r:id="rId2" display="https://www.soccerstats.com/latest.asp?league=argentina3"/>
    <hyperlink ref="A4" r:id="rId3" display="https://www.soccerstats.com/latest.asp?league=argentina3"/>
    <hyperlink ref="A5" r:id="rId4" display="https://www.soccerstats.com/latest.asp?league=argentina3"/>
    <hyperlink ref="A6" r:id="rId5" display="https://www.soccerstats.com/latest.asp?league=argentina3"/>
    <hyperlink ref="A7" r:id="rId6" display="https://www.soccerstats.com/latest.asp?league=australia3"/>
    <hyperlink ref="A8" r:id="rId7" display="https://www.soccerstats.com/latest.asp?league=australia3"/>
    <hyperlink ref="A9" r:id="rId8" display="https://www.soccerstats.com/latest.asp?league=australia5"/>
    <hyperlink ref="A10" r:id="rId9" display="https://www.soccerstats.com/latest.asp?league=australia5"/>
    <hyperlink ref="A11" r:id="rId10" display="https://www.soccerstats.com/latest.asp?league=australia6"/>
    <hyperlink ref="A12" r:id="rId11" display="https://www.soccerstats.com/latest.asp?league=australia6"/>
    <hyperlink ref="A13" r:id="rId12" display="https://www.soccerstats.com/latest.asp?league=australia11"/>
    <hyperlink ref="A14" r:id="rId13" display="https://www.soccerstats.com/latest.asp?league=brazil"/>
    <hyperlink ref="A15" r:id="rId14" display="https://www.soccerstats.com/latest.asp?league=brazil"/>
    <hyperlink ref="A16" r:id="rId15" display="https://www.soccerstats.com/latest.asp?league=brazil"/>
    <hyperlink ref="A17" r:id="rId16" display="https://www.soccerstats.com/latest.asp?league=brazil2"/>
    <hyperlink ref="A18" r:id="rId17" display="https://www.soccerstats.com/latest.asp?league=brazil2"/>
    <hyperlink ref="A19" r:id="rId18" display="https://www.soccerstats.com/latest.asp?league=brazil2"/>
    <hyperlink ref="A20" r:id="rId19" display="https://www.soccerstats.com/latest.asp?league=canada"/>
    <hyperlink ref="A21" r:id="rId20" display="https://www.soccerstats.com/latest.asp?league=canada"/>
    <hyperlink ref="A22" r:id="rId21" display="https://www.soccerstats.com/latest.asp?league=china"/>
    <hyperlink ref="A23" r:id="rId22" display="https://www.soccerstats.com/latest.asp?league=china"/>
    <hyperlink ref="A24" r:id="rId23" display="https://www.soccerstats.com/latest.asp?league=china"/>
    <hyperlink ref="A25" r:id="rId24" display="https://www.soccerstats.com/latest.asp?league=china"/>
    <hyperlink ref="A26" r:id="rId25" display="https://www.soccerstats.com/latest.asp?league=china2"/>
    <hyperlink ref="A27" r:id="rId26" display="https://www.soccerstats.com/latest.asp?league=china2"/>
    <hyperlink ref="A28" r:id="rId27" display="https://www.soccerstats.com/latest.asp?league=china2"/>
    <hyperlink ref="A29" r:id="rId28" display="https://www.soccerstats.com/latest.asp?league=china2"/>
    <hyperlink ref="A30" r:id="rId29" display="https://www.soccerstats.com/latest.asp?league=ecuador"/>
    <hyperlink ref="A31" r:id="rId30" display="https://www.soccerstats.com/latest.asp?league=estonia"/>
    <hyperlink ref="A32" r:id="rId31" display="https://www.soccerstats.com/latest.asp?league=finland2"/>
    <hyperlink ref="A33" r:id="rId32" display="https://www.soccerstats.com/latest.asp?league=finland2"/>
    <hyperlink ref="A34" r:id="rId33" display="https://www.soccerstats.com/latest.asp?league=finland5"/>
    <hyperlink ref="A35" r:id="rId34" display="https://www.soccerstats.com/latest.asp?league=finland6"/>
    <hyperlink ref="A36" r:id="rId35" display="https://www.soccerstats.com/latest.asp?league=iceland2"/>
    <hyperlink ref="A37" r:id="rId36" display="https://www.soccerstats.com/latest.asp?league=iceland3"/>
    <hyperlink ref="A38" r:id="rId37" display="https://www.soccerstats.com/latest.asp?league=iceland3"/>
    <hyperlink ref="A39" r:id="rId38" display="https://www.soccerstats.com/latest.asp?league=iceland3"/>
    <hyperlink ref="A40" r:id="rId39" display="https://www.soccerstats.com/latest.asp?league=norway"/>
    <hyperlink ref="A41" r:id="rId40" display="https://www.soccerstats.com/latest.asp?league=southkorea4"/>
    <hyperlink ref="A42" r:id="rId41" display="https://www.soccerstats.com/latest.asp?league=sweden"/>
    <hyperlink ref="A43" r:id="rId42" display="https://www.soccerstats.com/latest.asp?league=sweden"/>
    <hyperlink ref="A44" r:id="rId43" display="https://www.soccerstats.com/latest.asp?league=uruguay2"/>
    <hyperlink ref="A45" r:id="rId44" display="https://www.soccerstats.com/latest.asp?league=uruguay2"/>
    <hyperlink ref="A46" r:id="rId45" display="https://www.soccerstats.com/latest.asp?league=usa"/>
    <hyperlink ref="A47" r:id="rId46" display="https://www.soccerstats.com/latest.asp?league=usa"/>
    <hyperlink ref="A48" r:id="rId47" display="https://www.soccerstats.com/latest.asp?league=usa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/>
  <dimension ref="B2:F30"/>
  <sheetViews>
    <sheetView showGridLines="0" zoomScale="80" zoomScaleNormal="80" workbookViewId="0">
      <selection activeCell="C23" sqref="C23"/>
    </sheetView>
  </sheetViews>
  <sheetFormatPr defaultColWidth="9" defaultRowHeight="15" customHeight="1" x14ac:dyDescent="0.25"/>
  <cols>
    <col min="1" max="1" width="9" style="26"/>
    <col min="2" max="2" width="25.44140625" style="26" bestFit="1" customWidth="1"/>
    <col min="3" max="3" width="9.5546875" style="26" bestFit="1" customWidth="1"/>
    <col min="4" max="4" width="14.109375" style="26" bestFit="1" customWidth="1"/>
    <col min="5" max="5" width="9.6640625" style="26" bestFit="1" customWidth="1"/>
    <col min="6" max="6" width="8.33203125" style="26" bestFit="1" customWidth="1"/>
    <col min="7" max="16384" width="9" style="26"/>
  </cols>
  <sheetData>
    <row r="2" spans="2:6" ht="15" customHeight="1" x14ac:dyDescent="0.25">
      <c r="B2" s="25"/>
      <c r="C2" s="28" t="s">
        <v>32</v>
      </c>
      <c r="D2" s="28" t="s">
        <v>26</v>
      </c>
      <c r="E2" s="28" t="s">
        <v>27</v>
      </c>
      <c r="F2" s="28" t="s">
        <v>28</v>
      </c>
    </row>
    <row r="3" spans="2:6" ht="15" customHeight="1" x14ac:dyDescent="0.25">
      <c r="B3" s="28" t="s">
        <v>214</v>
      </c>
      <c r="C3" s="29">
        <v>2.92</v>
      </c>
      <c r="D3" s="34">
        <v>1.5</v>
      </c>
      <c r="E3" s="34">
        <v>1.25</v>
      </c>
      <c r="F3" s="30">
        <v>0.63</v>
      </c>
    </row>
    <row r="4" spans="2:6" ht="15" customHeight="1" x14ac:dyDescent="0.25">
      <c r="B4" s="28" t="s">
        <v>211</v>
      </c>
      <c r="C4" s="29">
        <v>2.44</v>
      </c>
      <c r="D4" s="34">
        <v>2.4300000000000002</v>
      </c>
      <c r="E4" s="34">
        <v>1.43</v>
      </c>
      <c r="F4" s="30">
        <v>0.86</v>
      </c>
    </row>
    <row r="5" spans="2:6" ht="15" customHeight="1" x14ac:dyDescent="0.25">
      <c r="B5" s="28" t="s">
        <v>13</v>
      </c>
      <c r="C5" s="29">
        <v>17</v>
      </c>
      <c r="D5" s="25"/>
      <c r="E5" s="25"/>
      <c r="F5" s="25"/>
    </row>
    <row r="6" spans="2:6" ht="15" customHeight="1" x14ac:dyDescent="0.25">
      <c r="B6" s="28" t="s">
        <v>14</v>
      </c>
      <c r="C6" s="29">
        <v>19</v>
      </c>
      <c r="D6" s="25"/>
      <c r="E6" s="25"/>
      <c r="F6" s="25"/>
    </row>
    <row r="8" spans="2:6" ht="15" customHeight="1" x14ac:dyDescent="0.25">
      <c r="B8" s="28" t="s">
        <v>29</v>
      </c>
      <c r="C8" s="29">
        <f>AVERAGE(D3,E4)</f>
        <v>1.4649999999999999</v>
      </c>
    </row>
    <row r="9" spans="2:6" ht="15" customHeight="1" x14ac:dyDescent="0.25">
      <c r="B9" s="28" t="s">
        <v>16</v>
      </c>
      <c r="C9" s="29">
        <f>AVERAGE(D4,E3)</f>
        <v>1.84</v>
      </c>
    </row>
    <row r="10" spans="2:6" ht="15" customHeight="1" x14ac:dyDescent="0.25">
      <c r="B10" s="28" t="s">
        <v>40</v>
      </c>
      <c r="C10" s="30">
        <f>AVERAGE(F3:F4)</f>
        <v>0.745</v>
      </c>
    </row>
    <row r="11" spans="2:6" ht="15" customHeight="1" x14ac:dyDescent="0.25">
      <c r="B11" s="28" t="s">
        <v>30</v>
      </c>
      <c r="C11" s="29">
        <f>SUM(D3:E3)</f>
        <v>2.75</v>
      </c>
    </row>
    <row r="12" spans="2:6" ht="15" customHeight="1" x14ac:dyDescent="0.25">
      <c r="B12" s="28" t="s">
        <v>31</v>
      </c>
      <c r="C12" s="29">
        <f>SUM(D4:E4)</f>
        <v>3.8600000000000003</v>
      </c>
    </row>
    <row r="13" spans="2:6" ht="15" customHeight="1" x14ac:dyDescent="0.25">
      <c r="B13" s="28" t="s">
        <v>41</v>
      </c>
      <c r="C13" s="29">
        <f>AVERAGE(C11:C12)</f>
        <v>3.3050000000000002</v>
      </c>
    </row>
    <row r="15" spans="2:6" ht="15" customHeight="1" x14ac:dyDescent="0.25">
      <c r="B15" s="28" t="s">
        <v>33</v>
      </c>
      <c r="C15" s="28" t="s">
        <v>34</v>
      </c>
      <c r="D15" s="28" t="s">
        <v>43</v>
      </c>
      <c r="E15" s="27" t="s">
        <v>44</v>
      </c>
    </row>
    <row r="16" spans="2:6" ht="15" customHeight="1" x14ac:dyDescent="0.25">
      <c r="B16" s="28" t="s">
        <v>38</v>
      </c>
      <c r="C16" s="25">
        <f>IF(C3&gt;C4,1,0)</f>
        <v>1</v>
      </c>
      <c r="D16" s="25">
        <f>IF(C3&gt;C4,1,0)</f>
        <v>1</v>
      </c>
      <c r="E16" s="25">
        <f>IF(AND(C4&gt;=6,C4&lt;=30),1,0)</f>
        <v>0</v>
      </c>
    </row>
    <row r="17" spans="2:5" ht="15" customHeight="1" x14ac:dyDescent="0.25">
      <c r="B17" s="28" t="s">
        <v>39</v>
      </c>
      <c r="C17" s="25">
        <f>IF(C6&lt;=30,1,0)</f>
        <v>1</v>
      </c>
      <c r="D17" s="25">
        <f>IF(AND(C5&lt;=18,C5&gt;=10),1,0)</f>
        <v>1</v>
      </c>
    </row>
    <row r="18" spans="2:5" ht="15" customHeight="1" x14ac:dyDescent="0.25">
      <c r="B18" s="28" t="s">
        <v>35</v>
      </c>
      <c r="C18" s="25">
        <f>IF(F3&gt;=0.4,1,0)</f>
        <v>1</v>
      </c>
      <c r="D18" s="25">
        <f>IF(F3&gt;=0.4,1,0)</f>
        <v>1</v>
      </c>
      <c r="E18" s="25">
        <f>IF(F3&gt;=0.4,1,0)</f>
        <v>1</v>
      </c>
    </row>
    <row r="19" spans="2:5" ht="15" customHeight="1" x14ac:dyDescent="0.25">
      <c r="B19" s="28" t="s">
        <v>36</v>
      </c>
      <c r="C19" s="25">
        <f>IF(F4:F4&gt;=0.4,1,0)</f>
        <v>1</v>
      </c>
      <c r="D19" s="25">
        <f>IF(F4&gt;=0.4,1,0)</f>
        <v>1</v>
      </c>
      <c r="E19" s="25">
        <f>IF(F4&gt;=0.4,1,0)</f>
        <v>1</v>
      </c>
    </row>
    <row r="20" spans="2:5" ht="15" customHeight="1" x14ac:dyDescent="0.25">
      <c r="B20" s="28" t="s">
        <v>37</v>
      </c>
      <c r="C20" s="25">
        <f>IF(C10&gt;=0.5,1,0)</f>
        <v>1</v>
      </c>
      <c r="D20" s="25">
        <f>IF(C10&gt;=0.5,1,0)</f>
        <v>1</v>
      </c>
      <c r="E20" s="25">
        <f>IF(C10&gt;=0.5,1,0)</f>
        <v>1</v>
      </c>
    </row>
    <row r="21" spans="2:5" ht="15" customHeight="1" x14ac:dyDescent="0.25">
      <c r="B21" s="28" t="s">
        <v>30</v>
      </c>
      <c r="C21" s="25">
        <f>IF(C11&gt;=2.8,1,0)</f>
        <v>0</v>
      </c>
      <c r="D21" s="25"/>
    </row>
    <row r="22" spans="2:5" ht="15" customHeight="1" x14ac:dyDescent="0.25">
      <c r="B22" s="28" t="s">
        <v>31</v>
      </c>
      <c r="C22" s="25">
        <f>IF(C12&gt;=2.8,1,0)</f>
        <v>1</v>
      </c>
      <c r="D22" s="25"/>
    </row>
    <row r="23" spans="2:5" ht="15" customHeight="1" x14ac:dyDescent="0.25">
      <c r="B23" s="28" t="s">
        <v>41</v>
      </c>
      <c r="C23" s="25">
        <f>IF(C13&gt;=2.8,1,0)</f>
        <v>1</v>
      </c>
      <c r="D23" s="25"/>
    </row>
    <row r="24" spans="2:5" ht="15" customHeight="1" x14ac:dyDescent="0.25">
      <c r="B24" s="28" t="s">
        <v>45</v>
      </c>
      <c r="C24" s="25"/>
      <c r="D24" s="25"/>
      <c r="E24" s="25">
        <f>IF(D3&gt;=1.5,1,0)</f>
        <v>1</v>
      </c>
    </row>
    <row r="25" spans="2:5" ht="15" customHeight="1" x14ac:dyDescent="0.25">
      <c r="B25" s="28" t="s">
        <v>46</v>
      </c>
      <c r="C25" s="25"/>
      <c r="D25" s="25">
        <f>IF(E3&gt;=1,1,0)</f>
        <v>1</v>
      </c>
      <c r="E25" s="25">
        <f>IF(E3&lt;=1.3,1,0)</f>
        <v>1</v>
      </c>
    </row>
    <row r="26" spans="2:5" ht="15" customHeight="1" x14ac:dyDescent="0.25">
      <c r="B26" s="28" t="s">
        <v>47</v>
      </c>
      <c r="C26" s="25"/>
      <c r="D26" s="25">
        <f>IF(D4&gt;=1.5,1,0)</f>
        <v>1</v>
      </c>
      <c r="E26" s="25">
        <f>IF(D4&lt;=1.4,1,0)</f>
        <v>0</v>
      </c>
    </row>
    <row r="27" spans="2:5" ht="15" customHeight="1" x14ac:dyDescent="0.25">
      <c r="B27" s="28" t="s">
        <v>48</v>
      </c>
      <c r="E27" s="25">
        <f>IF(E4&gt;=1.4,1,0)</f>
        <v>1</v>
      </c>
    </row>
    <row r="28" spans="2:5" ht="15" customHeight="1" x14ac:dyDescent="0.25">
      <c r="B28" s="28" t="s">
        <v>49</v>
      </c>
      <c r="E28" s="25">
        <f>IF(D4&lt;=E4,1,0)</f>
        <v>0</v>
      </c>
    </row>
    <row r="29" spans="2:5" ht="15" customHeight="1" thickBot="1" x14ac:dyDescent="0.3"/>
    <row r="30" spans="2:5" ht="15" customHeight="1" thickBot="1" x14ac:dyDescent="0.3">
      <c r="B30" s="31" t="s">
        <v>42</v>
      </c>
      <c r="C30" s="32">
        <f>IF(C16=0,0,SUM(C16:C28))</f>
        <v>7</v>
      </c>
      <c r="D30" s="32">
        <f>IF(D16=0,0,SUM(D16:D26))</f>
        <v>7</v>
      </c>
      <c r="E30" s="33">
        <f>SUM(E16:E28)</f>
        <v>6</v>
      </c>
    </row>
  </sheetData>
  <conditionalFormatting sqref="C30">
    <cfRule type="iconSet" priority="15">
      <iconSet iconSet="3Symbols2" showValue="0">
        <cfvo type="percent" val="0"/>
        <cfvo type="num" val="6"/>
        <cfvo type="num" val="8"/>
      </iconSet>
    </cfRule>
  </conditionalFormatting>
  <conditionalFormatting sqref="D30">
    <cfRule type="iconSet" priority="12">
      <iconSet iconSet="3Symbols2" showValue="0">
        <cfvo type="percent" val="0"/>
        <cfvo type="num" val="5"/>
        <cfvo type="num" val="7"/>
      </iconSet>
    </cfRule>
  </conditionalFormatting>
  <conditionalFormatting sqref="E30">
    <cfRule type="iconSet" priority="1">
      <iconSet iconSet="3Symbols2" showValue="0">
        <cfvo type="percent" val="0"/>
        <cfvo type="num" val="7"/>
        <cfvo type="num" val="9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0895AE32-973C-4D9B-B123-DBB276EA838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C16:C24</xm:sqref>
        </x14:conditionalFormatting>
        <x14:conditionalFormatting xmlns:xm="http://schemas.microsoft.com/office/excel/2006/main">
          <x14:cfRule type="iconSet" priority="14" id="{A9375CF8-9E40-465E-B5E4-45F2BD522D8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D16</xm:sqref>
        </x14:conditionalFormatting>
        <x14:conditionalFormatting xmlns:xm="http://schemas.microsoft.com/office/excel/2006/main">
          <x14:cfRule type="iconSet" priority="13" id="{3F58DB84-A77C-4BB4-BE32-360BD960601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D18:D20</xm:sqref>
        </x14:conditionalFormatting>
        <x14:conditionalFormatting xmlns:xm="http://schemas.microsoft.com/office/excel/2006/main">
          <x14:cfRule type="iconSet" priority="11" id="{AEA07ADE-0AFB-416B-809D-8B12A6AF9F2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D17</xm:sqref>
        </x14:conditionalFormatting>
        <x14:conditionalFormatting xmlns:xm="http://schemas.microsoft.com/office/excel/2006/main">
          <x14:cfRule type="iconSet" priority="10" id="{021D00C7-C522-4A04-AA96-C183B1CC5B7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D25:D26</xm:sqref>
        </x14:conditionalFormatting>
        <x14:conditionalFormatting xmlns:xm="http://schemas.microsoft.com/office/excel/2006/main">
          <x14:cfRule type="iconSet" priority="9" id="{37E102D0-E34D-4137-90EF-753EDC8890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E24</xm:sqref>
        </x14:conditionalFormatting>
        <x14:conditionalFormatting xmlns:xm="http://schemas.microsoft.com/office/excel/2006/main">
          <x14:cfRule type="iconSet" priority="8" id="{A79ABE8A-4F00-4021-B4AE-18E0E923D09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E28</xm:sqref>
        </x14:conditionalFormatting>
        <x14:conditionalFormatting xmlns:xm="http://schemas.microsoft.com/office/excel/2006/main">
          <x14:cfRule type="iconSet" priority="7" id="{7C870E5D-D7DB-4A4C-90C1-564B18CBC6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E25</xm:sqref>
        </x14:conditionalFormatting>
        <x14:conditionalFormatting xmlns:xm="http://schemas.microsoft.com/office/excel/2006/main">
          <x14:cfRule type="iconSet" priority="6" id="{1C26AB64-F5B5-4294-8DB8-8609953347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E26</xm:sqref>
        </x14:conditionalFormatting>
        <x14:conditionalFormatting xmlns:xm="http://schemas.microsoft.com/office/excel/2006/main">
          <x14:cfRule type="iconSet" priority="5" id="{41B97267-3DDE-488D-BDEE-14D29639862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E27</xm:sqref>
        </x14:conditionalFormatting>
        <x14:conditionalFormatting xmlns:xm="http://schemas.microsoft.com/office/excel/2006/main">
          <x14:cfRule type="iconSet" priority="4" id="{6C23D57B-E154-4EFF-8535-0DAE9543D3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3" id="{BDF8CED6-BF44-4D9E-8697-07D8CCB0FE0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2" id="{7AA53F80-C3D8-4A78-8D84-0CAF174784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E18:E19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9"/>
  <sheetViews>
    <sheetView showGridLines="0" zoomScale="80" zoomScaleNormal="80" workbookViewId="0">
      <selection activeCell="G7" sqref="G7"/>
    </sheetView>
  </sheetViews>
  <sheetFormatPr defaultRowHeight="15" customHeight="1" x14ac:dyDescent="0.25"/>
  <cols>
    <col min="2" max="2" width="22.77734375" bestFit="1" customWidth="1"/>
    <col min="3" max="6" width="16.77734375" customWidth="1"/>
    <col min="7" max="7" width="61.77734375" bestFit="1" customWidth="1"/>
  </cols>
  <sheetData>
    <row r="2" spans="2:7" ht="15" customHeight="1" x14ac:dyDescent="0.25">
      <c r="B2" s="28" t="s">
        <v>94</v>
      </c>
      <c r="C2" s="67" t="s">
        <v>95</v>
      </c>
      <c r="D2" s="67"/>
      <c r="E2" s="67"/>
      <c r="F2" s="67"/>
      <c r="G2" s="28" t="s">
        <v>96</v>
      </c>
    </row>
    <row r="3" spans="2:7" ht="39.6" x14ac:dyDescent="0.25">
      <c r="B3" s="41" t="s">
        <v>97</v>
      </c>
      <c r="C3" s="42" t="s">
        <v>98</v>
      </c>
      <c r="D3" s="42"/>
      <c r="E3" s="42"/>
      <c r="F3" s="42"/>
      <c r="G3" s="43" t="s">
        <v>99</v>
      </c>
    </row>
    <row r="4" spans="2:7" ht="92.4" x14ac:dyDescent="0.25">
      <c r="B4" s="44" t="s">
        <v>44</v>
      </c>
      <c r="C4" s="45" t="s">
        <v>100</v>
      </c>
      <c r="D4" s="45"/>
      <c r="E4" s="45"/>
      <c r="F4" s="45" t="s">
        <v>101</v>
      </c>
      <c r="G4" s="46" t="s">
        <v>113</v>
      </c>
    </row>
    <row r="5" spans="2:7" ht="15" customHeight="1" x14ac:dyDescent="0.25">
      <c r="B5" s="44" t="s">
        <v>80</v>
      </c>
      <c r="C5" s="45"/>
      <c r="D5" s="45" t="s">
        <v>102</v>
      </c>
      <c r="E5" s="45"/>
      <c r="F5" s="45"/>
      <c r="G5" s="47" t="s">
        <v>103</v>
      </c>
    </row>
    <row r="6" spans="2:7" ht="15" customHeight="1" x14ac:dyDescent="0.25">
      <c r="B6" s="44" t="s">
        <v>104</v>
      </c>
      <c r="C6" s="45"/>
      <c r="D6" s="45"/>
      <c r="E6" s="45" t="s">
        <v>79</v>
      </c>
      <c r="F6" s="45"/>
      <c r="G6" s="47" t="s">
        <v>103</v>
      </c>
    </row>
    <row r="7" spans="2:7" ht="118.8" x14ac:dyDescent="0.25">
      <c r="B7" s="44" t="s">
        <v>105</v>
      </c>
      <c r="C7" s="45"/>
      <c r="D7" s="45"/>
      <c r="E7" s="45"/>
      <c r="F7" s="45" t="s">
        <v>106</v>
      </c>
      <c r="G7" s="46" t="s">
        <v>112</v>
      </c>
    </row>
    <row r="8" spans="2:7" ht="15" customHeight="1" x14ac:dyDescent="0.25">
      <c r="B8" s="44" t="s">
        <v>107</v>
      </c>
      <c r="C8" s="45"/>
      <c r="D8" s="45"/>
      <c r="E8" s="45" t="s">
        <v>79</v>
      </c>
      <c r="F8" s="45"/>
      <c r="G8" s="47"/>
    </row>
    <row r="9" spans="2:7" ht="52.8" x14ac:dyDescent="0.25">
      <c r="B9" s="48" t="s">
        <v>108</v>
      </c>
      <c r="C9" s="49" t="s">
        <v>109</v>
      </c>
      <c r="D9" s="49" t="s">
        <v>102</v>
      </c>
      <c r="E9" s="49"/>
      <c r="F9" s="49"/>
      <c r="G9" s="50" t="s">
        <v>110</v>
      </c>
    </row>
  </sheetData>
  <mergeCells count="1">
    <mergeCell ref="C2:F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jogos</vt:lpstr>
      <vt:lpstr>Jogos do Dia</vt:lpstr>
      <vt:lpstr>07-07</vt:lpstr>
      <vt:lpstr>Análise Individual</vt:lpstr>
      <vt:lpstr>Processos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2026-02-12T12:13:15Z</dcterms:created>
  <dcterms:modified xsi:type="dcterms:W3CDTF">2026-08-16T22:12:06Z</dcterms:modified>
</cp:coreProperties>
</file>