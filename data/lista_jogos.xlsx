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EstaPasta_de_trabalho" defaultThemeVersion="164011"/>
  <mc:AlternateContent xmlns:mc="http://schemas.openxmlformats.org/markup-compatibility/2006">
    <mc:Choice Requires="x15">
      <x15ac:absPath xmlns:x15ac="http://schemas.microsoft.com/office/spreadsheetml/2010/11/ac" url="C:\Users\danie\OneDrive\Documentos\Projetos\dash-apostas\data\"/>
    </mc:Choice>
  </mc:AlternateContent>
  <bookViews>
    <workbookView xWindow="0" yWindow="0" windowWidth="23040" windowHeight="9084" tabRatio="624"/>
  </bookViews>
  <sheets>
    <sheet name="jogos" sheetId="84" r:id="rId1"/>
    <sheet name="Jogos do Dia" sheetId="75" r:id="rId2"/>
    <sheet name="07-07" sheetId="82" r:id="rId3"/>
    <sheet name="Análise Individual" sheetId="69" r:id="rId4"/>
    <sheet name="Processos" sheetId="83" r:id="rId5"/>
  </sheets>
  <definedNames>
    <definedName name="_xlnm._FilterDatabase" localSheetId="2" hidden="1">'07-07'!$A$1:$AF$48</definedName>
    <definedName name="_xlnm._FilterDatabase" localSheetId="1" hidden="1">'Jogos do Dia'!$B$2:$G$2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7" i="69" l="1"/>
  <c r="E19" i="69" l="1"/>
  <c r="E24" i="69"/>
  <c r="E18" i="69"/>
  <c r="D18" i="69"/>
  <c r="AL48" i="82" l="1"/>
  <c r="AK48" i="82"/>
  <c r="AJ48" i="82"/>
  <c r="AI48" i="82"/>
  <c r="AH48" i="82"/>
  <c r="AG48" i="82"/>
  <c r="AF48" i="82"/>
  <c r="AE48" i="82"/>
  <c r="AD48" i="82"/>
  <c r="AB48" i="82"/>
  <c r="Y48" i="82"/>
  <c r="X48" i="82"/>
  <c r="AA48" i="82" s="1"/>
  <c r="AL47" i="82"/>
  <c r="AK47" i="82"/>
  <c r="AJ47" i="82"/>
  <c r="AI47" i="82"/>
  <c r="AH47" i="82"/>
  <c r="AG47" i="82"/>
  <c r="AF47" i="82"/>
  <c r="AE47" i="82"/>
  <c r="AD47" i="82"/>
  <c r="AB47" i="82"/>
  <c r="Y47" i="82"/>
  <c r="X47" i="82"/>
  <c r="AA47" i="82" s="1"/>
  <c r="AL46" i="82"/>
  <c r="AK46" i="82"/>
  <c r="AJ46" i="82"/>
  <c r="AI46" i="82"/>
  <c r="AH46" i="82"/>
  <c r="AG46" i="82"/>
  <c r="AF46" i="82"/>
  <c r="AE46" i="82"/>
  <c r="AD46" i="82"/>
  <c r="AB46" i="82"/>
  <c r="AA46" i="82"/>
  <c r="Z46" i="82"/>
  <c r="Y46" i="82"/>
  <c r="X46" i="82"/>
  <c r="AL45" i="82"/>
  <c r="AK45" i="82"/>
  <c r="AJ45" i="82"/>
  <c r="AI45" i="82"/>
  <c r="AH45" i="82"/>
  <c r="AG45" i="82"/>
  <c r="AC45" i="82" s="1"/>
  <c r="AF45" i="82"/>
  <c r="AE45" i="82"/>
  <c r="AD45" i="82"/>
  <c r="AB45" i="82"/>
  <c r="Y45" i="82"/>
  <c r="X45" i="82"/>
  <c r="AL44" i="82"/>
  <c r="AK44" i="82"/>
  <c r="AJ44" i="82"/>
  <c r="AI44" i="82"/>
  <c r="AH44" i="82"/>
  <c r="AG44" i="82"/>
  <c r="AC44" i="82" s="1"/>
  <c r="AF44" i="82"/>
  <c r="AE44" i="82"/>
  <c r="AD44" i="82"/>
  <c r="AB44" i="82"/>
  <c r="AA44" i="82"/>
  <c r="Y44" i="82"/>
  <c r="X44" i="82"/>
  <c r="Z44" i="82" s="1"/>
  <c r="AL43" i="82"/>
  <c r="AK43" i="82"/>
  <c r="AJ43" i="82"/>
  <c r="AI43" i="82"/>
  <c r="AH43" i="82"/>
  <c r="AG43" i="82"/>
  <c r="AF43" i="82"/>
  <c r="AE43" i="82"/>
  <c r="AD43" i="82"/>
  <c r="AB43" i="82"/>
  <c r="Y43" i="82"/>
  <c r="X43" i="82"/>
  <c r="AL42" i="82"/>
  <c r="AK42" i="82"/>
  <c r="AJ42" i="82"/>
  <c r="AI42" i="82"/>
  <c r="AH42" i="82"/>
  <c r="AG42" i="82"/>
  <c r="AF42" i="82"/>
  <c r="AE42" i="82"/>
  <c r="AD42" i="82"/>
  <c r="AB42" i="82"/>
  <c r="Y42" i="82"/>
  <c r="X42" i="82"/>
  <c r="AA42" i="82" s="1"/>
  <c r="AL41" i="82"/>
  <c r="AK41" i="82"/>
  <c r="AJ41" i="82"/>
  <c r="AI41" i="82"/>
  <c r="AH41" i="82"/>
  <c r="AC41" i="82" s="1"/>
  <c r="AG41" i="82"/>
  <c r="AF41" i="82"/>
  <c r="AE41" i="82"/>
  <c r="AD41" i="82"/>
  <c r="AB41" i="82"/>
  <c r="Y41" i="82"/>
  <c r="X41" i="82"/>
  <c r="AA41" i="82" s="1"/>
  <c r="AL40" i="82"/>
  <c r="AK40" i="82"/>
  <c r="AJ40" i="82"/>
  <c r="AI40" i="82"/>
  <c r="AH40" i="82"/>
  <c r="AG40" i="82"/>
  <c r="AF40" i="82"/>
  <c r="AE40" i="82"/>
  <c r="AD40" i="82"/>
  <c r="AB40" i="82"/>
  <c r="Y40" i="82"/>
  <c r="X40" i="82"/>
  <c r="Z40" i="82" s="1"/>
  <c r="AL39" i="82"/>
  <c r="AK39" i="82"/>
  <c r="AJ39" i="82"/>
  <c r="AI39" i="82"/>
  <c r="AH39" i="82"/>
  <c r="AG39" i="82"/>
  <c r="AF39" i="82"/>
  <c r="AE39" i="82"/>
  <c r="AD39" i="82"/>
  <c r="AB39" i="82"/>
  <c r="Y39" i="82"/>
  <c r="X39" i="82"/>
  <c r="AL38" i="82"/>
  <c r="AK38" i="82"/>
  <c r="AJ38" i="82"/>
  <c r="AI38" i="82"/>
  <c r="AH38" i="82"/>
  <c r="AG38" i="82"/>
  <c r="AF38" i="82"/>
  <c r="AE38" i="82"/>
  <c r="AD38" i="82"/>
  <c r="AB38" i="82"/>
  <c r="Y38" i="82"/>
  <c r="X38" i="82"/>
  <c r="AA38" i="82" s="1"/>
  <c r="AL37" i="82"/>
  <c r="AK37" i="82"/>
  <c r="AJ37" i="82"/>
  <c r="AI37" i="82"/>
  <c r="AH37" i="82"/>
  <c r="AC37" i="82" s="1"/>
  <c r="AG37" i="82"/>
  <c r="AF37" i="82"/>
  <c r="AE37" i="82"/>
  <c r="AD37" i="82"/>
  <c r="AB37" i="82"/>
  <c r="Y37" i="82"/>
  <c r="X37" i="82"/>
  <c r="AL36" i="82"/>
  <c r="AK36" i="82"/>
  <c r="AJ36" i="82"/>
  <c r="AI36" i="82"/>
  <c r="AH36" i="82"/>
  <c r="AG36" i="82"/>
  <c r="AF36" i="82"/>
  <c r="AE36" i="82"/>
  <c r="AD36" i="82"/>
  <c r="AB36" i="82"/>
  <c r="Y36" i="82"/>
  <c r="X36" i="82"/>
  <c r="Z36" i="82" s="1"/>
  <c r="AL35" i="82"/>
  <c r="AK35" i="82"/>
  <c r="AJ35" i="82"/>
  <c r="AI35" i="82"/>
  <c r="AH35" i="82"/>
  <c r="AG35" i="82"/>
  <c r="AF35" i="82"/>
  <c r="AE35" i="82"/>
  <c r="AD35" i="82"/>
  <c r="AB35" i="82"/>
  <c r="Y35" i="82"/>
  <c r="X35" i="82"/>
  <c r="AA35" i="82" s="1"/>
  <c r="AL34" i="82"/>
  <c r="AK34" i="82"/>
  <c r="AJ34" i="82"/>
  <c r="AI34" i="82"/>
  <c r="AH34" i="82"/>
  <c r="AG34" i="82"/>
  <c r="AF34" i="82"/>
  <c r="AE34" i="82"/>
  <c r="AD34" i="82"/>
  <c r="AB34" i="82"/>
  <c r="Y34" i="82"/>
  <c r="X34" i="82"/>
  <c r="Z34" i="82" s="1"/>
  <c r="AL33" i="82"/>
  <c r="AK33" i="82"/>
  <c r="AJ33" i="82"/>
  <c r="AI33" i="82"/>
  <c r="AH33" i="82"/>
  <c r="AG33" i="82"/>
  <c r="AF33" i="82"/>
  <c r="AE33" i="82"/>
  <c r="AD33" i="82"/>
  <c r="AB33" i="82"/>
  <c r="Y33" i="82"/>
  <c r="X33" i="82"/>
  <c r="AA33" i="82" s="1"/>
  <c r="AL32" i="82"/>
  <c r="AK32" i="82"/>
  <c r="AJ32" i="82"/>
  <c r="AI32" i="82"/>
  <c r="AH32" i="82"/>
  <c r="AG32" i="82"/>
  <c r="AF32" i="82"/>
  <c r="AE32" i="82"/>
  <c r="AD32" i="82"/>
  <c r="AB32" i="82"/>
  <c r="Y32" i="82"/>
  <c r="X32" i="82"/>
  <c r="AA32" i="82" s="1"/>
  <c r="AL31" i="82"/>
  <c r="AK31" i="82"/>
  <c r="AJ31" i="82"/>
  <c r="AI31" i="82"/>
  <c r="AH31" i="82"/>
  <c r="AG31" i="82"/>
  <c r="AF31" i="82"/>
  <c r="AE31" i="82"/>
  <c r="AD31" i="82"/>
  <c r="AB31" i="82"/>
  <c r="Y31" i="82"/>
  <c r="X31" i="82"/>
  <c r="AA31" i="82" s="1"/>
  <c r="AL30" i="82"/>
  <c r="AK30" i="82"/>
  <c r="AJ30" i="82"/>
  <c r="AI30" i="82"/>
  <c r="AH30" i="82"/>
  <c r="AG30" i="82"/>
  <c r="AF30" i="82"/>
  <c r="AE30" i="82"/>
  <c r="AD30" i="82"/>
  <c r="AB30" i="82"/>
  <c r="Y30" i="82"/>
  <c r="X30" i="82"/>
  <c r="Z30" i="82" s="1"/>
  <c r="AL29" i="82"/>
  <c r="AK29" i="82"/>
  <c r="AJ29" i="82"/>
  <c r="AI29" i="82"/>
  <c r="AH29" i="82"/>
  <c r="AG29" i="82"/>
  <c r="AF29" i="82"/>
  <c r="AE29" i="82"/>
  <c r="AD29" i="82"/>
  <c r="AB29" i="82"/>
  <c r="Y29" i="82"/>
  <c r="X29" i="82"/>
  <c r="AA29" i="82" s="1"/>
  <c r="AL28" i="82"/>
  <c r="AK28" i="82"/>
  <c r="AJ28" i="82"/>
  <c r="AI28" i="82"/>
  <c r="AH28" i="82"/>
  <c r="AG28" i="82"/>
  <c r="AF28" i="82"/>
  <c r="AE28" i="82"/>
  <c r="AD28" i="82"/>
  <c r="AB28" i="82"/>
  <c r="Y28" i="82"/>
  <c r="X28" i="82"/>
  <c r="AL27" i="82"/>
  <c r="AK27" i="82"/>
  <c r="AJ27" i="82"/>
  <c r="AI27" i="82"/>
  <c r="AH27" i="82"/>
  <c r="AG27" i="82"/>
  <c r="AF27" i="82"/>
  <c r="AE27" i="82"/>
  <c r="AD27" i="82"/>
  <c r="AB27" i="82"/>
  <c r="Y27" i="82"/>
  <c r="X27" i="82"/>
  <c r="AL26" i="82"/>
  <c r="AK26" i="82"/>
  <c r="AJ26" i="82"/>
  <c r="AI26" i="82"/>
  <c r="AH26" i="82"/>
  <c r="AG26" i="82"/>
  <c r="AF26" i="82"/>
  <c r="AE26" i="82"/>
  <c r="AD26" i="82"/>
  <c r="AB26" i="82"/>
  <c r="Y26" i="82"/>
  <c r="X26" i="82"/>
  <c r="Z26" i="82" s="1"/>
  <c r="AL25" i="82"/>
  <c r="AK25" i="82"/>
  <c r="AJ25" i="82"/>
  <c r="AI25" i="82"/>
  <c r="AH25" i="82"/>
  <c r="AG25" i="82"/>
  <c r="AF25" i="82"/>
  <c r="AE25" i="82"/>
  <c r="AD25" i="82"/>
  <c r="AB25" i="82"/>
  <c r="Y25" i="82"/>
  <c r="X25" i="82"/>
  <c r="AL24" i="82"/>
  <c r="AK24" i="82"/>
  <c r="AJ24" i="82"/>
  <c r="AI24" i="82"/>
  <c r="AH24" i="82"/>
  <c r="AG24" i="82"/>
  <c r="AF24" i="82"/>
  <c r="AE24" i="82"/>
  <c r="AD24" i="82"/>
  <c r="AB24" i="82"/>
  <c r="Y24" i="82"/>
  <c r="AA24" i="82" s="1"/>
  <c r="X24" i="82"/>
  <c r="AL23" i="82"/>
  <c r="AK23" i="82"/>
  <c r="AJ23" i="82"/>
  <c r="AI23" i="82"/>
  <c r="AH23" i="82"/>
  <c r="AG23" i="82"/>
  <c r="AF23" i="82"/>
  <c r="AE23" i="82"/>
  <c r="AD23" i="82"/>
  <c r="AB23" i="82"/>
  <c r="Y23" i="82"/>
  <c r="X23" i="82"/>
  <c r="AL22" i="82"/>
  <c r="AK22" i="82"/>
  <c r="AJ22" i="82"/>
  <c r="AI22" i="82"/>
  <c r="AH22" i="82"/>
  <c r="AG22" i="82"/>
  <c r="AF22" i="82"/>
  <c r="AE22" i="82"/>
  <c r="AD22" i="82"/>
  <c r="AB22" i="82"/>
  <c r="Y22" i="82"/>
  <c r="X22" i="82"/>
  <c r="AL21" i="82"/>
  <c r="AK21" i="82"/>
  <c r="AJ21" i="82"/>
  <c r="AI21" i="82"/>
  <c r="AH21" i="82"/>
  <c r="AG21" i="82"/>
  <c r="AF21" i="82"/>
  <c r="AE21" i="82"/>
  <c r="AD21" i="82"/>
  <c r="AB21" i="82"/>
  <c r="Y21" i="82"/>
  <c r="X21" i="82"/>
  <c r="AL20" i="82"/>
  <c r="AK20" i="82"/>
  <c r="AJ20" i="82"/>
  <c r="AI20" i="82"/>
  <c r="AH20" i="82"/>
  <c r="AG20" i="82"/>
  <c r="AF20" i="82"/>
  <c r="AE20" i="82"/>
  <c r="AD20" i="82"/>
  <c r="AB20" i="82"/>
  <c r="Y20" i="82"/>
  <c r="X20" i="82"/>
  <c r="AL19" i="82"/>
  <c r="AK19" i="82"/>
  <c r="AJ19" i="82"/>
  <c r="AI19" i="82"/>
  <c r="AH19" i="82"/>
  <c r="AG19" i="82"/>
  <c r="AF19" i="82"/>
  <c r="AE19" i="82"/>
  <c r="AD19" i="82"/>
  <c r="AB19" i="82"/>
  <c r="Y19" i="82"/>
  <c r="X19" i="82"/>
  <c r="AL18" i="82"/>
  <c r="AK18" i="82"/>
  <c r="AJ18" i="82"/>
  <c r="AI18" i="82"/>
  <c r="AH18" i="82"/>
  <c r="AG18" i="82"/>
  <c r="AF18" i="82"/>
  <c r="AE18" i="82"/>
  <c r="AD18" i="82"/>
  <c r="AB18" i="82"/>
  <c r="Y18" i="82"/>
  <c r="X18" i="82"/>
  <c r="AL17" i="82"/>
  <c r="AK17" i="82"/>
  <c r="AJ17" i="82"/>
  <c r="AI17" i="82"/>
  <c r="AH17" i="82"/>
  <c r="AG17" i="82"/>
  <c r="AF17" i="82"/>
  <c r="AE17" i="82"/>
  <c r="AD17" i="82"/>
  <c r="AB17" i="82"/>
  <c r="Y17" i="82"/>
  <c r="X17" i="82"/>
  <c r="AL16" i="82"/>
  <c r="AK16" i="82"/>
  <c r="AJ16" i="82"/>
  <c r="AI16" i="82"/>
  <c r="AH16" i="82"/>
  <c r="AG16" i="82"/>
  <c r="AF16" i="82"/>
  <c r="AE16" i="82"/>
  <c r="AD16" i="82"/>
  <c r="AB16" i="82"/>
  <c r="Y16" i="82"/>
  <c r="Z16" i="82" s="1"/>
  <c r="X16" i="82"/>
  <c r="AL15" i="82"/>
  <c r="AK15" i="82"/>
  <c r="AJ15" i="82"/>
  <c r="AI15" i="82"/>
  <c r="AH15" i="82"/>
  <c r="AG15" i="82"/>
  <c r="AF15" i="82"/>
  <c r="AE15" i="82"/>
  <c r="AD15" i="82"/>
  <c r="AB15" i="82"/>
  <c r="Y15" i="82"/>
  <c r="X15" i="82"/>
  <c r="AL14" i="82"/>
  <c r="AK14" i="82"/>
  <c r="AJ14" i="82"/>
  <c r="AI14" i="82"/>
  <c r="AH14" i="82"/>
  <c r="AG14" i="82"/>
  <c r="AF14" i="82"/>
  <c r="AE14" i="82"/>
  <c r="AD14" i="82"/>
  <c r="AB14" i="82"/>
  <c r="Y14" i="82"/>
  <c r="X14" i="82"/>
  <c r="Z14" i="82" s="1"/>
  <c r="AL13" i="82"/>
  <c r="AK13" i="82"/>
  <c r="AJ13" i="82"/>
  <c r="AI13" i="82"/>
  <c r="AH13" i="82"/>
  <c r="AG13" i="82"/>
  <c r="AC13" i="82" s="1"/>
  <c r="AF13" i="82"/>
  <c r="AE13" i="82"/>
  <c r="AD13" i="82"/>
  <c r="AB13" i="82"/>
  <c r="Y13" i="82"/>
  <c r="X13" i="82"/>
  <c r="AL12" i="82"/>
  <c r="AK12" i="82"/>
  <c r="AJ12" i="82"/>
  <c r="AI12" i="82"/>
  <c r="AH12" i="82"/>
  <c r="AG12" i="82"/>
  <c r="AC12" i="82" s="1"/>
  <c r="AF12" i="82"/>
  <c r="AE12" i="82"/>
  <c r="AD12" i="82"/>
  <c r="AB12" i="82"/>
  <c r="Y12" i="82"/>
  <c r="X12" i="82"/>
  <c r="Z12" i="82" s="1"/>
  <c r="AL11" i="82"/>
  <c r="AK11" i="82"/>
  <c r="AJ11" i="82"/>
  <c r="AI11" i="82"/>
  <c r="AH11" i="82"/>
  <c r="AG11" i="82"/>
  <c r="AF11" i="82"/>
  <c r="AE11" i="82"/>
  <c r="AD11" i="82"/>
  <c r="AB11" i="82"/>
  <c r="Y11" i="82"/>
  <c r="X11" i="82"/>
  <c r="AA17" i="82" l="1"/>
  <c r="AA18" i="82"/>
  <c r="AA19" i="82"/>
  <c r="Z20" i="82"/>
  <c r="AA21" i="82"/>
  <c r="AA22" i="82"/>
  <c r="AA23" i="82"/>
  <c r="Z24" i="82"/>
  <c r="AC42" i="82"/>
  <c r="AA34" i="82"/>
  <c r="AA36" i="82"/>
  <c r="AA45" i="82"/>
  <c r="AA14" i="82"/>
  <c r="AA26" i="82"/>
  <c r="AA28" i="82"/>
  <c r="AC21" i="82"/>
  <c r="AC22" i="82"/>
  <c r="AC24" i="82"/>
  <c r="AC25" i="82"/>
  <c r="AC17" i="82"/>
  <c r="AC32" i="82"/>
  <c r="AC33" i="82"/>
  <c r="AC29" i="82"/>
  <c r="AC31" i="82"/>
  <c r="AC34" i="82"/>
  <c r="AC23" i="82"/>
  <c r="Z28" i="82"/>
  <c r="AC11" i="82"/>
  <c r="AC43" i="82"/>
  <c r="AC14" i="82"/>
  <c r="AA30" i="82"/>
  <c r="AC35" i="82"/>
  <c r="AC36" i="82"/>
  <c r="AA40" i="82"/>
  <c r="AA39" i="82"/>
  <c r="Z18" i="82"/>
  <c r="AC26" i="82"/>
  <c r="Z22" i="82"/>
  <c r="Z32" i="82"/>
  <c r="AC46" i="82"/>
  <c r="Z38" i="82"/>
  <c r="Z48" i="82"/>
  <c r="AC16" i="82"/>
  <c r="AA11" i="82"/>
  <c r="AA12" i="82"/>
  <c r="AC15" i="82"/>
  <c r="AC27" i="82"/>
  <c r="AC28" i="82"/>
  <c r="Z42" i="82"/>
  <c r="AA43" i="82"/>
  <c r="AA13" i="82"/>
  <c r="AA25" i="82"/>
  <c r="AC38" i="82"/>
  <c r="AC47" i="82"/>
  <c r="AC48" i="82"/>
  <c r="AC18" i="82"/>
  <c r="AC20" i="82"/>
  <c r="AC30" i="82"/>
  <c r="AC39" i="82"/>
  <c r="AC40" i="82"/>
  <c r="AA15" i="82"/>
  <c r="AA16" i="82"/>
  <c r="AC19" i="82"/>
  <c r="AA27" i="82"/>
  <c r="AA37" i="82"/>
  <c r="AA20" i="82"/>
  <c r="Z13" i="82"/>
  <c r="Z17" i="82"/>
  <c r="Z21" i="82"/>
  <c r="Z25" i="82"/>
  <c r="Z29" i="82"/>
  <c r="Z33" i="82"/>
  <c r="Z37" i="82"/>
  <c r="Z41" i="82"/>
  <c r="Z45" i="82"/>
  <c r="Z11" i="82"/>
  <c r="Z15" i="82"/>
  <c r="Z19" i="82"/>
  <c r="Z23" i="82"/>
  <c r="Z27" i="82"/>
  <c r="Z31" i="82"/>
  <c r="Z35" i="82"/>
  <c r="Z39" i="82"/>
  <c r="Z43" i="82"/>
  <c r="Z47" i="82"/>
  <c r="AL10" i="82"/>
  <c r="AK10" i="82"/>
  <c r="AJ10" i="82"/>
  <c r="AI10" i="82"/>
  <c r="AH10" i="82"/>
  <c r="AG10" i="82"/>
  <c r="AF10" i="82"/>
  <c r="AE10" i="82"/>
  <c r="AD10" i="82"/>
  <c r="AB10" i="82"/>
  <c r="Y10" i="82"/>
  <c r="X10" i="82"/>
  <c r="Z10" i="82" s="1"/>
  <c r="AL9" i="82"/>
  <c r="AK9" i="82"/>
  <c r="AJ9" i="82"/>
  <c r="AI9" i="82"/>
  <c r="AH9" i="82"/>
  <c r="AG9" i="82"/>
  <c r="AF9" i="82"/>
  <c r="AE9" i="82"/>
  <c r="AD9" i="82"/>
  <c r="AB9" i="82"/>
  <c r="Y9" i="82"/>
  <c r="X9" i="82"/>
  <c r="AL8" i="82"/>
  <c r="AK8" i="82"/>
  <c r="AJ8" i="82"/>
  <c r="AI8" i="82"/>
  <c r="AH8" i="82"/>
  <c r="AG8" i="82"/>
  <c r="AF8" i="82"/>
  <c r="AE8" i="82"/>
  <c r="AD8" i="82"/>
  <c r="AB8" i="82"/>
  <c r="Y8" i="82"/>
  <c r="X8" i="82"/>
  <c r="Z8" i="82" s="1"/>
  <c r="AL7" i="82"/>
  <c r="AK7" i="82"/>
  <c r="AJ7" i="82"/>
  <c r="AI7" i="82"/>
  <c r="AH7" i="82"/>
  <c r="AG7" i="82"/>
  <c r="AF7" i="82"/>
  <c r="AE7" i="82"/>
  <c r="AD7" i="82"/>
  <c r="AB7" i="82"/>
  <c r="Y7" i="82"/>
  <c r="X7" i="82"/>
  <c r="Z7" i="82" s="1"/>
  <c r="AC8" i="82" l="1"/>
  <c r="AC10" i="82"/>
  <c r="AA10" i="82"/>
  <c r="AC7" i="82"/>
  <c r="AC9" i="82"/>
  <c r="AA8" i="82"/>
  <c r="AA9" i="82"/>
  <c r="AA7" i="82"/>
  <c r="Z9" i="82"/>
  <c r="AL6" i="82"/>
  <c r="AK6" i="82"/>
  <c r="AJ6" i="82"/>
  <c r="AI6" i="82"/>
  <c r="AH6" i="82"/>
  <c r="AG6" i="82"/>
  <c r="AF6" i="82"/>
  <c r="AE6" i="82"/>
  <c r="AD6" i="82"/>
  <c r="AB6" i="82"/>
  <c r="Y6" i="82"/>
  <c r="X6" i="82"/>
  <c r="AL5" i="82"/>
  <c r="AK5" i="82"/>
  <c r="AJ5" i="82"/>
  <c r="AI5" i="82"/>
  <c r="AH5" i="82"/>
  <c r="AG5" i="82"/>
  <c r="AF5" i="82"/>
  <c r="AE5" i="82"/>
  <c r="AD5" i="82"/>
  <c r="AB5" i="82"/>
  <c r="Y5" i="82"/>
  <c r="X5" i="82"/>
  <c r="AL4" i="82"/>
  <c r="AK4" i="82"/>
  <c r="AJ4" i="82"/>
  <c r="AI4" i="82"/>
  <c r="AH4" i="82"/>
  <c r="AG4" i="82"/>
  <c r="AF4" i="82"/>
  <c r="AE4" i="82"/>
  <c r="AD4" i="82"/>
  <c r="AB4" i="82"/>
  <c r="Y4" i="82"/>
  <c r="X4" i="82"/>
  <c r="AL3" i="82"/>
  <c r="AK3" i="82"/>
  <c r="AJ3" i="82"/>
  <c r="AI3" i="82"/>
  <c r="AH3" i="82"/>
  <c r="AG3" i="82"/>
  <c r="AF3" i="82"/>
  <c r="AE3" i="82"/>
  <c r="AD3" i="82"/>
  <c r="AB3" i="82"/>
  <c r="Y3" i="82"/>
  <c r="X3" i="82"/>
  <c r="AL2" i="82"/>
  <c r="AK2" i="82"/>
  <c r="AJ2" i="82"/>
  <c r="AI2" i="82"/>
  <c r="AH2" i="82"/>
  <c r="AG2" i="82"/>
  <c r="AF2" i="82"/>
  <c r="AE2" i="82"/>
  <c r="AD2" i="82"/>
  <c r="AB2" i="82"/>
  <c r="Y2" i="82"/>
  <c r="X2" i="82"/>
  <c r="AA2" i="82" l="1"/>
  <c r="AA3" i="82"/>
  <c r="Z4" i="82"/>
  <c r="AA5" i="82"/>
  <c r="AA6" i="82"/>
  <c r="AC4" i="82"/>
  <c r="AC2" i="82"/>
  <c r="AC3" i="82"/>
  <c r="AA4" i="82"/>
  <c r="AC6" i="82"/>
  <c r="AC5" i="82"/>
  <c r="Z5" i="82"/>
  <c r="Z3" i="82"/>
  <c r="Z2" i="82"/>
  <c r="Z6" i="82"/>
  <c r="C31" i="75" l="1"/>
  <c r="G31" i="75"/>
  <c r="H31" i="75"/>
  <c r="D31" i="75"/>
  <c r="H23" i="75" l="1"/>
  <c r="I23" i="75" s="1"/>
  <c r="H22" i="75"/>
  <c r="I22" i="75" s="1"/>
  <c r="H21" i="75"/>
  <c r="I21" i="75" s="1"/>
  <c r="H19" i="75"/>
  <c r="I19" i="75" s="1"/>
  <c r="J19" i="75" s="1"/>
  <c r="H18" i="75"/>
  <c r="I18" i="75" s="1"/>
  <c r="J18" i="75" s="1"/>
  <c r="H17" i="75"/>
  <c r="I17" i="75" s="1"/>
  <c r="J17" i="75" s="1"/>
  <c r="J21" i="75" l="1"/>
  <c r="J22" i="75"/>
  <c r="J23" i="75"/>
  <c r="D26" i="69" l="1"/>
  <c r="E27" i="69" l="1"/>
  <c r="E16" i="69"/>
  <c r="D25" i="69" l="1"/>
  <c r="E26" i="69" l="1"/>
  <c r="E25" i="69"/>
  <c r="E28" i="69"/>
  <c r="D19" i="69"/>
  <c r="C19" i="69"/>
  <c r="C18" i="69"/>
  <c r="C17" i="69"/>
  <c r="D16" i="69"/>
  <c r="C16" i="69"/>
  <c r="C12" i="69"/>
  <c r="C22" i="69" s="1"/>
  <c r="C11" i="69"/>
  <c r="C21" i="69" s="1"/>
  <c r="C9" i="69"/>
  <c r="C8" i="69"/>
  <c r="C10" i="69"/>
  <c r="D20" i="69" s="1"/>
  <c r="E20" i="69" l="1"/>
  <c r="E30" i="69" s="1"/>
  <c r="D30" i="69"/>
  <c r="C13" i="69"/>
  <c r="C23" i="69" s="1"/>
  <c r="C20" i="69"/>
  <c r="C30" i="69" l="1"/>
</calcChain>
</file>

<file path=xl/sharedStrings.xml><?xml version="1.0" encoding="utf-8"?>
<sst xmlns="http://schemas.openxmlformats.org/spreadsheetml/2006/main" count="1838" uniqueCount="637">
  <si>
    <t>Country</t>
  </si>
  <si>
    <t>3.5+</t>
  </si>
  <si>
    <t>2.5+</t>
  </si>
  <si>
    <t>1.5+</t>
  </si>
  <si>
    <t>GA</t>
  </si>
  <si>
    <t>GF</t>
  </si>
  <si>
    <t>TG</t>
  </si>
  <si>
    <t>PPG</t>
  </si>
  <si>
    <t>GP</t>
  </si>
  <si>
    <t>scope</t>
  </si>
  <si>
    <t>home</t>
  </si>
  <si>
    <t>away</t>
  </si>
  <si>
    <t>LZ</t>
  </si>
  <si>
    <t>0x1</t>
  </si>
  <si>
    <t>1x0</t>
  </si>
  <si>
    <t>xG Casa</t>
  </si>
  <si>
    <t>xG Visitante</t>
  </si>
  <si>
    <t>Linha de Gols</t>
  </si>
  <si>
    <t>Diff de Gols</t>
  </si>
  <si>
    <t>LZ PTs</t>
  </si>
  <si>
    <t>GS &gt; GM Zebra</t>
  </si>
  <si>
    <t>GM Favorito</t>
  </si>
  <si>
    <t>GS Favorito</t>
  </si>
  <si>
    <t>GM Zebra</t>
  </si>
  <si>
    <t>GS Zebra</t>
  </si>
  <si>
    <t>Média</t>
  </si>
  <si>
    <t>Gols Marcados</t>
  </si>
  <si>
    <t>Sofridos</t>
  </si>
  <si>
    <t>Over 2,5</t>
  </si>
  <si>
    <t>xG Mandante</t>
  </si>
  <si>
    <t>TG Mandante</t>
  </si>
  <si>
    <t>TG Visitante</t>
  </si>
  <si>
    <t>Odds</t>
  </si>
  <si>
    <t>Critérios</t>
  </si>
  <si>
    <t>1x0 Zebra</t>
  </si>
  <si>
    <t>Over 2,5 Mandante</t>
  </si>
  <si>
    <t>Over 2,5 Visitante</t>
  </si>
  <si>
    <t>Média Over 2,5</t>
  </si>
  <si>
    <t>Odds Match Odds</t>
  </si>
  <si>
    <t>Odds CS</t>
  </si>
  <si>
    <t>Over 2,5 Média</t>
  </si>
  <si>
    <t>TG Média</t>
  </si>
  <si>
    <t>Aprovado / Negado</t>
  </si>
  <si>
    <t>0x1 Favorito</t>
  </si>
  <si>
    <t>Lay Zebra</t>
  </si>
  <si>
    <t>Gols Marcados Mandante</t>
  </si>
  <si>
    <t>Gols Sofridos Mandante</t>
  </si>
  <si>
    <t>Gols Marcados Visitante</t>
  </si>
  <si>
    <t>Gols Sofridos Visitante</t>
  </si>
  <si>
    <t>Comparação Gols Visitante</t>
  </si>
  <si>
    <t>Over 0,5</t>
  </si>
  <si>
    <t>Horário</t>
  </si>
  <si>
    <t>Jogo</t>
  </si>
  <si>
    <t>Método</t>
  </si>
  <si>
    <t>0x2</t>
  </si>
  <si>
    <t>1x2</t>
  </si>
  <si>
    <t>Total</t>
  </si>
  <si>
    <t>Red</t>
  </si>
  <si>
    <t>Empate</t>
  </si>
  <si>
    <t>Green</t>
  </si>
  <si>
    <t>EV</t>
  </si>
  <si>
    <t>Stake</t>
  </si>
  <si>
    <t>ROI</t>
  </si>
  <si>
    <t>Sniperback Valida Casa</t>
  </si>
  <si>
    <t>Sniperback Valida Fora</t>
  </si>
  <si>
    <t>2x0</t>
  </si>
  <si>
    <t>2x1</t>
  </si>
  <si>
    <t>Lucro</t>
  </si>
  <si>
    <t>Revalida</t>
  </si>
  <si>
    <t>Data</t>
  </si>
  <si>
    <t>Goias x Operario</t>
  </si>
  <si>
    <t>Moss x Sandness</t>
  </si>
  <si>
    <t>Bryne x Asane</t>
  </si>
  <si>
    <t>Breidablink x KA</t>
  </si>
  <si>
    <t>Super Nova x Auda</t>
  </si>
  <si>
    <t>Tammeka x Narva Trans</t>
  </si>
  <si>
    <t>Odd x Hodd</t>
  </si>
  <si>
    <t>Neutro</t>
  </si>
  <si>
    <t>Tipster</t>
  </si>
  <si>
    <t>Valida</t>
  </si>
  <si>
    <t>Masterlist</t>
  </si>
  <si>
    <t>Ambos</t>
  </si>
  <si>
    <t>Fram x Reikjavik</t>
  </si>
  <si>
    <t>Escalações</t>
  </si>
  <si>
    <t>Ok!</t>
  </si>
  <si>
    <t>Bélgica x Irã</t>
  </si>
  <si>
    <t>  ICE</t>
  </si>
  <si>
    <t>  FIN</t>
  </si>
  <si>
    <t>  ECU</t>
  </si>
  <si>
    <t>Vancouver</t>
  </si>
  <si>
    <t>  BRA</t>
  </si>
  <si>
    <t>  CAN</t>
  </si>
  <si>
    <t>  NOR</t>
  </si>
  <si>
    <t>  USA</t>
  </si>
  <si>
    <t>Métodos</t>
  </si>
  <si>
    <t>Filtros</t>
  </si>
  <si>
    <t>Processo</t>
  </si>
  <si>
    <t>Lay 2x2</t>
  </si>
  <si>
    <t>BnR</t>
  </si>
  <si>
    <t>Lista;
Odd;
Liquidez</t>
  </si>
  <si>
    <t>BnR (a partir de 8)</t>
  </si>
  <si>
    <t>Contraponto</t>
  </si>
  <si>
    <t>Cscore</t>
  </si>
  <si>
    <t>Indicação Telegram</t>
  </si>
  <si>
    <t>Valida 0x1</t>
  </si>
  <si>
    <t>Lay CS</t>
  </si>
  <si>
    <t>Leo Farias</t>
  </si>
  <si>
    <t xml:space="preserve">Revalida / LTD+1x1 </t>
  </si>
  <si>
    <t>Sniperback / Over Limite</t>
  </si>
  <si>
    <t>BnR Robô</t>
  </si>
  <si>
    <t>Jogos ao vivo;
Se vier no BnR Robô, entrar
Se aparecer no Cscore, validar no BnR e chutes no Gol (3x1, 1x3 ou 2x2)</t>
  </si>
  <si>
    <t>Chengdu</t>
  </si>
  <si>
    <t>Cscore:
Odd Visitante &lt;2.6 + Over
Visitante melhor classificado que o mandante
Filtro individual (dados Academia das Apostas)
Race
Valor no Cscore
Escalações
Verifiicar lista SoccerStats para ver se estou perdendo oportunidade</t>
  </si>
  <si>
    <t>Bolsa de Apostas: Odds Fora &gt; 7
Filtro individual (dados Academia das Apostas)
Race
Valor no Cscore;
Escalações;
Verifiicar lista SoccerStats para ver se estou perdendo oportunidade</t>
  </si>
  <si>
    <t> ARG</t>
  </si>
  <si>
    <t>Deportivo Maipu</t>
  </si>
  <si>
    <t>SM Tucuman</t>
  </si>
  <si>
    <t>  ARG</t>
  </si>
  <si>
    <t>Nueva Chicago</t>
  </si>
  <si>
    <t>Agropecuario</t>
  </si>
  <si>
    <t>Ferro Carril</t>
  </si>
  <si>
    <t>Colon Santa Fe</t>
  </si>
  <si>
    <t>Ciudad Bolivar</t>
  </si>
  <si>
    <t>All Boys</t>
  </si>
  <si>
    <t>Temperley</t>
  </si>
  <si>
    <t>A. Rafaela</t>
  </si>
  <si>
    <t>  AUS</t>
  </si>
  <si>
    <t>Bentleigh G.</t>
  </si>
  <si>
    <t>Dandenong City</t>
  </si>
  <si>
    <t>Green Gully</t>
  </si>
  <si>
    <t>Dandenong T.</t>
  </si>
  <si>
    <t>Bayswater</t>
  </si>
  <si>
    <t>Sorrento</t>
  </si>
  <si>
    <t>Perth SC</t>
  </si>
  <si>
    <t>Western Knights</t>
  </si>
  <si>
    <t>Campbelltown</t>
  </si>
  <si>
    <t>Adelaide Comets</t>
  </si>
  <si>
    <t>West Torrens</t>
  </si>
  <si>
    <t>Para Hills</t>
  </si>
  <si>
    <t>Sydney FC B</t>
  </si>
  <si>
    <t>Manly Utd</t>
  </si>
  <si>
    <t>Bahia</t>
  </si>
  <si>
    <t>Chapecoense</t>
  </si>
  <si>
    <t>Fluminense</t>
  </si>
  <si>
    <t>Bragantino</t>
  </si>
  <si>
    <t>Mirassol</t>
  </si>
  <si>
    <t>Gremio</t>
  </si>
  <si>
    <t>America MG</t>
  </si>
  <si>
    <t>Ceara</t>
  </si>
  <si>
    <t>Juventude</t>
  </si>
  <si>
    <t>Cuiaba</t>
  </si>
  <si>
    <t>Sao Bernardo</t>
  </si>
  <si>
    <t>Avai</t>
  </si>
  <si>
    <t>A. Ottawa</t>
  </si>
  <si>
    <t>York Utd</t>
  </si>
  <si>
    <t>Supra du Quebec</t>
  </si>
  <si>
    <t>Vancouver FC</t>
  </si>
  <si>
    <t>  CHI</t>
  </si>
  <si>
    <t>Qingdao West C.</t>
  </si>
  <si>
    <t>Beijing Guoan</t>
  </si>
  <si>
    <t>Liaoning Tieren</t>
  </si>
  <si>
    <t>Henan SL</t>
  </si>
  <si>
    <t>Qingdao Hainiu</t>
  </si>
  <si>
    <t>Yunnan Yukun</t>
  </si>
  <si>
    <t>Shanghai Port</t>
  </si>
  <si>
    <t>Changchun Yatai</t>
  </si>
  <si>
    <t>Wuxi Wugou</t>
  </si>
  <si>
    <t>Suzhou Dongwu</t>
  </si>
  <si>
    <t>Shenzhen J.</t>
  </si>
  <si>
    <t>Foshan Nanshi</t>
  </si>
  <si>
    <t>Nantong Zhiyun</t>
  </si>
  <si>
    <t>S. Gongfu</t>
  </si>
  <si>
    <t>Yanbian Longdin</t>
  </si>
  <si>
    <t>Orense</t>
  </si>
  <si>
    <t>Emelec</t>
  </si>
  <si>
    <t>  EST</t>
  </si>
  <si>
    <t>Flora</t>
  </si>
  <si>
    <t>Nomme Utd</t>
  </si>
  <si>
    <t>KaPa</t>
  </si>
  <si>
    <t>SJK Akatemia</t>
  </si>
  <si>
    <t>Klubi-04</t>
  </si>
  <si>
    <t>Haka</t>
  </si>
  <si>
    <t>GrIFK</t>
  </si>
  <si>
    <t>AIFK</t>
  </si>
  <si>
    <t>Vaajakoski</t>
  </si>
  <si>
    <t>Huima/Urho</t>
  </si>
  <si>
    <t>Fylkir</t>
  </si>
  <si>
    <t>Njardvik</t>
  </si>
  <si>
    <t>Haukar</t>
  </si>
  <si>
    <t>Throttur Vogar</t>
  </si>
  <si>
    <t>KFG</t>
  </si>
  <si>
    <t>Kari</t>
  </si>
  <si>
    <t>Hviti Riddarinn</t>
  </si>
  <si>
    <t>V. Olafsvik</t>
  </si>
  <si>
    <t>Bodo/Glimt</t>
  </si>
  <si>
    <t>Fredrikstad</t>
  </si>
  <si>
    <t>  SOU</t>
  </si>
  <si>
    <t>Suwon FMC W</t>
  </si>
  <si>
    <t>Hwacheon W</t>
  </si>
  <si>
    <t>  SWE</t>
  </si>
  <si>
    <t>IFK Goteborg</t>
  </si>
  <si>
    <t>Brommapojkarna</t>
  </si>
  <si>
    <t>Mjallby</t>
  </si>
  <si>
    <t>Vasteras</t>
  </si>
  <si>
    <t>  URU</t>
  </si>
  <si>
    <t>Albion</t>
  </si>
  <si>
    <t>Juventud</t>
  </si>
  <si>
    <t>Nacional</t>
  </si>
  <si>
    <t>Wanderers</t>
  </si>
  <si>
    <t>Chicago Fire</t>
  </si>
  <si>
    <t>St. Louis City</t>
  </si>
  <si>
    <t>Sporting KC</t>
  </si>
  <si>
    <t>Seattle</t>
  </si>
  <si>
    <t>Portland</t>
  </si>
  <si>
    <t>LA</t>
  </si>
  <si>
    <t>  GER</t>
  </si>
  <si>
    <t>2.00</t>
  </si>
  <si>
    <t>1.00</t>
  </si>
  <si>
    <t>3.00</t>
  </si>
  <si>
    <t>0.00</t>
  </si>
  <si>
    <t>1.50</t>
  </si>
  <si>
    <t>2.50</t>
  </si>
  <si>
    <t>0.75</t>
  </si>
  <si>
    <t>1.75</t>
  </si>
  <si>
    <t>1.33</t>
  </si>
  <si>
    <t>2.25</t>
  </si>
  <si>
    <t>4.00</t>
  </si>
  <si>
    <t>1.40</t>
  </si>
  <si>
    <t>1.11</t>
  </si>
  <si>
    <t>1.56</t>
  </si>
  <si>
    <t>2.56</t>
  </si>
  <si>
    <t>1.89</t>
  </si>
  <si>
    <t>1.44</t>
  </si>
  <si>
    <t>2.10</t>
  </si>
  <si>
    <t>1.80</t>
  </si>
  <si>
    <t>3.90</t>
  </si>
  <si>
    <t>1.88</t>
  </si>
  <si>
    <t>0.63</t>
  </si>
  <si>
    <t>6.00</t>
  </si>
  <si>
    <t>1.63</t>
  </si>
  <si>
    <t>2.13</t>
  </si>
  <si>
    <t>3.44</t>
  </si>
  <si>
    <t>  NET</t>
  </si>
  <si>
    <t>  POR</t>
  </si>
  <si>
    <t>  ENG</t>
  </si>
  <si>
    <t>  SPA</t>
  </si>
  <si>
    <t>3.50</t>
  </si>
  <si>
    <t>0.50</t>
  </si>
  <si>
    <t>0.90</t>
  </si>
  <si>
    <t>1.90</t>
  </si>
  <si>
    <t>1.08</t>
  </si>
  <si>
    <t>1.58</t>
  </si>
  <si>
    <t>2.17</t>
  </si>
  <si>
    <t>  ARM</t>
  </si>
  <si>
    <t>5.50</t>
  </si>
  <si>
    <t>1.18</t>
  </si>
  <si>
    <t>1.64</t>
  </si>
  <si>
    <t>2.82</t>
  </si>
  <si>
    <t>3.36</t>
  </si>
  <si>
    <t>1.73</t>
  </si>
  <si>
    <t>1.36</t>
  </si>
  <si>
    <t>2.27</t>
  </si>
  <si>
    <t>0.64</t>
  </si>
  <si>
    <t>2.91</t>
  </si>
  <si>
    <t>0.91</t>
  </si>
  <si>
    <t>1.27</t>
  </si>
  <si>
    <t>0.40</t>
  </si>
  <si>
    <t>2.20</t>
  </si>
  <si>
    <t>1.60</t>
  </si>
  <si>
    <t>3.70</t>
  </si>
  <si>
    <t>1.20</t>
  </si>
  <si>
    <t>1.30</t>
  </si>
  <si>
    <t>3.80</t>
  </si>
  <si>
    <t>1.70</t>
  </si>
  <si>
    <t>1.10</t>
  </si>
  <si>
    <t>2.80</t>
  </si>
  <si>
    <t>2.90</t>
  </si>
  <si>
    <t>3.20</t>
  </si>
  <si>
    <t>5.00</t>
  </si>
  <si>
    <t>2.30</t>
  </si>
  <si>
    <t>3.10</t>
  </si>
  <si>
    <t>3.40</t>
  </si>
  <si>
    <t>2.60</t>
  </si>
  <si>
    <t>3.60</t>
  </si>
  <si>
    <t>1.22</t>
  </si>
  <si>
    <t>3.56</t>
  </si>
  <si>
    <t>1.38</t>
  </si>
  <si>
    <t>1.62</t>
  </si>
  <si>
    <t>0.83</t>
  </si>
  <si>
    <t>  BEL</t>
  </si>
  <si>
    <t>1.29</t>
  </si>
  <si>
    <t>2.14</t>
  </si>
  <si>
    <t>0.86</t>
  </si>
  <si>
    <t>1.25</t>
  </si>
  <si>
    <t>1.13</t>
  </si>
  <si>
    <t>2.38</t>
  </si>
  <si>
    <t>0.88</t>
  </si>
  <si>
    <t>3.43</t>
  </si>
  <si>
    <t>0.73</t>
  </si>
  <si>
    <t>2.36</t>
  </si>
  <si>
    <t>0.55</t>
  </si>
  <si>
    <t>1.09</t>
  </si>
  <si>
    <t>1.45</t>
  </si>
  <si>
    <t>1.55</t>
  </si>
  <si>
    <t>2.73</t>
  </si>
  <si>
    <t>  BUL</t>
  </si>
  <si>
    <t>0.89</t>
  </si>
  <si>
    <t>2.22</t>
  </si>
  <si>
    <t>0.56</t>
  </si>
  <si>
    <t>2.89</t>
  </si>
  <si>
    <t>0.67</t>
  </si>
  <si>
    <t>1.91</t>
  </si>
  <si>
    <t>2.45</t>
  </si>
  <si>
    <t>0.82</t>
  </si>
  <si>
    <t>2.18</t>
  </si>
  <si>
    <t>2.09</t>
  </si>
  <si>
    <t>  COL</t>
  </si>
  <si>
    <t>Botafogo</t>
  </si>
  <si>
    <t>Rosario Central</t>
  </si>
  <si>
    <t>Corinthians</t>
  </si>
  <si>
    <t>  CRO</t>
  </si>
  <si>
    <t>  CZE</t>
  </si>
  <si>
    <t>  DEN</t>
  </si>
  <si>
    <t>3.33</t>
  </si>
  <si>
    <t>0.78</t>
  </si>
  <si>
    <t>2.67</t>
  </si>
  <si>
    <t>0.44</t>
  </si>
  <si>
    <t>4.50</t>
  </si>
  <si>
    <t>  HUN</t>
  </si>
  <si>
    <t>2.88</t>
  </si>
  <si>
    <t>2.75</t>
  </si>
  <si>
    <t>  JAP</t>
  </si>
  <si>
    <t>3.13</t>
  </si>
  <si>
    <t>2.11</t>
  </si>
  <si>
    <t>2.33</t>
  </si>
  <si>
    <t>0.20</t>
  </si>
  <si>
    <t>  PAR</t>
  </si>
  <si>
    <t>  POL</t>
  </si>
  <si>
    <t>  ROM</t>
  </si>
  <si>
    <t>  RUS</t>
  </si>
  <si>
    <t>3.11</t>
  </si>
  <si>
    <t>2.78</t>
  </si>
  <si>
    <t>3.38</t>
  </si>
  <si>
    <t>1.78</t>
  </si>
  <si>
    <t>1.67</t>
  </si>
  <si>
    <t>3.63</t>
  </si>
  <si>
    <t>3.25</t>
  </si>
  <si>
    <t>0.38</t>
  </si>
  <si>
    <t>1.17</t>
  </si>
  <si>
    <t>3.67</t>
  </si>
  <si>
    <t>1.14</t>
  </si>
  <si>
    <t>3.29</t>
  </si>
  <si>
    <t>1.86</t>
  </si>
  <si>
    <t>0.57</t>
  </si>
  <si>
    <t>2.43</t>
  </si>
  <si>
    <t>  TUR</t>
  </si>
  <si>
    <t>  UKR</t>
  </si>
  <si>
    <t>7.00</t>
  </si>
  <si>
    <t>Telstar</t>
  </si>
  <si>
    <t>Sparta</t>
  </si>
  <si>
    <t>Sporting CP</t>
  </si>
  <si>
    <t>Guimaraes</t>
  </si>
  <si>
    <t>Wolverhampton</t>
  </si>
  <si>
    <t>Blackburn</t>
  </si>
  <si>
    <t>Real Sociedad B</t>
  </si>
  <si>
    <t>Castellon</t>
  </si>
  <si>
    <t>  FRA</t>
  </si>
  <si>
    <t>Annecy</t>
  </si>
  <si>
    <t>Rodez Aveyron</t>
  </si>
  <si>
    <t>Dijon</t>
  </si>
  <si>
    <t>Pau FC</t>
  </si>
  <si>
    <t>Grenoble</t>
  </si>
  <si>
    <t>Metz</t>
  </si>
  <si>
    <t>Guingamp</t>
  </si>
  <si>
    <t>Boulogne</t>
  </si>
  <si>
    <t>Laval</t>
  </si>
  <si>
    <t>Nantes</t>
  </si>
  <si>
    <t>Nancy</t>
  </si>
  <si>
    <t>Montpellier</t>
  </si>
  <si>
    <t>Red Star</t>
  </si>
  <si>
    <t>Sochaux</t>
  </si>
  <si>
    <t>Reims</t>
  </si>
  <si>
    <t>USL Dunkerque</t>
  </si>
  <si>
    <t>Saint-Etienne</t>
  </si>
  <si>
    <t>Clermont</t>
  </si>
  <si>
    <t>Braunschweig</t>
  </si>
  <si>
    <t>Bochum</t>
  </si>
  <si>
    <t>Holstein Kiel</t>
  </si>
  <si>
    <t>Sankt Pauli</t>
  </si>
  <si>
    <t>Almere City</t>
  </si>
  <si>
    <t>Jong PSV</t>
  </si>
  <si>
    <t>FC Eindhoven</t>
  </si>
  <si>
    <t>MVV Maastricht</t>
  </si>
  <si>
    <t>Heracles Almelo</t>
  </si>
  <si>
    <t>FC Den Bosch</t>
  </si>
  <si>
    <t>NAC Breda</t>
  </si>
  <si>
    <t>VVV</t>
  </si>
  <si>
    <t>RKC Waalwijk</t>
  </si>
  <si>
    <t>FC Dordrecht</t>
  </si>
  <si>
    <t>Roda JC</t>
  </si>
  <si>
    <t>Helmond Sport</t>
  </si>
  <si>
    <t>Racing Club</t>
  </si>
  <si>
    <t>Banfield</t>
  </si>
  <si>
    <t>Acassuso</t>
  </si>
  <si>
    <t>Midland</t>
  </si>
  <si>
    <t>D. de Belgrano</t>
  </si>
  <si>
    <t>Gandzasar</t>
  </si>
  <si>
    <t>Shirak</t>
  </si>
  <si>
    <t>Altona Magic</t>
  </si>
  <si>
    <t>3.64</t>
  </si>
  <si>
    <t>Oakleigh C.</t>
  </si>
  <si>
    <t>St. Albans</t>
  </si>
  <si>
    <t>0.30</t>
  </si>
  <si>
    <t>Brisbane Roar B</t>
  </si>
  <si>
    <t>Gold C. Knights</t>
  </si>
  <si>
    <t>Gold C. Utd</t>
  </si>
  <si>
    <t>Eastern Suburbs</t>
  </si>
  <si>
    <t>Moreton City E.</t>
  </si>
  <si>
    <t>Q. Lions</t>
  </si>
  <si>
    <t>4.10</t>
  </si>
  <si>
    <t>Olympic FC</t>
  </si>
  <si>
    <t>Rochedale</t>
  </si>
  <si>
    <t>Peninsula</t>
  </si>
  <si>
    <t>Brisbane City</t>
  </si>
  <si>
    <t>4.60</t>
  </si>
  <si>
    <t>Wynnum Wolves</t>
  </si>
  <si>
    <t>Magic United</t>
  </si>
  <si>
    <t>4.78</t>
  </si>
  <si>
    <t>Stirling</t>
  </si>
  <si>
    <t>1.15</t>
  </si>
  <si>
    <t>2.54</t>
  </si>
  <si>
    <t>St George City</t>
  </si>
  <si>
    <t>LASK Linz</t>
  </si>
  <si>
    <t>Ried</t>
  </si>
  <si>
    <t>WSPG Wels</t>
  </si>
  <si>
    <t>Rapid Wien B</t>
  </si>
  <si>
    <t>St. Polten</t>
  </si>
  <si>
    <t>BW Linz</t>
  </si>
  <si>
    <t>  AZE</t>
  </si>
  <si>
    <t>Kapaz</t>
  </si>
  <si>
    <t>Sabah</t>
  </si>
  <si>
    <t>Turan</t>
  </si>
  <si>
    <t>Qabala</t>
  </si>
  <si>
    <t>Arsenal D.</t>
  </si>
  <si>
    <t>Slavia Mozyr</t>
  </si>
  <si>
    <t>Dnepr Mogilev</t>
  </si>
  <si>
    <t>Belshina</t>
  </si>
  <si>
    <t>0.43</t>
  </si>
  <si>
    <t>Cercle Brugge</t>
  </si>
  <si>
    <t>Sint-Truiden</t>
  </si>
  <si>
    <t>S. Hasselt</t>
  </si>
  <si>
    <t>Dender</t>
  </si>
  <si>
    <t>Seraing</t>
  </si>
  <si>
    <t>Lokeren-Temse</t>
  </si>
  <si>
    <t>  BOS</t>
  </si>
  <si>
    <t>Celik</t>
  </si>
  <si>
    <t>Siroki Brijeg</t>
  </si>
  <si>
    <t>Ponte Preta</t>
  </si>
  <si>
    <t>Nautico</t>
  </si>
  <si>
    <t>Botafogo SP</t>
  </si>
  <si>
    <t>Sport Recife</t>
  </si>
  <si>
    <t>Londrina</t>
  </si>
  <si>
    <t>CSKA 1948 Sofia</t>
  </si>
  <si>
    <t>Cherno More</t>
  </si>
  <si>
    <t>Fratria</t>
  </si>
  <si>
    <t>Beroe</t>
  </si>
  <si>
    <t>U. Concepcion</t>
  </si>
  <si>
    <t>La Serena</t>
  </si>
  <si>
    <t>Curico Unido</t>
  </si>
  <si>
    <t>CD Santa Cruz</t>
  </si>
  <si>
    <t>D. Iquique</t>
  </si>
  <si>
    <t>Copiapo</t>
  </si>
  <si>
    <t>3.73</t>
  </si>
  <si>
    <t>Shandong T.</t>
  </si>
  <si>
    <t>0.36</t>
  </si>
  <si>
    <t>Wuhan Three T.</t>
  </si>
  <si>
    <t>Chongqing T.</t>
  </si>
  <si>
    <t>Llaneros</t>
  </si>
  <si>
    <t>Deportes Tolima</t>
  </si>
  <si>
    <t> COPASU</t>
  </si>
  <si>
    <t>Cienciano</t>
  </si>
  <si>
    <t> LIB</t>
  </si>
  <si>
    <t>Dinamo Zagreb</t>
  </si>
  <si>
    <t>Rudes</t>
  </si>
  <si>
    <t>Dukla Praha</t>
  </si>
  <si>
    <t>Slavia Prague B</t>
  </si>
  <si>
    <t>Kladno</t>
  </si>
  <si>
    <t>Vlasim</t>
  </si>
  <si>
    <t>Viborg</t>
  </si>
  <si>
    <t>AGF Aarhus</t>
  </si>
  <si>
    <t>Aalborg BK</t>
  </si>
  <si>
    <t>Fredericia</t>
  </si>
  <si>
    <t>Kolding IF</t>
  </si>
  <si>
    <t>Vejle BK</t>
  </si>
  <si>
    <t>Hellerup IK</t>
  </si>
  <si>
    <t>FA 2000</t>
  </si>
  <si>
    <t>Brabrand</t>
  </si>
  <si>
    <t>Naestved</t>
  </si>
  <si>
    <t>Nykobing</t>
  </si>
  <si>
    <t>B 93</t>
  </si>
  <si>
    <t>Skive</t>
  </si>
  <si>
    <t>Fremad Amager</t>
  </si>
  <si>
    <t>Dagenham e R.</t>
  </si>
  <si>
    <t>Farnham Town</t>
  </si>
  <si>
    <t>AFC Emley</t>
  </si>
  <si>
    <t>Curzon</t>
  </si>
  <si>
    <t>4.45</t>
  </si>
  <si>
    <t>Tammeka</t>
  </si>
  <si>
    <t>VPS</t>
  </si>
  <si>
    <t>TPS</t>
  </si>
  <si>
    <t>JaPS</t>
  </si>
  <si>
    <t>Amiens</t>
  </si>
  <si>
    <t>La Roche</t>
  </si>
  <si>
    <t>Aubagne</t>
  </si>
  <si>
    <t>SC Bastia</t>
  </si>
  <si>
    <t>Cannes</t>
  </si>
  <si>
    <t>Fleury-Merogis</t>
  </si>
  <si>
    <t>Orleans</t>
  </si>
  <si>
    <t>Rouen</t>
  </si>
  <si>
    <t>Quevilly Rouen</t>
  </si>
  <si>
    <t>Concarneau</t>
  </si>
  <si>
    <t>Thionville L.</t>
  </si>
  <si>
    <t>Caen</t>
  </si>
  <si>
    <t>Valenciennes</t>
  </si>
  <si>
    <t>Bourg-en-Bresse</t>
  </si>
  <si>
    <t>Versailles</t>
  </si>
  <si>
    <t>Le Puy</t>
  </si>
  <si>
    <t>Villefranche</t>
  </si>
  <si>
    <t>Paris 13 A.</t>
  </si>
  <si>
    <t>Wurzburger K.</t>
  </si>
  <si>
    <t>Wehen Wiesbaden</t>
  </si>
  <si>
    <t>Babelsberg</t>
  </si>
  <si>
    <t>RSV Eintracht</t>
  </si>
  <si>
    <t>Chemie Leipzig</t>
  </si>
  <si>
    <t>Carl Zeiss Jena</t>
  </si>
  <si>
    <t>Hertha Berlin B</t>
  </si>
  <si>
    <t>BFC Dynamo</t>
  </si>
  <si>
    <t>Zwickau</t>
  </si>
  <si>
    <t>Luckenwalde</t>
  </si>
  <si>
    <t>Bergisch G.</t>
  </si>
  <si>
    <t>Dortmund B</t>
  </si>
  <si>
    <t>Bonner SC</t>
  </si>
  <si>
    <t>Lotte</t>
  </si>
  <si>
    <t>Schalke 04 B</t>
  </si>
  <si>
    <t>S. Siegen</t>
  </si>
  <si>
    <t>W. Rhynern</t>
  </si>
  <si>
    <t>Wiedenbruck</t>
  </si>
  <si>
    <t>Ulm</t>
  </si>
  <si>
    <t>Kickers Offenb.</t>
  </si>
  <si>
    <t>Augsburg B</t>
  </si>
  <si>
    <t>Vilzing</t>
  </si>
  <si>
    <t>Eichstatt</t>
  </si>
  <si>
    <t>Ansbach</t>
  </si>
  <si>
    <t>Greuther F. B</t>
  </si>
  <si>
    <t>Landsberg</t>
  </si>
  <si>
    <t>Buchbach</t>
  </si>
  <si>
    <t>Aubstadt</t>
  </si>
  <si>
    <t>Eltersdorf</t>
  </si>
  <si>
    <t>Nurnberg B</t>
  </si>
  <si>
    <t>Illertissen</t>
  </si>
  <si>
    <t>Unterhaching</t>
  </si>
  <si>
    <t>Memmingen</t>
  </si>
  <si>
    <t>1860 Munchen</t>
  </si>
  <si>
    <t>Schweinfurt</t>
  </si>
  <si>
    <t>Bayreuth</t>
  </si>
  <si>
    <t>W. Burghausen</t>
  </si>
  <si>
    <t>Schwaben A.</t>
  </si>
  <si>
    <t>Honved</t>
  </si>
  <si>
    <t>Vasas</t>
  </si>
  <si>
    <t>Tokyo Verdy</t>
  </si>
  <si>
    <t>Kashiwa Reysol</t>
  </si>
  <si>
    <t>Rosenborg</t>
  </si>
  <si>
    <t>Viking</t>
  </si>
  <si>
    <t>Bodo/Glimt W</t>
  </si>
  <si>
    <t>Valerenga W</t>
  </si>
  <si>
    <t>D. Recoleta</t>
  </si>
  <si>
    <t>2 de Mayo</t>
  </si>
  <si>
    <t>Legia Warsaw</t>
  </si>
  <si>
    <t>Radomiak Radom</t>
  </si>
  <si>
    <t>Grodzisk M.</t>
  </si>
  <si>
    <t>Stal Rzeszow</t>
  </si>
  <si>
    <t>Ruch Chorzow</t>
  </si>
  <si>
    <t>Lechia Gdansk</t>
  </si>
  <si>
    <t>Gornik Leczna</t>
  </si>
  <si>
    <t>NKP Podhale</t>
  </si>
  <si>
    <t>Académica</t>
  </si>
  <si>
    <t>Feirense</t>
  </si>
  <si>
    <t>Voluntari</t>
  </si>
  <si>
    <t>Petrolul</t>
  </si>
  <si>
    <t>Arges</t>
  </si>
  <si>
    <t>Farul Constanta</t>
  </si>
  <si>
    <t>Orenburg</t>
  </si>
  <si>
    <t>Lokomotiv M.</t>
  </si>
  <si>
    <t>  SAU</t>
  </si>
  <si>
    <t>Neom SC</t>
  </si>
  <si>
    <t>Al Feiha</t>
  </si>
  <si>
    <t>Al Hilal</t>
  </si>
  <si>
    <t>Al Faisaly</t>
  </si>
  <si>
    <t>Al Ittifaq</t>
  </si>
  <si>
    <t>Al Riyadh</t>
  </si>
  <si>
    <t>Stellenbosch</t>
  </si>
  <si>
    <t>Marumo G.</t>
  </si>
  <si>
    <t>Seoul W</t>
  </si>
  <si>
    <t>Gyeongju W</t>
  </si>
  <si>
    <t>Mungyeong W</t>
  </si>
  <si>
    <t>Elfsborg</t>
  </si>
  <si>
    <t>Brage</t>
  </si>
  <si>
    <t>Orebro</t>
  </si>
  <si>
    <t>Landskrona</t>
  </si>
  <si>
    <t>Oddevold</t>
  </si>
  <si>
    <t>AFC Eskilstuna</t>
  </si>
  <si>
    <t>Hammarby Talang</t>
  </si>
  <si>
    <t>Lund</t>
  </si>
  <si>
    <t>Hassleholms IF</t>
  </si>
  <si>
    <t>Vaxjo W</t>
  </si>
  <si>
    <t>Djurgarden W</t>
  </si>
  <si>
    <t>Galatasaray</t>
  </si>
  <si>
    <t>Corum</t>
  </si>
  <si>
    <t>Erokspor</t>
  </si>
  <si>
    <t>Sariyer</t>
  </si>
  <si>
    <t>Episentr</t>
  </si>
  <si>
    <t>Veres</t>
  </si>
  <si>
    <t>Boston River</t>
  </si>
  <si>
    <t>Danubio</t>
  </si>
  <si>
    <t>  WAL</t>
  </si>
  <si>
    <t>Airbus UK</t>
  </si>
  <si>
    <t>Ammanford</t>
  </si>
  <si>
    <t>Cambrian e Clyd</t>
  </si>
  <si>
    <t>Flint</t>
  </si>
  <si>
    <t>Connahs Quay</t>
  </si>
  <si>
    <t>Trefelin</t>
  </si>
  <si>
    <t>Haverfordwest</t>
  </si>
  <si>
    <t>Penybont</t>
  </si>
  <si>
    <t>Llandudno</t>
  </si>
  <si>
    <t>Holywell</t>
  </si>
  <si>
    <t>The New Saints</t>
  </si>
  <si>
    <t>Briton Ferry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</si>
</sst>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20" x14ac:knownFonts="1">
    <font>
      <sz val="10"/>
      <color theme="1"/>
      <name val="Arial"/>
      <family val="2"/>
    </font>
    <font>
      <sz val="7"/>
      <color rgb="FF444444"/>
      <name val="Segoe UI"/>
      <family val="2"/>
    </font>
    <font>
      <b/>
      <sz val="7"/>
      <color rgb="FF444444"/>
      <name val="Segoe UI"/>
      <family val="2"/>
    </font>
    <font>
      <sz val="8"/>
      <color rgb="FF000000"/>
      <name val="Segoe UI"/>
      <family val="2"/>
    </font>
    <font>
      <sz val="7"/>
      <color rgb="FF111111"/>
      <name val="Segoe UI"/>
      <family val="2"/>
    </font>
    <font>
      <sz val="7.5"/>
      <color rgb="FF808080"/>
      <name val="Segoe UI"/>
      <family val="2"/>
    </font>
    <font>
      <sz val="7"/>
      <color rgb="FF000000"/>
      <name val="Segoe UI"/>
      <family val="2"/>
    </font>
    <font>
      <sz val="7"/>
      <color rgb="FFFF0000"/>
      <name val="Segoe UI"/>
      <family val="2"/>
    </font>
    <font>
      <sz val="7"/>
      <color rgb="FF008000"/>
      <name val="Segoe UI"/>
      <family val="2"/>
    </font>
    <font>
      <b/>
      <sz val="7"/>
      <color rgb="FF000000"/>
      <name val="Segoe UI"/>
      <family val="2"/>
    </font>
    <font>
      <sz val="7"/>
      <color rgb="FF666666"/>
      <name val="Segoe UI"/>
      <family val="2"/>
    </font>
    <font>
      <sz val="7"/>
      <color rgb="FF0000FF"/>
      <name val="Segoe UI"/>
      <family val="2"/>
    </font>
    <font>
      <u/>
      <sz val="10"/>
      <color theme="10"/>
      <name val="Arial"/>
      <family val="2"/>
    </font>
    <font>
      <sz val="8"/>
      <color rgb="FF000000"/>
      <name val="Arial"/>
      <family val="2"/>
    </font>
    <font>
      <sz val="8"/>
      <color theme="1"/>
      <name val="Arial"/>
      <family val="2"/>
    </font>
    <font>
      <b/>
      <sz val="8"/>
      <color rgb="FF444444"/>
      <name val="Arial"/>
      <family val="2"/>
    </font>
    <font>
      <b/>
      <sz val="8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7"/>
      <color theme="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rgb="FFDDDDDD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/>
      <diagonal/>
    </border>
  </borders>
  <cellStyleXfs count="3">
    <xf numFmtId="0" fontId="0" fillId="0" borderId="0"/>
    <xf numFmtId="0" fontId="12" fillId="0" borderId="0" applyNumberFormat="0" applyFill="0" applyBorder="0" applyAlignment="0" applyProtection="0"/>
    <xf numFmtId="9" fontId="18" fillId="0" borderId="0" applyFont="0" applyFill="0" applyBorder="0" applyAlignment="0" applyProtection="0"/>
  </cellStyleXfs>
  <cellXfs count="68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2" fillId="2" borderId="1" xfId="1" applyFill="1" applyBorder="1" applyAlignment="1">
      <alignment vertical="center" wrapText="1"/>
    </xf>
    <xf numFmtId="0" fontId="4" fillId="2" borderId="1" xfId="0" applyFont="1" applyFill="1" applyBorder="1" applyAlignment="1">
      <alignment horizontal="right" vertical="center" wrapText="1"/>
    </xf>
    <xf numFmtId="20" fontId="5" fillId="2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9" fontId="6" fillId="2" borderId="1" xfId="0" applyNumberFormat="1" applyFont="1" applyFill="1" applyBorder="1" applyAlignment="1">
      <alignment horizontal="center" vertical="center" wrapText="1"/>
    </xf>
    <xf numFmtId="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9" fontId="11" fillId="2" borderId="1" xfId="0" applyNumberFormat="1" applyFont="1" applyFill="1" applyBorder="1" applyAlignment="1">
      <alignment horizontal="center" vertical="center" wrapText="1"/>
    </xf>
    <xf numFmtId="0" fontId="2" fillId="3" borderId="0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4" fontId="13" fillId="0" borderId="0" xfId="0" applyNumberFormat="1" applyFont="1" applyFill="1" applyBorder="1" applyAlignment="1">
      <alignment horizontal="center" vertical="center" wrapText="1"/>
    </xf>
    <xf numFmtId="0" fontId="14" fillId="0" borderId="0" xfId="0" applyFont="1" applyFill="1" applyAlignment="1">
      <alignment horizontal="center" vertical="center"/>
    </xf>
    <xf numFmtId="0" fontId="15" fillId="0" borderId="0" xfId="0" applyFont="1" applyFill="1" applyBorder="1" applyAlignment="1">
      <alignment horizontal="center" vertical="center" wrapText="1"/>
    </xf>
    <xf numFmtId="0" fontId="15" fillId="6" borderId="0" xfId="0" applyFont="1" applyFill="1" applyBorder="1" applyAlignment="1">
      <alignment horizontal="center" vertical="center" wrapText="1"/>
    </xf>
    <xf numFmtId="0" fontId="15" fillId="5" borderId="0" xfId="0" applyFont="1" applyFill="1" applyBorder="1" applyAlignment="1">
      <alignment horizontal="center" vertical="center" wrapText="1"/>
    </xf>
    <xf numFmtId="0" fontId="16" fillId="4" borderId="0" xfId="0" applyFont="1" applyFill="1" applyAlignment="1">
      <alignment horizontal="center" vertical="center"/>
    </xf>
    <xf numFmtId="3" fontId="13" fillId="0" borderId="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7" fillId="0" borderId="0" xfId="0" applyFont="1" applyAlignment="1">
      <alignment vertical="center"/>
    </xf>
    <xf numFmtId="0" fontId="17" fillId="0" borderId="0" xfId="0" applyFont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9" fontId="0" fillId="0" borderId="0" xfId="0" applyNumberFormat="1"/>
    <xf numFmtId="164" fontId="0" fillId="0" borderId="0" xfId="2" applyNumberFormat="1" applyFont="1"/>
    <xf numFmtId="10" fontId="0" fillId="0" borderId="0" xfId="2" applyNumberFormat="1" applyFont="1"/>
    <xf numFmtId="0" fontId="17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left" vertical="center" wrapText="1"/>
    </xf>
    <xf numFmtId="0" fontId="17" fillId="0" borderId="6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left" vertical="center" wrapText="1"/>
    </xf>
    <xf numFmtId="0" fontId="0" fillId="0" borderId="6" xfId="0" applyBorder="1" applyAlignment="1">
      <alignment horizontal="left" vertical="center"/>
    </xf>
    <xf numFmtId="0" fontId="17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horizontal="left" vertical="center" wrapText="1"/>
    </xf>
    <xf numFmtId="0" fontId="12" fillId="3" borderId="1" xfId="1" applyFill="1" applyBorder="1" applyAlignment="1">
      <alignment vertical="center" wrapText="1"/>
    </xf>
    <xf numFmtId="9" fontId="6" fillId="3" borderId="1" xfId="0" applyNumberFormat="1" applyFont="1" applyFill="1" applyBorder="1" applyAlignment="1">
      <alignment horizontal="center" vertical="center" wrapText="1"/>
    </xf>
    <xf numFmtId="9" fontId="7" fillId="3" borderId="1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right" vertical="center" wrapText="1"/>
    </xf>
    <xf numFmtId="20" fontId="5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horizontal="center" vertical="center" wrapText="1"/>
    </xf>
    <xf numFmtId="14" fontId="19" fillId="0" borderId="0" xfId="0" applyNumberFormat="1" applyFont="1"/>
    <xf numFmtId="0" fontId="3" fillId="3" borderId="1" xfId="0" applyFont="1" applyFill="1" applyBorder="1" applyAlignment="1">
      <alignment vertical="center" wrapText="1"/>
    </xf>
    <xf numFmtId="0" fontId="17" fillId="0" borderId="0" xfId="0" applyFont="1" applyAlignment="1">
      <alignment horizontal="center" vertical="center"/>
    </xf>
  </cellXfs>
  <cellStyles count="3">
    <cellStyle name="Hiperlink" xfId="1" builtinId="8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soccerstats.com/h2h.asp?league=bosnia&amp;fmid=8&amp;t1id=6&amp;t2id=3&amp;ly=2026" TargetMode="External"/><Relationship Id="rId671" Type="http://schemas.openxmlformats.org/officeDocument/2006/relationships/hyperlink" Target="https://www.soccerstats.com/h2h.asp?league=england2&amp;fmid=11&amp;t1id=21&amp;t2id=22&amp;ly=2026" TargetMode="External"/><Relationship Id="rId769" Type="http://schemas.openxmlformats.org/officeDocument/2006/relationships/hyperlink" Target="https://www.soccerstats.com/pmatch.asp?league=estonia&amp;stats=112-5-4-2026" TargetMode="External"/><Relationship Id="rId21" Type="http://schemas.openxmlformats.org/officeDocument/2006/relationships/hyperlink" Target="https://www.soccerstats.com/h2h.asp?league=england3&amp;fmid=12&amp;t1id=23&amp;t2id=24&amp;ly=2026" TargetMode="External"/><Relationship Id="rId324" Type="http://schemas.openxmlformats.org/officeDocument/2006/relationships/hyperlink" Target="https://www.soccerstats.com/pmatch.asp?league=kazakhstan&amp;stats=32-8-6-2026" TargetMode="External"/><Relationship Id="rId531" Type="http://schemas.openxmlformats.org/officeDocument/2006/relationships/hyperlink" Target="https://www.soccerstats.com/h2h.asp?league=netherlands2&amp;fmid=16&amp;t1id=12&amp;t2id=17&amp;ly=2026" TargetMode="External"/><Relationship Id="rId629" Type="http://schemas.openxmlformats.org/officeDocument/2006/relationships/hyperlink" Target="https://www.soccerstats.com/h2h.asp?league=poland&amp;fmid=34&amp;t1id=4&amp;t2id=1&amp;ly=2026" TargetMode="External"/><Relationship Id="rId170" Type="http://schemas.openxmlformats.org/officeDocument/2006/relationships/hyperlink" Target="https://www.soccerstats.com/h2h.asp?league=denmark2&amp;fmid=22&amp;t1id=7&amp;t2id=11&amp;ly=2026" TargetMode="External"/><Relationship Id="rId836" Type="http://schemas.openxmlformats.org/officeDocument/2006/relationships/hyperlink" Target="https://www.soccerstats.com/pmatch.asp?league=norway&amp;stats=144-8-3-2026" TargetMode="External"/><Relationship Id="rId268" Type="http://schemas.openxmlformats.org/officeDocument/2006/relationships/hyperlink" Target="https://www.soccerstats.com/pmatch.asp?league=germany5&amp;stats=42-10-11-2027" TargetMode="External"/><Relationship Id="rId475" Type="http://schemas.openxmlformats.org/officeDocument/2006/relationships/hyperlink" Target="https://www.soccerstats.com/pmatch.asp?league=usa2&amp;stats=236-8-7-2026" TargetMode="External"/><Relationship Id="rId682" Type="http://schemas.openxmlformats.org/officeDocument/2006/relationships/hyperlink" Target="https://www.soccerstats.com/pmatch.asp?league=argentina2&amp;stats=65-21-2-2026" TargetMode="External"/><Relationship Id="rId903" Type="http://schemas.openxmlformats.org/officeDocument/2006/relationships/hyperlink" Target="https://www.soccerstats.com/pmatch.asp?league=sweden11&amp;stats=94-2-6-2026" TargetMode="External"/><Relationship Id="rId32" Type="http://schemas.openxmlformats.org/officeDocument/2006/relationships/hyperlink" Target="https://www.soccerstats.com/h2h.asp?league=england4&amp;fmid=12&amp;t1id=23&amp;t2id=24&amp;ly=2026" TargetMode="External"/><Relationship Id="rId128" Type="http://schemas.openxmlformats.org/officeDocument/2006/relationships/hyperlink" Target="https://www.soccerstats.com/pmatch.asp?league=brazil3&amp;stats=165-13-9-2026" TargetMode="External"/><Relationship Id="rId335" Type="http://schemas.openxmlformats.org/officeDocument/2006/relationships/hyperlink" Target="https://www.soccerstats.com/h2h.asp?league=netherlands3&amp;fmid=3&amp;t1id=5&amp;t2id=6&amp;ly=2026" TargetMode="External"/><Relationship Id="rId542" Type="http://schemas.openxmlformats.org/officeDocument/2006/relationships/hyperlink" Target="https://www.soccerstats.com/pmatch.asp?league=australia3&amp;stats=164-13-4-2026" TargetMode="External"/><Relationship Id="rId181" Type="http://schemas.openxmlformats.org/officeDocument/2006/relationships/hyperlink" Target="https://www.soccerstats.com/h2h.asp?league=england6&amp;fmid=20&amp;t1id=10&amp;t2id=1&amp;ly=2026" TargetMode="External"/><Relationship Id="rId402" Type="http://schemas.openxmlformats.org/officeDocument/2006/relationships/hyperlink" Target="https://www.soccerstats.com/h2h.asp?league=scotland3&amp;fmid=12&amp;t1id=1&amp;t2id=10&amp;ly=2026" TargetMode="External"/><Relationship Id="rId847" Type="http://schemas.openxmlformats.org/officeDocument/2006/relationships/hyperlink" Target="https://www.soccerstats.com/pmatch.asp?league=norway3&amp;stats=111-1-3-2026" TargetMode="External"/><Relationship Id="rId279" Type="http://schemas.openxmlformats.org/officeDocument/2006/relationships/hyperlink" Target="https://www.soccerstats.com/h2h.asp?league=guatemala&amp;fmid=19&amp;t1id=8&amp;t2id=3&amp;ly=2026" TargetMode="External"/><Relationship Id="rId486" Type="http://schemas.openxmlformats.org/officeDocument/2006/relationships/hyperlink" Target="https://www.soccerstats.com/pmatch.asp?league=usa6&amp;stats=149-6-7-2026" TargetMode="External"/><Relationship Id="rId693" Type="http://schemas.openxmlformats.org/officeDocument/2006/relationships/hyperlink" Target="https://www.soccerstats.com/pmatch.asp?league=australia7&amp;stats=128-6-10-2026" TargetMode="External"/><Relationship Id="rId707" Type="http://schemas.openxmlformats.org/officeDocument/2006/relationships/hyperlink" Target="https://www.soccerstats.com/h2h.asp?league=austria2&amp;fmid=18&amp;t1id=13&amp;t2id=6&amp;ly=2026" TargetMode="External"/><Relationship Id="rId914" Type="http://schemas.openxmlformats.org/officeDocument/2006/relationships/hyperlink" Target="https://www.soccerstats.com/h2h.asp?league=uruguay3&amp;fmid=5&amp;t1id=9&amp;t2id=10&amp;ly=2026" TargetMode="External"/><Relationship Id="rId43" Type="http://schemas.openxmlformats.org/officeDocument/2006/relationships/hyperlink" Target="https://www.soccerstats.com/h2h.asp?league=england5&amp;fmid=23&amp;t1id=8&amp;t2id=5&amp;ly=2026" TargetMode="External"/><Relationship Id="rId139" Type="http://schemas.openxmlformats.org/officeDocument/2006/relationships/hyperlink" Target="https://www.soccerstats.com/pmatch.asp?league=canada&amp;stats=64-3-5-2026" TargetMode="External"/><Relationship Id="rId346" Type="http://schemas.openxmlformats.org/officeDocument/2006/relationships/hyperlink" Target="https://www.soccerstats.com/h2h.asp?league=northmacedonia&amp;fmid=11&amp;t1id=2&amp;t2id=4&amp;ly=2026" TargetMode="External"/><Relationship Id="rId553" Type="http://schemas.openxmlformats.org/officeDocument/2006/relationships/hyperlink" Target="https://www.soccerstats.com/h2h.asp?league=austria2&amp;fmid=17&amp;t1id=15&amp;t2id=10&amp;ly=2026" TargetMode="External"/><Relationship Id="rId760" Type="http://schemas.openxmlformats.org/officeDocument/2006/relationships/hyperlink" Target="https://www.soccerstats.com/h2h.asp?league=czechrepublic2&amp;fmid=32&amp;t1id=8&amp;t2id=13&amp;ly=2026" TargetMode="External"/><Relationship Id="rId192" Type="http://schemas.openxmlformats.org/officeDocument/2006/relationships/hyperlink" Target="https://www.soccerstats.com/h2h.asp?league=england7&amp;fmid=20&amp;t1id=24&amp;t2id=7&amp;ly=2026" TargetMode="External"/><Relationship Id="rId206" Type="http://schemas.openxmlformats.org/officeDocument/2006/relationships/hyperlink" Target="https://www.soccerstats.com/h2h.asp?league=england8&amp;fmid=438&amp;t1id=12&amp;t2id=9&amp;ly=2026" TargetMode="External"/><Relationship Id="rId413" Type="http://schemas.openxmlformats.org/officeDocument/2006/relationships/hyperlink" Target="https://www.soccerstats.com/h2h.asp?league=serbia&amp;fmid=33&amp;t1id=1&amp;t2id=3&amp;ly=2026" TargetMode="External"/><Relationship Id="rId858" Type="http://schemas.openxmlformats.org/officeDocument/2006/relationships/hyperlink" Target="https://www.soccerstats.com/h2h.asp?league=poland&amp;fmid=35&amp;t1id=10&amp;t2id=11&amp;ly=2026" TargetMode="External"/><Relationship Id="rId497" Type="http://schemas.openxmlformats.org/officeDocument/2006/relationships/hyperlink" Target="https://www.soccerstats.com/pmatch.asp?league=chile2&amp;stats=154-4-9-2026" TargetMode="External"/><Relationship Id="rId620" Type="http://schemas.openxmlformats.org/officeDocument/2006/relationships/hyperlink" Target="https://www.soccerstats.com/h2h.asp?league=germany8&amp;fmid=36&amp;t1id=10&amp;t2id=19&amp;ly=2026" TargetMode="External"/><Relationship Id="rId718" Type="http://schemas.openxmlformats.org/officeDocument/2006/relationships/hyperlink" Target="https://www.soccerstats.com/pmatch.asp?league=brazil&amp;stats=225-7-10-2026" TargetMode="External"/><Relationship Id="rId925" Type="http://schemas.openxmlformats.org/officeDocument/2006/relationships/hyperlink" Target="https://www.soccerstats.com/pmatch.asp?league=usa2&amp;stats=241-14-9-2026" TargetMode="External"/><Relationship Id="rId357" Type="http://schemas.openxmlformats.org/officeDocument/2006/relationships/hyperlink" Target="https://www.soccerstats.com/pmatch.asp?league=norway3&amp;stats=108-13-7-2026" TargetMode="External"/><Relationship Id="rId54" Type="http://schemas.openxmlformats.org/officeDocument/2006/relationships/hyperlink" Target="https://www.soccerstats.com/h2h.asp?league=spain2&amp;fmid=2&amp;t1id=3&amp;t2id=4&amp;ly=2026" TargetMode="External"/><Relationship Id="rId217" Type="http://schemas.openxmlformats.org/officeDocument/2006/relationships/hyperlink" Target="https://www.soccerstats.com/h2h.asp?league=england9&amp;fmid=27&amp;t1id=8&amp;t2id=5&amp;ly=2026" TargetMode="External"/><Relationship Id="rId564" Type="http://schemas.openxmlformats.org/officeDocument/2006/relationships/hyperlink" Target="https://www.soccerstats.com/h2h.asp?league=belgium2&amp;fmid=1&amp;t1id=1&amp;t2id=2&amp;ly=2026" TargetMode="External"/><Relationship Id="rId771" Type="http://schemas.openxmlformats.org/officeDocument/2006/relationships/hyperlink" Target="https://www.soccerstats.com/pmatch.asp?league=estonia&amp;stats=114-1-8-2026" TargetMode="External"/><Relationship Id="rId869" Type="http://schemas.openxmlformats.org/officeDocument/2006/relationships/hyperlink" Target="https://www.soccerstats.com/h2h.asp?league=portugal2&amp;fmid=17&amp;t1id=4&amp;t2id=7&amp;ly=2026" TargetMode="External"/><Relationship Id="rId424" Type="http://schemas.openxmlformats.org/officeDocument/2006/relationships/hyperlink" Target="https://www.soccerstats.com/h2h.asp?league=southafrica&amp;fmid=21&amp;t1id=8&amp;t2id=11&amp;ly=2026" TargetMode="External"/><Relationship Id="rId631" Type="http://schemas.openxmlformats.org/officeDocument/2006/relationships/hyperlink" Target="https://www.soccerstats.com/h2h.asp?league=poland2&amp;fmid=31&amp;t1id=12&amp;t2id=9&amp;ly=2026" TargetMode="External"/><Relationship Id="rId729" Type="http://schemas.openxmlformats.org/officeDocument/2006/relationships/hyperlink" Target="https://www.soccerstats.com/pmatch.asp?league=brazil3&amp;stats=167-15-7-2026" TargetMode="External"/><Relationship Id="rId270" Type="http://schemas.openxmlformats.org/officeDocument/2006/relationships/hyperlink" Target="https://www.soccerstats.com/h2h.asp?league=germany6&amp;fmid=19&amp;t1id=3&amp;t2id=16&amp;ly=2026" TargetMode="External"/><Relationship Id="rId936" Type="http://schemas.openxmlformats.org/officeDocument/2006/relationships/hyperlink" Target="https://www.soccerstats.com/pmatch.asp?league=usa6&amp;stats=154-9-12-2026" TargetMode="External"/><Relationship Id="rId65" Type="http://schemas.openxmlformats.org/officeDocument/2006/relationships/hyperlink" Target="https://www.soccerstats.com/pmatch.asp?league=argentina2&amp;stats=75-27-10-2026" TargetMode="External"/><Relationship Id="rId130" Type="http://schemas.openxmlformats.org/officeDocument/2006/relationships/hyperlink" Target="https://www.soccerstats.com/pmatch.asp?league=brazil3&amp;stats=162-17-1-2026" TargetMode="External"/><Relationship Id="rId368" Type="http://schemas.openxmlformats.org/officeDocument/2006/relationships/hyperlink" Target="https://www.soccerstats.com/pmatch.asp?league=peru2&amp;stats=42-17-12-2026" TargetMode="External"/><Relationship Id="rId575" Type="http://schemas.openxmlformats.org/officeDocument/2006/relationships/hyperlink" Target="https://www.soccerstats.com/pmatch.asp?league=china&amp;stats=177-15-11-2026" TargetMode="External"/><Relationship Id="rId782" Type="http://schemas.openxmlformats.org/officeDocument/2006/relationships/hyperlink" Target="https://www.soccerstats.com/pmatch.asp?league=finland3&amp;stats=118-9-4-2026" TargetMode="External"/><Relationship Id="rId228" Type="http://schemas.openxmlformats.org/officeDocument/2006/relationships/hyperlink" Target="https://www.soccerstats.com/h2h.asp?league=england10&amp;fmid=26&amp;t1id=22&amp;t2id=5&amp;ly=2026" TargetMode="External"/><Relationship Id="rId435" Type="http://schemas.openxmlformats.org/officeDocument/2006/relationships/hyperlink" Target="https://www.soccerstats.com/pmatch.asp?league=sweden&amp;stats=133-4-2-2026" TargetMode="External"/><Relationship Id="rId642" Type="http://schemas.openxmlformats.org/officeDocument/2006/relationships/hyperlink" Target="https://www.soccerstats.com/pmatch.asp?league=southkorea4&amp;stats=63-5-4-2026" TargetMode="External"/><Relationship Id="rId281" Type="http://schemas.openxmlformats.org/officeDocument/2006/relationships/hyperlink" Target="https://www.soccerstats.com/h2h.asp?league=hungary&amp;fmid=22&amp;t1id=12&amp;t2id=1&amp;ly=2026" TargetMode="External"/><Relationship Id="rId502" Type="http://schemas.openxmlformats.org/officeDocument/2006/relationships/hyperlink" Target="https://www.soccerstats.com/leagueview_team.asp?league=copalibertadores&amp;team1id=18&amp;team2id=9&amp;fmid=99" TargetMode="External"/><Relationship Id="rId76" Type="http://schemas.openxmlformats.org/officeDocument/2006/relationships/hyperlink" Target="https://www.soccerstats.com/h2h.asp?league=armenia&amp;fmid=14&amp;t1id=1&amp;t2id=6&amp;ly=2026" TargetMode="External"/><Relationship Id="rId141" Type="http://schemas.openxmlformats.org/officeDocument/2006/relationships/hyperlink" Target="https://www.soccerstats.com/pmatch.asp?league=chile&amp;stats=148-3-1-2026" TargetMode="External"/><Relationship Id="rId379" Type="http://schemas.openxmlformats.org/officeDocument/2006/relationships/hyperlink" Target="https://www.soccerstats.com/h2h.asp?league=poland2&amp;fmid=35&amp;t1id=6&amp;t2id=18&amp;ly=2026" TargetMode="External"/><Relationship Id="rId586" Type="http://schemas.openxmlformats.org/officeDocument/2006/relationships/hyperlink" Target="https://www.soccerstats.com/h2h.asp?league=denmark3&amp;fmid=15&amp;t1id=9&amp;t2id=3&amp;ly=2026" TargetMode="External"/><Relationship Id="rId793" Type="http://schemas.openxmlformats.org/officeDocument/2006/relationships/hyperlink" Target="https://www.soccerstats.com/h2h.asp?league=germany4&amp;fmid=32&amp;t1id=18&amp;t2id=3&amp;ly=2026" TargetMode="External"/><Relationship Id="rId807" Type="http://schemas.openxmlformats.org/officeDocument/2006/relationships/hyperlink" Target="https://www.soccerstats.com/h2h.asp?league=hungary&amp;fmid=23&amp;t1id=5&amp;t2id=4&amp;ly=2026" TargetMode="External"/><Relationship Id="rId7" Type="http://schemas.openxmlformats.org/officeDocument/2006/relationships/hyperlink" Target="https://www.soccerstats.com/h2h.asp?league=portugal&amp;fmid=17&amp;t1id=8&amp;t2id=17&amp;ly=2026" TargetMode="External"/><Relationship Id="rId239" Type="http://schemas.openxmlformats.org/officeDocument/2006/relationships/hyperlink" Target="https://www.soccerstats.com/pmatch.asp?league=finland2&amp;stats=94-1-8-2026" TargetMode="External"/><Relationship Id="rId446" Type="http://schemas.openxmlformats.org/officeDocument/2006/relationships/hyperlink" Target="https://www.soccerstats.com/pmatch.asp?league=sweden4&amp;stats=131-6-3-2026" TargetMode="External"/><Relationship Id="rId653" Type="http://schemas.openxmlformats.org/officeDocument/2006/relationships/hyperlink" Target="https://www.soccerstats.com/h2h.asp?league=wales&amp;fmid=24&amp;t1id=10&amp;t2id=6&amp;ly=2026" TargetMode="External"/><Relationship Id="rId292" Type="http://schemas.openxmlformats.org/officeDocument/2006/relationships/hyperlink" Target="https://www.soccerstats.com/pmatch.asp?league=iceland3&amp;stats=98-5-11-2026" TargetMode="External"/><Relationship Id="rId306" Type="http://schemas.openxmlformats.org/officeDocument/2006/relationships/hyperlink" Target="https://www.soccerstats.com/h2h.asp?league=japan&amp;fmid=18&amp;t1id=18&amp;t2id=20&amp;ly=2026" TargetMode="External"/><Relationship Id="rId860" Type="http://schemas.openxmlformats.org/officeDocument/2006/relationships/hyperlink" Target="https://www.soccerstats.com/h2h.asp?league=poland&amp;fmid=28&amp;t1id=12&amp;t2id=9&amp;ly=2026" TargetMode="External"/><Relationship Id="rId87" Type="http://schemas.openxmlformats.org/officeDocument/2006/relationships/hyperlink" Target="https://www.soccerstats.com/pmatch.asp?league=australia6&amp;stats=128-4-1-2026" TargetMode="External"/><Relationship Id="rId513" Type="http://schemas.openxmlformats.org/officeDocument/2006/relationships/hyperlink" Target="https://www.soccerstats.com/h2h.asp?league=southafrica&amp;fmid=14&amp;t1id=8&amp;t2id=3&amp;ly=2026" TargetMode="External"/><Relationship Id="rId597" Type="http://schemas.openxmlformats.org/officeDocument/2006/relationships/hyperlink" Target="https://www.soccerstats.com/h2h.asp?league=france3&amp;fmid=16&amp;t1id=8&amp;t2id=5&amp;ly=2026" TargetMode="External"/><Relationship Id="rId720" Type="http://schemas.openxmlformats.org/officeDocument/2006/relationships/hyperlink" Target="https://www.soccerstats.com/pmatch.asp?league=brazil&amp;stats=226-13-16-2026" TargetMode="External"/><Relationship Id="rId818" Type="http://schemas.openxmlformats.org/officeDocument/2006/relationships/hyperlink" Target="https://www.soccerstats.com/h2h.asp?league=japan3&amp;fmid=19&amp;t1id=17&amp;t2id=11&amp;ly=2026" TargetMode="External"/><Relationship Id="rId152" Type="http://schemas.openxmlformats.org/officeDocument/2006/relationships/hyperlink" Target="https://www.soccerstats.com/h2h.asp?league=colombia2&amp;fmid=40&amp;t1id=20&amp;t2id=15&amp;ly=2026" TargetMode="External"/><Relationship Id="rId457" Type="http://schemas.openxmlformats.org/officeDocument/2006/relationships/hyperlink" Target="https://www.soccerstats.com/h2h.asp?league=turkey&amp;fmid=4&amp;t1id=7&amp;t2id=8&amp;ly=2026" TargetMode="External"/><Relationship Id="rId664" Type="http://schemas.openxmlformats.org/officeDocument/2006/relationships/hyperlink" Target="https://www.soccerstats.com/h2h.asp?league=netherlands&amp;fmid=17&amp;t1id=12&amp;t2id=5&amp;ly=2026" TargetMode="External"/><Relationship Id="rId871" Type="http://schemas.openxmlformats.org/officeDocument/2006/relationships/hyperlink" Target="https://www.soccerstats.com/h2h.asp?league=portugal2&amp;fmid=13&amp;t1id=8&amp;t2id=11&amp;ly=2026" TargetMode="External"/><Relationship Id="rId14" Type="http://schemas.openxmlformats.org/officeDocument/2006/relationships/hyperlink" Target="https://www.soccerstats.com/h2h.asp?league=england2&amp;fmid=5&amp;t1id=9&amp;t2id=10&amp;ly=2026" TargetMode="External"/><Relationship Id="rId317" Type="http://schemas.openxmlformats.org/officeDocument/2006/relationships/hyperlink" Target="https://www.soccerstats.com/h2h.asp?league=japan3&amp;fmid=11&amp;t1id=2&amp;t2id=14&amp;ly=2026" TargetMode="External"/><Relationship Id="rId524" Type="http://schemas.openxmlformats.org/officeDocument/2006/relationships/hyperlink" Target="https://www.soccerstats.com/h2h.asp?league=france2&amp;fmid=14&amp;t1id=4&amp;t2id=7&amp;ly=2026" TargetMode="External"/><Relationship Id="rId731" Type="http://schemas.openxmlformats.org/officeDocument/2006/relationships/hyperlink" Target="https://www.soccerstats.com/pmatch.asp?league=brazil5&amp;stats=137-15-2-2026" TargetMode="External"/><Relationship Id="rId98" Type="http://schemas.openxmlformats.org/officeDocument/2006/relationships/hyperlink" Target="https://www.soccerstats.com/pmatch.asp?league=australia11&amp;stats=221-12-2-2026" TargetMode="External"/><Relationship Id="rId163" Type="http://schemas.openxmlformats.org/officeDocument/2006/relationships/hyperlink" Target="https://www.soccerstats.com/h2h.asp?league=czechrepublic&amp;fmid=32&amp;t1id=5&amp;t2id=3&amp;ly=2026" TargetMode="External"/><Relationship Id="rId370" Type="http://schemas.openxmlformats.org/officeDocument/2006/relationships/hyperlink" Target="https://www.soccerstats.com/pmatch.asp?league=peru2&amp;stats=41-5-4-2026" TargetMode="External"/><Relationship Id="rId829" Type="http://schemas.openxmlformats.org/officeDocument/2006/relationships/hyperlink" Target="https://www.soccerstats.com/h2h.asp?league=mexico&amp;fmid=32&amp;t1id=18&amp;t2id=7&amp;ly=2026" TargetMode="External"/><Relationship Id="rId230" Type="http://schemas.openxmlformats.org/officeDocument/2006/relationships/hyperlink" Target="https://www.soccerstats.com/h2h.asp?league=england10&amp;fmid=24&amp;t1id=4&amp;t2id=11&amp;ly=2026" TargetMode="External"/><Relationship Id="rId468" Type="http://schemas.openxmlformats.org/officeDocument/2006/relationships/hyperlink" Target="https://www.soccerstats.com/pmatch.asp?league=usa&amp;stats=274-4-8-2026" TargetMode="External"/><Relationship Id="rId675" Type="http://schemas.openxmlformats.org/officeDocument/2006/relationships/hyperlink" Target="https://www.soccerstats.com/h2h.asp?league=spain2&amp;fmid=9&amp;t1id=17&amp;t2id=18&amp;ly=2026" TargetMode="External"/><Relationship Id="rId882" Type="http://schemas.openxmlformats.org/officeDocument/2006/relationships/hyperlink" Target="https://www.soccerstats.com/h2h.asp?league=southafrica&amp;fmid=22&amp;t1id=4&amp;t2id=5&amp;ly=2026" TargetMode="External"/><Relationship Id="rId25" Type="http://schemas.openxmlformats.org/officeDocument/2006/relationships/hyperlink" Target="https://www.soccerstats.com/h2h.asp?league=england3&amp;fmid=8&amp;t1id=15&amp;t2id=16&amp;ly=2026" TargetMode="External"/><Relationship Id="rId328" Type="http://schemas.openxmlformats.org/officeDocument/2006/relationships/hyperlink" Target="https://www.soccerstats.com/h2h.asp?league=moldova&amp;fmid=29&amp;t1id=2&amp;t2id=6&amp;ly=2026" TargetMode="External"/><Relationship Id="rId535" Type="http://schemas.openxmlformats.org/officeDocument/2006/relationships/hyperlink" Target="https://www.soccerstats.com/h2h.asp?league=netherlands2&amp;fmid=12&amp;t1id=4&amp;t2id=9&amp;ly=2026" TargetMode="External"/><Relationship Id="rId742" Type="http://schemas.openxmlformats.org/officeDocument/2006/relationships/hyperlink" Target="https://www.soccerstats.com/pmatch.asp?league=chile&amp;stats=149-15-2-2026" TargetMode="External"/><Relationship Id="rId174" Type="http://schemas.openxmlformats.org/officeDocument/2006/relationships/hyperlink" Target="https://www.soccerstats.com/pmatch.asp?league=ecuador&amp;stats=196-13-3-2026" TargetMode="External"/><Relationship Id="rId381" Type="http://schemas.openxmlformats.org/officeDocument/2006/relationships/hyperlink" Target="https://www.soccerstats.com/h2h.asp?league=poland2&amp;fmid=32&amp;t1id=7&amp;t2id=16&amp;ly=2026" TargetMode="External"/><Relationship Id="rId602" Type="http://schemas.openxmlformats.org/officeDocument/2006/relationships/hyperlink" Target="https://www.soccerstats.com/h2h.asp?league=france3&amp;fmid=18&amp;t1id=4&amp;t2id=2&amp;ly=2026" TargetMode="External"/><Relationship Id="rId241" Type="http://schemas.openxmlformats.org/officeDocument/2006/relationships/hyperlink" Target="https://www.soccerstats.com/pmatch.asp?league=finland3&amp;stats=120-12-6-2026" TargetMode="External"/><Relationship Id="rId479" Type="http://schemas.openxmlformats.org/officeDocument/2006/relationships/hyperlink" Target="https://www.soccerstats.com/pmatch.asp?league=usa3&amp;stats=191-15-4-2026" TargetMode="External"/><Relationship Id="rId686" Type="http://schemas.openxmlformats.org/officeDocument/2006/relationships/hyperlink" Target="https://www.soccerstats.com/pmatch.asp?league=argentina3&amp;stats=446-17-20-2026" TargetMode="External"/><Relationship Id="rId893" Type="http://schemas.openxmlformats.org/officeDocument/2006/relationships/hyperlink" Target="https://www.soccerstats.com/pmatch.asp?league=sweden&amp;stats=136-16-7-2026" TargetMode="External"/><Relationship Id="rId907" Type="http://schemas.openxmlformats.org/officeDocument/2006/relationships/hyperlink" Target="https://www.soccerstats.com/h2h.asp?league=turkey2&amp;fmid=17&amp;t1id=18&amp;t2id=5&amp;ly=2026" TargetMode="External"/><Relationship Id="rId36" Type="http://schemas.openxmlformats.org/officeDocument/2006/relationships/hyperlink" Target="https://www.soccerstats.com/h2h.asp?league=england4&amp;fmid=8&amp;t1id=15&amp;t2id=16&amp;ly=2026" TargetMode="External"/><Relationship Id="rId339" Type="http://schemas.openxmlformats.org/officeDocument/2006/relationships/hyperlink" Target="https://www.soccerstats.com/h2h.asp?league=netherlands3&amp;fmid=9&amp;t1id=17&amp;t2id=18&amp;ly=2026" TargetMode="External"/><Relationship Id="rId546" Type="http://schemas.openxmlformats.org/officeDocument/2006/relationships/hyperlink" Target="https://www.soccerstats.com/pmatch.asp?league=australia4&amp;stats=129-1-10-2026" TargetMode="External"/><Relationship Id="rId753" Type="http://schemas.openxmlformats.org/officeDocument/2006/relationships/hyperlink" Target="https://www.soccerstats.com/h2h.asp?league=colombia2&amp;fmid=41&amp;t1id=6&amp;t2id=16&amp;ly=2026" TargetMode="External"/><Relationship Id="rId101" Type="http://schemas.openxmlformats.org/officeDocument/2006/relationships/hyperlink" Target="https://www.soccerstats.com/h2h.asp?league=austria2&amp;fmid=21&amp;t1id=11&amp;t2id=4&amp;ly=2026" TargetMode="External"/><Relationship Id="rId185" Type="http://schemas.openxmlformats.org/officeDocument/2006/relationships/hyperlink" Target="https://www.soccerstats.com/h2h.asp?league=england6&amp;fmid=16&amp;t1id=16&amp;t2id=21&amp;ly=2026" TargetMode="External"/><Relationship Id="rId406" Type="http://schemas.openxmlformats.org/officeDocument/2006/relationships/hyperlink" Target="https://www.soccerstats.com/h2h.asp?league=scotland4&amp;fmid=12&amp;t1id=3&amp;t2id=1&amp;ly=2026" TargetMode="External"/><Relationship Id="rId392" Type="http://schemas.openxmlformats.org/officeDocument/2006/relationships/hyperlink" Target="https://www.soccerstats.com/h2h.asp?league=russia&amp;fmid=26&amp;t1id=10&amp;t2id=5&amp;ly=2026" TargetMode="External"/><Relationship Id="rId613" Type="http://schemas.openxmlformats.org/officeDocument/2006/relationships/hyperlink" Target="https://www.soccerstats.com/h2h.asp?league=germany7&amp;fmid=10&amp;t1id=2&amp;t2id=5&amp;ly=2026" TargetMode="External"/><Relationship Id="rId697" Type="http://schemas.openxmlformats.org/officeDocument/2006/relationships/hyperlink" Target="https://www.soccerstats.com/pmatch.asp?league=australia7&amp;stats=132-12-3-2026" TargetMode="External"/><Relationship Id="rId820" Type="http://schemas.openxmlformats.org/officeDocument/2006/relationships/hyperlink" Target="https://www.soccerstats.com/pmatch.asp?league=kazakhstan&amp;stats=36-11-4-2026" TargetMode="External"/><Relationship Id="rId918" Type="http://schemas.openxmlformats.org/officeDocument/2006/relationships/hyperlink" Target="https://www.soccerstats.com/pmatch.asp?league=usa&amp;stats=278-11-20-2026" TargetMode="External"/><Relationship Id="rId252" Type="http://schemas.openxmlformats.org/officeDocument/2006/relationships/hyperlink" Target="https://www.soccerstats.com/pmatch.asp?league=finland6&amp;stats=82-1-8-2026" TargetMode="External"/><Relationship Id="rId47" Type="http://schemas.openxmlformats.org/officeDocument/2006/relationships/hyperlink" Target="https://www.soccerstats.com/h2h.asp?league=england5&amp;fmid=19&amp;t1id=10&amp;t2id=17&amp;ly=2026" TargetMode="External"/><Relationship Id="rId112" Type="http://schemas.openxmlformats.org/officeDocument/2006/relationships/hyperlink" Target="https://www.soccerstats.com/h2h.asp?league=belgium&amp;fmid=14&amp;t1id=4&amp;t2id=1&amp;ly=2026" TargetMode="External"/><Relationship Id="rId557" Type="http://schemas.openxmlformats.org/officeDocument/2006/relationships/hyperlink" Target="https://www.soccerstats.com/h2h.asp?league=azerbaijan&amp;fmid=5&amp;t1id=9&amp;t2id=10&amp;ly=2026" TargetMode="External"/><Relationship Id="rId764" Type="http://schemas.openxmlformats.org/officeDocument/2006/relationships/hyperlink" Target="https://www.soccerstats.com/h2h.asp?league=denmark&amp;fmid=21&amp;t1id=11&amp;t2id=7&amp;ly=2026" TargetMode="External"/><Relationship Id="rId196" Type="http://schemas.openxmlformats.org/officeDocument/2006/relationships/hyperlink" Target="https://www.soccerstats.com/h2h.asp?league=england7&amp;fmid=16&amp;t1id=4&amp;t2id=19&amp;ly=2026" TargetMode="External"/><Relationship Id="rId417" Type="http://schemas.openxmlformats.org/officeDocument/2006/relationships/hyperlink" Target="https://www.soccerstats.com/h2h.asp?league=slovakia&amp;fmid=19&amp;t1id=2&amp;t2id=10&amp;ly=2026" TargetMode="External"/><Relationship Id="rId624" Type="http://schemas.openxmlformats.org/officeDocument/2006/relationships/hyperlink" Target="https://www.soccerstats.com/pmatch.asp?league=iceland3&amp;stats=97-4-2-2026" TargetMode="External"/><Relationship Id="rId831" Type="http://schemas.openxmlformats.org/officeDocument/2006/relationships/hyperlink" Target="https://www.soccerstats.com/h2h.asp?league=moldova&amp;fmid=32&amp;t1id=3&amp;t2id=5&amp;ly=2026" TargetMode="External"/><Relationship Id="rId263" Type="http://schemas.openxmlformats.org/officeDocument/2006/relationships/hyperlink" Target="https://www.soccerstats.com/h2h.asp?league=germany4&amp;fmid=31&amp;t1id=10&amp;t2id=17&amp;ly=2026" TargetMode="External"/><Relationship Id="rId470" Type="http://schemas.openxmlformats.org/officeDocument/2006/relationships/hyperlink" Target="https://www.soccerstats.com/pmatch.asp?league=usa&amp;stats=275-2-26-2026" TargetMode="External"/><Relationship Id="rId929" Type="http://schemas.openxmlformats.org/officeDocument/2006/relationships/hyperlink" Target="https://www.soccerstats.com/pmatch.asp?league=usa2&amp;stats=243-15-2-2026" TargetMode="External"/><Relationship Id="rId58" Type="http://schemas.openxmlformats.org/officeDocument/2006/relationships/hyperlink" Target="https://www.soccerstats.com/h2h.asp?league=germany2&amp;fmid=13&amp;t1id=18&amp;t2id=15&amp;ly=2026" TargetMode="External"/><Relationship Id="rId123" Type="http://schemas.openxmlformats.org/officeDocument/2006/relationships/hyperlink" Target="https://www.soccerstats.com/pmatch.asp?league=brazil2&amp;stats=215-14-1-2026" TargetMode="External"/><Relationship Id="rId330" Type="http://schemas.openxmlformats.org/officeDocument/2006/relationships/hyperlink" Target="https://www.soccerstats.com/h2h.asp?league=montenegro&amp;fmid=13&amp;t1id=3&amp;t2id=8&amp;ly=2026" TargetMode="External"/><Relationship Id="rId568" Type="http://schemas.openxmlformats.org/officeDocument/2006/relationships/hyperlink" Target="https://www.soccerstats.com/pmatch.asp?league=brazil2&amp;stats=213-4-18-2026" TargetMode="External"/><Relationship Id="rId775" Type="http://schemas.openxmlformats.org/officeDocument/2006/relationships/hyperlink" Target="https://www.soccerstats.com/pmatch.asp?league=faroeislands&amp;stats=92-7-3-2026" TargetMode="External"/><Relationship Id="rId428" Type="http://schemas.openxmlformats.org/officeDocument/2006/relationships/hyperlink" Target="https://www.soccerstats.com/pmatch.asp?league=southkorea&amp;stats=133-4-11-2026" TargetMode="External"/><Relationship Id="rId635" Type="http://schemas.openxmlformats.org/officeDocument/2006/relationships/hyperlink" Target="https://www.soccerstats.com/pmatch.asp?league=romania&amp;stats=33-4-10-2027" TargetMode="External"/><Relationship Id="rId842" Type="http://schemas.openxmlformats.org/officeDocument/2006/relationships/hyperlink" Target="https://www.soccerstats.com/pmatch.asp?league=norway2&amp;stats=141-11-10-2026" TargetMode="External"/><Relationship Id="rId274" Type="http://schemas.openxmlformats.org/officeDocument/2006/relationships/hyperlink" Target="https://www.soccerstats.com/h2h.asp?league=germany7&amp;fmid=15&amp;t1id=4&amp;t2id=13&amp;ly=2026" TargetMode="External"/><Relationship Id="rId481" Type="http://schemas.openxmlformats.org/officeDocument/2006/relationships/hyperlink" Target="https://www.soccerstats.com/pmatch.asp?league=usa3&amp;stats=190-3-1-2026" TargetMode="External"/><Relationship Id="rId702" Type="http://schemas.openxmlformats.org/officeDocument/2006/relationships/hyperlink" Target="https://www.soccerstats.com/pmatch.asp?league=australia11&amp;stats=224-11-8-2026" TargetMode="External"/><Relationship Id="rId69" Type="http://schemas.openxmlformats.org/officeDocument/2006/relationships/hyperlink" Target="https://www.soccerstats.com/pmatch.asp?league=argentina3&amp;stats=444-36-1-2026" TargetMode="External"/><Relationship Id="rId134" Type="http://schemas.openxmlformats.org/officeDocument/2006/relationships/hyperlink" Target="https://www.soccerstats.com/pmatch.asp?league=brazil5&amp;stats=140-9-4-2026" TargetMode="External"/><Relationship Id="rId579" Type="http://schemas.openxmlformats.org/officeDocument/2006/relationships/hyperlink" Target="https://www.soccerstats.com/leagueview_team.asp?league=copalibertadores&amp;team1id=25&amp;team2id=30&amp;fmid=104" TargetMode="External"/><Relationship Id="rId786" Type="http://schemas.openxmlformats.org/officeDocument/2006/relationships/hyperlink" Target="https://www.soccerstats.com/pmatch.asp?league=finland6&amp;stats=84-7-10-2026" TargetMode="External"/><Relationship Id="rId341" Type="http://schemas.openxmlformats.org/officeDocument/2006/relationships/hyperlink" Target="https://www.soccerstats.com/h2h.asp?league=northernireland&amp;fmid=10&amp;t1id=6&amp;t2id=11&amp;ly=2026" TargetMode="External"/><Relationship Id="rId439" Type="http://schemas.openxmlformats.org/officeDocument/2006/relationships/hyperlink" Target="https://www.soccerstats.com/pmatch.asp?league=sweden2&amp;stats=147-9-5-2026" TargetMode="External"/><Relationship Id="rId646" Type="http://schemas.openxmlformats.org/officeDocument/2006/relationships/hyperlink" Target="https://www.soccerstats.com/pmatch.asp?league=sweden3&amp;stats=129-9-15-2026" TargetMode="External"/><Relationship Id="rId201" Type="http://schemas.openxmlformats.org/officeDocument/2006/relationships/hyperlink" Target="https://www.soccerstats.com/h2h.asp?league=england8&amp;fmid=443&amp;t1id=18&amp;t2id=10&amp;ly=2026" TargetMode="External"/><Relationship Id="rId285" Type="http://schemas.openxmlformats.org/officeDocument/2006/relationships/hyperlink" Target="https://www.soccerstats.com/h2h.asp?league=hungary2&amp;fmid=29&amp;t1id=14&amp;t2id=7&amp;ly=2026" TargetMode="External"/><Relationship Id="rId506" Type="http://schemas.openxmlformats.org/officeDocument/2006/relationships/hyperlink" Target="https://www.soccerstats.com/h2h.asp?league=germany4&amp;fmid=24&amp;t1id=17&amp;t2id=12&amp;ly=2026" TargetMode="External"/><Relationship Id="rId853" Type="http://schemas.openxmlformats.org/officeDocument/2006/relationships/hyperlink" Target="https://www.soccerstats.com/pmatch.asp?league=norway4&amp;stats=112-13-7-2026" TargetMode="External"/><Relationship Id="rId492" Type="http://schemas.openxmlformats.org/officeDocument/2006/relationships/hyperlink" Target="https://www.soccerstats.com/h2h.asp?league=wales&amp;fmid=22&amp;t1id=16&amp;t2id=3&amp;ly=2026" TargetMode="External"/><Relationship Id="rId713" Type="http://schemas.openxmlformats.org/officeDocument/2006/relationships/hyperlink" Target="https://www.soccerstats.com/h2h.asp?league=belgium&amp;fmid=17&amp;t1id=12&amp;t2id=5&amp;ly=2026" TargetMode="External"/><Relationship Id="rId797" Type="http://schemas.openxmlformats.org/officeDocument/2006/relationships/hyperlink" Target="https://www.soccerstats.com/h2h.asp?league=germany4&amp;fmid=33&amp;t1id=12&amp;t2id=5&amp;ly=2026" TargetMode="External"/><Relationship Id="rId920" Type="http://schemas.openxmlformats.org/officeDocument/2006/relationships/hyperlink" Target="https://www.soccerstats.com/pmatch.asp?league=usa&amp;stats=281-6-18-2026" TargetMode="External"/><Relationship Id="rId145" Type="http://schemas.openxmlformats.org/officeDocument/2006/relationships/hyperlink" Target="https://www.soccerstats.com/pmatch.asp?league=china&amp;stats=181-13-1-2026" TargetMode="External"/><Relationship Id="rId352" Type="http://schemas.openxmlformats.org/officeDocument/2006/relationships/hyperlink" Target="https://www.soccerstats.com/pmatch.asp?league=norway2&amp;stats=144-12-4-2026" TargetMode="External"/><Relationship Id="rId212" Type="http://schemas.openxmlformats.org/officeDocument/2006/relationships/hyperlink" Target="https://www.soccerstats.com/h2h.asp?league=england9&amp;fmid=32&amp;t1id=18&amp;t2id=21&amp;ly=2026" TargetMode="External"/><Relationship Id="rId657" Type="http://schemas.openxmlformats.org/officeDocument/2006/relationships/hyperlink" Target="https://www.soccerstats.com/h2h.asp?league=wales&amp;fmid=18&amp;t1id=1&amp;t2id=12&amp;ly=2026" TargetMode="External"/><Relationship Id="rId864" Type="http://schemas.openxmlformats.org/officeDocument/2006/relationships/hyperlink" Target="https://www.soccerstats.com/h2h.asp?league=poland3&amp;fmid=185&amp;t1id=1&amp;t2id=16&amp;ly=2026" TargetMode="External"/><Relationship Id="rId296" Type="http://schemas.openxmlformats.org/officeDocument/2006/relationships/hyperlink" Target="https://www.soccerstats.com/pmatch.asp?league=ireland3&amp;stats=88-11-8-2026" TargetMode="External"/><Relationship Id="rId517" Type="http://schemas.openxmlformats.org/officeDocument/2006/relationships/hyperlink" Target="https://www.soccerstats.com/h2h.asp?league=portugal&amp;fmid=10&amp;t1id=18&amp;t2id=1&amp;ly=2026" TargetMode="External"/><Relationship Id="rId724" Type="http://schemas.openxmlformats.org/officeDocument/2006/relationships/hyperlink" Target="https://www.soccerstats.com/pmatch.asp?league=brazil2&amp;stats=218-10-15-2026" TargetMode="External"/><Relationship Id="rId931" Type="http://schemas.openxmlformats.org/officeDocument/2006/relationships/hyperlink" Target="https://www.soccerstats.com/pmatch.asp?league=usa2&amp;stats=246-19-1-2026" TargetMode="External"/><Relationship Id="rId60" Type="http://schemas.openxmlformats.org/officeDocument/2006/relationships/hyperlink" Target="https://www.soccerstats.com/h2h.asp?league=germany2&amp;fmid=12&amp;t1id=10&amp;t2id=3&amp;ly=2026" TargetMode="External"/><Relationship Id="rId156" Type="http://schemas.openxmlformats.org/officeDocument/2006/relationships/hyperlink" Target="https://www.soccerstats.com/h2h.asp?league=croatia&amp;fmid=11&amp;t1id=2&amp;t2id=4&amp;ly=2026" TargetMode="External"/><Relationship Id="rId363" Type="http://schemas.openxmlformats.org/officeDocument/2006/relationships/hyperlink" Target="https://www.soccerstats.com/pmatch.asp?league=norway11&amp;stats=74-10-12-2026" TargetMode="External"/><Relationship Id="rId570" Type="http://schemas.openxmlformats.org/officeDocument/2006/relationships/hyperlink" Target="https://www.soccerstats.com/h2h.asp?league=bulgaria2&amp;fmid=33&amp;t1id=9&amp;t2id=1&amp;ly=2026" TargetMode="External"/><Relationship Id="rId223" Type="http://schemas.openxmlformats.org/officeDocument/2006/relationships/hyperlink" Target="https://www.soccerstats.com/h2h.asp?league=england10&amp;fmid=31&amp;t1id=14&amp;t2id=21&amp;ly=2026" TargetMode="External"/><Relationship Id="rId430" Type="http://schemas.openxmlformats.org/officeDocument/2006/relationships/hyperlink" Target="https://www.soccerstats.com/pmatch.asp?league=southkorea2&amp;stats=172-5-12-2026" TargetMode="External"/><Relationship Id="rId668" Type="http://schemas.openxmlformats.org/officeDocument/2006/relationships/hyperlink" Target="https://www.soccerstats.com/h2h.asp?league=portugal&amp;fmid=13&amp;t1id=16&amp;t2id=11&amp;ly=2026" TargetMode="External"/><Relationship Id="rId875" Type="http://schemas.openxmlformats.org/officeDocument/2006/relationships/hyperlink" Target="https://www.soccerstats.com/h2h.asp?league=russia&amp;fmid=31&amp;t1id=4&amp;t2id=8&amp;ly=2026" TargetMode="External"/><Relationship Id="rId18" Type="http://schemas.openxmlformats.org/officeDocument/2006/relationships/hyperlink" Target="https://www.soccerstats.com/h2h.asp?league=england3&amp;fmid=3&amp;t1id=5&amp;t2id=6&amp;ly=2026" TargetMode="External"/><Relationship Id="rId528" Type="http://schemas.openxmlformats.org/officeDocument/2006/relationships/hyperlink" Target="https://www.soccerstats.com/h2h.asp?league=france2&amp;fmid=10&amp;t1id=2&amp;t2id=15&amp;ly=2026" TargetMode="External"/><Relationship Id="rId735" Type="http://schemas.openxmlformats.org/officeDocument/2006/relationships/hyperlink" Target="https://www.soccerstats.com/h2h.asp?league=bulgaria2&amp;fmid=32&amp;t1id=12&amp;t2id=7&amp;ly=2026" TargetMode="External"/><Relationship Id="rId167" Type="http://schemas.openxmlformats.org/officeDocument/2006/relationships/hyperlink" Target="https://www.soccerstats.com/h2h.asp?league=czechrepublic2&amp;fmid=30&amp;t1id=1&amp;t2id=7&amp;ly=2026" TargetMode="External"/><Relationship Id="rId374" Type="http://schemas.openxmlformats.org/officeDocument/2006/relationships/hyperlink" Target="https://www.soccerstats.com/pmatch.asp?league=peru2&amp;stats=40-3-18-2026" TargetMode="External"/><Relationship Id="rId581" Type="http://schemas.openxmlformats.org/officeDocument/2006/relationships/hyperlink" Target="https://www.soccerstats.com/h2h.asp?league=czechrepublic2&amp;fmid=26&amp;t1id=3&amp;t2id=11&amp;ly=2026" TargetMode="External"/><Relationship Id="rId71" Type="http://schemas.openxmlformats.org/officeDocument/2006/relationships/hyperlink" Target="https://www.soccerstats.com/pmatch.asp?league=argentina3&amp;stats=448-22-15-2026" TargetMode="External"/><Relationship Id="rId234" Type="http://schemas.openxmlformats.org/officeDocument/2006/relationships/hyperlink" Target="https://www.soccerstats.com/pmatch.asp?league=estonia2&amp;stats=162-1-4-2026" TargetMode="External"/><Relationship Id="rId679" Type="http://schemas.openxmlformats.org/officeDocument/2006/relationships/hyperlink" Target="https://www.soccerstats.com/pmatch.asp?league=argentina2&amp;stats=72-13-30-2026" TargetMode="External"/><Relationship Id="rId802" Type="http://schemas.openxmlformats.org/officeDocument/2006/relationships/hyperlink" Target="https://www.soccerstats.com/h2h.asp?league=germany7&amp;fmid=18&amp;t1id=14&amp;t2id=15&amp;ly=2026" TargetMode="External"/><Relationship Id="rId886" Type="http://schemas.openxmlformats.org/officeDocument/2006/relationships/hyperlink" Target="https://www.soccerstats.com/pmatch.asp?league=southkorea&amp;stats=136-1-2-2026" TargetMode="External"/><Relationship Id="rId2" Type="http://schemas.openxmlformats.org/officeDocument/2006/relationships/hyperlink" Target="https://www.soccerstats.com/h2h.asp?league=spain&amp;fmid=2&amp;t1id=3&amp;t2id=4&amp;ly=2026" TargetMode="External"/><Relationship Id="rId29" Type="http://schemas.openxmlformats.org/officeDocument/2006/relationships/hyperlink" Target="https://www.soccerstats.com/h2h.asp?league=england3&amp;fmid=4&amp;t1id=7&amp;t2id=8&amp;ly=2026" TargetMode="External"/><Relationship Id="rId441" Type="http://schemas.openxmlformats.org/officeDocument/2006/relationships/hyperlink" Target="https://www.soccerstats.com/pmatch.asp?league=sweden3&amp;stats=131-4-16-2026" TargetMode="External"/><Relationship Id="rId539" Type="http://schemas.openxmlformats.org/officeDocument/2006/relationships/hyperlink" Target="https://www.soccerstats.com/pmatch.asp?league=argentina3&amp;stats=433-9-28-2026" TargetMode="External"/><Relationship Id="rId746" Type="http://schemas.openxmlformats.org/officeDocument/2006/relationships/hyperlink" Target="https://www.soccerstats.com/pmatch.asp?league=chile2&amp;stats=168-5-1-2026" TargetMode="External"/><Relationship Id="rId178" Type="http://schemas.openxmlformats.org/officeDocument/2006/relationships/hyperlink" Target="https://www.soccerstats.com/h2h.asp?league=england6&amp;fmid=23&amp;t1id=24&amp;t2id=15&amp;ly=2026" TargetMode="External"/><Relationship Id="rId301" Type="http://schemas.openxmlformats.org/officeDocument/2006/relationships/hyperlink" Target="https://www.soccerstats.com/h2h.asp?league=japan&amp;fmid=12&amp;t1id=14&amp;t2id=3&amp;ly=2026" TargetMode="External"/><Relationship Id="rId82" Type="http://schemas.openxmlformats.org/officeDocument/2006/relationships/hyperlink" Target="https://www.soccerstats.com/pmatch.asp?league=australia5&amp;stats=118-8-5-2026" TargetMode="External"/><Relationship Id="rId385" Type="http://schemas.openxmlformats.org/officeDocument/2006/relationships/hyperlink" Target="https://www.soccerstats.com/h2h.asp?league=poland3&amp;fmid=33&amp;t1id=7&amp;t2id=11&amp;ly=2026" TargetMode="External"/><Relationship Id="rId592" Type="http://schemas.openxmlformats.org/officeDocument/2006/relationships/hyperlink" Target="https://www.soccerstats.com/pmatch.asp?league=estonia&amp;stats=111-2-9-2026" TargetMode="External"/><Relationship Id="rId606" Type="http://schemas.openxmlformats.org/officeDocument/2006/relationships/hyperlink" Target="https://www.soccerstats.com/pmatch.asp?league=germany5&amp;stats=38-13-17-2027" TargetMode="External"/><Relationship Id="rId813" Type="http://schemas.openxmlformats.org/officeDocument/2006/relationships/hyperlink" Target="https://www.soccerstats.com/pmatch.asp?league=iceland&amp;stats=112-9-2-2026" TargetMode="External"/><Relationship Id="rId245" Type="http://schemas.openxmlformats.org/officeDocument/2006/relationships/hyperlink" Target="https://www.soccerstats.com/pmatch.asp?league=finland4&amp;stats=84-8-10-2026" TargetMode="External"/><Relationship Id="rId452" Type="http://schemas.openxmlformats.org/officeDocument/2006/relationships/hyperlink" Target="https://www.soccerstats.com/pmatch.asp?league=sweden11&amp;stats=96-13-5-2026" TargetMode="External"/><Relationship Id="rId897" Type="http://schemas.openxmlformats.org/officeDocument/2006/relationships/hyperlink" Target="https://www.soccerstats.com/pmatch.asp?league=sweden3&amp;stats=135-14-2-2026" TargetMode="External"/><Relationship Id="rId105" Type="http://schemas.openxmlformats.org/officeDocument/2006/relationships/hyperlink" Target="https://www.soccerstats.com/h2h.asp?league=austria2&amp;fmid=22&amp;t1id=3&amp;t2id=2&amp;ly=2026" TargetMode="External"/><Relationship Id="rId312" Type="http://schemas.openxmlformats.org/officeDocument/2006/relationships/hyperlink" Target="https://www.soccerstats.com/h2h.asp?league=japan2&amp;fmid=15&amp;t1id=14&amp;t2id=1&amp;ly=2026" TargetMode="External"/><Relationship Id="rId757" Type="http://schemas.openxmlformats.org/officeDocument/2006/relationships/hyperlink" Target="https://www.soccerstats.com/h2h.asp?league=costarica&amp;fmid=19&amp;t1id=4&amp;t2id=6&amp;ly=2026" TargetMode="External"/><Relationship Id="rId93" Type="http://schemas.openxmlformats.org/officeDocument/2006/relationships/hyperlink" Target="https://www.soccerstats.com/pmatch.asp?league=australia10&amp;stats=101-10-7-2026" TargetMode="External"/><Relationship Id="rId189" Type="http://schemas.openxmlformats.org/officeDocument/2006/relationships/hyperlink" Target="https://www.soccerstats.com/h2h.asp?league=england7&amp;fmid=24&amp;t1id=18&amp;t2id=23&amp;ly=2026" TargetMode="External"/><Relationship Id="rId396" Type="http://schemas.openxmlformats.org/officeDocument/2006/relationships/hyperlink" Target="https://www.soccerstats.com/h2h.asp?league=saudiarabia&amp;fmid=7&amp;t1id=13&amp;t2id=14&amp;ly=2026" TargetMode="External"/><Relationship Id="rId617" Type="http://schemas.openxmlformats.org/officeDocument/2006/relationships/hyperlink" Target="https://www.soccerstats.com/h2h.asp?league=germany8&amp;fmid=31&amp;t1id=6&amp;t2id=1&amp;ly=2026" TargetMode="External"/><Relationship Id="rId824" Type="http://schemas.openxmlformats.org/officeDocument/2006/relationships/hyperlink" Target="https://www.soccerstats.com/pmatch.asp?league=lithuania&amp;stats=131-10-7-2026" TargetMode="External"/><Relationship Id="rId256" Type="http://schemas.openxmlformats.org/officeDocument/2006/relationships/hyperlink" Target="https://www.soccerstats.com/h2h.asp?league=germany3&amp;fmid=16&amp;t1id=2&amp;t2id=15&amp;ly=2026" TargetMode="External"/><Relationship Id="rId463" Type="http://schemas.openxmlformats.org/officeDocument/2006/relationships/hyperlink" Target="https://www.soccerstats.com/h2h.asp?league=ukraine&amp;fmid=19&amp;t1id=15&amp;t2id=10&amp;ly=2026" TargetMode="External"/><Relationship Id="rId670" Type="http://schemas.openxmlformats.org/officeDocument/2006/relationships/hyperlink" Target="https://www.soccerstats.com/h2h.asp?league=england2&amp;fmid=10&amp;t1id=19&amp;t2id=20&amp;ly=2026" TargetMode="External"/><Relationship Id="rId116" Type="http://schemas.openxmlformats.org/officeDocument/2006/relationships/hyperlink" Target="https://www.soccerstats.com/h2h.asp?league=bosnia&amp;fmid=10&amp;t1id=10&amp;t2id=2&amp;ly=2026" TargetMode="External"/><Relationship Id="rId323" Type="http://schemas.openxmlformats.org/officeDocument/2006/relationships/hyperlink" Target="https://www.soccerstats.com/pmatch.asp?league=kazakhstan&amp;stats=33-5-2-2026" TargetMode="External"/><Relationship Id="rId530" Type="http://schemas.openxmlformats.org/officeDocument/2006/relationships/hyperlink" Target="https://www.soccerstats.com/h2h.asp?league=germany2&amp;fmid=11&amp;t1id=8&amp;t2id=17&amp;ly=2026" TargetMode="External"/><Relationship Id="rId768" Type="http://schemas.openxmlformats.org/officeDocument/2006/relationships/hyperlink" Target="https://www.soccerstats.com/pmatch.asp?league=ecuador&amp;stats=197-16-10-2026" TargetMode="External"/><Relationship Id="rId20" Type="http://schemas.openxmlformats.org/officeDocument/2006/relationships/hyperlink" Target="https://www.soccerstats.com/h2h.asp?league=england3&amp;fmid=1&amp;t1id=1&amp;t2id=2&amp;ly=2026" TargetMode="External"/><Relationship Id="rId628" Type="http://schemas.openxmlformats.org/officeDocument/2006/relationships/hyperlink" Target="https://www.soccerstats.com/h2h.asp?league=paraguay2&amp;fmid=26&amp;t1id=7&amp;t2id=1&amp;ly=2026" TargetMode="External"/><Relationship Id="rId835" Type="http://schemas.openxmlformats.org/officeDocument/2006/relationships/hyperlink" Target="https://www.soccerstats.com/pmatch.asp?league=norway&amp;stats=138-9-11-2026" TargetMode="External"/><Relationship Id="rId267" Type="http://schemas.openxmlformats.org/officeDocument/2006/relationships/hyperlink" Target="https://www.soccerstats.com/pmatch.asp?league=germany5&amp;stats=45-3-7-2027" TargetMode="External"/><Relationship Id="rId474" Type="http://schemas.openxmlformats.org/officeDocument/2006/relationships/hyperlink" Target="https://www.soccerstats.com/pmatch.asp?league=usa2&amp;stats=237-6-24-2026" TargetMode="External"/><Relationship Id="rId127" Type="http://schemas.openxmlformats.org/officeDocument/2006/relationships/hyperlink" Target="https://www.soccerstats.com/pmatch.asp?league=brazil3&amp;stats=161-16-5-2026" TargetMode="External"/><Relationship Id="rId681" Type="http://schemas.openxmlformats.org/officeDocument/2006/relationships/hyperlink" Target="https://www.soccerstats.com/pmatch.asp?league=argentina2&amp;stats=61-1-15-2026" TargetMode="External"/><Relationship Id="rId779" Type="http://schemas.openxmlformats.org/officeDocument/2006/relationships/hyperlink" Target="https://www.soccerstats.com/pmatch.asp?league=finland&amp;stats=116-6-8-2026" TargetMode="External"/><Relationship Id="rId902" Type="http://schemas.openxmlformats.org/officeDocument/2006/relationships/hyperlink" Target="https://www.soccerstats.com/pmatch.asp?league=sweden4&amp;stats=134-9-5-2026" TargetMode="External"/><Relationship Id="rId31" Type="http://schemas.openxmlformats.org/officeDocument/2006/relationships/hyperlink" Target="https://www.soccerstats.com/h2h.asp?league=england4&amp;fmid=1&amp;t1id=1&amp;t2id=2&amp;ly=2026" TargetMode="External"/><Relationship Id="rId334" Type="http://schemas.openxmlformats.org/officeDocument/2006/relationships/hyperlink" Target="https://www.soccerstats.com/h2h.asp?league=netherlands3&amp;fmid=4&amp;t1id=7&amp;t2id=8&amp;ly=2026" TargetMode="External"/><Relationship Id="rId541" Type="http://schemas.openxmlformats.org/officeDocument/2006/relationships/hyperlink" Target="https://www.soccerstats.com/pmatch.asp?league=australia3&amp;stats=163-10-2-2026" TargetMode="External"/><Relationship Id="rId639" Type="http://schemas.openxmlformats.org/officeDocument/2006/relationships/hyperlink" Target="https://www.soccerstats.com/h2h.asp?league=saudiarabia&amp;fmid=6&amp;t1id=11&amp;t2id=12&amp;ly=2026" TargetMode="External"/><Relationship Id="rId180" Type="http://schemas.openxmlformats.org/officeDocument/2006/relationships/hyperlink" Target="https://www.soccerstats.com/h2h.asp?league=england6&amp;fmid=21&amp;t1id=14&amp;t2id=7&amp;ly=2026" TargetMode="External"/><Relationship Id="rId278" Type="http://schemas.openxmlformats.org/officeDocument/2006/relationships/hyperlink" Target="https://www.soccerstats.com/h2h.asp?league=guatemala&amp;fmid=18&amp;t1id=10&amp;t2id=4&amp;ly=2026" TargetMode="External"/><Relationship Id="rId401" Type="http://schemas.openxmlformats.org/officeDocument/2006/relationships/hyperlink" Target="https://www.soccerstats.com/h2h.asp?league=scotland3&amp;fmid=13&amp;t1id=4&amp;t2id=8&amp;ly=2026" TargetMode="External"/><Relationship Id="rId846" Type="http://schemas.openxmlformats.org/officeDocument/2006/relationships/hyperlink" Target="https://www.soccerstats.com/pmatch.asp?league=norway3&amp;stats=110-9-5-2026" TargetMode="External"/><Relationship Id="rId485" Type="http://schemas.openxmlformats.org/officeDocument/2006/relationships/hyperlink" Target="https://www.soccerstats.com/pmatch.asp?league=usa6&amp;stats=150-14-16-2026" TargetMode="External"/><Relationship Id="rId692" Type="http://schemas.openxmlformats.org/officeDocument/2006/relationships/hyperlink" Target="https://www.soccerstats.com/pmatch.asp?league=australia3&amp;stats=168-14-11-2026" TargetMode="External"/><Relationship Id="rId706" Type="http://schemas.openxmlformats.org/officeDocument/2006/relationships/hyperlink" Target="https://www.soccerstats.com/h2h.asp?league=austria&amp;fmid=18&amp;t1id=11&amp;t2id=2&amp;ly=2026" TargetMode="External"/><Relationship Id="rId913" Type="http://schemas.openxmlformats.org/officeDocument/2006/relationships/hyperlink" Target="https://www.soccerstats.com/h2h.asp?league=ukraine&amp;fmid=24&amp;t1id=11&amp;t2id=2&amp;ly=2026" TargetMode="External"/><Relationship Id="rId42" Type="http://schemas.openxmlformats.org/officeDocument/2006/relationships/hyperlink" Target="https://www.soccerstats.com/h2h.asp?league=england5&amp;fmid=24&amp;t1id=18&amp;t2id=7&amp;ly=2026" TargetMode="External"/><Relationship Id="rId138" Type="http://schemas.openxmlformats.org/officeDocument/2006/relationships/hyperlink" Target="https://www.soccerstats.com/h2h.asp?league=bulgaria&amp;fmid=30&amp;t1id=7&amp;t2id=13&amp;ly=2026" TargetMode="External"/><Relationship Id="rId345" Type="http://schemas.openxmlformats.org/officeDocument/2006/relationships/hyperlink" Target="https://www.soccerstats.com/h2h.asp?league=northernireland&amp;fmid=6&amp;t1id=8&amp;t2id=5&amp;ly=2026" TargetMode="External"/><Relationship Id="rId552" Type="http://schemas.openxmlformats.org/officeDocument/2006/relationships/hyperlink" Target="https://www.soccerstats.com/h2h.asp?league=austria&amp;fmid=13&amp;t1id=1&amp;t2id=8&amp;ly=2026" TargetMode="External"/><Relationship Id="rId191" Type="http://schemas.openxmlformats.org/officeDocument/2006/relationships/hyperlink" Target="https://www.soccerstats.com/h2h.asp?league=england7&amp;fmid=22&amp;t1id=14&amp;t2id=3&amp;ly=2026" TargetMode="External"/><Relationship Id="rId205" Type="http://schemas.openxmlformats.org/officeDocument/2006/relationships/hyperlink" Target="https://www.soccerstats.com/h2h.asp?league=england8&amp;fmid=439&amp;t1id=20&amp;t2id=17&amp;ly=2026" TargetMode="External"/><Relationship Id="rId412" Type="http://schemas.openxmlformats.org/officeDocument/2006/relationships/hyperlink" Target="https://www.soccerstats.com/h2h.asp?league=serbia&amp;fmid=35&amp;t1id=11&amp;t2id=4&amp;ly=2026" TargetMode="External"/><Relationship Id="rId857" Type="http://schemas.openxmlformats.org/officeDocument/2006/relationships/hyperlink" Target="https://www.soccerstats.com/h2h.asp?league=poland&amp;fmid=36&amp;t1id=14&amp;t2id=16&amp;ly=2026" TargetMode="External"/><Relationship Id="rId289" Type="http://schemas.openxmlformats.org/officeDocument/2006/relationships/hyperlink" Target="https://www.soccerstats.com/pmatch.asp?league=iceland3&amp;stats=99-7-1-2026" TargetMode="External"/><Relationship Id="rId496" Type="http://schemas.openxmlformats.org/officeDocument/2006/relationships/hyperlink" Target="https://www.soccerstats.com/pmatch.asp?league=chile2&amp;stats=160-16-13-2026" TargetMode="External"/><Relationship Id="rId717" Type="http://schemas.openxmlformats.org/officeDocument/2006/relationships/hyperlink" Target="https://www.soccerstats.com/pmatch.asp?league=brazil&amp;stats=221-11-18-2026" TargetMode="External"/><Relationship Id="rId924" Type="http://schemas.openxmlformats.org/officeDocument/2006/relationships/hyperlink" Target="https://www.soccerstats.com/pmatch.asp?league=usa&amp;stats=285-28-10-2026" TargetMode="External"/><Relationship Id="rId53" Type="http://schemas.openxmlformats.org/officeDocument/2006/relationships/hyperlink" Target="https://www.soccerstats.com/h2h.asp?league=england5&amp;fmid=13&amp;t1id=4&amp;t2id=15&amp;ly=2026" TargetMode="External"/><Relationship Id="rId149" Type="http://schemas.openxmlformats.org/officeDocument/2006/relationships/hyperlink" Target="https://www.soccerstats.com/pmatch.asp?league=china2&amp;stats=146-12-16-2026" TargetMode="External"/><Relationship Id="rId356" Type="http://schemas.openxmlformats.org/officeDocument/2006/relationships/hyperlink" Target="https://www.soccerstats.com/pmatch.asp?league=norway3&amp;stats=107-2-10-2026" TargetMode="External"/><Relationship Id="rId563" Type="http://schemas.openxmlformats.org/officeDocument/2006/relationships/hyperlink" Target="https://www.soccerstats.com/h2h.asp?league=belgium&amp;fmid=10&amp;t1id=6&amp;t2id=9&amp;ly=2026" TargetMode="External"/><Relationship Id="rId770" Type="http://schemas.openxmlformats.org/officeDocument/2006/relationships/hyperlink" Target="https://www.soccerstats.com/pmatch.asp?league=estonia&amp;stats=113-10-3-2026" TargetMode="External"/><Relationship Id="rId216" Type="http://schemas.openxmlformats.org/officeDocument/2006/relationships/hyperlink" Target="https://www.soccerstats.com/h2h.asp?league=england9&amp;fmid=28&amp;t1id=20&amp;t2id=3&amp;ly=2026" TargetMode="External"/><Relationship Id="rId423" Type="http://schemas.openxmlformats.org/officeDocument/2006/relationships/hyperlink" Target="https://www.soccerstats.com/h2h.asp?league=southafrica&amp;fmid=19&amp;t1id=7&amp;t2id=12&amp;ly=2026" TargetMode="External"/><Relationship Id="rId868" Type="http://schemas.openxmlformats.org/officeDocument/2006/relationships/hyperlink" Target="https://www.soccerstats.com/h2h.asp?league=portugal2&amp;fmid=12&amp;t1id=6&amp;t2id=1&amp;ly=2026" TargetMode="External"/><Relationship Id="rId630" Type="http://schemas.openxmlformats.org/officeDocument/2006/relationships/hyperlink" Target="https://www.soccerstats.com/h2h.asp?league=poland2&amp;fmid=33&amp;t1id=10&amp;t2id=5&amp;ly=2026" TargetMode="External"/><Relationship Id="rId728" Type="http://schemas.openxmlformats.org/officeDocument/2006/relationships/hyperlink" Target="https://www.soccerstats.com/pmatch.asp?league=brazil3&amp;stats=163-6-18-2026" TargetMode="External"/><Relationship Id="rId935" Type="http://schemas.openxmlformats.org/officeDocument/2006/relationships/hyperlink" Target="https://www.soccerstats.com/pmatch.asp?league=usa6&amp;stats=153-2-13-2026" TargetMode="External"/><Relationship Id="rId64" Type="http://schemas.openxmlformats.org/officeDocument/2006/relationships/hyperlink" Target="https://www.soccerstats.com/pmatch.asp?league=argentina2&amp;stats=68-24-14-2026" TargetMode="External"/><Relationship Id="rId367" Type="http://schemas.openxmlformats.org/officeDocument/2006/relationships/hyperlink" Target="https://www.soccerstats.com/pmatch.asp?league=peru2&amp;stats=44-9-14-2026" TargetMode="External"/><Relationship Id="rId574" Type="http://schemas.openxmlformats.org/officeDocument/2006/relationships/hyperlink" Target="https://www.soccerstats.com/pmatch.asp?league=china&amp;stats=178-3-10-2026" TargetMode="External"/><Relationship Id="rId227" Type="http://schemas.openxmlformats.org/officeDocument/2006/relationships/hyperlink" Target="https://www.soccerstats.com/h2h.asp?league=england10&amp;fmid=27&amp;t1id=8&amp;t2id=2&amp;ly=2026" TargetMode="External"/><Relationship Id="rId781" Type="http://schemas.openxmlformats.org/officeDocument/2006/relationships/hyperlink" Target="https://www.soccerstats.com/pmatch.asp?league=finland2&amp;stats=95-6-4-2026" TargetMode="External"/><Relationship Id="rId879" Type="http://schemas.openxmlformats.org/officeDocument/2006/relationships/hyperlink" Target="https://www.soccerstats.com/h2h.asp?league=slovenia&amp;fmid=23&amp;t1id=5&amp;t2id=9&amp;ly=2026" TargetMode="External"/><Relationship Id="rId434" Type="http://schemas.openxmlformats.org/officeDocument/2006/relationships/hyperlink" Target="https://www.soccerstats.com/pmatch.asp?league=southkorea4&amp;stats=65-3-7-2026" TargetMode="External"/><Relationship Id="rId641" Type="http://schemas.openxmlformats.org/officeDocument/2006/relationships/hyperlink" Target="https://www.soccerstats.com/pmatch.asp?league=southkorea4&amp;stats=64-6-1-2026" TargetMode="External"/><Relationship Id="rId739" Type="http://schemas.openxmlformats.org/officeDocument/2006/relationships/hyperlink" Target="https://www.soccerstats.com/h2h.asp?league=bulgaria2&amp;fmid=30&amp;t1id=6&amp;t2id=10&amp;ly=2026" TargetMode="External"/><Relationship Id="rId280" Type="http://schemas.openxmlformats.org/officeDocument/2006/relationships/hyperlink" Target="https://www.soccerstats.com/h2h.asp?league=hungary&amp;fmid=21&amp;t1id=11&amp;t2id=9&amp;ly=2026" TargetMode="External"/><Relationship Id="rId501" Type="http://schemas.openxmlformats.org/officeDocument/2006/relationships/hyperlink" Target="https://www.soccerstats.com/leagueview_team.asp?league=copalibertadores&amp;team1id=11&amp;team2id=26&amp;fmid=98" TargetMode="External"/><Relationship Id="rId75" Type="http://schemas.openxmlformats.org/officeDocument/2006/relationships/hyperlink" Target="https://www.soccerstats.com/pmatch.asp?league=argentina3&amp;stats=435-16-21-2026" TargetMode="External"/><Relationship Id="rId140" Type="http://schemas.openxmlformats.org/officeDocument/2006/relationships/hyperlink" Target="https://www.soccerstats.com/pmatch.asp?league=canada&amp;stats=65-6-1-2026" TargetMode="External"/><Relationship Id="rId378" Type="http://schemas.openxmlformats.org/officeDocument/2006/relationships/hyperlink" Target="https://www.soccerstats.com/h2h.asp?league=poland&amp;fmid=33&amp;t1id=13&amp;t2id=6&amp;ly=2026" TargetMode="External"/><Relationship Id="rId585" Type="http://schemas.openxmlformats.org/officeDocument/2006/relationships/hyperlink" Target="https://www.soccerstats.com/h2h.asp?league=denmark2&amp;fmid=19&amp;t1id=8&amp;t2id=1&amp;ly=2026" TargetMode="External"/><Relationship Id="rId792" Type="http://schemas.openxmlformats.org/officeDocument/2006/relationships/hyperlink" Target="https://www.soccerstats.com/h2h.asp?league=germany3&amp;fmid=20&amp;t1id=4&amp;t2id=5&amp;ly=2026" TargetMode="External"/><Relationship Id="rId806" Type="http://schemas.openxmlformats.org/officeDocument/2006/relationships/hyperlink" Target="https://www.soccerstats.com/h2h.asp?league=guatemala&amp;fmid=22&amp;t1id=11&amp;t2id=2&amp;ly=2026" TargetMode="External"/><Relationship Id="rId6" Type="http://schemas.openxmlformats.org/officeDocument/2006/relationships/hyperlink" Target="https://www.soccerstats.com/h2h.asp?league=netherlands&amp;fmid=14&amp;t1id=8&amp;t2id=1&amp;ly=2026" TargetMode="External"/><Relationship Id="rId238" Type="http://schemas.openxmlformats.org/officeDocument/2006/relationships/hyperlink" Target="https://www.soccerstats.com/pmatch.asp?league=finland2&amp;stats=93-3-7-2026" TargetMode="External"/><Relationship Id="rId445" Type="http://schemas.openxmlformats.org/officeDocument/2006/relationships/hyperlink" Target="https://www.soccerstats.com/pmatch.asp?league=sweden4&amp;stats=130-1-7-2026" TargetMode="External"/><Relationship Id="rId652" Type="http://schemas.openxmlformats.org/officeDocument/2006/relationships/hyperlink" Target="https://www.soccerstats.com/h2h.asp?league=uruguay3&amp;fmid=1&amp;t1id=1&amp;t2id=2&amp;ly=2026" TargetMode="External"/><Relationship Id="rId291" Type="http://schemas.openxmlformats.org/officeDocument/2006/relationships/hyperlink" Target="https://www.soccerstats.com/pmatch.asp?league=iceland3&amp;stats=100-12-10-2026" TargetMode="External"/><Relationship Id="rId305" Type="http://schemas.openxmlformats.org/officeDocument/2006/relationships/hyperlink" Target="https://www.soccerstats.com/h2h.asp?league=japan&amp;fmid=19&amp;t1id=16&amp;t2id=12&amp;ly=2026" TargetMode="External"/><Relationship Id="rId512" Type="http://schemas.openxmlformats.org/officeDocument/2006/relationships/hyperlink" Target="https://www.soccerstats.com/h2h.asp?league=southafrica&amp;fmid=15&amp;t1id=2&amp;t2id=5&amp;ly=2026" TargetMode="External"/><Relationship Id="rId86" Type="http://schemas.openxmlformats.org/officeDocument/2006/relationships/hyperlink" Target="https://www.soccerstats.com/pmatch.asp?league=australia6&amp;stats=132-11-9-2026" TargetMode="External"/><Relationship Id="rId151" Type="http://schemas.openxmlformats.org/officeDocument/2006/relationships/hyperlink" Target="https://www.soccerstats.com/pmatch.asp?league=china2&amp;stats=148-6-3-2026" TargetMode="External"/><Relationship Id="rId389" Type="http://schemas.openxmlformats.org/officeDocument/2006/relationships/hyperlink" Target="https://www.soccerstats.com/h2h.asp?league=portugal2&amp;fmid=11&amp;t1id=18&amp;t2id=13&amp;ly=2026" TargetMode="External"/><Relationship Id="rId596" Type="http://schemas.openxmlformats.org/officeDocument/2006/relationships/hyperlink" Target="https://www.soccerstats.com/h2h.asp?league=france3&amp;fmid=10&amp;t1id=17&amp;t2id=1&amp;ly=2026" TargetMode="External"/><Relationship Id="rId817" Type="http://schemas.openxmlformats.org/officeDocument/2006/relationships/hyperlink" Target="https://www.soccerstats.com/h2h.asp?league=japan3&amp;fmid=18&amp;t1id=12&amp;t2id=3&amp;ly=2026" TargetMode="External"/><Relationship Id="rId249" Type="http://schemas.openxmlformats.org/officeDocument/2006/relationships/hyperlink" Target="https://www.soccerstats.com/pmatch.asp?league=finland5&amp;stats=85-4-1-2026" TargetMode="External"/><Relationship Id="rId456" Type="http://schemas.openxmlformats.org/officeDocument/2006/relationships/hyperlink" Target="https://www.soccerstats.com/h2h.asp?league=turkey&amp;fmid=5&amp;t1id=9&amp;t2id=10&amp;ly=2026" TargetMode="External"/><Relationship Id="rId663" Type="http://schemas.openxmlformats.org/officeDocument/2006/relationships/hyperlink" Target="https://www.soccerstats.com/h2h.asp?league=netherlands&amp;fmid=16&amp;t1id=18&amp;t2id=13&amp;ly=2026" TargetMode="External"/><Relationship Id="rId870" Type="http://schemas.openxmlformats.org/officeDocument/2006/relationships/hyperlink" Target="https://www.soccerstats.com/h2h.asp?league=portugal2&amp;fmid=14&amp;t1id=16&amp;t2id=3&amp;ly=2026" TargetMode="External"/><Relationship Id="rId13" Type="http://schemas.openxmlformats.org/officeDocument/2006/relationships/hyperlink" Target="https://www.soccerstats.com/h2h.asp?league=england2&amp;fmid=6&amp;t1id=11&amp;t2id=12&amp;ly=2026" TargetMode="External"/><Relationship Id="rId109" Type="http://schemas.openxmlformats.org/officeDocument/2006/relationships/hyperlink" Target="https://www.soccerstats.com/h2h.asp?league=belgium&amp;fmid=11&amp;t1id=8&amp;t2id=13&amp;ly=2026" TargetMode="External"/><Relationship Id="rId316" Type="http://schemas.openxmlformats.org/officeDocument/2006/relationships/hyperlink" Target="https://www.soccerstats.com/h2h.asp?league=japan2&amp;fmid=16&amp;t1id=16&amp;t2id=7&amp;ly=2026" TargetMode="External"/><Relationship Id="rId523" Type="http://schemas.openxmlformats.org/officeDocument/2006/relationships/hyperlink" Target="https://www.soccerstats.com/h2h.asp?league=france2&amp;fmid=15&amp;t1id=12&amp;t2id=17&amp;ly=2026" TargetMode="External"/><Relationship Id="rId97" Type="http://schemas.openxmlformats.org/officeDocument/2006/relationships/hyperlink" Target="https://www.soccerstats.com/pmatch.asp?league=australia11&amp;stats=220-5-15-2026" TargetMode="External"/><Relationship Id="rId730" Type="http://schemas.openxmlformats.org/officeDocument/2006/relationships/hyperlink" Target="https://www.soccerstats.com/pmatch.asp?league=brazil5&amp;stats=138-11-18-2026" TargetMode="External"/><Relationship Id="rId828" Type="http://schemas.openxmlformats.org/officeDocument/2006/relationships/hyperlink" Target="https://www.soccerstats.com/h2h.asp?league=mexico&amp;fmid=31&amp;t1id=11&amp;t2id=17&amp;ly=2026" TargetMode="External"/><Relationship Id="rId162" Type="http://schemas.openxmlformats.org/officeDocument/2006/relationships/hyperlink" Target="https://www.soccerstats.com/h2h.asp?league=czechrepublic&amp;fmid=30&amp;t1id=8&amp;t2id=1&amp;ly=2026" TargetMode="External"/><Relationship Id="rId467" Type="http://schemas.openxmlformats.org/officeDocument/2006/relationships/hyperlink" Target="https://www.soccerstats.com/h2h.asp?league=uruguay3&amp;fmid=4&amp;t1id=7&amp;t2id=8&amp;ly=2026" TargetMode="External"/><Relationship Id="rId674" Type="http://schemas.openxmlformats.org/officeDocument/2006/relationships/hyperlink" Target="https://www.soccerstats.com/h2h.asp?league=spain2&amp;fmid=7&amp;t1id=13&amp;t2id=14&amp;ly=2026" TargetMode="External"/><Relationship Id="rId881" Type="http://schemas.openxmlformats.org/officeDocument/2006/relationships/hyperlink" Target="https://www.soccerstats.com/h2h.asp?league=slovenia&amp;fmid=21&amp;t1id=2&amp;t2id=8&amp;ly=2026" TargetMode="External"/><Relationship Id="rId24" Type="http://schemas.openxmlformats.org/officeDocument/2006/relationships/hyperlink" Target="https://www.soccerstats.com/h2h.asp?league=england3&amp;fmid=9&amp;t1id=17&amp;t2id=18&amp;ly=2026" TargetMode="External"/><Relationship Id="rId327" Type="http://schemas.openxmlformats.org/officeDocument/2006/relationships/hyperlink" Target="https://www.soccerstats.com/h2h.asp?league=mexico&amp;fmid=28&amp;t1id=2&amp;t2id=16&amp;ly=2026" TargetMode="External"/><Relationship Id="rId534" Type="http://schemas.openxmlformats.org/officeDocument/2006/relationships/hyperlink" Target="https://www.soccerstats.com/h2h.asp?league=netherlands2&amp;fmid=13&amp;t1id=6&amp;t2id=1&amp;ly=2026" TargetMode="External"/><Relationship Id="rId741" Type="http://schemas.openxmlformats.org/officeDocument/2006/relationships/hyperlink" Target="https://www.soccerstats.com/pmatch.asp?league=canada&amp;stats=67-7-4-2026" TargetMode="External"/><Relationship Id="rId839" Type="http://schemas.openxmlformats.org/officeDocument/2006/relationships/hyperlink" Target="https://www.soccerstats.com/pmatch.asp?league=norway&amp;stats=143-16-7-2026" TargetMode="External"/><Relationship Id="rId173" Type="http://schemas.openxmlformats.org/officeDocument/2006/relationships/hyperlink" Target="https://www.soccerstats.com/h2h.asp?league=denmark3&amp;fmid=18&amp;t1id=5&amp;t2id=7&amp;ly=2026" TargetMode="External"/><Relationship Id="rId380" Type="http://schemas.openxmlformats.org/officeDocument/2006/relationships/hyperlink" Target="https://www.soccerstats.com/h2h.asp?league=poland2&amp;fmid=34&amp;t1id=3&amp;t2id=2&amp;ly=2026" TargetMode="External"/><Relationship Id="rId601" Type="http://schemas.openxmlformats.org/officeDocument/2006/relationships/hyperlink" Target="https://www.soccerstats.com/h2h.asp?league=france3&amp;fmid=12&amp;t1id=16&amp;t2id=13&amp;ly=2026" TargetMode="External"/><Relationship Id="rId240" Type="http://schemas.openxmlformats.org/officeDocument/2006/relationships/hyperlink" Target="https://www.soccerstats.com/pmatch.asp?league=finland3&amp;stats=115-5-2-2026" TargetMode="External"/><Relationship Id="rId478" Type="http://schemas.openxmlformats.org/officeDocument/2006/relationships/hyperlink" Target="https://www.soccerstats.com/pmatch.asp?league=usa3&amp;stats=193-17-5-2026" TargetMode="External"/><Relationship Id="rId685" Type="http://schemas.openxmlformats.org/officeDocument/2006/relationships/hyperlink" Target="https://www.soccerstats.com/pmatch.asp?league=argentina3&amp;stats=438-25-12-2026" TargetMode="External"/><Relationship Id="rId892" Type="http://schemas.openxmlformats.org/officeDocument/2006/relationships/hyperlink" Target="https://www.soccerstats.com/pmatch.asp?league=sweden&amp;stats=130-1-12-2026" TargetMode="External"/><Relationship Id="rId906" Type="http://schemas.openxmlformats.org/officeDocument/2006/relationships/hyperlink" Target="https://www.soccerstats.com/h2h.asp?league=turkey&amp;fmid=7&amp;t1id=13&amp;t2id=14&amp;ly=2026" TargetMode="External"/><Relationship Id="rId35" Type="http://schemas.openxmlformats.org/officeDocument/2006/relationships/hyperlink" Target="https://www.soccerstats.com/h2h.asp?league=england4&amp;fmid=9&amp;t1id=17&amp;t2id=18&amp;ly=2026" TargetMode="External"/><Relationship Id="rId100" Type="http://schemas.openxmlformats.org/officeDocument/2006/relationships/hyperlink" Target="https://www.soccerstats.com/h2h.asp?league=austria&amp;fmid=15&amp;t1id=4&amp;t2id=12&amp;ly=2026" TargetMode="External"/><Relationship Id="rId338" Type="http://schemas.openxmlformats.org/officeDocument/2006/relationships/hyperlink" Target="https://www.soccerstats.com/h2h.asp?league=netherlands3&amp;fmid=8&amp;t1id=15&amp;t2id=16&amp;ly=2026" TargetMode="External"/><Relationship Id="rId545" Type="http://schemas.openxmlformats.org/officeDocument/2006/relationships/hyperlink" Target="https://www.soccerstats.com/pmatch.asp?league=australia4&amp;stats=131-4-8-2026" TargetMode="External"/><Relationship Id="rId752" Type="http://schemas.openxmlformats.org/officeDocument/2006/relationships/hyperlink" Target="https://www.soccerstats.com/pmatch.asp?league=china2&amp;stats=151-15-5-2026" TargetMode="External"/><Relationship Id="rId184" Type="http://schemas.openxmlformats.org/officeDocument/2006/relationships/hyperlink" Target="https://www.soccerstats.com/h2h.asp?league=england6&amp;fmid=17&amp;t1id=2&amp;t2id=19&amp;ly=2026" TargetMode="External"/><Relationship Id="rId391" Type="http://schemas.openxmlformats.org/officeDocument/2006/relationships/hyperlink" Target="https://www.soccerstats.com/pmatch.asp?league=romania&amp;stats=37-15-12-2027" TargetMode="External"/><Relationship Id="rId405" Type="http://schemas.openxmlformats.org/officeDocument/2006/relationships/hyperlink" Target="https://www.soccerstats.com/h2h.asp?league=scotland4&amp;fmid=13&amp;t1id=6&amp;t2id=4&amp;ly=2026" TargetMode="External"/><Relationship Id="rId612" Type="http://schemas.openxmlformats.org/officeDocument/2006/relationships/hyperlink" Target="https://www.soccerstats.com/h2h.asp?league=germany6&amp;fmid=24&amp;t1id=13&amp;t2id=10&amp;ly=2026" TargetMode="External"/><Relationship Id="rId251" Type="http://schemas.openxmlformats.org/officeDocument/2006/relationships/hyperlink" Target="https://www.soccerstats.com/pmatch.asp?league=finland6&amp;stats=81-9-5-2026" TargetMode="External"/><Relationship Id="rId489" Type="http://schemas.openxmlformats.org/officeDocument/2006/relationships/hyperlink" Target="https://www.soccerstats.com/h2h.asp?league=usa7&amp;fmid=1&amp;t1id=1&amp;t2id=2&amp;ly=2026" TargetMode="External"/><Relationship Id="rId696" Type="http://schemas.openxmlformats.org/officeDocument/2006/relationships/hyperlink" Target="https://www.soccerstats.com/pmatch.asp?league=australia7&amp;stats=130-2-8-2026" TargetMode="External"/><Relationship Id="rId917" Type="http://schemas.openxmlformats.org/officeDocument/2006/relationships/hyperlink" Target="https://www.soccerstats.com/pmatch.asp?league=usa&amp;stats=279-13-27-2026" TargetMode="External"/><Relationship Id="rId46" Type="http://schemas.openxmlformats.org/officeDocument/2006/relationships/hyperlink" Target="https://www.soccerstats.com/h2h.asp?league=england5&amp;fmid=20&amp;t1id=6&amp;t2id=13&amp;ly=2026" TargetMode="External"/><Relationship Id="rId349" Type="http://schemas.openxmlformats.org/officeDocument/2006/relationships/hyperlink" Target="https://www.soccerstats.com/h2h.asp?league=northmacedonia&amp;fmid=14&amp;t1id=5&amp;t2id=9&amp;ly=2026" TargetMode="External"/><Relationship Id="rId556" Type="http://schemas.openxmlformats.org/officeDocument/2006/relationships/hyperlink" Target="https://www.soccerstats.com/h2h.asp?league=azerbaijan&amp;fmid=4&amp;t1id=7&amp;t2id=8&amp;ly=2026" TargetMode="External"/><Relationship Id="rId763" Type="http://schemas.openxmlformats.org/officeDocument/2006/relationships/hyperlink" Target="https://www.soccerstats.com/h2h.asp?league=denmark&amp;fmid=20&amp;t1id=8&amp;t2id=6&amp;ly=2026" TargetMode="External"/><Relationship Id="rId111" Type="http://schemas.openxmlformats.org/officeDocument/2006/relationships/hyperlink" Target="https://www.soccerstats.com/h2h.asp?league=belgium&amp;fmid=13&amp;t1id=14&amp;t2id=7&amp;ly=2026" TargetMode="External"/><Relationship Id="rId195" Type="http://schemas.openxmlformats.org/officeDocument/2006/relationships/hyperlink" Target="https://www.soccerstats.com/h2h.asp?league=england7&amp;fmid=17&amp;t1id=6&amp;t2id=9&amp;ly=2026" TargetMode="External"/><Relationship Id="rId209" Type="http://schemas.openxmlformats.org/officeDocument/2006/relationships/hyperlink" Target="https://www.soccerstats.com/h2h.asp?league=england8&amp;fmid=435&amp;t1id=3&amp;t2id=16&amp;ly=2026" TargetMode="External"/><Relationship Id="rId416" Type="http://schemas.openxmlformats.org/officeDocument/2006/relationships/hyperlink" Target="https://www.soccerstats.com/h2h.asp?league=slovakia&amp;fmid=21&amp;t1id=12&amp;t2id=7&amp;ly=2026" TargetMode="External"/><Relationship Id="rId623" Type="http://schemas.openxmlformats.org/officeDocument/2006/relationships/hyperlink" Target="https://www.soccerstats.com/h2h.asp?league=hungary&amp;fmid=19&amp;t1id=2&amp;t2id=3&amp;ly=2026" TargetMode="External"/><Relationship Id="rId830" Type="http://schemas.openxmlformats.org/officeDocument/2006/relationships/hyperlink" Target="https://www.soccerstats.com/h2h.asp?league=moldova&amp;fmid=31&amp;t1id=4&amp;t2id=8&amp;ly=2026" TargetMode="External"/><Relationship Id="rId928" Type="http://schemas.openxmlformats.org/officeDocument/2006/relationships/hyperlink" Target="https://www.soccerstats.com/pmatch.asp?league=usa2&amp;stats=244-18-17-2026" TargetMode="External"/><Relationship Id="rId57" Type="http://schemas.openxmlformats.org/officeDocument/2006/relationships/hyperlink" Target="https://www.soccerstats.com/h2h.asp?league=spain2&amp;fmid=5&amp;t1id=9&amp;t2id=10&amp;ly=2026" TargetMode="External"/><Relationship Id="rId262" Type="http://schemas.openxmlformats.org/officeDocument/2006/relationships/hyperlink" Target="https://www.soccerstats.com/h2h.asp?league=germany4&amp;fmid=30&amp;t1id=8&amp;t2id=11&amp;ly=2026" TargetMode="External"/><Relationship Id="rId567" Type="http://schemas.openxmlformats.org/officeDocument/2006/relationships/hyperlink" Target="https://www.soccerstats.com/pmatch.asp?league=brazil2&amp;stats=219-12-19-2026" TargetMode="External"/><Relationship Id="rId122" Type="http://schemas.openxmlformats.org/officeDocument/2006/relationships/hyperlink" Target="https://www.soccerstats.com/pmatch.asp?league=brazil&amp;stats=223-6-4-2026" TargetMode="External"/><Relationship Id="rId774" Type="http://schemas.openxmlformats.org/officeDocument/2006/relationships/hyperlink" Target="https://www.soccerstats.com/pmatch.asp?league=faroeislands&amp;stats=91-5-4-2026" TargetMode="External"/><Relationship Id="rId427" Type="http://schemas.openxmlformats.org/officeDocument/2006/relationships/hyperlink" Target="https://www.soccerstats.com/pmatch.asp?league=southkorea&amp;stats=134-9-12-2026" TargetMode="External"/><Relationship Id="rId634" Type="http://schemas.openxmlformats.org/officeDocument/2006/relationships/hyperlink" Target="https://www.soccerstats.com/pmatch.asp?league=romania&amp;stats=36-1-11-2027" TargetMode="External"/><Relationship Id="rId841" Type="http://schemas.openxmlformats.org/officeDocument/2006/relationships/hyperlink" Target="https://www.soccerstats.com/pmatch.asp?league=norway2&amp;stats=142-15-6-2026" TargetMode="External"/><Relationship Id="rId273" Type="http://schemas.openxmlformats.org/officeDocument/2006/relationships/hyperlink" Target="https://www.soccerstats.com/h2h.asp?league=germany7&amp;fmid=11&amp;t1id=12&amp;t2id=1&amp;ly=2026" TargetMode="External"/><Relationship Id="rId480" Type="http://schemas.openxmlformats.org/officeDocument/2006/relationships/hyperlink" Target="https://www.soccerstats.com/pmatch.asp?league=usa3&amp;stats=192-11-7-2026" TargetMode="External"/><Relationship Id="rId701" Type="http://schemas.openxmlformats.org/officeDocument/2006/relationships/hyperlink" Target="https://www.soccerstats.com/pmatch.asp?league=australia11&amp;stats=222-6-16-2026" TargetMode="External"/><Relationship Id="rId68" Type="http://schemas.openxmlformats.org/officeDocument/2006/relationships/hyperlink" Target="https://www.soccerstats.com/pmatch.asp?league=argentina3&amp;stats=439-7-30-2026" TargetMode="External"/><Relationship Id="rId133" Type="http://schemas.openxmlformats.org/officeDocument/2006/relationships/hyperlink" Target="https://www.soccerstats.com/pmatch.asp?league=brazil5&amp;stats=141-13-8-2026" TargetMode="External"/><Relationship Id="rId340" Type="http://schemas.openxmlformats.org/officeDocument/2006/relationships/hyperlink" Target="https://www.soccerstats.com/h2h.asp?league=northernireland&amp;fmid=11&amp;t1id=12&amp;t2id=1&amp;ly=2026" TargetMode="External"/><Relationship Id="rId578" Type="http://schemas.openxmlformats.org/officeDocument/2006/relationships/hyperlink" Target="https://www.soccerstats.com/leagueview_team.asp?league=copasudamericana&amp;team1id=28&amp;team2id=25&amp;fmid=121" TargetMode="External"/><Relationship Id="rId785" Type="http://schemas.openxmlformats.org/officeDocument/2006/relationships/hyperlink" Target="https://www.soccerstats.com/pmatch.asp?league=finland4&amp;stats=85-9-2-2026" TargetMode="External"/><Relationship Id="rId200" Type="http://schemas.openxmlformats.org/officeDocument/2006/relationships/hyperlink" Target="https://www.soccerstats.com/h2h.asp?league=england8&amp;fmid=444&amp;t1id=19&amp;t2id=4&amp;ly=2026" TargetMode="External"/><Relationship Id="rId438" Type="http://schemas.openxmlformats.org/officeDocument/2006/relationships/hyperlink" Target="https://www.soccerstats.com/pmatch.asp?league=sweden2&amp;stats=146-8-11-2026" TargetMode="External"/><Relationship Id="rId645" Type="http://schemas.openxmlformats.org/officeDocument/2006/relationships/hyperlink" Target="https://www.soccerstats.com/pmatch.asp?league=sweden2&amp;stats=152-16-13-2026" TargetMode="External"/><Relationship Id="rId852" Type="http://schemas.openxmlformats.org/officeDocument/2006/relationships/hyperlink" Target="https://www.soccerstats.com/pmatch.asp?league=norway4&amp;stats=111-14-8-2026" TargetMode="External"/><Relationship Id="rId284" Type="http://schemas.openxmlformats.org/officeDocument/2006/relationships/hyperlink" Target="https://www.soccerstats.com/h2h.asp?league=hungary2&amp;fmid=28&amp;t1id=4&amp;t2id=9&amp;ly=2026" TargetMode="External"/><Relationship Id="rId491" Type="http://schemas.openxmlformats.org/officeDocument/2006/relationships/hyperlink" Target="https://www.soccerstats.com/h2h.asp?league=wales&amp;fmid=23&amp;t1id=7&amp;t2id=11&amp;ly=2026" TargetMode="External"/><Relationship Id="rId505" Type="http://schemas.openxmlformats.org/officeDocument/2006/relationships/hyperlink" Target="https://www.soccerstats.com/h2h.asp?league=germany4&amp;fmid=26&amp;t1id=15&amp;t2id=4&amp;ly=2026" TargetMode="External"/><Relationship Id="rId712" Type="http://schemas.openxmlformats.org/officeDocument/2006/relationships/hyperlink" Target="https://www.soccerstats.com/h2h.asp?league=belgium&amp;fmid=16&amp;t1id=16&amp;t2id=11&amp;ly=2026" TargetMode="External"/><Relationship Id="rId79" Type="http://schemas.openxmlformats.org/officeDocument/2006/relationships/hyperlink" Target="https://www.soccerstats.com/pmatch.asp?league=australia3&amp;stats=166-12-6-2026" TargetMode="External"/><Relationship Id="rId144" Type="http://schemas.openxmlformats.org/officeDocument/2006/relationships/hyperlink" Target="https://www.soccerstats.com/pmatch.asp?league=china&amp;stats=182-5-16-2026" TargetMode="External"/><Relationship Id="rId589" Type="http://schemas.openxmlformats.org/officeDocument/2006/relationships/hyperlink" Target="https://www.soccerstats.com/h2h.asp?league=denmark3&amp;fmid=13&amp;t1id=12&amp;t2id=2&amp;ly=2026" TargetMode="External"/><Relationship Id="rId796" Type="http://schemas.openxmlformats.org/officeDocument/2006/relationships/hyperlink" Target="https://www.soccerstats.com/h2h.asp?league=germany4&amp;fmid=34&amp;t1id=15&amp;t2id=9&amp;ly=2026" TargetMode="External"/><Relationship Id="rId351" Type="http://schemas.openxmlformats.org/officeDocument/2006/relationships/hyperlink" Target="https://www.soccerstats.com/pmatch.asp?league=norway&amp;stats=142-13-10-2026" TargetMode="External"/><Relationship Id="rId449" Type="http://schemas.openxmlformats.org/officeDocument/2006/relationships/hyperlink" Target="https://www.soccerstats.com/pmatch.asp?league=sweden11&amp;stats=98-1-4-2026" TargetMode="External"/><Relationship Id="rId656" Type="http://schemas.openxmlformats.org/officeDocument/2006/relationships/hyperlink" Target="https://www.soccerstats.com/h2h.asp?league=wales&amp;fmid=19&amp;t1id=9&amp;t2id=13&amp;ly=2026" TargetMode="External"/><Relationship Id="rId863" Type="http://schemas.openxmlformats.org/officeDocument/2006/relationships/hyperlink" Target="https://www.soccerstats.com/h2h.asp?league=poland2&amp;fmid=29&amp;t1id=13&amp;t2id=17&amp;ly=2026" TargetMode="External"/><Relationship Id="rId211" Type="http://schemas.openxmlformats.org/officeDocument/2006/relationships/hyperlink" Target="https://www.soccerstats.com/h2h.asp?league=england9&amp;fmid=33&amp;t1id=16&amp;t2id=19&amp;ly=2026" TargetMode="External"/><Relationship Id="rId295" Type="http://schemas.openxmlformats.org/officeDocument/2006/relationships/hyperlink" Target="https://www.soccerstats.com/pmatch.asp?league=ireland3&amp;stats=85-3-6-2026" TargetMode="External"/><Relationship Id="rId309" Type="http://schemas.openxmlformats.org/officeDocument/2006/relationships/hyperlink" Target="https://www.soccerstats.com/h2h.asp?league=japan2&amp;fmid=12&amp;t1id=12&amp;t2id=6&amp;ly=2026" TargetMode="External"/><Relationship Id="rId516" Type="http://schemas.openxmlformats.org/officeDocument/2006/relationships/hyperlink" Target="https://www.soccerstats.com/h2h.asp?league=netherlands&amp;fmid=10&amp;t1id=4&amp;t2id=11&amp;ly=2026" TargetMode="External"/><Relationship Id="rId723" Type="http://schemas.openxmlformats.org/officeDocument/2006/relationships/hyperlink" Target="https://www.soccerstats.com/pmatch.asp?league=brazil2&amp;stats=217-13-7-2026" TargetMode="External"/><Relationship Id="rId930" Type="http://schemas.openxmlformats.org/officeDocument/2006/relationships/hyperlink" Target="https://www.soccerstats.com/pmatch.asp?league=usa2&amp;stats=245-16-21-2026" TargetMode="External"/><Relationship Id="rId155" Type="http://schemas.openxmlformats.org/officeDocument/2006/relationships/hyperlink" Target="https://www.soccerstats.com/h2h.asp?league=croatia&amp;fmid=13&amp;t1id=3&amp;t2id=8&amp;ly=2026" TargetMode="External"/><Relationship Id="rId362" Type="http://schemas.openxmlformats.org/officeDocument/2006/relationships/hyperlink" Target="https://www.soccerstats.com/pmatch.asp?league=norway11&amp;stats=70-5-4-2026" TargetMode="External"/><Relationship Id="rId222" Type="http://schemas.openxmlformats.org/officeDocument/2006/relationships/hyperlink" Target="https://www.soccerstats.com/h2h.asp?league=england10&amp;fmid=32&amp;t1id=20&amp;t2id=9&amp;ly=2026" TargetMode="External"/><Relationship Id="rId667" Type="http://schemas.openxmlformats.org/officeDocument/2006/relationships/hyperlink" Target="https://www.soccerstats.com/h2h.asp?league=portugal&amp;fmid=16&amp;t1id=2&amp;t2id=9&amp;ly=2026" TargetMode="External"/><Relationship Id="rId874" Type="http://schemas.openxmlformats.org/officeDocument/2006/relationships/hyperlink" Target="https://www.soccerstats.com/h2h.asp?league=russia&amp;fmid=30&amp;t1id=6&amp;t2id=3&amp;ly=2026" TargetMode="External"/><Relationship Id="rId17" Type="http://schemas.openxmlformats.org/officeDocument/2006/relationships/hyperlink" Target="https://www.soccerstats.com/h2h.asp?league=england2&amp;fmid=9&amp;t1id=17&amp;t2id=18&amp;ly=2026" TargetMode="External"/><Relationship Id="rId527" Type="http://schemas.openxmlformats.org/officeDocument/2006/relationships/hyperlink" Target="https://www.soccerstats.com/h2h.asp?league=france2&amp;fmid=11&amp;t1id=16&amp;t2id=13&amp;ly=2026" TargetMode="External"/><Relationship Id="rId734" Type="http://schemas.openxmlformats.org/officeDocument/2006/relationships/hyperlink" Target="https://www.soccerstats.com/h2h.asp?league=bulgaria&amp;fmid=31&amp;t1id=8&amp;t2id=4&amp;ly=2026" TargetMode="External"/><Relationship Id="rId70" Type="http://schemas.openxmlformats.org/officeDocument/2006/relationships/hyperlink" Target="https://www.soccerstats.com/pmatch.asp?league=argentina3&amp;stats=445-27-10-2026" TargetMode="External"/><Relationship Id="rId166" Type="http://schemas.openxmlformats.org/officeDocument/2006/relationships/hyperlink" Target="https://www.soccerstats.com/h2h.asp?league=czechrepublic2&amp;fmid=29&amp;t1id=12&amp;t2id=9&amp;ly=2026" TargetMode="External"/><Relationship Id="rId331" Type="http://schemas.openxmlformats.org/officeDocument/2006/relationships/hyperlink" Target="https://www.soccerstats.com/h2h.asp?league=netherlands3&amp;fmid=1&amp;t1id=1&amp;t2id=2&amp;ly=2026" TargetMode="External"/><Relationship Id="rId373" Type="http://schemas.openxmlformats.org/officeDocument/2006/relationships/hyperlink" Target="https://www.soccerstats.com/pmatch.asp?league=peru2&amp;stats=43-15-6-2026" TargetMode="External"/><Relationship Id="rId429" Type="http://schemas.openxmlformats.org/officeDocument/2006/relationships/hyperlink" Target="https://www.soccerstats.com/pmatch.asp?league=southkorea2&amp;stats=169-15-8-2026" TargetMode="External"/><Relationship Id="rId580" Type="http://schemas.openxmlformats.org/officeDocument/2006/relationships/hyperlink" Target="https://www.soccerstats.com/h2h.asp?league=croatia&amp;fmid=15&amp;t1id=7&amp;t2id=10&amp;ly=2026" TargetMode="External"/><Relationship Id="rId636" Type="http://schemas.openxmlformats.org/officeDocument/2006/relationships/hyperlink" Target="https://www.soccerstats.com/h2h.asp?league=russia&amp;fmid=25&amp;t1id=11&amp;t2id=13&amp;ly=2026" TargetMode="External"/><Relationship Id="rId801" Type="http://schemas.openxmlformats.org/officeDocument/2006/relationships/hyperlink" Target="https://www.soccerstats.com/h2h.asp?league=germany7&amp;fmid=17&amp;t1id=18&amp;t2id=11&amp;ly=2026" TargetMode="External"/><Relationship Id="rId1" Type="http://schemas.openxmlformats.org/officeDocument/2006/relationships/hyperlink" Target="https://www.soccerstats.com/h2h.asp?league=spain&amp;fmid=1&amp;t1id=1&amp;t2id=2&amp;ly=2026" TargetMode="External"/><Relationship Id="rId233" Type="http://schemas.openxmlformats.org/officeDocument/2006/relationships/hyperlink" Target="https://www.soccerstats.com/pmatch.asp?league=estonia2&amp;stats=164-2-8-2026" TargetMode="External"/><Relationship Id="rId440" Type="http://schemas.openxmlformats.org/officeDocument/2006/relationships/hyperlink" Target="https://www.soccerstats.com/pmatch.asp?league=sweden2&amp;stats=148-14-3-2026" TargetMode="External"/><Relationship Id="rId678" Type="http://schemas.openxmlformats.org/officeDocument/2006/relationships/hyperlink" Target="https://www.soccerstats.com/h2h.asp?league=germany2&amp;fmid=18&amp;t1id=14&amp;t2id=11&amp;ly=2026" TargetMode="External"/><Relationship Id="rId843" Type="http://schemas.openxmlformats.org/officeDocument/2006/relationships/hyperlink" Target="https://www.soccerstats.com/pmatch.asp?league=norway2&amp;stats=138-14-3-2026" TargetMode="External"/><Relationship Id="rId885" Type="http://schemas.openxmlformats.org/officeDocument/2006/relationships/hyperlink" Target="https://www.soccerstats.com/pmatch.asp?league=southkorea&amp;stats=138-3-5-2026" TargetMode="External"/><Relationship Id="rId28" Type="http://schemas.openxmlformats.org/officeDocument/2006/relationships/hyperlink" Target="https://www.soccerstats.com/h2h.asp?league=england3&amp;fmid=5&amp;t1id=9&amp;t2id=10&amp;ly=2026" TargetMode="External"/><Relationship Id="rId275" Type="http://schemas.openxmlformats.org/officeDocument/2006/relationships/hyperlink" Target="https://www.soccerstats.com/h2h.asp?league=germany7&amp;fmid=13&amp;t1id=8&amp;t2id=9&amp;ly=2026" TargetMode="External"/><Relationship Id="rId300" Type="http://schemas.openxmlformats.org/officeDocument/2006/relationships/hyperlink" Target="https://www.soccerstats.com/h2h.asp?league=japan&amp;fmid=13&amp;t1id=2&amp;t2id=9&amp;ly=2026" TargetMode="External"/><Relationship Id="rId482" Type="http://schemas.openxmlformats.org/officeDocument/2006/relationships/hyperlink" Target="https://www.soccerstats.com/pmatch.asp?league=usa3&amp;stats=194-2-16-2026" TargetMode="External"/><Relationship Id="rId538" Type="http://schemas.openxmlformats.org/officeDocument/2006/relationships/hyperlink" Target="https://www.soccerstats.com/pmatch.asp?league=argentina3&amp;stats=450-19-18-2026" TargetMode="External"/><Relationship Id="rId703" Type="http://schemas.openxmlformats.org/officeDocument/2006/relationships/hyperlink" Target="https://www.soccerstats.com/pmatch.asp?league=australia11&amp;stats=223-14-10-2026" TargetMode="External"/><Relationship Id="rId745" Type="http://schemas.openxmlformats.org/officeDocument/2006/relationships/hyperlink" Target="https://www.soccerstats.com/pmatch.asp?league=chile&amp;stats=152-4-10-2026" TargetMode="External"/><Relationship Id="rId910" Type="http://schemas.openxmlformats.org/officeDocument/2006/relationships/hyperlink" Target="https://www.soccerstats.com/h2h.asp?league=turkey2&amp;fmid=11&amp;t1id=12&amp;t2id=3&amp;ly=2026" TargetMode="External"/><Relationship Id="rId81" Type="http://schemas.openxmlformats.org/officeDocument/2006/relationships/hyperlink" Target="https://www.soccerstats.com/pmatch.asp?league=australia5&amp;stats=119-2-10-2026" TargetMode="External"/><Relationship Id="rId135" Type="http://schemas.openxmlformats.org/officeDocument/2006/relationships/hyperlink" Target="https://www.soccerstats.com/pmatch.asp?league=brazil5&amp;stats=136-1-10-2026" TargetMode="External"/><Relationship Id="rId177" Type="http://schemas.openxmlformats.org/officeDocument/2006/relationships/hyperlink" Target="https://www.soccerstats.com/h2h.asp?league=england6&amp;fmid=24&amp;t1id=6&amp;t2id=17&amp;ly=2026" TargetMode="External"/><Relationship Id="rId342" Type="http://schemas.openxmlformats.org/officeDocument/2006/relationships/hyperlink" Target="https://www.soccerstats.com/h2h.asp?league=northernireland&amp;fmid=9&amp;t1id=2&amp;t2id=10&amp;ly=2026" TargetMode="External"/><Relationship Id="rId384" Type="http://schemas.openxmlformats.org/officeDocument/2006/relationships/hyperlink" Target="https://www.soccerstats.com/h2h.asp?league=poland3&amp;fmid=30&amp;t1id=10&amp;t2id=14&amp;ly=2026" TargetMode="External"/><Relationship Id="rId591" Type="http://schemas.openxmlformats.org/officeDocument/2006/relationships/hyperlink" Target="https://www.soccerstats.com/h2h.asp?league=england9&amp;fmid=23&amp;t1id=10&amp;t2id=15&amp;ly=2026" TargetMode="External"/><Relationship Id="rId605" Type="http://schemas.openxmlformats.org/officeDocument/2006/relationships/hyperlink" Target="https://www.soccerstats.com/pmatch.asp?league=germany5&amp;stats=40-14-6-2027" TargetMode="External"/><Relationship Id="rId787" Type="http://schemas.openxmlformats.org/officeDocument/2006/relationships/hyperlink" Target="https://www.soccerstats.com/pmatch.asp?league=finland6&amp;stats=85-2-4-2026" TargetMode="External"/><Relationship Id="rId812" Type="http://schemas.openxmlformats.org/officeDocument/2006/relationships/hyperlink" Target="https://www.soccerstats.com/pmatch.asp?league=iceland&amp;stats=110-5-12-2026" TargetMode="External"/><Relationship Id="rId202" Type="http://schemas.openxmlformats.org/officeDocument/2006/relationships/hyperlink" Target="https://www.soccerstats.com/h2h.asp?league=england8&amp;fmid=442&amp;t1id=22&amp;t2id=2&amp;ly=2026" TargetMode="External"/><Relationship Id="rId244" Type="http://schemas.openxmlformats.org/officeDocument/2006/relationships/hyperlink" Target="https://www.soccerstats.com/pmatch.asp?league=finland4&amp;stats=83-7-4-2026" TargetMode="External"/><Relationship Id="rId647" Type="http://schemas.openxmlformats.org/officeDocument/2006/relationships/hyperlink" Target="https://www.soccerstats.com/pmatch.asp?league=sweden4&amp;stats=129-10-8-2026" TargetMode="External"/><Relationship Id="rId689" Type="http://schemas.openxmlformats.org/officeDocument/2006/relationships/hyperlink" Target="https://www.soccerstats.com/pmatch.asp?league=argentina3&amp;stats=447-11-26-2026" TargetMode="External"/><Relationship Id="rId854" Type="http://schemas.openxmlformats.org/officeDocument/2006/relationships/hyperlink" Target="https://www.soccerstats.com/h2h.asp?league=paraguay2&amp;fmid=30&amp;t1id=11&amp;t2id=8&amp;ly=2026" TargetMode="External"/><Relationship Id="rId896" Type="http://schemas.openxmlformats.org/officeDocument/2006/relationships/hyperlink" Target="https://www.soccerstats.com/pmatch.asp?league=sweden2&amp;stats=151-4-12-2026" TargetMode="External"/><Relationship Id="rId39" Type="http://schemas.openxmlformats.org/officeDocument/2006/relationships/hyperlink" Target="https://www.soccerstats.com/h2h.asp?league=england4&amp;fmid=5&amp;t1id=9&amp;t2id=10&amp;ly=2026" TargetMode="External"/><Relationship Id="rId286" Type="http://schemas.openxmlformats.org/officeDocument/2006/relationships/hyperlink" Target="https://www.soccerstats.com/h2h.asp?league=hungary2&amp;fmid=26&amp;t1id=1&amp;t2id=13&amp;ly=2026" TargetMode="External"/><Relationship Id="rId451" Type="http://schemas.openxmlformats.org/officeDocument/2006/relationships/hyperlink" Target="https://www.soccerstats.com/pmatch.asp?league=sweden11&amp;stats=95-12-11-2026" TargetMode="External"/><Relationship Id="rId493" Type="http://schemas.openxmlformats.org/officeDocument/2006/relationships/hyperlink" Target="https://www.soccerstats.com/pmatch.asp?league=argentina2&amp;stats=57-20-23-2026" TargetMode="External"/><Relationship Id="rId507" Type="http://schemas.openxmlformats.org/officeDocument/2006/relationships/hyperlink" Target="https://www.soccerstats.com/h2h.asp?league=germany4&amp;fmid=20&amp;t1id=9&amp;t2id=14&amp;ly=2026" TargetMode="External"/><Relationship Id="rId549" Type="http://schemas.openxmlformats.org/officeDocument/2006/relationships/hyperlink" Target="https://www.soccerstats.com/pmatch.asp?league=australia4&amp;stats=132-6-3-2026" TargetMode="External"/><Relationship Id="rId714" Type="http://schemas.openxmlformats.org/officeDocument/2006/relationships/hyperlink" Target="https://www.soccerstats.com/h2h.asp?league=belgium&amp;fmid=18&amp;t1id=10&amp;t2id=3&amp;ly=2026" TargetMode="External"/><Relationship Id="rId756" Type="http://schemas.openxmlformats.org/officeDocument/2006/relationships/hyperlink" Target="https://www.soccerstats.com/h2h.asp?league=costarica&amp;fmid=18&amp;t1id=3&amp;t2id=5&amp;ly=2026" TargetMode="External"/><Relationship Id="rId921" Type="http://schemas.openxmlformats.org/officeDocument/2006/relationships/hyperlink" Target="https://www.soccerstats.com/pmatch.asp?league=usa&amp;stats=283-19-23-2026" TargetMode="External"/><Relationship Id="rId50" Type="http://schemas.openxmlformats.org/officeDocument/2006/relationships/hyperlink" Target="https://www.soccerstats.com/h2h.asp?league=england5&amp;fmid=16&amp;t1id=20&amp;t2id=23&amp;ly=2026" TargetMode="External"/><Relationship Id="rId104" Type="http://schemas.openxmlformats.org/officeDocument/2006/relationships/hyperlink" Target="https://www.soccerstats.com/h2h.asp?league=austria2&amp;fmid=23&amp;t1id=5&amp;t2id=1&amp;ly=2026" TargetMode="External"/><Relationship Id="rId146" Type="http://schemas.openxmlformats.org/officeDocument/2006/relationships/hyperlink" Target="https://www.soccerstats.com/pmatch.asp?league=china&amp;stats=183-7-12-2026" TargetMode="External"/><Relationship Id="rId188" Type="http://schemas.openxmlformats.org/officeDocument/2006/relationships/hyperlink" Target="https://www.soccerstats.com/h2h.asp?league=england6&amp;fmid=13&amp;t1id=18&amp;t2id=23&amp;ly=2026" TargetMode="External"/><Relationship Id="rId311" Type="http://schemas.openxmlformats.org/officeDocument/2006/relationships/hyperlink" Target="https://www.soccerstats.com/h2h.asp?league=japan2&amp;fmid=13&amp;t1id=3&amp;t2id=17&amp;ly=2026" TargetMode="External"/><Relationship Id="rId353" Type="http://schemas.openxmlformats.org/officeDocument/2006/relationships/hyperlink" Target="https://www.soccerstats.com/pmatch.asp?league=norway2&amp;stats=140-9-7-2026" TargetMode="External"/><Relationship Id="rId395" Type="http://schemas.openxmlformats.org/officeDocument/2006/relationships/hyperlink" Target="https://www.soccerstats.com/h2h.asp?league=russia&amp;fmid=29&amp;t1id=16&amp;t2id=14&amp;ly=2026" TargetMode="External"/><Relationship Id="rId409" Type="http://schemas.openxmlformats.org/officeDocument/2006/relationships/hyperlink" Target="https://www.soccerstats.com/h2h.asp?league=serbia&amp;fmid=29&amp;t1id=10&amp;t2id=2&amp;ly=2026" TargetMode="External"/><Relationship Id="rId560" Type="http://schemas.openxmlformats.org/officeDocument/2006/relationships/hyperlink" Target="https://www.soccerstats.com/h2h.asp?league=azerbaijan&amp;fmid=1&amp;t1id=1&amp;t2id=2&amp;ly=2026" TargetMode="External"/><Relationship Id="rId798" Type="http://schemas.openxmlformats.org/officeDocument/2006/relationships/hyperlink" Target="https://www.soccerstats.com/pmatch.asp?league=germany5&amp;stats=41-12-16-2027" TargetMode="External"/><Relationship Id="rId92" Type="http://schemas.openxmlformats.org/officeDocument/2006/relationships/hyperlink" Target="https://www.soccerstats.com/pmatch.asp?league=australia10&amp;stats=102-11-9-2026" TargetMode="External"/><Relationship Id="rId213" Type="http://schemas.openxmlformats.org/officeDocument/2006/relationships/hyperlink" Target="https://www.soccerstats.com/h2h.asp?league=england9&amp;fmid=31&amp;t1id=4&amp;t2id=1&amp;ly=2026" TargetMode="External"/><Relationship Id="rId420" Type="http://schemas.openxmlformats.org/officeDocument/2006/relationships/hyperlink" Target="https://www.soccerstats.com/h2h.asp?league=slovenia&amp;fmid=25&amp;t1id=7&amp;t2id=10&amp;ly=2026" TargetMode="External"/><Relationship Id="rId616" Type="http://schemas.openxmlformats.org/officeDocument/2006/relationships/hyperlink" Target="https://www.soccerstats.com/h2h.asp?league=germany8&amp;fmid=35&amp;t1id=18&amp;t2id=9&amp;ly=2026" TargetMode="External"/><Relationship Id="rId658" Type="http://schemas.openxmlformats.org/officeDocument/2006/relationships/hyperlink" Target="https://www.soccerstats.com/h2h.asp?league=wales&amp;fmid=17&amp;t1id=14&amp;t2id=5&amp;ly=2026" TargetMode="External"/><Relationship Id="rId823" Type="http://schemas.openxmlformats.org/officeDocument/2006/relationships/hyperlink" Target="https://www.soccerstats.com/pmatch.asp?league=kazakhstan&amp;stats=39-10-16-2026" TargetMode="External"/><Relationship Id="rId865" Type="http://schemas.openxmlformats.org/officeDocument/2006/relationships/hyperlink" Target="https://www.soccerstats.com/h2h.asp?league=poland3&amp;fmid=29&amp;t1id=9&amp;t2id=13&amp;ly=2026" TargetMode="External"/><Relationship Id="rId255" Type="http://schemas.openxmlformats.org/officeDocument/2006/relationships/hyperlink" Target="https://www.soccerstats.com/pmatch.asp?league=georgia&amp;stats=103-3-1-2026" TargetMode="External"/><Relationship Id="rId297" Type="http://schemas.openxmlformats.org/officeDocument/2006/relationships/hyperlink" Target="https://www.soccerstats.com/pmatch.asp?league=ireland3&amp;stats=90-10-9-2026" TargetMode="External"/><Relationship Id="rId462" Type="http://schemas.openxmlformats.org/officeDocument/2006/relationships/hyperlink" Target="https://www.soccerstats.com/h2h.asp?league=ukraine&amp;fmid=22&amp;t1id=3&amp;t2id=12&amp;ly=2026" TargetMode="External"/><Relationship Id="rId518" Type="http://schemas.openxmlformats.org/officeDocument/2006/relationships/hyperlink" Target="https://www.soccerstats.com/h2h.asp?league=england2&amp;fmid=1&amp;t1id=1&amp;t2id=2&amp;ly=2026" TargetMode="External"/><Relationship Id="rId725" Type="http://schemas.openxmlformats.org/officeDocument/2006/relationships/hyperlink" Target="https://www.soccerstats.com/pmatch.asp?league=brazil2&amp;stats=212-2-17-2026" TargetMode="External"/><Relationship Id="rId932" Type="http://schemas.openxmlformats.org/officeDocument/2006/relationships/hyperlink" Target="https://www.soccerstats.com/pmatch.asp?league=usa3&amp;stats=195-10-13-2026" TargetMode="External"/><Relationship Id="rId115" Type="http://schemas.openxmlformats.org/officeDocument/2006/relationships/hyperlink" Target="https://www.soccerstats.com/h2h.asp?league=belgium2&amp;fmid=5&amp;t1id=9&amp;t2id=10&amp;ly=2026" TargetMode="External"/><Relationship Id="rId157" Type="http://schemas.openxmlformats.org/officeDocument/2006/relationships/hyperlink" Target="https://www.soccerstats.com/h2h.asp?league=czechrepublic&amp;fmid=28&amp;t1id=4&amp;t2id=15&amp;ly=2026" TargetMode="External"/><Relationship Id="rId322" Type="http://schemas.openxmlformats.org/officeDocument/2006/relationships/hyperlink" Target="https://www.soccerstats.com/h2h.asp?league=japan3&amp;fmid=15&amp;t1id=20&amp;t2id=13&amp;ly=2026" TargetMode="External"/><Relationship Id="rId364" Type="http://schemas.openxmlformats.org/officeDocument/2006/relationships/hyperlink" Target="https://www.soccerstats.com/pmatch.asp?league=norway11&amp;stats=71-7-1-2026" TargetMode="External"/><Relationship Id="rId767" Type="http://schemas.openxmlformats.org/officeDocument/2006/relationships/hyperlink" Target="https://www.soccerstats.com/pmatch.asp?league=ecuador&amp;stats=195-11-4-2026" TargetMode="External"/><Relationship Id="rId61" Type="http://schemas.openxmlformats.org/officeDocument/2006/relationships/hyperlink" Target="https://www.soccerstats.com/h2h.asp?league=germany2&amp;fmid=15&amp;t1id=12&amp;t2id=5&amp;ly=2026" TargetMode="External"/><Relationship Id="rId199" Type="http://schemas.openxmlformats.org/officeDocument/2006/relationships/hyperlink" Target="https://www.soccerstats.com/h2h.asp?league=england7&amp;fmid=13&amp;t1id=1&amp;t2id=10&amp;ly=2026" TargetMode="External"/><Relationship Id="rId571" Type="http://schemas.openxmlformats.org/officeDocument/2006/relationships/hyperlink" Target="https://www.soccerstats.com/pmatch.asp?league=chile&amp;stats=145-7-11-2026" TargetMode="External"/><Relationship Id="rId627" Type="http://schemas.openxmlformats.org/officeDocument/2006/relationships/hyperlink" Target="https://www.soccerstats.com/pmatch.asp?league=norway11&amp;stats=73-11-6-2026" TargetMode="External"/><Relationship Id="rId669" Type="http://schemas.openxmlformats.org/officeDocument/2006/relationships/hyperlink" Target="https://www.soccerstats.com/h2h.asp?league=portugal&amp;fmid=15&amp;t1id=10&amp;t2id=13&amp;ly=2026" TargetMode="External"/><Relationship Id="rId834" Type="http://schemas.openxmlformats.org/officeDocument/2006/relationships/hyperlink" Target="https://www.soccerstats.com/h2h.asp?league=montenegro&amp;fmid=14&amp;t1id=5&amp;t2id=9&amp;ly=2026" TargetMode="External"/><Relationship Id="rId876" Type="http://schemas.openxmlformats.org/officeDocument/2006/relationships/hyperlink" Target="https://www.soccerstats.com/h2h.asp?league=russia&amp;fmid=32&amp;t1id=2&amp;t2id=9&amp;ly=2026" TargetMode="External"/><Relationship Id="rId19" Type="http://schemas.openxmlformats.org/officeDocument/2006/relationships/hyperlink" Target="https://www.soccerstats.com/h2h.asp?league=england3&amp;fmid=2&amp;t1id=3&amp;t2id=4&amp;ly=2026" TargetMode="External"/><Relationship Id="rId224" Type="http://schemas.openxmlformats.org/officeDocument/2006/relationships/hyperlink" Target="https://www.soccerstats.com/h2h.asp?league=england10&amp;fmid=30&amp;t1id=18&amp;t2id=19&amp;ly=2026" TargetMode="External"/><Relationship Id="rId266" Type="http://schemas.openxmlformats.org/officeDocument/2006/relationships/hyperlink" Target="https://www.soccerstats.com/pmatch.asp?league=germany5&amp;stats=39-5-15-2027" TargetMode="External"/><Relationship Id="rId431" Type="http://schemas.openxmlformats.org/officeDocument/2006/relationships/hyperlink" Target="https://www.soccerstats.com/pmatch.asp?league=southkorea2&amp;stats=171-1-11-2026" TargetMode="External"/><Relationship Id="rId473" Type="http://schemas.openxmlformats.org/officeDocument/2006/relationships/hyperlink" Target="https://www.soccerstats.com/pmatch.asp?league=usa2&amp;stats=238-23-4-2026" TargetMode="External"/><Relationship Id="rId529" Type="http://schemas.openxmlformats.org/officeDocument/2006/relationships/hyperlink" Target="https://www.soccerstats.com/h2h.asp?league=germany2&amp;fmid=10&amp;t1id=4&amp;t2id=1&amp;ly=2026" TargetMode="External"/><Relationship Id="rId680" Type="http://schemas.openxmlformats.org/officeDocument/2006/relationships/hyperlink" Target="https://www.soccerstats.com/pmatch.asp?league=argentina2&amp;stats=69-8-12-2026" TargetMode="External"/><Relationship Id="rId736" Type="http://schemas.openxmlformats.org/officeDocument/2006/relationships/hyperlink" Target="https://www.soccerstats.com/h2h.asp?league=bulgaria2&amp;fmid=28&amp;t1id=5&amp;t2id=3&amp;ly=2026" TargetMode="External"/><Relationship Id="rId901" Type="http://schemas.openxmlformats.org/officeDocument/2006/relationships/hyperlink" Target="https://www.soccerstats.com/pmatch.asp?league=sweden4&amp;stats=136-13-15-2026" TargetMode="External"/><Relationship Id="rId30" Type="http://schemas.openxmlformats.org/officeDocument/2006/relationships/hyperlink" Target="https://www.soccerstats.com/h2h.asp?league=england4&amp;fmid=2&amp;t1id=3&amp;t2id=4&amp;ly=2026" TargetMode="External"/><Relationship Id="rId126" Type="http://schemas.openxmlformats.org/officeDocument/2006/relationships/hyperlink" Target="https://www.soccerstats.com/pmatch.asp?league=brazil2&amp;stats=211-8-20-2026" TargetMode="External"/><Relationship Id="rId168" Type="http://schemas.openxmlformats.org/officeDocument/2006/relationships/hyperlink" Target="https://www.soccerstats.com/h2h.asp?league=czechrepublic2&amp;fmid=31&amp;t1id=2&amp;t2id=15&amp;ly=2026" TargetMode="External"/><Relationship Id="rId333" Type="http://schemas.openxmlformats.org/officeDocument/2006/relationships/hyperlink" Target="https://www.soccerstats.com/h2h.asp?league=netherlands3&amp;fmid=5&amp;t1id=9&amp;t2id=10&amp;ly=2026" TargetMode="External"/><Relationship Id="rId540" Type="http://schemas.openxmlformats.org/officeDocument/2006/relationships/hyperlink" Target="https://www.soccerstats.com/h2h.asp?league=armenia&amp;fmid=16&amp;t1id=5&amp;t2id=10&amp;ly=2026" TargetMode="External"/><Relationship Id="rId778" Type="http://schemas.openxmlformats.org/officeDocument/2006/relationships/hyperlink" Target="https://www.soccerstats.com/pmatch.asp?league=finland&amp;stats=119-3-5-2026" TargetMode="External"/><Relationship Id="rId72" Type="http://schemas.openxmlformats.org/officeDocument/2006/relationships/hyperlink" Target="https://www.soccerstats.com/pmatch.asp?league=argentina3&amp;stats=434-23-14-2026" TargetMode="External"/><Relationship Id="rId375" Type="http://schemas.openxmlformats.org/officeDocument/2006/relationships/hyperlink" Target="https://www.soccerstats.com/pmatch.asp?league=peru2&amp;stats=38-7-16-2026" TargetMode="External"/><Relationship Id="rId582" Type="http://schemas.openxmlformats.org/officeDocument/2006/relationships/hyperlink" Target="https://www.soccerstats.com/h2h.asp?league=czechrepublic2&amp;fmid=25&amp;t1id=6&amp;t2id=14&amp;ly=2026" TargetMode="External"/><Relationship Id="rId638" Type="http://schemas.openxmlformats.org/officeDocument/2006/relationships/hyperlink" Target="https://www.soccerstats.com/h2h.asp?league=saudiarabia&amp;fmid=5&amp;t1id=9&amp;t2id=10&amp;ly=2026" TargetMode="External"/><Relationship Id="rId803" Type="http://schemas.openxmlformats.org/officeDocument/2006/relationships/hyperlink" Target="https://www.soccerstats.com/h2h.asp?league=germany7&amp;fmid=16&amp;t1id=16&amp;t2id=7&amp;ly=2026" TargetMode="External"/><Relationship Id="rId845" Type="http://schemas.openxmlformats.org/officeDocument/2006/relationships/hyperlink" Target="https://www.soccerstats.com/pmatch.asp?league=norway3&amp;stats=112-6-12-2026" TargetMode="External"/><Relationship Id="rId3" Type="http://schemas.openxmlformats.org/officeDocument/2006/relationships/hyperlink" Target="https://www.soccerstats.com/h2h.asp?league=netherlands&amp;fmid=11&amp;t1id=6&amp;t2id=3&amp;ly=2026" TargetMode="External"/><Relationship Id="rId235" Type="http://schemas.openxmlformats.org/officeDocument/2006/relationships/hyperlink" Target="https://www.soccerstats.com/pmatch.asp?league=estonia2&amp;stats=163-3-5-2026" TargetMode="External"/><Relationship Id="rId277" Type="http://schemas.openxmlformats.org/officeDocument/2006/relationships/hyperlink" Target="https://www.soccerstats.com/h2h.asp?league=germany7&amp;fmid=12&amp;t1id=6&amp;t2id=3&amp;ly=2026" TargetMode="External"/><Relationship Id="rId400" Type="http://schemas.openxmlformats.org/officeDocument/2006/relationships/hyperlink" Target="https://www.soccerstats.com/h2h.asp?league=scotland3&amp;fmid=14&amp;t1id=5&amp;t2id=7&amp;ly=2026" TargetMode="External"/><Relationship Id="rId442" Type="http://schemas.openxmlformats.org/officeDocument/2006/relationships/hyperlink" Target="https://www.soccerstats.com/pmatch.asp?league=sweden3&amp;stats=130-8-6-2026" TargetMode="External"/><Relationship Id="rId484" Type="http://schemas.openxmlformats.org/officeDocument/2006/relationships/hyperlink" Target="https://www.soccerstats.com/pmatch.asp?league=usa6&amp;stats=151-11-8-2026" TargetMode="External"/><Relationship Id="rId705" Type="http://schemas.openxmlformats.org/officeDocument/2006/relationships/hyperlink" Target="https://www.soccerstats.com/h2h.asp?league=austria&amp;fmid=16&amp;t1id=3&amp;t2id=5&amp;ly=2026" TargetMode="External"/><Relationship Id="rId887" Type="http://schemas.openxmlformats.org/officeDocument/2006/relationships/hyperlink" Target="https://www.soccerstats.com/pmatch.asp?league=southkorea2&amp;stats=175-7-13-2026" TargetMode="External"/><Relationship Id="rId137" Type="http://schemas.openxmlformats.org/officeDocument/2006/relationships/hyperlink" Target="https://www.soccerstats.com/h2h.asp?league=bulgaria&amp;fmid=29&amp;t1id=11&amp;t2id=3&amp;ly=2026" TargetMode="External"/><Relationship Id="rId302" Type="http://schemas.openxmlformats.org/officeDocument/2006/relationships/hyperlink" Target="https://www.soccerstats.com/h2h.asp?league=japan&amp;fmid=14&amp;t1id=10&amp;t2id=1&amp;ly=2026" TargetMode="External"/><Relationship Id="rId344" Type="http://schemas.openxmlformats.org/officeDocument/2006/relationships/hyperlink" Target="https://www.soccerstats.com/h2h.asp?league=northernireland&amp;fmid=7&amp;t1id=9&amp;t2id=3&amp;ly=2026" TargetMode="External"/><Relationship Id="rId691" Type="http://schemas.openxmlformats.org/officeDocument/2006/relationships/hyperlink" Target="https://www.soccerstats.com/h2h.asp?league=armenia&amp;fmid=13&amp;t1id=2&amp;t2id=4&amp;ly=2026" TargetMode="External"/><Relationship Id="rId747" Type="http://schemas.openxmlformats.org/officeDocument/2006/relationships/hyperlink" Target="https://www.soccerstats.com/pmatch.asp?league=chile2&amp;stats=161-3-11-2026" TargetMode="External"/><Relationship Id="rId789" Type="http://schemas.openxmlformats.org/officeDocument/2006/relationships/hyperlink" Target="https://www.soccerstats.com/pmatch.asp?league=georgia&amp;stats=102-10-6-2026" TargetMode="External"/><Relationship Id="rId912" Type="http://schemas.openxmlformats.org/officeDocument/2006/relationships/hyperlink" Target="https://www.soccerstats.com/h2h.asp?league=ukraine&amp;fmid=21&amp;t1id=5&amp;t2id=16&amp;ly=2026" TargetMode="External"/><Relationship Id="rId41" Type="http://schemas.openxmlformats.org/officeDocument/2006/relationships/hyperlink" Target="https://www.soccerstats.com/h2h.asp?league=england4&amp;fmid=3&amp;t1id=5&amp;t2id=6&amp;ly=2026" TargetMode="External"/><Relationship Id="rId83" Type="http://schemas.openxmlformats.org/officeDocument/2006/relationships/hyperlink" Target="https://www.soccerstats.com/pmatch.asp?league=australia5&amp;stats=116-4-12-2026" TargetMode="External"/><Relationship Id="rId179" Type="http://schemas.openxmlformats.org/officeDocument/2006/relationships/hyperlink" Target="https://www.soccerstats.com/h2h.asp?league=england6&amp;fmid=22&amp;t1id=20&amp;t2id=13&amp;ly=2026" TargetMode="External"/><Relationship Id="rId386" Type="http://schemas.openxmlformats.org/officeDocument/2006/relationships/hyperlink" Target="https://www.soccerstats.com/h2h.asp?league=poland3&amp;fmid=28&amp;t1id=2&amp;t2id=18&amp;ly=2026" TargetMode="External"/><Relationship Id="rId551" Type="http://schemas.openxmlformats.org/officeDocument/2006/relationships/hyperlink" Target="https://www.soccerstats.com/pmatch.asp?league=australia11&amp;stats=217-1-4-2026" TargetMode="External"/><Relationship Id="rId593" Type="http://schemas.openxmlformats.org/officeDocument/2006/relationships/hyperlink" Target="https://www.soccerstats.com/pmatch.asp?league=finland&amp;stats=115-2-10-2026" TargetMode="External"/><Relationship Id="rId607" Type="http://schemas.openxmlformats.org/officeDocument/2006/relationships/hyperlink" Target="https://www.soccerstats.com/pmatch.asp?league=germany5&amp;stats=43-9-4-2027" TargetMode="External"/><Relationship Id="rId649" Type="http://schemas.openxmlformats.org/officeDocument/2006/relationships/hyperlink" Target="https://www.soccerstats.com/h2h.asp?league=turkey&amp;fmid=1&amp;t1id=1&amp;t2id=2&amp;ly=2026" TargetMode="External"/><Relationship Id="rId814" Type="http://schemas.openxmlformats.org/officeDocument/2006/relationships/hyperlink" Target="https://www.soccerstats.com/h2h.asp?league=japan2&amp;fmid=19&amp;t1id=8&amp;t2id=11&amp;ly=2026" TargetMode="External"/><Relationship Id="rId856" Type="http://schemas.openxmlformats.org/officeDocument/2006/relationships/hyperlink" Target="https://www.soccerstats.com/h2h.asp?league=paraguay2&amp;fmid=25&amp;t1id=5&amp;t2id=3&amp;ly=2026" TargetMode="External"/><Relationship Id="rId190" Type="http://schemas.openxmlformats.org/officeDocument/2006/relationships/hyperlink" Target="https://www.soccerstats.com/h2h.asp?league=england7&amp;fmid=23&amp;t1id=21&amp;t2id=2&amp;ly=2026" TargetMode="External"/><Relationship Id="rId204" Type="http://schemas.openxmlformats.org/officeDocument/2006/relationships/hyperlink" Target="https://www.soccerstats.com/h2h.asp?league=england8&amp;fmid=440&amp;t1id=13&amp;t2id=15&amp;ly=2026" TargetMode="External"/><Relationship Id="rId246" Type="http://schemas.openxmlformats.org/officeDocument/2006/relationships/hyperlink" Target="https://www.soccerstats.com/pmatch.asp?league=finland5&amp;stats=84-6-2-2026" TargetMode="External"/><Relationship Id="rId288" Type="http://schemas.openxmlformats.org/officeDocument/2006/relationships/hyperlink" Target="https://www.soccerstats.com/pmatch.asp?league=iceland&amp;stats=109-8-10-2026" TargetMode="External"/><Relationship Id="rId411" Type="http://schemas.openxmlformats.org/officeDocument/2006/relationships/hyperlink" Target="https://www.soccerstats.com/h2h.asp?league=serbia&amp;fmid=30&amp;t1id=6&amp;t2id=8&amp;ly=2026" TargetMode="External"/><Relationship Id="rId453" Type="http://schemas.openxmlformats.org/officeDocument/2006/relationships/hyperlink" Target="https://www.soccerstats.com/pmatch.asp?league=sweden11&amp;stats=97-14-3-2026" TargetMode="External"/><Relationship Id="rId509" Type="http://schemas.openxmlformats.org/officeDocument/2006/relationships/hyperlink" Target="https://www.soccerstats.com/h2h.asp?league=germany4&amp;fmid=25&amp;t1id=13&amp;t2id=10&amp;ly=2026" TargetMode="External"/><Relationship Id="rId660" Type="http://schemas.openxmlformats.org/officeDocument/2006/relationships/hyperlink" Target="https://www.soccerstats.com/h2h.asp?league=spain&amp;fmid=4&amp;t1id=7&amp;t2id=8&amp;ly=2026" TargetMode="External"/><Relationship Id="rId898" Type="http://schemas.openxmlformats.org/officeDocument/2006/relationships/hyperlink" Target="https://www.soccerstats.com/pmatch.asp?league=sweden3&amp;stats=132-12-1-2026" TargetMode="External"/><Relationship Id="rId106" Type="http://schemas.openxmlformats.org/officeDocument/2006/relationships/hyperlink" Target="https://www.soccerstats.com/pmatch.asp?league=belarus&amp;stats=142-14-9-2026" TargetMode="External"/><Relationship Id="rId313" Type="http://schemas.openxmlformats.org/officeDocument/2006/relationships/hyperlink" Target="https://www.soccerstats.com/h2h.asp?league=japan2&amp;fmid=14&amp;t1id=18&amp;t2id=13&amp;ly=2026" TargetMode="External"/><Relationship Id="rId495" Type="http://schemas.openxmlformats.org/officeDocument/2006/relationships/hyperlink" Target="https://www.soccerstats.com/pmatch.asp?league=australia10&amp;stats=97-11-2-2026" TargetMode="External"/><Relationship Id="rId716" Type="http://schemas.openxmlformats.org/officeDocument/2006/relationships/hyperlink" Target="https://www.soccerstats.com/pmatch.asp?league=brazil&amp;stats=228-15-3-2026" TargetMode="External"/><Relationship Id="rId758" Type="http://schemas.openxmlformats.org/officeDocument/2006/relationships/hyperlink" Target="https://www.soccerstats.com/h2h.asp?league=croatia&amp;fmid=14&amp;t1id=5&amp;t2id=9&amp;ly=2026" TargetMode="External"/><Relationship Id="rId923" Type="http://schemas.openxmlformats.org/officeDocument/2006/relationships/hyperlink" Target="https://www.soccerstats.com/pmatch.asp?league=usa&amp;stats=286-14-25-2026" TargetMode="External"/><Relationship Id="rId10" Type="http://schemas.openxmlformats.org/officeDocument/2006/relationships/hyperlink" Target="https://www.soccerstats.com/h2h.asp?league=england2&amp;fmid=2&amp;t1id=3&amp;t2id=4&amp;ly=2026" TargetMode="External"/><Relationship Id="rId52" Type="http://schemas.openxmlformats.org/officeDocument/2006/relationships/hyperlink" Target="https://www.soccerstats.com/h2h.asp?league=england5&amp;fmid=14&amp;t1id=16&amp;t2id=11&amp;ly=2026" TargetMode="External"/><Relationship Id="rId94" Type="http://schemas.openxmlformats.org/officeDocument/2006/relationships/hyperlink" Target="https://www.soccerstats.com/pmatch.asp?league=australia10&amp;stats=103-1-6-2026" TargetMode="External"/><Relationship Id="rId148" Type="http://schemas.openxmlformats.org/officeDocument/2006/relationships/hyperlink" Target="https://www.soccerstats.com/pmatch.asp?league=china2&amp;stats=145-4-14-2026" TargetMode="External"/><Relationship Id="rId355" Type="http://schemas.openxmlformats.org/officeDocument/2006/relationships/hyperlink" Target="https://www.soccerstats.com/pmatch.asp?league=norway3&amp;stats=106-8-4-2026" TargetMode="External"/><Relationship Id="rId397" Type="http://schemas.openxmlformats.org/officeDocument/2006/relationships/hyperlink" Target="https://www.soccerstats.com/h2h.asp?league=saudiarabia&amp;fmid=9&amp;t1id=17&amp;t2id=18&amp;ly=2026" TargetMode="External"/><Relationship Id="rId520" Type="http://schemas.openxmlformats.org/officeDocument/2006/relationships/hyperlink" Target="https://www.soccerstats.com/h2h.asp?league=france2&amp;fmid=18&amp;t1id=6&amp;t2id=3&amp;ly=2026" TargetMode="External"/><Relationship Id="rId562" Type="http://schemas.openxmlformats.org/officeDocument/2006/relationships/hyperlink" Target="https://www.soccerstats.com/pmatch.asp?league=belarus&amp;stats=140-10-5-2026" TargetMode="External"/><Relationship Id="rId618" Type="http://schemas.openxmlformats.org/officeDocument/2006/relationships/hyperlink" Target="https://www.soccerstats.com/h2h.asp?league=germany8&amp;fmid=29&amp;t1id=14&amp;t2id=8&amp;ly=2026" TargetMode="External"/><Relationship Id="rId825" Type="http://schemas.openxmlformats.org/officeDocument/2006/relationships/hyperlink" Target="https://www.soccerstats.com/pmatch.asp?league=lithuania&amp;stats=132-1-6-2026" TargetMode="External"/><Relationship Id="rId215" Type="http://schemas.openxmlformats.org/officeDocument/2006/relationships/hyperlink" Target="https://www.soccerstats.com/h2h.asp?league=england9&amp;fmid=29&amp;t1id=22&amp;t2id=9&amp;ly=2026" TargetMode="External"/><Relationship Id="rId257" Type="http://schemas.openxmlformats.org/officeDocument/2006/relationships/hyperlink" Target="https://www.soccerstats.com/h2h.asp?league=germany3&amp;fmid=13&amp;t1id=14&amp;t2id=19&amp;ly=2026" TargetMode="External"/><Relationship Id="rId422" Type="http://schemas.openxmlformats.org/officeDocument/2006/relationships/hyperlink" Target="https://www.soccerstats.com/h2h.asp?league=southafrica&amp;fmid=17&amp;t1id=10&amp;t2id=15&amp;ly=2026" TargetMode="External"/><Relationship Id="rId464" Type="http://schemas.openxmlformats.org/officeDocument/2006/relationships/hyperlink" Target="https://www.soccerstats.com/h2h.asp?league=ukraine&amp;fmid=17&amp;t1id=4&amp;t2id=13&amp;ly=2026" TargetMode="External"/><Relationship Id="rId867" Type="http://schemas.openxmlformats.org/officeDocument/2006/relationships/hyperlink" Target="https://www.soccerstats.com/h2h.asp?league=poland3&amp;fmid=34&amp;t1id=6&amp;t2id=15&amp;ly=2026" TargetMode="External"/><Relationship Id="rId299" Type="http://schemas.openxmlformats.org/officeDocument/2006/relationships/hyperlink" Target="https://www.soccerstats.com/pmatch.asp?league=ireland3&amp;stats=87-12-1-2026" TargetMode="External"/><Relationship Id="rId727" Type="http://schemas.openxmlformats.org/officeDocument/2006/relationships/hyperlink" Target="https://www.soccerstats.com/pmatch.asp?league=brazil3&amp;stats=166-12-10-2026" TargetMode="External"/><Relationship Id="rId934" Type="http://schemas.openxmlformats.org/officeDocument/2006/relationships/hyperlink" Target="https://www.soccerstats.com/pmatch.asp?league=usa3&amp;stats=197-18-8-2026" TargetMode="External"/><Relationship Id="rId63" Type="http://schemas.openxmlformats.org/officeDocument/2006/relationships/hyperlink" Target="https://www.soccerstats.com/pmatch.asp?league=argentina2&amp;stats=66-6-18-2026" TargetMode="External"/><Relationship Id="rId159" Type="http://schemas.openxmlformats.org/officeDocument/2006/relationships/hyperlink" Target="https://www.soccerstats.com/h2h.asp?league=czechrepublic&amp;fmid=27&amp;t1id=14&amp;t2id=16&amp;ly=2026" TargetMode="External"/><Relationship Id="rId366" Type="http://schemas.openxmlformats.org/officeDocument/2006/relationships/hyperlink" Target="https://www.soccerstats.com/h2h.asp?league=paraguay2&amp;fmid=28&amp;t1id=12&amp;t2id=4&amp;ly=2026" TargetMode="External"/><Relationship Id="rId573" Type="http://schemas.openxmlformats.org/officeDocument/2006/relationships/hyperlink" Target="https://www.soccerstats.com/pmatch.asp?league=chile2&amp;stats=159-7-12-2026" TargetMode="External"/><Relationship Id="rId780" Type="http://schemas.openxmlformats.org/officeDocument/2006/relationships/hyperlink" Target="https://www.soccerstats.com/pmatch.asp?league=finland&amp;stats=117-12-1-2026" TargetMode="External"/><Relationship Id="rId226" Type="http://schemas.openxmlformats.org/officeDocument/2006/relationships/hyperlink" Target="https://www.soccerstats.com/h2h.asp?league=england10&amp;fmid=28&amp;t1id=10&amp;t2id=15&amp;ly=2026" TargetMode="External"/><Relationship Id="rId433" Type="http://schemas.openxmlformats.org/officeDocument/2006/relationships/hyperlink" Target="https://www.soccerstats.com/pmatch.asp?league=southkorea4&amp;stats=66-8-2-2026" TargetMode="External"/><Relationship Id="rId878" Type="http://schemas.openxmlformats.org/officeDocument/2006/relationships/hyperlink" Target="https://www.soccerstats.com/h2h.asp?league=slovakia&amp;fmid=24&amp;t1id=4&amp;t2id=8&amp;ly=2026" TargetMode="External"/><Relationship Id="rId640" Type="http://schemas.openxmlformats.org/officeDocument/2006/relationships/hyperlink" Target="https://www.soccerstats.com/h2h.asp?league=southafrica&amp;fmid=16&amp;t1id=1&amp;t2id=16&amp;ly=2026" TargetMode="External"/><Relationship Id="rId738" Type="http://schemas.openxmlformats.org/officeDocument/2006/relationships/hyperlink" Target="https://www.soccerstats.com/h2h.asp?league=bulgaria2&amp;fmid=31&amp;t1id=4&amp;t2id=15&amp;ly=2026" TargetMode="External"/><Relationship Id="rId74" Type="http://schemas.openxmlformats.org/officeDocument/2006/relationships/hyperlink" Target="https://www.soccerstats.com/pmatch.asp?league=argentina3&amp;stats=436-29-8-2026" TargetMode="External"/><Relationship Id="rId377" Type="http://schemas.openxmlformats.org/officeDocument/2006/relationships/hyperlink" Target="https://www.soccerstats.com/h2h.asp?league=poland&amp;fmid=32&amp;t1id=18&amp;t2id=2&amp;ly=2026" TargetMode="External"/><Relationship Id="rId500" Type="http://schemas.openxmlformats.org/officeDocument/2006/relationships/hyperlink" Target="https://www.soccerstats.com/leagueview_team.asp?league=copasudamericana&amp;team1id=10&amp;team2id=21&amp;fmid=116" TargetMode="External"/><Relationship Id="rId584" Type="http://schemas.openxmlformats.org/officeDocument/2006/relationships/hyperlink" Target="https://www.soccerstats.com/h2h.asp?league=denmark2&amp;fmid=20&amp;t1id=3&amp;t2id=9&amp;ly=2026" TargetMode="External"/><Relationship Id="rId805" Type="http://schemas.openxmlformats.org/officeDocument/2006/relationships/hyperlink" Target="https://www.soccerstats.com/h2h.asp?league=guatemala&amp;fmid=21&amp;t1id=5&amp;t2id=7&amp;ly=2026" TargetMode="External"/><Relationship Id="rId5" Type="http://schemas.openxmlformats.org/officeDocument/2006/relationships/hyperlink" Target="https://www.soccerstats.com/h2h.asp?league=netherlands&amp;fmid=13&amp;t1id=2&amp;t2id=7&amp;ly=2026" TargetMode="External"/><Relationship Id="rId237" Type="http://schemas.openxmlformats.org/officeDocument/2006/relationships/hyperlink" Target="https://www.soccerstats.com/pmatch.asp?league=finland2&amp;stats=92-9-5-2026" TargetMode="External"/><Relationship Id="rId791" Type="http://schemas.openxmlformats.org/officeDocument/2006/relationships/hyperlink" Target="https://www.soccerstats.com/h2h.asp?league=germany3&amp;fmid=19&amp;t1id=6&amp;t2id=17&amp;ly=2026" TargetMode="External"/><Relationship Id="rId889" Type="http://schemas.openxmlformats.org/officeDocument/2006/relationships/hyperlink" Target="https://www.soccerstats.com/pmatch.asp?league=southkorea2&amp;stats=173-14-16-2026" TargetMode="External"/><Relationship Id="rId444" Type="http://schemas.openxmlformats.org/officeDocument/2006/relationships/hyperlink" Target="https://www.soccerstats.com/pmatch.asp?league=sweden3&amp;stats=134-7-10-2026" TargetMode="External"/><Relationship Id="rId651" Type="http://schemas.openxmlformats.org/officeDocument/2006/relationships/hyperlink" Target="https://www.soccerstats.com/h2h.asp?league=ukraine&amp;fmid=20&amp;t1id=9&amp;t2id=6&amp;ly=2026" TargetMode="External"/><Relationship Id="rId749" Type="http://schemas.openxmlformats.org/officeDocument/2006/relationships/hyperlink" Target="https://www.soccerstats.com/pmatch.asp?league=china2&amp;stats=150-11-10-2026" TargetMode="External"/><Relationship Id="rId290" Type="http://schemas.openxmlformats.org/officeDocument/2006/relationships/hyperlink" Target="https://www.soccerstats.com/pmatch.asp?league=iceland3&amp;stats=101-8-6-2026" TargetMode="External"/><Relationship Id="rId304" Type="http://schemas.openxmlformats.org/officeDocument/2006/relationships/hyperlink" Target="https://www.soccerstats.com/h2h.asp?league=japan&amp;fmid=16&amp;t1id=5&amp;t2id=7&amp;ly=2026" TargetMode="External"/><Relationship Id="rId388" Type="http://schemas.openxmlformats.org/officeDocument/2006/relationships/hyperlink" Target="https://www.soccerstats.com/h2h.asp?league=portugal2&amp;fmid=15&amp;t1id=2&amp;t2id=15&amp;ly=2026" TargetMode="External"/><Relationship Id="rId511" Type="http://schemas.openxmlformats.org/officeDocument/2006/relationships/hyperlink" Target="https://www.soccerstats.com/h2h.asp?league=germany4&amp;fmid=23&amp;t1id=18&amp;t2id=5&amp;ly=2026" TargetMode="External"/><Relationship Id="rId609" Type="http://schemas.openxmlformats.org/officeDocument/2006/relationships/hyperlink" Target="https://www.soccerstats.com/h2h.asp?league=germany6&amp;fmid=23&amp;t1id=11&amp;t2id=8&amp;ly=2026" TargetMode="External"/><Relationship Id="rId85" Type="http://schemas.openxmlformats.org/officeDocument/2006/relationships/hyperlink" Target="https://www.soccerstats.com/pmatch.asp?league=australia5&amp;stats=117-9-11-2026" TargetMode="External"/><Relationship Id="rId150" Type="http://schemas.openxmlformats.org/officeDocument/2006/relationships/hyperlink" Target="https://www.soccerstats.com/pmatch.asp?league=china2&amp;stats=147-1-9-2026" TargetMode="External"/><Relationship Id="rId595" Type="http://schemas.openxmlformats.org/officeDocument/2006/relationships/hyperlink" Target="https://www.soccerstats.com/h2h.asp?league=france3&amp;fmid=17&amp;t1id=6&amp;t2id=3&amp;ly=2026" TargetMode="External"/><Relationship Id="rId816" Type="http://schemas.openxmlformats.org/officeDocument/2006/relationships/hyperlink" Target="https://www.soccerstats.com/h2h.asp?league=japan3&amp;fmid=17&amp;t1id=18&amp;t2id=7&amp;ly=2026" TargetMode="External"/><Relationship Id="rId248" Type="http://schemas.openxmlformats.org/officeDocument/2006/relationships/hyperlink" Target="https://www.soccerstats.com/pmatch.asp?league=finland5&amp;stats=83-10-7-2026" TargetMode="External"/><Relationship Id="rId455" Type="http://schemas.openxmlformats.org/officeDocument/2006/relationships/hyperlink" Target="https://www.soccerstats.com/h2h.asp?league=turkey&amp;fmid=2&amp;t1id=3&amp;t2id=4&amp;ly=2026" TargetMode="External"/><Relationship Id="rId662" Type="http://schemas.openxmlformats.org/officeDocument/2006/relationships/hyperlink" Target="https://www.soccerstats.com/h2h.asp?league=netherlands&amp;fmid=15&amp;t1id=10&amp;t2id=15&amp;ly=2026" TargetMode="External"/><Relationship Id="rId12" Type="http://schemas.openxmlformats.org/officeDocument/2006/relationships/hyperlink" Target="https://www.soccerstats.com/h2h.asp?league=england2&amp;fmid=7&amp;t1id=13&amp;t2id=14&amp;ly=2026" TargetMode="External"/><Relationship Id="rId108" Type="http://schemas.openxmlformats.org/officeDocument/2006/relationships/hyperlink" Target="https://www.soccerstats.com/pmatch.asp?league=belarus&amp;stats=144-16-13-2026" TargetMode="External"/><Relationship Id="rId315" Type="http://schemas.openxmlformats.org/officeDocument/2006/relationships/hyperlink" Target="https://www.soccerstats.com/h2h.asp?league=japan2&amp;fmid=18&amp;t1id=4&amp;t2id=9&amp;ly=2026" TargetMode="External"/><Relationship Id="rId522" Type="http://schemas.openxmlformats.org/officeDocument/2006/relationships/hyperlink" Target="https://www.soccerstats.com/h2h.asp?league=france2&amp;fmid=16&amp;t1id=14&amp;t2id=11&amp;ly=2026" TargetMode="External"/><Relationship Id="rId96" Type="http://schemas.openxmlformats.org/officeDocument/2006/relationships/hyperlink" Target="https://www.soccerstats.com/pmatch.asp?league=australia11&amp;stats=219-3-7-2026" TargetMode="External"/><Relationship Id="rId161" Type="http://schemas.openxmlformats.org/officeDocument/2006/relationships/hyperlink" Target="https://www.soccerstats.com/h2h.asp?league=czechrepublic&amp;fmid=31&amp;t1id=6&amp;t2id=9&amp;ly=2026" TargetMode="External"/><Relationship Id="rId399" Type="http://schemas.openxmlformats.org/officeDocument/2006/relationships/hyperlink" Target="https://www.soccerstats.com/h2h.asp?league=scotland3&amp;fmid=15&amp;t1id=9&amp;t2id=3&amp;ly=2026" TargetMode="External"/><Relationship Id="rId827" Type="http://schemas.openxmlformats.org/officeDocument/2006/relationships/hyperlink" Target="https://www.soccerstats.com/h2h.asp?league=mexico&amp;fmid=30&amp;t1id=6&amp;t2id=4&amp;ly=2026" TargetMode="External"/><Relationship Id="rId259" Type="http://schemas.openxmlformats.org/officeDocument/2006/relationships/hyperlink" Target="https://www.soccerstats.com/h2h.asp?league=germany3&amp;fmid=15&amp;t1id=8&amp;t2id=11&amp;ly=2026" TargetMode="External"/><Relationship Id="rId466" Type="http://schemas.openxmlformats.org/officeDocument/2006/relationships/hyperlink" Target="https://www.soccerstats.com/h2h.asp?league=uruguay3&amp;fmid=3&amp;t1id=5&amp;t2id=6&amp;ly=2026" TargetMode="External"/><Relationship Id="rId673" Type="http://schemas.openxmlformats.org/officeDocument/2006/relationships/hyperlink" Target="https://www.soccerstats.com/h2h.asp?league=spain2&amp;fmid=8&amp;t1id=15&amp;t2id=16&amp;ly=2026" TargetMode="External"/><Relationship Id="rId880" Type="http://schemas.openxmlformats.org/officeDocument/2006/relationships/hyperlink" Target="https://www.soccerstats.com/h2h.asp?league=slovenia&amp;fmid=22&amp;t1id=6&amp;t2id=4&amp;ly=2026" TargetMode="External"/><Relationship Id="rId23" Type="http://schemas.openxmlformats.org/officeDocument/2006/relationships/hyperlink" Target="https://www.soccerstats.com/h2h.asp?league=england3&amp;fmid=10&amp;t1id=19&amp;t2id=20&amp;ly=2026" TargetMode="External"/><Relationship Id="rId119" Type="http://schemas.openxmlformats.org/officeDocument/2006/relationships/hyperlink" Target="https://www.soccerstats.com/h2h.asp?league=bosnia&amp;fmid=9&amp;t1id=4&amp;t2id=1&amp;ly=2026" TargetMode="External"/><Relationship Id="rId326" Type="http://schemas.openxmlformats.org/officeDocument/2006/relationships/hyperlink" Target="https://www.soccerstats.com/pmatch.asp?league=kazakhstan&amp;stats=34-15-13-2026" TargetMode="External"/><Relationship Id="rId533" Type="http://schemas.openxmlformats.org/officeDocument/2006/relationships/hyperlink" Target="https://www.soccerstats.com/h2h.asp?league=netherlands2&amp;fmid=14&amp;t1id=2&amp;t2id=11&amp;ly=2026" TargetMode="External"/><Relationship Id="rId740" Type="http://schemas.openxmlformats.org/officeDocument/2006/relationships/hyperlink" Target="https://www.soccerstats.com/pmatch.asp?league=canada&amp;stats=66-8-2-2026" TargetMode="External"/><Relationship Id="rId838" Type="http://schemas.openxmlformats.org/officeDocument/2006/relationships/hyperlink" Target="https://www.soccerstats.com/pmatch.asp?league=norway&amp;stats=139-1-12-2026" TargetMode="External"/><Relationship Id="rId172" Type="http://schemas.openxmlformats.org/officeDocument/2006/relationships/hyperlink" Target="https://www.soccerstats.com/h2h.asp?league=denmark3&amp;fmid=17&amp;t1id=10&amp;t2id=8&amp;ly=2026" TargetMode="External"/><Relationship Id="rId477" Type="http://schemas.openxmlformats.org/officeDocument/2006/relationships/hyperlink" Target="https://www.soccerstats.com/pmatch.asp?league=usa2&amp;stats=239-10-3-2026" TargetMode="External"/><Relationship Id="rId600" Type="http://schemas.openxmlformats.org/officeDocument/2006/relationships/hyperlink" Target="https://www.soccerstats.com/h2h.asp?league=france3&amp;fmid=11&amp;t1id=18&amp;t2id=15&amp;ly=2026" TargetMode="External"/><Relationship Id="rId684" Type="http://schemas.openxmlformats.org/officeDocument/2006/relationships/hyperlink" Target="https://www.soccerstats.com/pmatch.asp?league=argentina3&amp;stats=440-5-32-2026" TargetMode="External"/><Relationship Id="rId337" Type="http://schemas.openxmlformats.org/officeDocument/2006/relationships/hyperlink" Target="https://www.soccerstats.com/h2h.asp?league=netherlands3&amp;fmid=7&amp;t1id=13&amp;t2id=14&amp;ly=2026" TargetMode="External"/><Relationship Id="rId891" Type="http://schemas.openxmlformats.org/officeDocument/2006/relationships/hyperlink" Target="https://www.soccerstats.com/pmatch.asp?league=sweden&amp;stats=131-14-9-2026" TargetMode="External"/><Relationship Id="rId905" Type="http://schemas.openxmlformats.org/officeDocument/2006/relationships/hyperlink" Target="https://www.soccerstats.com/h2h.asp?league=turkey&amp;fmid=8&amp;t1id=15&amp;t2id=16&amp;ly=2026" TargetMode="External"/><Relationship Id="rId34" Type="http://schemas.openxmlformats.org/officeDocument/2006/relationships/hyperlink" Target="https://www.soccerstats.com/h2h.asp?league=england4&amp;fmid=10&amp;t1id=19&amp;t2id=20&amp;ly=2026" TargetMode="External"/><Relationship Id="rId544" Type="http://schemas.openxmlformats.org/officeDocument/2006/relationships/hyperlink" Target="https://www.soccerstats.com/pmatch.asp?league=australia4&amp;stats=130-11-2-2026" TargetMode="External"/><Relationship Id="rId751" Type="http://schemas.openxmlformats.org/officeDocument/2006/relationships/hyperlink" Target="https://www.soccerstats.com/pmatch.asp?league=china2&amp;stats=152-2-8-2026" TargetMode="External"/><Relationship Id="rId849" Type="http://schemas.openxmlformats.org/officeDocument/2006/relationships/hyperlink" Target="https://www.soccerstats.com/pmatch.asp?league=norway4&amp;stats=108-5-2-2026" TargetMode="External"/><Relationship Id="rId183" Type="http://schemas.openxmlformats.org/officeDocument/2006/relationships/hyperlink" Target="https://www.soccerstats.com/h2h.asp?league=england6&amp;fmid=18&amp;t1id=12&amp;t2id=3&amp;ly=2026" TargetMode="External"/><Relationship Id="rId390" Type="http://schemas.openxmlformats.org/officeDocument/2006/relationships/hyperlink" Target="https://www.soccerstats.com/pmatch.asp?league=romania&amp;stats=35-14-16-2027" TargetMode="External"/><Relationship Id="rId404" Type="http://schemas.openxmlformats.org/officeDocument/2006/relationships/hyperlink" Target="https://www.soccerstats.com/h2h.asp?league=scotland4&amp;fmid=14&amp;t1id=2&amp;t2id=5&amp;ly=2026" TargetMode="External"/><Relationship Id="rId611" Type="http://schemas.openxmlformats.org/officeDocument/2006/relationships/hyperlink" Target="https://www.soccerstats.com/h2h.asp?league=germany6&amp;fmid=26&amp;t1id=17&amp;t2id=14&amp;ly=2026" TargetMode="External"/><Relationship Id="rId250" Type="http://schemas.openxmlformats.org/officeDocument/2006/relationships/hyperlink" Target="https://www.soccerstats.com/pmatch.asp?league=finland5&amp;stats=81-8-3-2026" TargetMode="External"/><Relationship Id="rId488" Type="http://schemas.openxmlformats.org/officeDocument/2006/relationships/hyperlink" Target="https://www.soccerstats.com/h2h.asp?league=usa7&amp;fmid=2&amp;t1id=3&amp;t2id=4&amp;ly=2026" TargetMode="External"/><Relationship Id="rId695" Type="http://schemas.openxmlformats.org/officeDocument/2006/relationships/hyperlink" Target="https://www.soccerstats.com/pmatch.asp?league=australia7&amp;stats=129-1-11-2026" TargetMode="External"/><Relationship Id="rId709" Type="http://schemas.openxmlformats.org/officeDocument/2006/relationships/hyperlink" Target="https://www.soccerstats.com/pmatch.asp?league=belarus&amp;stats=139-8-3-2026" TargetMode="External"/><Relationship Id="rId916" Type="http://schemas.openxmlformats.org/officeDocument/2006/relationships/hyperlink" Target="https://www.soccerstats.com/h2h.asp?league=uruguay3&amp;fmid=7&amp;t1id=13&amp;t2id=14&amp;ly=2026" TargetMode="External"/><Relationship Id="rId45" Type="http://schemas.openxmlformats.org/officeDocument/2006/relationships/hyperlink" Target="https://www.soccerstats.com/h2h.asp?league=england5&amp;fmid=22&amp;t1id=12&amp;t2id=19&amp;ly=2026" TargetMode="External"/><Relationship Id="rId110" Type="http://schemas.openxmlformats.org/officeDocument/2006/relationships/hyperlink" Target="https://www.soccerstats.com/h2h.asp?league=belgium&amp;fmid=12&amp;t1id=2&amp;t2id=17&amp;ly=2026" TargetMode="External"/><Relationship Id="rId348" Type="http://schemas.openxmlformats.org/officeDocument/2006/relationships/hyperlink" Target="https://www.soccerstats.com/h2h.asp?league=northmacedonia&amp;fmid=13&amp;t1id=3&amp;t2id=8&amp;ly=2026" TargetMode="External"/><Relationship Id="rId555" Type="http://schemas.openxmlformats.org/officeDocument/2006/relationships/hyperlink" Target="https://www.soccerstats.com/h2h.asp?league=azerbaijan&amp;fmid=2&amp;t1id=3&amp;t2id=4&amp;ly=2026" TargetMode="External"/><Relationship Id="rId762" Type="http://schemas.openxmlformats.org/officeDocument/2006/relationships/hyperlink" Target="https://www.soccerstats.com/h2h.asp?league=denmark&amp;fmid=19&amp;t1id=2&amp;t2id=9&amp;ly=2026" TargetMode="External"/><Relationship Id="rId194" Type="http://schemas.openxmlformats.org/officeDocument/2006/relationships/hyperlink" Target="https://www.soccerstats.com/h2h.asp?league=england7&amp;fmid=18&amp;t1id=12&amp;t2id=13&amp;ly=2026" TargetMode="External"/><Relationship Id="rId208" Type="http://schemas.openxmlformats.org/officeDocument/2006/relationships/hyperlink" Target="https://www.soccerstats.com/h2h.asp?league=england8&amp;fmid=436&amp;t1id=7&amp;t2id=11&amp;ly=2026" TargetMode="External"/><Relationship Id="rId415" Type="http://schemas.openxmlformats.org/officeDocument/2006/relationships/hyperlink" Target="https://www.soccerstats.com/h2h.asp?league=slovakia&amp;fmid=20&amp;t1id=11&amp;t2id=9&amp;ly=2026" TargetMode="External"/><Relationship Id="rId622" Type="http://schemas.openxmlformats.org/officeDocument/2006/relationships/hyperlink" Target="https://www.soccerstats.com/h2h.asp?league=germany8&amp;fmid=30&amp;t1id=12&amp;t2id=5&amp;ly=2026" TargetMode="External"/><Relationship Id="rId261" Type="http://schemas.openxmlformats.org/officeDocument/2006/relationships/hyperlink" Target="https://www.soccerstats.com/h2h.asp?league=germany3&amp;fmid=17&amp;t1id=20&amp;t2id=9&amp;ly=2026" TargetMode="External"/><Relationship Id="rId499" Type="http://schemas.openxmlformats.org/officeDocument/2006/relationships/hyperlink" Target="https://www.soccerstats.com/leagueview_team.asp?league=copasudamericana&amp;team1id=30&amp;team2id=24&amp;fmid=117" TargetMode="External"/><Relationship Id="rId927" Type="http://schemas.openxmlformats.org/officeDocument/2006/relationships/hyperlink" Target="https://www.soccerstats.com/pmatch.asp?league=usa2&amp;stats=242-25-20-2026" TargetMode="External"/><Relationship Id="rId56" Type="http://schemas.openxmlformats.org/officeDocument/2006/relationships/hyperlink" Target="https://www.soccerstats.com/h2h.asp?league=spain2&amp;fmid=3&amp;t1id=5&amp;t2id=6&amp;ly=2026" TargetMode="External"/><Relationship Id="rId359" Type="http://schemas.openxmlformats.org/officeDocument/2006/relationships/hyperlink" Target="https://www.soccerstats.com/pmatch.asp?league=norway4&amp;stats=106-12-11-2026" TargetMode="External"/><Relationship Id="rId566" Type="http://schemas.openxmlformats.org/officeDocument/2006/relationships/hyperlink" Target="https://www.soccerstats.com/pmatch.asp?league=brazil2&amp;stats=220-16-5-2026" TargetMode="External"/><Relationship Id="rId773" Type="http://schemas.openxmlformats.org/officeDocument/2006/relationships/hyperlink" Target="https://www.soccerstats.com/pmatch.asp?league=faroeislands&amp;stats=95-10-2-2026" TargetMode="External"/><Relationship Id="rId121" Type="http://schemas.openxmlformats.org/officeDocument/2006/relationships/hyperlink" Target="https://www.soccerstats.com/pmatch.asp?league=brazil&amp;stats=230-9-8-2026" TargetMode="External"/><Relationship Id="rId219" Type="http://schemas.openxmlformats.org/officeDocument/2006/relationships/hyperlink" Target="https://www.soccerstats.com/h2h.asp?league=england9&amp;fmid=25&amp;t1id=6&amp;t2id=7&amp;ly=2026" TargetMode="External"/><Relationship Id="rId426" Type="http://schemas.openxmlformats.org/officeDocument/2006/relationships/hyperlink" Target="https://www.soccerstats.com/pmatch.asp?league=southkorea&amp;stats=135-10-6-2026" TargetMode="External"/><Relationship Id="rId633" Type="http://schemas.openxmlformats.org/officeDocument/2006/relationships/hyperlink" Target="https://www.soccerstats.com/h2h.asp?league=portugal2&amp;fmid=18&amp;t1id=14&amp;t2id=9&amp;ly=2026" TargetMode="External"/><Relationship Id="rId840" Type="http://schemas.openxmlformats.org/officeDocument/2006/relationships/hyperlink" Target="https://www.soccerstats.com/pmatch.asp?league=norway2&amp;stats=143-13-2-2026" TargetMode="External"/><Relationship Id="rId67" Type="http://schemas.openxmlformats.org/officeDocument/2006/relationships/hyperlink" Target="https://www.soccerstats.com/pmatch.asp?league=argentina2&amp;stats=74-19-29-2026" TargetMode="External"/><Relationship Id="rId272" Type="http://schemas.openxmlformats.org/officeDocument/2006/relationships/hyperlink" Target="https://www.soccerstats.com/h2h.asp?league=germany6&amp;fmid=25&amp;t1id=15&amp;t2id=12&amp;ly=2026" TargetMode="External"/><Relationship Id="rId577" Type="http://schemas.openxmlformats.org/officeDocument/2006/relationships/hyperlink" Target="https://www.soccerstats.com/pmatch.asp?league=colombia2&amp;stats=39-1-11-2026" TargetMode="External"/><Relationship Id="rId700" Type="http://schemas.openxmlformats.org/officeDocument/2006/relationships/hyperlink" Target="https://www.soccerstats.com/pmatch.asp?league=australia10&amp;stats=105-3-5-2026" TargetMode="External"/><Relationship Id="rId132" Type="http://schemas.openxmlformats.org/officeDocument/2006/relationships/hyperlink" Target="https://www.soccerstats.com/pmatch.asp?league=brazil5&amp;stats=144-7-6-2026" TargetMode="External"/><Relationship Id="rId784" Type="http://schemas.openxmlformats.org/officeDocument/2006/relationships/hyperlink" Target="https://www.soccerstats.com/pmatch.asp?league=finland3&amp;stats=119-8-10-2026" TargetMode="External"/><Relationship Id="rId437" Type="http://schemas.openxmlformats.org/officeDocument/2006/relationships/hyperlink" Target="https://www.soccerstats.com/pmatch.asp?league=sweden2&amp;stats=149-7-1-2026" TargetMode="External"/><Relationship Id="rId644" Type="http://schemas.openxmlformats.org/officeDocument/2006/relationships/hyperlink" Target="https://www.soccerstats.com/pmatch.asp?league=sweden2&amp;stats=145-6-15-2026" TargetMode="External"/><Relationship Id="rId851" Type="http://schemas.openxmlformats.org/officeDocument/2006/relationships/hyperlink" Target="https://www.soccerstats.com/pmatch.asp?league=norway4&amp;stats=110-9-4-2026" TargetMode="External"/><Relationship Id="rId283" Type="http://schemas.openxmlformats.org/officeDocument/2006/relationships/hyperlink" Target="https://www.soccerstats.com/h2h.asp?league=hungary2&amp;fmid=25&amp;t1id=8&amp;t2id=10&amp;ly=2026" TargetMode="External"/><Relationship Id="rId490" Type="http://schemas.openxmlformats.org/officeDocument/2006/relationships/hyperlink" Target="https://www.soccerstats.com/h2h.asp?league=usa7&amp;fmid=3&amp;t1id=5&amp;t2id=6&amp;ly=2026" TargetMode="External"/><Relationship Id="rId504" Type="http://schemas.openxmlformats.org/officeDocument/2006/relationships/hyperlink" Target="https://www.soccerstats.com/leagueview_team.asp?league=copalibertadores&amp;team1id=29&amp;team2id=15&amp;fmid=101" TargetMode="External"/><Relationship Id="rId711" Type="http://schemas.openxmlformats.org/officeDocument/2006/relationships/hyperlink" Target="https://www.soccerstats.com/h2h.asp?league=belgium&amp;fmid=15&amp;t1id=18&amp;t2id=15&amp;ly=2026" TargetMode="External"/><Relationship Id="rId78" Type="http://schemas.openxmlformats.org/officeDocument/2006/relationships/hyperlink" Target="https://www.soccerstats.com/pmatch.asp?league=australia3&amp;stats=162-3-1-2026" TargetMode="External"/><Relationship Id="rId143" Type="http://schemas.openxmlformats.org/officeDocument/2006/relationships/hyperlink" Target="https://www.soccerstats.com/pmatch.asp?league=china&amp;stats=180-4-2-2026" TargetMode="External"/><Relationship Id="rId350" Type="http://schemas.openxmlformats.org/officeDocument/2006/relationships/hyperlink" Target="https://www.soccerstats.com/h2h.asp?league=northmacedonia&amp;fmid=12&amp;t1id=1&amp;t2id=6&amp;ly=2026" TargetMode="External"/><Relationship Id="rId588" Type="http://schemas.openxmlformats.org/officeDocument/2006/relationships/hyperlink" Target="https://www.soccerstats.com/h2h.asp?league=denmark3&amp;fmid=14&amp;t1id=1&amp;t2id=4&amp;ly=2026" TargetMode="External"/><Relationship Id="rId795" Type="http://schemas.openxmlformats.org/officeDocument/2006/relationships/hyperlink" Target="https://www.soccerstats.com/h2h.asp?league=germany4&amp;fmid=29&amp;t1id=6&amp;t2id=1&amp;ly=2026" TargetMode="External"/><Relationship Id="rId809" Type="http://schemas.openxmlformats.org/officeDocument/2006/relationships/hyperlink" Target="https://www.soccerstats.com/h2h.asp?league=hungary2&amp;fmid=31&amp;t1id=12&amp;t2id=5&amp;ly=2026" TargetMode="External"/><Relationship Id="rId9" Type="http://schemas.openxmlformats.org/officeDocument/2006/relationships/hyperlink" Target="https://www.soccerstats.com/h2h.asp?league=portugal&amp;fmid=11&amp;t1id=14&amp;t2id=7&amp;ly=2026" TargetMode="External"/><Relationship Id="rId210" Type="http://schemas.openxmlformats.org/officeDocument/2006/relationships/hyperlink" Target="https://www.soccerstats.com/h2h.asp?league=england8&amp;fmid=445&amp;t1id=21&amp;t2id=1&amp;ly=2026" TargetMode="External"/><Relationship Id="rId448" Type="http://schemas.openxmlformats.org/officeDocument/2006/relationships/hyperlink" Target="https://www.soccerstats.com/pmatch.asp?league=sweden4&amp;stats=132-12-14-2026" TargetMode="External"/><Relationship Id="rId655" Type="http://schemas.openxmlformats.org/officeDocument/2006/relationships/hyperlink" Target="https://www.soccerstats.com/h2h.asp?league=wales&amp;fmid=20&amp;t1id=15&amp;t2id=4&amp;ly=2026" TargetMode="External"/><Relationship Id="rId862" Type="http://schemas.openxmlformats.org/officeDocument/2006/relationships/hyperlink" Target="https://www.soccerstats.com/h2h.asp?league=poland2&amp;fmid=30&amp;t1id=14&amp;t2id=1&amp;ly=2026" TargetMode="External"/><Relationship Id="rId294" Type="http://schemas.openxmlformats.org/officeDocument/2006/relationships/hyperlink" Target="https://www.soccerstats.com/pmatch.asp?league=ireland3&amp;stats=86-7-5-2026" TargetMode="External"/><Relationship Id="rId308" Type="http://schemas.openxmlformats.org/officeDocument/2006/relationships/hyperlink" Target="https://www.soccerstats.com/h2h.asp?league=japan&amp;fmid=17&amp;t1id=6&amp;t2id=11&amp;ly=2026" TargetMode="External"/><Relationship Id="rId515" Type="http://schemas.openxmlformats.org/officeDocument/2006/relationships/hyperlink" Target="https://www.soccerstats.com/h2h.asp?league=southafrica&amp;fmid=12&amp;t1id=6&amp;t2id=13&amp;ly=2026" TargetMode="External"/><Relationship Id="rId722" Type="http://schemas.openxmlformats.org/officeDocument/2006/relationships/hyperlink" Target="https://www.soccerstats.com/pmatch.asp?league=brazil&amp;stats=227-17-20-2026" TargetMode="External"/><Relationship Id="rId89" Type="http://schemas.openxmlformats.org/officeDocument/2006/relationships/hyperlink" Target="https://www.soccerstats.com/pmatch.asp?league=australia6&amp;stats=130-12-3-2026" TargetMode="External"/><Relationship Id="rId154" Type="http://schemas.openxmlformats.org/officeDocument/2006/relationships/hyperlink" Target="https://www.soccerstats.com/h2h.asp?league=costarica&amp;fmid=17&amp;t1id=8&amp;t2id=2&amp;ly=2026" TargetMode="External"/><Relationship Id="rId361" Type="http://schemas.openxmlformats.org/officeDocument/2006/relationships/hyperlink" Target="https://www.soccerstats.com/pmatch.asp?league=norway11&amp;stats=72-9-8-2026" TargetMode="External"/><Relationship Id="rId599" Type="http://schemas.openxmlformats.org/officeDocument/2006/relationships/hyperlink" Target="https://www.soccerstats.com/h2h.asp?league=france3&amp;fmid=14&amp;t1id=12&amp;t2id=9&amp;ly=2026" TargetMode="External"/><Relationship Id="rId459" Type="http://schemas.openxmlformats.org/officeDocument/2006/relationships/hyperlink" Target="https://www.soccerstats.com/h2h.asp?league=turkey2&amp;fmid=16&amp;t1id=4&amp;t2id=15&amp;ly=2026" TargetMode="External"/><Relationship Id="rId666" Type="http://schemas.openxmlformats.org/officeDocument/2006/relationships/hyperlink" Target="https://www.soccerstats.com/h2h.asp?league=portugal&amp;fmid=12&amp;t1id=6&amp;t2id=15&amp;ly=2026" TargetMode="External"/><Relationship Id="rId873" Type="http://schemas.openxmlformats.org/officeDocument/2006/relationships/hyperlink" Target="https://www.soccerstats.com/pmatch.asp?league=romania&amp;stats=34-5-7-2027" TargetMode="External"/><Relationship Id="rId16" Type="http://schemas.openxmlformats.org/officeDocument/2006/relationships/hyperlink" Target="https://www.soccerstats.com/h2h.asp?league=england2&amp;fmid=3&amp;t1id=5&amp;t2id=6&amp;ly=2026" TargetMode="External"/><Relationship Id="rId221" Type="http://schemas.openxmlformats.org/officeDocument/2006/relationships/hyperlink" Target="https://www.soccerstats.com/h2h.asp?league=england10&amp;fmid=33&amp;t1id=16&amp;t2id=13&amp;ly=2026" TargetMode="External"/><Relationship Id="rId319" Type="http://schemas.openxmlformats.org/officeDocument/2006/relationships/hyperlink" Target="https://www.soccerstats.com/h2h.asp?league=japan3&amp;fmid=16&amp;t1id=8&amp;t2id=5&amp;ly=2026" TargetMode="External"/><Relationship Id="rId526" Type="http://schemas.openxmlformats.org/officeDocument/2006/relationships/hyperlink" Target="https://www.soccerstats.com/h2h.asp?league=france2&amp;fmid=12&amp;t1id=8&amp;t2id=1&amp;ly=2026" TargetMode="External"/><Relationship Id="rId733" Type="http://schemas.openxmlformats.org/officeDocument/2006/relationships/hyperlink" Target="https://www.soccerstats.com/h2h.asp?league=bulgaria&amp;fmid=33&amp;t1id=12&amp;t2id=9&amp;ly=2026" TargetMode="External"/><Relationship Id="rId165" Type="http://schemas.openxmlformats.org/officeDocument/2006/relationships/hyperlink" Target="https://www.soccerstats.com/h2h.asp?league=czechrepublic2&amp;fmid=28&amp;t1id=4&amp;t2id=16&amp;ly=2026" TargetMode="External"/><Relationship Id="rId372" Type="http://schemas.openxmlformats.org/officeDocument/2006/relationships/hyperlink" Target="https://www.soccerstats.com/pmatch.asp?league=peru2&amp;stats=39-1-10-2026" TargetMode="External"/><Relationship Id="rId677" Type="http://schemas.openxmlformats.org/officeDocument/2006/relationships/hyperlink" Target="https://www.soccerstats.com/h2h.asp?league=germany2&amp;fmid=17&amp;t1id=16&amp;t2id=7&amp;ly=2026" TargetMode="External"/><Relationship Id="rId800" Type="http://schemas.openxmlformats.org/officeDocument/2006/relationships/hyperlink" Target="https://www.soccerstats.com/h2h.asp?league=germany6&amp;fmid=22&amp;t1id=9&amp;t2id=6&amp;ly=2026" TargetMode="External"/><Relationship Id="rId232" Type="http://schemas.openxmlformats.org/officeDocument/2006/relationships/hyperlink" Target="https://www.soccerstats.com/pmatch.asp?league=estonia2&amp;stats=161-10-7-2026" TargetMode="External"/><Relationship Id="rId884" Type="http://schemas.openxmlformats.org/officeDocument/2006/relationships/hyperlink" Target="https://www.soccerstats.com/pmatch.asp?league=southkorea&amp;stats=137-8-7-2026" TargetMode="External"/><Relationship Id="rId27" Type="http://schemas.openxmlformats.org/officeDocument/2006/relationships/hyperlink" Target="https://www.soccerstats.com/h2h.asp?league=england3&amp;fmid=6&amp;t1id=11&amp;t2id=12&amp;ly=2026" TargetMode="External"/><Relationship Id="rId537" Type="http://schemas.openxmlformats.org/officeDocument/2006/relationships/hyperlink" Target="https://www.soccerstats.com/pmatch.asp?league=argentina2&amp;stats=64-9-16-2026" TargetMode="External"/><Relationship Id="rId744" Type="http://schemas.openxmlformats.org/officeDocument/2006/relationships/hyperlink" Target="https://www.soccerstats.com/pmatch.asp?league=chile&amp;stats=151-5-9-2026" TargetMode="External"/><Relationship Id="rId80" Type="http://schemas.openxmlformats.org/officeDocument/2006/relationships/hyperlink" Target="https://www.soccerstats.com/pmatch.asp?league=australia3&amp;stats=167-7-5-2026" TargetMode="External"/><Relationship Id="rId176" Type="http://schemas.openxmlformats.org/officeDocument/2006/relationships/hyperlink" Target="https://www.soccerstats.com/pmatch.asp?league=ecuador&amp;stats=194-14-5-2026" TargetMode="External"/><Relationship Id="rId383" Type="http://schemas.openxmlformats.org/officeDocument/2006/relationships/hyperlink" Target="https://www.soccerstats.com/h2h.asp?league=poland3&amp;fmid=32&amp;t1id=4&amp;t2id=17&amp;ly=2026" TargetMode="External"/><Relationship Id="rId590" Type="http://schemas.openxmlformats.org/officeDocument/2006/relationships/hyperlink" Target="https://www.soccerstats.com/h2h.asp?league=england7&amp;fmid=21&amp;t1id=20&amp;t2id=17&amp;ly=2026" TargetMode="External"/><Relationship Id="rId604" Type="http://schemas.openxmlformats.org/officeDocument/2006/relationships/hyperlink" Target="https://www.soccerstats.com/h2h.asp?league=germany3&amp;fmid=11&amp;t1id=12&amp;t2id=7&amp;ly=2026" TargetMode="External"/><Relationship Id="rId811" Type="http://schemas.openxmlformats.org/officeDocument/2006/relationships/hyperlink" Target="https://www.soccerstats.com/pmatch.asp?league=iceland&amp;stats=111-6-1-2026" TargetMode="External"/><Relationship Id="rId243" Type="http://schemas.openxmlformats.org/officeDocument/2006/relationships/hyperlink" Target="https://www.soccerstats.com/pmatch.asp?league=finland4&amp;stats=82-3-5-2026" TargetMode="External"/><Relationship Id="rId450" Type="http://schemas.openxmlformats.org/officeDocument/2006/relationships/hyperlink" Target="https://www.soccerstats.com/pmatch.asp?league=sweden11&amp;stats=93-8-7-2026" TargetMode="External"/><Relationship Id="rId688" Type="http://schemas.openxmlformats.org/officeDocument/2006/relationships/hyperlink" Target="https://www.soccerstats.com/pmatch.asp?league=argentina3&amp;stats=443-35-2-2026" TargetMode="External"/><Relationship Id="rId895" Type="http://schemas.openxmlformats.org/officeDocument/2006/relationships/hyperlink" Target="https://www.soccerstats.com/pmatch.asp?league=sweden&amp;stats=129-5-3-2026" TargetMode="External"/><Relationship Id="rId909" Type="http://schemas.openxmlformats.org/officeDocument/2006/relationships/hyperlink" Target="https://www.soccerstats.com/h2h.asp?league=turkey2&amp;fmid=12&amp;t1id=8&amp;t2id=9&amp;ly=2026" TargetMode="External"/><Relationship Id="rId38" Type="http://schemas.openxmlformats.org/officeDocument/2006/relationships/hyperlink" Target="https://www.soccerstats.com/h2h.asp?league=england4&amp;fmid=6&amp;t1id=11&amp;t2id=12&amp;ly=2026" TargetMode="External"/><Relationship Id="rId103" Type="http://schemas.openxmlformats.org/officeDocument/2006/relationships/hyperlink" Target="https://www.soccerstats.com/h2h.asp?league=austria2&amp;fmid=24&amp;t1id=7&amp;t2id=16&amp;ly=2026" TargetMode="External"/><Relationship Id="rId310" Type="http://schemas.openxmlformats.org/officeDocument/2006/relationships/hyperlink" Target="https://www.soccerstats.com/h2h.asp?league=japan2&amp;fmid=11&amp;t1id=20&amp;t2id=5&amp;ly=2026" TargetMode="External"/><Relationship Id="rId548" Type="http://schemas.openxmlformats.org/officeDocument/2006/relationships/hyperlink" Target="https://www.soccerstats.com/pmatch.asp?league=australia4&amp;stats=128-7-12-2026" TargetMode="External"/><Relationship Id="rId755" Type="http://schemas.openxmlformats.org/officeDocument/2006/relationships/hyperlink" Target="https://www.soccerstats.com/pmatch.asp?league=colombia2&amp;stats=43-14-18-2026" TargetMode="External"/><Relationship Id="rId91" Type="http://schemas.openxmlformats.org/officeDocument/2006/relationships/hyperlink" Target="https://www.soccerstats.com/pmatch.asp?league=australia6&amp;stats=129-8-6-2026" TargetMode="External"/><Relationship Id="rId187" Type="http://schemas.openxmlformats.org/officeDocument/2006/relationships/hyperlink" Target="https://www.soccerstats.com/h2h.asp?league=england6&amp;fmid=14&amp;t1id=8&amp;t2id=9&amp;ly=2026" TargetMode="External"/><Relationship Id="rId394" Type="http://schemas.openxmlformats.org/officeDocument/2006/relationships/hyperlink" Target="https://www.soccerstats.com/h2h.asp?league=russia&amp;fmid=28&amp;t1id=12&amp;t2id=15&amp;ly=2026" TargetMode="External"/><Relationship Id="rId408" Type="http://schemas.openxmlformats.org/officeDocument/2006/relationships/hyperlink" Target="https://www.soccerstats.com/h2h.asp?league=serbia&amp;fmid=32&amp;t1id=9&amp;t2id=14&amp;ly=2026" TargetMode="External"/><Relationship Id="rId615" Type="http://schemas.openxmlformats.org/officeDocument/2006/relationships/hyperlink" Target="https://www.soccerstats.com/h2h.asp?league=germany8&amp;fmid=28&amp;t1id=3&amp;t2id=11&amp;ly=2026" TargetMode="External"/><Relationship Id="rId822" Type="http://schemas.openxmlformats.org/officeDocument/2006/relationships/hyperlink" Target="https://www.soccerstats.com/pmatch.asp?league=kazakhstan&amp;stats=38-7-1-2026" TargetMode="External"/><Relationship Id="rId254" Type="http://schemas.openxmlformats.org/officeDocument/2006/relationships/hyperlink" Target="https://www.soccerstats.com/pmatch.asp?league=georgia&amp;stats=101-5-8-2026" TargetMode="External"/><Relationship Id="rId699" Type="http://schemas.openxmlformats.org/officeDocument/2006/relationships/hyperlink" Target="https://www.soccerstats.com/pmatch.asp?league=australia10&amp;stats=104-8-4-2026" TargetMode="External"/><Relationship Id="rId49" Type="http://schemas.openxmlformats.org/officeDocument/2006/relationships/hyperlink" Target="https://www.soccerstats.com/h2h.asp?league=england5&amp;fmid=17&amp;t1id=2&amp;t2id=21&amp;ly=2026" TargetMode="External"/><Relationship Id="rId114" Type="http://schemas.openxmlformats.org/officeDocument/2006/relationships/hyperlink" Target="https://www.soccerstats.com/h2h.asp?league=belgium2&amp;fmid=4&amp;t1id=7&amp;t2id=8&amp;ly=2026" TargetMode="External"/><Relationship Id="rId461" Type="http://schemas.openxmlformats.org/officeDocument/2006/relationships/hyperlink" Target="https://www.soccerstats.com/h2h.asp?league=turkey2&amp;fmid=14&amp;t1id=2&amp;t2id=17&amp;ly=2026" TargetMode="External"/><Relationship Id="rId559" Type="http://schemas.openxmlformats.org/officeDocument/2006/relationships/hyperlink" Target="https://www.soccerstats.com/h2h.asp?league=azerbaijan&amp;fmid=6&amp;t1id=11&amp;t2id=12&amp;ly=2026" TargetMode="External"/><Relationship Id="rId766" Type="http://schemas.openxmlformats.org/officeDocument/2006/relationships/hyperlink" Target="https://www.soccerstats.com/pmatch.asp?league=ecuador&amp;stats=200-8-9-2026" TargetMode="External"/><Relationship Id="rId198" Type="http://schemas.openxmlformats.org/officeDocument/2006/relationships/hyperlink" Target="https://www.soccerstats.com/h2h.asp?league=england7&amp;fmid=14&amp;t1id=16&amp;t2id=11&amp;ly=2026" TargetMode="External"/><Relationship Id="rId321" Type="http://schemas.openxmlformats.org/officeDocument/2006/relationships/hyperlink" Target="https://www.soccerstats.com/h2h.asp?league=japan3&amp;fmid=14&amp;t1id=4&amp;t2id=1&amp;ly=2026" TargetMode="External"/><Relationship Id="rId419" Type="http://schemas.openxmlformats.org/officeDocument/2006/relationships/hyperlink" Target="https://www.soccerstats.com/h2h.asp?league=slovenia&amp;fmid=24&amp;t1id=1&amp;t2id=3&amp;ly=2026" TargetMode="External"/><Relationship Id="rId626" Type="http://schemas.openxmlformats.org/officeDocument/2006/relationships/hyperlink" Target="https://www.soccerstats.com/pmatch.asp?league=norway&amp;stats=140-6-4-2026" TargetMode="External"/><Relationship Id="rId833" Type="http://schemas.openxmlformats.org/officeDocument/2006/relationships/hyperlink" Target="https://www.soccerstats.com/h2h.asp?league=montenegro&amp;fmid=15&amp;t1id=7&amp;t2id=10&amp;ly=2026" TargetMode="External"/><Relationship Id="rId265" Type="http://schemas.openxmlformats.org/officeDocument/2006/relationships/hyperlink" Target="https://www.soccerstats.com/h2h.asp?league=germany4&amp;fmid=35&amp;t1id=4&amp;t2id=7&amp;ly=2026" TargetMode="External"/><Relationship Id="rId472" Type="http://schemas.openxmlformats.org/officeDocument/2006/relationships/hyperlink" Target="https://www.soccerstats.com/pmatch.asp?league=usa&amp;stats=276-16-12-2026" TargetMode="External"/><Relationship Id="rId900" Type="http://schemas.openxmlformats.org/officeDocument/2006/relationships/hyperlink" Target="https://www.soccerstats.com/pmatch.asp?league=sweden4&amp;stats=135-2-11-2026" TargetMode="External"/><Relationship Id="rId125" Type="http://schemas.openxmlformats.org/officeDocument/2006/relationships/hyperlink" Target="https://www.soccerstats.com/pmatch.asp?league=brazil2&amp;stats=216-11-3-2026" TargetMode="External"/><Relationship Id="rId332" Type="http://schemas.openxmlformats.org/officeDocument/2006/relationships/hyperlink" Target="https://www.soccerstats.com/h2h.asp?league=netherlands3&amp;fmid=6&amp;t1id=11&amp;t2id=12&amp;ly=2026" TargetMode="External"/><Relationship Id="rId777" Type="http://schemas.openxmlformats.org/officeDocument/2006/relationships/hyperlink" Target="https://www.soccerstats.com/pmatch.asp?league=faroeislands&amp;stats=93-9-6-2026" TargetMode="External"/><Relationship Id="rId637" Type="http://schemas.openxmlformats.org/officeDocument/2006/relationships/hyperlink" Target="https://www.soccerstats.com/h2h.asp?league=saudiarabia&amp;fmid=4&amp;t1id=7&amp;t2id=8&amp;ly=2026" TargetMode="External"/><Relationship Id="rId844" Type="http://schemas.openxmlformats.org/officeDocument/2006/relationships/hyperlink" Target="https://www.soccerstats.com/pmatch.asp?league=norway2&amp;stats=137-8-16-2026" TargetMode="External"/><Relationship Id="rId276" Type="http://schemas.openxmlformats.org/officeDocument/2006/relationships/hyperlink" Target="https://www.soccerstats.com/h2h.asp?league=germany7&amp;fmid=14&amp;t1id=10&amp;t2id=17&amp;ly=2026" TargetMode="External"/><Relationship Id="rId483" Type="http://schemas.openxmlformats.org/officeDocument/2006/relationships/hyperlink" Target="https://www.soccerstats.com/pmatch.asp?league=usa6&amp;stats=148-4-5-2026" TargetMode="External"/><Relationship Id="rId690" Type="http://schemas.openxmlformats.org/officeDocument/2006/relationships/hyperlink" Target="https://www.soccerstats.com/pmatch.asp?league=argentina3&amp;stats=442-6-31-2026" TargetMode="External"/><Relationship Id="rId704" Type="http://schemas.openxmlformats.org/officeDocument/2006/relationships/hyperlink" Target="https://www.soccerstats.com/h2h.asp?league=austria&amp;fmid=17&amp;t1id=6&amp;t2id=10&amp;ly=2026" TargetMode="External"/><Relationship Id="rId911" Type="http://schemas.openxmlformats.org/officeDocument/2006/relationships/hyperlink" Target="https://www.soccerstats.com/h2h.asp?league=ukraine&amp;fmid=18&amp;t1id=14&amp;t2id=7&amp;ly=2026" TargetMode="External"/><Relationship Id="rId40" Type="http://schemas.openxmlformats.org/officeDocument/2006/relationships/hyperlink" Target="https://www.soccerstats.com/h2h.asp?league=england4&amp;fmid=4&amp;t1id=7&amp;t2id=8&amp;ly=2026" TargetMode="External"/><Relationship Id="rId136" Type="http://schemas.openxmlformats.org/officeDocument/2006/relationships/hyperlink" Target="https://www.soccerstats.com/pmatch.asp?league=brazil5&amp;stats=143-17-14-2026" TargetMode="External"/><Relationship Id="rId343" Type="http://schemas.openxmlformats.org/officeDocument/2006/relationships/hyperlink" Target="https://www.soccerstats.com/h2h.asp?league=northernireland&amp;fmid=8&amp;t1id=4&amp;t2id=7&amp;ly=2026" TargetMode="External"/><Relationship Id="rId550" Type="http://schemas.openxmlformats.org/officeDocument/2006/relationships/hyperlink" Target="https://www.soccerstats.com/pmatch.asp?league=australia5&amp;stats=115-1-6-2026" TargetMode="External"/><Relationship Id="rId788" Type="http://schemas.openxmlformats.org/officeDocument/2006/relationships/hyperlink" Target="https://www.soccerstats.com/pmatch.asp?league=georgia&amp;stats=105-7-2-2026" TargetMode="External"/><Relationship Id="rId203" Type="http://schemas.openxmlformats.org/officeDocument/2006/relationships/hyperlink" Target="https://www.soccerstats.com/h2h.asp?league=england8&amp;fmid=441&amp;t1id=8&amp;t2id=5&amp;ly=2026" TargetMode="External"/><Relationship Id="rId648" Type="http://schemas.openxmlformats.org/officeDocument/2006/relationships/hyperlink" Target="https://www.soccerstats.com/pmatch.asp?league=sweden11&amp;stats=92-10-9-2026" TargetMode="External"/><Relationship Id="rId855" Type="http://schemas.openxmlformats.org/officeDocument/2006/relationships/hyperlink" Target="https://www.soccerstats.com/h2h.asp?league=paraguay2&amp;fmid=29&amp;t1id=10&amp;t2id=6&amp;ly=2026" TargetMode="External"/><Relationship Id="rId287" Type="http://schemas.openxmlformats.org/officeDocument/2006/relationships/hyperlink" Target="https://www.soccerstats.com/h2h.asp?league=hungary2&amp;fmid=27&amp;t1id=6&amp;t2id=15&amp;ly=2026" TargetMode="External"/><Relationship Id="rId410" Type="http://schemas.openxmlformats.org/officeDocument/2006/relationships/hyperlink" Target="https://www.soccerstats.com/h2h.asp?league=serbia&amp;fmid=34&amp;t1id=7&amp;t2id=13&amp;ly=2026" TargetMode="External"/><Relationship Id="rId494" Type="http://schemas.openxmlformats.org/officeDocument/2006/relationships/hyperlink" Target="https://www.soccerstats.com/pmatch.asp?league=australia7&amp;stats=91-7-10-2026" TargetMode="External"/><Relationship Id="rId508" Type="http://schemas.openxmlformats.org/officeDocument/2006/relationships/hyperlink" Target="https://www.soccerstats.com/h2h.asp?league=germany4&amp;fmid=22&amp;t1id=11&amp;t2id=6&amp;ly=2026" TargetMode="External"/><Relationship Id="rId715" Type="http://schemas.openxmlformats.org/officeDocument/2006/relationships/hyperlink" Target="https://www.soccerstats.com/h2h.asp?league=belgium2&amp;fmid=6&amp;t1id=11&amp;t2id=12&amp;ly=2026" TargetMode="External"/><Relationship Id="rId922" Type="http://schemas.openxmlformats.org/officeDocument/2006/relationships/hyperlink" Target="https://www.soccerstats.com/pmatch.asp?league=usa&amp;stats=284-21-1-2026" TargetMode="External"/><Relationship Id="rId147" Type="http://schemas.openxmlformats.org/officeDocument/2006/relationships/hyperlink" Target="https://www.soccerstats.com/pmatch.asp?league=china&amp;stats=184-9-8-2026" TargetMode="External"/><Relationship Id="rId354" Type="http://schemas.openxmlformats.org/officeDocument/2006/relationships/hyperlink" Target="https://www.soccerstats.com/pmatch.asp?league=norway2&amp;stats=139-5-1-2026" TargetMode="External"/><Relationship Id="rId799" Type="http://schemas.openxmlformats.org/officeDocument/2006/relationships/hyperlink" Target="https://www.soccerstats.com/pmatch.asp?league=germany5&amp;stats=37-8-2-2027" TargetMode="External"/><Relationship Id="rId51" Type="http://schemas.openxmlformats.org/officeDocument/2006/relationships/hyperlink" Target="https://www.soccerstats.com/h2h.asp?league=england5&amp;fmid=15&amp;t1id=24&amp;t2id=9&amp;ly=2026" TargetMode="External"/><Relationship Id="rId561" Type="http://schemas.openxmlformats.org/officeDocument/2006/relationships/hyperlink" Target="https://www.soccerstats.com/pmatch.asp?league=belarus&amp;stats=141-12-7-2026" TargetMode="External"/><Relationship Id="rId659" Type="http://schemas.openxmlformats.org/officeDocument/2006/relationships/hyperlink" Target="https://www.soccerstats.com/h2h.asp?league=spain&amp;fmid=3&amp;t1id=5&amp;t2id=6&amp;ly=2026" TargetMode="External"/><Relationship Id="rId866" Type="http://schemas.openxmlformats.org/officeDocument/2006/relationships/hyperlink" Target="https://www.soccerstats.com/h2h.asp?league=poland3&amp;fmid=36&amp;t1id=12&amp;t2id=5&amp;ly=2026" TargetMode="External"/><Relationship Id="rId214" Type="http://schemas.openxmlformats.org/officeDocument/2006/relationships/hyperlink" Target="https://www.soccerstats.com/h2h.asp?league=england9&amp;fmid=30&amp;t1id=2&amp;t2id=13&amp;ly=2026" TargetMode="External"/><Relationship Id="rId298" Type="http://schemas.openxmlformats.org/officeDocument/2006/relationships/hyperlink" Target="https://www.soccerstats.com/pmatch.asp?league=ireland3&amp;stats=89-4-2-2026" TargetMode="External"/><Relationship Id="rId421" Type="http://schemas.openxmlformats.org/officeDocument/2006/relationships/hyperlink" Target="https://www.soccerstats.com/h2h.asp?league=southafrica&amp;fmid=18&amp;t1id=2&amp;t2id=13&amp;ly=2026" TargetMode="External"/><Relationship Id="rId519" Type="http://schemas.openxmlformats.org/officeDocument/2006/relationships/hyperlink" Target="https://www.soccerstats.com/h2h.asp?league=spain2&amp;fmid=1&amp;t1id=1&amp;t2id=2&amp;ly=2026" TargetMode="External"/><Relationship Id="rId158" Type="http://schemas.openxmlformats.org/officeDocument/2006/relationships/hyperlink" Target="https://www.soccerstats.com/h2h.asp?league=czechrepublic&amp;fmid=29&amp;t1id=2&amp;t2id=11&amp;ly=2026" TargetMode="External"/><Relationship Id="rId726" Type="http://schemas.openxmlformats.org/officeDocument/2006/relationships/hyperlink" Target="https://www.soccerstats.com/pmatch.asp?league=brazil3&amp;stats=164-4-20-2026" TargetMode="External"/><Relationship Id="rId933" Type="http://schemas.openxmlformats.org/officeDocument/2006/relationships/hyperlink" Target="https://www.soccerstats.com/pmatch.asp?league=usa3&amp;stats=198-12-14-2026" TargetMode="External"/><Relationship Id="rId62" Type="http://schemas.openxmlformats.org/officeDocument/2006/relationships/hyperlink" Target="https://www.soccerstats.com/h2h.asp?league=netherlands2&amp;fmid=17&amp;t1id=18&amp;t2id=5&amp;ly=2026" TargetMode="External"/><Relationship Id="rId365" Type="http://schemas.openxmlformats.org/officeDocument/2006/relationships/hyperlink" Target="https://www.soccerstats.com/h2h.asp?league=paraguay2&amp;fmid=27&amp;t1id=9&amp;t2id=2&amp;ly=2026" TargetMode="External"/><Relationship Id="rId572" Type="http://schemas.openxmlformats.org/officeDocument/2006/relationships/hyperlink" Target="https://www.soccerstats.com/pmatch.asp?league=chile2&amp;stats=155-15-2-2026" TargetMode="External"/><Relationship Id="rId225" Type="http://schemas.openxmlformats.org/officeDocument/2006/relationships/hyperlink" Target="https://www.soccerstats.com/h2h.asp?league=england10&amp;fmid=29&amp;t1id=6&amp;t2id=7&amp;ly=2026" TargetMode="External"/><Relationship Id="rId432" Type="http://schemas.openxmlformats.org/officeDocument/2006/relationships/hyperlink" Target="https://www.soccerstats.com/pmatch.asp?league=southkorea2&amp;stats=170-3-6-2026" TargetMode="External"/><Relationship Id="rId877" Type="http://schemas.openxmlformats.org/officeDocument/2006/relationships/hyperlink" Target="https://www.soccerstats.com/h2h.asp?league=slovakia&amp;fmid=23&amp;t1id=1&amp;t2id=6&amp;ly=2026" TargetMode="External"/><Relationship Id="rId737" Type="http://schemas.openxmlformats.org/officeDocument/2006/relationships/hyperlink" Target="https://www.soccerstats.com/h2h.asp?league=bulgaria2&amp;fmid=29&amp;t1id=17&amp;t2id=11&amp;ly=2026" TargetMode="External"/><Relationship Id="rId73" Type="http://schemas.openxmlformats.org/officeDocument/2006/relationships/hyperlink" Target="https://www.soccerstats.com/pmatch.asp?league=argentina3&amp;stats=441-34-3-2026" TargetMode="External"/><Relationship Id="rId169" Type="http://schemas.openxmlformats.org/officeDocument/2006/relationships/hyperlink" Target="https://www.soccerstats.com/h2h.asp?league=denmark2&amp;fmid=21&amp;t1id=4&amp;t2id=12&amp;ly=2026" TargetMode="External"/><Relationship Id="rId376" Type="http://schemas.openxmlformats.org/officeDocument/2006/relationships/hyperlink" Target="https://www.soccerstats.com/h2h.asp?league=poland&amp;fmid=29&amp;t1id=17&amp;t2id=8&amp;ly=2026" TargetMode="External"/><Relationship Id="rId583" Type="http://schemas.openxmlformats.org/officeDocument/2006/relationships/hyperlink" Target="https://www.soccerstats.com/h2h.asp?league=denmark&amp;fmid=17&amp;t1id=1&amp;t2id=3&amp;ly=2026" TargetMode="External"/><Relationship Id="rId790" Type="http://schemas.openxmlformats.org/officeDocument/2006/relationships/hyperlink" Target="https://www.soccerstats.com/h2h.asp?league=germany3&amp;fmid=18&amp;t1id=16&amp;t2id=1&amp;ly=2026" TargetMode="External"/><Relationship Id="rId804" Type="http://schemas.openxmlformats.org/officeDocument/2006/relationships/hyperlink" Target="https://www.soccerstats.com/h2h.asp?league=guatemala&amp;fmid=20&amp;t1id=12&amp;t2id=9&amp;ly=2026" TargetMode="External"/><Relationship Id="rId4" Type="http://schemas.openxmlformats.org/officeDocument/2006/relationships/hyperlink" Target="https://www.soccerstats.com/h2h.asp?league=netherlands&amp;fmid=12&amp;t1id=16&amp;t2id=9&amp;ly=2026" TargetMode="External"/><Relationship Id="rId236" Type="http://schemas.openxmlformats.org/officeDocument/2006/relationships/hyperlink" Target="https://www.soccerstats.com/pmatch.asp?league=finland&amp;stats=118-9-4-2026" TargetMode="External"/><Relationship Id="rId443" Type="http://schemas.openxmlformats.org/officeDocument/2006/relationships/hyperlink" Target="https://www.soccerstats.com/pmatch.asp?league=sweden3&amp;stats=133-13-11-2026" TargetMode="External"/><Relationship Id="rId650" Type="http://schemas.openxmlformats.org/officeDocument/2006/relationships/hyperlink" Target="https://www.soccerstats.com/h2h.asp?league=turkey2&amp;fmid=15&amp;t1id=6&amp;t2id=11&amp;ly=2026" TargetMode="External"/><Relationship Id="rId888" Type="http://schemas.openxmlformats.org/officeDocument/2006/relationships/hyperlink" Target="https://www.soccerstats.com/pmatch.asp?league=southkorea2&amp;stats=174-17-10-2026" TargetMode="External"/><Relationship Id="rId303" Type="http://schemas.openxmlformats.org/officeDocument/2006/relationships/hyperlink" Target="https://www.soccerstats.com/h2h.asp?league=japan&amp;fmid=15&amp;t1id=8&amp;t2id=19&amp;ly=2026" TargetMode="External"/><Relationship Id="rId748" Type="http://schemas.openxmlformats.org/officeDocument/2006/relationships/hyperlink" Target="https://www.soccerstats.com/pmatch.asp?league=chile2&amp;stats=167-8-13-2026" TargetMode="External"/><Relationship Id="rId84" Type="http://schemas.openxmlformats.org/officeDocument/2006/relationships/hyperlink" Target="https://www.soccerstats.com/pmatch.asp?league=australia5&amp;stats=120-3-7-2026" TargetMode="External"/><Relationship Id="rId387" Type="http://schemas.openxmlformats.org/officeDocument/2006/relationships/hyperlink" Target="https://www.soccerstats.com/h2h.asp?league=portugal2&amp;fmid=10&amp;t1id=12&amp;t2id=5&amp;ly=2026" TargetMode="External"/><Relationship Id="rId510" Type="http://schemas.openxmlformats.org/officeDocument/2006/relationships/hyperlink" Target="https://www.soccerstats.com/h2h.asp?league=germany4&amp;fmid=21&amp;t1id=3&amp;t2id=16&amp;ly=2026" TargetMode="External"/><Relationship Id="rId594" Type="http://schemas.openxmlformats.org/officeDocument/2006/relationships/hyperlink" Target="https://www.soccerstats.com/pmatch.asp?league=finland2&amp;stats=91-10-2-2026" TargetMode="External"/><Relationship Id="rId608" Type="http://schemas.openxmlformats.org/officeDocument/2006/relationships/hyperlink" Target="https://www.soccerstats.com/pmatch.asp?league=germany5&amp;stats=44-18-1-2027" TargetMode="External"/><Relationship Id="rId815" Type="http://schemas.openxmlformats.org/officeDocument/2006/relationships/hyperlink" Target="https://www.soccerstats.com/h2h.asp?league=japan2&amp;fmid=20&amp;t1id=2&amp;t2id=15&amp;ly=2026" TargetMode="External"/><Relationship Id="rId247" Type="http://schemas.openxmlformats.org/officeDocument/2006/relationships/hyperlink" Target="https://www.soccerstats.com/pmatch.asp?league=finland5&amp;stats=82-5-9-2026" TargetMode="External"/><Relationship Id="rId899" Type="http://schemas.openxmlformats.org/officeDocument/2006/relationships/hyperlink" Target="https://www.soccerstats.com/pmatch.asp?league=sweden3&amp;stats=136-3-5-2026" TargetMode="External"/><Relationship Id="rId107" Type="http://schemas.openxmlformats.org/officeDocument/2006/relationships/hyperlink" Target="https://www.soccerstats.com/pmatch.asp?league=belarus&amp;stats=143-15-11-2026" TargetMode="External"/><Relationship Id="rId454" Type="http://schemas.openxmlformats.org/officeDocument/2006/relationships/hyperlink" Target="https://www.soccerstats.com/h2h.asp?league=turkey&amp;fmid=3&amp;t1id=5&amp;t2id=6&amp;ly=2026" TargetMode="External"/><Relationship Id="rId661" Type="http://schemas.openxmlformats.org/officeDocument/2006/relationships/hyperlink" Target="https://www.soccerstats.com/h2h.asp?league=spain&amp;fmid=5&amp;t1id=9&amp;t2id=10&amp;ly=2026" TargetMode="External"/><Relationship Id="rId759" Type="http://schemas.openxmlformats.org/officeDocument/2006/relationships/hyperlink" Target="https://www.soccerstats.com/h2h.asp?league=croatia&amp;fmid=12&amp;t1id=1&amp;t2id=6&amp;ly=2026" TargetMode="External"/><Relationship Id="rId11" Type="http://schemas.openxmlformats.org/officeDocument/2006/relationships/hyperlink" Target="https://www.soccerstats.com/h2h.asp?league=england2&amp;fmid=8&amp;t1id=15&amp;t2id=16&amp;ly=2026" TargetMode="External"/><Relationship Id="rId314" Type="http://schemas.openxmlformats.org/officeDocument/2006/relationships/hyperlink" Target="https://www.soccerstats.com/h2h.asp?league=japan2&amp;fmid=17&amp;t1id=10&amp;t2id=19&amp;ly=2026" TargetMode="External"/><Relationship Id="rId398" Type="http://schemas.openxmlformats.org/officeDocument/2006/relationships/hyperlink" Target="https://www.soccerstats.com/h2h.asp?league=saudiarabia&amp;fmid=8&amp;t1id=15&amp;t2id=16&amp;ly=2026" TargetMode="External"/><Relationship Id="rId521" Type="http://schemas.openxmlformats.org/officeDocument/2006/relationships/hyperlink" Target="https://www.soccerstats.com/h2h.asp?league=france2&amp;fmid=17&amp;t1id=10&amp;t2id=5&amp;ly=2026" TargetMode="External"/><Relationship Id="rId619" Type="http://schemas.openxmlformats.org/officeDocument/2006/relationships/hyperlink" Target="https://www.soccerstats.com/h2h.asp?league=germany8&amp;fmid=32&amp;t1id=4&amp;t2id=17&amp;ly=2026" TargetMode="External"/><Relationship Id="rId95" Type="http://schemas.openxmlformats.org/officeDocument/2006/relationships/hyperlink" Target="https://www.soccerstats.com/pmatch.asp?league=australia11&amp;stats=218-13-9-2026" TargetMode="External"/><Relationship Id="rId160" Type="http://schemas.openxmlformats.org/officeDocument/2006/relationships/hyperlink" Target="https://www.soccerstats.com/h2h.asp?league=czechrepublic&amp;fmid=26&amp;t1id=10&amp;t2id=12&amp;ly=2026" TargetMode="External"/><Relationship Id="rId826" Type="http://schemas.openxmlformats.org/officeDocument/2006/relationships/hyperlink" Target="https://www.soccerstats.com/h2h.asp?league=mexico&amp;fmid=29&amp;t1id=13&amp;t2id=9&amp;ly=2026" TargetMode="External"/><Relationship Id="rId258" Type="http://schemas.openxmlformats.org/officeDocument/2006/relationships/hyperlink" Target="https://www.soccerstats.com/h2h.asp?league=germany3&amp;fmid=12&amp;t1id=10&amp;t2id=13&amp;ly=2026" TargetMode="External"/><Relationship Id="rId465" Type="http://schemas.openxmlformats.org/officeDocument/2006/relationships/hyperlink" Target="https://www.soccerstats.com/h2h.asp?league=uruguay3&amp;fmid=2&amp;t1id=3&amp;t2id=4&amp;ly=2026" TargetMode="External"/><Relationship Id="rId672" Type="http://schemas.openxmlformats.org/officeDocument/2006/relationships/hyperlink" Target="https://www.soccerstats.com/h2h.asp?league=spain2&amp;fmid=6&amp;t1id=11&amp;t2id=12&amp;ly=2026" TargetMode="External"/><Relationship Id="rId22" Type="http://schemas.openxmlformats.org/officeDocument/2006/relationships/hyperlink" Target="https://www.soccerstats.com/h2h.asp?league=england3&amp;fmid=11&amp;t1id=21&amp;t2id=22&amp;ly=2026" TargetMode="External"/><Relationship Id="rId118" Type="http://schemas.openxmlformats.org/officeDocument/2006/relationships/hyperlink" Target="https://www.soccerstats.com/h2h.asp?league=bosnia&amp;fmid=7&amp;t1id=8&amp;t2id=5&amp;ly=2026" TargetMode="External"/><Relationship Id="rId325" Type="http://schemas.openxmlformats.org/officeDocument/2006/relationships/hyperlink" Target="https://www.soccerstats.com/pmatch.asp?league=kazakhstan&amp;stats=35-9-14-2026" TargetMode="External"/><Relationship Id="rId532" Type="http://schemas.openxmlformats.org/officeDocument/2006/relationships/hyperlink" Target="https://www.soccerstats.com/h2h.asp?league=netherlands2&amp;fmid=15&amp;t1id=20&amp;t2id=15&amp;ly=2026" TargetMode="External"/><Relationship Id="rId171" Type="http://schemas.openxmlformats.org/officeDocument/2006/relationships/hyperlink" Target="https://www.soccerstats.com/h2h.asp?league=denmark2&amp;fmid=23&amp;t1id=10&amp;t2id=5&amp;ly=2026" TargetMode="External"/><Relationship Id="rId837" Type="http://schemas.openxmlformats.org/officeDocument/2006/relationships/hyperlink" Target="https://www.soccerstats.com/pmatch.asp?league=norway&amp;stats=141-5-15-2026" TargetMode="External"/><Relationship Id="rId269" Type="http://schemas.openxmlformats.org/officeDocument/2006/relationships/hyperlink" Target="https://www.soccerstats.com/h2h.asp?league=germany6&amp;fmid=21&amp;t1id=7&amp;t2id=2&amp;ly=2026" TargetMode="External"/><Relationship Id="rId476" Type="http://schemas.openxmlformats.org/officeDocument/2006/relationships/hyperlink" Target="https://www.soccerstats.com/pmatch.asp?league=usa2&amp;stats=235-5-22-2026" TargetMode="External"/><Relationship Id="rId683" Type="http://schemas.openxmlformats.org/officeDocument/2006/relationships/hyperlink" Target="https://www.soccerstats.com/pmatch.asp?league=argentina2&amp;stats=67-22-4-2026" TargetMode="External"/><Relationship Id="rId890" Type="http://schemas.openxmlformats.org/officeDocument/2006/relationships/hyperlink" Target="https://www.soccerstats.com/pmatch.asp?league=southkorea2&amp;stats=176-4-2-2026" TargetMode="External"/><Relationship Id="rId904" Type="http://schemas.openxmlformats.org/officeDocument/2006/relationships/hyperlink" Target="https://www.soccerstats.com/h2h.asp?league=turkey&amp;fmid=6&amp;t1id=11&amp;t2id=12&amp;ly=2026" TargetMode="External"/><Relationship Id="rId33" Type="http://schemas.openxmlformats.org/officeDocument/2006/relationships/hyperlink" Target="https://www.soccerstats.com/h2h.asp?league=england4&amp;fmid=11&amp;t1id=21&amp;t2id=22&amp;ly=2026" TargetMode="External"/><Relationship Id="rId129" Type="http://schemas.openxmlformats.org/officeDocument/2006/relationships/hyperlink" Target="https://www.soccerstats.com/pmatch.asp?league=brazil3&amp;stats=168-3-11-2026" TargetMode="External"/><Relationship Id="rId336" Type="http://schemas.openxmlformats.org/officeDocument/2006/relationships/hyperlink" Target="https://www.soccerstats.com/h2h.asp?league=netherlands3&amp;fmid=2&amp;t1id=3&amp;t2id=4&amp;ly=2026" TargetMode="External"/><Relationship Id="rId543" Type="http://schemas.openxmlformats.org/officeDocument/2006/relationships/hyperlink" Target="https://www.soccerstats.com/pmatch.asp?league=australia3&amp;stats=165-9-8-2026" TargetMode="External"/><Relationship Id="rId182" Type="http://schemas.openxmlformats.org/officeDocument/2006/relationships/hyperlink" Target="https://www.soccerstats.com/h2h.asp?league=england6&amp;fmid=19&amp;t1id=22&amp;t2id=11&amp;ly=2026" TargetMode="External"/><Relationship Id="rId403" Type="http://schemas.openxmlformats.org/officeDocument/2006/relationships/hyperlink" Target="https://www.soccerstats.com/h2h.asp?league=scotland4&amp;fmid=15&amp;t1id=9&amp;t2id=7&amp;ly=2026" TargetMode="External"/><Relationship Id="rId750" Type="http://schemas.openxmlformats.org/officeDocument/2006/relationships/hyperlink" Target="https://www.soccerstats.com/pmatch.asp?league=china2&amp;stats=149-13-7-2026" TargetMode="External"/><Relationship Id="rId848" Type="http://schemas.openxmlformats.org/officeDocument/2006/relationships/hyperlink" Target="https://www.soccerstats.com/pmatch.asp?league=norway4&amp;stats=107-3-1-2026" TargetMode="External"/><Relationship Id="rId487" Type="http://schemas.openxmlformats.org/officeDocument/2006/relationships/hyperlink" Target="https://www.soccerstats.com/pmatch.asp?league=usa6&amp;stats=152-10-3-2026" TargetMode="External"/><Relationship Id="rId610" Type="http://schemas.openxmlformats.org/officeDocument/2006/relationships/hyperlink" Target="https://www.soccerstats.com/h2h.asp?league=germany6&amp;fmid=27&amp;t1id=1&amp;t2id=5&amp;ly=2026" TargetMode="External"/><Relationship Id="rId694" Type="http://schemas.openxmlformats.org/officeDocument/2006/relationships/hyperlink" Target="https://www.soccerstats.com/pmatch.asp?league=australia7&amp;stats=131-4-9-2026" TargetMode="External"/><Relationship Id="rId708" Type="http://schemas.openxmlformats.org/officeDocument/2006/relationships/hyperlink" Target="https://www.soccerstats.com/pmatch.asp?league=belarus&amp;stats=137-4-2-2026" TargetMode="External"/><Relationship Id="rId915" Type="http://schemas.openxmlformats.org/officeDocument/2006/relationships/hyperlink" Target="https://www.soccerstats.com/h2h.asp?league=uruguay3&amp;fmid=6&amp;t1id=11&amp;t2id=12&amp;ly=2026" TargetMode="External"/><Relationship Id="rId347" Type="http://schemas.openxmlformats.org/officeDocument/2006/relationships/hyperlink" Target="https://www.soccerstats.com/h2h.asp?league=northmacedonia&amp;fmid=15&amp;t1id=7&amp;t2id=10&amp;ly=2026" TargetMode="External"/><Relationship Id="rId44" Type="http://schemas.openxmlformats.org/officeDocument/2006/relationships/hyperlink" Target="https://www.soccerstats.com/h2h.asp?league=england5&amp;fmid=21&amp;t1id=14&amp;t2id=1&amp;ly=2026" TargetMode="External"/><Relationship Id="rId554" Type="http://schemas.openxmlformats.org/officeDocument/2006/relationships/hyperlink" Target="https://www.soccerstats.com/h2h.asp?league=austria2&amp;fmid=19&amp;t1id=12&amp;t2id=8&amp;ly=2026" TargetMode="External"/><Relationship Id="rId761" Type="http://schemas.openxmlformats.org/officeDocument/2006/relationships/hyperlink" Target="https://www.soccerstats.com/h2h.asp?league=denmark&amp;fmid=18&amp;t1id=10&amp;t2id=12&amp;ly=2026" TargetMode="External"/><Relationship Id="rId859" Type="http://schemas.openxmlformats.org/officeDocument/2006/relationships/hyperlink" Target="https://www.soccerstats.com/h2h.asp?league=poland&amp;fmid=30&amp;t1id=7&amp;t2id=15&amp;ly=2026" TargetMode="External"/><Relationship Id="rId193" Type="http://schemas.openxmlformats.org/officeDocument/2006/relationships/hyperlink" Target="https://www.soccerstats.com/h2h.asp?league=england7&amp;fmid=19&amp;t1id=8&amp;t2id=15&amp;ly=2026" TargetMode="External"/><Relationship Id="rId207" Type="http://schemas.openxmlformats.org/officeDocument/2006/relationships/hyperlink" Target="https://www.soccerstats.com/h2h.asp?league=england8&amp;fmid=437&amp;t1id=14&amp;t2id=6&amp;ly=2026" TargetMode="External"/><Relationship Id="rId414" Type="http://schemas.openxmlformats.org/officeDocument/2006/relationships/hyperlink" Target="https://www.soccerstats.com/h2h.asp?league=serbia&amp;fmid=31&amp;t1id=5&amp;t2id=12&amp;ly=2026" TargetMode="External"/><Relationship Id="rId498" Type="http://schemas.openxmlformats.org/officeDocument/2006/relationships/hyperlink" Target="https://www.soccerstats.com/leagueview_team.asp?league=copasudamericana&amp;team1id=38&amp;team2id=8&amp;fmid=114" TargetMode="External"/><Relationship Id="rId621" Type="http://schemas.openxmlformats.org/officeDocument/2006/relationships/hyperlink" Target="https://www.soccerstats.com/h2h.asp?league=germany8&amp;fmid=34&amp;t1id=2&amp;t2id=15&amp;ly=2026" TargetMode="External"/><Relationship Id="rId260" Type="http://schemas.openxmlformats.org/officeDocument/2006/relationships/hyperlink" Target="https://www.soccerstats.com/h2h.asp?league=germany3&amp;fmid=14&amp;t1id=18&amp;t2id=3&amp;ly=2026" TargetMode="External"/><Relationship Id="rId719" Type="http://schemas.openxmlformats.org/officeDocument/2006/relationships/hyperlink" Target="https://www.soccerstats.com/pmatch.asp?league=brazil&amp;stats=229-14-12-2026" TargetMode="External"/><Relationship Id="rId926" Type="http://schemas.openxmlformats.org/officeDocument/2006/relationships/hyperlink" Target="https://www.soccerstats.com/pmatch.asp?league=usa2&amp;stats=240-11-13-2026" TargetMode="External"/><Relationship Id="rId55" Type="http://schemas.openxmlformats.org/officeDocument/2006/relationships/hyperlink" Target="https://www.soccerstats.com/h2h.asp?league=spain2&amp;fmid=4&amp;t1id=7&amp;t2id=8&amp;ly=2026" TargetMode="External"/><Relationship Id="rId120" Type="http://schemas.openxmlformats.org/officeDocument/2006/relationships/hyperlink" Target="https://www.soccerstats.com/h2h.asp?league=bosnia&amp;fmid=6&amp;t1id=9&amp;t2id=7&amp;ly=2026" TargetMode="External"/><Relationship Id="rId358" Type="http://schemas.openxmlformats.org/officeDocument/2006/relationships/hyperlink" Target="https://www.soccerstats.com/pmatch.asp?league=norway3&amp;stats=109-11-14-2026" TargetMode="External"/><Relationship Id="rId565" Type="http://schemas.openxmlformats.org/officeDocument/2006/relationships/hyperlink" Target="https://www.soccerstats.com/h2h.asp?league=belgium2&amp;fmid=2&amp;t1id=3&amp;t2id=4&amp;ly=2026" TargetMode="External"/><Relationship Id="rId772" Type="http://schemas.openxmlformats.org/officeDocument/2006/relationships/hyperlink" Target="https://www.soccerstats.com/pmatch.asp?league=estonia&amp;stats=115-6-7-2026" TargetMode="External"/><Relationship Id="rId218" Type="http://schemas.openxmlformats.org/officeDocument/2006/relationships/hyperlink" Target="https://www.soccerstats.com/h2h.asp?league=england9&amp;fmid=26&amp;t1id=12&amp;t2id=17&amp;ly=2026" TargetMode="External"/><Relationship Id="rId425" Type="http://schemas.openxmlformats.org/officeDocument/2006/relationships/hyperlink" Target="https://www.soccerstats.com/h2h.asp?league=southafrica&amp;fmid=20&amp;t1id=6&amp;t2id=9&amp;ly=2026" TargetMode="External"/><Relationship Id="rId632" Type="http://schemas.openxmlformats.org/officeDocument/2006/relationships/hyperlink" Target="https://www.soccerstats.com/h2h.asp?league=poland3&amp;fmid=35&amp;t1id=8&amp;t2id=3&amp;ly=2026" TargetMode="External"/><Relationship Id="rId271" Type="http://schemas.openxmlformats.org/officeDocument/2006/relationships/hyperlink" Target="https://www.soccerstats.com/h2h.asp?league=germany6&amp;fmid=20&amp;t1id=4&amp;t2id=18&amp;ly=2026" TargetMode="External"/><Relationship Id="rId937" Type="http://schemas.openxmlformats.org/officeDocument/2006/relationships/hyperlink" Target="https://www.soccerstats.com/h2h.asp?league=usa7&amp;fmid=4&amp;t1id=7&amp;t2id=8&amp;ly=2026" TargetMode="External"/><Relationship Id="rId66" Type="http://schemas.openxmlformats.org/officeDocument/2006/relationships/hyperlink" Target="https://www.soccerstats.com/pmatch.asp?league=argentina2&amp;stats=63-3-26-2026" TargetMode="External"/><Relationship Id="rId131" Type="http://schemas.openxmlformats.org/officeDocument/2006/relationships/hyperlink" Target="https://www.soccerstats.com/pmatch.asp?league=brazil5&amp;stats=139-3-16-2026" TargetMode="External"/><Relationship Id="rId369" Type="http://schemas.openxmlformats.org/officeDocument/2006/relationships/hyperlink" Target="https://www.soccerstats.com/pmatch.asp?league=peru2&amp;stats=37-11-8-2026" TargetMode="External"/><Relationship Id="rId576" Type="http://schemas.openxmlformats.org/officeDocument/2006/relationships/hyperlink" Target="https://www.soccerstats.com/pmatch.asp?league=china&amp;stats=179-14-6-2026" TargetMode="External"/><Relationship Id="rId783" Type="http://schemas.openxmlformats.org/officeDocument/2006/relationships/hyperlink" Target="https://www.soccerstats.com/pmatch.asp?league=finland3&amp;stats=117-11-3-2026" TargetMode="External"/><Relationship Id="rId229" Type="http://schemas.openxmlformats.org/officeDocument/2006/relationships/hyperlink" Target="https://www.soccerstats.com/h2h.asp?league=england10&amp;fmid=25&amp;t1id=12&amp;t2id=3&amp;ly=2026" TargetMode="External"/><Relationship Id="rId436" Type="http://schemas.openxmlformats.org/officeDocument/2006/relationships/hyperlink" Target="https://www.soccerstats.com/pmatch.asp?league=sweden2&amp;stats=150-10-2-2026" TargetMode="External"/><Relationship Id="rId643" Type="http://schemas.openxmlformats.org/officeDocument/2006/relationships/hyperlink" Target="https://www.soccerstats.com/pmatch.asp?league=sweden&amp;stats=132-11-6-2026" TargetMode="External"/><Relationship Id="rId850" Type="http://schemas.openxmlformats.org/officeDocument/2006/relationships/hyperlink" Target="https://www.soccerstats.com/pmatch.asp?league=norway4&amp;stats=109-6-10-2026" TargetMode="External"/><Relationship Id="rId77" Type="http://schemas.openxmlformats.org/officeDocument/2006/relationships/hyperlink" Target="https://www.soccerstats.com/h2h.asp?league=armenia&amp;fmid=18&amp;t1id=9&amp;t2id=12&amp;ly=2026" TargetMode="External"/><Relationship Id="rId282" Type="http://schemas.openxmlformats.org/officeDocument/2006/relationships/hyperlink" Target="https://www.soccerstats.com/h2h.asp?league=hungary2&amp;fmid=30&amp;t1id=2&amp;t2id=3&amp;ly=2026" TargetMode="External"/><Relationship Id="rId503" Type="http://schemas.openxmlformats.org/officeDocument/2006/relationships/hyperlink" Target="https://www.soccerstats.com/leagueview_team.asp?league=copalibertadores&amp;team1id=20&amp;team2id=24&amp;fmid=100" TargetMode="External"/><Relationship Id="rId587" Type="http://schemas.openxmlformats.org/officeDocument/2006/relationships/hyperlink" Target="https://www.soccerstats.com/h2h.asp?league=denmark3&amp;fmid=16&amp;t1id=11&amp;t2id=6&amp;ly=2026" TargetMode="External"/><Relationship Id="rId710" Type="http://schemas.openxmlformats.org/officeDocument/2006/relationships/hyperlink" Target="https://www.soccerstats.com/pmatch.asp?league=belarus&amp;stats=138-6-1-2026" TargetMode="External"/><Relationship Id="rId808" Type="http://schemas.openxmlformats.org/officeDocument/2006/relationships/hyperlink" Target="https://www.soccerstats.com/h2h.asp?league=hungary&amp;fmid=20&amp;t1id=6&amp;t2id=7&amp;ly=2026" TargetMode="External"/><Relationship Id="rId8" Type="http://schemas.openxmlformats.org/officeDocument/2006/relationships/hyperlink" Target="https://www.soccerstats.com/h2h.asp?league=portugal&amp;fmid=18&amp;t1id=4&amp;t2id=5&amp;ly=2026" TargetMode="External"/><Relationship Id="rId142" Type="http://schemas.openxmlformats.org/officeDocument/2006/relationships/hyperlink" Target="https://www.soccerstats.com/pmatch.asp?league=chile2&amp;stats=163-9-16-2026" TargetMode="External"/><Relationship Id="rId447" Type="http://schemas.openxmlformats.org/officeDocument/2006/relationships/hyperlink" Target="https://www.soccerstats.com/pmatch.asp?league=sweden4&amp;stats=133-4-16-2026" TargetMode="External"/><Relationship Id="rId794" Type="http://schemas.openxmlformats.org/officeDocument/2006/relationships/hyperlink" Target="https://www.soccerstats.com/h2h.asp?league=germany4&amp;fmid=28&amp;t1id=16&amp;t2id=14&amp;ly=2026" TargetMode="External"/><Relationship Id="rId654" Type="http://schemas.openxmlformats.org/officeDocument/2006/relationships/hyperlink" Target="https://www.soccerstats.com/h2h.asp?league=wales&amp;fmid=21&amp;t1id=8&amp;t2id=2&amp;ly=2026" TargetMode="External"/><Relationship Id="rId861" Type="http://schemas.openxmlformats.org/officeDocument/2006/relationships/hyperlink" Target="https://www.soccerstats.com/h2h.asp?league=poland2&amp;fmid=28&amp;t1id=8&amp;t2id=11&amp;ly=2026" TargetMode="External"/><Relationship Id="rId293" Type="http://schemas.openxmlformats.org/officeDocument/2006/relationships/hyperlink" Target="https://www.soccerstats.com/pmatch.asp?league=iceland3&amp;stats=102-3-9-2026" TargetMode="External"/><Relationship Id="rId307" Type="http://schemas.openxmlformats.org/officeDocument/2006/relationships/hyperlink" Target="https://www.soccerstats.com/h2h.asp?league=japan&amp;fmid=20&amp;t1id=4&amp;t2id=15&amp;ly=2026" TargetMode="External"/><Relationship Id="rId514" Type="http://schemas.openxmlformats.org/officeDocument/2006/relationships/hyperlink" Target="https://www.soccerstats.com/h2h.asp?league=southafrica&amp;fmid=13&amp;t1id=10&amp;t2id=7&amp;ly=2026" TargetMode="External"/><Relationship Id="rId721" Type="http://schemas.openxmlformats.org/officeDocument/2006/relationships/hyperlink" Target="https://www.soccerstats.com/pmatch.asp?league=brazil&amp;stats=222-1-19-2026" TargetMode="External"/><Relationship Id="rId88" Type="http://schemas.openxmlformats.org/officeDocument/2006/relationships/hyperlink" Target="https://www.soccerstats.com/pmatch.asp?league=australia6&amp;stats=127-2-7-2026" TargetMode="External"/><Relationship Id="rId153" Type="http://schemas.openxmlformats.org/officeDocument/2006/relationships/hyperlink" Target="https://www.soccerstats.com/h2h.asp?league=costarica&amp;fmid=16&amp;t1id=9&amp;t2id=1&amp;ly=2026" TargetMode="External"/><Relationship Id="rId360" Type="http://schemas.openxmlformats.org/officeDocument/2006/relationships/hyperlink" Target="https://www.soccerstats.com/pmatch.asp?league=norway11&amp;stats=75-2-3-2026" TargetMode="External"/><Relationship Id="rId598" Type="http://schemas.openxmlformats.org/officeDocument/2006/relationships/hyperlink" Target="https://www.soccerstats.com/h2h.asp?league=france3&amp;fmid=15&amp;t1id=10&amp;t2id=7&amp;ly=2026" TargetMode="External"/><Relationship Id="rId819" Type="http://schemas.openxmlformats.org/officeDocument/2006/relationships/hyperlink" Target="https://www.soccerstats.com/h2h.asp?league=japan3&amp;fmid=20&amp;t1id=10&amp;t2id=15&amp;ly=2026" TargetMode="External"/><Relationship Id="rId220" Type="http://schemas.openxmlformats.org/officeDocument/2006/relationships/hyperlink" Target="https://www.soccerstats.com/h2h.asp?league=england9&amp;fmid=24&amp;t1id=14&amp;t2id=11&amp;ly=2026" TargetMode="External"/><Relationship Id="rId458" Type="http://schemas.openxmlformats.org/officeDocument/2006/relationships/hyperlink" Target="https://www.soccerstats.com/h2h.asp?league=turkey2&amp;fmid=19&amp;t1id=14&amp;t2id=7&amp;ly=2026" TargetMode="External"/><Relationship Id="rId665" Type="http://schemas.openxmlformats.org/officeDocument/2006/relationships/hyperlink" Target="https://www.soccerstats.com/h2h.asp?league=netherlands&amp;fmid=18&amp;t1id=14&amp;t2id=17&amp;ly=2026" TargetMode="External"/><Relationship Id="rId872" Type="http://schemas.openxmlformats.org/officeDocument/2006/relationships/hyperlink" Target="https://www.soccerstats.com/pmatch.asp?league=romania&amp;stats=39-13-6-2027" TargetMode="External"/><Relationship Id="rId15" Type="http://schemas.openxmlformats.org/officeDocument/2006/relationships/hyperlink" Target="https://www.soccerstats.com/h2h.asp?league=england2&amp;fmid=4&amp;t1id=7&amp;t2id=8&amp;ly=2026" TargetMode="External"/><Relationship Id="rId318" Type="http://schemas.openxmlformats.org/officeDocument/2006/relationships/hyperlink" Target="https://www.soccerstats.com/h2h.asp?league=japan3&amp;fmid=12&amp;t1id=16&amp;t2id=9&amp;ly=2026" TargetMode="External"/><Relationship Id="rId525" Type="http://schemas.openxmlformats.org/officeDocument/2006/relationships/hyperlink" Target="https://www.soccerstats.com/h2h.asp?league=france2&amp;fmid=13&amp;t1id=18&amp;t2id=9&amp;ly=2026" TargetMode="External"/><Relationship Id="rId732" Type="http://schemas.openxmlformats.org/officeDocument/2006/relationships/hyperlink" Target="https://www.soccerstats.com/pmatch.asp?league=brazil5&amp;stats=142-5-12-2026" TargetMode="External"/><Relationship Id="rId99" Type="http://schemas.openxmlformats.org/officeDocument/2006/relationships/hyperlink" Target="https://www.soccerstats.com/h2h.asp?league=austria&amp;fmid=14&amp;t1id=7&amp;t2id=9&amp;ly=2026" TargetMode="External"/><Relationship Id="rId164" Type="http://schemas.openxmlformats.org/officeDocument/2006/relationships/hyperlink" Target="https://www.soccerstats.com/h2h.asp?league=czechrepublic&amp;fmid=25&amp;t1id=7&amp;t2id=13&amp;ly=2026" TargetMode="External"/><Relationship Id="rId371" Type="http://schemas.openxmlformats.org/officeDocument/2006/relationships/hyperlink" Target="https://www.soccerstats.com/pmatch.asp?league=peru2&amp;stats=45-13-2-2026" TargetMode="External"/><Relationship Id="rId469" Type="http://schemas.openxmlformats.org/officeDocument/2006/relationships/hyperlink" Target="https://www.soccerstats.com/pmatch.asp?league=usa&amp;stats=277-24-9-2026" TargetMode="External"/><Relationship Id="rId676" Type="http://schemas.openxmlformats.org/officeDocument/2006/relationships/hyperlink" Target="https://www.soccerstats.com/h2h.asp?league=germany2&amp;fmid=16&amp;t1id=6&amp;t2id=13&amp;ly=2026" TargetMode="External"/><Relationship Id="rId883" Type="http://schemas.openxmlformats.org/officeDocument/2006/relationships/hyperlink" Target="https://www.soccerstats.com/h2h.asp?league=southafrica&amp;fmid=23&amp;t1id=14&amp;t2id=3&amp;ly=2026" TargetMode="External"/><Relationship Id="rId26" Type="http://schemas.openxmlformats.org/officeDocument/2006/relationships/hyperlink" Target="https://www.soccerstats.com/h2h.asp?league=england3&amp;fmid=7&amp;t1id=13&amp;t2id=14&amp;ly=2026" TargetMode="External"/><Relationship Id="rId231" Type="http://schemas.openxmlformats.org/officeDocument/2006/relationships/hyperlink" Target="https://www.soccerstats.com/h2h.asp?league=england10&amp;fmid=23&amp;t1id=1&amp;t2id=17&amp;ly=2026" TargetMode="External"/><Relationship Id="rId329" Type="http://schemas.openxmlformats.org/officeDocument/2006/relationships/hyperlink" Target="https://www.soccerstats.com/h2h.asp?league=moldova&amp;fmid=30&amp;t1id=1&amp;t2id=7&amp;ly=2026" TargetMode="External"/><Relationship Id="rId536" Type="http://schemas.openxmlformats.org/officeDocument/2006/relationships/hyperlink" Target="https://www.soccerstats.com/h2h.asp?league=netherlands2&amp;fmid=11&amp;t1id=8&amp;t2id=13&amp;ly=2026" TargetMode="External"/><Relationship Id="rId175" Type="http://schemas.openxmlformats.org/officeDocument/2006/relationships/hyperlink" Target="https://www.soccerstats.com/pmatch.asp?league=ecuador&amp;stats=193-6-2-2026" TargetMode="External"/><Relationship Id="rId743" Type="http://schemas.openxmlformats.org/officeDocument/2006/relationships/hyperlink" Target="https://www.soccerstats.com/pmatch.asp?league=chile&amp;stats=146-14-16-2026" TargetMode="External"/><Relationship Id="rId382" Type="http://schemas.openxmlformats.org/officeDocument/2006/relationships/hyperlink" Target="https://www.soccerstats.com/h2h.asp?league=poland3&amp;fmid=31&amp;t1id=16&amp;t2id=1&amp;ly=2026" TargetMode="External"/><Relationship Id="rId603" Type="http://schemas.openxmlformats.org/officeDocument/2006/relationships/hyperlink" Target="https://www.soccerstats.com/h2h.asp?league=france3&amp;fmid=13&amp;t1id=14&amp;t2id=11&amp;ly=2026" TargetMode="External"/><Relationship Id="rId687" Type="http://schemas.openxmlformats.org/officeDocument/2006/relationships/hyperlink" Target="https://www.soccerstats.com/pmatch.asp?league=argentina3&amp;stats=437-24-13-2026" TargetMode="External"/><Relationship Id="rId810" Type="http://schemas.openxmlformats.org/officeDocument/2006/relationships/hyperlink" Target="https://www.soccerstats.com/h2h.asp?league=hungary2&amp;fmid=32&amp;t1id=11&amp;t2id=16&amp;ly=2026" TargetMode="External"/><Relationship Id="rId908" Type="http://schemas.openxmlformats.org/officeDocument/2006/relationships/hyperlink" Target="https://www.soccerstats.com/h2h.asp?league=turkey2&amp;fmid=20&amp;t1id=10&amp;t2id=19&amp;ly=2026" TargetMode="External"/><Relationship Id="rId242" Type="http://schemas.openxmlformats.org/officeDocument/2006/relationships/hyperlink" Target="https://www.soccerstats.com/pmatch.asp?league=finland3&amp;stats=116-1-7-2026" TargetMode="External"/><Relationship Id="rId894" Type="http://schemas.openxmlformats.org/officeDocument/2006/relationships/hyperlink" Target="https://www.soccerstats.com/pmatch.asp?league=sweden&amp;stats=135-15-10-2026" TargetMode="External"/><Relationship Id="rId37" Type="http://schemas.openxmlformats.org/officeDocument/2006/relationships/hyperlink" Target="https://www.soccerstats.com/h2h.asp?league=england4&amp;fmid=7&amp;t1id=13&amp;t2id=14&amp;ly=2026" TargetMode="External"/><Relationship Id="rId102" Type="http://schemas.openxmlformats.org/officeDocument/2006/relationships/hyperlink" Target="https://www.soccerstats.com/h2h.asp?league=austria2&amp;fmid=20&amp;t1id=14&amp;t2id=9&amp;ly=2026" TargetMode="External"/><Relationship Id="rId547" Type="http://schemas.openxmlformats.org/officeDocument/2006/relationships/hyperlink" Target="https://www.soccerstats.com/pmatch.asp?league=australia4&amp;stats=127-9-5-2026" TargetMode="External"/><Relationship Id="rId754" Type="http://schemas.openxmlformats.org/officeDocument/2006/relationships/hyperlink" Target="https://www.soccerstats.com/h2h.asp?league=colombia2&amp;fmid=42&amp;t1id=2&amp;t2id=4&amp;ly=2026" TargetMode="External"/><Relationship Id="rId90" Type="http://schemas.openxmlformats.org/officeDocument/2006/relationships/hyperlink" Target="https://www.soccerstats.com/pmatch.asp?league=australia6&amp;stats=131-10-5-2026" TargetMode="External"/><Relationship Id="rId186" Type="http://schemas.openxmlformats.org/officeDocument/2006/relationships/hyperlink" Target="https://www.soccerstats.com/h2h.asp?league=england6&amp;fmid=15&amp;t1id=4&amp;t2id=5&amp;ly=2026" TargetMode="External"/><Relationship Id="rId393" Type="http://schemas.openxmlformats.org/officeDocument/2006/relationships/hyperlink" Target="https://www.soccerstats.com/h2h.asp?league=russia&amp;fmid=27&amp;t1id=1&amp;t2id=7&amp;ly=2026" TargetMode="External"/><Relationship Id="rId407" Type="http://schemas.openxmlformats.org/officeDocument/2006/relationships/hyperlink" Target="https://www.soccerstats.com/h2h.asp?league=scotland4&amp;fmid=11&amp;t1id=8&amp;t2id=10&amp;ly=2026" TargetMode="External"/><Relationship Id="rId614" Type="http://schemas.openxmlformats.org/officeDocument/2006/relationships/hyperlink" Target="https://www.soccerstats.com/h2h.asp?league=germany8&amp;fmid=33&amp;t1id=16&amp;t2id=7&amp;ly=2026" TargetMode="External"/><Relationship Id="rId821" Type="http://schemas.openxmlformats.org/officeDocument/2006/relationships/hyperlink" Target="https://www.soccerstats.com/pmatch.asp?league=kazakhstan&amp;stats=37-3-12-2026" TargetMode="External"/><Relationship Id="rId253" Type="http://schemas.openxmlformats.org/officeDocument/2006/relationships/hyperlink" Target="https://www.soccerstats.com/pmatch.asp?league=finland6&amp;stats=83-3-6-2026" TargetMode="External"/><Relationship Id="rId460" Type="http://schemas.openxmlformats.org/officeDocument/2006/relationships/hyperlink" Target="https://www.soccerstats.com/h2h.asp?league=turkey2&amp;fmid=18&amp;t1id=16&amp;t2id=13&amp;ly=2026" TargetMode="External"/><Relationship Id="rId698" Type="http://schemas.openxmlformats.org/officeDocument/2006/relationships/hyperlink" Target="https://www.soccerstats.com/pmatch.asp?league=australia7&amp;stats=127-5-7-2026" TargetMode="External"/><Relationship Id="rId919" Type="http://schemas.openxmlformats.org/officeDocument/2006/relationships/hyperlink" Target="https://www.soccerstats.com/pmatch.asp?league=usa&amp;stats=282-30-22-2026" TargetMode="External"/><Relationship Id="rId48" Type="http://schemas.openxmlformats.org/officeDocument/2006/relationships/hyperlink" Target="https://www.soccerstats.com/h2h.asp?league=england5&amp;fmid=18&amp;t1id=22&amp;t2id=3&amp;ly=2026" TargetMode="External"/><Relationship Id="rId113" Type="http://schemas.openxmlformats.org/officeDocument/2006/relationships/hyperlink" Target="https://www.soccerstats.com/h2h.asp?league=belgium2&amp;fmid=3&amp;t1id=5&amp;t2id=6&amp;ly=2026" TargetMode="External"/><Relationship Id="rId320" Type="http://schemas.openxmlformats.org/officeDocument/2006/relationships/hyperlink" Target="https://www.soccerstats.com/h2h.asp?league=japan3&amp;fmid=13&amp;t1id=6&amp;t2id=19&amp;ly=2026" TargetMode="External"/><Relationship Id="rId558" Type="http://schemas.openxmlformats.org/officeDocument/2006/relationships/hyperlink" Target="https://www.soccerstats.com/h2h.asp?league=azerbaijan&amp;fmid=3&amp;t1id=5&amp;t2id=6&amp;ly=2026" TargetMode="External"/><Relationship Id="rId765" Type="http://schemas.openxmlformats.org/officeDocument/2006/relationships/hyperlink" Target="https://www.soccerstats.com/h2h.asp?league=denmark2&amp;fmid=24&amp;t1id=6&amp;t2id=2&amp;ly=2026" TargetMode="External"/><Relationship Id="rId197" Type="http://schemas.openxmlformats.org/officeDocument/2006/relationships/hyperlink" Target="https://www.soccerstats.com/h2h.asp?league=england7&amp;fmid=15&amp;t1id=22&amp;t2id=5&amp;ly=2026" TargetMode="External"/><Relationship Id="rId418" Type="http://schemas.openxmlformats.org/officeDocument/2006/relationships/hyperlink" Target="https://www.soccerstats.com/h2h.asp?league=slovakia&amp;fmid=22&amp;t1id=5&amp;t2id=3&amp;ly=2026" TargetMode="External"/><Relationship Id="rId625" Type="http://schemas.openxmlformats.org/officeDocument/2006/relationships/hyperlink" Target="https://www.soccerstats.com/h2h.asp?league=japan&amp;fmid=11&amp;t1id=17&amp;t2id=13&amp;ly=2026" TargetMode="External"/><Relationship Id="rId832" Type="http://schemas.openxmlformats.org/officeDocument/2006/relationships/hyperlink" Target="https://www.soccerstats.com/h2h.asp?league=montenegro&amp;fmid=11&amp;t1id=2&amp;t2id=4&amp;ly=2026" TargetMode="External"/><Relationship Id="rId264" Type="http://schemas.openxmlformats.org/officeDocument/2006/relationships/hyperlink" Target="https://www.soccerstats.com/h2h.asp?league=germany4&amp;fmid=27&amp;t1id=2&amp;t2id=13&amp;ly=2026" TargetMode="External"/><Relationship Id="rId471" Type="http://schemas.openxmlformats.org/officeDocument/2006/relationships/hyperlink" Target="https://www.soccerstats.com/pmatch.asp?league=usa&amp;stats=273-7-3-2026" TargetMode="External"/><Relationship Id="rId59" Type="http://schemas.openxmlformats.org/officeDocument/2006/relationships/hyperlink" Target="https://www.soccerstats.com/h2h.asp?league=germany2&amp;fmid=14&amp;t1id=2&amp;t2id=9&amp;ly=2026" TargetMode="External"/><Relationship Id="rId124" Type="http://schemas.openxmlformats.org/officeDocument/2006/relationships/hyperlink" Target="https://www.soccerstats.com/pmatch.asp?league=brazil2&amp;stats=214-6-9-2026" TargetMode="External"/><Relationship Id="rId569" Type="http://schemas.openxmlformats.org/officeDocument/2006/relationships/hyperlink" Target="https://www.soccerstats.com/h2h.asp?league=bulgaria&amp;fmid=34&amp;t1id=2&amp;t2id=10&amp;ly=2026" TargetMode="External"/><Relationship Id="rId776" Type="http://schemas.openxmlformats.org/officeDocument/2006/relationships/hyperlink" Target="https://www.soccerstats.com/pmatch.asp?league=faroeislands&amp;stats=94-1-8-2026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025" name="AutoShape 1" descr="SPAIN"/>
        <xdr:cNvSpPr>
          <a:spLocks noChangeAspect="1" noChangeArrowheads="1"/>
        </xdr:cNvSpPr>
      </xdr:nvSpPr>
      <xdr:spPr bwMode="auto">
        <a:xfrm>
          <a:off x="0" y="175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026" name="AutoShape 2" descr="https://www.soccerstats.com/img/own/sshplogo.png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13411200" y="175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152400</xdr:colOff>
      <xdr:row>2</xdr:row>
      <xdr:rowOff>106680</xdr:rowOff>
    </xdr:to>
    <xdr:sp macro="" textlink="">
      <xdr:nvSpPr>
        <xdr:cNvPr id="1027" name="AutoShape 3" descr="SPAIN"/>
        <xdr:cNvSpPr>
          <a:spLocks noChangeAspect="1" noChangeArrowheads="1"/>
        </xdr:cNvSpPr>
      </xdr:nvSpPr>
      <xdr:spPr bwMode="auto">
        <a:xfrm>
          <a:off x="0" y="350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</xdr:row>
      <xdr:rowOff>0</xdr:rowOff>
    </xdr:from>
    <xdr:to>
      <xdr:col>22</xdr:col>
      <xdr:colOff>304800</xdr:colOff>
      <xdr:row>3</xdr:row>
      <xdr:rowOff>129540</xdr:rowOff>
    </xdr:to>
    <xdr:sp macro="" textlink="">
      <xdr:nvSpPr>
        <xdr:cNvPr id="1028" name="AutoShape 4" descr="https://www.soccerstats.com/img/own/sshplogo.png">
          <a:hlinkClick xmlns:r="http://schemas.openxmlformats.org/officeDocument/2006/relationships" r:id="rId2"/>
        </xdr:cNvPr>
        <xdr:cNvSpPr>
          <a:spLocks noChangeAspect="1" noChangeArrowheads="1"/>
        </xdr:cNvSpPr>
      </xdr:nvSpPr>
      <xdr:spPr bwMode="auto">
        <a:xfrm>
          <a:off x="13411200" y="350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152400</xdr:colOff>
      <xdr:row>3</xdr:row>
      <xdr:rowOff>106680</xdr:rowOff>
    </xdr:to>
    <xdr:sp macro="" textlink="">
      <xdr:nvSpPr>
        <xdr:cNvPr id="1029" name="AutoShape 5" descr="NETHERLANDS"/>
        <xdr:cNvSpPr>
          <a:spLocks noChangeAspect="1" noChangeArrowheads="1"/>
        </xdr:cNvSpPr>
      </xdr:nvSpPr>
      <xdr:spPr bwMode="auto">
        <a:xfrm>
          <a:off x="0" y="601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</xdr:row>
      <xdr:rowOff>0</xdr:rowOff>
    </xdr:from>
    <xdr:to>
      <xdr:col>22</xdr:col>
      <xdr:colOff>304800</xdr:colOff>
      <xdr:row>4</xdr:row>
      <xdr:rowOff>53340</xdr:rowOff>
    </xdr:to>
    <xdr:sp macro="" textlink="">
      <xdr:nvSpPr>
        <xdr:cNvPr id="1030" name="AutoShape 6" descr="https://www.soccerstats.com/img/own/sshplogo.png">
          <a:hlinkClick xmlns:r="http://schemas.openxmlformats.org/officeDocument/2006/relationships" r:id="rId3"/>
        </xdr:cNvPr>
        <xdr:cNvSpPr>
          <a:spLocks noChangeAspect="1" noChangeArrowheads="1"/>
        </xdr:cNvSpPr>
      </xdr:nvSpPr>
      <xdr:spPr bwMode="auto">
        <a:xfrm>
          <a:off x="13411200" y="601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152400</xdr:colOff>
      <xdr:row>4</xdr:row>
      <xdr:rowOff>106680</xdr:rowOff>
    </xdr:to>
    <xdr:sp macro="" textlink="">
      <xdr:nvSpPr>
        <xdr:cNvPr id="1031" name="AutoShape 7" descr="NETHERLANDS"/>
        <xdr:cNvSpPr>
          <a:spLocks noChangeAspect="1" noChangeArrowheads="1"/>
        </xdr:cNvSpPr>
      </xdr:nvSpPr>
      <xdr:spPr bwMode="auto">
        <a:xfrm>
          <a:off x="0" y="853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</xdr:row>
      <xdr:rowOff>0</xdr:rowOff>
    </xdr:from>
    <xdr:to>
      <xdr:col>22</xdr:col>
      <xdr:colOff>304800</xdr:colOff>
      <xdr:row>5</xdr:row>
      <xdr:rowOff>53340</xdr:rowOff>
    </xdr:to>
    <xdr:sp macro="" textlink="">
      <xdr:nvSpPr>
        <xdr:cNvPr id="1032" name="AutoShape 8" descr="https://www.soccerstats.com/img/own/sshplogo.png">
          <a:hlinkClick xmlns:r="http://schemas.openxmlformats.org/officeDocument/2006/relationships" r:id="rId4"/>
        </xdr:cNvPr>
        <xdr:cNvSpPr>
          <a:spLocks noChangeAspect="1" noChangeArrowheads="1"/>
        </xdr:cNvSpPr>
      </xdr:nvSpPr>
      <xdr:spPr bwMode="auto">
        <a:xfrm>
          <a:off x="13411200" y="853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152400</xdr:colOff>
      <xdr:row>5</xdr:row>
      <xdr:rowOff>106680</xdr:rowOff>
    </xdr:to>
    <xdr:sp macro="" textlink="">
      <xdr:nvSpPr>
        <xdr:cNvPr id="1033" name="AutoShape 9" descr="NETHERLANDS"/>
        <xdr:cNvSpPr>
          <a:spLocks noChangeAspect="1" noChangeArrowheads="1"/>
        </xdr:cNvSpPr>
      </xdr:nvSpPr>
      <xdr:spPr bwMode="auto">
        <a:xfrm>
          <a:off x="0" y="1028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</xdr:row>
      <xdr:rowOff>0</xdr:rowOff>
    </xdr:from>
    <xdr:to>
      <xdr:col>22</xdr:col>
      <xdr:colOff>304800</xdr:colOff>
      <xdr:row>6</xdr:row>
      <xdr:rowOff>53340</xdr:rowOff>
    </xdr:to>
    <xdr:sp macro="" textlink="">
      <xdr:nvSpPr>
        <xdr:cNvPr id="1034" name="AutoShape 10" descr="https://www.soccerstats.com/img/own/sshplogo.png">
          <a:hlinkClick xmlns:r="http://schemas.openxmlformats.org/officeDocument/2006/relationships" r:id="rId5"/>
        </xdr:cNvPr>
        <xdr:cNvSpPr>
          <a:spLocks noChangeAspect="1" noChangeArrowheads="1"/>
        </xdr:cNvSpPr>
      </xdr:nvSpPr>
      <xdr:spPr bwMode="auto">
        <a:xfrm>
          <a:off x="134112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152400</xdr:colOff>
      <xdr:row>6</xdr:row>
      <xdr:rowOff>106680</xdr:rowOff>
    </xdr:to>
    <xdr:sp macro="" textlink="">
      <xdr:nvSpPr>
        <xdr:cNvPr id="1035" name="AutoShape 11" descr="NETHERLANDS"/>
        <xdr:cNvSpPr>
          <a:spLocks noChangeAspect="1" noChangeArrowheads="1"/>
        </xdr:cNvSpPr>
      </xdr:nvSpPr>
      <xdr:spPr bwMode="auto">
        <a:xfrm>
          <a:off x="0" y="1280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</xdr:row>
      <xdr:rowOff>0</xdr:rowOff>
    </xdr:from>
    <xdr:to>
      <xdr:col>22</xdr:col>
      <xdr:colOff>304800</xdr:colOff>
      <xdr:row>7</xdr:row>
      <xdr:rowOff>129540</xdr:rowOff>
    </xdr:to>
    <xdr:sp macro="" textlink="">
      <xdr:nvSpPr>
        <xdr:cNvPr id="1036" name="AutoShape 12" descr="https://www.soccerstats.com/img/own/sshplogo.png">
          <a:hlinkClick xmlns:r="http://schemas.openxmlformats.org/officeDocument/2006/relationships" r:id="rId6"/>
        </xdr:cNvPr>
        <xdr:cNvSpPr>
          <a:spLocks noChangeAspect="1" noChangeArrowheads="1"/>
        </xdr:cNvSpPr>
      </xdr:nvSpPr>
      <xdr:spPr bwMode="auto">
        <a:xfrm>
          <a:off x="13411200" y="1280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152400</xdr:colOff>
      <xdr:row>7</xdr:row>
      <xdr:rowOff>106680</xdr:rowOff>
    </xdr:to>
    <xdr:sp macro="" textlink="">
      <xdr:nvSpPr>
        <xdr:cNvPr id="1037" name="AutoShape 13" descr="PORTUGAL"/>
        <xdr:cNvSpPr>
          <a:spLocks noChangeAspect="1" noChangeArrowheads="1"/>
        </xdr:cNvSpPr>
      </xdr:nvSpPr>
      <xdr:spPr bwMode="auto">
        <a:xfrm>
          <a:off x="0" y="1531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</xdr:row>
      <xdr:rowOff>0</xdr:rowOff>
    </xdr:from>
    <xdr:to>
      <xdr:col>22</xdr:col>
      <xdr:colOff>304800</xdr:colOff>
      <xdr:row>8</xdr:row>
      <xdr:rowOff>129540</xdr:rowOff>
    </xdr:to>
    <xdr:sp macro="" textlink="">
      <xdr:nvSpPr>
        <xdr:cNvPr id="1038" name="AutoShape 14" descr="https://www.soccerstats.com/img/own/sshplogo.png">
          <a:hlinkClick xmlns:r="http://schemas.openxmlformats.org/officeDocument/2006/relationships" r:id="rId7"/>
        </xdr:cNvPr>
        <xdr:cNvSpPr>
          <a:spLocks noChangeAspect="1" noChangeArrowheads="1"/>
        </xdr:cNvSpPr>
      </xdr:nvSpPr>
      <xdr:spPr bwMode="auto">
        <a:xfrm>
          <a:off x="13411200" y="1531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152400</xdr:colOff>
      <xdr:row>8</xdr:row>
      <xdr:rowOff>106680</xdr:rowOff>
    </xdr:to>
    <xdr:sp macro="" textlink="">
      <xdr:nvSpPr>
        <xdr:cNvPr id="1039" name="AutoShape 15" descr="PORTUGAL"/>
        <xdr:cNvSpPr>
          <a:spLocks noChangeAspect="1" noChangeArrowheads="1"/>
        </xdr:cNvSpPr>
      </xdr:nvSpPr>
      <xdr:spPr bwMode="auto">
        <a:xfrm>
          <a:off x="0" y="1783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</xdr:row>
      <xdr:rowOff>0</xdr:rowOff>
    </xdr:from>
    <xdr:to>
      <xdr:col>22</xdr:col>
      <xdr:colOff>304800</xdr:colOff>
      <xdr:row>9</xdr:row>
      <xdr:rowOff>129540</xdr:rowOff>
    </xdr:to>
    <xdr:sp macro="" textlink="">
      <xdr:nvSpPr>
        <xdr:cNvPr id="1040" name="AutoShape 16" descr="https://www.soccerstats.com/img/own/sshplogo.png">
          <a:hlinkClick xmlns:r="http://schemas.openxmlformats.org/officeDocument/2006/relationships" r:id="rId8"/>
        </xdr:cNvPr>
        <xdr:cNvSpPr>
          <a:spLocks noChangeAspect="1" noChangeArrowheads="1"/>
        </xdr:cNvSpPr>
      </xdr:nvSpPr>
      <xdr:spPr bwMode="auto">
        <a:xfrm>
          <a:off x="13411200" y="1783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152400</xdr:colOff>
      <xdr:row>9</xdr:row>
      <xdr:rowOff>106680</xdr:rowOff>
    </xdr:to>
    <xdr:sp macro="" textlink="">
      <xdr:nvSpPr>
        <xdr:cNvPr id="1041" name="AutoShape 17" descr="PORTUGAL"/>
        <xdr:cNvSpPr>
          <a:spLocks noChangeAspect="1" noChangeArrowheads="1"/>
        </xdr:cNvSpPr>
      </xdr:nvSpPr>
      <xdr:spPr bwMode="auto">
        <a:xfrm>
          <a:off x="0" y="2034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</xdr:row>
      <xdr:rowOff>0</xdr:rowOff>
    </xdr:from>
    <xdr:to>
      <xdr:col>22</xdr:col>
      <xdr:colOff>304800</xdr:colOff>
      <xdr:row>10</xdr:row>
      <xdr:rowOff>129540</xdr:rowOff>
    </xdr:to>
    <xdr:sp macro="" textlink="">
      <xdr:nvSpPr>
        <xdr:cNvPr id="1042" name="AutoShape 18" descr="https://www.soccerstats.com/img/own/sshplogo.png">
          <a:hlinkClick xmlns:r="http://schemas.openxmlformats.org/officeDocument/2006/relationships" r:id="rId9"/>
        </xdr:cNvPr>
        <xdr:cNvSpPr>
          <a:spLocks noChangeAspect="1" noChangeArrowheads="1"/>
        </xdr:cNvSpPr>
      </xdr:nvSpPr>
      <xdr:spPr bwMode="auto">
        <a:xfrm>
          <a:off x="13411200" y="2034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152400</xdr:colOff>
      <xdr:row>10</xdr:row>
      <xdr:rowOff>106680</xdr:rowOff>
    </xdr:to>
    <xdr:sp macro="" textlink="">
      <xdr:nvSpPr>
        <xdr:cNvPr id="1043" name="AutoShape 19" descr="ENGLAND2"/>
        <xdr:cNvSpPr>
          <a:spLocks noChangeAspect="1" noChangeArrowheads="1"/>
        </xdr:cNvSpPr>
      </xdr:nvSpPr>
      <xdr:spPr bwMode="auto">
        <a:xfrm>
          <a:off x="0" y="2209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</xdr:row>
      <xdr:rowOff>0</xdr:rowOff>
    </xdr:from>
    <xdr:to>
      <xdr:col>22</xdr:col>
      <xdr:colOff>304800</xdr:colOff>
      <xdr:row>11</xdr:row>
      <xdr:rowOff>129540</xdr:rowOff>
    </xdr:to>
    <xdr:sp macro="" textlink="">
      <xdr:nvSpPr>
        <xdr:cNvPr id="1044" name="AutoShape 20" descr="https://www.soccerstats.com/img/own/sshplogo.png">
          <a:hlinkClick xmlns:r="http://schemas.openxmlformats.org/officeDocument/2006/relationships" r:id="rId10"/>
        </xdr:cNvPr>
        <xdr:cNvSpPr>
          <a:spLocks noChangeAspect="1" noChangeArrowheads="1"/>
        </xdr:cNvSpPr>
      </xdr:nvSpPr>
      <xdr:spPr bwMode="auto">
        <a:xfrm>
          <a:off x="13411200" y="2209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152400</xdr:colOff>
      <xdr:row>11</xdr:row>
      <xdr:rowOff>106680</xdr:rowOff>
    </xdr:to>
    <xdr:sp macro="" textlink="">
      <xdr:nvSpPr>
        <xdr:cNvPr id="1045" name="AutoShape 21" descr="ENGLAND2"/>
        <xdr:cNvSpPr>
          <a:spLocks noChangeAspect="1" noChangeArrowheads="1"/>
        </xdr:cNvSpPr>
      </xdr:nvSpPr>
      <xdr:spPr bwMode="auto">
        <a:xfrm>
          <a:off x="0" y="2385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</xdr:row>
      <xdr:rowOff>0</xdr:rowOff>
    </xdr:from>
    <xdr:to>
      <xdr:col>22</xdr:col>
      <xdr:colOff>304800</xdr:colOff>
      <xdr:row>12</xdr:row>
      <xdr:rowOff>129540</xdr:rowOff>
    </xdr:to>
    <xdr:sp macro="" textlink="">
      <xdr:nvSpPr>
        <xdr:cNvPr id="1046" name="AutoShape 22" descr="https://www.soccerstats.com/img/own/sshplogo.png">
          <a:hlinkClick xmlns:r="http://schemas.openxmlformats.org/officeDocument/2006/relationships" r:id="rId11"/>
        </xdr:cNvPr>
        <xdr:cNvSpPr>
          <a:spLocks noChangeAspect="1" noChangeArrowheads="1"/>
        </xdr:cNvSpPr>
      </xdr:nvSpPr>
      <xdr:spPr bwMode="auto">
        <a:xfrm>
          <a:off x="13411200" y="2385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152400</xdr:colOff>
      <xdr:row>12</xdr:row>
      <xdr:rowOff>106680</xdr:rowOff>
    </xdr:to>
    <xdr:sp macro="" textlink="">
      <xdr:nvSpPr>
        <xdr:cNvPr id="1047" name="AutoShape 23" descr="ENGLAND2"/>
        <xdr:cNvSpPr>
          <a:spLocks noChangeAspect="1" noChangeArrowheads="1"/>
        </xdr:cNvSpPr>
      </xdr:nvSpPr>
      <xdr:spPr bwMode="auto">
        <a:xfrm>
          <a:off x="0" y="2560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</xdr:row>
      <xdr:rowOff>0</xdr:rowOff>
    </xdr:from>
    <xdr:to>
      <xdr:col>22</xdr:col>
      <xdr:colOff>304800</xdr:colOff>
      <xdr:row>13</xdr:row>
      <xdr:rowOff>53340</xdr:rowOff>
    </xdr:to>
    <xdr:sp macro="" textlink="">
      <xdr:nvSpPr>
        <xdr:cNvPr id="1048" name="AutoShape 24" descr="https://www.soccerstats.com/img/own/sshplogo.png">
          <a:hlinkClick xmlns:r="http://schemas.openxmlformats.org/officeDocument/2006/relationships" r:id="rId12"/>
        </xdr:cNvPr>
        <xdr:cNvSpPr>
          <a:spLocks noChangeAspect="1" noChangeArrowheads="1"/>
        </xdr:cNvSpPr>
      </xdr:nvSpPr>
      <xdr:spPr bwMode="auto">
        <a:xfrm>
          <a:off x="13411200" y="2560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152400</xdr:colOff>
      <xdr:row>13</xdr:row>
      <xdr:rowOff>106680</xdr:rowOff>
    </xdr:to>
    <xdr:sp macro="" textlink="">
      <xdr:nvSpPr>
        <xdr:cNvPr id="1049" name="AutoShape 25" descr="ENGLAND2"/>
        <xdr:cNvSpPr>
          <a:spLocks noChangeAspect="1" noChangeArrowheads="1"/>
        </xdr:cNvSpPr>
      </xdr:nvSpPr>
      <xdr:spPr bwMode="auto">
        <a:xfrm>
          <a:off x="0" y="2735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</xdr:row>
      <xdr:rowOff>0</xdr:rowOff>
    </xdr:from>
    <xdr:to>
      <xdr:col>22</xdr:col>
      <xdr:colOff>304800</xdr:colOff>
      <xdr:row>14</xdr:row>
      <xdr:rowOff>129540</xdr:rowOff>
    </xdr:to>
    <xdr:sp macro="" textlink="">
      <xdr:nvSpPr>
        <xdr:cNvPr id="1050" name="AutoShape 26" descr="https://www.soccerstats.com/img/own/sshplogo.png">
          <a:hlinkClick xmlns:r="http://schemas.openxmlformats.org/officeDocument/2006/relationships" r:id="rId13"/>
        </xdr:cNvPr>
        <xdr:cNvSpPr>
          <a:spLocks noChangeAspect="1" noChangeArrowheads="1"/>
        </xdr:cNvSpPr>
      </xdr:nvSpPr>
      <xdr:spPr bwMode="auto">
        <a:xfrm>
          <a:off x="13411200" y="2735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152400</xdr:colOff>
      <xdr:row>14</xdr:row>
      <xdr:rowOff>106680</xdr:rowOff>
    </xdr:to>
    <xdr:sp macro="" textlink="">
      <xdr:nvSpPr>
        <xdr:cNvPr id="1051" name="AutoShape 27" descr="ENGLAND2"/>
        <xdr:cNvSpPr>
          <a:spLocks noChangeAspect="1" noChangeArrowheads="1"/>
        </xdr:cNvSpPr>
      </xdr:nvSpPr>
      <xdr:spPr bwMode="auto">
        <a:xfrm>
          <a:off x="0" y="2987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</xdr:row>
      <xdr:rowOff>0</xdr:rowOff>
    </xdr:from>
    <xdr:to>
      <xdr:col>22</xdr:col>
      <xdr:colOff>304800</xdr:colOff>
      <xdr:row>15</xdr:row>
      <xdr:rowOff>53340</xdr:rowOff>
    </xdr:to>
    <xdr:sp macro="" textlink="">
      <xdr:nvSpPr>
        <xdr:cNvPr id="1052" name="AutoShape 28" descr="https://www.soccerstats.com/img/own/sshplogo.png">
          <a:hlinkClick xmlns:r="http://schemas.openxmlformats.org/officeDocument/2006/relationships" r:id="rId14"/>
        </xdr:cNvPr>
        <xdr:cNvSpPr>
          <a:spLocks noChangeAspect="1" noChangeArrowheads="1"/>
        </xdr:cNvSpPr>
      </xdr:nvSpPr>
      <xdr:spPr bwMode="auto">
        <a:xfrm>
          <a:off x="13411200" y="2987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152400</xdr:colOff>
      <xdr:row>15</xdr:row>
      <xdr:rowOff>106680</xdr:rowOff>
    </xdr:to>
    <xdr:sp macro="" textlink="">
      <xdr:nvSpPr>
        <xdr:cNvPr id="1053" name="AutoShape 29" descr="ENGLAND2"/>
        <xdr:cNvSpPr>
          <a:spLocks noChangeAspect="1" noChangeArrowheads="1"/>
        </xdr:cNvSpPr>
      </xdr:nvSpPr>
      <xdr:spPr bwMode="auto">
        <a:xfrm>
          <a:off x="0" y="3162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15</xdr:row>
      <xdr:rowOff>0</xdr:rowOff>
    </xdr:from>
    <xdr:to>
      <xdr:col>22</xdr:col>
      <xdr:colOff>304800</xdr:colOff>
      <xdr:row>16</xdr:row>
      <xdr:rowOff>129540</xdr:rowOff>
    </xdr:to>
    <xdr:sp macro="" textlink="">
      <xdr:nvSpPr>
        <xdr:cNvPr id="1054" name="AutoShape 30" descr="https://www.soccerstats.com/img/own/sshplogo.png">
          <a:hlinkClick xmlns:r="http://schemas.openxmlformats.org/officeDocument/2006/relationships" r:id="rId15"/>
        </xdr:cNvPr>
        <xdr:cNvSpPr>
          <a:spLocks noChangeAspect="1" noChangeArrowheads="1"/>
        </xdr:cNvSpPr>
      </xdr:nvSpPr>
      <xdr:spPr bwMode="auto">
        <a:xfrm>
          <a:off x="13411200" y="3162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152400</xdr:colOff>
      <xdr:row>16</xdr:row>
      <xdr:rowOff>106680</xdr:rowOff>
    </xdr:to>
    <xdr:sp macro="" textlink="">
      <xdr:nvSpPr>
        <xdr:cNvPr id="1055" name="AutoShape 31" descr="ENGLAND2"/>
        <xdr:cNvSpPr>
          <a:spLocks noChangeAspect="1" noChangeArrowheads="1"/>
        </xdr:cNvSpPr>
      </xdr:nvSpPr>
      <xdr:spPr bwMode="auto">
        <a:xfrm>
          <a:off x="0" y="3337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16</xdr:row>
      <xdr:rowOff>0</xdr:rowOff>
    </xdr:from>
    <xdr:to>
      <xdr:col>22</xdr:col>
      <xdr:colOff>304800</xdr:colOff>
      <xdr:row>17</xdr:row>
      <xdr:rowOff>129540</xdr:rowOff>
    </xdr:to>
    <xdr:sp macro="" textlink="">
      <xdr:nvSpPr>
        <xdr:cNvPr id="1056" name="AutoShape 32" descr="https://www.soccerstats.com/img/own/sshplogo.png">
          <a:hlinkClick xmlns:r="http://schemas.openxmlformats.org/officeDocument/2006/relationships" r:id="rId16"/>
        </xdr:cNvPr>
        <xdr:cNvSpPr>
          <a:spLocks noChangeAspect="1" noChangeArrowheads="1"/>
        </xdr:cNvSpPr>
      </xdr:nvSpPr>
      <xdr:spPr bwMode="auto">
        <a:xfrm>
          <a:off x="13411200" y="3337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152400</xdr:colOff>
      <xdr:row>17</xdr:row>
      <xdr:rowOff>106680</xdr:rowOff>
    </xdr:to>
    <xdr:sp macro="" textlink="">
      <xdr:nvSpPr>
        <xdr:cNvPr id="1057" name="AutoShape 33" descr="ENGLAND2"/>
        <xdr:cNvSpPr>
          <a:spLocks noChangeAspect="1" noChangeArrowheads="1"/>
        </xdr:cNvSpPr>
      </xdr:nvSpPr>
      <xdr:spPr bwMode="auto">
        <a:xfrm>
          <a:off x="0" y="3512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17</xdr:row>
      <xdr:rowOff>0</xdr:rowOff>
    </xdr:from>
    <xdr:to>
      <xdr:col>22</xdr:col>
      <xdr:colOff>304800</xdr:colOff>
      <xdr:row>18</xdr:row>
      <xdr:rowOff>53340</xdr:rowOff>
    </xdr:to>
    <xdr:sp macro="" textlink="">
      <xdr:nvSpPr>
        <xdr:cNvPr id="1058" name="AutoShape 34" descr="https://www.soccerstats.com/img/own/sshplogo.png">
          <a:hlinkClick xmlns:r="http://schemas.openxmlformats.org/officeDocument/2006/relationships" r:id="rId17"/>
        </xdr:cNvPr>
        <xdr:cNvSpPr>
          <a:spLocks noChangeAspect="1" noChangeArrowheads="1"/>
        </xdr:cNvSpPr>
      </xdr:nvSpPr>
      <xdr:spPr bwMode="auto">
        <a:xfrm>
          <a:off x="13411200" y="3512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152400</xdr:colOff>
      <xdr:row>18</xdr:row>
      <xdr:rowOff>106680</xdr:rowOff>
    </xdr:to>
    <xdr:sp macro="" textlink="">
      <xdr:nvSpPr>
        <xdr:cNvPr id="1059" name="AutoShape 35" descr="ENGLAND3"/>
        <xdr:cNvSpPr>
          <a:spLocks noChangeAspect="1" noChangeArrowheads="1"/>
        </xdr:cNvSpPr>
      </xdr:nvSpPr>
      <xdr:spPr bwMode="auto">
        <a:xfrm>
          <a:off x="0" y="3764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18</xdr:row>
      <xdr:rowOff>0</xdr:rowOff>
    </xdr:from>
    <xdr:to>
      <xdr:col>22</xdr:col>
      <xdr:colOff>304800</xdr:colOff>
      <xdr:row>19</xdr:row>
      <xdr:rowOff>53340</xdr:rowOff>
    </xdr:to>
    <xdr:sp macro="" textlink="">
      <xdr:nvSpPr>
        <xdr:cNvPr id="1060" name="AutoShape 36" descr="https://www.soccerstats.com/img/own/sshplogo.png">
          <a:hlinkClick xmlns:r="http://schemas.openxmlformats.org/officeDocument/2006/relationships" r:id="rId18"/>
        </xdr:cNvPr>
        <xdr:cNvSpPr>
          <a:spLocks noChangeAspect="1" noChangeArrowheads="1"/>
        </xdr:cNvSpPr>
      </xdr:nvSpPr>
      <xdr:spPr bwMode="auto">
        <a:xfrm>
          <a:off x="13411200" y="3764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152400</xdr:colOff>
      <xdr:row>19</xdr:row>
      <xdr:rowOff>106680</xdr:rowOff>
    </xdr:to>
    <xdr:sp macro="" textlink="">
      <xdr:nvSpPr>
        <xdr:cNvPr id="1061" name="AutoShape 37" descr="ENGLAND3"/>
        <xdr:cNvSpPr>
          <a:spLocks noChangeAspect="1" noChangeArrowheads="1"/>
        </xdr:cNvSpPr>
      </xdr:nvSpPr>
      <xdr:spPr bwMode="auto">
        <a:xfrm>
          <a:off x="0" y="3939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19</xdr:row>
      <xdr:rowOff>0</xdr:rowOff>
    </xdr:from>
    <xdr:to>
      <xdr:col>22</xdr:col>
      <xdr:colOff>304800</xdr:colOff>
      <xdr:row>20</xdr:row>
      <xdr:rowOff>129540</xdr:rowOff>
    </xdr:to>
    <xdr:sp macro="" textlink="">
      <xdr:nvSpPr>
        <xdr:cNvPr id="1062" name="AutoShape 38" descr="https://www.soccerstats.com/img/own/sshplogo.png">
          <a:hlinkClick xmlns:r="http://schemas.openxmlformats.org/officeDocument/2006/relationships" r:id="rId19"/>
        </xdr:cNvPr>
        <xdr:cNvSpPr>
          <a:spLocks noChangeAspect="1" noChangeArrowheads="1"/>
        </xdr:cNvSpPr>
      </xdr:nvSpPr>
      <xdr:spPr bwMode="auto">
        <a:xfrm>
          <a:off x="13411200" y="3939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152400</xdr:colOff>
      <xdr:row>20</xdr:row>
      <xdr:rowOff>106680</xdr:rowOff>
    </xdr:to>
    <xdr:sp macro="" textlink="">
      <xdr:nvSpPr>
        <xdr:cNvPr id="1063" name="AutoShape 39" descr="ENGLAND3"/>
        <xdr:cNvSpPr>
          <a:spLocks noChangeAspect="1" noChangeArrowheads="1"/>
        </xdr:cNvSpPr>
      </xdr:nvSpPr>
      <xdr:spPr bwMode="auto">
        <a:xfrm>
          <a:off x="0" y="4191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20</xdr:row>
      <xdr:rowOff>0</xdr:rowOff>
    </xdr:from>
    <xdr:to>
      <xdr:col>22</xdr:col>
      <xdr:colOff>304800</xdr:colOff>
      <xdr:row>21</xdr:row>
      <xdr:rowOff>129540</xdr:rowOff>
    </xdr:to>
    <xdr:sp macro="" textlink="">
      <xdr:nvSpPr>
        <xdr:cNvPr id="1064" name="AutoShape 40" descr="https://www.soccerstats.com/img/own/sshplogo.png">
          <a:hlinkClick xmlns:r="http://schemas.openxmlformats.org/officeDocument/2006/relationships" r:id="rId20"/>
        </xdr:cNvPr>
        <xdr:cNvSpPr>
          <a:spLocks noChangeAspect="1" noChangeArrowheads="1"/>
        </xdr:cNvSpPr>
      </xdr:nvSpPr>
      <xdr:spPr bwMode="auto">
        <a:xfrm>
          <a:off x="13411200" y="419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152400</xdr:colOff>
      <xdr:row>21</xdr:row>
      <xdr:rowOff>106680</xdr:rowOff>
    </xdr:to>
    <xdr:sp macro="" textlink="">
      <xdr:nvSpPr>
        <xdr:cNvPr id="1065" name="AutoShape 41" descr="ENGLAND3"/>
        <xdr:cNvSpPr>
          <a:spLocks noChangeAspect="1" noChangeArrowheads="1"/>
        </xdr:cNvSpPr>
      </xdr:nvSpPr>
      <xdr:spPr bwMode="auto">
        <a:xfrm>
          <a:off x="0" y="4366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21</xdr:row>
      <xdr:rowOff>0</xdr:rowOff>
    </xdr:from>
    <xdr:to>
      <xdr:col>22</xdr:col>
      <xdr:colOff>304800</xdr:colOff>
      <xdr:row>22</xdr:row>
      <xdr:rowOff>53340</xdr:rowOff>
    </xdr:to>
    <xdr:sp macro="" textlink="">
      <xdr:nvSpPr>
        <xdr:cNvPr id="1066" name="AutoShape 42" descr="https://www.soccerstats.com/img/own/sshplogo.png">
          <a:hlinkClick xmlns:r="http://schemas.openxmlformats.org/officeDocument/2006/relationships" r:id="rId21"/>
        </xdr:cNvPr>
        <xdr:cNvSpPr>
          <a:spLocks noChangeAspect="1" noChangeArrowheads="1"/>
        </xdr:cNvSpPr>
      </xdr:nvSpPr>
      <xdr:spPr bwMode="auto">
        <a:xfrm>
          <a:off x="13411200" y="4366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152400</xdr:colOff>
      <xdr:row>22</xdr:row>
      <xdr:rowOff>106680</xdr:rowOff>
    </xdr:to>
    <xdr:sp macro="" textlink="">
      <xdr:nvSpPr>
        <xdr:cNvPr id="1067" name="AutoShape 43" descr="ENGLAND3"/>
        <xdr:cNvSpPr>
          <a:spLocks noChangeAspect="1" noChangeArrowheads="1"/>
        </xdr:cNvSpPr>
      </xdr:nvSpPr>
      <xdr:spPr bwMode="auto">
        <a:xfrm>
          <a:off x="0" y="4541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22</xdr:row>
      <xdr:rowOff>0</xdr:rowOff>
    </xdr:from>
    <xdr:to>
      <xdr:col>22</xdr:col>
      <xdr:colOff>304800</xdr:colOff>
      <xdr:row>23</xdr:row>
      <xdr:rowOff>129540</xdr:rowOff>
    </xdr:to>
    <xdr:sp macro="" textlink="">
      <xdr:nvSpPr>
        <xdr:cNvPr id="1068" name="AutoShape 44" descr="https://www.soccerstats.com/img/own/sshplogo.png">
          <a:hlinkClick xmlns:r="http://schemas.openxmlformats.org/officeDocument/2006/relationships" r:id="rId22"/>
        </xdr:cNvPr>
        <xdr:cNvSpPr>
          <a:spLocks noChangeAspect="1" noChangeArrowheads="1"/>
        </xdr:cNvSpPr>
      </xdr:nvSpPr>
      <xdr:spPr bwMode="auto">
        <a:xfrm>
          <a:off x="13411200" y="4541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152400</xdr:colOff>
      <xdr:row>23</xdr:row>
      <xdr:rowOff>106680</xdr:rowOff>
    </xdr:to>
    <xdr:sp macro="" textlink="">
      <xdr:nvSpPr>
        <xdr:cNvPr id="1069" name="AutoShape 45" descr="ENGLAND3"/>
        <xdr:cNvSpPr>
          <a:spLocks noChangeAspect="1" noChangeArrowheads="1"/>
        </xdr:cNvSpPr>
      </xdr:nvSpPr>
      <xdr:spPr bwMode="auto">
        <a:xfrm>
          <a:off x="0" y="4716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23</xdr:row>
      <xdr:rowOff>0</xdr:rowOff>
    </xdr:from>
    <xdr:to>
      <xdr:col>22</xdr:col>
      <xdr:colOff>304800</xdr:colOff>
      <xdr:row>24</xdr:row>
      <xdr:rowOff>129540</xdr:rowOff>
    </xdr:to>
    <xdr:sp macro="" textlink="">
      <xdr:nvSpPr>
        <xdr:cNvPr id="1070" name="AutoShape 46" descr="https://www.soccerstats.com/img/own/sshplogo.png">
          <a:hlinkClick xmlns:r="http://schemas.openxmlformats.org/officeDocument/2006/relationships" r:id="rId23"/>
        </xdr:cNvPr>
        <xdr:cNvSpPr>
          <a:spLocks noChangeAspect="1" noChangeArrowheads="1"/>
        </xdr:cNvSpPr>
      </xdr:nvSpPr>
      <xdr:spPr bwMode="auto">
        <a:xfrm>
          <a:off x="13411200" y="4716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071" name="AutoShape 47" descr="ENGLAND3"/>
        <xdr:cNvSpPr>
          <a:spLocks noChangeAspect="1" noChangeArrowheads="1"/>
        </xdr:cNvSpPr>
      </xdr:nvSpPr>
      <xdr:spPr bwMode="auto">
        <a:xfrm>
          <a:off x="0" y="4892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072" name="AutoShape 48" descr="https://www.soccerstats.com/img/own/sshplogo.png">
          <a:hlinkClick xmlns:r="http://schemas.openxmlformats.org/officeDocument/2006/relationships" r:id="rId24"/>
        </xdr:cNvPr>
        <xdr:cNvSpPr>
          <a:spLocks noChangeAspect="1" noChangeArrowheads="1"/>
        </xdr:cNvSpPr>
      </xdr:nvSpPr>
      <xdr:spPr bwMode="auto">
        <a:xfrm>
          <a:off x="13411200" y="4892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073" name="AutoShape 49" descr="ENGLAND3"/>
        <xdr:cNvSpPr>
          <a:spLocks noChangeAspect="1" noChangeArrowheads="1"/>
        </xdr:cNvSpPr>
      </xdr:nvSpPr>
      <xdr:spPr bwMode="auto">
        <a:xfrm>
          <a:off x="0" y="5143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074" name="AutoShape 50" descr="https://www.soccerstats.com/img/own/sshplogo.png">
          <a:hlinkClick xmlns:r="http://schemas.openxmlformats.org/officeDocument/2006/relationships" r:id="rId25"/>
        </xdr:cNvPr>
        <xdr:cNvSpPr>
          <a:spLocks noChangeAspect="1" noChangeArrowheads="1"/>
        </xdr:cNvSpPr>
      </xdr:nvSpPr>
      <xdr:spPr bwMode="auto">
        <a:xfrm>
          <a:off x="13411200" y="514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075" name="AutoShape 51" descr="ENGLAND3"/>
        <xdr:cNvSpPr>
          <a:spLocks noChangeAspect="1" noChangeArrowheads="1"/>
        </xdr:cNvSpPr>
      </xdr:nvSpPr>
      <xdr:spPr bwMode="auto">
        <a:xfrm>
          <a:off x="0" y="5394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076" name="AutoShape 52" descr="https://www.soccerstats.com/img/own/sshplogo.png">
          <a:hlinkClick xmlns:r="http://schemas.openxmlformats.org/officeDocument/2006/relationships" r:id="rId26"/>
        </xdr:cNvPr>
        <xdr:cNvSpPr>
          <a:spLocks noChangeAspect="1" noChangeArrowheads="1"/>
        </xdr:cNvSpPr>
      </xdr:nvSpPr>
      <xdr:spPr bwMode="auto">
        <a:xfrm>
          <a:off x="13411200" y="5394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077" name="AutoShape 53" descr="ENGLAND3"/>
        <xdr:cNvSpPr>
          <a:spLocks noChangeAspect="1" noChangeArrowheads="1"/>
        </xdr:cNvSpPr>
      </xdr:nvSpPr>
      <xdr:spPr bwMode="auto">
        <a:xfrm>
          <a:off x="0" y="5646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078" name="AutoShape 54" descr="https://www.soccerstats.com/img/own/sshplogo.png">
          <a:hlinkClick xmlns:r="http://schemas.openxmlformats.org/officeDocument/2006/relationships" r:id="rId27"/>
        </xdr:cNvPr>
        <xdr:cNvSpPr>
          <a:spLocks noChangeAspect="1" noChangeArrowheads="1"/>
        </xdr:cNvSpPr>
      </xdr:nvSpPr>
      <xdr:spPr bwMode="auto">
        <a:xfrm>
          <a:off x="13411200" y="5646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079" name="AutoShape 55" descr="ENGLAND3"/>
        <xdr:cNvSpPr>
          <a:spLocks noChangeAspect="1" noChangeArrowheads="1"/>
        </xdr:cNvSpPr>
      </xdr:nvSpPr>
      <xdr:spPr bwMode="auto">
        <a:xfrm>
          <a:off x="0" y="5821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080" name="AutoShape 56" descr="https://www.soccerstats.com/img/own/sshplogo.png">
          <a:hlinkClick xmlns:r="http://schemas.openxmlformats.org/officeDocument/2006/relationships" r:id="rId28"/>
        </xdr:cNvPr>
        <xdr:cNvSpPr>
          <a:spLocks noChangeAspect="1" noChangeArrowheads="1"/>
        </xdr:cNvSpPr>
      </xdr:nvSpPr>
      <xdr:spPr bwMode="auto">
        <a:xfrm>
          <a:off x="13411200" y="5821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081" name="AutoShape 57" descr="ENGLAND3"/>
        <xdr:cNvSpPr>
          <a:spLocks noChangeAspect="1" noChangeArrowheads="1"/>
        </xdr:cNvSpPr>
      </xdr:nvSpPr>
      <xdr:spPr bwMode="auto">
        <a:xfrm>
          <a:off x="0" y="5996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082" name="AutoShape 58" descr="https://www.soccerstats.com/img/own/sshplogo.png">
          <a:hlinkClick xmlns:r="http://schemas.openxmlformats.org/officeDocument/2006/relationships" r:id="rId29"/>
        </xdr:cNvPr>
        <xdr:cNvSpPr>
          <a:spLocks noChangeAspect="1" noChangeArrowheads="1"/>
        </xdr:cNvSpPr>
      </xdr:nvSpPr>
      <xdr:spPr bwMode="auto">
        <a:xfrm>
          <a:off x="13411200" y="5996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083" name="AutoShape 59" descr="ENGLAND4"/>
        <xdr:cNvSpPr>
          <a:spLocks noChangeAspect="1" noChangeArrowheads="1"/>
        </xdr:cNvSpPr>
      </xdr:nvSpPr>
      <xdr:spPr bwMode="auto">
        <a:xfrm>
          <a:off x="0" y="6172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084" name="AutoShape 60" descr="https://www.soccerstats.com/img/own/sshplogo.png">
          <a:hlinkClick xmlns:r="http://schemas.openxmlformats.org/officeDocument/2006/relationships" r:id="rId30"/>
        </xdr:cNvPr>
        <xdr:cNvSpPr>
          <a:spLocks noChangeAspect="1" noChangeArrowheads="1"/>
        </xdr:cNvSpPr>
      </xdr:nvSpPr>
      <xdr:spPr bwMode="auto">
        <a:xfrm>
          <a:off x="134112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085" name="AutoShape 61" descr="ENGLAND4"/>
        <xdr:cNvSpPr>
          <a:spLocks noChangeAspect="1" noChangeArrowheads="1"/>
        </xdr:cNvSpPr>
      </xdr:nvSpPr>
      <xdr:spPr bwMode="auto">
        <a:xfrm>
          <a:off x="0" y="6347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086" name="AutoShape 62" descr="https://www.soccerstats.com/img/own/sshplogo.png">
          <a:hlinkClick xmlns:r="http://schemas.openxmlformats.org/officeDocument/2006/relationships" r:id="rId31"/>
        </xdr:cNvPr>
        <xdr:cNvSpPr>
          <a:spLocks noChangeAspect="1" noChangeArrowheads="1"/>
        </xdr:cNvSpPr>
      </xdr:nvSpPr>
      <xdr:spPr bwMode="auto">
        <a:xfrm>
          <a:off x="13411200" y="6347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087" name="AutoShape 63" descr="ENGLAND4"/>
        <xdr:cNvSpPr>
          <a:spLocks noChangeAspect="1" noChangeArrowheads="1"/>
        </xdr:cNvSpPr>
      </xdr:nvSpPr>
      <xdr:spPr bwMode="auto">
        <a:xfrm>
          <a:off x="0" y="6522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088" name="AutoShape 64" descr="https://www.soccerstats.com/img/own/sshplogo.png">
          <a:hlinkClick xmlns:r="http://schemas.openxmlformats.org/officeDocument/2006/relationships" r:id="rId32"/>
        </xdr:cNvPr>
        <xdr:cNvSpPr>
          <a:spLocks noChangeAspect="1" noChangeArrowheads="1"/>
        </xdr:cNvSpPr>
      </xdr:nvSpPr>
      <xdr:spPr bwMode="auto">
        <a:xfrm>
          <a:off x="13411200" y="6522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089" name="AutoShape 65" descr="ENGLAND4"/>
        <xdr:cNvSpPr>
          <a:spLocks noChangeAspect="1" noChangeArrowheads="1"/>
        </xdr:cNvSpPr>
      </xdr:nvSpPr>
      <xdr:spPr bwMode="auto">
        <a:xfrm>
          <a:off x="0" y="6774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090" name="AutoShape 66" descr="https://www.soccerstats.com/img/own/sshplogo.png">
          <a:hlinkClick xmlns:r="http://schemas.openxmlformats.org/officeDocument/2006/relationships" r:id="rId33"/>
        </xdr:cNvPr>
        <xdr:cNvSpPr>
          <a:spLocks noChangeAspect="1" noChangeArrowheads="1"/>
        </xdr:cNvSpPr>
      </xdr:nvSpPr>
      <xdr:spPr bwMode="auto">
        <a:xfrm>
          <a:off x="13411200" y="6774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091" name="AutoShape 67" descr="ENGLAND4"/>
        <xdr:cNvSpPr>
          <a:spLocks noChangeAspect="1" noChangeArrowheads="1"/>
        </xdr:cNvSpPr>
      </xdr:nvSpPr>
      <xdr:spPr bwMode="auto">
        <a:xfrm>
          <a:off x="0" y="6949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092" name="AutoShape 68" descr="https://www.soccerstats.com/img/own/sshplogo.png">
          <a:hlinkClick xmlns:r="http://schemas.openxmlformats.org/officeDocument/2006/relationships" r:id="rId34"/>
        </xdr:cNvPr>
        <xdr:cNvSpPr>
          <a:spLocks noChangeAspect="1" noChangeArrowheads="1"/>
        </xdr:cNvSpPr>
      </xdr:nvSpPr>
      <xdr:spPr bwMode="auto">
        <a:xfrm>
          <a:off x="13411200" y="6949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093" name="AutoShape 69" descr="ENGLAND4"/>
        <xdr:cNvSpPr>
          <a:spLocks noChangeAspect="1" noChangeArrowheads="1"/>
        </xdr:cNvSpPr>
      </xdr:nvSpPr>
      <xdr:spPr bwMode="auto">
        <a:xfrm>
          <a:off x="0" y="7124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094" name="AutoShape 70" descr="https://www.soccerstats.com/img/own/sshplogo.png">
          <a:hlinkClick xmlns:r="http://schemas.openxmlformats.org/officeDocument/2006/relationships" r:id="rId35"/>
        </xdr:cNvPr>
        <xdr:cNvSpPr>
          <a:spLocks noChangeAspect="1" noChangeArrowheads="1"/>
        </xdr:cNvSpPr>
      </xdr:nvSpPr>
      <xdr:spPr bwMode="auto">
        <a:xfrm>
          <a:off x="13411200" y="712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095" name="AutoShape 71" descr="ENGLAND4"/>
        <xdr:cNvSpPr>
          <a:spLocks noChangeAspect="1" noChangeArrowheads="1"/>
        </xdr:cNvSpPr>
      </xdr:nvSpPr>
      <xdr:spPr bwMode="auto">
        <a:xfrm>
          <a:off x="0" y="7299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096" name="AutoShape 72" descr="https://www.soccerstats.com/img/own/sshplogo.png">
          <a:hlinkClick xmlns:r="http://schemas.openxmlformats.org/officeDocument/2006/relationships" r:id="rId36"/>
        </xdr:cNvPr>
        <xdr:cNvSpPr>
          <a:spLocks noChangeAspect="1" noChangeArrowheads="1"/>
        </xdr:cNvSpPr>
      </xdr:nvSpPr>
      <xdr:spPr bwMode="auto">
        <a:xfrm>
          <a:off x="13411200" y="7299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097" name="AutoShape 73" descr="ENGLAND4"/>
        <xdr:cNvSpPr>
          <a:spLocks noChangeAspect="1" noChangeArrowheads="1"/>
        </xdr:cNvSpPr>
      </xdr:nvSpPr>
      <xdr:spPr bwMode="auto">
        <a:xfrm>
          <a:off x="0" y="7551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098" name="AutoShape 74" descr="https://www.soccerstats.com/img/own/sshplogo.png">
          <a:hlinkClick xmlns:r="http://schemas.openxmlformats.org/officeDocument/2006/relationships" r:id="rId37"/>
        </xdr:cNvPr>
        <xdr:cNvSpPr>
          <a:spLocks noChangeAspect="1" noChangeArrowheads="1"/>
        </xdr:cNvSpPr>
      </xdr:nvSpPr>
      <xdr:spPr bwMode="auto">
        <a:xfrm>
          <a:off x="13411200" y="7551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099" name="AutoShape 75" descr="ENGLAND4"/>
        <xdr:cNvSpPr>
          <a:spLocks noChangeAspect="1" noChangeArrowheads="1"/>
        </xdr:cNvSpPr>
      </xdr:nvSpPr>
      <xdr:spPr bwMode="auto">
        <a:xfrm>
          <a:off x="0" y="7726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00" name="AutoShape 76" descr="https://www.soccerstats.com/img/own/sshplogo.png">
          <a:hlinkClick xmlns:r="http://schemas.openxmlformats.org/officeDocument/2006/relationships" r:id="rId38"/>
        </xdr:cNvPr>
        <xdr:cNvSpPr>
          <a:spLocks noChangeAspect="1" noChangeArrowheads="1"/>
        </xdr:cNvSpPr>
      </xdr:nvSpPr>
      <xdr:spPr bwMode="auto">
        <a:xfrm>
          <a:off x="13411200" y="7726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01" name="AutoShape 77" descr="ENGLAND4"/>
        <xdr:cNvSpPr>
          <a:spLocks noChangeAspect="1" noChangeArrowheads="1"/>
        </xdr:cNvSpPr>
      </xdr:nvSpPr>
      <xdr:spPr bwMode="auto">
        <a:xfrm>
          <a:off x="0" y="7901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02" name="AutoShape 78" descr="https://www.soccerstats.com/img/own/sshplogo.png">
          <a:hlinkClick xmlns:r="http://schemas.openxmlformats.org/officeDocument/2006/relationships" r:id="rId39"/>
        </xdr:cNvPr>
        <xdr:cNvSpPr>
          <a:spLocks noChangeAspect="1" noChangeArrowheads="1"/>
        </xdr:cNvSpPr>
      </xdr:nvSpPr>
      <xdr:spPr bwMode="auto">
        <a:xfrm>
          <a:off x="13411200" y="7901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03" name="AutoShape 79" descr="ENGLAND4"/>
        <xdr:cNvSpPr>
          <a:spLocks noChangeAspect="1" noChangeArrowheads="1"/>
        </xdr:cNvSpPr>
      </xdr:nvSpPr>
      <xdr:spPr bwMode="auto">
        <a:xfrm>
          <a:off x="0" y="8153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04" name="AutoShape 80" descr="https://www.soccerstats.com/img/own/sshplogo.png">
          <a:hlinkClick xmlns:r="http://schemas.openxmlformats.org/officeDocument/2006/relationships" r:id="rId40"/>
        </xdr:cNvPr>
        <xdr:cNvSpPr>
          <a:spLocks noChangeAspect="1" noChangeArrowheads="1"/>
        </xdr:cNvSpPr>
      </xdr:nvSpPr>
      <xdr:spPr bwMode="auto">
        <a:xfrm>
          <a:off x="13411200" y="8153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05" name="AutoShape 81" descr="ENGLAND4"/>
        <xdr:cNvSpPr>
          <a:spLocks noChangeAspect="1" noChangeArrowheads="1"/>
        </xdr:cNvSpPr>
      </xdr:nvSpPr>
      <xdr:spPr bwMode="auto">
        <a:xfrm>
          <a:off x="0" y="8328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06" name="AutoShape 82" descr="https://www.soccerstats.com/img/own/sshplogo.png">
          <a:hlinkClick xmlns:r="http://schemas.openxmlformats.org/officeDocument/2006/relationships" r:id="rId41"/>
        </xdr:cNvPr>
        <xdr:cNvSpPr>
          <a:spLocks noChangeAspect="1" noChangeArrowheads="1"/>
        </xdr:cNvSpPr>
      </xdr:nvSpPr>
      <xdr:spPr bwMode="auto">
        <a:xfrm>
          <a:off x="13411200" y="8328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07" name="AutoShape 83" descr="ENGLAND5"/>
        <xdr:cNvSpPr>
          <a:spLocks noChangeAspect="1" noChangeArrowheads="1"/>
        </xdr:cNvSpPr>
      </xdr:nvSpPr>
      <xdr:spPr bwMode="auto">
        <a:xfrm>
          <a:off x="0" y="8503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08" name="AutoShape 84" descr="https://www.soccerstats.com/img/own/sshplogo.png">
          <a:hlinkClick xmlns:r="http://schemas.openxmlformats.org/officeDocument/2006/relationships" r:id="rId42"/>
        </xdr:cNvPr>
        <xdr:cNvSpPr>
          <a:spLocks noChangeAspect="1" noChangeArrowheads="1"/>
        </xdr:cNvSpPr>
      </xdr:nvSpPr>
      <xdr:spPr bwMode="auto">
        <a:xfrm>
          <a:off x="13411200" y="8503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09" name="AutoShape 85" descr="ENGLAND5"/>
        <xdr:cNvSpPr>
          <a:spLocks noChangeAspect="1" noChangeArrowheads="1"/>
        </xdr:cNvSpPr>
      </xdr:nvSpPr>
      <xdr:spPr bwMode="auto">
        <a:xfrm>
          <a:off x="0" y="8755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10" name="AutoShape 86" descr="https://www.soccerstats.com/img/own/sshplogo.png">
          <a:hlinkClick xmlns:r="http://schemas.openxmlformats.org/officeDocument/2006/relationships" r:id="rId43"/>
        </xdr:cNvPr>
        <xdr:cNvSpPr>
          <a:spLocks noChangeAspect="1" noChangeArrowheads="1"/>
        </xdr:cNvSpPr>
      </xdr:nvSpPr>
      <xdr:spPr bwMode="auto">
        <a:xfrm>
          <a:off x="13411200" y="8755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11" name="AutoShape 87" descr="ENGLAND5"/>
        <xdr:cNvSpPr>
          <a:spLocks noChangeAspect="1" noChangeArrowheads="1"/>
        </xdr:cNvSpPr>
      </xdr:nvSpPr>
      <xdr:spPr bwMode="auto">
        <a:xfrm>
          <a:off x="0" y="8930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12" name="AutoShape 88" descr="https://www.soccerstats.com/img/own/sshplogo.png">
          <a:hlinkClick xmlns:r="http://schemas.openxmlformats.org/officeDocument/2006/relationships" r:id="rId44"/>
        </xdr:cNvPr>
        <xdr:cNvSpPr>
          <a:spLocks noChangeAspect="1" noChangeArrowheads="1"/>
        </xdr:cNvSpPr>
      </xdr:nvSpPr>
      <xdr:spPr bwMode="auto">
        <a:xfrm>
          <a:off x="13411200" y="8930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13" name="AutoShape 89" descr="ENGLAND5"/>
        <xdr:cNvSpPr>
          <a:spLocks noChangeAspect="1" noChangeArrowheads="1"/>
        </xdr:cNvSpPr>
      </xdr:nvSpPr>
      <xdr:spPr bwMode="auto">
        <a:xfrm>
          <a:off x="0" y="9105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14" name="AutoShape 90" descr="https://www.soccerstats.com/img/own/sshplogo.png">
          <a:hlinkClick xmlns:r="http://schemas.openxmlformats.org/officeDocument/2006/relationships" r:id="rId45"/>
        </xdr:cNvPr>
        <xdr:cNvSpPr>
          <a:spLocks noChangeAspect="1" noChangeArrowheads="1"/>
        </xdr:cNvSpPr>
      </xdr:nvSpPr>
      <xdr:spPr bwMode="auto">
        <a:xfrm>
          <a:off x="13411200" y="9105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15" name="AutoShape 91" descr="ENGLAND5"/>
        <xdr:cNvSpPr>
          <a:spLocks noChangeAspect="1" noChangeArrowheads="1"/>
        </xdr:cNvSpPr>
      </xdr:nvSpPr>
      <xdr:spPr bwMode="auto">
        <a:xfrm>
          <a:off x="0" y="9357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16" name="AutoShape 92" descr="https://www.soccerstats.com/img/own/sshplogo.png">
          <a:hlinkClick xmlns:r="http://schemas.openxmlformats.org/officeDocument/2006/relationships" r:id="rId46"/>
        </xdr:cNvPr>
        <xdr:cNvSpPr>
          <a:spLocks noChangeAspect="1" noChangeArrowheads="1"/>
        </xdr:cNvSpPr>
      </xdr:nvSpPr>
      <xdr:spPr bwMode="auto">
        <a:xfrm>
          <a:off x="13411200" y="9357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17" name="AutoShape 93" descr="ENGLAND5"/>
        <xdr:cNvSpPr>
          <a:spLocks noChangeAspect="1" noChangeArrowheads="1"/>
        </xdr:cNvSpPr>
      </xdr:nvSpPr>
      <xdr:spPr bwMode="auto">
        <a:xfrm>
          <a:off x="0" y="9608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18" name="AutoShape 94" descr="https://www.soccerstats.com/img/own/sshplogo.png">
          <a:hlinkClick xmlns:r="http://schemas.openxmlformats.org/officeDocument/2006/relationships" r:id="rId47"/>
        </xdr:cNvPr>
        <xdr:cNvSpPr>
          <a:spLocks noChangeAspect="1" noChangeArrowheads="1"/>
        </xdr:cNvSpPr>
      </xdr:nvSpPr>
      <xdr:spPr bwMode="auto">
        <a:xfrm>
          <a:off x="13411200" y="9608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19" name="AutoShape 95" descr="ENGLAND5"/>
        <xdr:cNvSpPr>
          <a:spLocks noChangeAspect="1" noChangeArrowheads="1"/>
        </xdr:cNvSpPr>
      </xdr:nvSpPr>
      <xdr:spPr bwMode="auto">
        <a:xfrm>
          <a:off x="0" y="9860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20" name="AutoShape 96" descr="https://www.soccerstats.com/img/own/sshplogo.png">
          <a:hlinkClick xmlns:r="http://schemas.openxmlformats.org/officeDocument/2006/relationships" r:id="rId48"/>
        </xdr:cNvPr>
        <xdr:cNvSpPr>
          <a:spLocks noChangeAspect="1" noChangeArrowheads="1"/>
        </xdr:cNvSpPr>
      </xdr:nvSpPr>
      <xdr:spPr bwMode="auto">
        <a:xfrm>
          <a:off x="13411200" y="9860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21" name="AutoShape 97" descr="ENGLAND5"/>
        <xdr:cNvSpPr>
          <a:spLocks noChangeAspect="1" noChangeArrowheads="1"/>
        </xdr:cNvSpPr>
      </xdr:nvSpPr>
      <xdr:spPr bwMode="auto">
        <a:xfrm>
          <a:off x="0" y="10035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22" name="AutoShape 98" descr="https://www.soccerstats.com/img/own/sshplogo.png">
          <a:hlinkClick xmlns:r="http://schemas.openxmlformats.org/officeDocument/2006/relationships" r:id="rId49"/>
        </xdr:cNvPr>
        <xdr:cNvSpPr>
          <a:spLocks noChangeAspect="1" noChangeArrowheads="1"/>
        </xdr:cNvSpPr>
      </xdr:nvSpPr>
      <xdr:spPr bwMode="auto">
        <a:xfrm>
          <a:off x="13411200" y="10035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23" name="AutoShape 99" descr="ENGLAND5"/>
        <xdr:cNvSpPr>
          <a:spLocks noChangeAspect="1" noChangeArrowheads="1"/>
        </xdr:cNvSpPr>
      </xdr:nvSpPr>
      <xdr:spPr bwMode="auto">
        <a:xfrm>
          <a:off x="0" y="10210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24" name="AutoShape 100" descr="https://www.soccerstats.com/img/own/sshplogo.png">
          <a:hlinkClick xmlns:r="http://schemas.openxmlformats.org/officeDocument/2006/relationships" r:id="rId50"/>
        </xdr:cNvPr>
        <xdr:cNvSpPr>
          <a:spLocks noChangeAspect="1" noChangeArrowheads="1"/>
        </xdr:cNvSpPr>
      </xdr:nvSpPr>
      <xdr:spPr bwMode="auto">
        <a:xfrm>
          <a:off x="13411200" y="1021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25" name="AutoShape 101" descr="ENGLAND5"/>
        <xdr:cNvSpPr>
          <a:spLocks noChangeAspect="1" noChangeArrowheads="1"/>
        </xdr:cNvSpPr>
      </xdr:nvSpPr>
      <xdr:spPr bwMode="auto">
        <a:xfrm>
          <a:off x="0" y="10386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26" name="AutoShape 102" descr="https://www.soccerstats.com/img/own/sshplogo.png">
          <a:hlinkClick xmlns:r="http://schemas.openxmlformats.org/officeDocument/2006/relationships" r:id="rId51"/>
        </xdr:cNvPr>
        <xdr:cNvSpPr>
          <a:spLocks noChangeAspect="1" noChangeArrowheads="1"/>
        </xdr:cNvSpPr>
      </xdr:nvSpPr>
      <xdr:spPr bwMode="auto">
        <a:xfrm>
          <a:off x="13411200" y="10386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27" name="AutoShape 103" descr="ENGLAND5"/>
        <xdr:cNvSpPr>
          <a:spLocks noChangeAspect="1" noChangeArrowheads="1"/>
        </xdr:cNvSpPr>
      </xdr:nvSpPr>
      <xdr:spPr bwMode="auto">
        <a:xfrm>
          <a:off x="0" y="10561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28" name="AutoShape 104" descr="https://www.soccerstats.com/img/own/sshplogo.png">
          <a:hlinkClick xmlns:r="http://schemas.openxmlformats.org/officeDocument/2006/relationships" r:id="rId52"/>
        </xdr:cNvPr>
        <xdr:cNvSpPr>
          <a:spLocks noChangeAspect="1" noChangeArrowheads="1"/>
        </xdr:cNvSpPr>
      </xdr:nvSpPr>
      <xdr:spPr bwMode="auto">
        <a:xfrm>
          <a:off x="13411200" y="10561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29" name="AutoShape 105" descr="ENGLAND5"/>
        <xdr:cNvSpPr>
          <a:spLocks noChangeAspect="1" noChangeArrowheads="1"/>
        </xdr:cNvSpPr>
      </xdr:nvSpPr>
      <xdr:spPr bwMode="auto">
        <a:xfrm>
          <a:off x="0" y="10736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30" name="AutoShape 106" descr="https://www.soccerstats.com/img/own/sshplogo.png">
          <a:hlinkClick xmlns:r="http://schemas.openxmlformats.org/officeDocument/2006/relationships" r:id="rId53"/>
        </xdr:cNvPr>
        <xdr:cNvSpPr>
          <a:spLocks noChangeAspect="1" noChangeArrowheads="1"/>
        </xdr:cNvSpPr>
      </xdr:nvSpPr>
      <xdr:spPr bwMode="auto">
        <a:xfrm>
          <a:off x="13411200" y="10736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31" name="AutoShape 107" descr="SPAIN2"/>
        <xdr:cNvSpPr>
          <a:spLocks noChangeAspect="1" noChangeArrowheads="1"/>
        </xdr:cNvSpPr>
      </xdr:nvSpPr>
      <xdr:spPr bwMode="auto">
        <a:xfrm>
          <a:off x="0" y="10911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32" name="AutoShape 108" descr="https://www.soccerstats.com/img/own/sshplogo.png">
          <a:hlinkClick xmlns:r="http://schemas.openxmlformats.org/officeDocument/2006/relationships" r:id="rId54"/>
        </xdr:cNvPr>
        <xdr:cNvSpPr>
          <a:spLocks noChangeAspect="1" noChangeArrowheads="1"/>
        </xdr:cNvSpPr>
      </xdr:nvSpPr>
      <xdr:spPr bwMode="auto">
        <a:xfrm>
          <a:off x="13411200" y="10911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33" name="AutoShape 109" descr="SPAIN2"/>
        <xdr:cNvSpPr>
          <a:spLocks noChangeAspect="1" noChangeArrowheads="1"/>
        </xdr:cNvSpPr>
      </xdr:nvSpPr>
      <xdr:spPr bwMode="auto">
        <a:xfrm>
          <a:off x="0" y="11087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34" name="AutoShape 110" descr="https://www.soccerstats.com/img/own/sshplogo.png">
          <a:hlinkClick xmlns:r="http://schemas.openxmlformats.org/officeDocument/2006/relationships" r:id="rId55"/>
        </xdr:cNvPr>
        <xdr:cNvSpPr>
          <a:spLocks noChangeAspect="1" noChangeArrowheads="1"/>
        </xdr:cNvSpPr>
      </xdr:nvSpPr>
      <xdr:spPr bwMode="auto">
        <a:xfrm>
          <a:off x="13411200" y="11087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35" name="AutoShape 111" descr="SPAIN2"/>
        <xdr:cNvSpPr>
          <a:spLocks noChangeAspect="1" noChangeArrowheads="1"/>
        </xdr:cNvSpPr>
      </xdr:nvSpPr>
      <xdr:spPr bwMode="auto">
        <a:xfrm>
          <a:off x="0" y="11262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36" name="AutoShape 112" descr="https://www.soccerstats.com/img/own/sshplogo.png">
          <a:hlinkClick xmlns:r="http://schemas.openxmlformats.org/officeDocument/2006/relationships" r:id="rId56"/>
        </xdr:cNvPr>
        <xdr:cNvSpPr>
          <a:spLocks noChangeAspect="1" noChangeArrowheads="1"/>
        </xdr:cNvSpPr>
      </xdr:nvSpPr>
      <xdr:spPr bwMode="auto">
        <a:xfrm>
          <a:off x="13411200" y="11262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37" name="AutoShape 113" descr="SPAIN2"/>
        <xdr:cNvSpPr>
          <a:spLocks noChangeAspect="1" noChangeArrowheads="1"/>
        </xdr:cNvSpPr>
      </xdr:nvSpPr>
      <xdr:spPr bwMode="auto">
        <a:xfrm>
          <a:off x="0" y="11437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38" name="AutoShape 114" descr="https://www.soccerstats.com/img/own/sshplogo.png">
          <a:hlinkClick xmlns:r="http://schemas.openxmlformats.org/officeDocument/2006/relationships" r:id="rId57"/>
        </xdr:cNvPr>
        <xdr:cNvSpPr>
          <a:spLocks noChangeAspect="1" noChangeArrowheads="1"/>
        </xdr:cNvSpPr>
      </xdr:nvSpPr>
      <xdr:spPr bwMode="auto">
        <a:xfrm>
          <a:off x="13411200" y="11437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39" name="AutoShape 115" descr="GERMANY2"/>
        <xdr:cNvSpPr>
          <a:spLocks noChangeAspect="1" noChangeArrowheads="1"/>
        </xdr:cNvSpPr>
      </xdr:nvSpPr>
      <xdr:spPr bwMode="auto">
        <a:xfrm>
          <a:off x="0" y="11612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40" name="AutoShape 116" descr="https://www.soccerstats.com/img/own/sshplogo.png">
          <a:hlinkClick xmlns:r="http://schemas.openxmlformats.org/officeDocument/2006/relationships" r:id="rId58"/>
        </xdr:cNvPr>
        <xdr:cNvSpPr>
          <a:spLocks noChangeAspect="1" noChangeArrowheads="1"/>
        </xdr:cNvSpPr>
      </xdr:nvSpPr>
      <xdr:spPr bwMode="auto">
        <a:xfrm>
          <a:off x="13411200" y="11612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41" name="AutoShape 117" descr="GERMANY2"/>
        <xdr:cNvSpPr>
          <a:spLocks noChangeAspect="1" noChangeArrowheads="1"/>
        </xdr:cNvSpPr>
      </xdr:nvSpPr>
      <xdr:spPr bwMode="auto">
        <a:xfrm>
          <a:off x="0" y="11864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42" name="AutoShape 118" descr="https://www.soccerstats.com/img/own/sshplogo.png">
          <a:hlinkClick xmlns:r="http://schemas.openxmlformats.org/officeDocument/2006/relationships" r:id="rId59"/>
        </xdr:cNvPr>
        <xdr:cNvSpPr>
          <a:spLocks noChangeAspect="1" noChangeArrowheads="1"/>
        </xdr:cNvSpPr>
      </xdr:nvSpPr>
      <xdr:spPr bwMode="auto">
        <a:xfrm>
          <a:off x="13411200" y="11864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43" name="AutoShape 119" descr="GERMANY2"/>
        <xdr:cNvSpPr>
          <a:spLocks noChangeAspect="1" noChangeArrowheads="1"/>
        </xdr:cNvSpPr>
      </xdr:nvSpPr>
      <xdr:spPr bwMode="auto">
        <a:xfrm>
          <a:off x="0" y="12039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44" name="AutoShape 120" descr="https://www.soccerstats.com/img/own/sshplogo.png">
          <a:hlinkClick xmlns:r="http://schemas.openxmlformats.org/officeDocument/2006/relationships" r:id="rId60"/>
        </xdr:cNvPr>
        <xdr:cNvSpPr>
          <a:spLocks noChangeAspect="1" noChangeArrowheads="1"/>
        </xdr:cNvSpPr>
      </xdr:nvSpPr>
      <xdr:spPr bwMode="auto">
        <a:xfrm>
          <a:off x="13411200" y="12039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45" name="AutoShape 121" descr="GERMANY2"/>
        <xdr:cNvSpPr>
          <a:spLocks noChangeAspect="1" noChangeArrowheads="1"/>
        </xdr:cNvSpPr>
      </xdr:nvSpPr>
      <xdr:spPr bwMode="auto">
        <a:xfrm>
          <a:off x="0" y="12214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46" name="AutoShape 122" descr="https://www.soccerstats.com/img/own/sshplogo.png">
          <a:hlinkClick xmlns:r="http://schemas.openxmlformats.org/officeDocument/2006/relationships" r:id="rId61"/>
        </xdr:cNvPr>
        <xdr:cNvSpPr>
          <a:spLocks noChangeAspect="1" noChangeArrowheads="1"/>
        </xdr:cNvSpPr>
      </xdr:nvSpPr>
      <xdr:spPr bwMode="auto">
        <a:xfrm>
          <a:off x="13411200" y="12214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47" name="AutoShape 123" descr="NETHERLANDS2"/>
        <xdr:cNvSpPr>
          <a:spLocks noChangeAspect="1" noChangeArrowheads="1"/>
        </xdr:cNvSpPr>
      </xdr:nvSpPr>
      <xdr:spPr bwMode="auto">
        <a:xfrm>
          <a:off x="0" y="12390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48" name="AutoShape 124" descr="https://www.soccerstats.com/img/own/sshplogo.png">
          <a:hlinkClick xmlns:r="http://schemas.openxmlformats.org/officeDocument/2006/relationships" r:id="rId62"/>
        </xdr:cNvPr>
        <xdr:cNvSpPr>
          <a:spLocks noChangeAspect="1" noChangeArrowheads="1"/>
        </xdr:cNvSpPr>
      </xdr:nvSpPr>
      <xdr:spPr bwMode="auto">
        <a:xfrm>
          <a:off x="13411200" y="12390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49" name="AutoShape 125" descr="ARGENTINA2"/>
        <xdr:cNvSpPr>
          <a:spLocks noChangeAspect="1" noChangeArrowheads="1"/>
        </xdr:cNvSpPr>
      </xdr:nvSpPr>
      <xdr:spPr bwMode="auto">
        <a:xfrm>
          <a:off x="0" y="12565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50" name="AutoShape 126" descr="https://www.soccerstats.com/img/own/sshplogo.png">
          <a:hlinkClick xmlns:r="http://schemas.openxmlformats.org/officeDocument/2006/relationships" r:id="rId63"/>
        </xdr:cNvPr>
        <xdr:cNvSpPr>
          <a:spLocks noChangeAspect="1" noChangeArrowheads="1"/>
        </xdr:cNvSpPr>
      </xdr:nvSpPr>
      <xdr:spPr bwMode="auto">
        <a:xfrm>
          <a:off x="13411200" y="12565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51" name="AutoShape 127" descr="ARGENTINA2"/>
        <xdr:cNvSpPr>
          <a:spLocks noChangeAspect="1" noChangeArrowheads="1"/>
        </xdr:cNvSpPr>
      </xdr:nvSpPr>
      <xdr:spPr bwMode="auto">
        <a:xfrm>
          <a:off x="0" y="12740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52" name="AutoShape 128" descr="https://www.soccerstats.com/img/own/sshplogo.png">
          <a:hlinkClick xmlns:r="http://schemas.openxmlformats.org/officeDocument/2006/relationships" r:id="rId64"/>
        </xdr:cNvPr>
        <xdr:cNvSpPr>
          <a:spLocks noChangeAspect="1" noChangeArrowheads="1"/>
        </xdr:cNvSpPr>
      </xdr:nvSpPr>
      <xdr:spPr bwMode="auto">
        <a:xfrm>
          <a:off x="13411200" y="12740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53" name="AutoShape 129" descr="ARGENTINA2"/>
        <xdr:cNvSpPr>
          <a:spLocks noChangeAspect="1" noChangeArrowheads="1"/>
        </xdr:cNvSpPr>
      </xdr:nvSpPr>
      <xdr:spPr bwMode="auto">
        <a:xfrm>
          <a:off x="0" y="12992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54" name="AutoShape 130" descr="https://www.soccerstats.com/img/own/sshplogo.png">
          <a:hlinkClick xmlns:r="http://schemas.openxmlformats.org/officeDocument/2006/relationships" r:id="rId65"/>
        </xdr:cNvPr>
        <xdr:cNvSpPr>
          <a:spLocks noChangeAspect="1" noChangeArrowheads="1"/>
        </xdr:cNvSpPr>
      </xdr:nvSpPr>
      <xdr:spPr bwMode="auto">
        <a:xfrm>
          <a:off x="13411200" y="12992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55" name="AutoShape 131" descr="ARGENTINA2"/>
        <xdr:cNvSpPr>
          <a:spLocks noChangeAspect="1" noChangeArrowheads="1"/>
        </xdr:cNvSpPr>
      </xdr:nvSpPr>
      <xdr:spPr bwMode="auto">
        <a:xfrm>
          <a:off x="0" y="13167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56" name="AutoShape 132" descr="https://www.soccerstats.com/img/own/sshplogo.png">
          <a:hlinkClick xmlns:r="http://schemas.openxmlformats.org/officeDocument/2006/relationships" r:id="rId66"/>
        </xdr:cNvPr>
        <xdr:cNvSpPr>
          <a:spLocks noChangeAspect="1" noChangeArrowheads="1"/>
        </xdr:cNvSpPr>
      </xdr:nvSpPr>
      <xdr:spPr bwMode="auto">
        <a:xfrm>
          <a:off x="13411200" y="13167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57" name="AutoShape 133" descr="ARGENTINA2"/>
        <xdr:cNvSpPr>
          <a:spLocks noChangeAspect="1" noChangeArrowheads="1"/>
        </xdr:cNvSpPr>
      </xdr:nvSpPr>
      <xdr:spPr bwMode="auto">
        <a:xfrm>
          <a:off x="0" y="13342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58" name="AutoShape 134" descr="https://www.soccerstats.com/img/own/sshplogo.png">
          <a:hlinkClick xmlns:r="http://schemas.openxmlformats.org/officeDocument/2006/relationships" r:id="rId67"/>
        </xdr:cNvPr>
        <xdr:cNvSpPr>
          <a:spLocks noChangeAspect="1" noChangeArrowheads="1"/>
        </xdr:cNvSpPr>
      </xdr:nvSpPr>
      <xdr:spPr bwMode="auto">
        <a:xfrm>
          <a:off x="13411200" y="13342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59" name="AutoShape 135" descr="ARGENTINA3"/>
        <xdr:cNvSpPr>
          <a:spLocks noChangeAspect="1" noChangeArrowheads="1"/>
        </xdr:cNvSpPr>
      </xdr:nvSpPr>
      <xdr:spPr bwMode="auto">
        <a:xfrm>
          <a:off x="0" y="13517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60" name="AutoShape 136" descr="https://www.soccerstats.com/img/own/sshplogo.png">
          <a:hlinkClick xmlns:r="http://schemas.openxmlformats.org/officeDocument/2006/relationships" r:id="rId68"/>
        </xdr:cNvPr>
        <xdr:cNvSpPr>
          <a:spLocks noChangeAspect="1" noChangeArrowheads="1"/>
        </xdr:cNvSpPr>
      </xdr:nvSpPr>
      <xdr:spPr bwMode="auto">
        <a:xfrm>
          <a:off x="13411200" y="13517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61" name="AutoShape 137" descr="ARGENTINA3"/>
        <xdr:cNvSpPr>
          <a:spLocks noChangeAspect="1" noChangeArrowheads="1"/>
        </xdr:cNvSpPr>
      </xdr:nvSpPr>
      <xdr:spPr bwMode="auto">
        <a:xfrm>
          <a:off x="0" y="13769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62" name="AutoShape 138" descr="https://www.soccerstats.com/img/own/sshplogo.png">
          <a:hlinkClick xmlns:r="http://schemas.openxmlformats.org/officeDocument/2006/relationships" r:id="rId69"/>
        </xdr:cNvPr>
        <xdr:cNvSpPr>
          <a:spLocks noChangeAspect="1" noChangeArrowheads="1"/>
        </xdr:cNvSpPr>
      </xdr:nvSpPr>
      <xdr:spPr bwMode="auto">
        <a:xfrm>
          <a:off x="13411200" y="13769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63" name="AutoShape 139" descr="ARGENTINA3"/>
        <xdr:cNvSpPr>
          <a:spLocks noChangeAspect="1" noChangeArrowheads="1"/>
        </xdr:cNvSpPr>
      </xdr:nvSpPr>
      <xdr:spPr bwMode="auto">
        <a:xfrm>
          <a:off x="0" y="14020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64" name="AutoShape 140" descr="https://www.soccerstats.com/img/own/sshplogo.png">
          <a:hlinkClick xmlns:r="http://schemas.openxmlformats.org/officeDocument/2006/relationships" r:id="rId70"/>
        </xdr:cNvPr>
        <xdr:cNvSpPr>
          <a:spLocks noChangeAspect="1" noChangeArrowheads="1"/>
        </xdr:cNvSpPr>
      </xdr:nvSpPr>
      <xdr:spPr bwMode="auto">
        <a:xfrm>
          <a:off x="13411200" y="1402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65" name="AutoShape 141" descr="ARGENTINA3"/>
        <xdr:cNvSpPr>
          <a:spLocks noChangeAspect="1" noChangeArrowheads="1"/>
        </xdr:cNvSpPr>
      </xdr:nvSpPr>
      <xdr:spPr bwMode="auto">
        <a:xfrm>
          <a:off x="0" y="14272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66" name="AutoShape 142" descr="https://www.soccerstats.com/img/own/sshplogo.png">
          <a:hlinkClick xmlns:r="http://schemas.openxmlformats.org/officeDocument/2006/relationships" r:id="rId71"/>
        </xdr:cNvPr>
        <xdr:cNvSpPr>
          <a:spLocks noChangeAspect="1" noChangeArrowheads="1"/>
        </xdr:cNvSpPr>
      </xdr:nvSpPr>
      <xdr:spPr bwMode="auto">
        <a:xfrm>
          <a:off x="13411200" y="14272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67" name="AutoShape 143" descr="ARGENTINA3"/>
        <xdr:cNvSpPr>
          <a:spLocks noChangeAspect="1" noChangeArrowheads="1"/>
        </xdr:cNvSpPr>
      </xdr:nvSpPr>
      <xdr:spPr bwMode="auto">
        <a:xfrm>
          <a:off x="0" y="14447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68" name="AutoShape 144" descr="https://www.soccerstats.com/img/own/sshplogo.png">
          <a:hlinkClick xmlns:r="http://schemas.openxmlformats.org/officeDocument/2006/relationships" r:id="rId72"/>
        </xdr:cNvPr>
        <xdr:cNvSpPr>
          <a:spLocks noChangeAspect="1" noChangeArrowheads="1"/>
        </xdr:cNvSpPr>
      </xdr:nvSpPr>
      <xdr:spPr bwMode="auto">
        <a:xfrm>
          <a:off x="13411200" y="14447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69" name="AutoShape 145" descr="ARGENTINA3"/>
        <xdr:cNvSpPr>
          <a:spLocks noChangeAspect="1" noChangeArrowheads="1"/>
        </xdr:cNvSpPr>
      </xdr:nvSpPr>
      <xdr:spPr bwMode="auto">
        <a:xfrm>
          <a:off x="0" y="14622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70" name="AutoShape 146" descr="https://www.soccerstats.com/img/own/sshplogo.png">
          <a:hlinkClick xmlns:r="http://schemas.openxmlformats.org/officeDocument/2006/relationships" r:id="rId73"/>
        </xdr:cNvPr>
        <xdr:cNvSpPr>
          <a:spLocks noChangeAspect="1" noChangeArrowheads="1"/>
        </xdr:cNvSpPr>
      </xdr:nvSpPr>
      <xdr:spPr bwMode="auto">
        <a:xfrm>
          <a:off x="13411200" y="14622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71" name="AutoShape 147" descr="ARGENTINA3"/>
        <xdr:cNvSpPr>
          <a:spLocks noChangeAspect="1" noChangeArrowheads="1"/>
        </xdr:cNvSpPr>
      </xdr:nvSpPr>
      <xdr:spPr bwMode="auto">
        <a:xfrm>
          <a:off x="0" y="14798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72" name="AutoShape 148" descr="https://www.soccerstats.com/img/own/sshplogo.png">
          <a:hlinkClick xmlns:r="http://schemas.openxmlformats.org/officeDocument/2006/relationships" r:id="rId74"/>
        </xdr:cNvPr>
        <xdr:cNvSpPr>
          <a:spLocks noChangeAspect="1" noChangeArrowheads="1"/>
        </xdr:cNvSpPr>
      </xdr:nvSpPr>
      <xdr:spPr bwMode="auto">
        <a:xfrm>
          <a:off x="13411200" y="14798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73" name="AutoShape 149" descr="ARGENTINA3"/>
        <xdr:cNvSpPr>
          <a:spLocks noChangeAspect="1" noChangeArrowheads="1"/>
        </xdr:cNvSpPr>
      </xdr:nvSpPr>
      <xdr:spPr bwMode="auto">
        <a:xfrm>
          <a:off x="0" y="15049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74" name="AutoShape 150" descr="https://www.soccerstats.com/img/own/sshplogo.png">
          <a:hlinkClick xmlns:r="http://schemas.openxmlformats.org/officeDocument/2006/relationships" r:id="rId75"/>
        </xdr:cNvPr>
        <xdr:cNvSpPr>
          <a:spLocks noChangeAspect="1" noChangeArrowheads="1"/>
        </xdr:cNvSpPr>
      </xdr:nvSpPr>
      <xdr:spPr bwMode="auto">
        <a:xfrm>
          <a:off x="13411200" y="1504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75" name="AutoShape 151" descr="ARMENIA"/>
        <xdr:cNvSpPr>
          <a:spLocks noChangeAspect="1" noChangeArrowheads="1"/>
        </xdr:cNvSpPr>
      </xdr:nvSpPr>
      <xdr:spPr bwMode="auto">
        <a:xfrm>
          <a:off x="0" y="15224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76" name="AutoShape 152" descr="https://www.soccerstats.com/img/own/sshplogo.png">
          <a:hlinkClick xmlns:r="http://schemas.openxmlformats.org/officeDocument/2006/relationships" r:id="rId76"/>
        </xdr:cNvPr>
        <xdr:cNvSpPr>
          <a:spLocks noChangeAspect="1" noChangeArrowheads="1"/>
        </xdr:cNvSpPr>
      </xdr:nvSpPr>
      <xdr:spPr bwMode="auto">
        <a:xfrm>
          <a:off x="13411200" y="15224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77" name="AutoShape 153" descr="ARMENIA"/>
        <xdr:cNvSpPr>
          <a:spLocks noChangeAspect="1" noChangeArrowheads="1"/>
        </xdr:cNvSpPr>
      </xdr:nvSpPr>
      <xdr:spPr bwMode="auto">
        <a:xfrm>
          <a:off x="0" y="15476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78" name="AutoShape 154" descr="https://www.soccerstats.com/img/own/sshplogo.png">
          <a:hlinkClick xmlns:r="http://schemas.openxmlformats.org/officeDocument/2006/relationships" r:id="rId77"/>
        </xdr:cNvPr>
        <xdr:cNvSpPr>
          <a:spLocks noChangeAspect="1" noChangeArrowheads="1"/>
        </xdr:cNvSpPr>
      </xdr:nvSpPr>
      <xdr:spPr bwMode="auto">
        <a:xfrm>
          <a:off x="13411200" y="15476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79" name="AutoShape 155" descr="AUSTRALIA3"/>
        <xdr:cNvSpPr>
          <a:spLocks noChangeAspect="1" noChangeArrowheads="1"/>
        </xdr:cNvSpPr>
      </xdr:nvSpPr>
      <xdr:spPr bwMode="auto">
        <a:xfrm>
          <a:off x="0" y="15727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80" name="AutoShape 156" descr="https://www.soccerstats.com/img/own/sshplogo.png">
          <a:hlinkClick xmlns:r="http://schemas.openxmlformats.org/officeDocument/2006/relationships" r:id="rId78"/>
        </xdr:cNvPr>
        <xdr:cNvSpPr>
          <a:spLocks noChangeAspect="1" noChangeArrowheads="1"/>
        </xdr:cNvSpPr>
      </xdr:nvSpPr>
      <xdr:spPr bwMode="auto">
        <a:xfrm>
          <a:off x="13411200" y="15727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81" name="AutoShape 157" descr="AUSTRALIA3"/>
        <xdr:cNvSpPr>
          <a:spLocks noChangeAspect="1" noChangeArrowheads="1"/>
        </xdr:cNvSpPr>
      </xdr:nvSpPr>
      <xdr:spPr bwMode="auto">
        <a:xfrm>
          <a:off x="0" y="15979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82" name="AutoShape 158" descr="https://www.soccerstats.com/img/own/sshplogo.png">
          <a:hlinkClick xmlns:r="http://schemas.openxmlformats.org/officeDocument/2006/relationships" r:id="rId79"/>
        </xdr:cNvPr>
        <xdr:cNvSpPr>
          <a:spLocks noChangeAspect="1" noChangeArrowheads="1"/>
        </xdr:cNvSpPr>
      </xdr:nvSpPr>
      <xdr:spPr bwMode="auto">
        <a:xfrm>
          <a:off x="13411200" y="15979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83" name="AutoShape 159" descr="AUSTRALIA3"/>
        <xdr:cNvSpPr>
          <a:spLocks noChangeAspect="1" noChangeArrowheads="1"/>
        </xdr:cNvSpPr>
      </xdr:nvSpPr>
      <xdr:spPr bwMode="auto">
        <a:xfrm>
          <a:off x="0" y="16230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84" name="AutoShape 160" descr="https://www.soccerstats.com/img/own/sshplogo.png">
          <a:hlinkClick xmlns:r="http://schemas.openxmlformats.org/officeDocument/2006/relationships" r:id="rId80"/>
        </xdr:cNvPr>
        <xdr:cNvSpPr>
          <a:spLocks noChangeAspect="1" noChangeArrowheads="1"/>
        </xdr:cNvSpPr>
      </xdr:nvSpPr>
      <xdr:spPr bwMode="auto">
        <a:xfrm>
          <a:off x="13411200" y="1623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85" name="AutoShape 161" descr="AUSTRALIA5"/>
        <xdr:cNvSpPr>
          <a:spLocks noChangeAspect="1" noChangeArrowheads="1"/>
        </xdr:cNvSpPr>
      </xdr:nvSpPr>
      <xdr:spPr bwMode="auto">
        <a:xfrm>
          <a:off x="0" y="16405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86" name="AutoShape 162" descr="https://www.soccerstats.com/img/own/sshplogo.png">
          <a:hlinkClick xmlns:r="http://schemas.openxmlformats.org/officeDocument/2006/relationships" r:id="rId81"/>
        </xdr:cNvPr>
        <xdr:cNvSpPr>
          <a:spLocks noChangeAspect="1" noChangeArrowheads="1"/>
        </xdr:cNvSpPr>
      </xdr:nvSpPr>
      <xdr:spPr bwMode="auto">
        <a:xfrm>
          <a:off x="13411200" y="16405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87" name="AutoShape 163" descr="AUSTRALIA5"/>
        <xdr:cNvSpPr>
          <a:spLocks noChangeAspect="1" noChangeArrowheads="1"/>
        </xdr:cNvSpPr>
      </xdr:nvSpPr>
      <xdr:spPr bwMode="auto">
        <a:xfrm>
          <a:off x="0" y="16581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88" name="AutoShape 164" descr="https://www.soccerstats.com/img/own/sshplogo.png">
          <a:hlinkClick xmlns:r="http://schemas.openxmlformats.org/officeDocument/2006/relationships" r:id="rId82"/>
        </xdr:cNvPr>
        <xdr:cNvSpPr>
          <a:spLocks noChangeAspect="1" noChangeArrowheads="1"/>
        </xdr:cNvSpPr>
      </xdr:nvSpPr>
      <xdr:spPr bwMode="auto">
        <a:xfrm>
          <a:off x="13411200" y="16581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89" name="AutoShape 165" descr="AUSTRALIA5"/>
        <xdr:cNvSpPr>
          <a:spLocks noChangeAspect="1" noChangeArrowheads="1"/>
        </xdr:cNvSpPr>
      </xdr:nvSpPr>
      <xdr:spPr bwMode="auto">
        <a:xfrm>
          <a:off x="0" y="16756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90" name="AutoShape 166" descr="https://www.soccerstats.com/img/own/sshplogo.png">
          <a:hlinkClick xmlns:r="http://schemas.openxmlformats.org/officeDocument/2006/relationships" r:id="rId83"/>
        </xdr:cNvPr>
        <xdr:cNvSpPr>
          <a:spLocks noChangeAspect="1" noChangeArrowheads="1"/>
        </xdr:cNvSpPr>
      </xdr:nvSpPr>
      <xdr:spPr bwMode="auto">
        <a:xfrm>
          <a:off x="13411200" y="16756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91" name="AutoShape 167" descr="AUSTRALIA5"/>
        <xdr:cNvSpPr>
          <a:spLocks noChangeAspect="1" noChangeArrowheads="1"/>
        </xdr:cNvSpPr>
      </xdr:nvSpPr>
      <xdr:spPr bwMode="auto">
        <a:xfrm>
          <a:off x="0" y="17007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92" name="AutoShape 168" descr="https://www.soccerstats.com/img/own/sshplogo.png">
          <a:hlinkClick xmlns:r="http://schemas.openxmlformats.org/officeDocument/2006/relationships" r:id="rId84"/>
        </xdr:cNvPr>
        <xdr:cNvSpPr>
          <a:spLocks noChangeAspect="1" noChangeArrowheads="1"/>
        </xdr:cNvSpPr>
      </xdr:nvSpPr>
      <xdr:spPr bwMode="auto">
        <a:xfrm>
          <a:off x="13411200" y="17007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93" name="AutoShape 169" descr="AUSTRALIA5"/>
        <xdr:cNvSpPr>
          <a:spLocks noChangeAspect="1" noChangeArrowheads="1"/>
        </xdr:cNvSpPr>
      </xdr:nvSpPr>
      <xdr:spPr bwMode="auto">
        <a:xfrm>
          <a:off x="0" y="17183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94" name="AutoShape 170" descr="https://www.soccerstats.com/img/own/sshplogo.png">
          <a:hlinkClick xmlns:r="http://schemas.openxmlformats.org/officeDocument/2006/relationships" r:id="rId85"/>
        </xdr:cNvPr>
        <xdr:cNvSpPr>
          <a:spLocks noChangeAspect="1" noChangeArrowheads="1"/>
        </xdr:cNvSpPr>
      </xdr:nvSpPr>
      <xdr:spPr bwMode="auto">
        <a:xfrm>
          <a:off x="13411200" y="1718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95" name="AutoShape 171" descr="AUSTRALIA6"/>
        <xdr:cNvSpPr>
          <a:spLocks noChangeAspect="1" noChangeArrowheads="1"/>
        </xdr:cNvSpPr>
      </xdr:nvSpPr>
      <xdr:spPr bwMode="auto">
        <a:xfrm>
          <a:off x="0" y="17434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96" name="AutoShape 172" descr="https://www.soccerstats.com/img/own/sshplogo.png">
          <a:hlinkClick xmlns:r="http://schemas.openxmlformats.org/officeDocument/2006/relationships" r:id="rId86"/>
        </xdr:cNvPr>
        <xdr:cNvSpPr>
          <a:spLocks noChangeAspect="1" noChangeArrowheads="1"/>
        </xdr:cNvSpPr>
      </xdr:nvSpPr>
      <xdr:spPr bwMode="auto">
        <a:xfrm>
          <a:off x="13411200" y="17434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97" name="AutoShape 173" descr="AUSTRALIA6"/>
        <xdr:cNvSpPr>
          <a:spLocks noChangeAspect="1" noChangeArrowheads="1"/>
        </xdr:cNvSpPr>
      </xdr:nvSpPr>
      <xdr:spPr bwMode="auto">
        <a:xfrm>
          <a:off x="0" y="17609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98" name="AutoShape 174" descr="https://www.soccerstats.com/img/own/sshplogo.png">
          <a:hlinkClick xmlns:r="http://schemas.openxmlformats.org/officeDocument/2006/relationships" r:id="rId87"/>
        </xdr:cNvPr>
        <xdr:cNvSpPr>
          <a:spLocks noChangeAspect="1" noChangeArrowheads="1"/>
        </xdr:cNvSpPr>
      </xdr:nvSpPr>
      <xdr:spPr bwMode="auto">
        <a:xfrm>
          <a:off x="13411200" y="17609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99" name="AutoShape 175" descr="AUSTRALIA6"/>
        <xdr:cNvSpPr>
          <a:spLocks noChangeAspect="1" noChangeArrowheads="1"/>
        </xdr:cNvSpPr>
      </xdr:nvSpPr>
      <xdr:spPr bwMode="auto">
        <a:xfrm>
          <a:off x="0" y="17861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00" name="AutoShape 176" descr="https://www.soccerstats.com/img/own/sshplogo.png">
          <a:hlinkClick xmlns:r="http://schemas.openxmlformats.org/officeDocument/2006/relationships" r:id="rId88"/>
        </xdr:cNvPr>
        <xdr:cNvSpPr>
          <a:spLocks noChangeAspect="1" noChangeArrowheads="1"/>
        </xdr:cNvSpPr>
      </xdr:nvSpPr>
      <xdr:spPr bwMode="auto">
        <a:xfrm>
          <a:off x="13411200" y="17861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01" name="AutoShape 177" descr="AUSTRALIA6"/>
        <xdr:cNvSpPr>
          <a:spLocks noChangeAspect="1" noChangeArrowheads="1"/>
        </xdr:cNvSpPr>
      </xdr:nvSpPr>
      <xdr:spPr bwMode="auto">
        <a:xfrm>
          <a:off x="0" y="18112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02" name="AutoShape 178" descr="https://www.soccerstats.com/img/own/sshplogo.png">
          <a:hlinkClick xmlns:r="http://schemas.openxmlformats.org/officeDocument/2006/relationships" r:id="rId89"/>
        </xdr:cNvPr>
        <xdr:cNvSpPr>
          <a:spLocks noChangeAspect="1" noChangeArrowheads="1"/>
        </xdr:cNvSpPr>
      </xdr:nvSpPr>
      <xdr:spPr bwMode="auto">
        <a:xfrm>
          <a:off x="13411200" y="18112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03" name="AutoShape 179" descr="AUSTRALIA6"/>
        <xdr:cNvSpPr>
          <a:spLocks noChangeAspect="1" noChangeArrowheads="1"/>
        </xdr:cNvSpPr>
      </xdr:nvSpPr>
      <xdr:spPr bwMode="auto">
        <a:xfrm>
          <a:off x="0" y="18364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04" name="AutoShape 180" descr="https://www.soccerstats.com/img/own/sshplogo.png">
          <a:hlinkClick xmlns:r="http://schemas.openxmlformats.org/officeDocument/2006/relationships" r:id="rId90"/>
        </xdr:cNvPr>
        <xdr:cNvSpPr>
          <a:spLocks noChangeAspect="1" noChangeArrowheads="1"/>
        </xdr:cNvSpPr>
      </xdr:nvSpPr>
      <xdr:spPr bwMode="auto">
        <a:xfrm>
          <a:off x="13411200" y="18364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05" name="AutoShape 181" descr="AUSTRALIA6"/>
        <xdr:cNvSpPr>
          <a:spLocks noChangeAspect="1" noChangeArrowheads="1"/>
        </xdr:cNvSpPr>
      </xdr:nvSpPr>
      <xdr:spPr bwMode="auto">
        <a:xfrm>
          <a:off x="0" y="18615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06" name="AutoShape 182" descr="https://www.soccerstats.com/img/own/sshplogo.png">
          <a:hlinkClick xmlns:r="http://schemas.openxmlformats.org/officeDocument/2006/relationships" r:id="rId91"/>
        </xdr:cNvPr>
        <xdr:cNvSpPr>
          <a:spLocks noChangeAspect="1" noChangeArrowheads="1"/>
        </xdr:cNvSpPr>
      </xdr:nvSpPr>
      <xdr:spPr bwMode="auto">
        <a:xfrm>
          <a:off x="13411200" y="18615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07" name="AutoShape 183" descr="AUSTRALIA10"/>
        <xdr:cNvSpPr>
          <a:spLocks noChangeAspect="1" noChangeArrowheads="1"/>
        </xdr:cNvSpPr>
      </xdr:nvSpPr>
      <xdr:spPr bwMode="auto">
        <a:xfrm>
          <a:off x="0" y="18867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08" name="AutoShape 184" descr="https://www.soccerstats.com/img/own/sshplogo.png">
          <a:hlinkClick xmlns:r="http://schemas.openxmlformats.org/officeDocument/2006/relationships" r:id="rId92"/>
        </xdr:cNvPr>
        <xdr:cNvSpPr>
          <a:spLocks noChangeAspect="1" noChangeArrowheads="1"/>
        </xdr:cNvSpPr>
      </xdr:nvSpPr>
      <xdr:spPr bwMode="auto">
        <a:xfrm>
          <a:off x="13411200" y="18867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09" name="AutoShape 185" descr="AUSTRALIA10"/>
        <xdr:cNvSpPr>
          <a:spLocks noChangeAspect="1" noChangeArrowheads="1"/>
        </xdr:cNvSpPr>
      </xdr:nvSpPr>
      <xdr:spPr bwMode="auto">
        <a:xfrm>
          <a:off x="0" y="19118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10" name="AutoShape 186" descr="https://www.soccerstats.com/img/own/sshplogo.png">
          <a:hlinkClick xmlns:r="http://schemas.openxmlformats.org/officeDocument/2006/relationships" r:id="rId93"/>
        </xdr:cNvPr>
        <xdr:cNvSpPr>
          <a:spLocks noChangeAspect="1" noChangeArrowheads="1"/>
        </xdr:cNvSpPr>
      </xdr:nvSpPr>
      <xdr:spPr bwMode="auto">
        <a:xfrm>
          <a:off x="13411200" y="19118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11" name="AutoShape 187" descr="AUSTRALIA10"/>
        <xdr:cNvSpPr>
          <a:spLocks noChangeAspect="1" noChangeArrowheads="1"/>
        </xdr:cNvSpPr>
      </xdr:nvSpPr>
      <xdr:spPr bwMode="auto">
        <a:xfrm>
          <a:off x="0" y="19370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12" name="AutoShape 188" descr="https://www.soccerstats.com/img/own/sshplogo.png">
          <a:hlinkClick xmlns:r="http://schemas.openxmlformats.org/officeDocument/2006/relationships" r:id="rId94"/>
        </xdr:cNvPr>
        <xdr:cNvSpPr>
          <a:spLocks noChangeAspect="1" noChangeArrowheads="1"/>
        </xdr:cNvSpPr>
      </xdr:nvSpPr>
      <xdr:spPr bwMode="auto">
        <a:xfrm>
          <a:off x="13411200" y="19370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13" name="AutoShape 189" descr="AUSTRALIA11"/>
        <xdr:cNvSpPr>
          <a:spLocks noChangeAspect="1" noChangeArrowheads="1"/>
        </xdr:cNvSpPr>
      </xdr:nvSpPr>
      <xdr:spPr bwMode="auto">
        <a:xfrm>
          <a:off x="0" y="19621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14" name="AutoShape 190" descr="https://www.soccerstats.com/img/own/sshplogo.png">
          <a:hlinkClick xmlns:r="http://schemas.openxmlformats.org/officeDocument/2006/relationships" r:id="rId95"/>
        </xdr:cNvPr>
        <xdr:cNvSpPr>
          <a:spLocks noChangeAspect="1" noChangeArrowheads="1"/>
        </xdr:cNvSpPr>
      </xdr:nvSpPr>
      <xdr:spPr bwMode="auto">
        <a:xfrm>
          <a:off x="13411200" y="1962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15" name="AutoShape 191" descr="AUSTRALIA11"/>
        <xdr:cNvSpPr>
          <a:spLocks noChangeAspect="1" noChangeArrowheads="1"/>
        </xdr:cNvSpPr>
      </xdr:nvSpPr>
      <xdr:spPr bwMode="auto">
        <a:xfrm>
          <a:off x="0" y="19872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16" name="AutoShape 192" descr="https://www.soccerstats.com/img/own/sshplogo.png">
          <a:hlinkClick xmlns:r="http://schemas.openxmlformats.org/officeDocument/2006/relationships" r:id="rId96"/>
        </xdr:cNvPr>
        <xdr:cNvSpPr>
          <a:spLocks noChangeAspect="1" noChangeArrowheads="1"/>
        </xdr:cNvSpPr>
      </xdr:nvSpPr>
      <xdr:spPr bwMode="auto">
        <a:xfrm>
          <a:off x="13411200" y="19872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17" name="AutoShape 193" descr="AUSTRALIA11"/>
        <xdr:cNvSpPr>
          <a:spLocks noChangeAspect="1" noChangeArrowheads="1"/>
        </xdr:cNvSpPr>
      </xdr:nvSpPr>
      <xdr:spPr bwMode="auto">
        <a:xfrm>
          <a:off x="0" y="20048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18" name="AutoShape 194" descr="https://www.soccerstats.com/img/own/sshplogo.png">
          <a:hlinkClick xmlns:r="http://schemas.openxmlformats.org/officeDocument/2006/relationships" r:id="rId97"/>
        </xdr:cNvPr>
        <xdr:cNvSpPr>
          <a:spLocks noChangeAspect="1" noChangeArrowheads="1"/>
        </xdr:cNvSpPr>
      </xdr:nvSpPr>
      <xdr:spPr bwMode="auto">
        <a:xfrm>
          <a:off x="13411200" y="20048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19" name="AutoShape 195" descr="AUSTRALIA11"/>
        <xdr:cNvSpPr>
          <a:spLocks noChangeAspect="1" noChangeArrowheads="1"/>
        </xdr:cNvSpPr>
      </xdr:nvSpPr>
      <xdr:spPr bwMode="auto">
        <a:xfrm>
          <a:off x="0" y="20299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20" name="AutoShape 196" descr="https://www.soccerstats.com/img/own/sshplogo.png">
          <a:hlinkClick xmlns:r="http://schemas.openxmlformats.org/officeDocument/2006/relationships" r:id="rId98"/>
        </xdr:cNvPr>
        <xdr:cNvSpPr>
          <a:spLocks noChangeAspect="1" noChangeArrowheads="1"/>
        </xdr:cNvSpPr>
      </xdr:nvSpPr>
      <xdr:spPr bwMode="auto">
        <a:xfrm>
          <a:off x="13411200" y="20299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21" name="AutoShape 197" descr="AUSTRIA"/>
        <xdr:cNvSpPr>
          <a:spLocks noChangeAspect="1" noChangeArrowheads="1"/>
        </xdr:cNvSpPr>
      </xdr:nvSpPr>
      <xdr:spPr bwMode="auto">
        <a:xfrm>
          <a:off x="0" y="20551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22" name="AutoShape 198" descr="https://www.soccerstats.com/img/own/sshplogo.png">
          <a:hlinkClick xmlns:r="http://schemas.openxmlformats.org/officeDocument/2006/relationships" r:id="rId99"/>
        </xdr:cNvPr>
        <xdr:cNvSpPr>
          <a:spLocks noChangeAspect="1" noChangeArrowheads="1"/>
        </xdr:cNvSpPr>
      </xdr:nvSpPr>
      <xdr:spPr bwMode="auto">
        <a:xfrm>
          <a:off x="13411200" y="20551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23" name="AutoShape 199" descr="AUSTRIA"/>
        <xdr:cNvSpPr>
          <a:spLocks noChangeAspect="1" noChangeArrowheads="1"/>
        </xdr:cNvSpPr>
      </xdr:nvSpPr>
      <xdr:spPr bwMode="auto">
        <a:xfrm>
          <a:off x="0" y="20802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24" name="AutoShape 200" descr="https://www.soccerstats.com/img/own/sshplogo.png">
          <a:hlinkClick xmlns:r="http://schemas.openxmlformats.org/officeDocument/2006/relationships" r:id="rId100"/>
        </xdr:cNvPr>
        <xdr:cNvSpPr>
          <a:spLocks noChangeAspect="1" noChangeArrowheads="1"/>
        </xdr:cNvSpPr>
      </xdr:nvSpPr>
      <xdr:spPr bwMode="auto">
        <a:xfrm>
          <a:off x="13411200" y="20802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25" name="AutoShape 201" descr="AUSTRIA2"/>
        <xdr:cNvSpPr>
          <a:spLocks noChangeAspect="1" noChangeArrowheads="1"/>
        </xdr:cNvSpPr>
      </xdr:nvSpPr>
      <xdr:spPr bwMode="auto">
        <a:xfrm>
          <a:off x="0" y="20977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26" name="AutoShape 202" descr="https://www.soccerstats.com/img/own/sshplogo.png">
          <a:hlinkClick xmlns:r="http://schemas.openxmlformats.org/officeDocument/2006/relationships" r:id="rId101"/>
        </xdr:cNvPr>
        <xdr:cNvSpPr>
          <a:spLocks noChangeAspect="1" noChangeArrowheads="1"/>
        </xdr:cNvSpPr>
      </xdr:nvSpPr>
      <xdr:spPr bwMode="auto">
        <a:xfrm>
          <a:off x="13411200" y="20977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27" name="AutoShape 203" descr="AUSTRIA2"/>
        <xdr:cNvSpPr>
          <a:spLocks noChangeAspect="1" noChangeArrowheads="1"/>
        </xdr:cNvSpPr>
      </xdr:nvSpPr>
      <xdr:spPr bwMode="auto">
        <a:xfrm>
          <a:off x="0" y="21153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28" name="AutoShape 204" descr="https://www.soccerstats.com/img/own/sshplogo.png">
          <a:hlinkClick xmlns:r="http://schemas.openxmlformats.org/officeDocument/2006/relationships" r:id="rId102"/>
        </xdr:cNvPr>
        <xdr:cNvSpPr>
          <a:spLocks noChangeAspect="1" noChangeArrowheads="1"/>
        </xdr:cNvSpPr>
      </xdr:nvSpPr>
      <xdr:spPr bwMode="auto">
        <a:xfrm>
          <a:off x="13411200" y="21153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29" name="AutoShape 205" descr="AUSTRIA2"/>
        <xdr:cNvSpPr>
          <a:spLocks noChangeAspect="1" noChangeArrowheads="1"/>
        </xdr:cNvSpPr>
      </xdr:nvSpPr>
      <xdr:spPr bwMode="auto">
        <a:xfrm>
          <a:off x="0" y="21404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30" name="AutoShape 206" descr="https://www.soccerstats.com/img/own/sshplogo.png">
          <a:hlinkClick xmlns:r="http://schemas.openxmlformats.org/officeDocument/2006/relationships" r:id="rId103"/>
        </xdr:cNvPr>
        <xdr:cNvSpPr>
          <a:spLocks noChangeAspect="1" noChangeArrowheads="1"/>
        </xdr:cNvSpPr>
      </xdr:nvSpPr>
      <xdr:spPr bwMode="auto">
        <a:xfrm>
          <a:off x="13411200" y="21404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31" name="AutoShape 207" descr="AUSTRIA2"/>
        <xdr:cNvSpPr>
          <a:spLocks noChangeAspect="1" noChangeArrowheads="1"/>
        </xdr:cNvSpPr>
      </xdr:nvSpPr>
      <xdr:spPr bwMode="auto">
        <a:xfrm>
          <a:off x="0" y="21656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32" name="AutoShape 208" descr="https://www.soccerstats.com/img/own/sshplogo.png">
          <a:hlinkClick xmlns:r="http://schemas.openxmlformats.org/officeDocument/2006/relationships" r:id="rId104"/>
        </xdr:cNvPr>
        <xdr:cNvSpPr>
          <a:spLocks noChangeAspect="1" noChangeArrowheads="1"/>
        </xdr:cNvSpPr>
      </xdr:nvSpPr>
      <xdr:spPr bwMode="auto">
        <a:xfrm>
          <a:off x="13411200" y="21656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33" name="AutoShape 209" descr="AUSTRIA2"/>
        <xdr:cNvSpPr>
          <a:spLocks noChangeAspect="1" noChangeArrowheads="1"/>
        </xdr:cNvSpPr>
      </xdr:nvSpPr>
      <xdr:spPr bwMode="auto">
        <a:xfrm>
          <a:off x="0" y="21831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34" name="AutoShape 210" descr="https://www.soccerstats.com/img/own/sshplogo.png">
          <a:hlinkClick xmlns:r="http://schemas.openxmlformats.org/officeDocument/2006/relationships" r:id="rId105"/>
        </xdr:cNvPr>
        <xdr:cNvSpPr>
          <a:spLocks noChangeAspect="1" noChangeArrowheads="1"/>
        </xdr:cNvSpPr>
      </xdr:nvSpPr>
      <xdr:spPr bwMode="auto">
        <a:xfrm>
          <a:off x="13411200" y="21831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35" name="AutoShape 211" descr="BELARUS"/>
        <xdr:cNvSpPr>
          <a:spLocks noChangeAspect="1" noChangeArrowheads="1"/>
        </xdr:cNvSpPr>
      </xdr:nvSpPr>
      <xdr:spPr bwMode="auto">
        <a:xfrm>
          <a:off x="0" y="22006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36" name="AutoShape 212" descr="https://www.soccerstats.com/img/own/sshplogo.png">
          <a:hlinkClick xmlns:r="http://schemas.openxmlformats.org/officeDocument/2006/relationships" r:id="rId106"/>
        </xdr:cNvPr>
        <xdr:cNvSpPr>
          <a:spLocks noChangeAspect="1" noChangeArrowheads="1"/>
        </xdr:cNvSpPr>
      </xdr:nvSpPr>
      <xdr:spPr bwMode="auto">
        <a:xfrm>
          <a:off x="13411200" y="22006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37" name="AutoShape 213" descr="BELARUS"/>
        <xdr:cNvSpPr>
          <a:spLocks noChangeAspect="1" noChangeArrowheads="1"/>
        </xdr:cNvSpPr>
      </xdr:nvSpPr>
      <xdr:spPr bwMode="auto">
        <a:xfrm>
          <a:off x="0" y="22181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38" name="AutoShape 214" descr="https://www.soccerstats.com/img/own/sshplogo.png">
          <a:hlinkClick xmlns:r="http://schemas.openxmlformats.org/officeDocument/2006/relationships" r:id="rId107"/>
        </xdr:cNvPr>
        <xdr:cNvSpPr>
          <a:spLocks noChangeAspect="1" noChangeArrowheads="1"/>
        </xdr:cNvSpPr>
      </xdr:nvSpPr>
      <xdr:spPr bwMode="auto">
        <a:xfrm>
          <a:off x="13411200" y="22181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39" name="AutoShape 215" descr="BELARUS"/>
        <xdr:cNvSpPr>
          <a:spLocks noChangeAspect="1" noChangeArrowheads="1"/>
        </xdr:cNvSpPr>
      </xdr:nvSpPr>
      <xdr:spPr bwMode="auto">
        <a:xfrm>
          <a:off x="0" y="22433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40" name="AutoShape 216" descr="https://www.soccerstats.com/img/own/sshplogo.png">
          <a:hlinkClick xmlns:r="http://schemas.openxmlformats.org/officeDocument/2006/relationships" r:id="rId108"/>
        </xdr:cNvPr>
        <xdr:cNvSpPr>
          <a:spLocks noChangeAspect="1" noChangeArrowheads="1"/>
        </xdr:cNvSpPr>
      </xdr:nvSpPr>
      <xdr:spPr bwMode="auto">
        <a:xfrm>
          <a:off x="13411200" y="22433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41" name="AutoShape 217" descr="BELGIUM"/>
        <xdr:cNvSpPr>
          <a:spLocks noChangeAspect="1" noChangeArrowheads="1"/>
        </xdr:cNvSpPr>
      </xdr:nvSpPr>
      <xdr:spPr bwMode="auto">
        <a:xfrm>
          <a:off x="0" y="22608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42" name="AutoShape 218" descr="https://www.soccerstats.com/img/own/sshplogo.png">
          <a:hlinkClick xmlns:r="http://schemas.openxmlformats.org/officeDocument/2006/relationships" r:id="rId109"/>
        </xdr:cNvPr>
        <xdr:cNvSpPr>
          <a:spLocks noChangeAspect="1" noChangeArrowheads="1"/>
        </xdr:cNvSpPr>
      </xdr:nvSpPr>
      <xdr:spPr bwMode="auto">
        <a:xfrm>
          <a:off x="13411200" y="22608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43" name="AutoShape 219" descr="BELGIUM"/>
        <xdr:cNvSpPr>
          <a:spLocks noChangeAspect="1" noChangeArrowheads="1"/>
        </xdr:cNvSpPr>
      </xdr:nvSpPr>
      <xdr:spPr bwMode="auto">
        <a:xfrm>
          <a:off x="0" y="22860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44" name="AutoShape 220" descr="https://www.soccerstats.com/img/own/sshplogo.png">
          <a:hlinkClick xmlns:r="http://schemas.openxmlformats.org/officeDocument/2006/relationships" r:id="rId110"/>
        </xdr:cNvPr>
        <xdr:cNvSpPr>
          <a:spLocks noChangeAspect="1" noChangeArrowheads="1"/>
        </xdr:cNvSpPr>
      </xdr:nvSpPr>
      <xdr:spPr bwMode="auto">
        <a:xfrm>
          <a:off x="13411200" y="2286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45" name="AutoShape 221" descr="BELGIUM"/>
        <xdr:cNvSpPr>
          <a:spLocks noChangeAspect="1" noChangeArrowheads="1"/>
        </xdr:cNvSpPr>
      </xdr:nvSpPr>
      <xdr:spPr bwMode="auto">
        <a:xfrm>
          <a:off x="0" y="23035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46" name="AutoShape 222" descr="https://www.soccerstats.com/img/own/sshplogo.png">
          <a:hlinkClick xmlns:r="http://schemas.openxmlformats.org/officeDocument/2006/relationships" r:id="rId111"/>
        </xdr:cNvPr>
        <xdr:cNvSpPr>
          <a:spLocks noChangeAspect="1" noChangeArrowheads="1"/>
        </xdr:cNvSpPr>
      </xdr:nvSpPr>
      <xdr:spPr bwMode="auto">
        <a:xfrm>
          <a:off x="13411200" y="23035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47" name="AutoShape 223" descr="BELGIUM"/>
        <xdr:cNvSpPr>
          <a:spLocks noChangeAspect="1" noChangeArrowheads="1"/>
        </xdr:cNvSpPr>
      </xdr:nvSpPr>
      <xdr:spPr bwMode="auto">
        <a:xfrm>
          <a:off x="0" y="23210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48" name="AutoShape 224" descr="https://www.soccerstats.com/img/own/sshplogo.png">
          <a:hlinkClick xmlns:r="http://schemas.openxmlformats.org/officeDocument/2006/relationships" r:id="rId112"/>
        </xdr:cNvPr>
        <xdr:cNvSpPr>
          <a:spLocks noChangeAspect="1" noChangeArrowheads="1"/>
        </xdr:cNvSpPr>
      </xdr:nvSpPr>
      <xdr:spPr bwMode="auto">
        <a:xfrm>
          <a:off x="13411200" y="23210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49" name="AutoShape 225" descr="BELGIUM2"/>
        <xdr:cNvSpPr>
          <a:spLocks noChangeAspect="1" noChangeArrowheads="1"/>
        </xdr:cNvSpPr>
      </xdr:nvSpPr>
      <xdr:spPr bwMode="auto">
        <a:xfrm>
          <a:off x="0" y="23385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50" name="AutoShape 226" descr="https://www.soccerstats.com/img/own/sshplogo.png">
          <a:hlinkClick xmlns:r="http://schemas.openxmlformats.org/officeDocument/2006/relationships" r:id="rId113"/>
        </xdr:cNvPr>
        <xdr:cNvSpPr>
          <a:spLocks noChangeAspect="1" noChangeArrowheads="1"/>
        </xdr:cNvSpPr>
      </xdr:nvSpPr>
      <xdr:spPr bwMode="auto">
        <a:xfrm>
          <a:off x="13411200" y="23385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51" name="AutoShape 227" descr="BELGIUM2"/>
        <xdr:cNvSpPr>
          <a:spLocks noChangeAspect="1" noChangeArrowheads="1"/>
        </xdr:cNvSpPr>
      </xdr:nvSpPr>
      <xdr:spPr bwMode="auto">
        <a:xfrm>
          <a:off x="0" y="23561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52" name="AutoShape 228" descr="https://www.soccerstats.com/img/own/sshplogo.png">
          <a:hlinkClick xmlns:r="http://schemas.openxmlformats.org/officeDocument/2006/relationships" r:id="rId114"/>
        </xdr:cNvPr>
        <xdr:cNvSpPr>
          <a:spLocks noChangeAspect="1" noChangeArrowheads="1"/>
        </xdr:cNvSpPr>
      </xdr:nvSpPr>
      <xdr:spPr bwMode="auto">
        <a:xfrm>
          <a:off x="13411200" y="23561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53" name="AutoShape 229" descr="BELGIUM2"/>
        <xdr:cNvSpPr>
          <a:spLocks noChangeAspect="1" noChangeArrowheads="1"/>
        </xdr:cNvSpPr>
      </xdr:nvSpPr>
      <xdr:spPr bwMode="auto">
        <a:xfrm>
          <a:off x="0" y="23736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54" name="AutoShape 230" descr="https://www.soccerstats.com/img/own/sshplogo.png">
          <a:hlinkClick xmlns:r="http://schemas.openxmlformats.org/officeDocument/2006/relationships" r:id="rId115"/>
        </xdr:cNvPr>
        <xdr:cNvSpPr>
          <a:spLocks noChangeAspect="1" noChangeArrowheads="1"/>
        </xdr:cNvSpPr>
      </xdr:nvSpPr>
      <xdr:spPr bwMode="auto">
        <a:xfrm>
          <a:off x="13411200" y="23736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55" name="AutoShape 231" descr="BOSNIA"/>
        <xdr:cNvSpPr>
          <a:spLocks noChangeAspect="1" noChangeArrowheads="1"/>
        </xdr:cNvSpPr>
      </xdr:nvSpPr>
      <xdr:spPr bwMode="auto">
        <a:xfrm>
          <a:off x="0" y="23911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56" name="AutoShape 232" descr="https://www.soccerstats.com/img/own/sshplogo.png">
          <a:hlinkClick xmlns:r="http://schemas.openxmlformats.org/officeDocument/2006/relationships" r:id="rId116"/>
        </xdr:cNvPr>
        <xdr:cNvSpPr>
          <a:spLocks noChangeAspect="1" noChangeArrowheads="1"/>
        </xdr:cNvSpPr>
      </xdr:nvSpPr>
      <xdr:spPr bwMode="auto">
        <a:xfrm>
          <a:off x="13411200" y="23911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57" name="AutoShape 233" descr="BOSNIA"/>
        <xdr:cNvSpPr>
          <a:spLocks noChangeAspect="1" noChangeArrowheads="1"/>
        </xdr:cNvSpPr>
      </xdr:nvSpPr>
      <xdr:spPr bwMode="auto">
        <a:xfrm>
          <a:off x="0" y="24163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58" name="AutoShape 234" descr="https://www.soccerstats.com/img/own/sshplogo.png">
          <a:hlinkClick xmlns:r="http://schemas.openxmlformats.org/officeDocument/2006/relationships" r:id="rId117"/>
        </xdr:cNvPr>
        <xdr:cNvSpPr>
          <a:spLocks noChangeAspect="1" noChangeArrowheads="1"/>
        </xdr:cNvSpPr>
      </xdr:nvSpPr>
      <xdr:spPr bwMode="auto">
        <a:xfrm>
          <a:off x="13411200" y="24163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59" name="AutoShape 235" descr="BOSNIA"/>
        <xdr:cNvSpPr>
          <a:spLocks noChangeAspect="1" noChangeArrowheads="1"/>
        </xdr:cNvSpPr>
      </xdr:nvSpPr>
      <xdr:spPr bwMode="auto">
        <a:xfrm>
          <a:off x="0" y="24338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60" name="AutoShape 236" descr="https://www.soccerstats.com/img/own/sshplogo.png">
          <a:hlinkClick xmlns:r="http://schemas.openxmlformats.org/officeDocument/2006/relationships" r:id="rId118"/>
        </xdr:cNvPr>
        <xdr:cNvSpPr>
          <a:spLocks noChangeAspect="1" noChangeArrowheads="1"/>
        </xdr:cNvSpPr>
      </xdr:nvSpPr>
      <xdr:spPr bwMode="auto">
        <a:xfrm>
          <a:off x="13411200" y="24338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61" name="AutoShape 237" descr="BOSNIA"/>
        <xdr:cNvSpPr>
          <a:spLocks noChangeAspect="1" noChangeArrowheads="1"/>
        </xdr:cNvSpPr>
      </xdr:nvSpPr>
      <xdr:spPr bwMode="auto">
        <a:xfrm>
          <a:off x="0" y="24589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62" name="AutoShape 238" descr="https://www.soccerstats.com/img/own/sshplogo.png">
          <a:hlinkClick xmlns:r="http://schemas.openxmlformats.org/officeDocument/2006/relationships" r:id="rId119"/>
        </xdr:cNvPr>
        <xdr:cNvSpPr>
          <a:spLocks noChangeAspect="1" noChangeArrowheads="1"/>
        </xdr:cNvSpPr>
      </xdr:nvSpPr>
      <xdr:spPr bwMode="auto">
        <a:xfrm>
          <a:off x="13411200" y="24589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63" name="AutoShape 239" descr="BOSNIA"/>
        <xdr:cNvSpPr>
          <a:spLocks noChangeAspect="1" noChangeArrowheads="1"/>
        </xdr:cNvSpPr>
      </xdr:nvSpPr>
      <xdr:spPr bwMode="auto">
        <a:xfrm>
          <a:off x="0" y="24841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64" name="AutoShape 240" descr="https://www.soccerstats.com/img/own/sshplogo.png">
          <a:hlinkClick xmlns:r="http://schemas.openxmlformats.org/officeDocument/2006/relationships" r:id="rId120"/>
        </xdr:cNvPr>
        <xdr:cNvSpPr>
          <a:spLocks noChangeAspect="1" noChangeArrowheads="1"/>
        </xdr:cNvSpPr>
      </xdr:nvSpPr>
      <xdr:spPr bwMode="auto">
        <a:xfrm>
          <a:off x="13411200" y="24841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65" name="AutoShape 241" descr="BRAZIL"/>
        <xdr:cNvSpPr>
          <a:spLocks noChangeAspect="1" noChangeArrowheads="1"/>
        </xdr:cNvSpPr>
      </xdr:nvSpPr>
      <xdr:spPr bwMode="auto">
        <a:xfrm>
          <a:off x="0" y="25016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66" name="AutoShape 242" descr="https://www.soccerstats.com/img/own/sshplogo.png">
          <a:hlinkClick xmlns:r="http://schemas.openxmlformats.org/officeDocument/2006/relationships" r:id="rId121"/>
        </xdr:cNvPr>
        <xdr:cNvSpPr>
          <a:spLocks noChangeAspect="1" noChangeArrowheads="1"/>
        </xdr:cNvSpPr>
      </xdr:nvSpPr>
      <xdr:spPr bwMode="auto">
        <a:xfrm>
          <a:off x="13411200" y="25016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67" name="AutoShape 243" descr="BRAZIL"/>
        <xdr:cNvSpPr>
          <a:spLocks noChangeAspect="1" noChangeArrowheads="1"/>
        </xdr:cNvSpPr>
      </xdr:nvSpPr>
      <xdr:spPr bwMode="auto">
        <a:xfrm>
          <a:off x="0" y="25191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68" name="AutoShape 244" descr="https://www.soccerstats.com/img/own/sshplogo.png">
          <a:hlinkClick xmlns:r="http://schemas.openxmlformats.org/officeDocument/2006/relationships" r:id="rId122"/>
        </xdr:cNvPr>
        <xdr:cNvSpPr>
          <a:spLocks noChangeAspect="1" noChangeArrowheads="1"/>
        </xdr:cNvSpPr>
      </xdr:nvSpPr>
      <xdr:spPr bwMode="auto">
        <a:xfrm>
          <a:off x="13411200" y="25191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69" name="AutoShape 245" descr="BRAZIL2"/>
        <xdr:cNvSpPr>
          <a:spLocks noChangeAspect="1" noChangeArrowheads="1"/>
        </xdr:cNvSpPr>
      </xdr:nvSpPr>
      <xdr:spPr bwMode="auto">
        <a:xfrm>
          <a:off x="0" y="25366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70" name="AutoShape 246" descr="https://www.soccerstats.com/img/own/sshplogo.png">
          <a:hlinkClick xmlns:r="http://schemas.openxmlformats.org/officeDocument/2006/relationships" r:id="rId123"/>
        </xdr:cNvPr>
        <xdr:cNvSpPr>
          <a:spLocks noChangeAspect="1" noChangeArrowheads="1"/>
        </xdr:cNvSpPr>
      </xdr:nvSpPr>
      <xdr:spPr bwMode="auto">
        <a:xfrm>
          <a:off x="13411200" y="25366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71" name="AutoShape 247" descr="BRAZIL2"/>
        <xdr:cNvSpPr>
          <a:spLocks noChangeAspect="1" noChangeArrowheads="1"/>
        </xdr:cNvSpPr>
      </xdr:nvSpPr>
      <xdr:spPr bwMode="auto">
        <a:xfrm>
          <a:off x="0" y="25542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72" name="AutoShape 248" descr="https://www.soccerstats.com/img/own/sshplogo.png">
          <a:hlinkClick xmlns:r="http://schemas.openxmlformats.org/officeDocument/2006/relationships" r:id="rId124"/>
        </xdr:cNvPr>
        <xdr:cNvSpPr>
          <a:spLocks noChangeAspect="1" noChangeArrowheads="1"/>
        </xdr:cNvSpPr>
      </xdr:nvSpPr>
      <xdr:spPr bwMode="auto">
        <a:xfrm>
          <a:off x="13411200" y="25542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73" name="AutoShape 249" descr="BRAZIL2"/>
        <xdr:cNvSpPr>
          <a:spLocks noChangeAspect="1" noChangeArrowheads="1"/>
        </xdr:cNvSpPr>
      </xdr:nvSpPr>
      <xdr:spPr bwMode="auto">
        <a:xfrm>
          <a:off x="0" y="25717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74" name="AutoShape 250" descr="https://www.soccerstats.com/img/own/sshplogo.png">
          <a:hlinkClick xmlns:r="http://schemas.openxmlformats.org/officeDocument/2006/relationships" r:id="rId125"/>
        </xdr:cNvPr>
        <xdr:cNvSpPr>
          <a:spLocks noChangeAspect="1" noChangeArrowheads="1"/>
        </xdr:cNvSpPr>
      </xdr:nvSpPr>
      <xdr:spPr bwMode="auto">
        <a:xfrm>
          <a:off x="13411200" y="2571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75" name="AutoShape 251" descr="BRAZIL2"/>
        <xdr:cNvSpPr>
          <a:spLocks noChangeAspect="1" noChangeArrowheads="1"/>
        </xdr:cNvSpPr>
      </xdr:nvSpPr>
      <xdr:spPr bwMode="auto">
        <a:xfrm>
          <a:off x="0" y="25892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76" name="AutoShape 252" descr="https://www.soccerstats.com/img/own/sshplogo.png">
          <a:hlinkClick xmlns:r="http://schemas.openxmlformats.org/officeDocument/2006/relationships" r:id="rId126"/>
        </xdr:cNvPr>
        <xdr:cNvSpPr>
          <a:spLocks noChangeAspect="1" noChangeArrowheads="1"/>
        </xdr:cNvSpPr>
      </xdr:nvSpPr>
      <xdr:spPr bwMode="auto">
        <a:xfrm>
          <a:off x="13411200" y="25892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77" name="AutoShape 253" descr="BRAZIL3"/>
        <xdr:cNvSpPr>
          <a:spLocks noChangeAspect="1" noChangeArrowheads="1"/>
        </xdr:cNvSpPr>
      </xdr:nvSpPr>
      <xdr:spPr bwMode="auto">
        <a:xfrm>
          <a:off x="0" y="26068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78" name="AutoShape 254" descr="https://www.soccerstats.com/img/own/sshplogo.png">
          <a:hlinkClick xmlns:r="http://schemas.openxmlformats.org/officeDocument/2006/relationships" r:id="rId127"/>
        </xdr:cNvPr>
        <xdr:cNvSpPr>
          <a:spLocks noChangeAspect="1" noChangeArrowheads="1"/>
        </xdr:cNvSpPr>
      </xdr:nvSpPr>
      <xdr:spPr bwMode="auto">
        <a:xfrm>
          <a:off x="13411200" y="26068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79" name="AutoShape 255" descr="BRAZIL3"/>
        <xdr:cNvSpPr>
          <a:spLocks noChangeAspect="1" noChangeArrowheads="1"/>
        </xdr:cNvSpPr>
      </xdr:nvSpPr>
      <xdr:spPr bwMode="auto">
        <a:xfrm>
          <a:off x="0" y="26243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80" name="AutoShape 256" descr="https://www.soccerstats.com/img/own/sshplogo.png">
          <a:hlinkClick xmlns:r="http://schemas.openxmlformats.org/officeDocument/2006/relationships" r:id="rId128"/>
        </xdr:cNvPr>
        <xdr:cNvSpPr>
          <a:spLocks noChangeAspect="1" noChangeArrowheads="1"/>
        </xdr:cNvSpPr>
      </xdr:nvSpPr>
      <xdr:spPr bwMode="auto">
        <a:xfrm>
          <a:off x="13411200" y="26243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81" name="AutoShape 257" descr="BRAZIL3"/>
        <xdr:cNvSpPr>
          <a:spLocks noChangeAspect="1" noChangeArrowheads="1"/>
        </xdr:cNvSpPr>
      </xdr:nvSpPr>
      <xdr:spPr bwMode="auto">
        <a:xfrm>
          <a:off x="0" y="26494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82" name="AutoShape 258" descr="https://www.soccerstats.com/img/own/sshplogo.png">
          <a:hlinkClick xmlns:r="http://schemas.openxmlformats.org/officeDocument/2006/relationships" r:id="rId129"/>
        </xdr:cNvPr>
        <xdr:cNvSpPr>
          <a:spLocks noChangeAspect="1" noChangeArrowheads="1"/>
        </xdr:cNvSpPr>
      </xdr:nvSpPr>
      <xdr:spPr bwMode="auto">
        <a:xfrm>
          <a:off x="13411200" y="26494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83" name="AutoShape 259" descr="BRAZIL3"/>
        <xdr:cNvSpPr>
          <a:spLocks noChangeAspect="1" noChangeArrowheads="1"/>
        </xdr:cNvSpPr>
      </xdr:nvSpPr>
      <xdr:spPr bwMode="auto">
        <a:xfrm>
          <a:off x="0" y="26670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84" name="AutoShape 260" descr="https://www.soccerstats.com/img/own/sshplogo.png">
          <a:hlinkClick xmlns:r="http://schemas.openxmlformats.org/officeDocument/2006/relationships" r:id="rId130"/>
        </xdr:cNvPr>
        <xdr:cNvSpPr>
          <a:spLocks noChangeAspect="1" noChangeArrowheads="1"/>
        </xdr:cNvSpPr>
      </xdr:nvSpPr>
      <xdr:spPr bwMode="auto">
        <a:xfrm>
          <a:off x="13411200" y="2667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85" name="AutoShape 261" descr="BRAZIL5"/>
        <xdr:cNvSpPr>
          <a:spLocks noChangeAspect="1" noChangeArrowheads="1"/>
        </xdr:cNvSpPr>
      </xdr:nvSpPr>
      <xdr:spPr bwMode="auto">
        <a:xfrm>
          <a:off x="0" y="26845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86" name="AutoShape 262" descr="https://www.soccerstats.com/img/own/sshplogo.png">
          <a:hlinkClick xmlns:r="http://schemas.openxmlformats.org/officeDocument/2006/relationships" r:id="rId131"/>
        </xdr:cNvPr>
        <xdr:cNvSpPr>
          <a:spLocks noChangeAspect="1" noChangeArrowheads="1"/>
        </xdr:cNvSpPr>
      </xdr:nvSpPr>
      <xdr:spPr bwMode="auto">
        <a:xfrm>
          <a:off x="13411200" y="26845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87" name="AutoShape 263" descr="BRAZIL5"/>
        <xdr:cNvSpPr>
          <a:spLocks noChangeAspect="1" noChangeArrowheads="1"/>
        </xdr:cNvSpPr>
      </xdr:nvSpPr>
      <xdr:spPr bwMode="auto">
        <a:xfrm>
          <a:off x="0" y="27096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88" name="AutoShape 264" descr="https://www.soccerstats.com/img/own/sshplogo.png">
          <a:hlinkClick xmlns:r="http://schemas.openxmlformats.org/officeDocument/2006/relationships" r:id="rId132"/>
        </xdr:cNvPr>
        <xdr:cNvSpPr>
          <a:spLocks noChangeAspect="1" noChangeArrowheads="1"/>
        </xdr:cNvSpPr>
      </xdr:nvSpPr>
      <xdr:spPr bwMode="auto">
        <a:xfrm>
          <a:off x="13411200" y="27096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89" name="AutoShape 265" descr="BRAZIL5"/>
        <xdr:cNvSpPr>
          <a:spLocks noChangeAspect="1" noChangeArrowheads="1"/>
        </xdr:cNvSpPr>
      </xdr:nvSpPr>
      <xdr:spPr bwMode="auto">
        <a:xfrm>
          <a:off x="0" y="27348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90" name="AutoShape 266" descr="https://www.soccerstats.com/img/own/sshplogo.png">
          <a:hlinkClick xmlns:r="http://schemas.openxmlformats.org/officeDocument/2006/relationships" r:id="rId133"/>
        </xdr:cNvPr>
        <xdr:cNvSpPr>
          <a:spLocks noChangeAspect="1" noChangeArrowheads="1"/>
        </xdr:cNvSpPr>
      </xdr:nvSpPr>
      <xdr:spPr bwMode="auto">
        <a:xfrm>
          <a:off x="13411200" y="27348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91" name="AutoShape 267" descr="BRAZIL5"/>
        <xdr:cNvSpPr>
          <a:spLocks noChangeAspect="1" noChangeArrowheads="1"/>
        </xdr:cNvSpPr>
      </xdr:nvSpPr>
      <xdr:spPr bwMode="auto">
        <a:xfrm>
          <a:off x="0" y="27599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92" name="AutoShape 268" descr="https://www.soccerstats.com/img/own/sshplogo.png">
          <a:hlinkClick xmlns:r="http://schemas.openxmlformats.org/officeDocument/2006/relationships" r:id="rId134"/>
        </xdr:cNvPr>
        <xdr:cNvSpPr>
          <a:spLocks noChangeAspect="1" noChangeArrowheads="1"/>
        </xdr:cNvSpPr>
      </xdr:nvSpPr>
      <xdr:spPr bwMode="auto">
        <a:xfrm>
          <a:off x="13411200" y="27599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93" name="AutoShape 269" descr="BRAZIL5"/>
        <xdr:cNvSpPr>
          <a:spLocks noChangeAspect="1" noChangeArrowheads="1"/>
        </xdr:cNvSpPr>
      </xdr:nvSpPr>
      <xdr:spPr bwMode="auto">
        <a:xfrm>
          <a:off x="0" y="27851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94" name="AutoShape 270" descr="https://www.soccerstats.com/img/own/sshplogo.png">
          <a:hlinkClick xmlns:r="http://schemas.openxmlformats.org/officeDocument/2006/relationships" r:id="rId135"/>
        </xdr:cNvPr>
        <xdr:cNvSpPr>
          <a:spLocks noChangeAspect="1" noChangeArrowheads="1"/>
        </xdr:cNvSpPr>
      </xdr:nvSpPr>
      <xdr:spPr bwMode="auto">
        <a:xfrm>
          <a:off x="13411200" y="27851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95" name="AutoShape 271" descr="BRAZIL5"/>
        <xdr:cNvSpPr>
          <a:spLocks noChangeAspect="1" noChangeArrowheads="1"/>
        </xdr:cNvSpPr>
      </xdr:nvSpPr>
      <xdr:spPr bwMode="auto">
        <a:xfrm>
          <a:off x="0" y="28026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96" name="AutoShape 272" descr="https://www.soccerstats.com/img/own/sshplogo.png">
          <a:hlinkClick xmlns:r="http://schemas.openxmlformats.org/officeDocument/2006/relationships" r:id="rId136"/>
        </xdr:cNvPr>
        <xdr:cNvSpPr>
          <a:spLocks noChangeAspect="1" noChangeArrowheads="1"/>
        </xdr:cNvSpPr>
      </xdr:nvSpPr>
      <xdr:spPr bwMode="auto">
        <a:xfrm>
          <a:off x="13411200" y="28026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97" name="AutoShape 273" descr="BULGARIA"/>
        <xdr:cNvSpPr>
          <a:spLocks noChangeAspect="1" noChangeArrowheads="1"/>
        </xdr:cNvSpPr>
      </xdr:nvSpPr>
      <xdr:spPr bwMode="auto">
        <a:xfrm>
          <a:off x="0" y="28277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98" name="AutoShape 274" descr="https://www.soccerstats.com/img/own/sshplogo.png">
          <a:hlinkClick xmlns:r="http://schemas.openxmlformats.org/officeDocument/2006/relationships" r:id="rId137"/>
        </xdr:cNvPr>
        <xdr:cNvSpPr>
          <a:spLocks noChangeAspect="1" noChangeArrowheads="1"/>
        </xdr:cNvSpPr>
      </xdr:nvSpPr>
      <xdr:spPr bwMode="auto">
        <a:xfrm>
          <a:off x="13411200" y="28277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99" name="AutoShape 275" descr="BULGARIA"/>
        <xdr:cNvSpPr>
          <a:spLocks noChangeAspect="1" noChangeArrowheads="1"/>
        </xdr:cNvSpPr>
      </xdr:nvSpPr>
      <xdr:spPr bwMode="auto">
        <a:xfrm>
          <a:off x="0" y="28453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00" name="AutoShape 276" descr="https://www.soccerstats.com/img/own/sshplogo.png">
          <a:hlinkClick xmlns:r="http://schemas.openxmlformats.org/officeDocument/2006/relationships" r:id="rId138"/>
        </xdr:cNvPr>
        <xdr:cNvSpPr>
          <a:spLocks noChangeAspect="1" noChangeArrowheads="1"/>
        </xdr:cNvSpPr>
      </xdr:nvSpPr>
      <xdr:spPr bwMode="auto">
        <a:xfrm>
          <a:off x="13411200" y="28453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01" name="AutoShape 277" descr="CANADA"/>
        <xdr:cNvSpPr>
          <a:spLocks noChangeAspect="1" noChangeArrowheads="1"/>
        </xdr:cNvSpPr>
      </xdr:nvSpPr>
      <xdr:spPr bwMode="auto">
        <a:xfrm>
          <a:off x="0" y="28628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02" name="AutoShape 278" descr="https://www.soccerstats.com/img/own/sshplogo.png">
          <a:hlinkClick xmlns:r="http://schemas.openxmlformats.org/officeDocument/2006/relationships" r:id="rId139"/>
        </xdr:cNvPr>
        <xdr:cNvSpPr>
          <a:spLocks noChangeAspect="1" noChangeArrowheads="1"/>
        </xdr:cNvSpPr>
      </xdr:nvSpPr>
      <xdr:spPr bwMode="auto">
        <a:xfrm>
          <a:off x="13411200" y="2862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03" name="AutoShape 279" descr="CANADA"/>
        <xdr:cNvSpPr>
          <a:spLocks noChangeAspect="1" noChangeArrowheads="1"/>
        </xdr:cNvSpPr>
      </xdr:nvSpPr>
      <xdr:spPr bwMode="auto">
        <a:xfrm>
          <a:off x="0" y="28803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04" name="AutoShape 280" descr="https://www.soccerstats.com/img/own/sshplogo.png">
          <a:hlinkClick xmlns:r="http://schemas.openxmlformats.org/officeDocument/2006/relationships" r:id="rId140"/>
        </xdr:cNvPr>
        <xdr:cNvSpPr>
          <a:spLocks noChangeAspect="1" noChangeArrowheads="1"/>
        </xdr:cNvSpPr>
      </xdr:nvSpPr>
      <xdr:spPr bwMode="auto">
        <a:xfrm>
          <a:off x="13411200" y="28803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05" name="AutoShape 281" descr="CHILE"/>
        <xdr:cNvSpPr>
          <a:spLocks noChangeAspect="1" noChangeArrowheads="1"/>
        </xdr:cNvSpPr>
      </xdr:nvSpPr>
      <xdr:spPr bwMode="auto">
        <a:xfrm>
          <a:off x="0" y="28978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06" name="AutoShape 282" descr="https://www.soccerstats.com/img/own/sshplogo.png">
          <a:hlinkClick xmlns:r="http://schemas.openxmlformats.org/officeDocument/2006/relationships" r:id="rId141"/>
        </xdr:cNvPr>
        <xdr:cNvSpPr>
          <a:spLocks noChangeAspect="1" noChangeArrowheads="1"/>
        </xdr:cNvSpPr>
      </xdr:nvSpPr>
      <xdr:spPr bwMode="auto">
        <a:xfrm>
          <a:off x="13411200" y="28978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07" name="AutoShape 283" descr="CHILE2"/>
        <xdr:cNvSpPr>
          <a:spLocks noChangeAspect="1" noChangeArrowheads="1"/>
        </xdr:cNvSpPr>
      </xdr:nvSpPr>
      <xdr:spPr bwMode="auto">
        <a:xfrm>
          <a:off x="0" y="29154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08" name="AutoShape 284" descr="https://www.soccerstats.com/img/own/sshplogo.png">
          <a:hlinkClick xmlns:r="http://schemas.openxmlformats.org/officeDocument/2006/relationships" r:id="rId142"/>
        </xdr:cNvPr>
        <xdr:cNvSpPr>
          <a:spLocks noChangeAspect="1" noChangeArrowheads="1"/>
        </xdr:cNvSpPr>
      </xdr:nvSpPr>
      <xdr:spPr bwMode="auto">
        <a:xfrm>
          <a:off x="13411200" y="29154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09" name="AutoShape 285" descr="CHINA"/>
        <xdr:cNvSpPr>
          <a:spLocks noChangeAspect="1" noChangeArrowheads="1"/>
        </xdr:cNvSpPr>
      </xdr:nvSpPr>
      <xdr:spPr bwMode="auto">
        <a:xfrm>
          <a:off x="0" y="29329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10" name="AutoShape 286" descr="https://www.soccerstats.com/img/own/sshplogo.png">
          <a:hlinkClick xmlns:r="http://schemas.openxmlformats.org/officeDocument/2006/relationships" r:id="rId143"/>
        </xdr:cNvPr>
        <xdr:cNvSpPr>
          <a:spLocks noChangeAspect="1" noChangeArrowheads="1"/>
        </xdr:cNvSpPr>
      </xdr:nvSpPr>
      <xdr:spPr bwMode="auto">
        <a:xfrm>
          <a:off x="13411200" y="29329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11" name="AutoShape 287" descr="CHINA"/>
        <xdr:cNvSpPr>
          <a:spLocks noChangeAspect="1" noChangeArrowheads="1"/>
        </xdr:cNvSpPr>
      </xdr:nvSpPr>
      <xdr:spPr bwMode="auto">
        <a:xfrm>
          <a:off x="0" y="29580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12" name="AutoShape 288" descr="https://www.soccerstats.com/img/own/sshplogo.png">
          <a:hlinkClick xmlns:r="http://schemas.openxmlformats.org/officeDocument/2006/relationships" r:id="rId144"/>
        </xdr:cNvPr>
        <xdr:cNvSpPr>
          <a:spLocks noChangeAspect="1" noChangeArrowheads="1"/>
        </xdr:cNvSpPr>
      </xdr:nvSpPr>
      <xdr:spPr bwMode="auto">
        <a:xfrm>
          <a:off x="13411200" y="29580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13" name="AutoShape 289" descr="CHINA"/>
        <xdr:cNvSpPr>
          <a:spLocks noChangeAspect="1" noChangeArrowheads="1"/>
        </xdr:cNvSpPr>
      </xdr:nvSpPr>
      <xdr:spPr bwMode="auto">
        <a:xfrm>
          <a:off x="0" y="29832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14" name="AutoShape 290" descr="https://www.soccerstats.com/img/own/sshplogo.png">
          <a:hlinkClick xmlns:r="http://schemas.openxmlformats.org/officeDocument/2006/relationships" r:id="rId145"/>
        </xdr:cNvPr>
        <xdr:cNvSpPr>
          <a:spLocks noChangeAspect="1" noChangeArrowheads="1"/>
        </xdr:cNvSpPr>
      </xdr:nvSpPr>
      <xdr:spPr bwMode="auto">
        <a:xfrm>
          <a:off x="13411200" y="29832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15" name="AutoShape 291" descr="CHINA"/>
        <xdr:cNvSpPr>
          <a:spLocks noChangeAspect="1" noChangeArrowheads="1"/>
        </xdr:cNvSpPr>
      </xdr:nvSpPr>
      <xdr:spPr bwMode="auto">
        <a:xfrm>
          <a:off x="0" y="30007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16" name="AutoShape 292" descr="https://www.soccerstats.com/img/own/sshplogo.png">
          <a:hlinkClick xmlns:r="http://schemas.openxmlformats.org/officeDocument/2006/relationships" r:id="rId146"/>
        </xdr:cNvPr>
        <xdr:cNvSpPr>
          <a:spLocks noChangeAspect="1" noChangeArrowheads="1"/>
        </xdr:cNvSpPr>
      </xdr:nvSpPr>
      <xdr:spPr bwMode="auto">
        <a:xfrm>
          <a:off x="13411200" y="30007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17" name="AutoShape 293" descr="CHINA"/>
        <xdr:cNvSpPr>
          <a:spLocks noChangeAspect="1" noChangeArrowheads="1"/>
        </xdr:cNvSpPr>
      </xdr:nvSpPr>
      <xdr:spPr bwMode="auto">
        <a:xfrm>
          <a:off x="0" y="30182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18" name="AutoShape 294" descr="https://www.soccerstats.com/img/own/sshplogo.png">
          <a:hlinkClick xmlns:r="http://schemas.openxmlformats.org/officeDocument/2006/relationships" r:id="rId147"/>
        </xdr:cNvPr>
        <xdr:cNvSpPr>
          <a:spLocks noChangeAspect="1" noChangeArrowheads="1"/>
        </xdr:cNvSpPr>
      </xdr:nvSpPr>
      <xdr:spPr bwMode="auto">
        <a:xfrm>
          <a:off x="13411200" y="30182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19" name="AutoShape 295" descr="CHINA2"/>
        <xdr:cNvSpPr>
          <a:spLocks noChangeAspect="1" noChangeArrowheads="1"/>
        </xdr:cNvSpPr>
      </xdr:nvSpPr>
      <xdr:spPr bwMode="auto">
        <a:xfrm>
          <a:off x="0" y="30434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20" name="AutoShape 296" descr="https://www.soccerstats.com/img/own/sshplogo.png">
          <a:hlinkClick xmlns:r="http://schemas.openxmlformats.org/officeDocument/2006/relationships" r:id="rId148"/>
        </xdr:cNvPr>
        <xdr:cNvSpPr>
          <a:spLocks noChangeAspect="1" noChangeArrowheads="1"/>
        </xdr:cNvSpPr>
      </xdr:nvSpPr>
      <xdr:spPr bwMode="auto">
        <a:xfrm>
          <a:off x="13411200" y="30434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21" name="AutoShape 297" descr="CHINA2"/>
        <xdr:cNvSpPr>
          <a:spLocks noChangeAspect="1" noChangeArrowheads="1"/>
        </xdr:cNvSpPr>
      </xdr:nvSpPr>
      <xdr:spPr bwMode="auto">
        <a:xfrm>
          <a:off x="0" y="30685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22" name="AutoShape 298" descr="https://www.soccerstats.com/img/own/sshplogo.png">
          <a:hlinkClick xmlns:r="http://schemas.openxmlformats.org/officeDocument/2006/relationships" r:id="rId149"/>
        </xdr:cNvPr>
        <xdr:cNvSpPr>
          <a:spLocks noChangeAspect="1" noChangeArrowheads="1"/>
        </xdr:cNvSpPr>
      </xdr:nvSpPr>
      <xdr:spPr bwMode="auto">
        <a:xfrm>
          <a:off x="13411200" y="30685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23" name="AutoShape 299" descr="CHINA2"/>
        <xdr:cNvSpPr>
          <a:spLocks noChangeAspect="1" noChangeArrowheads="1"/>
        </xdr:cNvSpPr>
      </xdr:nvSpPr>
      <xdr:spPr bwMode="auto">
        <a:xfrm>
          <a:off x="0" y="30937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24" name="AutoShape 300" descr="https://www.soccerstats.com/img/own/sshplogo.png">
          <a:hlinkClick xmlns:r="http://schemas.openxmlformats.org/officeDocument/2006/relationships" r:id="rId150"/>
        </xdr:cNvPr>
        <xdr:cNvSpPr>
          <a:spLocks noChangeAspect="1" noChangeArrowheads="1"/>
        </xdr:cNvSpPr>
      </xdr:nvSpPr>
      <xdr:spPr bwMode="auto">
        <a:xfrm>
          <a:off x="13411200" y="30937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25" name="AutoShape 301" descr="CHINA2"/>
        <xdr:cNvSpPr>
          <a:spLocks noChangeAspect="1" noChangeArrowheads="1"/>
        </xdr:cNvSpPr>
      </xdr:nvSpPr>
      <xdr:spPr bwMode="auto">
        <a:xfrm>
          <a:off x="0" y="31188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26" name="AutoShape 302" descr="https://www.soccerstats.com/img/own/sshplogo.png">
          <a:hlinkClick xmlns:r="http://schemas.openxmlformats.org/officeDocument/2006/relationships" r:id="rId151"/>
        </xdr:cNvPr>
        <xdr:cNvSpPr>
          <a:spLocks noChangeAspect="1" noChangeArrowheads="1"/>
        </xdr:cNvSpPr>
      </xdr:nvSpPr>
      <xdr:spPr bwMode="auto">
        <a:xfrm>
          <a:off x="13411200" y="31188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27" name="AutoShape 303" descr="COLOMBIA2"/>
        <xdr:cNvSpPr>
          <a:spLocks noChangeAspect="1" noChangeArrowheads="1"/>
        </xdr:cNvSpPr>
      </xdr:nvSpPr>
      <xdr:spPr bwMode="auto">
        <a:xfrm>
          <a:off x="0" y="31440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28" name="AutoShape 304" descr="https://www.soccerstats.com/img/own/sshplogo.png">
          <a:hlinkClick xmlns:r="http://schemas.openxmlformats.org/officeDocument/2006/relationships" r:id="rId152"/>
        </xdr:cNvPr>
        <xdr:cNvSpPr>
          <a:spLocks noChangeAspect="1" noChangeArrowheads="1"/>
        </xdr:cNvSpPr>
      </xdr:nvSpPr>
      <xdr:spPr bwMode="auto">
        <a:xfrm>
          <a:off x="13411200" y="31440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29" name="AutoShape 305" descr="COSTARICA"/>
        <xdr:cNvSpPr>
          <a:spLocks noChangeAspect="1" noChangeArrowheads="1"/>
        </xdr:cNvSpPr>
      </xdr:nvSpPr>
      <xdr:spPr bwMode="auto">
        <a:xfrm>
          <a:off x="0" y="31615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30" name="AutoShape 306" descr="https://www.soccerstats.com/img/own/sshplogo.png">
          <a:hlinkClick xmlns:r="http://schemas.openxmlformats.org/officeDocument/2006/relationships" r:id="rId153"/>
        </xdr:cNvPr>
        <xdr:cNvSpPr>
          <a:spLocks noChangeAspect="1" noChangeArrowheads="1"/>
        </xdr:cNvSpPr>
      </xdr:nvSpPr>
      <xdr:spPr bwMode="auto">
        <a:xfrm>
          <a:off x="13411200" y="31615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31" name="AutoShape 307" descr="COSTARICA"/>
        <xdr:cNvSpPr>
          <a:spLocks noChangeAspect="1" noChangeArrowheads="1"/>
        </xdr:cNvSpPr>
      </xdr:nvSpPr>
      <xdr:spPr bwMode="auto">
        <a:xfrm>
          <a:off x="0" y="31790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32" name="AutoShape 308" descr="https://www.soccerstats.com/img/own/sshplogo.png">
          <a:hlinkClick xmlns:r="http://schemas.openxmlformats.org/officeDocument/2006/relationships" r:id="rId154"/>
        </xdr:cNvPr>
        <xdr:cNvSpPr>
          <a:spLocks noChangeAspect="1" noChangeArrowheads="1"/>
        </xdr:cNvSpPr>
      </xdr:nvSpPr>
      <xdr:spPr bwMode="auto">
        <a:xfrm>
          <a:off x="13411200" y="31790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33" name="AutoShape 309" descr="CROATIA"/>
        <xdr:cNvSpPr>
          <a:spLocks noChangeAspect="1" noChangeArrowheads="1"/>
        </xdr:cNvSpPr>
      </xdr:nvSpPr>
      <xdr:spPr bwMode="auto">
        <a:xfrm>
          <a:off x="0" y="31965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34" name="AutoShape 310" descr="https://www.soccerstats.com/img/own/sshplogo.png">
          <a:hlinkClick xmlns:r="http://schemas.openxmlformats.org/officeDocument/2006/relationships" r:id="rId155"/>
        </xdr:cNvPr>
        <xdr:cNvSpPr>
          <a:spLocks noChangeAspect="1" noChangeArrowheads="1"/>
        </xdr:cNvSpPr>
      </xdr:nvSpPr>
      <xdr:spPr bwMode="auto">
        <a:xfrm>
          <a:off x="13411200" y="31965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35" name="AutoShape 311" descr="CROATIA"/>
        <xdr:cNvSpPr>
          <a:spLocks noChangeAspect="1" noChangeArrowheads="1"/>
        </xdr:cNvSpPr>
      </xdr:nvSpPr>
      <xdr:spPr bwMode="auto">
        <a:xfrm>
          <a:off x="0" y="32217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36" name="AutoShape 312" descr="https://www.soccerstats.com/img/own/sshplogo.png">
          <a:hlinkClick xmlns:r="http://schemas.openxmlformats.org/officeDocument/2006/relationships" r:id="rId156"/>
        </xdr:cNvPr>
        <xdr:cNvSpPr>
          <a:spLocks noChangeAspect="1" noChangeArrowheads="1"/>
        </xdr:cNvSpPr>
      </xdr:nvSpPr>
      <xdr:spPr bwMode="auto">
        <a:xfrm>
          <a:off x="13411200" y="32217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37" name="AutoShape 313" descr="CZECHREPUBLIC"/>
        <xdr:cNvSpPr>
          <a:spLocks noChangeAspect="1" noChangeArrowheads="1"/>
        </xdr:cNvSpPr>
      </xdr:nvSpPr>
      <xdr:spPr bwMode="auto">
        <a:xfrm>
          <a:off x="0" y="32392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38" name="AutoShape 314" descr="https://www.soccerstats.com/img/own/sshplogo.png">
          <a:hlinkClick xmlns:r="http://schemas.openxmlformats.org/officeDocument/2006/relationships" r:id="rId157"/>
        </xdr:cNvPr>
        <xdr:cNvSpPr>
          <a:spLocks noChangeAspect="1" noChangeArrowheads="1"/>
        </xdr:cNvSpPr>
      </xdr:nvSpPr>
      <xdr:spPr bwMode="auto">
        <a:xfrm>
          <a:off x="13411200" y="32392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39" name="AutoShape 315" descr="CZECHREPUBLIC"/>
        <xdr:cNvSpPr>
          <a:spLocks noChangeAspect="1" noChangeArrowheads="1"/>
        </xdr:cNvSpPr>
      </xdr:nvSpPr>
      <xdr:spPr bwMode="auto">
        <a:xfrm>
          <a:off x="0" y="32567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40" name="AutoShape 316" descr="https://www.soccerstats.com/img/own/sshplogo.png">
          <a:hlinkClick xmlns:r="http://schemas.openxmlformats.org/officeDocument/2006/relationships" r:id="rId158"/>
        </xdr:cNvPr>
        <xdr:cNvSpPr>
          <a:spLocks noChangeAspect="1" noChangeArrowheads="1"/>
        </xdr:cNvSpPr>
      </xdr:nvSpPr>
      <xdr:spPr bwMode="auto">
        <a:xfrm>
          <a:off x="13411200" y="32567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41" name="AutoShape 317" descr="CZECHREPUBLIC"/>
        <xdr:cNvSpPr>
          <a:spLocks noChangeAspect="1" noChangeArrowheads="1"/>
        </xdr:cNvSpPr>
      </xdr:nvSpPr>
      <xdr:spPr bwMode="auto">
        <a:xfrm>
          <a:off x="0" y="32743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42" name="AutoShape 318" descr="https://www.soccerstats.com/img/own/sshplogo.png">
          <a:hlinkClick xmlns:r="http://schemas.openxmlformats.org/officeDocument/2006/relationships" r:id="rId159"/>
        </xdr:cNvPr>
        <xdr:cNvSpPr>
          <a:spLocks noChangeAspect="1" noChangeArrowheads="1"/>
        </xdr:cNvSpPr>
      </xdr:nvSpPr>
      <xdr:spPr bwMode="auto">
        <a:xfrm>
          <a:off x="13411200" y="32743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43" name="AutoShape 319" descr="CZECHREPUBLIC"/>
        <xdr:cNvSpPr>
          <a:spLocks noChangeAspect="1" noChangeArrowheads="1"/>
        </xdr:cNvSpPr>
      </xdr:nvSpPr>
      <xdr:spPr bwMode="auto">
        <a:xfrm>
          <a:off x="0" y="32994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44" name="AutoShape 320" descr="https://www.soccerstats.com/img/own/sshplogo.png">
          <a:hlinkClick xmlns:r="http://schemas.openxmlformats.org/officeDocument/2006/relationships" r:id="rId160"/>
        </xdr:cNvPr>
        <xdr:cNvSpPr>
          <a:spLocks noChangeAspect="1" noChangeArrowheads="1"/>
        </xdr:cNvSpPr>
      </xdr:nvSpPr>
      <xdr:spPr bwMode="auto">
        <a:xfrm>
          <a:off x="13411200" y="32994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45" name="AutoShape 321" descr="CZECHREPUBLIC"/>
        <xdr:cNvSpPr>
          <a:spLocks noChangeAspect="1" noChangeArrowheads="1"/>
        </xdr:cNvSpPr>
      </xdr:nvSpPr>
      <xdr:spPr bwMode="auto">
        <a:xfrm>
          <a:off x="0" y="33246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46" name="AutoShape 322" descr="https://www.soccerstats.com/img/own/sshplogo.png">
          <a:hlinkClick xmlns:r="http://schemas.openxmlformats.org/officeDocument/2006/relationships" r:id="rId161"/>
        </xdr:cNvPr>
        <xdr:cNvSpPr>
          <a:spLocks noChangeAspect="1" noChangeArrowheads="1"/>
        </xdr:cNvSpPr>
      </xdr:nvSpPr>
      <xdr:spPr bwMode="auto">
        <a:xfrm>
          <a:off x="13411200" y="33246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47" name="AutoShape 323" descr="CZECHREPUBLIC"/>
        <xdr:cNvSpPr>
          <a:spLocks noChangeAspect="1" noChangeArrowheads="1"/>
        </xdr:cNvSpPr>
      </xdr:nvSpPr>
      <xdr:spPr bwMode="auto">
        <a:xfrm>
          <a:off x="0" y="33497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48" name="AutoShape 324" descr="https://www.soccerstats.com/img/own/sshplogo.png">
          <a:hlinkClick xmlns:r="http://schemas.openxmlformats.org/officeDocument/2006/relationships" r:id="rId162"/>
        </xdr:cNvPr>
        <xdr:cNvSpPr>
          <a:spLocks noChangeAspect="1" noChangeArrowheads="1"/>
        </xdr:cNvSpPr>
      </xdr:nvSpPr>
      <xdr:spPr bwMode="auto">
        <a:xfrm>
          <a:off x="13411200" y="33497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49" name="AutoShape 325" descr="CZECHREPUBLIC"/>
        <xdr:cNvSpPr>
          <a:spLocks noChangeAspect="1" noChangeArrowheads="1"/>
        </xdr:cNvSpPr>
      </xdr:nvSpPr>
      <xdr:spPr bwMode="auto">
        <a:xfrm>
          <a:off x="0" y="33672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50" name="AutoShape 326" descr="https://www.soccerstats.com/img/own/sshplogo.png">
          <a:hlinkClick xmlns:r="http://schemas.openxmlformats.org/officeDocument/2006/relationships" r:id="rId163"/>
        </xdr:cNvPr>
        <xdr:cNvSpPr>
          <a:spLocks noChangeAspect="1" noChangeArrowheads="1"/>
        </xdr:cNvSpPr>
      </xdr:nvSpPr>
      <xdr:spPr bwMode="auto">
        <a:xfrm>
          <a:off x="13411200" y="33672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51" name="AutoShape 327" descr="CZECHREPUBLIC"/>
        <xdr:cNvSpPr>
          <a:spLocks noChangeAspect="1" noChangeArrowheads="1"/>
        </xdr:cNvSpPr>
      </xdr:nvSpPr>
      <xdr:spPr bwMode="auto">
        <a:xfrm>
          <a:off x="0" y="33848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52" name="AutoShape 328" descr="https://www.soccerstats.com/img/own/sshplogo.png">
          <a:hlinkClick xmlns:r="http://schemas.openxmlformats.org/officeDocument/2006/relationships" r:id="rId164"/>
        </xdr:cNvPr>
        <xdr:cNvSpPr>
          <a:spLocks noChangeAspect="1" noChangeArrowheads="1"/>
        </xdr:cNvSpPr>
      </xdr:nvSpPr>
      <xdr:spPr bwMode="auto">
        <a:xfrm>
          <a:off x="13411200" y="33848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53" name="AutoShape 329" descr="CZECHREPUBLIC2"/>
        <xdr:cNvSpPr>
          <a:spLocks noChangeAspect="1" noChangeArrowheads="1"/>
        </xdr:cNvSpPr>
      </xdr:nvSpPr>
      <xdr:spPr bwMode="auto">
        <a:xfrm>
          <a:off x="0" y="34099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54" name="AutoShape 330" descr="https://www.soccerstats.com/img/own/sshplogo.png">
          <a:hlinkClick xmlns:r="http://schemas.openxmlformats.org/officeDocument/2006/relationships" r:id="rId165"/>
        </xdr:cNvPr>
        <xdr:cNvSpPr>
          <a:spLocks noChangeAspect="1" noChangeArrowheads="1"/>
        </xdr:cNvSpPr>
      </xdr:nvSpPr>
      <xdr:spPr bwMode="auto">
        <a:xfrm>
          <a:off x="13411200" y="3409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55" name="AutoShape 331" descr="CZECHREPUBLIC2"/>
        <xdr:cNvSpPr>
          <a:spLocks noChangeAspect="1" noChangeArrowheads="1"/>
        </xdr:cNvSpPr>
      </xdr:nvSpPr>
      <xdr:spPr bwMode="auto">
        <a:xfrm>
          <a:off x="0" y="34350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56" name="AutoShape 332" descr="https://www.soccerstats.com/img/own/sshplogo.png">
          <a:hlinkClick xmlns:r="http://schemas.openxmlformats.org/officeDocument/2006/relationships" r:id="rId166"/>
        </xdr:cNvPr>
        <xdr:cNvSpPr>
          <a:spLocks noChangeAspect="1" noChangeArrowheads="1"/>
        </xdr:cNvSpPr>
      </xdr:nvSpPr>
      <xdr:spPr bwMode="auto">
        <a:xfrm>
          <a:off x="13411200" y="34350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57" name="AutoShape 333" descr="CZECHREPUBLIC2"/>
        <xdr:cNvSpPr>
          <a:spLocks noChangeAspect="1" noChangeArrowheads="1"/>
        </xdr:cNvSpPr>
      </xdr:nvSpPr>
      <xdr:spPr bwMode="auto">
        <a:xfrm>
          <a:off x="0" y="34526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58" name="AutoShape 334" descr="https://www.soccerstats.com/img/own/sshplogo.png">
          <a:hlinkClick xmlns:r="http://schemas.openxmlformats.org/officeDocument/2006/relationships" r:id="rId167"/>
        </xdr:cNvPr>
        <xdr:cNvSpPr>
          <a:spLocks noChangeAspect="1" noChangeArrowheads="1"/>
        </xdr:cNvSpPr>
      </xdr:nvSpPr>
      <xdr:spPr bwMode="auto">
        <a:xfrm>
          <a:off x="13411200" y="34526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59" name="AutoShape 335" descr="CZECHREPUBLIC2"/>
        <xdr:cNvSpPr>
          <a:spLocks noChangeAspect="1" noChangeArrowheads="1"/>
        </xdr:cNvSpPr>
      </xdr:nvSpPr>
      <xdr:spPr bwMode="auto">
        <a:xfrm>
          <a:off x="0" y="34777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60" name="AutoShape 336" descr="https://www.soccerstats.com/img/own/sshplogo.png">
          <a:hlinkClick xmlns:r="http://schemas.openxmlformats.org/officeDocument/2006/relationships" r:id="rId168"/>
        </xdr:cNvPr>
        <xdr:cNvSpPr>
          <a:spLocks noChangeAspect="1" noChangeArrowheads="1"/>
        </xdr:cNvSpPr>
      </xdr:nvSpPr>
      <xdr:spPr bwMode="auto">
        <a:xfrm>
          <a:off x="13411200" y="34777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61" name="AutoShape 337" descr="DENMARK2"/>
        <xdr:cNvSpPr>
          <a:spLocks noChangeAspect="1" noChangeArrowheads="1"/>
        </xdr:cNvSpPr>
      </xdr:nvSpPr>
      <xdr:spPr bwMode="auto">
        <a:xfrm>
          <a:off x="0" y="34952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62" name="AutoShape 338" descr="https://www.soccerstats.com/img/own/sshplogo.png">
          <a:hlinkClick xmlns:r="http://schemas.openxmlformats.org/officeDocument/2006/relationships" r:id="rId169"/>
        </xdr:cNvPr>
        <xdr:cNvSpPr>
          <a:spLocks noChangeAspect="1" noChangeArrowheads="1"/>
        </xdr:cNvSpPr>
      </xdr:nvSpPr>
      <xdr:spPr bwMode="auto">
        <a:xfrm>
          <a:off x="13411200" y="34952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63" name="AutoShape 339" descr="DENMARK2"/>
        <xdr:cNvSpPr>
          <a:spLocks noChangeAspect="1" noChangeArrowheads="1"/>
        </xdr:cNvSpPr>
      </xdr:nvSpPr>
      <xdr:spPr bwMode="auto">
        <a:xfrm>
          <a:off x="0" y="35204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64" name="AutoShape 340" descr="https://www.soccerstats.com/img/own/sshplogo.png">
          <a:hlinkClick xmlns:r="http://schemas.openxmlformats.org/officeDocument/2006/relationships" r:id="rId170"/>
        </xdr:cNvPr>
        <xdr:cNvSpPr>
          <a:spLocks noChangeAspect="1" noChangeArrowheads="1"/>
        </xdr:cNvSpPr>
      </xdr:nvSpPr>
      <xdr:spPr bwMode="auto">
        <a:xfrm>
          <a:off x="13411200" y="35204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65" name="AutoShape 341" descr="DENMARK2"/>
        <xdr:cNvSpPr>
          <a:spLocks noChangeAspect="1" noChangeArrowheads="1"/>
        </xdr:cNvSpPr>
      </xdr:nvSpPr>
      <xdr:spPr bwMode="auto">
        <a:xfrm>
          <a:off x="0" y="35379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66" name="AutoShape 342" descr="https://www.soccerstats.com/img/own/sshplogo.png">
          <a:hlinkClick xmlns:r="http://schemas.openxmlformats.org/officeDocument/2006/relationships" r:id="rId171"/>
        </xdr:cNvPr>
        <xdr:cNvSpPr>
          <a:spLocks noChangeAspect="1" noChangeArrowheads="1"/>
        </xdr:cNvSpPr>
      </xdr:nvSpPr>
      <xdr:spPr bwMode="auto">
        <a:xfrm>
          <a:off x="13411200" y="35379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67" name="AutoShape 343" descr="DENMARK3"/>
        <xdr:cNvSpPr>
          <a:spLocks noChangeAspect="1" noChangeArrowheads="1"/>
        </xdr:cNvSpPr>
      </xdr:nvSpPr>
      <xdr:spPr bwMode="auto">
        <a:xfrm>
          <a:off x="0" y="35554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68" name="AutoShape 344" descr="https://www.soccerstats.com/img/own/sshplogo.png">
          <a:hlinkClick xmlns:r="http://schemas.openxmlformats.org/officeDocument/2006/relationships" r:id="rId172"/>
        </xdr:cNvPr>
        <xdr:cNvSpPr>
          <a:spLocks noChangeAspect="1" noChangeArrowheads="1"/>
        </xdr:cNvSpPr>
      </xdr:nvSpPr>
      <xdr:spPr bwMode="auto">
        <a:xfrm>
          <a:off x="13411200" y="35554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69" name="AutoShape 345" descr="DENMARK3"/>
        <xdr:cNvSpPr>
          <a:spLocks noChangeAspect="1" noChangeArrowheads="1"/>
        </xdr:cNvSpPr>
      </xdr:nvSpPr>
      <xdr:spPr bwMode="auto">
        <a:xfrm>
          <a:off x="0" y="35730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70" name="AutoShape 346" descr="https://www.soccerstats.com/img/own/sshplogo.png">
          <a:hlinkClick xmlns:r="http://schemas.openxmlformats.org/officeDocument/2006/relationships" r:id="rId173"/>
        </xdr:cNvPr>
        <xdr:cNvSpPr>
          <a:spLocks noChangeAspect="1" noChangeArrowheads="1"/>
        </xdr:cNvSpPr>
      </xdr:nvSpPr>
      <xdr:spPr bwMode="auto">
        <a:xfrm>
          <a:off x="13411200" y="35730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71" name="AutoShape 347" descr="ECUADOR"/>
        <xdr:cNvSpPr>
          <a:spLocks noChangeAspect="1" noChangeArrowheads="1"/>
        </xdr:cNvSpPr>
      </xdr:nvSpPr>
      <xdr:spPr bwMode="auto">
        <a:xfrm>
          <a:off x="0" y="35905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72" name="AutoShape 348" descr="https://www.soccerstats.com/img/own/sshplogo.png">
          <a:hlinkClick xmlns:r="http://schemas.openxmlformats.org/officeDocument/2006/relationships" r:id="rId174"/>
        </xdr:cNvPr>
        <xdr:cNvSpPr>
          <a:spLocks noChangeAspect="1" noChangeArrowheads="1"/>
        </xdr:cNvSpPr>
      </xdr:nvSpPr>
      <xdr:spPr bwMode="auto">
        <a:xfrm>
          <a:off x="13411200" y="35905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73" name="AutoShape 349" descr="ECUADOR"/>
        <xdr:cNvSpPr>
          <a:spLocks noChangeAspect="1" noChangeArrowheads="1"/>
        </xdr:cNvSpPr>
      </xdr:nvSpPr>
      <xdr:spPr bwMode="auto">
        <a:xfrm>
          <a:off x="0" y="36080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74" name="AutoShape 350" descr="https://www.soccerstats.com/img/own/sshplogo.png">
          <a:hlinkClick xmlns:r="http://schemas.openxmlformats.org/officeDocument/2006/relationships" r:id="rId175"/>
        </xdr:cNvPr>
        <xdr:cNvSpPr>
          <a:spLocks noChangeAspect="1" noChangeArrowheads="1"/>
        </xdr:cNvSpPr>
      </xdr:nvSpPr>
      <xdr:spPr bwMode="auto">
        <a:xfrm>
          <a:off x="13411200" y="36080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75" name="AutoShape 351" descr="ECUADOR"/>
        <xdr:cNvSpPr>
          <a:spLocks noChangeAspect="1" noChangeArrowheads="1"/>
        </xdr:cNvSpPr>
      </xdr:nvSpPr>
      <xdr:spPr bwMode="auto">
        <a:xfrm>
          <a:off x="0" y="36255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76" name="AutoShape 352" descr="https://www.soccerstats.com/img/own/sshplogo.png">
          <a:hlinkClick xmlns:r="http://schemas.openxmlformats.org/officeDocument/2006/relationships" r:id="rId176"/>
        </xdr:cNvPr>
        <xdr:cNvSpPr>
          <a:spLocks noChangeAspect="1" noChangeArrowheads="1"/>
        </xdr:cNvSpPr>
      </xdr:nvSpPr>
      <xdr:spPr bwMode="auto">
        <a:xfrm>
          <a:off x="13411200" y="36255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77" name="AutoShape 353" descr="ENGLAND6"/>
        <xdr:cNvSpPr>
          <a:spLocks noChangeAspect="1" noChangeArrowheads="1"/>
        </xdr:cNvSpPr>
      </xdr:nvSpPr>
      <xdr:spPr bwMode="auto">
        <a:xfrm>
          <a:off x="0" y="36507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78" name="AutoShape 354" descr="https://www.soccerstats.com/img/own/sshplogo.png">
          <a:hlinkClick xmlns:r="http://schemas.openxmlformats.org/officeDocument/2006/relationships" r:id="rId177"/>
        </xdr:cNvPr>
        <xdr:cNvSpPr>
          <a:spLocks noChangeAspect="1" noChangeArrowheads="1"/>
        </xdr:cNvSpPr>
      </xdr:nvSpPr>
      <xdr:spPr bwMode="auto">
        <a:xfrm>
          <a:off x="13411200" y="36507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79" name="AutoShape 355" descr="ENGLAND6"/>
        <xdr:cNvSpPr>
          <a:spLocks noChangeAspect="1" noChangeArrowheads="1"/>
        </xdr:cNvSpPr>
      </xdr:nvSpPr>
      <xdr:spPr bwMode="auto">
        <a:xfrm>
          <a:off x="0" y="36758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80" name="AutoShape 356" descr="https://www.soccerstats.com/img/own/sshplogo.png">
          <a:hlinkClick xmlns:r="http://schemas.openxmlformats.org/officeDocument/2006/relationships" r:id="rId178"/>
        </xdr:cNvPr>
        <xdr:cNvSpPr>
          <a:spLocks noChangeAspect="1" noChangeArrowheads="1"/>
        </xdr:cNvSpPr>
      </xdr:nvSpPr>
      <xdr:spPr bwMode="auto">
        <a:xfrm>
          <a:off x="13411200" y="36758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81" name="AutoShape 357" descr="ENGLAND6"/>
        <xdr:cNvSpPr>
          <a:spLocks noChangeAspect="1" noChangeArrowheads="1"/>
        </xdr:cNvSpPr>
      </xdr:nvSpPr>
      <xdr:spPr bwMode="auto">
        <a:xfrm>
          <a:off x="0" y="37010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82" name="AutoShape 358" descr="https://www.soccerstats.com/img/own/sshplogo.png">
          <a:hlinkClick xmlns:r="http://schemas.openxmlformats.org/officeDocument/2006/relationships" r:id="rId179"/>
        </xdr:cNvPr>
        <xdr:cNvSpPr>
          <a:spLocks noChangeAspect="1" noChangeArrowheads="1"/>
        </xdr:cNvSpPr>
      </xdr:nvSpPr>
      <xdr:spPr bwMode="auto">
        <a:xfrm>
          <a:off x="13411200" y="37010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83" name="AutoShape 359" descr="ENGLAND6"/>
        <xdr:cNvSpPr>
          <a:spLocks noChangeAspect="1" noChangeArrowheads="1"/>
        </xdr:cNvSpPr>
      </xdr:nvSpPr>
      <xdr:spPr bwMode="auto">
        <a:xfrm>
          <a:off x="0" y="37185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84" name="AutoShape 360" descr="https://www.soccerstats.com/img/own/sshplogo.png">
          <a:hlinkClick xmlns:r="http://schemas.openxmlformats.org/officeDocument/2006/relationships" r:id="rId180"/>
        </xdr:cNvPr>
        <xdr:cNvSpPr>
          <a:spLocks noChangeAspect="1" noChangeArrowheads="1"/>
        </xdr:cNvSpPr>
      </xdr:nvSpPr>
      <xdr:spPr bwMode="auto">
        <a:xfrm>
          <a:off x="13411200" y="37185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85" name="AutoShape 361" descr="ENGLAND6"/>
        <xdr:cNvSpPr>
          <a:spLocks noChangeAspect="1" noChangeArrowheads="1"/>
        </xdr:cNvSpPr>
      </xdr:nvSpPr>
      <xdr:spPr bwMode="auto">
        <a:xfrm>
          <a:off x="0" y="37437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86" name="AutoShape 362" descr="https://www.soccerstats.com/img/own/sshplogo.png">
          <a:hlinkClick xmlns:r="http://schemas.openxmlformats.org/officeDocument/2006/relationships" r:id="rId181"/>
        </xdr:cNvPr>
        <xdr:cNvSpPr>
          <a:spLocks noChangeAspect="1" noChangeArrowheads="1"/>
        </xdr:cNvSpPr>
      </xdr:nvSpPr>
      <xdr:spPr bwMode="auto">
        <a:xfrm>
          <a:off x="13411200" y="37437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87" name="AutoShape 363" descr="ENGLAND6"/>
        <xdr:cNvSpPr>
          <a:spLocks noChangeAspect="1" noChangeArrowheads="1"/>
        </xdr:cNvSpPr>
      </xdr:nvSpPr>
      <xdr:spPr bwMode="auto">
        <a:xfrm>
          <a:off x="0" y="37612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88" name="AutoShape 364" descr="https://www.soccerstats.com/img/own/sshplogo.png">
          <a:hlinkClick xmlns:r="http://schemas.openxmlformats.org/officeDocument/2006/relationships" r:id="rId182"/>
        </xdr:cNvPr>
        <xdr:cNvSpPr>
          <a:spLocks noChangeAspect="1" noChangeArrowheads="1"/>
        </xdr:cNvSpPr>
      </xdr:nvSpPr>
      <xdr:spPr bwMode="auto">
        <a:xfrm>
          <a:off x="13411200" y="37612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89" name="AutoShape 365" descr="ENGLAND6"/>
        <xdr:cNvSpPr>
          <a:spLocks noChangeAspect="1" noChangeArrowheads="1"/>
        </xdr:cNvSpPr>
      </xdr:nvSpPr>
      <xdr:spPr bwMode="auto">
        <a:xfrm>
          <a:off x="0" y="37787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90" name="AutoShape 366" descr="https://www.soccerstats.com/img/own/sshplogo.png">
          <a:hlinkClick xmlns:r="http://schemas.openxmlformats.org/officeDocument/2006/relationships" r:id="rId183"/>
        </xdr:cNvPr>
        <xdr:cNvSpPr>
          <a:spLocks noChangeAspect="1" noChangeArrowheads="1"/>
        </xdr:cNvSpPr>
      </xdr:nvSpPr>
      <xdr:spPr bwMode="auto">
        <a:xfrm>
          <a:off x="13411200" y="37787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91" name="AutoShape 367" descr="ENGLAND6"/>
        <xdr:cNvSpPr>
          <a:spLocks noChangeAspect="1" noChangeArrowheads="1"/>
        </xdr:cNvSpPr>
      </xdr:nvSpPr>
      <xdr:spPr bwMode="auto">
        <a:xfrm>
          <a:off x="0" y="37962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92" name="AutoShape 368" descr="https://www.soccerstats.com/img/own/sshplogo.png">
          <a:hlinkClick xmlns:r="http://schemas.openxmlformats.org/officeDocument/2006/relationships" r:id="rId184"/>
        </xdr:cNvPr>
        <xdr:cNvSpPr>
          <a:spLocks noChangeAspect="1" noChangeArrowheads="1"/>
        </xdr:cNvSpPr>
      </xdr:nvSpPr>
      <xdr:spPr bwMode="auto">
        <a:xfrm>
          <a:off x="13411200" y="37962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93" name="AutoShape 369" descr="ENGLAND6"/>
        <xdr:cNvSpPr>
          <a:spLocks noChangeAspect="1" noChangeArrowheads="1"/>
        </xdr:cNvSpPr>
      </xdr:nvSpPr>
      <xdr:spPr bwMode="auto">
        <a:xfrm>
          <a:off x="0" y="38138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94" name="AutoShape 370" descr="https://www.soccerstats.com/img/own/sshplogo.png">
          <a:hlinkClick xmlns:r="http://schemas.openxmlformats.org/officeDocument/2006/relationships" r:id="rId185"/>
        </xdr:cNvPr>
        <xdr:cNvSpPr>
          <a:spLocks noChangeAspect="1" noChangeArrowheads="1"/>
        </xdr:cNvSpPr>
      </xdr:nvSpPr>
      <xdr:spPr bwMode="auto">
        <a:xfrm>
          <a:off x="13411200" y="38138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95" name="AutoShape 371" descr="ENGLAND6"/>
        <xdr:cNvSpPr>
          <a:spLocks noChangeAspect="1" noChangeArrowheads="1"/>
        </xdr:cNvSpPr>
      </xdr:nvSpPr>
      <xdr:spPr bwMode="auto">
        <a:xfrm>
          <a:off x="0" y="38313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96" name="AutoShape 372" descr="https://www.soccerstats.com/img/own/sshplogo.png">
          <a:hlinkClick xmlns:r="http://schemas.openxmlformats.org/officeDocument/2006/relationships" r:id="rId186"/>
        </xdr:cNvPr>
        <xdr:cNvSpPr>
          <a:spLocks noChangeAspect="1" noChangeArrowheads="1"/>
        </xdr:cNvSpPr>
      </xdr:nvSpPr>
      <xdr:spPr bwMode="auto">
        <a:xfrm>
          <a:off x="13411200" y="38313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97" name="AutoShape 373" descr="ENGLAND6"/>
        <xdr:cNvSpPr>
          <a:spLocks noChangeAspect="1" noChangeArrowheads="1"/>
        </xdr:cNvSpPr>
      </xdr:nvSpPr>
      <xdr:spPr bwMode="auto">
        <a:xfrm>
          <a:off x="0" y="38488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98" name="AutoShape 374" descr="https://www.soccerstats.com/img/own/sshplogo.png">
          <a:hlinkClick xmlns:r="http://schemas.openxmlformats.org/officeDocument/2006/relationships" r:id="rId187"/>
        </xdr:cNvPr>
        <xdr:cNvSpPr>
          <a:spLocks noChangeAspect="1" noChangeArrowheads="1"/>
        </xdr:cNvSpPr>
      </xdr:nvSpPr>
      <xdr:spPr bwMode="auto">
        <a:xfrm>
          <a:off x="13411200" y="38488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99" name="AutoShape 375" descr="ENGLAND6"/>
        <xdr:cNvSpPr>
          <a:spLocks noChangeAspect="1" noChangeArrowheads="1"/>
        </xdr:cNvSpPr>
      </xdr:nvSpPr>
      <xdr:spPr bwMode="auto">
        <a:xfrm>
          <a:off x="0" y="38740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00" name="AutoShape 376" descr="https://www.soccerstats.com/img/own/sshplogo.png">
          <a:hlinkClick xmlns:r="http://schemas.openxmlformats.org/officeDocument/2006/relationships" r:id="rId188"/>
        </xdr:cNvPr>
        <xdr:cNvSpPr>
          <a:spLocks noChangeAspect="1" noChangeArrowheads="1"/>
        </xdr:cNvSpPr>
      </xdr:nvSpPr>
      <xdr:spPr bwMode="auto">
        <a:xfrm>
          <a:off x="13411200" y="38740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01" name="AutoShape 377" descr="ENGLAND7"/>
        <xdr:cNvSpPr>
          <a:spLocks noChangeAspect="1" noChangeArrowheads="1"/>
        </xdr:cNvSpPr>
      </xdr:nvSpPr>
      <xdr:spPr bwMode="auto">
        <a:xfrm>
          <a:off x="0" y="38991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02" name="AutoShape 378" descr="https://www.soccerstats.com/img/own/sshplogo.png">
          <a:hlinkClick xmlns:r="http://schemas.openxmlformats.org/officeDocument/2006/relationships" r:id="rId189"/>
        </xdr:cNvPr>
        <xdr:cNvSpPr>
          <a:spLocks noChangeAspect="1" noChangeArrowheads="1"/>
        </xdr:cNvSpPr>
      </xdr:nvSpPr>
      <xdr:spPr bwMode="auto">
        <a:xfrm>
          <a:off x="13411200" y="38991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03" name="AutoShape 379" descr="ENGLAND7"/>
        <xdr:cNvSpPr>
          <a:spLocks noChangeAspect="1" noChangeArrowheads="1"/>
        </xdr:cNvSpPr>
      </xdr:nvSpPr>
      <xdr:spPr bwMode="auto">
        <a:xfrm>
          <a:off x="0" y="39243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04" name="AutoShape 380" descr="https://www.soccerstats.com/img/own/sshplogo.png">
          <a:hlinkClick xmlns:r="http://schemas.openxmlformats.org/officeDocument/2006/relationships" r:id="rId190"/>
        </xdr:cNvPr>
        <xdr:cNvSpPr>
          <a:spLocks noChangeAspect="1" noChangeArrowheads="1"/>
        </xdr:cNvSpPr>
      </xdr:nvSpPr>
      <xdr:spPr bwMode="auto">
        <a:xfrm>
          <a:off x="13411200" y="3924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05" name="AutoShape 381" descr="ENGLAND7"/>
        <xdr:cNvSpPr>
          <a:spLocks noChangeAspect="1" noChangeArrowheads="1"/>
        </xdr:cNvSpPr>
      </xdr:nvSpPr>
      <xdr:spPr bwMode="auto">
        <a:xfrm>
          <a:off x="0" y="39494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06" name="AutoShape 382" descr="https://www.soccerstats.com/img/own/sshplogo.png">
          <a:hlinkClick xmlns:r="http://schemas.openxmlformats.org/officeDocument/2006/relationships" r:id="rId191"/>
        </xdr:cNvPr>
        <xdr:cNvSpPr>
          <a:spLocks noChangeAspect="1" noChangeArrowheads="1"/>
        </xdr:cNvSpPr>
      </xdr:nvSpPr>
      <xdr:spPr bwMode="auto">
        <a:xfrm>
          <a:off x="13411200" y="39494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07" name="AutoShape 383" descr="ENGLAND7"/>
        <xdr:cNvSpPr>
          <a:spLocks noChangeAspect="1" noChangeArrowheads="1"/>
        </xdr:cNvSpPr>
      </xdr:nvSpPr>
      <xdr:spPr bwMode="auto">
        <a:xfrm>
          <a:off x="0" y="39745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08" name="AutoShape 384" descr="https://www.soccerstats.com/img/own/sshplogo.png">
          <a:hlinkClick xmlns:r="http://schemas.openxmlformats.org/officeDocument/2006/relationships" r:id="rId192"/>
        </xdr:cNvPr>
        <xdr:cNvSpPr>
          <a:spLocks noChangeAspect="1" noChangeArrowheads="1"/>
        </xdr:cNvSpPr>
      </xdr:nvSpPr>
      <xdr:spPr bwMode="auto">
        <a:xfrm>
          <a:off x="13411200" y="39745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09" name="AutoShape 385" descr="ENGLAND7"/>
        <xdr:cNvSpPr>
          <a:spLocks noChangeAspect="1" noChangeArrowheads="1"/>
        </xdr:cNvSpPr>
      </xdr:nvSpPr>
      <xdr:spPr bwMode="auto">
        <a:xfrm>
          <a:off x="0" y="39997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10" name="AutoShape 386" descr="https://www.soccerstats.com/img/own/sshplogo.png">
          <a:hlinkClick xmlns:r="http://schemas.openxmlformats.org/officeDocument/2006/relationships" r:id="rId193"/>
        </xdr:cNvPr>
        <xdr:cNvSpPr>
          <a:spLocks noChangeAspect="1" noChangeArrowheads="1"/>
        </xdr:cNvSpPr>
      </xdr:nvSpPr>
      <xdr:spPr bwMode="auto">
        <a:xfrm>
          <a:off x="13411200" y="39997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11" name="AutoShape 387" descr="ENGLAND7"/>
        <xdr:cNvSpPr>
          <a:spLocks noChangeAspect="1" noChangeArrowheads="1"/>
        </xdr:cNvSpPr>
      </xdr:nvSpPr>
      <xdr:spPr bwMode="auto">
        <a:xfrm>
          <a:off x="0" y="40172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12" name="AutoShape 388" descr="https://www.soccerstats.com/img/own/sshplogo.png">
          <a:hlinkClick xmlns:r="http://schemas.openxmlformats.org/officeDocument/2006/relationships" r:id="rId194"/>
        </xdr:cNvPr>
        <xdr:cNvSpPr>
          <a:spLocks noChangeAspect="1" noChangeArrowheads="1"/>
        </xdr:cNvSpPr>
      </xdr:nvSpPr>
      <xdr:spPr bwMode="auto">
        <a:xfrm>
          <a:off x="13411200" y="40172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13" name="AutoShape 389" descr="ENGLAND7"/>
        <xdr:cNvSpPr>
          <a:spLocks noChangeAspect="1" noChangeArrowheads="1"/>
        </xdr:cNvSpPr>
      </xdr:nvSpPr>
      <xdr:spPr bwMode="auto">
        <a:xfrm>
          <a:off x="0" y="40424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14" name="AutoShape 390" descr="https://www.soccerstats.com/img/own/sshplogo.png">
          <a:hlinkClick xmlns:r="http://schemas.openxmlformats.org/officeDocument/2006/relationships" r:id="rId195"/>
        </xdr:cNvPr>
        <xdr:cNvSpPr>
          <a:spLocks noChangeAspect="1" noChangeArrowheads="1"/>
        </xdr:cNvSpPr>
      </xdr:nvSpPr>
      <xdr:spPr bwMode="auto">
        <a:xfrm>
          <a:off x="13411200" y="40424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15" name="AutoShape 391" descr="ENGLAND7"/>
        <xdr:cNvSpPr>
          <a:spLocks noChangeAspect="1" noChangeArrowheads="1"/>
        </xdr:cNvSpPr>
      </xdr:nvSpPr>
      <xdr:spPr bwMode="auto">
        <a:xfrm>
          <a:off x="0" y="40599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16" name="AutoShape 392" descr="https://www.soccerstats.com/img/own/sshplogo.png">
          <a:hlinkClick xmlns:r="http://schemas.openxmlformats.org/officeDocument/2006/relationships" r:id="rId196"/>
        </xdr:cNvPr>
        <xdr:cNvSpPr>
          <a:spLocks noChangeAspect="1" noChangeArrowheads="1"/>
        </xdr:cNvSpPr>
      </xdr:nvSpPr>
      <xdr:spPr bwMode="auto">
        <a:xfrm>
          <a:off x="13411200" y="40599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17" name="AutoShape 393" descr="ENGLAND7"/>
        <xdr:cNvSpPr>
          <a:spLocks noChangeAspect="1" noChangeArrowheads="1"/>
        </xdr:cNvSpPr>
      </xdr:nvSpPr>
      <xdr:spPr bwMode="auto">
        <a:xfrm>
          <a:off x="0" y="40850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18" name="AutoShape 394" descr="https://www.soccerstats.com/img/own/sshplogo.png">
          <a:hlinkClick xmlns:r="http://schemas.openxmlformats.org/officeDocument/2006/relationships" r:id="rId197"/>
        </xdr:cNvPr>
        <xdr:cNvSpPr>
          <a:spLocks noChangeAspect="1" noChangeArrowheads="1"/>
        </xdr:cNvSpPr>
      </xdr:nvSpPr>
      <xdr:spPr bwMode="auto">
        <a:xfrm>
          <a:off x="13411200" y="40850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19" name="AutoShape 395" descr="ENGLAND7"/>
        <xdr:cNvSpPr>
          <a:spLocks noChangeAspect="1" noChangeArrowheads="1"/>
        </xdr:cNvSpPr>
      </xdr:nvSpPr>
      <xdr:spPr bwMode="auto">
        <a:xfrm>
          <a:off x="0" y="41026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20" name="AutoShape 396" descr="https://www.soccerstats.com/img/own/sshplogo.png">
          <a:hlinkClick xmlns:r="http://schemas.openxmlformats.org/officeDocument/2006/relationships" r:id="rId198"/>
        </xdr:cNvPr>
        <xdr:cNvSpPr>
          <a:spLocks noChangeAspect="1" noChangeArrowheads="1"/>
        </xdr:cNvSpPr>
      </xdr:nvSpPr>
      <xdr:spPr bwMode="auto">
        <a:xfrm>
          <a:off x="13411200" y="41026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21" name="AutoShape 397" descr="ENGLAND7"/>
        <xdr:cNvSpPr>
          <a:spLocks noChangeAspect="1" noChangeArrowheads="1"/>
        </xdr:cNvSpPr>
      </xdr:nvSpPr>
      <xdr:spPr bwMode="auto">
        <a:xfrm>
          <a:off x="0" y="41277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22" name="AutoShape 398" descr="https://www.soccerstats.com/img/own/sshplogo.png">
          <a:hlinkClick xmlns:r="http://schemas.openxmlformats.org/officeDocument/2006/relationships" r:id="rId199"/>
        </xdr:cNvPr>
        <xdr:cNvSpPr>
          <a:spLocks noChangeAspect="1" noChangeArrowheads="1"/>
        </xdr:cNvSpPr>
      </xdr:nvSpPr>
      <xdr:spPr bwMode="auto">
        <a:xfrm>
          <a:off x="13411200" y="41277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23" name="AutoShape 399" descr="ENGLAND8"/>
        <xdr:cNvSpPr>
          <a:spLocks noChangeAspect="1" noChangeArrowheads="1"/>
        </xdr:cNvSpPr>
      </xdr:nvSpPr>
      <xdr:spPr bwMode="auto">
        <a:xfrm>
          <a:off x="0" y="41529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24" name="AutoShape 400" descr="https://www.soccerstats.com/img/own/sshplogo.png">
          <a:hlinkClick xmlns:r="http://schemas.openxmlformats.org/officeDocument/2006/relationships" r:id="rId200"/>
        </xdr:cNvPr>
        <xdr:cNvSpPr>
          <a:spLocks noChangeAspect="1" noChangeArrowheads="1"/>
        </xdr:cNvSpPr>
      </xdr:nvSpPr>
      <xdr:spPr bwMode="auto">
        <a:xfrm>
          <a:off x="13411200" y="41529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25" name="AutoShape 401" descr="ENGLAND8"/>
        <xdr:cNvSpPr>
          <a:spLocks noChangeAspect="1" noChangeArrowheads="1"/>
        </xdr:cNvSpPr>
      </xdr:nvSpPr>
      <xdr:spPr bwMode="auto">
        <a:xfrm>
          <a:off x="0" y="41704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26" name="AutoShape 402" descr="https://www.soccerstats.com/img/own/sshplogo.png">
          <a:hlinkClick xmlns:r="http://schemas.openxmlformats.org/officeDocument/2006/relationships" r:id="rId201"/>
        </xdr:cNvPr>
        <xdr:cNvSpPr>
          <a:spLocks noChangeAspect="1" noChangeArrowheads="1"/>
        </xdr:cNvSpPr>
      </xdr:nvSpPr>
      <xdr:spPr bwMode="auto">
        <a:xfrm>
          <a:off x="13411200" y="41704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27" name="AutoShape 403" descr="ENGLAND8"/>
        <xdr:cNvSpPr>
          <a:spLocks noChangeAspect="1" noChangeArrowheads="1"/>
        </xdr:cNvSpPr>
      </xdr:nvSpPr>
      <xdr:spPr bwMode="auto">
        <a:xfrm>
          <a:off x="0" y="41879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28" name="AutoShape 404" descr="https://www.soccerstats.com/img/own/sshplogo.png">
          <a:hlinkClick xmlns:r="http://schemas.openxmlformats.org/officeDocument/2006/relationships" r:id="rId202"/>
        </xdr:cNvPr>
        <xdr:cNvSpPr>
          <a:spLocks noChangeAspect="1" noChangeArrowheads="1"/>
        </xdr:cNvSpPr>
      </xdr:nvSpPr>
      <xdr:spPr bwMode="auto">
        <a:xfrm>
          <a:off x="13411200" y="41879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29" name="AutoShape 405" descr="ENGLAND8"/>
        <xdr:cNvSpPr>
          <a:spLocks noChangeAspect="1" noChangeArrowheads="1"/>
        </xdr:cNvSpPr>
      </xdr:nvSpPr>
      <xdr:spPr bwMode="auto">
        <a:xfrm>
          <a:off x="0" y="42130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30" name="AutoShape 406" descr="https://www.soccerstats.com/img/own/sshplogo.png">
          <a:hlinkClick xmlns:r="http://schemas.openxmlformats.org/officeDocument/2006/relationships" r:id="rId203"/>
        </xdr:cNvPr>
        <xdr:cNvSpPr>
          <a:spLocks noChangeAspect="1" noChangeArrowheads="1"/>
        </xdr:cNvSpPr>
      </xdr:nvSpPr>
      <xdr:spPr bwMode="auto">
        <a:xfrm>
          <a:off x="13411200" y="42130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31" name="AutoShape 407" descr="ENGLAND8"/>
        <xdr:cNvSpPr>
          <a:spLocks noChangeAspect="1" noChangeArrowheads="1"/>
        </xdr:cNvSpPr>
      </xdr:nvSpPr>
      <xdr:spPr bwMode="auto">
        <a:xfrm>
          <a:off x="0" y="42382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32" name="AutoShape 408" descr="https://www.soccerstats.com/img/own/sshplogo.png">
          <a:hlinkClick xmlns:r="http://schemas.openxmlformats.org/officeDocument/2006/relationships" r:id="rId204"/>
        </xdr:cNvPr>
        <xdr:cNvSpPr>
          <a:spLocks noChangeAspect="1" noChangeArrowheads="1"/>
        </xdr:cNvSpPr>
      </xdr:nvSpPr>
      <xdr:spPr bwMode="auto">
        <a:xfrm>
          <a:off x="13411200" y="42382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33" name="AutoShape 409" descr="ENGLAND8"/>
        <xdr:cNvSpPr>
          <a:spLocks noChangeAspect="1" noChangeArrowheads="1"/>
        </xdr:cNvSpPr>
      </xdr:nvSpPr>
      <xdr:spPr bwMode="auto">
        <a:xfrm>
          <a:off x="0" y="42633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34" name="AutoShape 410" descr="https://www.soccerstats.com/img/own/sshplogo.png">
          <a:hlinkClick xmlns:r="http://schemas.openxmlformats.org/officeDocument/2006/relationships" r:id="rId205"/>
        </xdr:cNvPr>
        <xdr:cNvSpPr>
          <a:spLocks noChangeAspect="1" noChangeArrowheads="1"/>
        </xdr:cNvSpPr>
      </xdr:nvSpPr>
      <xdr:spPr bwMode="auto">
        <a:xfrm>
          <a:off x="13411200" y="42633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35" name="AutoShape 411" descr="ENGLAND8"/>
        <xdr:cNvSpPr>
          <a:spLocks noChangeAspect="1" noChangeArrowheads="1"/>
        </xdr:cNvSpPr>
      </xdr:nvSpPr>
      <xdr:spPr bwMode="auto">
        <a:xfrm>
          <a:off x="0" y="42885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36" name="AutoShape 412" descr="https://www.soccerstats.com/img/own/sshplogo.png">
          <a:hlinkClick xmlns:r="http://schemas.openxmlformats.org/officeDocument/2006/relationships" r:id="rId206"/>
        </xdr:cNvPr>
        <xdr:cNvSpPr>
          <a:spLocks noChangeAspect="1" noChangeArrowheads="1"/>
        </xdr:cNvSpPr>
      </xdr:nvSpPr>
      <xdr:spPr bwMode="auto">
        <a:xfrm>
          <a:off x="13411200" y="42885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37" name="AutoShape 413" descr="ENGLAND8"/>
        <xdr:cNvSpPr>
          <a:spLocks noChangeAspect="1" noChangeArrowheads="1"/>
        </xdr:cNvSpPr>
      </xdr:nvSpPr>
      <xdr:spPr bwMode="auto">
        <a:xfrm>
          <a:off x="0" y="43060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38" name="AutoShape 414" descr="https://www.soccerstats.com/img/own/sshplogo.png">
          <a:hlinkClick xmlns:r="http://schemas.openxmlformats.org/officeDocument/2006/relationships" r:id="rId207"/>
        </xdr:cNvPr>
        <xdr:cNvSpPr>
          <a:spLocks noChangeAspect="1" noChangeArrowheads="1"/>
        </xdr:cNvSpPr>
      </xdr:nvSpPr>
      <xdr:spPr bwMode="auto">
        <a:xfrm>
          <a:off x="13411200" y="43060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39" name="AutoShape 415" descr="ENGLAND8"/>
        <xdr:cNvSpPr>
          <a:spLocks noChangeAspect="1" noChangeArrowheads="1"/>
        </xdr:cNvSpPr>
      </xdr:nvSpPr>
      <xdr:spPr bwMode="auto">
        <a:xfrm>
          <a:off x="0" y="43235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40" name="AutoShape 416" descr="https://www.soccerstats.com/img/own/sshplogo.png">
          <a:hlinkClick xmlns:r="http://schemas.openxmlformats.org/officeDocument/2006/relationships" r:id="rId208"/>
        </xdr:cNvPr>
        <xdr:cNvSpPr>
          <a:spLocks noChangeAspect="1" noChangeArrowheads="1"/>
        </xdr:cNvSpPr>
      </xdr:nvSpPr>
      <xdr:spPr bwMode="auto">
        <a:xfrm>
          <a:off x="13411200" y="43235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41" name="AutoShape 417" descr="ENGLAND8"/>
        <xdr:cNvSpPr>
          <a:spLocks noChangeAspect="1" noChangeArrowheads="1"/>
        </xdr:cNvSpPr>
      </xdr:nvSpPr>
      <xdr:spPr bwMode="auto">
        <a:xfrm>
          <a:off x="0" y="43411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42" name="AutoShape 418" descr="https://www.soccerstats.com/img/own/sshplogo.png">
          <a:hlinkClick xmlns:r="http://schemas.openxmlformats.org/officeDocument/2006/relationships" r:id="rId209"/>
        </xdr:cNvPr>
        <xdr:cNvSpPr>
          <a:spLocks noChangeAspect="1" noChangeArrowheads="1"/>
        </xdr:cNvSpPr>
      </xdr:nvSpPr>
      <xdr:spPr bwMode="auto">
        <a:xfrm>
          <a:off x="13411200" y="43411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43" name="AutoShape 419" descr="ENGLAND8"/>
        <xdr:cNvSpPr>
          <a:spLocks noChangeAspect="1" noChangeArrowheads="1"/>
        </xdr:cNvSpPr>
      </xdr:nvSpPr>
      <xdr:spPr bwMode="auto">
        <a:xfrm>
          <a:off x="0" y="43662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44" name="AutoShape 420" descr="https://www.soccerstats.com/img/own/sshplogo.png">
          <a:hlinkClick xmlns:r="http://schemas.openxmlformats.org/officeDocument/2006/relationships" r:id="rId210"/>
        </xdr:cNvPr>
        <xdr:cNvSpPr>
          <a:spLocks noChangeAspect="1" noChangeArrowheads="1"/>
        </xdr:cNvSpPr>
      </xdr:nvSpPr>
      <xdr:spPr bwMode="auto">
        <a:xfrm>
          <a:off x="13411200" y="43662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45" name="AutoShape 421" descr="ENGLAND9"/>
        <xdr:cNvSpPr>
          <a:spLocks noChangeAspect="1" noChangeArrowheads="1"/>
        </xdr:cNvSpPr>
      </xdr:nvSpPr>
      <xdr:spPr bwMode="auto">
        <a:xfrm>
          <a:off x="0" y="43837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46" name="AutoShape 422" descr="https://www.soccerstats.com/img/own/sshplogo.png">
          <a:hlinkClick xmlns:r="http://schemas.openxmlformats.org/officeDocument/2006/relationships" r:id="rId211"/>
        </xdr:cNvPr>
        <xdr:cNvSpPr>
          <a:spLocks noChangeAspect="1" noChangeArrowheads="1"/>
        </xdr:cNvSpPr>
      </xdr:nvSpPr>
      <xdr:spPr bwMode="auto">
        <a:xfrm>
          <a:off x="13411200" y="43837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47" name="AutoShape 423" descr="ENGLAND9"/>
        <xdr:cNvSpPr>
          <a:spLocks noChangeAspect="1" noChangeArrowheads="1"/>
        </xdr:cNvSpPr>
      </xdr:nvSpPr>
      <xdr:spPr bwMode="auto">
        <a:xfrm>
          <a:off x="0" y="44089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48" name="AutoShape 424" descr="https://www.soccerstats.com/img/own/sshplogo.png">
          <a:hlinkClick xmlns:r="http://schemas.openxmlformats.org/officeDocument/2006/relationships" r:id="rId212"/>
        </xdr:cNvPr>
        <xdr:cNvSpPr>
          <a:spLocks noChangeAspect="1" noChangeArrowheads="1"/>
        </xdr:cNvSpPr>
      </xdr:nvSpPr>
      <xdr:spPr bwMode="auto">
        <a:xfrm>
          <a:off x="13411200" y="44089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49" name="AutoShape 425" descr="ENGLAND9"/>
        <xdr:cNvSpPr>
          <a:spLocks noChangeAspect="1" noChangeArrowheads="1"/>
        </xdr:cNvSpPr>
      </xdr:nvSpPr>
      <xdr:spPr bwMode="auto">
        <a:xfrm>
          <a:off x="0" y="44340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50" name="AutoShape 426" descr="https://www.soccerstats.com/img/own/sshplogo.png">
          <a:hlinkClick xmlns:r="http://schemas.openxmlformats.org/officeDocument/2006/relationships" r:id="rId213"/>
        </xdr:cNvPr>
        <xdr:cNvSpPr>
          <a:spLocks noChangeAspect="1" noChangeArrowheads="1"/>
        </xdr:cNvSpPr>
      </xdr:nvSpPr>
      <xdr:spPr bwMode="auto">
        <a:xfrm>
          <a:off x="13411200" y="44340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51" name="AutoShape 427" descr="ENGLAND9"/>
        <xdr:cNvSpPr>
          <a:spLocks noChangeAspect="1" noChangeArrowheads="1"/>
        </xdr:cNvSpPr>
      </xdr:nvSpPr>
      <xdr:spPr bwMode="auto">
        <a:xfrm>
          <a:off x="0" y="44516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52" name="AutoShape 428" descr="https://www.soccerstats.com/img/own/sshplogo.png">
          <a:hlinkClick xmlns:r="http://schemas.openxmlformats.org/officeDocument/2006/relationships" r:id="rId214"/>
        </xdr:cNvPr>
        <xdr:cNvSpPr>
          <a:spLocks noChangeAspect="1" noChangeArrowheads="1"/>
        </xdr:cNvSpPr>
      </xdr:nvSpPr>
      <xdr:spPr bwMode="auto">
        <a:xfrm>
          <a:off x="13411200" y="44516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53" name="AutoShape 429" descr="ENGLAND9"/>
        <xdr:cNvSpPr>
          <a:spLocks noChangeAspect="1" noChangeArrowheads="1"/>
        </xdr:cNvSpPr>
      </xdr:nvSpPr>
      <xdr:spPr bwMode="auto">
        <a:xfrm>
          <a:off x="0" y="44767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54" name="AutoShape 430" descr="https://www.soccerstats.com/img/own/sshplogo.png">
          <a:hlinkClick xmlns:r="http://schemas.openxmlformats.org/officeDocument/2006/relationships" r:id="rId215"/>
        </xdr:cNvPr>
        <xdr:cNvSpPr>
          <a:spLocks noChangeAspect="1" noChangeArrowheads="1"/>
        </xdr:cNvSpPr>
      </xdr:nvSpPr>
      <xdr:spPr bwMode="auto">
        <a:xfrm>
          <a:off x="13411200" y="4476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55" name="AutoShape 431" descr="ENGLAND9"/>
        <xdr:cNvSpPr>
          <a:spLocks noChangeAspect="1" noChangeArrowheads="1"/>
        </xdr:cNvSpPr>
      </xdr:nvSpPr>
      <xdr:spPr bwMode="auto">
        <a:xfrm>
          <a:off x="0" y="45018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56" name="AutoShape 432" descr="https://www.soccerstats.com/img/own/sshplogo.png">
          <a:hlinkClick xmlns:r="http://schemas.openxmlformats.org/officeDocument/2006/relationships" r:id="rId216"/>
        </xdr:cNvPr>
        <xdr:cNvSpPr>
          <a:spLocks noChangeAspect="1" noChangeArrowheads="1"/>
        </xdr:cNvSpPr>
      </xdr:nvSpPr>
      <xdr:spPr bwMode="auto">
        <a:xfrm>
          <a:off x="13411200" y="45018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57" name="AutoShape 433" descr="ENGLAND9"/>
        <xdr:cNvSpPr>
          <a:spLocks noChangeAspect="1" noChangeArrowheads="1"/>
        </xdr:cNvSpPr>
      </xdr:nvSpPr>
      <xdr:spPr bwMode="auto">
        <a:xfrm>
          <a:off x="0" y="45270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58" name="AutoShape 434" descr="https://www.soccerstats.com/img/own/sshplogo.png">
          <a:hlinkClick xmlns:r="http://schemas.openxmlformats.org/officeDocument/2006/relationships" r:id="rId217"/>
        </xdr:cNvPr>
        <xdr:cNvSpPr>
          <a:spLocks noChangeAspect="1" noChangeArrowheads="1"/>
        </xdr:cNvSpPr>
      </xdr:nvSpPr>
      <xdr:spPr bwMode="auto">
        <a:xfrm>
          <a:off x="13411200" y="45270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59" name="AutoShape 435" descr="ENGLAND9"/>
        <xdr:cNvSpPr>
          <a:spLocks noChangeAspect="1" noChangeArrowheads="1"/>
        </xdr:cNvSpPr>
      </xdr:nvSpPr>
      <xdr:spPr bwMode="auto">
        <a:xfrm>
          <a:off x="0" y="45521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60" name="AutoShape 436" descr="https://www.soccerstats.com/img/own/sshplogo.png">
          <a:hlinkClick xmlns:r="http://schemas.openxmlformats.org/officeDocument/2006/relationships" r:id="rId218"/>
        </xdr:cNvPr>
        <xdr:cNvSpPr>
          <a:spLocks noChangeAspect="1" noChangeArrowheads="1"/>
        </xdr:cNvSpPr>
      </xdr:nvSpPr>
      <xdr:spPr bwMode="auto">
        <a:xfrm>
          <a:off x="13411200" y="45521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61" name="AutoShape 437" descr="ENGLAND9"/>
        <xdr:cNvSpPr>
          <a:spLocks noChangeAspect="1" noChangeArrowheads="1"/>
        </xdr:cNvSpPr>
      </xdr:nvSpPr>
      <xdr:spPr bwMode="auto">
        <a:xfrm>
          <a:off x="0" y="45697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62" name="AutoShape 438" descr="https://www.soccerstats.com/img/own/sshplogo.png">
          <a:hlinkClick xmlns:r="http://schemas.openxmlformats.org/officeDocument/2006/relationships" r:id="rId219"/>
        </xdr:cNvPr>
        <xdr:cNvSpPr>
          <a:spLocks noChangeAspect="1" noChangeArrowheads="1"/>
        </xdr:cNvSpPr>
      </xdr:nvSpPr>
      <xdr:spPr bwMode="auto">
        <a:xfrm>
          <a:off x="13411200" y="45697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63" name="AutoShape 439" descr="ENGLAND9"/>
        <xdr:cNvSpPr>
          <a:spLocks noChangeAspect="1" noChangeArrowheads="1"/>
        </xdr:cNvSpPr>
      </xdr:nvSpPr>
      <xdr:spPr bwMode="auto">
        <a:xfrm>
          <a:off x="0" y="45948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64" name="AutoShape 440" descr="https://www.soccerstats.com/img/own/sshplogo.png">
          <a:hlinkClick xmlns:r="http://schemas.openxmlformats.org/officeDocument/2006/relationships" r:id="rId220"/>
        </xdr:cNvPr>
        <xdr:cNvSpPr>
          <a:spLocks noChangeAspect="1" noChangeArrowheads="1"/>
        </xdr:cNvSpPr>
      </xdr:nvSpPr>
      <xdr:spPr bwMode="auto">
        <a:xfrm>
          <a:off x="13411200" y="45948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65" name="AutoShape 441" descr="ENGLAND10"/>
        <xdr:cNvSpPr>
          <a:spLocks noChangeAspect="1" noChangeArrowheads="1"/>
        </xdr:cNvSpPr>
      </xdr:nvSpPr>
      <xdr:spPr bwMode="auto">
        <a:xfrm>
          <a:off x="0" y="46123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66" name="AutoShape 442" descr="https://www.soccerstats.com/img/own/sshplogo.png">
          <a:hlinkClick xmlns:r="http://schemas.openxmlformats.org/officeDocument/2006/relationships" r:id="rId221"/>
        </xdr:cNvPr>
        <xdr:cNvSpPr>
          <a:spLocks noChangeAspect="1" noChangeArrowheads="1"/>
        </xdr:cNvSpPr>
      </xdr:nvSpPr>
      <xdr:spPr bwMode="auto">
        <a:xfrm>
          <a:off x="13411200" y="46123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67" name="AutoShape 443" descr="ENGLAND10"/>
        <xdr:cNvSpPr>
          <a:spLocks noChangeAspect="1" noChangeArrowheads="1"/>
        </xdr:cNvSpPr>
      </xdr:nvSpPr>
      <xdr:spPr bwMode="auto">
        <a:xfrm>
          <a:off x="0" y="46375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68" name="AutoShape 444" descr="https://www.soccerstats.com/img/own/sshplogo.png">
          <a:hlinkClick xmlns:r="http://schemas.openxmlformats.org/officeDocument/2006/relationships" r:id="rId222"/>
        </xdr:cNvPr>
        <xdr:cNvSpPr>
          <a:spLocks noChangeAspect="1" noChangeArrowheads="1"/>
        </xdr:cNvSpPr>
      </xdr:nvSpPr>
      <xdr:spPr bwMode="auto">
        <a:xfrm>
          <a:off x="13411200" y="46375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69" name="AutoShape 445" descr="ENGLAND10"/>
        <xdr:cNvSpPr>
          <a:spLocks noChangeAspect="1" noChangeArrowheads="1"/>
        </xdr:cNvSpPr>
      </xdr:nvSpPr>
      <xdr:spPr bwMode="auto">
        <a:xfrm>
          <a:off x="0" y="46550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70" name="AutoShape 446" descr="https://www.soccerstats.com/img/own/sshplogo.png">
          <a:hlinkClick xmlns:r="http://schemas.openxmlformats.org/officeDocument/2006/relationships" r:id="rId223"/>
        </xdr:cNvPr>
        <xdr:cNvSpPr>
          <a:spLocks noChangeAspect="1" noChangeArrowheads="1"/>
        </xdr:cNvSpPr>
      </xdr:nvSpPr>
      <xdr:spPr bwMode="auto">
        <a:xfrm>
          <a:off x="13411200" y="46550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71" name="AutoShape 447" descr="ENGLAND10"/>
        <xdr:cNvSpPr>
          <a:spLocks noChangeAspect="1" noChangeArrowheads="1"/>
        </xdr:cNvSpPr>
      </xdr:nvSpPr>
      <xdr:spPr bwMode="auto">
        <a:xfrm>
          <a:off x="0" y="46802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72" name="AutoShape 448" descr="https://www.soccerstats.com/img/own/sshplogo.png">
          <a:hlinkClick xmlns:r="http://schemas.openxmlformats.org/officeDocument/2006/relationships" r:id="rId224"/>
        </xdr:cNvPr>
        <xdr:cNvSpPr>
          <a:spLocks noChangeAspect="1" noChangeArrowheads="1"/>
        </xdr:cNvSpPr>
      </xdr:nvSpPr>
      <xdr:spPr bwMode="auto">
        <a:xfrm>
          <a:off x="13411200" y="46802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73" name="AutoShape 449" descr="ENGLAND10"/>
        <xdr:cNvSpPr>
          <a:spLocks noChangeAspect="1" noChangeArrowheads="1"/>
        </xdr:cNvSpPr>
      </xdr:nvSpPr>
      <xdr:spPr bwMode="auto">
        <a:xfrm>
          <a:off x="0" y="47053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74" name="AutoShape 450" descr="https://www.soccerstats.com/img/own/sshplogo.png">
          <a:hlinkClick xmlns:r="http://schemas.openxmlformats.org/officeDocument/2006/relationships" r:id="rId225"/>
        </xdr:cNvPr>
        <xdr:cNvSpPr>
          <a:spLocks noChangeAspect="1" noChangeArrowheads="1"/>
        </xdr:cNvSpPr>
      </xdr:nvSpPr>
      <xdr:spPr bwMode="auto">
        <a:xfrm>
          <a:off x="13411200" y="4705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75" name="AutoShape 451" descr="ENGLAND10"/>
        <xdr:cNvSpPr>
          <a:spLocks noChangeAspect="1" noChangeArrowheads="1"/>
        </xdr:cNvSpPr>
      </xdr:nvSpPr>
      <xdr:spPr bwMode="auto">
        <a:xfrm>
          <a:off x="0" y="47228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76" name="AutoShape 452" descr="https://www.soccerstats.com/img/own/sshplogo.png">
          <a:hlinkClick xmlns:r="http://schemas.openxmlformats.org/officeDocument/2006/relationships" r:id="rId226"/>
        </xdr:cNvPr>
        <xdr:cNvSpPr>
          <a:spLocks noChangeAspect="1" noChangeArrowheads="1"/>
        </xdr:cNvSpPr>
      </xdr:nvSpPr>
      <xdr:spPr bwMode="auto">
        <a:xfrm>
          <a:off x="13411200" y="47228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77" name="AutoShape 453" descr="ENGLAND10"/>
        <xdr:cNvSpPr>
          <a:spLocks noChangeAspect="1" noChangeArrowheads="1"/>
        </xdr:cNvSpPr>
      </xdr:nvSpPr>
      <xdr:spPr bwMode="auto">
        <a:xfrm>
          <a:off x="0" y="47480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78" name="AutoShape 454" descr="https://www.soccerstats.com/img/own/sshplogo.png">
          <a:hlinkClick xmlns:r="http://schemas.openxmlformats.org/officeDocument/2006/relationships" r:id="rId227"/>
        </xdr:cNvPr>
        <xdr:cNvSpPr>
          <a:spLocks noChangeAspect="1" noChangeArrowheads="1"/>
        </xdr:cNvSpPr>
      </xdr:nvSpPr>
      <xdr:spPr bwMode="auto">
        <a:xfrm>
          <a:off x="13411200" y="47480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79" name="AutoShape 455" descr="ENGLAND10"/>
        <xdr:cNvSpPr>
          <a:spLocks noChangeAspect="1" noChangeArrowheads="1"/>
        </xdr:cNvSpPr>
      </xdr:nvSpPr>
      <xdr:spPr bwMode="auto">
        <a:xfrm>
          <a:off x="0" y="47731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80" name="AutoShape 456" descr="https://www.soccerstats.com/img/own/sshplogo.png">
          <a:hlinkClick xmlns:r="http://schemas.openxmlformats.org/officeDocument/2006/relationships" r:id="rId228"/>
        </xdr:cNvPr>
        <xdr:cNvSpPr>
          <a:spLocks noChangeAspect="1" noChangeArrowheads="1"/>
        </xdr:cNvSpPr>
      </xdr:nvSpPr>
      <xdr:spPr bwMode="auto">
        <a:xfrm>
          <a:off x="13411200" y="47731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81" name="AutoShape 457" descr="ENGLAND10"/>
        <xdr:cNvSpPr>
          <a:spLocks noChangeAspect="1" noChangeArrowheads="1"/>
        </xdr:cNvSpPr>
      </xdr:nvSpPr>
      <xdr:spPr bwMode="auto">
        <a:xfrm>
          <a:off x="0" y="47906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82" name="AutoShape 458" descr="https://www.soccerstats.com/img/own/sshplogo.png">
          <a:hlinkClick xmlns:r="http://schemas.openxmlformats.org/officeDocument/2006/relationships" r:id="rId229"/>
        </xdr:cNvPr>
        <xdr:cNvSpPr>
          <a:spLocks noChangeAspect="1" noChangeArrowheads="1"/>
        </xdr:cNvSpPr>
      </xdr:nvSpPr>
      <xdr:spPr bwMode="auto">
        <a:xfrm>
          <a:off x="13411200" y="47906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83" name="AutoShape 459" descr="ENGLAND10"/>
        <xdr:cNvSpPr>
          <a:spLocks noChangeAspect="1" noChangeArrowheads="1"/>
        </xdr:cNvSpPr>
      </xdr:nvSpPr>
      <xdr:spPr bwMode="auto">
        <a:xfrm>
          <a:off x="0" y="48158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84" name="AutoShape 460" descr="https://www.soccerstats.com/img/own/sshplogo.png">
          <a:hlinkClick xmlns:r="http://schemas.openxmlformats.org/officeDocument/2006/relationships" r:id="rId230"/>
        </xdr:cNvPr>
        <xdr:cNvSpPr>
          <a:spLocks noChangeAspect="1" noChangeArrowheads="1"/>
        </xdr:cNvSpPr>
      </xdr:nvSpPr>
      <xdr:spPr bwMode="auto">
        <a:xfrm>
          <a:off x="13411200" y="48158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85" name="AutoShape 461" descr="ENGLAND10"/>
        <xdr:cNvSpPr>
          <a:spLocks noChangeAspect="1" noChangeArrowheads="1"/>
        </xdr:cNvSpPr>
      </xdr:nvSpPr>
      <xdr:spPr bwMode="auto">
        <a:xfrm>
          <a:off x="0" y="48409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86" name="AutoShape 462" descr="https://www.soccerstats.com/img/own/sshplogo.png">
          <a:hlinkClick xmlns:r="http://schemas.openxmlformats.org/officeDocument/2006/relationships" r:id="rId231"/>
        </xdr:cNvPr>
        <xdr:cNvSpPr>
          <a:spLocks noChangeAspect="1" noChangeArrowheads="1"/>
        </xdr:cNvSpPr>
      </xdr:nvSpPr>
      <xdr:spPr bwMode="auto">
        <a:xfrm>
          <a:off x="13411200" y="48409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87" name="AutoShape 463" descr="ESTONIA2"/>
        <xdr:cNvSpPr>
          <a:spLocks noChangeAspect="1" noChangeArrowheads="1"/>
        </xdr:cNvSpPr>
      </xdr:nvSpPr>
      <xdr:spPr bwMode="auto">
        <a:xfrm>
          <a:off x="0" y="48661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88" name="AutoShape 464" descr="https://www.soccerstats.com/img/own/sshplogo.png">
          <a:hlinkClick xmlns:r="http://schemas.openxmlformats.org/officeDocument/2006/relationships" r:id="rId232"/>
        </xdr:cNvPr>
        <xdr:cNvSpPr>
          <a:spLocks noChangeAspect="1" noChangeArrowheads="1"/>
        </xdr:cNvSpPr>
      </xdr:nvSpPr>
      <xdr:spPr bwMode="auto">
        <a:xfrm>
          <a:off x="13411200" y="48661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89" name="AutoShape 465" descr="ESTONIA2"/>
        <xdr:cNvSpPr>
          <a:spLocks noChangeAspect="1" noChangeArrowheads="1"/>
        </xdr:cNvSpPr>
      </xdr:nvSpPr>
      <xdr:spPr bwMode="auto">
        <a:xfrm>
          <a:off x="0" y="48836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90" name="AutoShape 466" descr="https://www.soccerstats.com/img/own/sshplogo.png">
          <a:hlinkClick xmlns:r="http://schemas.openxmlformats.org/officeDocument/2006/relationships" r:id="rId233"/>
        </xdr:cNvPr>
        <xdr:cNvSpPr>
          <a:spLocks noChangeAspect="1" noChangeArrowheads="1"/>
        </xdr:cNvSpPr>
      </xdr:nvSpPr>
      <xdr:spPr bwMode="auto">
        <a:xfrm>
          <a:off x="13411200" y="48836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91" name="AutoShape 467" descr="ESTONIA2"/>
        <xdr:cNvSpPr>
          <a:spLocks noChangeAspect="1" noChangeArrowheads="1"/>
        </xdr:cNvSpPr>
      </xdr:nvSpPr>
      <xdr:spPr bwMode="auto">
        <a:xfrm>
          <a:off x="0" y="49011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92" name="AutoShape 468" descr="https://www.soccerstats.com/img/own/sshplogo.png">
          <a:hlinkClick xmlns:r="http://schemas.openxmlformats.org/officeDocument/2006/relationships" r:id="rId234"/>
        </xdr:cNvPr>
        <xdr:cNvSpPr>
          <a:spLocks noChangeAspect="1" noChangeArrowheads="1"/>
        </xdr:cNvSpPr>
      </xdr:nvSpPr>
      <xdr:spPr bwMode="auto">
        <a:xfrm>
          <a:off x="13411200" y="49011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93" name="AutoShape 469" descr="ESTONIA2"/>
        <xdr:cNvSpPr>
          <a:spLocks noChangeAspect="1" noChangeArrowheads="1"/>
        </xdr:cNvSpPr>
      </xdr:nvSpPr>
      <xdr:spPr bwMode="auto">
        <a:xfrm>
          <a:off x="0" y="49187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94" name="AutoShape 470" descr="https://www.soccerstats.com/img/own/sshplogo.png">
          <a:hlinkClick xmlns:r="http://schemas.openxmlformats.org/officeDocument/2006/relationships" r:id="rId235"/>
        </xdr:cNvPr>
        <xdr:cNvSpPr>
          <a:spLocks noChangeAspect="1" noChangeArrowheads="1"/>
        </xdr:cNvSpPr>
      </xdr:nvSpPr>
      <xdr:spPr bwMode="auto">
        <a:xfrm>
          <a:off x="13411200" y="49187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95" name="AutoShape 471" descr="FINLAND"/>
        <xdr:cNvSpPr>
          <a:spLocks noChangeAspect="1" noChangeArrowheads="1"/>
        </xdr:cNvSpPr>
      </xdr:nvSpPr>
      <xdr:spPr bwMode="auto">
        <a:xfrm>
          <a:off x="0" y="49362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96" name="AutoShape 472" descr="https://www.soccerstats.com/img/own/sshplogo.png">
          <a:hlinkClick xmlns:r="http://schemas.openxmlformats.org/officeDocument/2006/relationships" r:id="rId236"/>
        </xdr:cNvPr>
        <xdr:cNvSpPr>
          <a:spLocks noChangeAspect="1" noChangeArrowheads="1"/>
        </xdr:cNvSpPr>
      </xdr:nvSpPr>
      <xdr:spPr bwMode="auto">
        <a:xfrm>
          <a:off x="13411200" y="49362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97" name="AutoShape 473" descr="FINLAND2"/>
        <xdr:cNvSpPr>
          <a:spLocks noChangeAspect="1" noChangeArrowheads="1"/>
        </xdr:cNvSpPr>
      </xdr:nvSpPr>
      <xdr:spPr bwMode="auto">
        <a:xfrm>
          <a:off x="0" y="49537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98" name="AutoShape 474" descr="https://www.soccerstats.com/img/own/sshplogo.png">
          <a:hlinkClick xmlns:r="http://schemas.openxmlformats.org/officeDocument/2006/relationships" r:id="rId237"/>
        </xdr:cNvPr>
        <xdr:cNvSpPr>
          <a:spLocks noChangeAspect="1" noChangeArrowheads="1"/>
        </xdr:cNvSpPr>
      </xdr:nvSpPr>
      <xdr:spPr bwMode="auto">
        <a:xfrm>
          <a:off x="13411200" y="49537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99" name="AutoShape 475" descr="FINLAND2"/>
        <xdr:cNvSpPr>
          <a:spLocks noChangeAspect="1" noChangeArrowheads="1"/>
        </xdr:cNvSpPr>
      </xdr:nvSpPr>
      <xdr:spPr bwMode="auto">
        <a:xfrm>
          <a:off x="0" y="49712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00" name="AutoShape 476" descr="https://www.soccerstats.com/img/own/sshplogo.png">
          <a:hlinkClick xmlns:r="http://schemas.openxmlformats.org/officeDocument/2006/relationships" r:id="rId238"/>
        </xdr:cNvPr>
        <xdr:cNvSpPr>
          <a:spLocks noChangeAspect="1" noChangeArrowheads="1"/>
        </xdr:cNvSpPr>
      </xdr:nvSpPr>
      <xdr:spPr bwMode="auto">
        <a:xfrm>
          <a:off x="13411200" y="49712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01" name="AutoShape 477" descr="FINLAND2"/>
        <xdr:cNvSpPr>
          <a:spLocks noChangeAspect="1" noChangeArrowheads="1"/>
        </xdr:cNvSpPr>
      </xdr:nvSpPr>
      <xdr:spPr bwMode="auto">
        <a:xfrm>
          <a:off x="0" y="49888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02" name="AutoShape 478" descr="https://www.soccerstats.com/img/own/sshplogo.png">
          <a:hlinkClick xmlns:r="http://schemas.openxmlformats.org/officeDocument/2006/relationships" r:id="rId239"/>
        </xdr:cNvPr>
        <xdr:cNvSpPr>
          <a:spLocks noChangeAspect="1" noChangeArrowheads="1"/>
        </xdr:cNvSpPr>
      </xdr:nvSpPr>
      <xdr:spPr bwMode="auto">
        <a:xfrm>
          <a:off x="13411200" y="49888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03" name="AutoShape 479" descr="FINLAND3"/>
        <xdr:cNvSpPr>
          <a:spLocks noChangeAspect="1" noChangeArrowheads="1"/>
        </xdr:cNvSpPr>
      </xdr:nvSpPr>
      <xdr:spPr bwMode="auto">
        <a:xfrm>
          <a:off x="0" y="50063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04" name="AutoShape 480" descr="https://www.soccerstats.com/img/own/sshplogo.png">
          <a:hlinkClick xmlns:r="http://schemas.openxmlformats.org/officeDocument/2006/relationships" r:id="rId240"/>
        </xdr:cNvPr>
        <xdr:cNvSpPr>
          <a:spLocks noChangeAspect="1" noChangeArrowheads="1"/>
        </xdr:cNvSpPr>
      </xdr:nvSpPr>
      <xdr:spPr bwMode="auto">
        <a:xfrm>
          <a:off x="13411200" y="50063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05" name="AutoShape 481" descr="FINLAND3"/>
        <xdr:cNvSpPr>
          <a:spLocks noChangeAspect="1" noChangeArrowheads="1"/>
        </xdr:cNvSpPr>
      </xdr:nvSpPr>
      <xdr:spPr bwMode="auto">
        <a:xfrm>
          <a:off x="0" y="50238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06" name="AutoShape 482" descr="https://www.soccerstats.com/img/own/sshplogo.png">
          <a:hlinkClick xmlns:r="http://schemas.openxmlformats.org/officeDocument/2006/relationships" r:id="rId241"/>
        </xdr:cNvPr>
        <xdr:cNvSpPr>
          <a:spLocks noChangeAspect="1" noChangeArrowheads="1"/>
        </xdr:cNvSpPr>
      </xdr:nvSpPr>
      <xdr:spPr bwMode="auto">
        <a:xfrm>
          <a:off x="13411200" y="50238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07" name="AutoShape 483" descr="FINLAND3"/>
        <xdr:cNvSpPr>
          <a:spLocks noChangeAspect="1" noChangeArrowheads="1"/>
        </xdr:cNvSpPr>
      </xdr:nvSpPr>
      <xdr:spPr bwMode="auto">
        <a:xfrm>
          <a:off x="0" y="50413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08" name="AutoShape 484" descr="https://www.soccerstats.com/img/own/sshplogo.png">
          <a:hlinkClick xmlns:r="http://schemas.openxmlformats.org/officeDocument/2006/relationships" r:id="rId242"/>
        </xdr:cNvPr>
        <xdr:cNvSpPr>
          <a:spLocks noChangeAspect="1" noChangeArrowheads="1"/>
        </xdr:cNvSpPr>
      </xdr:nvSpPr>
      <xdr:spPr bwMode="auto">
        <a:xfrm>
          <a:off x="13411200" y="50413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09" name="AutoShape 485" descr="FINLAND4"/>
        <xdr:cNvSpPr>
          <a:spLocks noChangeAspect="1" noChangeArrowheads="1"/>
        </xdr:cNvSpPr>
      </xdr:nvSpPr>
      <xdr:spPr bwMode="auto">
        <a:xfrm>
          <a:off x="0" y="50589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10" name="AutoShape 486" descr="https://www.soccerstats.com/img/own/sshplogo.png">
          <a:hlinkClick xmlns:r="http://schemas.openxmlformats.org/officeDocument/2006/relationships" r:id="rId243"/>
        </xdr:cNvPr>
        <xdr:cNvSpPr>
          <a:spLocks noChangeAspect="1" noChangeArrowheads="1"/>
        </xdr:cNvSpPr>
      </xdr:nvSpPr>
      <xdr:spPr bwMode="auto">
        <a:xfrm>
          <a:off x="13411200" y="50589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11" name="AutoShape 487" descr="FINLAND4"/>
        <xdr:cNvSpPr>
          <a:spLocks noChangeAspect="1" noChangeArrowheads="1"/>
        </xdr:cNvSpPr>
      </xdr:nvSpPr>
      <xdr:spPr bwMode="auto">
        <a:xfrm>
          <a:off x="0" y="50764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12" name="AutoShape 488" descr="https://www.soccerstats.com/img/own/sshplogo.png">
          <a:hlinkClick xmlns:r="http://schemas.openxmlformats.org/officeDocument/2006/relationships" r:id="rId244"/>
        </xdr:cNvPr>
        <xdr:cNvSpPr>
          <a:spLocks noChangeAspect="1" noChangeArrowheads="1"/>
        </xdr:cNvSpPr>
      </xdr:nvSpPr>
      <xdr:spPr bwMode="auto">
        <a:xfrm>
          <a:off x="13411200" y="50764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13" name="AutoShape 489" descr="FINLAND4"/>
        <xdr:cNvSpPr>
          <a:spLocks noChangeAspect="1" noChangeArrowheads="1"/>
        </xdr:cNvSpPr>
      </xdr:nvSpPr>
      <xdr:spPr bwMode="auto">
        <a:xfrm>
          <a:off x="0" y="50939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14" name="AutoShape 490" descr="https://www.soccerstats.com/img/own/sshplogo.png">
          <a:hlinkClick xmlns:r="http://schemas.openxmlformats.org/officeDocument/2006/relationships" r:id="rId245"/>
        </xdr:cNvPr>
        <xdr:cNvSpPr>
          <a:spLocks noChangeAspect="1" noChangeArrowheads="1"/>
        </xdr:cNvSpPr>
      </xdr:nvSpPr>
      <xdr:spPr bwMode="auto">
        <a:xfrm>
          <a:off x="13411200" y="50939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15" name="AutoShape 491" descr="FINLAND5"/>
        <xdr:cNvSpPr>
          <a:spLocks noChangeAspect="1" noChangeArrowheads="1"/>
        </xdr:cNvSpPr>
      </xdr:nvSpPr>
      <xdr:spPr bwMode="auto">
        <a:xfrm>
          <a:off x="0" y="51114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16" name="AutoShape 492" descr="https://www.soccerstats.com/img/own/sshplogo.png">
          <a:hlinkClick xmlns:r="http://schemas.openxmlformats.org/officeDocument/2006/relationships" r:id="rId246"/>
        </xdr:cNvPr>
        <xdr:cNvSpPr>
          <a:spLocks noChangeAspect="1" noChangeArrowheads="1"/>
        </xdr:cNvSpPr>
      </xdr:nvSpPr>
      <xdr:spPr bwMode="auto">
        <a:xfrm>
          <a:off x="13411200" y="51114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17" name="AutoShape 493" descr="FINLAND5"/>
        <xdr:cNvSpPr>
          <a:spLocks noChangeAspect="1" noChangeArrowheads="1"/>
        </xdr:cNvSpPr>
      </xdr:nvSpPr>
      <xdr:spPr bwMode="auto">
        <a:xfrm>
          <a:off x="0" y="51290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18" name="AutoShape 494" descr="https://www.soccerstats.com/img/own/sshplogo.png">
          <a:hlinkClick xmlns:r="http://schemas.openxmlformats.org/officeDocument/2006/relationships" r:id="rId247"/>
        </xdr:cNvPr>
        <xdr:cNvSpPr>
          <a:spLocks noChangeAspect="1" noChangeArrowheads="1"/>
        </xdr:cNvSpPr>
      </xdr:nvSpPr>
      <xdr:spPr bwMode="auto">
        <a:xfrm>
          <a:off x="13411200" y="51290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19" name="AutoShape 495" descr="FINLAND5"/>
        <xdr:cNvSpPr>
          <a:spLocks noChangeAspect="1" noChangeArrowheads="1"/>
        </xdr:cNvSpPr>
      </xdr:nvSpPr>
      <xdr:spPr bwMode="auto">
        <a:xfrm>
          <a:off x="0" y="51465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20" name="AutoShape 496" descr="https://www.soccerstats.com/img/own/sshplogo.png">
          <a:hlinkClick xmlns:r="http://schemas.openxmlformats.org/officeDocument/2006/relationships" r:id="rId248"/>
        </xdr:cNvPr>
        <xdr:cNvSpPr>
          <a:spLocks noChangeAspect="1" noChangeArrowheads="1"/>
        </xdr:cNvSpPr>
      </xdr:nvSpPr>
      <xdr:spPr bwMode="auto">
        <a:xfrm>
          <a:off x="13411200" y="51465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21" name="AutoShape 497" descr="FINLAND5"/>
        <xdr:cNvSpPr>
          <a:spLocks noChangeAspect="1" noChangeArrowheads="1"/>
        </xdr:cNvSpPr>
      </xdr:nvSpPr>
      <xdr:spPr bwMode="auto">
        <a:xfrm>
          <a:off x="0" y="51640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22" name="AutoShape 498" descr="https://www.soccerstats.com/img/own/sshplogo.png">
          <a:hlinkClick xmlns:r="http://schemas.openxmlformats.org/officeDocument/2006/relationships" r:id="rId249"/>
        </xdr:cNvPr>
        <xdr:cNvSpPr>
          <a:spLocks noChangeAspect="1" noChangeArrowheads="1"/>
        </xdr:cNvSpPr>
      </xdr:nvSpPr>
      <xdr:spPr bwMode="auto">
        <a:xfrm>
          <a:off x="13411200" y="51640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23" name="AutoShape 499" descr="FINLAND5"/>
        <xdr:cNvSpPr>
          <a:spLocks noChangeAspect="1" noChangeArrowheads="1"/>
        </xdr:cNvSpPr>
      </xdr:nvSpPr>
      <xdr:spPr bwMode="auto">
        <a:xfrm>
          <a:off x="0" y="51816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24" name="AutoShape 500" descr="https://www.soccerstats.com/img/own/sshplogo.png">
          <a:hlinkClick xmlns:r="http://schemas.openxmlformats.org/officeDocument/2006/relationships" r:id="rId250"/>
        </xdr:cNvPr>
        <xdr:cNvSpPr>
          <a:spLocks noChangeAspect="1" noChangeArrowheads="1"/>
        </xdr:cNvSpPr>
      </xdr:nvSpPr>
      <xdr:spPr bwMode="auto">
        <a:xfrm>
          <a:off x="13411200" y="5181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25" name="AutoShape 501" descr="FINLAND6"/>
        <xdr:cNvSpPr>
          <a:spLocks noChangeAspect="1" noChangeArrowheads="1"/>
        </xdr:cNvSpPr>
      </xdr:nvSpPr>
      <xdr:spPr bwMode="auto">
        <a:xfrm>
          <a:off x="0" y="51991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26" name="AutoShape 502" descr="https://www.soccerstats.com/img/own/sshplogo.png">
          <a:hlinkClick xmlns:r="http://schemas.openxmlformats.org/officeDocument/2006/relationships" r:id="rId251"/>
        </xdr:cNvPr>
        <xdr:cNvSpPr>
          <a:spLocks noChangeAspect="1" noChangeArrowheads="1"/>
        </xdr:cNvSpPr>
      </xdr:nvSpPr>
      <xdr:spPr bwMode="auto">
        <a:xfrm>
          <a:off x="13411200" y="51991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27" name="AutoShape 503" descr="FINLAND6"/>
        <xdr:cNvSpPr>
          <a:spLocks noChangeAspect="1" noChangeArrowheads="1"/>
        </xdr:cNvSpPr>
      </xdr:nvSpPr>
      <xdr:spPr bwMode="auto">
        <a:xfrm>
          <a:off x="0" y="52166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28" name="AutoShape 504" descr="https://www.soccerstats.com/img/own/sshplogo.png">
          <a:hlinkClick xmlns:r="http://schemas.openxmlformats.org/officeDocument/2006/relationships" r:id="rId252"/>
        </xdr:cNvPr>
        <xdr:cNvSpPr>
          <a:spLocks noChangeAspect="1" noChangeArrowheads="1"/>
        </xdr:cNvSpPr>
      </xdr:nvSpPr>
      <xdr:spPr bwMode="auto">
        <a:xfrm>
          <a:off x="13411200" y="52166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29" name="AutoShape 505" descr="FINLAND6"/>
        <xdr:cNvSpPr>
          <a:spLocks noChangeAspect="1" noChangeArrowheads="1"/>
        </xdr:cNvSpPr>
      </xdr:nvSpPr>
      <xdr:spPr bwMode="auto">
        <a:xfrm>
          <a:off x="0" y="52341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30" name="AutoShape 506" descr="https://www.soccerstats.com/img/own/sshplogo.png">
          <a:hlinkClick xmlns:r="http://schemas.openxmlformats.org/officeDocument/2006/relationships" r:id="rId253"/>
        </xdr:cNvPr>
        <xdr:cNvSpPr>
          <a:spLocks noChangeAspect="1" noChangeArrowheads="1"/>
        </xdr:cNvSpPr>
      </xdr:nvSpPr>
      <xdr:spPr bwMode="auto">
        <a:xfrm>
          <a:off x="13411200" y="52341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31" name="AutoShape 507" descr="GEORGIA"/>
        <xdr:cNvSpPr>
          <a:spLocks noChangeAspect="1" noChangeArrowheads="1"/>
        </xdr:cNvSpPr>
      </xdr:nvSpPr>
      <xdr:spPr bwMode="auto">
        <a:xfrm>
          <a:off x="0" y="52517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32" name="AutoShape 508" descr="https://www.soccerstats.com/img/own/sshplogo.png">
          <a:hlinkClick xmlns:r="http://schemas.openxmlformats.org/officeDocument/2006/relationships" r:id="rId254"/>
        </xdr:cNvPr>
        <xdr:cNvSpPr>
          <a:spLocks noChangeAspect="1" noChangeArrowheads="1"/>
        </xdr:cNvSpPr>
      </xdr:nvSpPr>
      <xdr:spPr bwMode="auto">
        <a:xfrm>
          <a:off x="13411200" y="52517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33" name="AutoShape 509" descr="GEORGIA"/>
        <xdr:cNvSpPr>
          <a:spLocks noChangeAspect="1" noChangeArrowheads="1"/>
        </xdr:cNvSpPr>
      </xdr:nvSpPr>
      <xdr:spPr bwMode="auto">
        <a:xfrm>
          <a:off x="0" y="52768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34" name="AutoShape 510" descr="https://www.soccerstats.com/img/own/sshplogo.png">
          <a:hlinkClick xmlns:r="http://schemas.openxmlformats.org/officeDocument/2006/relationships" r:id="rId255"/>
        </xdr:cNvPr>
        <xdr:cNvSpPr>
          <a:spLocks noChangeAspect="1" noChangeArrowheads="1"/>
        </xdr:cNvSpPr>
      </xdr:nvSpPr>
      <xdr:spPr bwMode="auto">
        <a:xfrm>
          <a:off x="13411200" y="5276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35" name="AutoShape 511" descr="GERMANY3"/>
        <xdr:cNvSpPr>
          <a:spLocks noChangeAspect="1" noChangeArrowheads="1"/>
        </xdr:cNvSpPr>
      </xdr:nvSpPr>
      <xdr:spPr bwMode="auto">
        <a:xfrm>
          <a:off x="0" y="53019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36" name="AutoShape 512" descr="https://www.soccerstats.com/img/own/sshplogo.png">
          <a:hlinkClick xmlns:r="http://schemas.openxmlformats.org/officeDocument/2006/relationships" r:id="rId256"/>
        </xdr:cNvPr>
        <xdr:cNvSpPr>
          <a:spLocks noChangeAspect="1" noChangeArrowheads="1"/>
        </xdr:cNvSpPr>
      </xdr:nvSpPr>
      <xdr:spPr bwMode="auto">
        <a:xfrm>
          <a:off x="13411200" y="53019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37" name="AutoShape 513" descr="GERMANY3"/>
        <xdr:cNvSpPr>
          <a:spLocks noChangeAspect="1" noChangeArrowheads="1"/>
        </xdr:cNvSpPr>
      </xdr:nvSpPr>
      <xdr:spPr bwMode="auto">
        <a:xfrm>
          <a:off x="0" y="53271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38" name="AutoShape 514" descr="https://www.soccerstats.com/img/own/sshplogo.png">
          <a:hlinkClick xmlns:r="http://schemas.openxmlformats.org/officeDocument/2006/relationships" r:id="rId257"/>
        </xdr:cNvPr>
        <xdr:cNvSpPr>
          <a:spLocks noChangeAspect="1" noChangeArrowheads="1"/>
        </xdr:cNvSpPr>
      </xdr:nvSpPr>
      <xdr:spPr bwMode="auto">
        <a:xfrm>
          <a:off x="13411200" y="53271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39" name="AutoShape 515" descr="GERMANY3"/>
        <xdr:cNvSpPr>
          <a:spLocks noChangeAspect="1" noChangeArrowheads="1"/>
        </xdr:cNvSpPr>
      </xdr:nvSpPr>
      <xdr:spPr bwMode="auto">
        <a:xfrm>
          <a:off x="0" y="53446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40" name="AutoShape 516" descr="https://www.soccerstats.com/img/own/sshplogo.png">
          <a:hlinkClick xmlns:r="http://schemas.openxmlformats.org/officeDocument/2006/relationships" r:id="rId258"/>
        </xdr:cNvPr>
        <xdr:cNvSpPr>
          <a:spLocks noChangeAspect="1" noChangeArrowheads="1"/>
        </xdr:cNvSpPr>
      </xdr:nvSpPr>
      <xdr:spPr bwMode="auto">
        <a:xfrm>
          <a:off x="13411200" y="53446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41" name="AutoShape 517" descr="GERMANY3"/>
        <xdr:cNvSpPr>
          <a:spLocks noChangeAspect="1" noChangeArrowheads="1"/>
        </xdr:cNvSpPr>
      </xdr:nvSpPr>
      <xdr:spPr bwMode="auto">
        <a:xfrm>
          <a:off x="0" y="53621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42" name="AutoShape 518" descr="https://www.soccerstats.com/img/own/sshplogo.png">
          <a:hlinkClick xmlns:r="http://schemas.openxmlformats.org/officeDocument/2006/relationships" r:id="rId259"/>
        </xdr:cNvPr>
        <xdr:cNvSpPr>
          <a:spLocks noChangeAspect="1" noChangeArrowheads="1"/>
        </xdr:cNvSpPr>
      </xdr:nvSpPr>
      <xdr:spPr bwMode="auto">
        <a:xfrm>
          <a:off x="13411200" y="53621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43" name="AutoShape 519" descr="GERMANY3"/>
        <xdr:cNvSpPr>
          <a:spLocks noChangeAspect="1" noChangeArrowheads="1"/>
        </xdr:cNvSpPr>
      </xdr:nvSpPr>
      <xdr:spPr bwMode="auto">
        <a:xfrm>
          <a:off x="0" y="53873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44" name="AutoShape 520" descr="https://www.soccerstats.com/img/own/sshplogo.png">
          <a:hlinkClick xmlns:r="http://schemas.openxmlformats.org/officeDocument/2006/relationships" r:id="rId260"/>
        </xdr:cNvPr>
        <xdr:cNvSpPr>
          <a:spLocks noChangeAspect="1" noChangeArrowheads="1"/>
        </xdr:cNvSpPr>
      </xdr:nvSpPr>
      <xdr:spPr bwMode="auto">
        <a:xfrm>
          <a:off x="13411200" y="53873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45" name="AutoShape 521" descr="GERMANY3"/>
        <xdr:cNvSpPr>
          <a:spLocks noChangeAspect="1" noChangeArrowheads="1"/>
        </xdr:cNvSpPr>
      </xdr:nvSpPr>
      <xdr:spPr bwMode="auto">
        <a:xfrm>
          <a:off x="0" y="54048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46" name="AutoShape 522" descr="https://www.soccerstats.com/img/own/sshplogo.png">
          <a:hlinkClick xmlns:r="http://schemas.openxmlformats.org/officeDocument/2006/relationships" r:id="rId261"/>
        </xdr:cNvPr>
        <xdr:cNvSpPr>
          <a:spLocks noChangeAspect="1" noChangeArrowheads="1"/>
        </xdr:cNvSpPr>
      </xdr:nvSpPr>
      <xdr:spPr bwMode="auto">
        <a:xfrm>
          <a:off x="13411200" y="54048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47" name="AutoShape 523" descr="GERMANY4"/>
        <xdr:cNvSpPr>
          <a:spLocks noChangeAspect="1" noChangeArrowheads="1"/>
        </xdr:cNvSpPr>
      </xdr:nvSpPr>
      <xdr:spPr bwMode="auto">
        <a:xfrm>
          <a:off x="0" y="54300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48" name="AutoShape 524" descr="https://www.soccerstats.com/img/own/sshplogo.png">
          <a:hlinkClick xmlns:r="http://schemas.openxmlformats.org/officeDocument/2006/relationships" r:id="rId262"/>
        </xdr:cNvPr>
        <xdr:cNvSpPr>
          <a:spLocks noChangeAspect="1" noChangeArrowheads="1"/>
        </xdr:cNvSpPr>
      </xdr:nvSpPr>
      <xdr:spPr bwMode="auto">
        <a:xfrm>
          <a:off x="13411200" y="54300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49" name="AutoShape 525" descr="GERMANY4"/>
        <xdr:cNvSpPr>
          <a:spLocks noChangeAspect="1" noChangeArrowheads="1"/>
        </xdr:cNvSpPr>
      </xdr:nvSpPr>
      <xdr:spPr bwMode="auto">
        <a:xfrm>
          <a:off x="0" y="54475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50" name="AutoShape 526" descr="https://www.soccerstats.com/img/own/sshplogo.png">
          <a:hlinkClick xmlns:r="http://schemas.openxmlformats.org/officeDocument/2006/relationships" r:id="rId263"/>
        </xdr:cNvPr>
        <xdr:cNvSpPr>
          <a:spLocks noChangeAspect="1" noChangeArrowheads="1"/>
        </xdr:cNvSpPr>
      </xdr:nvSpPr>
      <xdr:spPr bwMode="auto">
        <a:xfrm>
          <a:off x="13411200" y="54475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51" name="AutoShape 527" descr="GERMANY4"/>
        <xdr:cNvSpPr>
          <a:spLocks noChangeAspect="1" noChangeArrowheads="1"/>
        </xdr:cNvSpPr>
      </xdr:nvSpPr>
      <xdr:spPr bwMode="auto">
        <a:xfrm>
          <a:off x="0" y="54726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52" name="AutoShape 528" descr="https://www.soccerstats.com/img/own/sshplogo.png">
          <a:hlinkClick xmlns:r="http://schemas.openxmlformats.org/officeDocument/2006/relationships" r:id="rId264"/>
        </xdr:cNvPr>
        <xdr:cNvSpPr>
          <a:spLocks noChangeAspect="1" noChangeArrowheads="1"/>
        </xdr:cNvSpPr>
      </xdr:nvSpPr>
      <xdr:spPr bwMode="auto">
        <a:xfrm>
          <a:off x="13411200" y="54726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53" name="AutoShape 529" descr="GERMANY4"/>
        <xdr:cNvSpPr>
          <a:spLocks noChangeAspect="1" noChangeArrowheads="1"/>
        </xdr:cNvSpPr>
      </xdr:nvSpPr>
      <xdr:spPr bwMode="auto">
        <a:xfrm>
          <a:off x="0" y="54902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54" name="AutoShape 530" descr="https://www.soccerstats.com/img/own/sshplogo.png">
          <a:hlinkClick xmlns:r="http://schemas.openxmlformats.org/officeDocument/2006/relationships" r:id="rId265"/>
        </xdr:cNvPr>
        <xdr:cNvSpPr>
          <a:spLocks noChangeAspect="1" noChangeArrowheads="1"/>
        </xdr:cNvSpPr>
      </xdr:nvSpPr>
      <xdr:spPr bwMode="auto">
        <a:xfrm>
          <a:off x="13411200" y="54902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55" name="AutoShape 531" descr="GERMANY5"/>
        <xdr:cNvSpPr>
          <a:spLocks noChangeAspect="1" noChangeArrowheads="1"/>
        </xdr:cNvSpPr>
      </xdr:nvSpPr>
      <xdr:spPr bwMode="auto">
        <a:xfrm>
          <a:off x="0" y="55153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56" name="AutoShape 532" descr="https://www.soccerstats.com/img/own/sshplogo.png">
          <a:hlinkClick xmlns:r="http://schemas.openxmlformats.org/officeDocument/2006/relationships" r:id="rId266"/>
        </xdr:cNvPr>
        <xdr:cNvSpPr>
          <a:spLocks noChangeAspect="1" noChangeArrowheads="1"/>
        </xdr:cNvSpPr>
      </xdr:nvSpPr>
      <xdr:spPr bwMode="auto">
        <a:xfrm>
          <a:off x="13411200" y="55153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57" name="AutoShape 533" descr="GERMANY5"/>
        <xdr:cNvSpPr>
          <a:spLocks noChangeAspect="1" noChangeArrowheads="1"/>
        </xdr:cNvSpPr>
      </xdr:nvSpPr>
      <xdr:spPr bwMode="auto">
        <a:xfrm>
          <a:off x="0" y="55328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58" name="AutoShape 534" descr="https://www.soccerstats.com/img/own/sshplogo.png">
          <a:hlinkClick xmlns:r="http://schemas.openxmlformats.org/officeDocument/2006/relationships" r:id="rId267"/>
        </xdr:cNvPr>
        <xdr:cNvSpPr>
          <a:spLocks noChangeAspect="1" noChangeArrowheads="1"/>
        </xdr:cNvSpPr>
      </xdr:nvSpPr>
      <xdr:spPr bwMode="auto">
        <a:xfrm>
          <a:off x="13411200" y="55328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59" name="AutoShape 535" descr="GERMANY5"/>
        <xdr:cNvSpPr>
          <a:spLocks noChangeAspect="1" noChangeArrowheads="1"/>
        </xdr:cNvSpPr>
      </xdr:nvSpPr>
      <xdr:spPr bwMode="auto">
        <a:xfrm>
          <a:off x="0" y="55504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60" name="AutoShape 536" descr="https://www.soccerstats.com/img/own/sshplogo.png">
          <a:hlinkClick xmlns:r="http://schemas.openxmlformats.org/officeDocument/2006/relationships" r:id="rId268"/>
        </xdr:cNvPr>
        <xdr:cNvSpPr>
          <a:spLocks noChangeAspect="1" noChangeArrowheads="1"/>
        </xdr:cNvSpPr>
      </xdr:nvSpPr>
      <xdr:spPr bwMode="auto">
        <a:xfrm>
          <a:off x="13411200" y="55504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61" name="AutoShape 537" descr="GERMANY6"/>
        <xdr:cNvSpPr>
          <a:spLocks noChangeAspect="1" noChangeArrowheads="1"/>
        </xdr:cNvSpPr>
      </xdr:nvSpPr>
      <xdr:spPr bwMode="auto">
        <a:xfrm>
          <a:off x="0" y="55755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62" name="AutoShape 538" descr="https://www.soccerstats.com/img/own/sshplogo.png">
          <a:hlinkClick xmlns:r="http://schemas.openxmlformats.org/officeDocument/2006/relationships" r:id="rId269"/>
        </xdr:cNvPr>
        <xdr:cNvSpPr>
          <a:spLocks noChangeAspect="1" noChangeArrowheads="1"/>
        </xdr:cNvSpPr>
      </xdr:nvSpPr>
      <xdr:spPr bwMode="auto">
        <a:xfrm>
          <a:off x="13411200" y="55755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63" name="AutoShape 539" descr="GERMANY6"/>
        <xdr:cNvSpPr>
          <a:spLocks noChangeAspect="1" noChangeArrowheads="1"/>
        </xdr:cNvSpPr>
      </xdr:nvSpPr>
      <xdr:spPr bwMode="auto">
        <a:xfrm>
          <a:off x="0" y="55930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64" name="AutoShape 540" descr="https://www.soccerstats.com/img/own/sshplogo.png">
          <a:hlinkClick xmlns:r="http://schemas.openxmlformats.org/officeDocument/2006/relationships" r:id="rId270"/>
        </xdr:cNvPr>
        <xdr:cNvSpPr>
          <a:spLocks noChangeAspect="1" noChangeArrowheads="1"/>
        </xdr:cNvSpPr>
      </xdr:nvSpPr>
      <xdr:spPr bwMode="auto">
        <a:xfrm>
          <a:off x="13411200" y="559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65" name="AutoShape 541" descr="GERMANY6"/>
        <xdr:cNvSpPr>
          <a:spLocks noChangeAspect="1" noChangeArrowheads="1"/>
        </xdr:cNvSpPr>
      </xdr:nvSpPr>
      <xdr:spPr bwMode="auto">
        <a:xfrm>
          <a:off x="0" y="56106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66" name="AutoShape 542" descr="https://www.soccerstats.com/img/own/sshplogo.png">
          <a:hlinkClick xmlns:r="http://schemas.openxmlformats.org/officeDocument/2006/relationships" r:id="rId271"/>
        </xdr:cNvPr>
        <xdr:cNvSpPr>
          <a:spLocks noChangeAspect="1" noChangeArrowheads="1"/>
        </xdr:cNvSpPr>
      </xdr:nvSpPr>
      <xdr:spPr bwMode="auto">
        <a:xfrm>
          <a:off x="13411200" y="56106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67" name="AutoShape 543" descr="GERMANY6"/>
        <xdr:cNvSpPr>
          <a:spLocks noChangeAspect="1" noChangeArrowheads="1"/>
        </xdr:cNvSpPr>
      </xdr:nvSpPr>
      <xdr:spPr bwMode="auto">
        <a:xfrm>
          <a:off x="0" y="56357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68" name="AutoShape 544" descr="https://www.soccerstats.com/img/own/sshplogo.png">
          <a:hlinkClick xmlns:r="http://schemas.openxmlformats.org/officeDocument/2006/relationships" r:id="rId272"/>
        </xdr:cNvPr>
        <xdr:cNvSpPr>
          <a:spLocks noChangeAspect="1" noChangeArrowheads="1"/>
        </xdr:cNvSpPr>
      </xdr:nvSpPr>
      <xdr:spPr bwMode="auto">
        <a:xfrm>
          <a:off x="13411200" y="56357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69" name="AutoShape 545" descr="GERMANY7"/>
        <xdr:cNvSpPr>
          <a:spLocks noChangeAspect="1" noChangeArrowheads="1"/>
        </xdr:cNvSpPr>
      </xdr:nvSpPr>
      <xdr:spPr bwMode="auto">
        <a:xfrm>
          <a:off x="0" y="56608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70" name="AutoShape 546" descr="https://www.soccerstats.com/img/own/sshplogo.png">
          <a:hlinkClick xmlns:r="http://schemas.openxmlformats.org/officeDocument/2006/relationships" r:id="rId273"/>
        </xdr:cNvPr>
        <xdr:cNvSpPr>
          <a:spLocks noChangeAspect="1" noChangeArrowheads="1"/>
        </xdr:cNvSpPr>
      </xdr:nvSpPr>
      <xdr:spPr bwMode="auto">
        <a:xfrm>
          <a:off x="13411200" y="56608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71" name="AutoShape 547" descr="GERMANY7"/>
        <xdr:cNvSpPr>
          <a:spLocks noChangeAspect="1" noChangeArrowheads="1"/>
        </xdr:cNvSpPr>
      </xdr:nvSpPr>
      <xdr:spPr bwMode="auto">
        <a:xfrm>
          <a:off x="0" y="56784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72" name="AutoShape 548" descr="https://www.soccerstats.com/img/own/sshplogo.png">
          <a:hlinkClick xmlns:r="http://schemas.openxmlformats.org/officeDocument/2006/relationships" r:id="rId274"/>
        </xdr:cNvPr>
        <xdr:cNvSpPr>
          <a:spLocks noChangeAspect="1" noChangeArrowheads="1"/>
        </xdr:cNvSpPr>
      </xdr:nvSpPr>
      <xdr:spPr bwMode="auto">
        <a:xfrm>
          <a:off x="13411200" y="56784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73" name="AutoShape 549" descr="GERMANY7"/>
        <xdr:cNvSpPr>
          <a:spLocks noChangeAspect="1" noChangeArrowheads="1"/>
        </xdr:cNvSpPr>
      </xdr:nvSpPr>
      <xdr:spPr bwMode="auto">
        <a:xfrm>
          <a:off x="0" y="56959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74" name="AutoShape 550" descr="https://www.soccerstats.com/img/own/sshplogo.png">
          <a:hlinkClick xmlns:r="http://schemas.openxmlformats.org/officeDocument/2006/relationships" r:id="rId275"/>
        </xdr:cNvPr>
        <xdr:cNvSpPr>
          <a:spLocks noChangeAspect="1" noChangeArrowheads="1"/>
        </xdr:cNvSpPr>
      </xdr:nvSpPr>
      <xdr:spPr bwMode="auto">
        <a:xfrm>
          <a:off x="13411200" y="5695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75" name="AutoShape 551" descr="GERMANY7"/>
        <xdr:cNvSpPr>
          <a:spLocks noChangeAspect="1" noChangeArrowheads="1"/>
        </xdr:cNvSpPr>
      </xdr:nvSpPr>
      <xdr:spPr bwMode="auto">
        <a:xfrm>
          <a:off x="0" y="57210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76" name="AutoShape 552" descr="https://www.soccerstats.com/img/own/sshplogo.png">
          <a:hlinkClick xmlns:r="http://schemas.openxmlformats.org/officeDocument/2006/relationships" r:id="rId276"/>
        </xdr:cNvPr>
        <xdr:cNvSpPr>
          <a:spLocks noChangeAspect="1" noChangeArrowheads="1"/>
        </xdr:cNvSpPr>
      </xdr:nvSpPr>
      <xdr:spPr bwMode="auto">
        <a:xfrm>
          <a:off x="13411200" y="57210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77" name="AutoShape 553" descr="GERMANY7"/>
        <xdr:cNvSpPr>
          <a:spLocks noChangeAspect="1" noChangeArrowheads="1"/>
        </xdr:cNvSpPr>
      </xdr:nvSpPr>
      <xdr:spPr bwMode="auto">
        <a:xfrm>
          <a:off x="0" y="57386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78" name="AutoShape 554" descr="https://www.soccerstats.com/img/own/sshplogo.png">
          <a:hlinkClick xmlns:r="http://schemas.openxmlformats.org/officeDocument/2006/relationships" r:id="rId277"/>
        </xdr:cNvPr>
        <xdr:cNvSpPr>
          <a:spLocks noChangeAspect="1" noChangeArrowheads="1"/>
        </xdr:cNvSpPr>
      </xdr:nvSpPr>
      <xdr:spPr bwMode="auto">
        <a:xfrm>
          <a:off x="13411200" y="57386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79" name="AutoShape 555" descr="GUATEMALA"/>
        <xdr:cNvSpPr>
          <a:spLocks noChangeAspect="1" noChangeArrowheads="1"/>
        </xdr:cNvSpPr>
      </xdr:nvSpPr>
      <xdr:spPr bwMode="auto">
        <a:xfrm>
          <a:off x="0" y="57561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80" name="AutoShape 556" descr="https://www.soccerstats.com/img/own/sshplogo.png">
          <a:hlinkClick xmlns:r="http://schemas.openxmlformats.org/officeDocument/2006/relationships" r:id="rId278"/>
        </xdr:cNvPr>
        <xdr:cNvSpPr>
          <a:spLocks noChangeAspect="1" noChangeArrowheads="1"/>
        </xdr:cNvSpPr>
      </xdr:nvSpPr>
      <xdr:spPr bwMode="auto">
        <a:xfrm>
          <a:off x="13411200" y="57561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81" name="AutoShape 557" descr="GUATEMALA"/>
        <xdr:cNvSpPr>
          <a:spLocks noChangeAspect="1" noChangeArrowheads="1"/>
        </xdr:cNvSpPr>
      </xdr:nvSpPr>
      <xdr:spPr bwMode="auto">
        <a:xfrm>
          <a:off x="0" y="57812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82" name="AutoShape 558" descr="https://www.soccerstats.com/img/own/sshplogo.png">
          <a:hlinkClick xmlns:r="http://schemas.openxmlformats.org/officeDocument/2006/relationships" r:id="rId279"/>
        </xdr:cNvPr>
        <xdr:cNvSpPr>
          <a:spLocks noChangeAspect="1" noChangeArrowheads="1"/>
        </xdr:cNvSpPr>
      </xdr:nvSpPr>
      <xdr:spPr bwMode="auto">
        <a:xfrm>
          <a:off x="13411200" y="57812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83" name="AutoShape 559" descr="HUNGARY"/>
        <xdr:cNvSpPr>
          <a:spLocks noChangeAspect="1" noChangeArrowheads="1"/>
        </xdr:cNvSpPr>
      </xdr:nvSpPr>
      <xdr:spPr bwMode="auto">
        <a:xfrm>
          <a:off x="0" y="57988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84" name="AutoShape 560" descr="https://www.soccerstats.com/img/own/sshplogo.png">
          <a:hlinkClick xmlns:r="http://schemas.openxmlformats.org/officeDocument/2006/relationships" r:id="rId280"/>
        </xdr:cNvPr>
        <xdr:cNvSpPr>
          <a:spLocks noChangeAspect="1" noChangeArrowheads="1"/>
        </xdr:cNvSpPr>
      </xdr:nvSpPr>
      <xdr:spPr bwMode="auto">
        <a:xfrm>
          <a:off x="13411200" y="57988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85" name="AutoShape 561" descr="HUNGARY"/>
        <xdr:cNvSpPr>
          <a:spLocks noChangeAspect="1" noChangeArrowheads="1"/>
        </xdr:cNvSpPr>
      </xdr:nvSpPr>
      <xdr:spPr bwMode="auto">
        <a:xfrm>
          <a:off x="0" y="58239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86" name="AutoShape 562" descr="https://www.soccerstats.com/img/own/sshplogo.png">
          <a:hlinkClick xmlns:r="http://schemas.openxmlformats.org/officeDocument/2006/relationships" r:id="rId281"/>
        </xdr:cNvPr>
        <xdr:cNvSpPr>
          <a:spLocks noChangeAspect="1" noChangeArrowheads="1"/>
        </xdr:cNvSpPr>
      </xdr:nvSpPr>
      <xdr:spPr bwMode="auto">
        <a:xfrm>
          <a:off x="13411200" y="58239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87" name="AutoShape 563" descr="HUNGARY2"/>
        <xdr:cNvSpPr>
          <a:spLocks noChangeAspect="1" noChangeArrowheads="1"/>
        </xdr:cNvSpPr>
      </xdr:nvSpPr>
      <xdr:spPr bwMode="auto">
        <a:xfrm>
          <a:off x="0" y="58414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88" name="AutoShape 564" descr="https://www.soccerstats.com/img/own/sshplogo.png">
          <a:hlinkClick xmlns:r="http://schemas.openxmlformats.org/officeDocument/2006/relationships" r:id="rId282"/>
        </xdr:cNvPr>
        <xdr:cNvSpPr>
          <a:spLocks noChangeAspect="1" noChangeArrowheads="1"/>
        </xdr:cNvSpPr>
      </xdr:nvSpPr>
      <xdr:spPr bwMode="auto">
        <a:xfrm>
          <a:off x="13411200" y="58414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89" name="AutoShape 565" descr="HUNGARY2"/>
        <xdr:cNvSpPr>
          <a:spLocks noChangeAspect="1" noChangeArrowheads="1"/>
        </xdr:cNvSpPr>
      </xdr:nvSpPr>
      <xdr:spPr bwMode="auto">
        <a:xfrm>
          <a:off x="0" y="58590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90" name="AutoShape 566" descr="https://www.soccerstats.com/img/own/sshplogo.png">
          <a:hlinkClick xmlns:r="http://schemas.openxmlformats.org/officeDocument/2006/relationships" r:id="rId283"/>
        </xdr:cNvPr>
        <xdr:cNvSpPr>
          <a:spLocks noChangeAspect="1" noChangeArrowheads="1"/>
        </xdr:cNvSpPr>
      </xdr:nvSpPr>
      <xdr:spPr bwMode="auto">
        <a:xfrm>
          <a:off x="13411200" y="58590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91" name="AutoShape 567" descr="HUNGARY2"/>
        <xdr:cNvSpPr>
          <a:spLocks noChangeAspect="1" noChangeArrowheads="1"/>
        </xdr:cNvSpPr>
      </xdr:nvSpPr>
      <xdr:spPr bwMode="auto">
        <a:xfrm>
          <a:off x="0" y="58765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92" name="AutoShape 568" descr="https://www.soccerstats.com/img/own/sshplogo.png">
          <a:hlinkClick xmlns:r="http://schemas.openxmlformats.org/officeDocument/2006/relationships" r:id="rId284"/>
        </xdr:cNvPr>
        <xdr:cNvSpPr>
          <a:spLocks noChangeAspect="1" noChangeArrowheads="1"/>
        </xdr:cNvSpPr>
      </xdr:nvSpPr>
      <xdr:spPr bwMode="auto">
        <a:xfrm>
          <a:off x="13411200" y="58765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93" name="AutoShape 569" descr="HUNGARY2"/>
        <xdr:cNvSpPr>
          <a:spLocks noChangeAspect="1" noChangeArrowheads="1"/>
        </xdr:cNvSpPr>
      </xdr:nvSpPr>
      <xdr:spPr bwMode="auto">
        <a:xfrm>
          <a:off x="0" y="59016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94" name="AutoShape 570" descr="https://www.soccerstats.com/img/own/sshplogo.png">
          <a:hlinkClick xmlns:r="http://schemas.openxmlformats.org/officeDocument/2006/relationships" r:id="rId285"/>
        </xdr:cNvPr>
        <xdr:cNvSpPr>
          <a:spLocks noChangeAspect="1" noChangeArrowheads="1"/>
        </xdr:cNvSpPr>
      </xdr:nvSpPr>
      <xdr:spPr bwMode="auto">
        <a:xfrm>
          <a:off x="13411200" y="59016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95" name="AutoShape 571" descr="HUNGARY2"/>
        <xdr:cNvSpPr>
          <a:spLocks noChangeAspect="1" noChangeArrowheads="1"/>
        </xdr:cNvSpPr>
      </xdr:nvSpPr>
      <xdr:spPr bwMode="auto">
        <a:xfrm>
          <a:off x="0" y="59192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96" name="AutoShape 572" descr="https://www.soccerstats.com/img/own/sshplogo.png">
          <a:hlinkClick xmlns:r="http://schemas.openxmlformats.org/officeDocument/2006/relationships" r:id="rId286"/>
        </xdr:cNvPr>
        <xdr:cNvSpPr>
          <a:spLocks noChangeAspect="1" noChangeArrowheads="1"/>
        </xdr:cNvSpPr>
      </xdr:nvSpPr>
      <xdr:spPr bwMode="auto">
        <a:xfrm>
          <a:off x="13411200" y="59192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97" name="AutoShape 573" descr="HUNGARY2"/>
        <xdr:cNvSpPr>
          <a:spLocks noChangeAspect="1" noChangeArrowheads="1"/>
        </xdr:cNvSpPr>
      </xdr:nvSpPr>
      <xdr:spPr bwMode="auto">
        <a:xfrm>
          <a:off x="0" y="59443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98" name="AutoShape 574" descr="https://www.soccerstats.com/img/own/sshplogo.png">
          <a:hlinkClick xmlns:r="http://schemas.openxmlformats.org/officeDocument/2006/relationships" r:id="rId287"/>
        </xdr:cNvPr>
        <xdr:cNvSpPr>
          <a:spLocks noChangeAspect="1" noChangeArrowheads="1"/>
        </xdr:cNvSpPr>
      </xdr:nvSpPr>
      <xdr:spPr bwMode="auto">
        <a:xfrm>
          <a:off x="13411200" y="59443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99" name="AutoShape 575" descr="ICELAND"/>
        <xdr:cNvSpPr>
          <a:spLocks noChangeAspect="1" noChangeArrowheads="1"/>
        </xdr:cNvSpPr>
      </xdr:nvSpPr>
      <xdr:spPr bwMode="auto">
        <a:xfrm>
          <a:off x="0" y="59618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00" name="AutoShape 576" descr="https://www.soccerstats.com/img/own/sshplogo.png">
          <a:hlinkClick xmlns:r="http://schemas.openxmlformats.org/officeDocument/2006/relationships" r:id="rId288"/>
        </xdr:cNvPr>
        <xdr:cNvSpPr>
          <a:spLocks noChangeAspect="1" noChangeArrowheads="1"/>
        </xdr:cNvSpPr>
      </xdr:nvSpPr>
      <xdr:spPr bwMode="auto">
        <a:xfrm>
          <a:off x="13411200" y="59618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01" name="AutoShape 577" descr="ICELAND3"/>
        <xdr:cNvSpPr>
          <a:spLocks noChangeAspect="1" noChangeArrowheads="1"/>
        </xdr:cNvSpPr>
      </xdr:nvSpPr>
      <xdr:spPr bwMode="auto">
        <a:xfrm>
          <a:off x="0" y="59794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02" name="AutoShape 578" descr="https://www.soccerstats.com/img/own/sshplogo.png">
          <a:hlinkClick xmlns:r="http://schemas.openxmlformats.org/officeDocument/2006/relationships" r:id="rId289"/>
        </xdr:cNvPr>
        <xdr:cNvSpPr>
          <a:spLocks noChangeAspect="1" noChangeArrowheads="1"/>
        </xdr:cNvSpPr>
      </xdr:nvSpPr>
      <xdr:spPr bwMode="auto">
        <a:xfrm>
          <a:off x="13411200" y="59794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03" name="AutoShape 579" descr="ICELAND3"/>
        <xdr:cNvSpPr>
          <a:spLocks noChangeAspect="1" noChangeArrowheads="1"/>
        </xdr:cNvSpPr>
      </xdr:nvSpPr>
      <xdr:spPr bwMode="auto">
        <a:xfrm>
          <a:off x="0" y="59969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04" name="AutoShape 580" descr="https://www.soccerstats.com/img/own/sshplogo.png">
          <a:hlinkClick xmlns:r="http://schemas.openxmlformats.org/officeDocument/2006/relationships" r:id="rId290"/>
        </xdr:cNvPr>
        <xdr:cNvSpPr>
          <a:spLocks noChangeAspect="1" noChangeArrowheads="1"/>
        </xdr:cNvSpPr>
      </xdr:nvSpPr>
      <xdr:spPr bwMode="auto">
        <a:xfrm>
          <a:off x="13411200" y="59969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05" name="AutoShape 581" descr="ICELAND3"/>
        <xdr:cNvSpPr>
          <a:spLocks noChangeAspect="1" noChangeArrowheads="1"/>
        </xdr:cNvSpPr>
      </xdr:nvSpPr>
      <xdr:spPr bwMode="auto">
        <a:xfrm>
          <a:off x="0" y="60144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06" name="AutoShape 582" descr="https://www.soccerstats.com/img/own/sshplogo.png">
          <a:hlinkClick xmlns:r="http://schemas.openxmlformats.org/officeDocument/2006/relationships" r:id="rId291"/>
        </xdr:cNvPr>
        <xdr:cNvSpPr>
          <a:spLocks noChangeAspect="1" noChangeArrowheads="1"/>
        </xdr:cNvSpPr>
      </xdr:nvSpPr>
      <xdr:spPr bwMode="auto">
        <a:xfrm>
          <a:off x="13411200" y="60144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07" name="AutoShape 583" descr="ICELAND3"/>
        <xdr:cNvSpPr>
          <a:spLocks noChangeAspect="1" noChangeArrowheads="1"/>
        </xdr:cNvSpPr>
      </xdr:nvSpPr>
      <xdr:spPr bwMode="auto">
        <a:xfrm>
          <a:off x="0" y="60396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08" name="AutoShape 584" descr="https://www.soccerstats.com/img/own/sshplogo.png">
          <a:hlinkClick xmlns:r="http://schemas.openxmlformats.org/officeDocument/2006/relationships" r:id="rId292"/>
        </xdr:cNvPr>
        <xdr:cNvSpPr>
          <a:spLocks noChangeAspect="1" noChangeArrowheads="1"/>
        </xdr:cNvSpPr>
      </xdr:nvSpPr>
      <xdr:spPr bwMode="auto">
        <a:xfrm>
          <a:off x="13411200" y="60396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09" name="AutoShape 585" descr="ICELAND3"/>
        <xdr:cNvSpPr>
          <a:spLocks noChangeAspect="1" noChangeArrowheads="1"/>
        </xdr:cNvSpPr>
      </xdr:nvSpPr>
      <xdr:spPr bwMode="auto">
        <a:xfrm>
          <a:off x="0" y="60571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10" name="AutoShape 586" descr="https://www.soccerstats.com/img/own/sshplogo.png">
          <a:hlinkClick xmlns:r="http://schemas.openxmlformats.org/officeDocument/2006/relationships" r:id="rId293"/>
        </xdr:cNvPr>
        <xdr:cNvSpPr>
          <a:spLocks noChangeAspect="1" noChangeArrowheads="1"/>
        </xdr:cNvSpPr>
      </xdr:nvSpPr>
      <xdr:spPr bwMode="auto">
        <a:xfrm>
          <a:off x="13411200" y="60571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11" name="AutoShape 587" descr="IRELAND3"/>
        <xdr:cNvSpPr>
          <a:spLocks noChangeAspect="1" noChangeArrowheads="1"/>
        </xdr:cNvSpPr>
      </xdr:nvSpPr>
      <xdr:spPr bwMode="auto">
        <a:xfrm>
          <a:off x="0" y="60822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12" name="AutoShape 588" descr="https://www.soccerstats.com/img/own/sshplogo.png">
          <a:hlinkClick xmlns:r="http://schemas.openxmlformats.org/officeDocument/2006/relationships" r:id="rId294"/>
        </xdr:cNvPr>
        <xdr:cNvSpPr>
          <a:spLocks noChangeAspect="1" noChangeArrowheads="1"/>
        </xdr:cNvSpPr>
      </xdr:nvSpPr>
      <xdr:spPr bwMode="auto">
        <a:xfrm>
          <a:off x="13411200" y="60822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13" name="AutoShape 589" descr="IRELAND3"/>
        <xdr:cNvSpPr>
          <a:spLocks noChangeAspect="1" noChangeArrowheads="1"/>
        </xdr:cNvSpPr>
      </xdr:nvSpPr>
      <xdr:spPr bwMode="auto">
        <a:xfrm>
          <a:off x="0" y="60998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14" name="AutoShape 590" descr="https://www.soccerstats.com/img/own/sshplogo.png">
          <a:hlinkClick xmlns:r="http://schemas.openxmlformats.org/officeDocument/2006/relationships" r:id="rId295"/>
        </xdr:cNvPr>
        <xdr:cNvSpPr>
          <a:spLocks noChangeAspect="1" noChangeArrowheads="1"/>
        </xdr:cNvSpPr>
      </xdr:nvSpPr>
      <xdr:spPr bwMode="auto">
        <a:xfrm>
          <a:off x="13411200" y="60998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15" name="AutoShape 591" descr="IRELAND3"/>
        <xdr:cNvSpPr>
          <a:spLocks noChangeAspect="1" noChangeArrowheads="1"/>
        </xdr:cNvSpPr>
      </xdr:nvSpPr>
      <xdr:spPr bwMode="auto">
        <a:xfrm>
          <a:off x="0" y="61249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16" name="AutoShape 592" descr="https://www.soccerstats.com/img/own/sshplogo.png">
          <a:hlinkClick xmlns:r="http://schemas.openxmlformats.org/officeDocument/2006/relationships" r:id="rId296"/>
        </xdr:cNvPr>
        <xdr:cNvSpPr>
          <a:spLocks noChangeAspect="1" noChangeArrowheads="1"/>
        </xdr:cNvSpPr>
      </xdr:nvSpPr>
      <xdr:spPr bwMode="auto">
        <a:xfrm>
          <a:off x="13411200" y="61249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17" name="AutoShape 593" descr="IRELAND3"/>
        <xdr:cNvSpPr>
          <a:spLocks noChangeAspect="1" noChangeArrowheads="1"/>
        </xdr:cNvSpPr>
      </xdr:nvSpPr>
      <xdr:spPr bwMode="auto">
        <a:xfrm>
          <a:off x="0" y="61501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18" name="AutoShape 594" descr="https://www.soccerstats.com/img/own/sshplogo.png">
          <a:hlinkClick xmlns:r="http://schemas.openxmlformats.org/officeDocument/2006/relationships" r:id="rId297"/>
        </xdr:cNvPr>
        <xdr:cNvSpPr>
          <a:spLocks noChangeAspect="1" noChangeArrowheads="1"/>
        </xdr:cNvSpPr>
      </xdr:nvSpPr>
      <xdr:spPr bwMode="auto">
        <a:xfrm>
          <a:off x="13411200" y="61501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19" name="AutoShape 595" descr="IRELAND3"/>
        <xdr:cNvSpPr>
          <a:spLocks noChangeAspect="1" noChangeArrowheads="1"/>
        </xdr:cNvSpPr>
      </xdr:nvSpPr>
      <xdr:spPr bwMode="auto">
        <a:xfrm>
          <a:off x="0" y="61752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20" name="AutoShape 596" descr="https://www.soccerstats.com/img/own/sshplogo.png">
          <a:hlinkClick xmlns:r="http://schemas.openxmlformats.org/officeDocument/2006/relationships" r:id="rId298"/>
        </xdr:cNvPr>
        <xdr:cNvSpPr>
          <a:spLocks noChangeAspect="1" noChangeArrowheads="1"/>
        </xdr:cNvSpPr>
      </xdr:nvSpPr>
      <xdr:spPr bwMode="auto">
        <a:xfrm>
          <a:off x="13411200" y="61752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21" name="AutoShape 597" descr="IRELAND3"/>
        <xdr:cNvSpPr>
          <a:spLocks noChangeAspect="1" noChangeArrowheads="1"/>
        </xdr:cNvSpPr>
      </xdr:nvSpPr>
      <xdr:spPr bwMode="auto">
        <a:xfrm>
          <a:off x="0" y="61927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22" name="AutoShape 598" descr="https://www.soccerstats.com/img/own/sshplogo.png">
          <a:hlinkClick xmlns:r="http://schemas.openxmlformats.org/officeDocument/2006/relationships" r:id="rId299"/>
        </xdr:cNvPr>
        <xdr:cNvSpPr>
          <a:spLocks noChangeAspect="1" noChangeArrowheads="1"/>
        </xdr:cNvSpPr>
      </xdr:nvSpPr>
      <xdr:spPr bwMode="auto">
        <a:xfrm>
          <a:off x="13411200" y="61927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23" name="AutoShape 599" descr="JAPAN"/>
        <xdr:cNvSpPr>
          <a:spLocks noChangeAspect="1" noChangeArrowheads="1"/>
        </xdr:cNvSpPr>
      </xdr:nvSpPr>
      <xdr:spPr bwMode="auto">
        <a:xfrm>
          <a:off x="0" y="62179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24" name="AutoShape 600" descr="https://www.soccerstats.com/img/own/sshplogo.png">
          <a:hlinkClick xmlns:r="http://schemas.openxmlformats.org/officeDocument/2006/relationships" r:id="rId300"/>
        </xdr:cNvPr>
        <xdr:cNvSpPr>
          <a:spLocks noChangeAspect="1" noChangeArrowheads="1"/>
        </xdr:cNvSpPr>
      </xdr:nvSpPr>
      <xdr:spPr bwMode="auto">
        <a:xfrm>
          <a:off x="13411200" y="6217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25" name="AutoShape 601" descr="JAPAN"/>
        <xdr:cNvSpPr>
          <a:spLocks noChangeAspect="1" noChangeArrowheads="1"/>
        </xdr:cNvSpPr>
      </xdr:nvSpPr>
      <xdr:spPr bwMode="auto">
        <a:xfrm>
          <a:off x="0" y="62430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26" name="AutoShape 602" descr="https://www.soccerstats.com/img/own/sshplogo.png">
          <a:hlinkClick xmlns:r="http://schemas.openxmlformats.org/officeDocument/2006/relationships" r:id="rId301"/>
        </xdr:cNvPr>
        <xdr:cNvSpPr>
          <a:spLocks noChangeAspect="1" noChangeArrowheads="1"/>
        </xdr:cNvSpPr>
      </xdr:nvSpPr>
      <xdr:spPr bwMode="auto">
        <a:xfrm>
          <a:off x="13411200" y="62430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27" name="AutoShape 603" descr="JAPAN"/>
        <xdr:cNvSpPr>
          <a:spLocks noChangeAspect="1" noChangeArrowheads="1"/>
        </xdr:cNvSpPr>
      </xdr:nvSpPr>
      <xdr:spPr bwMode="auto">
        <a:xfrm>
          <a:off x="0" y="62682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28" name="AutoShape 604" descr="https://www.soccerstats.com/img/own/sshplogo.png">
          <a:hlinkClick xmlns:r="http://schemas.openxmlformats.org/officeDocument/2006/relationships" r:id="rId302"/>
        </xdr:cNvPr>
        <xdr:cNvSpPr>
          <a:spLocks noChangeAspect="1" noChangeArrowheads="1"/>
        </xdr:cNvSpPr>
      </xdr:nvSpPr>
      <xdr:spPr bwMode="auto">
        <a:xfrm>
          <a:off x="13411200" y="62682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29" name="AutoShape 605" descr="JAPAN"/>
        <xdr:cNvSpPr>
          <a:spLocks noChangeAspect="1" noChangeArrowheads="1"/>
        </xdr:cNvSpPr>
      </xdr:nvSpPr>
      <xdr:spPr bwMode="auto">
        <a:xfrm>
          <a:off x="0" y="62933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30" name="AutoShape 606" descr="https://www.soccerstats.com/img/own/sshplogo.png">
          <a:hlinkClick xmlns:r="http://schemas.openxmlformats.org/officeDocument/2006/relationships" r:id="rId303"/>
        </xdr:cNvPr>
        <xdr:cNvSpPr>
          <a:spLocks noChangeAspect="1" noChangeArrowheads="1"/>
        </xdr:cNvSpPr>
      </xdr:nvSpPr>
      <xdr:spPr bwMode="auto">
        <a:xfrm>
          <a:off x="13411200" y="62933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31" name="AutoShape 607" descr="JAPAN"/>
        <xdr:cNvSpPr>
          <a:spLocks noChangeAspect="1" noChangeArrowheads="1"/>
        </xdr:cNvSpPr>
      </xdr:nvSpPr>
      <xdr:spPr bwMode="auto">
        <a:xfrm>
          <a:off x="0" y="63185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32" name="AutoShape 608" descr="https://www.soccerstats.com/img/own/sshplogo.png">
          <a:hlinkClick xmlns:r="http://schemas.openxmlformats.org/officeDocument/2006/relationships" r:id="rId304"/>
        </xdr:cNvPr>
        <xdr:cNvSpPr>
          <a:spLocks noChangeAspect="1" noChangeArrowheads="1"/>
        </xdr:cNvSpPr>
      </xdr:nvSpPr>
      <xdr:spPr bwMode="auto">
        <a:xfrm>
          <a:off x="13411200" y="63185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33" name="AutoShape 609" descr="JAPAN"/>
        <xdr:cNvSpPr>
          <a:spLocks noChangeAspect="1" noChangeArrowheads="1"/>
        </xdr:cNvSpPr>
      </xdr:nvSpPr>
      <xdr:spPr bwMode="auto">
        <a:xfrm>
          <a:off x="0" y="63436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34" name="AutoShape 610" descr="https://www.soccerstats.com/img/own/sshplogo.png">
          <a:hlinkClick xmlns:r="http://schemas.openxmlformats.org/officeDocument/2006/relationships" r:id="rId305"/>
        </xdr:cNvPr>
        <xdr:cNvSpPr>
          <a:spLocks noChangeAspect="1" noChangeArrowheads="1"/>
        </xdr:cNvSpPr>
      </xdr:nvSpPr>
      <xdr:spPr bwMode="auto">
        <a:xfrm>
          <a:off x="13411200" y="6343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35" name="AutoShape 611" descr="JAPAN"/>
        <xdr:cNvSpPr>
          <a:spLocks noChangeAspect="1" noChangeArrowheads="1"/>
        </xdr:cNvSpPr>
      </xdr:nvSpPr>
      <xdr:spPr bwMode="auto">
        <a:xfrm>
          <a:off x="0" y="63687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36" name="AutoShape 612" descr="https://www.soccerstats.com/img/own/sshplogo.png">
          <a:hlinkClick xmlns:r="http://schemas.openxmlformats.org/officeDocument/2006/relationships" r:id="rId306"/>
        </xdr:cNvPr>
        <xdr:cNvSpPr>
          <a:spLocks noChangeAspect="1" noChangeArrowheads="1"/>
        </xdr:cNvSpPr>
      </xdr:nvSpPr>
      <xdr:spPr bwMode="auto">
        <a:xfrm>
          <a:off x="13411200" y="63687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37" name="AutoShape 613" descr="JAPAN"/>
        <xdr:cNvSpPr>
          <a:spLocks noChangeAspect="1" noChangeArrowheads="1"/>
        </xdr:cNvSpPr>
      </xdr:nvSpPr>
      <xdr:spPr bwMode="auto">
        <a:xfrm>
          <a:off x="0" y="63863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38" name="AutoShape 614" descr="https://www.soccerstats.com/img/own/sshplogo.png">
          <a:hlinkClick xmlns:r="http://schemas.openxmlformats.org/officeDocument/2006/relationships" r:id="rId307"/>
        </xdr:cNvPr>
        <xdr:cNvSpPr>
          <a:spLocks noChangeAspect="1" noChangeArrowheads="1"/>
        </xdr:cNvSpPr>
      </xdr:nvSpPr>
      <xdr:spPr bwMode="auto">
        <a:xfrm>
          <a:off x="13411200" y="63863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39" name="AutoShape 615" descr="JAPAN"/>
        <xdr:cNvSpPr>
          <a:spLocks noChangeAspect="1" noChangeArrowheads="1"/>
        </xdr:cNvSpPr>
      </xdr:nvSpPr>
      <xdr:spPr bwMode="auto">
        <a:xfrm>
          <a:off x="0" y="64038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40" name="AutoShape 616" descr="https://www.soccerstats.com/img/own/sshplogo.png">
          <a:hlinkClick xmlns:r="http://schemas.openxmlformats.org/officeDocument/2006/relationships" r:id="rId308"/>
        </xdr:cNvPr>
        <xdr:cNvSpPr>
          <a:spLocks noChangeAspect="1" noChangeArrowheads="1"/>
        </xdr:cNvSpPr>
      </xdr:nvSpPr>
      <xdr:spPr bwMode="auto">
        <a:xfrm>
          <a:off x="13411200" y="64038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41" name="AutoShape 617" descr="JAPAN2"/>
        <xdr:cNvSpPr>
          <a:spLocks noChangeAspect="1" noChangeArrowheads="1"/>
        </xdr:cNvSpPr>
      </xdr:nvSpPr>
      <xdr:spPr bwMode="auto">
        <a:xfrm>
          <a:off x="0" y="64213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42" name="AutoShape 618" descr="https://www.soccerstats.com/img/own/sshplogo.png">
          <a:hlinkClick xmlns:r="http://schemas.openxmlformats.org/officeDocument/2006/relationships" r:id="rId309"/>
        </xdr:cNvPr>
        <xdr:cNvSpPr>
          <a:spLocks noChangeAspect="1" noChangeArrowheads="1"/>
        </xdr:cNvSpPr>
      </xdr:nvSpPr>
      <xdr:spPr bwMode="auto">
        <a:xfrm>
          <a:off x="13411200" y="64213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43" name="AutoShape 619" descr="JAPAN2"/>
        <xdr:cNvSpPr>
          <a:spLocks noChangeAspect="1" noChangeArrowheads="1"/>
        </xdr:cNvSpPr>
      </xdr:nvSpPr>
      <xdr:spPr bwMode="auto">
        <a:xfrm>
          <a:off x="0" y="64465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44" name="AutoShape 620" descr="https://www.soccerstats.com/img/own/sshplogo.png">
          <a:hlinkClick xmlns:r="http://schemas.openxmlformats.org/officeDocument/2006/relationships" r:id="rId310"/>
        </xdr:cNvPr>
        <xdr:cNvSpPr>
          <a:spLocks noChangeAspect="1" noChangeArrowheads="1"/>
        </xdr:cNvSpPr>
      </xdr:nvSpPr>
      <xdr:spPr bwMode="auto">
        <a:xfrm>
          <a:off x="13411200" y="64465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45" name="AutoShape 621" descr="JAPAN2"/>
        <xdr:cNvSpPr>
          <a:spLocks noChangeAspect="1" noChangeArrowheads="1"/>
        </xdr:cNvSpPr>
      </xdr:nvSpPr>
      <xdr:spPr bwMode="auto">
        <a:xfrm>
          <a:off x="0" y="64640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46" name="AutoShape 622" descr="https://www.soccerstats.com/img/own/sshplogo.png">
          <a:hlinkClick xmlns:r="http://schemas.openxmlformats.org/officeDocument/2006/relationships" r:id="rId311"/>
        </xdr:cNvPr>
        <xdr:cNvSpPr>
          <a:spLocks noChangeAspect="1" noChangeArrowheads="1"/>
        </xdr:cNvSpPr>
      </xdr:nvSpPr>
      <xdr:spPr bwMode="auto">
        <a:xfrm>
          <a:off x="13411200" y="64640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47" name="AutoShape 623" descr="JAPAN2"/>
        <xdr:cNvSpPr>
          <a:spLocks noChangeAspect="1" noChangeArrowheads="1"/>
        </xdr:cNvSpPr>
      </xdr:nvSpPr>
      <xdr:spPr bwMode="auto">
        <a:xfrm>
          <a:off x="0" y="64815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48" name="AutoShape 624" descr="https://www.soccerstats.com/img/own/sshplogo.png">
          <a:hlinkClick xmlns:r="http://schemas.openxmlformats.org/officeDocument/2006/relationships" r:id="rId312"/>
        </xdr:cNvPr>
        <xdr:cNvSpPr>
          <a:spLocks noChangeAspect="1" noChangeArrowheads="1"/>
        </xdr:cNvSpPr>
      </xdr:nvSpPr>
      <xdr:spPr bwMode="auto">
        <a:xfrm>
          <a:off x="13411200" y="64815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49" name="AutoShape 625" descr="JAPAN2"/>
        <xdr:cNvSpPr>
          <a:spLocks noChangeAspect="1" noChangeArrowheads="1"/>
        </xdr:cNvSpPr>
      </xdr:nvSpPr>
      <xdr:spPr bwMode="auto">
        <a:xfrm>
          <a:off x="0" y="65067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50" name="AutoShape 626" descr="https://www.soccerstats.com/img/own/sshplogo.png">
          <a:hlinkClick xmlns:r="http://schemas.openxmlformats.org/officeDocument/2006/relationships" r:id="rId313"/>
        </xdr:cNvPr>
        <xdr:cNvSpPr>
          <a:spLocks noChangeAspect="1" noChangeArrowheads="1"/>
        </xdr:cNvSpPr>
      </xdr:nvSpPr>
      <xdr:spPr bwMode="auto">
        <a:xfrm>
          <a:off x="13411200" y="65067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51" name="AutoShape 627" descr="JAPAN2"/>
        <xdr:cNvSpPr>
          <a:spLocks noChangeAspect="1" noChangeArrowheads="1"/>
        </xdr:cNvSpPr>
      </xdr:nvSpPr>
      <xdr:spPr bwMode="auto">
        <a:xfrm>
          <a:off x="0" y="65242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52" name="AutoShape 628" descr="https://www.soccerstats.com/img/own/sshplogo.png">
          <a:hlinkClick xmlns:r="http://schemas.openxmlformats.org/officeDocument/2006/relationships" r:id="rId314"/>
        </xdr:cNvPr>
        <xdr:cNvSpPr>
          <a:spLocks noChangeAspect="1" noChangeArrowheads="1"/>
        </xdr:cNvSpPr>
      </xdr:nvSpPr>
      <xdr:spPr bwMode="auto">
        <a:xfrm>
          <a:off x="13411200" y="65242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53" name="AutoShape 629" descr="JAPAN2"/>
        <xdr:cNvSpPr>
          <a:spLocks noChangeAspect="1" noChangeArrowheads="1"/>
        </xdr:cNvSpPr>
      </xdr:nvSpPr>
      <xdr:spPr bwMode="auto">
        <a:xfrm>
          <a:off x="0" y="65493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54" name="AutoShape 630" descr="https://www.soccerstats.com/img/own/sshplogo.png">
          <a:hlinkClick xmlns:r="http://schemas.openxmlformats.org/officeDocument/2006/relationships" r:id="rId315"/>
        </xdr:cNvPr>
        <xdr:cNvSpPr>
          <a:spLocks noChangeAspect="1" noChangeArrowheads="1"/>
        </xdr:cNvSpPr>
      </xdr:nvSpPr>
      <xdr:spPr bwMode="auto">
        <a:xfrm>
          <a:off x="13411200" y="65493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55" name="AutoShape 631" descr="JAPAN2"/>
        <xdr:cNvSpPr>
          <a:spLocks noChangeAspect="1" noChangeArrowheads="1"/>
        </xdr:cNvSpPr>
      </xdr:nvSpPr>
      <xdr:spPr bwMode="auto">
        <a:xfrm>
          <a:off x="0" y="65745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56" name="AutoShape 632" descr="https://www.soccerstats.com/img/own/sshplogo.png">
          <a:hlinkClick xmlns:r="http://schemas.openxmlformats.org/officeDocument/2006/relationships" r:id="rId316"/>
        </xdr:cNvPr>
        <xdr:cNvSpPr>
          <a:spLocks noChangeAspect="1" noChangeArrowheads="1"/>
        </xdr:cNvSpPr>
      </xdr:nvSpPr>
      <xdr:spPr bwMode="auto">
        <a:xfrm>
          <a:off x="13411200" y="65745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57" name="AutoShape 633" descr="JAPAN3"/>
        <xdr:cNvSpPr>
          <a:spLocks noChangeAspect="1" noChangeArrowheads="1"/>
        </xdr:cNvSpPr>
      </xdr:nvSpPr>
      <xdr:spPr bwMode="auto">
        <a:xfrm>
          <a:off x="0" y="65996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58" name="AutoShape 634" descr="https://www.soccerstats.com/img/own/sshplogo.png">
          <a:hlinkClick xmlns:r="http://schemas.openxmlformats.org/officeDocument/2006/relationships" r:id="rId317"/>
        </xdr:cNvPr>
        <xdr:cNvSpPr>
          <a:spLocks noChangeAspect="1" noChangeArrowheads="1"/>
        </xdr:cNvSpPr>
      </xdr:nvSpPr>
      <xdr:spPr bwMode="auto">
        <a:xfrm>
          <a:off x="13411200" y="65996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59" name="AutoShape 635" descr="JAPAN3"/>
        <xdr:cNvSpPr>
          <a:spLocks noChangeAspect="1" noChangeArrowheads="1"/>
        </xdr:cNvSpPr>
      </xdr:nvSpPr>
      <xdr:spPr bwMode="auto">
        <a:xfrm>
          <a:off x="0" y="66248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60" name="AutoShape 636" descr="https://www.soccerstats.com/img/own/sshplogo.png">
          <a:hlinkClick xmlns:r="http://schemas.openxmlformats.org/officeDocument/2006/relationships" r:id="rId318"/>
        </xdr:cNvPr>
        <xdr:cNvSpPr>
          <a:spLocks noChangeAspect="1" noChangeArrowheads="1"/>
        </xdr:cNvSpPr>
      </xdr:nvSpPr>
      <xdr:spPr bwMode="auto">
        <a:xfrm>
          <a:off x="13411200" y="66248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61" name="AutoShape 637" descr="JAPAN3"/>
        <xdr:cNvSpPr>
          <a:spLocks noChangeAspect="1" noChangeArrowheads="1"/>
        </xdr:cNvSpPr>
      </xdr:nvSpPr>
      <xdr:spPr bwMode="auto">
        <a:xfrm>
          <a:off x="0" y="66423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62" name="AutoShape 638" descr="https://www.soccerstats.com/img/own/sshplogo.png">
          <a:hlinkClick xmlns:r="http://schemas.openxmlformats.org/officeDocument/2006/relationships" r:id="rId319"/>
        </xdr:cNvPr>
        <xdr:cNvSpPr>
          <a:spLocks noChangeAspect="1" noChangeArrowheads="1"/>
        </xdr:cNvSpPr>
      </xdr:nvSpPr>
      <xdr:spPr bwMode="auto">
        <a:xfrm>
          <a:off x="13411200" y="66423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63" name="AutoShape 639" descr="JAPAN3"/>
        <xdr:cNvSpPr>
          <a:spLocks noChangeAspect="1" noChangeArrowheads="1"/>
        </xdr:cNvSpPr>
      </xdr:nvSpPr>
      <xdr:spPr bwMode="auto">
        <a:xfrm>
          <a:off x="0" y="66675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64" name="AutoShape 640" descr="https://www.soccerstats.com/img/own/sshplogo.png">
          <a:hlinkClick xmlns:r="http://schemas.openxmlformats.org/officeDocument/2006/relationships" r:id="rId320"/>
        </xdr:cNvPr>
        <xdr:cNvSpPr>
          <a:spLocks noChangeAspect="1" noChangeArrowheads="1"/>
        </xdr:cNvSpPr>
      </xdr:nvSpPr>
      <xdr:spPr bwMode="auto">
        <a:xfrm>
          <a:off x="13411200" y="66675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65" name="AutoShape 641" descr="JAPAN3"/>
        <xdr:cNvSpPr>
          <a:spLocks noChangeAspect="1" noChangeArrowheads="1"/>
        </xdr:cNvSpPr>
      </xdr:nvSpPr>
      <xdr:spPr bwMode="auto">
        <a:xfrm>
          <a:off x="0" y="66850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66" name="AutoShape 642" descr="https://www.soccerstats.com/img/own/sshplogo.png">
          <a:hlinkClick xmlns:r="http://schemas.openxmlformats.org/officeDocument/2006/relationships" r:id="rId321"/>
        </xdr:cNvPr>
        <xdr:cNvSpPr>
          <a:spLocks noChangeAspect="1" noChangeArrowheads="1"/>
        </xdr:cNvSpPr>
      </xdr:nvSpPr>
      <xdr:spPr bwMode="auto">
        <a:xfrm>
          <a:off x="13411200" y="66850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67" name="AutoShape 643" descr="JAPAN3"/>
        <xdr:cNvSpPr>
          <a:spLocks noChangeAspect="1" noChangeArrowheads="1"/>
        </xdr:cNvSpPr>
      </xdr:nvSpPr>
      <xdr:spPr bwMode="auto">
        <a:xfrm>
          <a:off x="0" y="67025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68" name="AutoShape 644" descr="https://www.soccerstats.com/img/own/sshplogo.png">
          <a:hlinkClick xmlns:r="http://schemas.openxmlformats.org/officeDocument/2006/relationships" r:id="rId322"/>
        </xdr:cNvPr>
        <xdr:cNvSpPr>
          <a:spLocks noChangeAspect="1" noChangeArrowheads="1"/>
        </xdr:cNvSpPr>
      </xdr:nvSpPr>
      <xdr:spPr bwMode="auto">
        <a:xfrm>
          <a:off x="13411200" y="67025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69" name="AutoShape 645" descr="KAZAKHSTAN"/>
        <xdr:cNvSpPr>
          <a:spLocks noChangeAspect="1" noChangeArrowheads="1"/>
        </xdr:cNvSpPr>
      </xdr:nvSpPr>
      <xdr:spPr bwMode="auto">
        <a:xfrm>
          <a:off x="0" y="67276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70" name="AutoShape 646" descr="https://www.soccerstats.com/img/own/sshplogo.png">
          <a:hlinkClick xmlns:r="http://schemas.openxmlformats.org/officeDocument/2006/relationships" r:id="rId323"/>
        </xdr:cNvPr>
        <xdr:cNvSpPr>
          <a:spLocks noChangeAspect="1" noChangeArrowheads="1"/>
        </xdr:cNvSpPr>
      </xdr:nvSpPr>
      <xdr:spPr bwMode="auto">
        <a:xfrm>
          <a:off x="13411200" y="67276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71" name="AutoShape 647" descr="KAZAKHSTAN"/>
        <xdr:cNvSpPr>
          <a:spLocks noChangeAspect="1" noChangeArrowheads="1"/>
        </xdr:cNvSpPr>
      </xdr:nvSpPr>
      <xdr:spPr bwMode="auto">
        <a:xfrm>
          <a:off x="0" y="67452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72" name="AutoShape 648" descr="https://www.soccerstats.com/img/own/sshplogo.png">
          <a:hlinkClick xmlns:r="http://schemas.openxmlformats.org/officeDocument/2006/relationships" r:id="rId324"/>
        </xdr:cNvPr>
        <xdr:cNvSpPr>
          <a:spLocks noChangeAspect="1" noChangeArrowheads="1"/>
        </xdr:cNvSpPr>
      </xdr:nvSpPr>
      <xdr:spPr bwMode="auto">
        <a:xfrm>
          <a:off x="13411200" y="67452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73" name="AutoShape 649" descr="KAZAKHSTAN"/>
        <xdr:cNvSpPr>
          <a:spLocks noChangeAspect="1" noChangeArrowheads="1"/>
        </xdr:cNvSpPr>
      </xdr:nvSpPr>
      <xdr:spPr bwMode="auto">
        <a:xfrm>
          <a:off x="0" y="67627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74" name="AutoShape 650" descr="https://www.soccerstats.com/img/own/sshplogo.png">
          <a:hlinkClick xmlns:r="http://schemas.openxmlformats.org/officeDocument/2006/relationships" r:id="rId325"/>
        </xdr:cNvPr>
        <xdr:cNvSpPr>
          <a:spLocks noChangeAspect="1" noChangeArrowheads="1"/>
        </xdr:cNvSpPr>
      </xdr:nvSpPr>
      <xdr:spPr bwMode="auto">
        <a:xfrm>
          <a:off x="13411200" y="6762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75" name="AutoShape 651" descr="KAZAKHSTAN"/>
        <xdr:cNvSpPr>
          <a:spLocks noChangeAspect="1" noChangeArrowheads="1"/>
        </xdr:cNvSpPr>
      </xdr:nvSpPr>
      <xdr:spPr bwMode="auto">
        <a:xfrm>
          <a:off x="0" y="67802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76" name="AutoShape 652" descr="https://www.soccerstats.com/img/own/sshplogo.png">
          <a:hlinkClick xmlns:r="http://schemas.openxmlformats.org/officeDocument/2006/relationships" r:id="rId326"/>
        </xdr:cNvPr>
        <xdr:cNvSpPr>
          <a:spLocks noChangeAspect="1" noChangeArrowheads="1"/>
        </xdr:cNvSpPr>
      </xdr:nvSpPr>
      <xdr:spPr bwMode="auto">
        <a:xfrm>
          <a:off x="13411200" y="67802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77" name="AutoShape 653" descr="MEXICO"/>
        <xdr:cNvSpPr>
          <a:spLocks noChangeAspect="1" noChangeArrowheads="1"/>
        </xdr:cNvSpPr>
      </xdr:nvSpPr>
      <xdr:spPr bwMode="auto">
        <a:xfrm>
          <a:off x="0" y="67978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78" name="AutoShape 654" descr="https://www.soccerstats.com/img/own/sshplogo.png">
          <a:hlinkClick xmlns:r="http://schemas.openxmlformats.org/officeDocument/2006/relationships" r:id="rId327"/>
        </xdr:cNvPr>
        <xdr:cNvSpPr>
          <a:spLocks noChangeAspect="1" noChangeArrowheads="1"/>
        </xdr:cNvSpPr>
      </xdr:nvSpPr>
      <xdr:spPr bwMode="auto">
        <a:xfrm>
          <a:off x="13411200" y="67978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79" name="AutoShape 655" descr="MOLDOVA"/>
        <xdr:cNvSpPr>
          <a:spLocks noChangeAspect="1" noChangeArrowheads="1"/>
        </xdr:cNvSpPr>
      </xdr:nvSpPr>
      <xdr:spPr bwMode="auto">
        <a:xfrm>
          <a:off x="0" y="68153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80" name="AutoShape 656" descr="https://www.soccerstats.com/img/own/sshplogo.png">
          <a:hlinkClick xmlns:r="http://schemas.openxmlformats.org/officeDocument/2006/relationships" r:id="rId328"/>
        </xdr:cNvPr>
        <xdr:cNvSpPr>
          <a:spLocks noChangeAspect="1" noChangeArrowheads="1"/>
        </xdr:cNvSpPr>
      </xdr:nvSpPr>
      <xdr:spPr bwMode="auto">
        <a:xfrm>
          <a:off x="13411200" y="68153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81" name="AutoShape 657" descr="MOLDOVA"/>
        <xdr:cNvSpPr>
          <a:spLocks noChangeAspect="1" noChangeArrowheads="1"/>
        </xdr:cNvSpPr>
      </xdr:nvSpPr>
      <xdr:spPr bwMode="auto">
        <a:xfrm>
          <a:off x="0" y="68404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82" name="AutoShape 658" descr="https://www.soccerstats.com/img/own/sshplogo.png">
          <a:hlinkClick xmlns:r="http://schemas.openxmlformats.org/officeDocument/2006/relationships" r:id="rId329"/>
        </xdr:cNvPr>
        <xdr:cNvSpPr>
          <a:spLocks noChangeAspect="1" noChangeArrowheads="1"/>
        </xdr:cNvSpPr>
      </xdr:nvSpPr>
      <xdr:spPr bwMode="auto">
        <a:xfrm>
          <a:off x="13411200" y="68404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83" name="AutoShape 659" descr="MONTENEGRO"/>
        <xdr:cNvSpPr>
          <a:spLocks noChangeAspect="1" noChangeArrowheads="1"/>
        </xdr:cNvSpPr>
      </xdr:nvSpPr>
      <xdr:spPr bwMode="auto">
        <a:xfrm>
          <a:off x="0" y="68656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84" name="AutoShape 660" descr="https://www.soccerstats.com/img/own/sshplogo.png">
          <a:hlinkClick xmlns:r="http://schemas.openxmlformats.org/officeDocument/2006/relationships" r:id="rId330"/>
        </xdr:cNvPr>
        <xdr:cNvSpPr>
          <a:spLocks noChangeAspect="1" noChangeArrowheads="1"/>
        </xdr:cNvSpPr>
      </xdr:nvSpPr>
      <xdr:spPr bwMode="auto">
        <a:xfrm>
          <a:off x="13411200" y="68656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85" name="AutoShape 661" descr="NETHERLANDS3"/>
        <xdr:cNvSpPr>
          <a:spLocks noChangeAspect="1" noChangeArrowheads="1"/>
        </xdr:cNvSpPr>
      </xdr:nvSpPr>
      <xdr:spPr bwMode="auto">
        <a:xfrm>
          <a:off x="0" y="68831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86" name="AutoShape 662" descr="https://www.soccerstats.com/img/own/sshplogo.png">
          <a:hlinkClick xmlns:r="http://schemas.openxmlformats.org/officeDocument/2006/relationships" r:id="rId331"/>
        </xdr:cNvPr>
        <xdr:cNvSpPr>
          <a:spLocks noChangeAspect="1" noChangeArrowheads="1"/>
        </xdr:cNvSpPr>
      </xdr:nvSpPr>
      <xdr:spPr bwMode="auto">
        <a:xfrm>
          <a:off x="13411200" y="68831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87" name="AutoShape 663" descr="NETHERLANDS3"/>
        <xdr:cNvSpPr>
          <a:spLocks noChangeAspect="1" noChangeArrowheads="1"/>
        </xdr:cNvSpPr>
      </xdr:nvSpPr>
      <xdr:spPr bwMode="auto">
        <a:xfrm>
          <a:off x="0" y="69082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88" name="AutoShape 664" descr="https://www.soccerstats.com/img/own/sshplogo.png">
          <a:hlinkClick xmlns:r="http://schemas.openxmlformats.org/officeDocument/2006/relationships" r:id="rId332"/>
        </xdr:cNvPr>
        <xdr:cNvSpPr>
          <a:spLocks noChangeAspect="1" noChangeArrowheads="1"/>
        </xdr:cNvSpPr>
      </xdr:nvSpPr>
      <xdr:spPr bwMode="auto">
        <a:xfrm>
          <a:off x="13411200" y="69082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89" name="AutoShape 665" descr="NETHERLANDS3"/>
        <xdr:cNvSpPr>
          <a:spLocks noChangeAspect="1" noChangeArrowheads="1"/>
        </xdr:cNvSpPr>
      </xdr:nvSpPr>
      <xdr:spPr bwMode="auto">
        <a:xfrm>
          <a:off x="0" y="69334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90" name="AutoShape 666" descr="https://www.soccerstats.com/img/own/sshplogo.png">
          <a:hlinkClick xmlns:r="http://schemas.openxmlformats.org/officeDocument/2006/relationships" r:id="rId333"/>
        </xdr:cNvPr>
        <xdr:cNvSpPr>
          <a:spLocks noChangeAspect="1" noChangeArrowheads="1"/>
        </xdr:cNvSpPr>
      </xdr:nvSpPr>
      <xdr:spPr bwMode="auto">
        <a:xfrm>
          <a:off x="13411200" y="69334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91" name="AutoShape 667" descr="NETHERLANDS3"/>
        <xdr:cNvSpPr>
          <a:spLocks noChangeAspect="1" noChangeArrowheads="1"/>
        </xdr:cNvSpPr>
      </xdr:nvSpPr>
      <xdr:spPr bwMode="auto">
        <a:xfrm>
          <a:off x="0" y="69509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92" name="AutoShape 668" descr="https://www.soccerstats.com/img/own/sshplogo.png">
          <a:hlinkClick xmlns:r="http://schemas.openxmlformats.org/officeDocument/2006/relationships" r:id="rId334"/>
        </xdr:cNvPr>
        <xdr:cNvSpPr>
          <a:spLocks noChangeAspect="1" noChangeArrowheads="1"/>
        </xdr:cNvSpPr>
      </xdr:nvSpPr>
      <xdr:spPr bwMode="auto">
        <a:xfrm>
          <a:off x="13411200" y="69509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93" name="AutoShape 669" descr="NETHERLANDS3"/>
        <xdr:cNvSpPr>
          <a:spLocks noChangeAspect="1" noChangeArrowheads="1"/>
        </xdr:cNvSpPr>
      </xdr:nvSpPr>
      <xdr:spPr bwMode="auto">
        <a:xfrm>
          <a:off x="0" y="69761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94" name="AutoShape 670" descr="https://www.soccerstats.com/img/own/sshplogo.png">
          <a:hlinkClick xmlns:r="http://schemas.openxmlformats.org/officeDocument/2006/relationships" r:id="rId335"/>
        </xdr:cNvPr>
        <xdr:cNvSpPr>
          <a:spLocks noChangeAspect="1" noChangeArrowheads="1"/>
        </xdr:cNvSpPr>
      </xdr:nvSpPr>
      <xdr:spPr bwMode="auto">
        <a:xfrm>
          <a:off x="13411200" y="69761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95" name="AutoShape 671" descr="NETHERLANDS3"/>
        <xdr:cNvSpPr>
          <a:spLocks noChangeAspect="1" noChangeArrowheads="1"/>
        </xdr:cNvSpPr>
      </xdr:nvSpPr>
      <xdr:spPr bwMode="auto">
        <a:xfrm>
          <a:off x="0" y="70012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96" name="AutoShape 672" descr="https://www.soccerstats.com/img/own/sshplogo.png">
          <a:hlinkClick xmlns:r="http://schemas.openxmlformats.org/officeDocument/2006/relationships" r:id="rId336"/>
        </xdr:cNvPr>
        <xdr:cNvSpPr>
          <a:spLocks noChangeAspect="1" noChangeArrowheads="1"/>
        </xdr:cNvSpPr>
      </xdr:nvSpPr>
      <xdr:spPr bwMode="auto">
        <a:xfrm>
          <a:off x="13411200" y="70012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97" name="AutoShape 673" descr="NETHERLANDS3"/>
        <xdr:cNvSpPr>
          <a:spLocks noChangeAspect="1" noChangeArrowheads="1"/>
        </xdr:cNvSpPr>
      </xdr:nvSpPr>
      <xdr:spPr bwMode="auto">
        <a:xfrm>
          <a:off x="0" y="70187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98" name="AutoShape 674" descr="https://www.soccerstats.com/img/own/sshplogo.png">
          <a:hlinkClick xmlns:r="http://schemas.openxmlformats.org/officeDocument/2006/relationships" r:id="rId337"/>
        </xdr:cNvPr>
        <xdr:cNvSpPr>
          <a:spLocks noChangeAspect="1" noChangeArrowheads="1"/>
        </xdr:cNvSpPr>
      </xdr:nvSpPr>
      <xdr:spPr bwMode="auto">
        <a:xfrm>
          <a:off x="13411200" y="70187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99" name="AutoShape 675" descr="NETHERLANDS3"/>
        <xdr:cNvSpPr>
          <a:spLocks noChangeAspect="1" noChangeArrowheads="1"/>
        </xdr:cNvSpPr>
      </xdr:nvSpPr>
      <xdr:spPr bwMode="auto">
        <a:xfrm>
          <a:off x="0" y="70363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00" name="AutoShape 676" descr="https://www.soccerstats.com/img/own/sshplogo.png">
          <a:hlinkClick xmlns:r="http://schemas.openxmlformats.org/officeDocument/2006/relationships" r:id="rId338"/>
        </xdr:cNvPr>
        <xdr:cNvSpPr>
          <a:spLocks noChangeAspect="1" noChangeArrowheads="1"/>
        </xdr:cNvSpPr>
      </xdr:nvSpPr>
      <xdr:spPr bwMode="auto">
        <a:xfrm>
          <a:off x="13411200" y="70363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01" name="AutoShape 677" descr="NETHERLANDS3"/>
        <xdr:cNvSpPr>
          <a:spLocks noChangeAspect="1" noChangeArrowheads="1"/>
        </xdr:cNvSpPr>
      </xdr:nvSpPr>
      <xdr:spPr bwMode="auto">
        <a:xfrm>
          <a:off x="0" y="70614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02" name="AutoShape 678" descr="https://www.soccerstats.com/img/own/sshplogo.png">
          <a:hlinkClick xmlns:r="http://schemas.openxmlformats.org/officeDocument/2006/relationships" r:id="rId339"/>
        </xdr:cNvPr>
        <xdr:cNvSpPr>
          <a:spLocks noChangeAspect="1" noChangeArrowheads="1"/>
        </xdr:cNvSpPr>
      </xdr:nvSpPr>
      <xdr:spPr bwMode="auto">
        <a:xfrm>
          <a:off x="13411200" y="70614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03" name="AutoShape 679" descr="NORTHERNIRELAND"/>
        <xdr:cNvSpPr>
          <a:spLocks noChangeAspect="1" noChangeArrowheads="1"/>
        </xdr:cNvSpPr>
      </xdr:nvSpPr>
      <xdr:spPr bwMode="auto">
        <a:xfrm>
          <a:off x="0" y="70789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04" name="AutoShape 680" descr="https://www.soccerstats.com/img/own/sshplogo.png">
          <a:hlinkClick xmlns:r="http://schemas.openxmlformats.org/officeDocument/2006/relationships" r:id="rId340"/>
        </xdr:cNvPr>
        <xdr:cNvSpPr>
          <a:spLocks noChangeAspect="1" noChangeArrowheads="1"/>
        </xdr:cNvSpPr>
      </xdr:nvSpPr>
      <xdr:spPr bwMode="auto">
        <a:xfrm>
          <a:off x="13411200" y="70789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05" name="AutoShape 681" descr="NORTHERNIRELAND"/>
        <xdr:cNvSpPr>
          <a:spLocks noChangeAspect="1" noChangeArrowheads="1"/>
        </xdr:cNvSpPr>
      </xdr:nvSpPr>
      <xdr:spPr bwMode="auto">
        <a:xfrm>
          <a:off x="0" y="70965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06" name="AutoShape 682" descr="https://www.soccerstats.com/img/own/sshplogo.png">
          <a:hlinkClick xmlns:r="http://schemas.openxmlformats.org/officeDocument/2006/relationships" r:id="rId341"/>
        </xdr:cNvPr>
        <xdr:cNvSpPr>
          <a:spLocks noChangeAspect="1" noChangeArrowheads="1"/>
        </xdr:cNvSpPr>
      </xdr:nvSpPr>
      <xdr:spPr bwMode="auto">
        <a:xfrm>
          <a:off x="13411200" y="70965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07" name="AutoShape 683" descr="NORTHERNIRELAND"/>
        <xdr:cNvSpPr>
          <a:spLocks noChangeAspect="1" noChangeArrowheads="1"/>
        </xdr:cNvSpPr>
      </xdr:nvSpPr>
      <xdr:spPr bwMode="auto">
        <a:xfrm>
          <a:off x="0" y="71140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08" name="AutoShape 684" descr="https://www.soccerstats.com/img/own/sshplogo.png">
          <a:hlinkClick xmlns:r="http://schemas.openxmlformats.org/officeDocument/2006/relationships" r:id="rId342"/>
        </xdr:cNvPr>
        <xdr:cNvSpPr>
          <a:spLocks noChangeAspect="1" noChangeArrowheads="1"/>
        </xdr:cNvSpPr>
      </xdr:nvSpPr>
      <xdr:spPr bwMode="auto">
        <a:xfrm>
          <a:off x="13411200" y="71140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09" name="AutoShape 685" descr="NORTHERNIRELAND"/>
        <xdr:cNvSpPr>
          <a:spLocks noChangeAspect="1" noChangeArrowheads="1"/>
        </xdr:cNvSpPr>
      </xdr:nvSpPr>
      <xdr:spPr bwMode="auto">
        <a:xfrm>
          <a:off x="0" y="71391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10" name="AutoShape 686" descr="https://www.soccerstats.com/img/own/sshplogo.png">
          <a:hlinkClick xmlns:r="http://schemas.openxmlformats.org/officeDocument/2006/relationships" r:id="rId343"/>
        </xdr:cNvPr>
        <xdr:cNvSpPr>
          <a:spLocks noChangeAspect="1" noChangeArrowheads="1"/>
        </xdr:cNvSpPr>
      </xdr:nvSpPr>
      <xdr:spPr bwMode="auto">
        <a:xfrm>
          <a:off x="13411200" y="71391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11" name="AutoShape 687" descr="NORTHERNIRELAND"/>
        <xdr:cNvSpPr>
          <a:spLocks noChangeAspect="1" noChangeArrowheads="1"/>
        </xdr:cNvSpPr>
      </xdr:nvSpPr>
      <xdr:spPr bwMode="auto">
        <a:xfrm>
          <a:off x="0" y="71643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12" name="AutoShape 688" descr="https://www.soccerstats.com/img/own/sshplogo.png">
          <a:hlinkClick xmlns:r="http://schemas.openxmlformats.org/officeDocument/2006/relationships" r:id="rId344"/>
        </xdr:cNvPr>
        <xdr:cNvSpPr>
          <a:spLocks noChangeAspect="1" noChangeArrowheads="1"/>
        </xdr:cNvSpPr>
      </xdr:nvSpPr>
      <xdr:spPr bwMode="auto">
        <a:xfrm>
          <a:off x="13411200" y="71643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13" name="AutoShape 689" descr="NORTHERNIRELAND"/>
        <xdr:cNvSpPr>
          <a:spLocks noChangeAspect="1" noChangeArrowheads="1"/>
        </xdr:cNvSpPr>
      </xdr:nvSpPr>
      <xdr:spPr bwMode="auto">
        <a:xfrm>
          <a:off x="0" y="71818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14" name="AutoShape 690" descr="https://www.soccerstats.com/img/own/sshplogo.png">
          <a:hlinkClick xmlns:r="http://schemas.openxmlformats.org/officeDocument/2006/relationships" r:id="rId345"/>
        </xdr:cNvPr>
        <xdr:cNvSpPr>
          <a:spLocks noChangeAspect="1" noChangeArrowheads="1"/>
        </xdr:cNvSpPr>
      </xdr:nvSpPr>
      <xdr:spPr bwMode="auto">
        <a:xfrm>
          <a:off x="13411200" y="7181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15" name="AutoShape 691" descr="NORTHMACEDONIA"/>
        <xdr:cNvSpPr>
          <a:spLocks noChangeAspect="1" noChangeArrowheads="1"/>
        </xdr:cNvSpPr>
      </xdr:nvSpPr>
      <xdr:spPr bwMode="auto">
        <a:xfrm>
          <a:off x="0" y="71993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16" name="AutoShape 692" descr="https://www.soccerstats.com/img/own/sshplogo.png">
          <a:hlinkClick xmlns:r="http://schemas.openxmlformats.org/officeDocument/2006/relationships" r:id="rId346"/>
        </xdr:cNvPr>
        <xdr:cNvSpPr>
          <a:spLocks noChangeAspect="1" noChangeArrowheads="1"/>
        </xdr:cNvSpPr>
      </xdr:nvSpPr>
      <xdr:spPr bwMode="auto">
        <a:xfrm>
          <a:off x="13411200" y="71993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17" name="AutoShape 693" descr="NORTHMACEDONIA"/>
        <xdr:cNvSpPr>
          <a:spLocks noChangeAspect="1" noChangeArrowheads="1"/>
        </xdr:cNvSpPr>
      </xdr:nvSpPr>
      <xdr:spPr bwMode="auto">
        <a:xfrm>
          <a:off x="0" y="72169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18" name="AutoShape 694" descr="https://www.soccerstats.com/img/own/sshplogo.png">
          <a:hlinkClick xmlns:r="http://schemas.openxmlformats.org/officeDocument/2006/relationships" r:id="rId347"/>
        </xdr:cNvPr>
        <xdr:cNvSpPr>
          <a:spLocks noChangeAspect="1" noChangeArrowheads="1"/>
        </xdr:cNvSpPr>
      </xdr:nvSpPr>
      <xdr:spPr bwMode="auto">
        <a:xfrm>
          <a:off x="13411200" y="72169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19" name="AutoShape 695" descr="NORTHMACEDONIA"/>
        <xdr:cNvSpPr>
          <a:spLocks noChangeAspect="1" noChangeArrowheads="1"/>
        </xdr:cNvSpPr>
      </xdr:nvSpPr>
      <xdr:spPr bwMode="auto">
        <a:xfrm>
          <a:off x="0" y="72420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20" name="AutoShape 696" descr="https://www.soccerstats.com/img/own/sshplogo.png">
          <a:hlinkClick xmlns:r="http://schemas.openxmlformats.org/officeDocument/2006/relationships" r:id="rId348"/>
        </xdr:cNvPr>
        <xdr:cNvSpPr>
          <a:spLocks noChangeAspect="1" noChangeArrowheads="1"/>
        </xdr:cNvSpPr>
      </xdr:nvSpPr>
      <xdr:spPr bwMode="auto">
        <a:xfrm>
          <a:off x="13411200" y="72420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21" name="AutoShape 697" descr="NORTHMACEDONIA"/>
        <xdr:cNvSpPr>
          <a:spLocks noChangeAspect="1" noChangeArrowheads="1"/>
        </xdr:cNvSpPr>
      </xdr:nvSpPr>
      <xdr:spPr bwMode="auto">
        <a:xfrm>
          <a:off x="0" y="72595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22" name="AutoShape 698" descr="https://www.soccerstats.com/img/own/sshplogo.png">
          <a:hlinkClick xmlns:r="http://schemas.openxmlformats.org/officeDocument/2006/relationships" r:id="rId349"/>
        </xdr:cNvPr>
        <xdr:cNvSpPr>
          <a:spLocks noChangeAspect="1" noChangeArrowheads="1"/>
        </xdr:cNvSpPr>
      </xdr:nvSpPr>
      <xdr:spPr bwMode="auto">
        <a:xfrm>
          <a:off x="13411200" y="72595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23" name="AutoShape 699" descr="NORTHMACEDONIA"/>
        <xdr:cNvSpPr>
          <a:spLocks noChangeAspect="1" noChangeArrowheads="1"/>
        </xdr:cNvSpPr>
      </xdr:nvSpPr>
      <xdr:spPr bwMode="auto">
        <a:xfrm>
          <a:off x="0" y="72771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24" name="AutoShape 700" descr="https://www.soccerstats.com/img/own/sshplogo.png">
          <a:hlinkClick xmlns:r="http://schemas.openxmlformats.org/officeDocument/2006/relationships" r:id="rId350"/>
        </xdr:cNvPr>
        <xdr:cNvSpPr>
          <a:spLocks noChangeAspect="1" noChangeArrowheads="1"/>
        </xdr:cNvSpPr>
      </xdr:nvSpPr>
      <xdr:spPr bwMode="auto">
        <a:xfrm>
          <a:off x="13411200" y="7277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25" name="AutoShape 701" descr="NORWAY"/>
        <xdr:cNvSpPr>
          <a:spLocks noChangeAspect="1" noChangeArrowheads="1"/>
        </xdr:cNvSpPr>
      </xdr:nvSpPr>
      <xdr:spPr bwMode="auto">
        <a:xfrm>
          <a:off x="0" y="73022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26" name="AutoShape 702" descr="https://www.soccerstats.com/img/own/sshplogo.png">
          <a:hlinkClick xmlns:r="http://schemas.openxmlformats.org/officeDocument/2006/relationships" r:id="rId351"/>
        </xdr:cNvPr>
        <xdr:cNvSpPr>
          <a:spLocks noChangeAspect="1" noChangeArrowheads="1"/>
        </xdr:cNvSpPr>
      </xdr:nvSpPr>
      <xdr:spPr bwMode="auto">
        <a:xfrm>
          <a:off x="13411200" y="73022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27" name="AutoShape 703" descr="NORWAY2"/>
        <xdr:cNvSpPr>
          <a:spLocks noChangeAspect="1" noChangeArrowheads="1"/>
        </xdr:cNvSpPr>
      </xdr:nvSpPr>
      <xdr:spPr bwMode="auto">
        <a:xfrm>
          <a:off x="0" y="73197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28" name="AutoShape 704" descr="https://www.soccerstats.com/img/own/sshplogo.png">
          <a:hlinkClick xmlns:r="http://schemas.openxmlformats.org/officeDocument/2006/relationships" r:id="rId352"/>
        </xdr:cNvPr>
        <xdr:cNvSpPr>
          <a:spLocks noChangeAspect="1" noChangeArrowheads="1"/>
        </xdr:cNvSpPr>
      </xdr:nvSpPr>
      <xdr:spPr bwMode="auto">
        <a:xfrm>
          <a:off x="13411200" y="73197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29" name="AutoShape 705" descr="NORWAY2"/>
        <xdr:cNvSpPr>
          <a:spLocks noChangeAspect="1" noChangeArrowheads="1"/>
        </xdr:cNvSpPr>
      </xdr:nvSpPr>
      <xdr:spPr bwMode="auto">
        <a:xfrm>
          <a:off x="0" y="73372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30" name="AutoShape 706" descr="https://www.soccerstats.com/img/own/sshplogo.png">
          <a:hlinkClick xmlns:r="http://schemas.openxmlformats.org/officeDocument/2006/relationships" r:id="rId353"/>
        </xdr:cNvPr>
        <xdr:cNvSpPr>
          <a:spLocks noChangeAspect="1" noChangeArrowheads="1"/>
        </xdr:cNvSpPr>
      </xdr:nvSpPr>
      <xdr:spPr bwMode="auto">
        <a:xfrm>
          <a:off x="13411200" y="73372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31" name="AutoShape 707" descr="NORWAY2"/>
        <xdr:cNvSpPr>
          <a:spLocks noChangeAspect="1" noChangeArrowheads="1"/>
        </xdr:cNvSpPr>
      </xdr:nvSpPr>
      <xdr:spPr bwMode="auto">
        <a:xfrm>
          <a:off x="0" y="73548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32" name="AutoShape 708" descr="https://www.soccerstats.com/img/own/sshplogo.png">
          <a:hlinkClick xmlns:r="http://schemas.openxmlformats.org/officeDocument/2006/relationships" r:id="rId354"/>
        </xdr:cNvPr>
        <xdr:cNvSpPr>
          <a:spLocks noChangeAspect="1" noChangeArrowheads="1"/>
        </xdr:cNvSpPr>
      </xdr:nvSpPr>
      <xdr:spPr bwMode="auto">
        <a:xfrm>
          <a:off x="13411200" y="73548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33" name="AutoShape 709" descr="NORWAY3"/>
        <xdr:cNvSpPr>
          <a:spLocks noChangeAspect="1" noChangeArrowheads="1"/>
        </xdr:cNvSpPr>
      </xdr:nvSpPr>
      <xdr:spPr bwMode="auto">
        <a:xfrm>
          <a:off x="0" y="73723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34" name="AutoShape 710" descr="https://www.soccerstats.com/img/own/sshplogo.png">
          <a:hlinkClick xmlns:r="http://schemas.openxmlformats.org/officeDocument/2006/relationships" r:id="rId355"/>
        </xdr:cNvPr>
        <xdr:cNvSpPr>
          <a:spLocks noChangeAspect="1" noChangeArrowheads="1"/>
        </xdr:cNvSpPr>
      </xdr:nvSpPr>
      <xdr:spPr bwMode="auto">
        <a:xfrm>
          <a:off x="13411200" y="7372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35" name="AutoShape 711" descr="NORWAY3"/>
        <xdr:cNvSpPr>
          <a:spLocks noChangeAspect="1" noChangeArrowheads="1"/>
        </xdr:cNvSpPr>
      </xdr:nvSpPr>
      <xdr:spPr bwMode="auto">
        <a:xfrm>
          <a:off x="0" y="73898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36" name="AutoShape 712" descr="https://www.soccerstats.com/img/own/sshplogo.png">
          <a:hlinkClick xmlns:r="http://schemas.openxmlformats.org/officeDocument/2006/relationships" r:id="rId356"/>
        </xdr:cNvPr>
        <xdr:cNvSpPr>
          <a:spLocks noChangeAspect="1" noChangeArrowheads="1"/>
        </xdr:cNvSpPr>
      </xdr:nvSpPr>
      <xdr:spPr bwMode="auto">
        <a:xfrm>
          <a:off x="13411200" y="73898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37" name="AutoShape 713" descr="NORWAY3"/>
        <xdr:cNvSpPr>
          <a:spLocks noChangeAspect="1" noChangeArrowheads="1"/>
        </xdr:cNvSpPr>
      </xdr:nvSpPr>
      <xdr:spPr bwMode="auto">
        <a:xfrm>
          <a:off x="0" y="74074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38" name="AutoShape 714" descr="https://www.soccerstats.com/img/own/sshplogo.png">
          <a:hlinkClick xmlns:r="http://schemas.openxmlformats.org/officeDocument/2006/relationships" r:id="rId357"/>
        </xdr:cNvPr>
        <xdr:cNvSpPr>
          <a:spLocks noChangeAspect="1" noChangeArrowheads="1"/>
        </xdr:cNvSpPr>
      </xdr:nvSpPr>
      <xdr:spPr bwMode="auto">
        <a:xfrm>
          <a:off x="13411200" y="74074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39" name="AutoShape 715" descr="NORWAY3"/>
        <xdr:cNvSpPr>
          <a:spLocks noChangeAspect="1" noChangeArrowheads="1"/>
        </xdr:cNvSpPr>
      </xdr:nvSpPr>
      <xdr:spPr bwMode="auto">
        <a:xfrm>
          <a:off x="0" y="74249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40" name="AutoShape 716" descr="https://www.soccerstats.com/img/own/sshplogo.png">
          <a:hlinkClick xmlns:r="http://schemas.openxmlformats.org/officeDocument/2006/relationships" r:id="rId358"/>
        </xdr:cNvPr>
        <xdr:cNvSpPr>
          <a:spLocks noChangeAspect="1" noChangeArrowheads="1"/>
        </xdr:cNvSpPr>
      </xdr:nvSpPr>
      <xdr:spPr bwMode="auto">
        <a:xfrm>
          <a:off x="13411200" y="74249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41" name="AutoShape 717" descr="NORWAY4"/>
        <xdr:cNvSpPr>
          <a:spLocks noChangeAspect="1" noChangeArrowheads="1"/>
        </xdr:cNvSpPr>
      </xdr:nvSpPr>
      <xdr:spPr bwMode="auto">
        <a:xfrm>
          <a:off x="0" y="74424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42" name="AutoShape 718" descr="https://www.soccerstats.com/img/own/sshplogo.png">
          <a:hlinkClick xmlns:r="http://schemas.openxmlformats.org/officeDocument/2006/relationships" r:id="rId359"/>
        </xdr:cNvPr>
        <xdr:cNvSpPr>
          <a:spLocks noChangeAspect="1" noChangeArrowheads="1"/>
        </xdr:cNvSpPr>
      </xdr:nvSpPr>
      <xdr:spPr bwMode="auto">
        <a:xfrm>
          <a:off x="13411200" y="74424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43" name="AutoShape 719" descr="NORWAY11"/>
        <xdr:cNvSpPr>
          <a:spLocks noChangeAspect="1" noChangeArrowheads="1"/>
        </xdr:cNvSpPr>
      </xdr:nvSpPr>
      <xdr:spPr bwMode="auto">
        <a:xfrm>
          <a:off x="0" y="74599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44" name="AutoShape 720" descr="https://www.soccerstats.com/img/own/sshplogo.png">
          <a:hlinkClick xmlns:r="http://schemas.openxmlformats.org/officeDocument/2006/relationships" r:id="rId360"/>
        </xdr:cNvPr>
        <xdr:cNvSpPr>
          <a:spLocks noChangeAspect="1" noChangeArrowheads="1"/>
        </xdr:cNvSpPr>
      </xdr:nvSpPr>
      <xdr:spPr bwMode="auto">
        <a:xfrm>
          <a:off x="13411200" y="74599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45" name="AutoShape 721" descr="NORWAY11"/>
        <xdr:cNvSpPr>
          <a:spLocks noChangeAspect="1" noChangeArrowheads="1"/>
        </xdr:cNvSpPr>
      </xdr:nvSpPr>
      <xdr:spPr bwMode="auto">
        <a:xfrm>
          <a:off x="0" y="74775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46" name="AutoShape 722" descr="https://www.soccerstats.com/img/own/sshplogo.png">
          <a:hlinkClick xmlns:r="http://schemas.openxmlformats.org/officeDocument/2006/relationships" r:id="rId361"/>
        </xdr:cNvPr>
        <xdr:cNvSpPr>
          <a:spLocks noChangeAspect="1" noChangeArrowheads="1"/>
        </xdr:cNvSpPr>
      </xdr:nvSpPr>
      <xdr:spPr bwMode="auto">
        <a:xfrm>
          <a:off x="13411200" y="74775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47" name="AutoShape 723" descr="NORWAY11"/>
        <xdr:cNvSpPr>
          <a:spLocks noChangeAspect="1" noChangeArrowheads="1"/>
        </xdr:cNvSpPr>
      </xdr:nvSpPr>
      <xdr:spPr bwMode="auto">
        <a:xfrm>
          <a:off x="0" y="75026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48" name="AutoShape 724" descr="https://www.soccerstats.com/img/own/sshplogo.png">
          <a:hlinkClick xmlns:r="http://schemas.openxmlformats.org/officeDocument/2006/relationships" r:id="rId362"/>
        </xdr:cNvPr>
        <xdr:cNvSpPr>
          <a:spLocks noChangeAspect="1" noChangeArrowheads="1"/>
        </xdr:cNvSpPr>
      </xdr:nvSpPr>
      <xdr:spPr bwMode="auto">
        <a:xfrm>
          <a:off x="13411200" y="75026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49" name="AutoShape 725" descr="NORWAY11"/>
        <xdr:cNvSpPr>
          <a:spLocks noChangeAspect="1" noChangeArrowheads="1"/>
        </xdr:cNvSpPr>
      </xdr:nvSpPr>
      <xdr:spPr bwMode="auto">
        <a:xfrm>
          <a:off x="0" y="75277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50" name="AutoShape 726" descr="https://www.soccerstats.com/img/own/sshplogo.png">
          <a:hlinkClick xmlns:r="http://schemas.openxmlformats.org/officeDocument/2006/relationships" r:id="rId363"/>
        </xdr:cNvPr>
        <xdr:cNvSpPr>
          <a:spLocks noChangeAspect="1" noChangeArrowheads="1"/>
        </xdr:cNvSpPr>
      </xdr:nvSpPr>
      <xdr:spPr bwMode="auto">
        <a:xfrm>
          <a:off x="13411200" y="75277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51" name="AutoShape 727" descr="NORWAY11"/>
        <xdr:cNvSpPr>
          <a:spLocks noChangeAspect="1" noChangeArrowheads="1"/>
        </xdr:cNvSpPr>
      </xdr:nvSpPr>
      <xdr:spPr bwMode="auto">
        <a:xfrm>
          <a:off x="0" y="75453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52" name="AutoShape 728" descr="https://www.soccerstats.com/img/own/sshplogo.png">
          <a:hlinkClick xmlns:r="http://schemas.openxmlformats.org/officeDocument/2006/relationships" r:id="rId364"/>
        </xdr:cNvPr>
        <xdr:cNvSpPr>
          <a:spLocks noChangeAspect="1" noChangeArrowheads="1"/>
        </xdr:cNvSpPr>
      </xdr:nvSpPr>
      <xdr:spPr bwMode="auto">
        <a:xfrm>
          <a:off x="13411200" y="75453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53" name="AutoShape 729" descr="PARAGUAY2"/>
        <xdr:cNvSpPr>
          <a:spLocks noChangeAspect="1" noChangeArrowheads="1"/>
        </xdr:cNvSpPr>
      </xdr:nvSpPr>
      <xdr:spPr bwMode="auto">
        <a:xfrm>
          <a:off x="0" y="75628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54" name="AutoShape 730" descr="https://www.soccerstats.com/img/own/sshplogo.png">
          <a:hlinkClick xmlns:r="http://schemas.openxmlformats.org/officeDocument/2006/relationships" r:id="rId365"/>
        </xdr:cNvPr>
        <xdr:cNvSpPr>
          <a:spLocks noChangeAspect="1" noChangeArrowheads="1"/>
        </xdr:cNvSpPr>
      </xdr:nvSpPr>
      <xdr:spPr bwMode="auto">
        <a:xfrm>
          <a:off x="13411200" y="7562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55" name="AutoShape 731" descr="PARAGUAY2"/>
        <xdr:cNvSpPr>
          <a:spLocks noChangeAspect="1" noChangeArrowheads="1"/>
        </xdr:cNvSpPr>
      </xdr:nvSpPr>
      <xdr:spPr bwMode="auto">
        <a:xfrm>
          <a:off x="0" y="75803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56" name="AutoShape 732" descr="https://www.soccerstats.com/img/own/sshplogo.png">
          <a:hlinkClick xmlns:r="http://schemas.openxmlformats.org/officeDocument/2006/relationships" r:id="rId366"/>
        </xdr:cNvPr>
        <xdr:cNvSpPr>
          <a:spLocks noChangeAspect="1" noChangeArrowheads="1"/>
        </xdr:cNvSpPr>
      </xdr:nvSpPr>
      <xdr:spPr bwMode="auto">
        <a:xfrm>
          <a:off x="13411200" y="75803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57" name="AutoShape 733" descr="PERU2"/>
        <xdr:cNvSpPr>
          <a:spLocks noChangeAspect="1" noChangeArrowheads="1"/>
        </xdr:cNvSpPr>
      </xdr:nvSpPr>
      <xdr:spPr bwMode="auto">
        <a:xfrm>
          <a:off x="0" y="75979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58" name="AutoShape 734" descr="https://www.soccerstats.com/img/own/sshplogo.png">
          <a:hlinkClick xmlns:r="http://schemas.openxmlformats.org/officeDocument/2006/relationships" r:id="rId367"/>
        </xdr:cNvPr>
        <xdr:cNvSpPr>
          <a:spLocks noChangeAspect="1" noChangeArrowheads="1"/>
        </xdr:cNvSpPr>
      </xdr:nvSpPr>
      <xdr:spPr bwMode="auto">
        <a:xfrm>
          <a:off x="13411200" y="75979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59" name="AutoShape 735" descr="PERU2"/>
        <xdr:cNvSpPr>
          <a:spLocks noChangeAspect="1" noChangeArrowheads="1"/>
        </xdr:cNvSpPr>
      </xdr:nvSpPr>
      <xdr:spPr bwMode="auto">
        <a:xfrm>
          <a:off x="0" y="76154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60" name="AutoShape 736" descr="https://www.soccerstats.com/img/own/sshplogo.png">
          <a:hlinkClick xmlns:r="http://schemas.openxmlformats.org/officeDocument/2006/relationships" r:id="rId368"/>
        </xdr:cNvPr>
        <xdr:cNvSpPr>
          <a:spLocks noChangeAspect="1" noChangeArrowheads="1"/>
        </xdr:cNvSpPr>
      </xdr:nvSpPr>
      <xdr:spPr bwMode="auto">
        <a:xfrm>
          <a:off x="13411200" y="76154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61" name="AutoShape 737" descr="PERU2"/>
        <xdr:cNvSpPr>
          <a:spLocks noChangeAspect="1" noChangeArrowheads="1"/>
        </xdr:cNvSpPr>
      </xdr:nvSpPr>
      <xdr:spPr bwMode="auto">
        <a:xfrm>
          <a:off x="0" y="76329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62" name="AutoShape 738" descr="https://www.soccerstats.com/img/own/sshplogo.png">
          <a:hlinkClick xmlns:r="http://schemas.openxmlformats.org/officeDocument/2006/relationships" r:id="rId369"/>
        </xdr:cNvPr>
        <xdr:cNvSpPr>
          <a:spLocks noChangeAspect="1" noChangeArrowheads="1"/>
        </xdr:cNvSpPr>
      </xdr:nvSpPr>
      <xdr:spPr bwMode="auto">
        <a:xfrm>
          <a:off x="13411200" y="76329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63" name="AutoShape 739" descr="PERU2"/>
        <xdr:cNvSpPr>
          <a:spLocks noChangeAspect="1" noChangeArrowheads="1"/>
        </xdr:cNvSpPr>
      </xdr:nvSpPr>
      <xdr:spPr bwMode="auto">
        <a:xfrm>
          <a:off x="0" y="76581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64" name="AutoShape 740" descr="https://www.soccerstats.com/img/own/sshplogo.png">
          <a:hlinkClick xmlns:r="http://schemas.openxmlformats.org/officeDocument/2006/relationships" r:id="rId370"/>
        </xdr:cNvPr>
        <xdr:cNvSpPr>
          <a:spLocks noChangeAspect="1" noChangeArrowheads="1"/>
        </xdr:cNvSpPr>
      </xdr:nvSpPr>
      <xdr:spPr bwMode="auto">
        <a:xfrm>
          <a:off x="13411200" y="765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65" name="AutoShape 741" descr="PERU2"/>
        <xdr:cNvSpPr>
          <a:spLocks noChangeAspect="1" noChangeArrowheads="1"/>
        </xdr:cNvSpPr>
      </xdr:nvSpPr>
      <xdr:spPr bwMode="auto">
        <a:xfrm>
          <a:off x="0" y="76756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66" name="AutoShape 742" descr="https://www.soccerstats.com/img/own/sshplogo.png">
          <a:hlinkClick xmlns:r="http://schemas.openxmlformats.org/officeDocument/2006/relationships" r:id="rId371"/>
        </xdr:cNvPr>
        <xdr:cNvSpPr>
          <a:spLocks noChangeAspect="1" noChangeArrowheads="1"/>
        </xdr:cNvSpPr>
      </xdr:nvSpPr>
      <xdr:spPr bwMode="auto">
        <a:xfrm>
          <a:off x="13411200" y="76756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67" name="AutoShape 743" descr="PERU2"/>
        <xdr:cNvSpPr>
          <a:spLocks noChangeAspect="1" noChangeArrowheads="1"/>
        </xdr:cNvSpPr>
      </xdr:nvSpPr>
      <xdr:spPr bwMode="auto">
        <a:xfrm>
          <a:off x="0" y="76931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68" name="AutoShape 744" descr="https://www.soccerstats.com/img/own/sshplogo.png">
          <a:hlinkClick xmlns:r="http://schemas.openxmlformats.org/officeDocument/2006/relationships" r:id="rId372"/>
        </xdr:cNvPr>
        <xdr:cNvSpPr>
          <a:spLocks noChangeAspect="1" noChangeArrowheads="1"/>
        </xdr:cNvSpPr>
      </xdr:nvSpPr>
      <xdr:spPr bwMode="auto">
        <a:xfrm>
          <a:off x="13411200" y="76931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69" name="AutoShape 745" descr="PERU2"/>
        <xdr:cNvSpPr>
          <a:spLocks noChangeAspect="1" noChangeArrowheads="1"/>
        </xdr:cNvSpPr>
      </xdr:nvSpPr>
      <xdr:spPr bwMode="auto">
        <a:xfrm>
          <a:off x="0" y="77106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70" name="AutoShape 746" descr="https://www.soccerstats.com/img/own/sshplogo.png">
          <a:hlinkClick xmlns:r="http://schemas.openxmlformats.org/officeDocument/2006/relationships" r:id="rId373"/>
        </xdr:cNvPr>
        <xdr:cNvSpPr>
          <a:spLocks noChangeAspect="1" noChangeArrowheads="1"/>
        </xdr:cNvSpPr>
      </xdr:nvSpPr>
      <xdr:spPr bwMode="auto">
        <a:xfrm>
          <a:off x="13411200" y="77106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71" name="AutoShape 747" descr="PERU2"/>
        <xdr:cNvSpPr>
          <a:spLocks noChangeAspect="1" noChangeArrowheads="1"/>
        </xdr:cNvSpPr>
      </xdr:nvSpPr>
      <xdr:spPr bwMode="auto">
        <a:xfrm>
          <a:off x="0" y="77282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72" name="AutoShape 748" descr="https://www.soccerstats.com/img/own/sshplogo.png">
          <a:hlinkClick xmlns:r="http://schemas.openxmlformats.org/officeDocument/2006/relationships" r:id="rId374"/>
        </xdr:cNvPr>
        <xdr:cNvSpPr>
          <a:spLocks noChangeAspect="1" noChangeArrowheads="1"/>
        </xdr:cNvSpPr>
      </xdr:nvSpPr>
      <xdr:spPr bwMode="auto">
        <a:xfrm>
          <a:off x="13411200" y="77282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73" name="AutoShape 749" descr="PERU2"/>
        <xdr:cNvSpPr>
          <a:spLocks noChangeAspect="1" noChangeArrowheads="1"/>
        </xdr:cNvSpPr>
      </xdr:nvSpPr>
      <xdr:spPr bwMode="auto">
        <a:xfrm>
          <a:off x="0" y="77533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74" name="AutoShape 750" descr="https://www.soccerstats.com/img/own/sshplogo.png">
          <a:hlinkClick xmlns:r="http://schemas.openxmlformats.org/officeDocument/2006/relationships" r:id="rId375"/>
        </xdr:cNvPr>
        <xdr:cNvSpPr>
          <a:spLocks noChangeAspect="1" noChangeArrowheads="1"/>
        </xdr:cNvSpPr>
      </xdr:nvSpPr>
      <xdr:spPr bwMode="auto">
        <a:xfrm>
          <a:off x="13411200" y="7753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75" name="AutoShape 751" descr="POLAND"/>
        <xdr:cNvSpPr>
          <a:spLocks noChangeAspect="1" noChangeArrowheads="1"/>
        </xdr:cNvSpPr>
      </xdr:nvSpPr>
      <xdr:spPr bwMode="auto">
        <a:xfrm>
          <a:off x="0" y="77784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76" name="AutoShape 752" descr="https://www.soccerstats.com/img/own/sshplogo.png">
          <a:hlinkClick xmlns:r="http://schemas.openxmlformats.org/officeDocument/2006/relationships" r:id="rId376"/>
        </xdr:cNvPr>
        <xdr:cNvSpPr>
          <a:spLocks noChangeAspect="1" noChangeArrowheads="1"/>
        </xdr:cNvSpPr>
      </xdr:nvSpPr>
      <xdr:spPr bwMode="auto">
        <a:xfrm>
          <a:off x="13411200" y="77784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77" name="AutoShape 753" descr="POLAND"/>
        <xdr:cNvSpPr>
          <a:spLocks noChangeAspect="1" noChangeArrowheads="1"/>
        </xdr:cNvSpPr>
      </xdr:nvSpPr>
      <xdr:spPr bwMode="auto">
        <a:xfrm>
          <a:off x="0" y="78036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78" name="AutoShape 754" descr="https://www.soccerstats.com/img/own/sshplogo.png">
          <a:hlinkClick xmlns:r="http://schemas.openxmlformats.org/officeDocument/2006/relationships" r:id="rId377"/>
        </xdr:cNvPr>
        <xdr:cNvSpPr>
          <a:spLocks noChangeAspect="1" noChangeArrowheads="1"/>
        </xdr:cNvSpPr>
      </xdr:nvSpPr>
      <xdr:spPr bwMode="auto">
        <a:xfrm>
          <a:off x="13411200" y="78036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79" name="AutoShape 755" descr="POLAND"/>
        <xdr:cNvSpPr>
          <a:spLocks noChangeAspect="1" noChangeArrowheads="1"/>
        </xdr:cNvSpPr>
      </xdr:nvSpPr>
      <xdr:spPr bwMode="auto">
        <a:xfrm>
          <a:off x="0" y="78211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80" name="AutoShape 756" descr="https://www.soccerstats.com/img/own/sshplogo.png">
          <a:hlinkClick xmlns:r="http://schemas.openxmlformats.org/officeDocument/2006/relationships" r:id="rId378"/>
        </xdr:cNvPr>
        <xdr:cNvSpPr>
          <a:spLocks noChangeAspect="1" noChangeArrowheads="1"/>
        </xdr:cNvSpPr>
      </xdr:nvSpPr>
      <xdr:spPr bwMode="auto">
        <a:xfrm>
          <a:off x="13411200" y="78211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81" name="AutoShape 757" descr="POLAND2"/>
        <xdr:cNvSpPr>
          <a:spLocks noChangeAspect="1" noChangeArrowheads="1"/>
        </xdr:cNvSpPr>
      </xdr:nvSpPr>
      <xdr:spPr bwMode="auto">
        <a:xfrm>
          <a:off x="0" y="78386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82" name="AutoShape 758" descr="https://www.soccerstats.com/img/own/sshplogo.png">
          <a:hlinkClick xmlns:r="http://schemas.openxmlformats.org/officeDocument/2006/relationships" r:id="rId379"/>
        </xdr:cNvPr>
        <xdr:cNvSpPr>
          <a:spLocks noChangeAspect="1" noChangeArrowheads="1"/>
        </xdr:cNvSpPr>
      </xdr:nvSpPr>
      <xdr:spPr bwMode="auto">
        <a:xfrm>
          <a:off x="13411200" y="78386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83" name="AutoShape 759" descr="POLAND2"/>
        <xdr:cNvSpPr>
          <a:spLocks noChangeAspect="1" noChangeArrowheads="1"/>
        </xdr:cNvSpPr>
      </xdr:nvSpPr>
      <xdr:spPr bwMode="auto">
        <a:xfrm>
          <a:off x="0" y="78638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84" name="AutoShape 760" descr="https://www.soccerstats.com/img/own/sshplogo.png">
          <a:hlinkClick xmlns:r="http://schemas.openxmlformats.org/officeDocument/2006/relationships" r:id="rId380"/>
        </xdr:cNvPr>
        <xdr:cNvSpPr>
          <a:spLocks noChangeAspect="1" noChangeArrowheads="1"/>
        </xdr:cNvSpPr>
      </xdr:nvSpPr>
      <xdr:spPr bwMode="auto">
        <a:xfrm>
          <a:off x="13411200" y="78638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85" name="AutoShape 761" descr="POLAND2"/>
        <xdr:cNvSpPr>
          <a:spLocks noChangeAspect="1" noChangeArrowheads="1"/>
        </xdr:cNvSpPr>
      </xdr:nvSpPr>
      <xdr:spPr bwMode="auto">
        <a:xfrm>
          <a:off x="0" y="78813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86" name="AutoShape 762" descr="https://www.soccerstats.com/img/own/sshplogo.png">
          <a:hlinkClick xmlns:r="http://schemas.openxmlformats.org/officeDocument/2006/relationships" r:id="rId381"/>
        </xdr:cNvPr>
        <xdr:cNvSpPr>
          <a:spLocks noChangeAspect="1" noChangeArrowheads="1"/>
        </xdr:cNvSpPr>
      </xdr:nvSpPr>
      <xdr:spPr bwMode="auto">
        <a:xfrm>
          <a:off x="13411200" y="78813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87" name="AutoShape 763" descr="POLAND3"/>
        <xdr:cNvSpPr>
          <a:spLocks noChangeAspect="1" noChangeArrowheads="1"/>
        </xdr:cNvSpPr>
      </xdr:nvSpPr>
      <xdr:spPr bwMode="auto">
        <a:xfrm>
          <a:off x="0" y="79065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88" name="AutoShape 764" descr="https://www.soccerstats.com/img/own/sshplogo.png">
          <a:hlinkClick xmlns:r="http://schemas.openxmlformats.org/officeDocument/2006/relationships" r:id="rId382"/>
        </xdr:cNvPr>
        <xdr:cNvSpPr>
          <a:spLocks noChangeAspect="1" noChangeArrowheads="1"/>
        </xdr:cNvSpPr>
      </xdr:nvSpPr>
      <xdr:spPr bwMode="auto">
        <a:xfrm>
          <a:off x="13411200" y="79065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89" name="AutoShape 765" descr="POLAND3"/>
        <xdr:cNvSpPr>
          <a:spLocks noChangeAspect="1" noChangeArrowheads="1"/>
        </xdr:cNvSpPr>
      </xdr:nvSpPr>
      <xdr:spPr bwMode="auto">
        <a:xfrm>
          <a:off x="0" y="79316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90" name="AutoShape 766" descr="https://www.soccerstats.com/img/own/sshplogo.png">
          <a:hlinkClick xmlns:r="http://schemas.openxmlformats.org/officeDocument/2006/relationships" r:id="rId383"/>
        </xdr:cNvPr>
        <xdr:cNvSpPr>
          <a:spLocks noChangeAspect="1" noChangeArrowheads="1"/>
        </xdr:cNvSpPr>
      </xdr:nvSpPr>
      <xdr:spPr bwMode="auto">
        <a:xfrm>
          <a:off x="13411200" y="79316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91" name="AutoShape 767" descr="POLAND3"/>
        <xdr:cNvSpPr>
          <a:spLocks noChangeAspect="1" noChangeArrowheads="1"/>
        </xdr:cNvSpPr>
      </xdr:nvSpPr>
      <xdr:spPr bwMode="auto">
        <a:xfrm>
          <a:off x="0" y="79568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92" name="AutoShape 768" descr="https://www.soccerstats.com/img/own/sshplogo.png">
          <a:hlinkClick xmlns:r="http://schemas.openxmlformats.org/officeDocument/2006/relationships" r:id="rId384"/>
        </xdr:cNvPr>
        <xdr:cNvSpPr>
          <a:spLocks noChangeAspect="1" noChangeArrowheads="1"/>
        </xdr:cNvSpPr>
      </xdr:nvSpPr>
      <xdr:spPr bwMode="auto">
        <a:xfrm>
          <a:off x="13411200" y="79568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93" name="AutoShape 769" descr="POLAND3"/>
        <xdr:cNvSpPr>
          <a:spLocks noChangeAspect="1" noChangeArrowheads="1"/>
        </xdr:cNvSpPr>
      </xdr:nvSpPr>
      <xdr:spPr bwMode="auto">
        <a:xfrm>
          <a:off x="0" y="79819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94" name="AutoShape 770" descr="https://www.soccerstats.com/img/own/sshplogo.png">
          <a:hlinkClick xmlns:r="http://schemas.openxmlformats.org/officeDocument/2006/relationships" r:id="rId385"/>
        </xdr:cNvPr>
        <xdr:cNvSpPr>
          <a:spLocks noChangeAspect="1" noChangeArrowheads="1"/>
        </xdr:cNvSpPr>
      </xdr:nvSpPr>
      <xdr:spPr bwMode="auto">
        <a:xfrm>
          <a:off x="13411200" y="798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95" name="AutoShape 771" descr="POLAND3"/>
        <xdr:cNvSpPr>
          <a:spLocks noChangeAspect="1" noChangeArrowheads="1"/>
        </xdr:cNvSpPr>
      </xdr:nvSpPr>
      <xdr:spPr bwMode="auto">
        <a:xfrm>
          <a:off x="0" y="80070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96" name="AutoShape 772" descr="https://www.soccerstats.com/img/own/sshplogo.png">
          <a:hlinkClick xmlns:r="http://schemas.openxmlformats.org/officeDocument/2006/relationships" r:id="rId386"/>
        </xdr:cNvPr>
        <xdr:cNvSpPr>
          <a:spLocks noChangeAspect="1" noChangeArrowheads="1"/>
        </xdr:cNvSpPr>
      </xdr:nvSpPr>
      <xdr:spPr bwMode="auto">
        <a:xfrm>
          <a:off x="13411200" y="80070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97" name="AutoShape 773" descr="PORTUGAL2"/>
        <xdr:cNvSpPr>
          <a:spLocks noChangeAspect="1" noChangeArrowheads="1"/>
        </xdr:cNvSpPr>
      </xdr:nvSpPr>
      <xdr:spPr bwMode="auto">
        <a:xfrm>
          <a:off x="0" y="80322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98" name="AutoShape 774" descr="https://www.soccerstats.com/img/own/sshplogo.png">
          <a:hlinkClick xmlns:r="http://schemas.openxmlformats.org/officeDocument/2006/relationships" r:id="rId387"/>
        </xdr:cNvPr>
        <xdr:cNvSpPr>
          <a:spLocks noChangeAspect="1" noChangeArrowheads="1"/>
        </xdr:cNvSpPr>
      </xdr:nvSpPr>
      <xdr:spPr bwMode="auto">
        <a:xfrm>
          <a:off x="13411200" y="80322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99" name="AutoShape 775" descr="PORTUGAL2"/>
        <xdr:cNvSpPr>
          <a:spLocks noChangeAspect="1" noChangeArrowheads="1"/>
        </xdr:cNvSpPr>
      </xdr:nvSpPr>
      <xdr:spPr bwMode="auto">
        <a:xfrm>
          <a:off x="0" y="80497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00" name="AutoShape 776" descr="https://www.soccerstats.com/img/own/sshplogo.png">
          <a:hlinkClick xmlns:r="http://schemas.openxmlformats.org/officeDocument/2006/relationships" r:id="rId388"/>
        </xdr:cNvPr>
        <xdr:cNvSpPr>
          <a:spLocks noChangeAspect="1" noChangeArrowheads="1"/>
        </xdr:cNvSpPr>
      </xdr:nvSpPr>
      <xdr:spPr bwMode="auto">
        <a:xfrm>
          <a:off x="13411200" y="80497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01" name="AutoShape 777" descr="PORTUGAL2"/>
        <xdr:cNvSpPr>
          <a:spLocks noChangeAspect="1" noChangeArrowheads="1"/>
        </xdr:cNvSpPr>
      </xdr:nvSpPr>
      <xdr:spPr bwMode="auto">
        <a:xfrm>
          <a:off x="0" y="80749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02" name="AutoShape 778" descr="https://www.soccerstats.com/img/own/sshplogo.png">
          <a:hlinkClick xmlns:r="http://schemas.openxmlformats.org/officeDocument/2006/relationships" r:id="rId389"/>
        </xdr:cNvPr>
        <xdr:cNvSpPr>
          <a:spLocks noChangeAspect="1" noChangeArrowheads="1"/>
        </xdr:cNvSpPr>
      </xdr:nvSpPr>
      <xdr:spPr bwMode="auto">
        <a:xfrm>
          <a:off x="13411200" y="80749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03" name="AutoShape 779" descr="ROMANIA"/>
        <xdr:cNvSpPr>
          <a:spLocks noChangeAspect="1" noChangeArrowheads="1"/>
        </xdr:cNvSpPr>
      </xdr:nvSpPr>
      <xdr:spPr bwMode="auto">
        <a:xfrm>
          <a:off x="0" y="80924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04" name="AutoShape 780" descr="https://www.soccerstats.com/img/own/sshplogo.png">
          <a:hlinkClick xmlns:r="http://schemas.openxmlformats.org/officeDocument/2006/relationships" r:id="rId390"/>
        </xdr:cNvPr>
        <xdr:cNvSpPr>
          <a:spLocks noChangeAspect="1" noChangeArrowheads="1"/>
        </xdr:cNvSpPr>
      </xdr:nvSpPr>
      <xdr:spPr bwMode="auto">
        <a:xfrm>
          <a:off x="13411200" y="80924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05" name="AutoShape 781" descr="ROMANIA"/>
        <xdr:cNvSpPr>
          <a:spLocks noChangeAspect="1" noChangeArrowheads="1"/>
        </xdr:cNvSpPr>
      </xdr:nvSpPr>
      <xdr:spPr bwMode="auto">
        <a:xfrm>
          <a:off x="0" y="81099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06" name="AutoShape 782" descr="https://www.soccerstats.com/img/own/sshplogo.png">
          <a:hlinkClick xmlns:r="http://schemas.openxmlformats.org/officeDocument/2006/relationships" r:id="rId391"/>
        </xdr:cNvPr>
        <xdr:cNvSpPr>
          <a:spLocks noChangeAspect="1" noChangeArrowheads="1"/>
        </xdr:cNvSpPr>
      </xdr:nvSpPr>
      <xdr:spPr bwMode="auto">
        <a:xfrm>
          <a:off x="13411200" y="81099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07" name="AutoShape 783" descr="RUSSIA"/>
        <xdr:cNvSpPr>
          <a:spLocks noChangeAspect="1" noChangeArrowheads="1"/>
        </xdr:cNvSpPr>
      </xdr:nvSpPr>
      <xdr:spPr bwMode="auto">
        <a:xfrm>
          <a:off x="0" y="81351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08" name="AutoShape 784" descr="https://www.soccerstats.com/img/own/sshplogo.png">
          <a:hlinkClick xmlns:r="http://schemas.openxmlformats.org/officeDocument/2006/relationships" r:id="rId392"/>
        </xdr:cNvPr>
        <xdr:cNvSpPr>
          <a:spLocks noChangeAspect="1" noChangeArrowheads="1"/>
        </xdr:cNvSpPr>
      </xdr:nvSpPr>
      <xdr:spPr bwMode="auto">
        <a:xfrm>
          <a:off x="13411200" y="81351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09" name="AutoShape 785" descr="RUSSIA"/>
        <xdr:cNvSpPr>
          <a:spLocks noChangeAspect="1" noChangeArrowheads="1"/>
        </xdr:cNvSpPr>
      </xdr:nvSpPr>
      <xdr:spPr bwMode="auto">
        <a:xfrm>
          <a:off x="0" y="81602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10" name="AutoShape 786" descr="https://www.soccerstats.com/img/own/sshplogo.png">
          <a:hlinkClick xmlns:r="http://schemas.openxmlformats.org/officeDocument/2006/relationships" r:id="rId393"/>
        </xdr:cNvPr>
        <xdr:cNvSpPr>
          <a:spLocks noChangeAspect="1" noChangeArrowheads="1"/>
        </xdr:cNvSpPr>
      </xdr:nvSpPr>
      <xdr:spPr bwMode="auto">
        <a:xfrm>
          <a:off x="13411200" y="81602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11" name="AutoShape 787" descr="RUSSIA"/>
        <xdr:cNvSpPr>
          <a:spLocks noChangeAspect="1" noChangeArrowheads="1"/>
        </xdr:cNvSpPr>
      </xdr:nvSpPr>
      <xdr:spPr bwMode="auto">
        <a:xfrm>
          <a:off x="0" y="81854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12" name="AutoShape 788" descr="https://www.soccerstats.com/img/own/sshplogo.png">
          <a:hlinkClick xmlns:r="http://schemas.openxmlformats.org/officeDocument/2006/relationships" r:id="rId394"/>
        </xdr:cNvPr>
        <xdr:cNvSpPr>
          <a:spLocks noChangeAspect="1" noChangeArrowheads="1"/>
        </xdr:cNvSpPr>
      </xdr:nvSpPr>
      <xdr:spPr bwMode="auto">
        <a:xfrm>
          <a:off x="13411200" y="81854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13" name="AutoShape 789" descr="RUSSIA"/>
        <xdr:cNvSpPr>
          <a:spLocks noChangeAspect="1" noChangeArrowheads="1"/>
        </xdr:cNvSpPr>
      </xdr:nvSpPr>
      <xdr:spPr bwMode="auto">
        <a:xfrm>
          <a:off x="0" y="82029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14" name="AutoShape 790" descr="https://www.soccerstats.com/img/own/sshplogo.png">
          <a:hlinkClick xmlns:r="http://schemas.openxmlformats.org/officeDocument/2006/relationships" r:id="rId395"/>
        </xdr:cNvPr>
        <xdr:cNvSpPr>
          <a:spLocks noChangeAspect="1" noChangeArrowheads="1"/>
        </xdr:cNvSpPr>
      </xdr:nvSpPr>
      <xdr:spPr bwMode="auto">
        <a:xfrm>
          <a:off x="13411200" y="8202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15" name="AutoShape 791" descr="SAUDIARABIA"/>
        <xdr:cNvSpPr>
          <a:spLocks noChangeAspect="1" noChangeArrowheads="1"/>
        </xdr:cNvSpPr>
      </xdr:nvSpPr>
      <xdr:spPr bwMode="auto">
        <a:xfrm>
          <a:off x="0" y="82280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16" name="AutoShape 792" descr="https://www.soccerstats.com/img/own/sshplogo.png">
          <a:hlinkClick xmlns:r="http://schemas.openxmlformats.org/officeDocument/2006/relationships" r:id="rId396"/>
        </xdr:cNvPr>
        <xdr:cNvSpPr>
          <a:spLocks noChangeAspect="1" noChangeArrowheads="1"/>
        </xdr:cNvSpPr>
      </xdr:nvSpPr>
      <xdr:spPr bwMode="auto">
        <a:xfrm>
          <a:off x="13411200" y="82280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17" name="AutoShape 793" descr="SAUDIARABIA"/>
        <xdr:cNvSpPr>
          <a:spLocks noChangeAspect="1" noChangeArrowheads="1"/>
        </xdr:cNvSpPr>
      </xdr:nvSpPr>
      <xdr:spPr bwMode="auto">
        <a:xfrm>
          <a:off x="0" y="82456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18" name="AutoShape 794" descr="https://www.soccerstats.com/img/own/sshplogo.png">
          <a:hlinkClick xmlns:r="http://schemas.openxmlformats.org/officeDocument/2006/relationships" r:id="rId397"/>
        </xdr:cNvPr>
        <xdr:cNvSpPr>
          <a:spLocks noChangeAspect="1" noChangeArrowheads="1"/>
        </xdr:cNvSpPr>
      </xdr:nvSpPr>
      <xdr:spPr bwMode="auto">
        <a:xfrm>
          <a:off x="13411200" y="82456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19" name="AutoShape 795" descr="SAUDIARABIA"/>
        <xdr:cNvSpPr>
          <a:spLocks noChangeAspect="1" noChangeArrowheads="1"/>
        </xdr:cNvSpPr>
      </xdr:nvSpPr>
      <xdr:spPr bwMode="auto">
        <a:xfrm>
          <a:off x="0" y="82631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20" name="AutoShape 796" descr="https://www.soccerstats.com/img/own/sshplogo.png">
          <a:hlinkClick xmlns:r="http://schemas.openxmlformats.org/officeDocument/2006/relationships" r:id="rId398"/>
        </xdr:cNvPr>
        <xdr:cNvSpPr>
          <a:spLocks noChangeAspect="1" noChangeArrowheads="1"/>
        </xdr:cNvSpPr>
      </xdr:nvSpPr>
      <xdr:spPr bwMode="auto">
        <a:xfrm>
          <a:off x="13411200" y="82631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21" name="AutoShape 797" descr="SCOTLAND3"/>
        <xdr:cNvSpPr>
          <a:spLocks noChangeAspect="1" noChangeArrowheads="1"/>
        </xdr:cNvSpPr>
      </xdr:nvSpPr>
      <xdr:spPr bwMode="auto">
        <a:xfrm>
          <a:off x="0" y="82806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22" name="AutoShape 798" descr="https://www.soccerstats.com/img/own/sshplogo.png">
          <a:hlinkClick xmlns:r="http://schemas.openxmlformats.org/officeDocument/2006/relationships" r:id="rId399"/>
        </xdr:cNvPr>
        <xdr:cNvSpPr>
          <a:spLocks noChangeAspect="1" noChangeArrowheads="1"/>
        </xdr:cNvSpPr>
      </xdr:nvSpPr>
      <xdr:spPr bwMode="auto">
        <a:xfrm>
          <a:off x="13411200" y="82806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23" name="AutoShape 799" descr="SCOTLAND3"/>
        <xdr:cNvSpPr>
          <a:spLocks noChangeAspect="1" noChangeArrowheads="1"/>
        </xdr:cNvSpPr>
      </xdr:nvSpPr>
      <xdr:spPr bwMode="auto">
        <a:xfrm>
          <a:off x="0" y="82981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24" name="AutoShape 800" descr="https://www.soccerstats.com/img/own/sshplogo.png">
          <a:hlinkClick xmlns:r="http://schemas.openxmlformats.org/officeDocument/2006/relationships" r:id="rId400"/>
        </xdr:cNvPr>
        <xdr:cNvSpPr>
          <a:spLocks noChangeAspect="1" noChangeArrowheads="1"/>
        </xdr:cNvSpPr>
      </xdr:nvSpPr>
      <xdr:spPr bwMode="auto">
        <a:xfrm>
          <a:off x="13411200" y="8298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25" name="AutoShape 801" descr="SCOTLAND3"/>
        <xdr:cNvSpPr>
          <a:spLocks noChangeAspect="1" noChangeArrowheads="1"/>
        </xdr:cNvSpPr>
      </xdr:nvSpPr>
      <xdr:spPr bwMode="auto">
        <a:xfrm>
          <a:off x="0" y="83157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26" name="AutoShape 802" descr="https://www.soccerstats.com/img/own/sshplogo.png">
          <a:hlinkClick xmlns:r="http://schemas.openxmlformats.org/officeDocument/2006/relationships" r:id="rId401"/>
        </xdr:cNvPr>
        <xdr:cNvSpPr>
          <a:spLocks noChangeAspect="1" noChangeArrowheads="1"/>
        </xdr:cNvSpPr>
      </xdr:nvSpPr>
      <xdr:spPr bwMode="auto">
        <a:xfrm>
          <a:off x="13411200" y="83157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27" name="AutoShape 803" descr="SCOTLAND3"/>
        <xdr:cNvSpPr>
          <a:spLocks noChangeAspect="1" noChangeArrowheads="1"/>
        </xdr:cNvSpPr>
      </xdr:nvSpPr>
      <xdr:spPr bwMode="auto">
        <a:xfrm>
          <a:off x="0" y="83332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28" name="AutoShape 804" descr="https://www.soccerstats.com/img/own/sshplogo.png">
          <a:hlinkClick xmlns:r="http://schemas.openxmlformats.org/officeDocument/2006/relationships" r:id="rId402"/>
        </xdr:cNvPr>
        <xdr:cNvSpPr>
          <a:spLocks noChangeAspect="1" noChangeArrowheads="1"/>
        </xdr:cNvSpPr>
      </xdr:nvSpPr>
      <xdr:spPr bwMode="auto">
        <a:xfrm>
          <a:off x="13411200" y="83332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29" name="AutoShape 805" descr="SCOTLAND4"/>
        <xdr:cNvSpPr>
          <a:spLocks noChangeAspect="1" noChangeArrowheads="1"/>
        </xdr:cNvSpPr>
      </xdr:nvSpPr>
      <xdr:spPr bwMode="auto">
        <a:xfrm>
          <a:off x="0" y="83507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30" name="AutoShape 806" descr="https://www.soccerstats.com/img/own/sshplogo.png">
          <a:hlinkClick xmlns:r="http://schemas.openxmlformats.org/officeDocument/2006/relationships" r:id="rId403"/>
        </xdr:cNvPr>
        <xdr:cNvSpPr>
          <a:spLocks noChangeAspect="1" noChangeArrowheads="1"/>
        </xdr:cNvSpPr>
      </xdr:nvSpPr>
      <xdr:spPr bwMode="auto">
        <a:xfrm>
          <a:off x="13411200" y="83507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31" name="AutoShape 807" descr="SCOTLAND4"/>
        <xdr:cNvSpPr>
          <a:spLocks noChangeAspect="1" noChangeArrowheads="1"/>
        </xdr:cNvSpPr>
      </xdr:nvSpPr>
      <xdr:spPr bwMode="auto">
        <a:xfrm>
          <a:off x="0" y="83759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32" name="AutoShape 808" descr="https://www.soccerstats.com/img/own/sshplogo.png">
          <a:hlinkClick xmlns:r="http://schemas.openxmlformats.org/officeDocument/2006/relationships" r:id="rId404"/>
        </xdr:cNvPr>
        <xdr:cNvSpPr>
          <a:spLocks noChangeAspect="1" noChangeArrowheads="1"/>
        </xdr:cNvSpPr>
      </xdr:nvSpPr>
      <xdr:spPr bwMode="auto">
        <a:xfrm>
          <a:off x="13411200" y="83759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33" name="AutoShape 809" descr="SCOTLAND4"/>
        <xdr:cNvSpPr>
          <a:spLocks noChangeAspect="1" noChangeArrowheads="1"/>
        </xdr:cNvSpPr>
      </xdr:nvSpPr>
      <xdr:spPr bwMode="auto">
        <a:xfrm>
          <a:off x="0" y="84010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34" name="AutoShape 810" descr="https://www.soccerstats.com/img/own/sshplogo.png">
          <a:hlinkClick xmlns:r="http://schemas.openxmlformats.org/officeDocument/2006/relationships" r:id="rId405"/>
        </xdr:cNvPr>
        <xdr:cNvSpPr>
          <a:spLocks noChangeAspect="1" noChangeArrowheads="1"/>
        </xdr:cNvSpPr>
      </xdr:nvSpPr>
      <xdr:spPr bwMode="auto">
        <a:xfrm>
          <a:off x="13411200" y="8401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35" name="AutoShape 811" descr="SCOTLAND4"/>
        <xdr:cNvSpPr>
          <a:spLocks noChangeAspect="1" noChangeArrowheads="1"/>
        </xdr:cNvSpPr>
      </xdr:nvSpPr>
      <xdr:spPr bwMode="auto">
        <a:xfrm>
          <a:off x="0" y="84185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36" name="AutoShape 812" descr="https://www.soccerstats.com/img/own/sshplogo.png">
          <a:hlinkClick xmlns:r="http://schemas.openxmlformats.org/officeDocument/2006/relationships" r:id="rId406"/>
        </xdr:cNvPr>
        <xdr:cNvSpPr>
          <a:spLocks noChangeAspect="1" noChangeArrowheads="1"/>
        </xdr:cNvSpPr>
      </xdr:nvSpPr>
      <xdr:spPr bwMode="auto">
        <a:xfrm>
          <a:off x="13411200" y="84185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37" name="AutoShape 813" descr="SCOTLAND4"/>
        <xdr:cNvSpPr>
          <a:spLocks noChangeAspect="1" noChangeArrowheads="1"/>
        </xdr:cNvSpPr>
      </xdr:nvSpPr>
      <xdr:spPr bwMode="auto">
        <a:xfrm>
          <a:off x="0" y="84437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38" name="AutoShape 814" descr="https://www.soccerstats.com/img/own/sshplogo.png">
          <a:hlinkClick xmlns:r="http://schemas.openxmlformats.org/officeDocument/2006/relationships" r:id="rId407"/>
        </xdr:cNvPr>
        <xdr:cNvSpPr>
          <a:spLocks noChangeAspect="1" noChangeArrowheads="1"/>
        </xdr:cNvSpPr>
      </xdr:nvSpPr>
      <xdr:spPr bwMode="auto">
        <a:xfrm>
          <a:off x="13411200" y="84437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39" name="AutoShape 815" descr="SERBIA"/>
        <xdr:cNvSpPr>
          <a:spLocks noChangeAspect="1" noChangeArrowheads="1"/>
        </xdr:cNvSpPr>
      </xdr:nvSpPr>
      <xdr:spPr bwMode="auto">
        <a:xfrm>
          <a:off x="0" y="84612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40" name="AutoShape 816" descr="https://www.soccerstats.com/img/own/sshplogo.png">
          <a:hlinkClick xmlns:r="http://schemas.openxmlformats.org/officeDocument/2006/relationships" r:id="rId408"/>
        </xdr:cNvPr>
        <xdr:cNvSpPr>
          <a:spLocks noChangeAspect="1" noChangeArrowheads="1"/>
        </xdr:cNvSpPr>
      </xdr:nvSpPr>
      <xdr:spPr bwMode="auto">
        <a:xfrm>
          <a:off x="13411200" y="84612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41" name="AutoShape 817" descr="SERBIA"/>
        <xdr:cNvSpPr>
          <a:spLocks noChangeAspect="1" noChangeArrowheads="1"/>
        </xdr:cNvSpPr>
      </xdr:nvSpPr>
      <xdr:spPr bwMode="auto">
        <a:xfrm>
          <a:off x="0" y="84787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42" name="AutoShape 818" descr="https://www.soccerstats.com/img/own/sshplogo.png">
          <a:hlinkClick xmlns:r="http://schemas.openxmlformats.org/officeDocument/2006/relationships" r:id="rId409"/>
        </xdr:cNvPr>
        <xdr:cNvSpPr>
          <a:spLocks noChangeAspect="1" noChangeArrowheads="1"/>
        </xdr:cNvSpPr>
      </xdr:nvSpPr>
      <xdr:spPr bwMode="auto">
        <a:xfrm>
          <a:off x="13411200" y="84787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43" name="AutoShape 819" descr="SERBIA"/>
        <xdr:cNvSpPr>
          <a:spLocks noChangeAspect="1" noChangeArrowheads="1"/>
        </xdr:cNvSpPr>
      </xdr:nvSpPr>
      <xdr:spPr bwMode="auto">
        <a:xfrm>
          <a:off x="0" y="85039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44" name="AutoShape 820" descr="https://www.soccerstats.com/img/own/sshplogo.png">
          <a:hlinkClick xmlns:r="http://schemas.openxmlformats.org/officeDocument/2006/relationships" r:id="rId410"/>
        </xdr:cNvPr>
        <xdr:cNvSpPr>
          <a:spLocks noChangeAspect="1" noChangeArrowheads="1"/>
        </xdr:cNvSpPr>
      </xdr:nvSpPr>
      <xdr:spPr bwMode="auto">
        <a:xfrm>
          <a:off x="13411200" y="8503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45" name="AutoShape 821" descr="SERBIA"/>
        <xdr:cNvSpPr>
          <a:spLocks noChangeAspect="1" noChangeArrowheads="1"/>
        </xdr:cNvSpPr>
      </xdr:nvSpPr>
      <xdr:spPr bwMode="auto">
        <a:xfrm>
          <a:off x="0" y="85214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46" name="AutoShape 822" descr="https://www.soccerstats.com/img/own/sshplogo.png">
          <a:hlinkClick xmlns:r="http://schemas.openxmlformats.org/officeDocument/2006/relationships" r:id="rId411"/>
        </xdr:cNvPr>
        <xdr:cNvSpPr>
          <a:spLocks noChangeAspect="1" noChangeArrowheads="1"/>
        </xdr:cNvSpPr>
      </xdr:nvSpPr>
      <xdr:spPr bwMode="auto">
        <a:xfrm>
          <a:off x="13411200" y="85214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47" name="AutoShape 823" descr="SERBIA"/>
        <xdr:cNvSpPr>
          <a:spLocks noChangeAspect="1" noChangeArrowheads="1"/>
        </xdr:cNvSpPr>
      </xdr:nvSpPr>
      <xdr:spPr bwMode="auto">
        <a:xfrm>
          <a:off x="0" y="85389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48" name="AutoShape 824" descr="https://www.soccerstats.com/img/own/sshplogo.png">
          <a:hlinkClick xmlns:r="http://schemas.openxmlformats.org/officeDocument/2006/relationships" r:id="rId412"/>
        </xdr:cNvPr>
        <xdr:cNvSpPr>
          <a:spLocks noChangeAspect="1" noChangeArrowheads="1"/>
        </xdr:cNvSpPr>
      </xdr:nvSpPr>
      <xdr:spPr bwMode="auto">
        <a:xfrm>
          <a:off x="13411200" y="85389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49" name="AutoShape 825" descr="SERBIA"/>
        <xdr:cNvSpPr>
          <a:spLocks noChangeAspect="1" noChangeArrowheads="1"/>
        </xdr:cNvSpPr>
      </xdr:nvSpPr>
      <xdr:spPr bwMode="auto">
        <a:xfrm>
          <a:off x="0" y="85564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50" name="AutoShape 826" descr="https://www.soccerstats.com/img/own/sshplogo.png">
          <a:hlinkClick xmlns:r="http://schemas.openxmlformats.org/officeDocument/2006/relationships" r:id="rId413"/>
        </xdr:cNvPr>
        <xdr:cNvSpPr>
          <a:spLocks noChangeAspect="1" noChangeArrowheads="1"/>
        </xdr:cNvSpPr>
      </xdr:nvSpPr>
      <xdr:spPr bwMode="auto">
        <a:xfrm>
          <a:off x="13411200" y="85564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51" name="AutoShape 827" descr="SERBIA"/>
        <xdr:cNvSpPr>
          <a:spLocks noChangeAspect="1" noChangeArrowheads="1"/>
        </xdr:cNvSpPr>
      </xdr:nvSpPr>
      <xdr:spPr bwMode="auto">
        <a:xfrm>
          <a:off x="0" y="85740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52" name="AutoShape 828" descr="https://www.soccerstats.com/img/own/sshplogo.png">
          <a:hlinkClick xmlns:r="http://schemas.openxmlformats.org/officeDocument/2006/relationships" r:id="rId414"/>
        </xdr:cNvPr>
        <xdr:cNvSpPr>
          <a:spLocks noChangeAspect="1" noChangeArrowheads="1"/>
        </xdr:cNvSpPr>
      </xdr:nvSpPr>
      <xdr:spPr bwMode="auto">
        <a:xfrm>
          <a:off x="13411200" y="85740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53" name="AutoShape 829" descr="SLOVAKIA"/>
        <xdr:cNvSpPr>
          <a:spLocks noChangeAspect="1" noChangeArrowheads="1"/>
        </xdr:cNvSpPr>
      </xdr:nvSpPr>
      <xdr:spPr bwMode="auto">
        <a:xfrm>
          <a:off x="0" y="85991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54" name="AutoShape 830" descr="https://www.soccerstats.com/img/own/sshplogo.png">
          <a:hlinkClick xmlns:r="http://schemas.openxmlformats.org/officeDocument/2006/relationships" r:id="rId415"/>
        </xdr:cNvPr>
        <xdr:cNvSpPr>
          <a:spLocks noChangeAspect="1" noChangeArrowheads="1"/>
        </xdr:cNvSpPr>
      </xdr:nvSpPr>
      <xdr:spPr bwMode="auto">
        <a:xfrm>
          <a:off x="13411200" y="8599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55" name="AutoShape 831" descr="SLOVAKIA"/>
        <xdr:cNvSpPr>
          <a:spLocks noChangeAspect="1" noChangeArrowheads="1"/>
        </xdr:cNvSpPr>
      </xdr:nvSpPr>
      <xdr:spPr bwMode="auto">
        <a:xfrm>
          <a:off x="0" y="86243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56" name="AutoShape 832" descr="https://www.soccerstats.com/img/own/sshplogo.png">
          <a:hlinkClick xmlns:r="http://schemas.openxmlformats.org/officeDocument/2006/relationships" r:id="rId416"/>
        </xdr:cNvPr>
        <xdr:cNvSpPr>
          <a:spLocks noChangeAspect="1" noChangeArrowheads="1"/>
        </xdr:cNvSpPr>
      </xdr:nvSpPr>
      <xdr:spPr bwMode="auto">
        <a:xfrm>
          <a:off x="13411200" y="86243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57" name="AutoShape 833" descr="SLOVAKIA"/>
        <xdr:cNvSpPr>
          <a:spLocks noChangeAspect="1" noChangeArrowheads="1"/>
        </xdr:cNvSpPr>
      </xdr:nvSpPr>
      <xdr:spPr bwMode="auto">
        <a:xfrm>
          <a:off x="0" y="86418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58" name="AutoShape 834" descr="https://www.soccerstats.com/img/own/sshplogo.png">
          <a:hlinkClick xmlns:r="http://schemas.openxmlformats.org/officeDocument/2006/relationships" r:id="rId417"/>
        </xdr:cNvPr>
        <xdr:cNvSpPr>
          <a:spLocks noChangeAspect="1" noChangeArrowheads="1"/>
        </xdr:cNvSpPr>
      </xdr:nvSpPr>
      <xdr:spPr bwMode="auto">
        <a:xfrm>
          <a:off x="13411200" y="86418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59" name="AutoShape 835" descr="SLOVAKIA"/>
        <xdr:cNvSpPr>
          <a:spLocks noChangeAspect="1" noChangeArrowheads="1"/>
        </xdr:cNvSpPr>
      </xdr:nvSpPr>
      <xdr:spPr bwMode="auto">
        <a:xfrm>
          <a:off x="0" y="86593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60" name="AutoShape 836" descr="https://www.soccerstats.com/img/own/sshplogo.png">
          <a:hlinkClick xmlns:r="http://schemas.openxmlformats.org/officeDocument/2006/relationships" r:id="rId418"/>
        </xdr:cNvPr>
        <xdr:cNvSpPr>
          <a:spLocks noChangeAspect="1" noChangeArrowheads="1"/>
        </xdr:cNvSpPr>
      </xdr:nvSpPr>
      <xdr:spPr bwMode="auto">
        <a:xfrm>
          <a:off x="13411200" y="86593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61" name="AutoShape 837" descr="SLOVENIA"/>
        <xdr:cNvSpPr>
          <a:spLocks noChangeAspect="1" noChangeArrowheads="1"/>
        </xdr:cNvSpPr>
      </xdr:nvSpPr>
      <xdr:spPr bwMode="auto">
        <a:xfrm>
          <a:off x="0" y="86768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62" name="AutoShape 838" descr="https://www.soccerstats.com/img/own/sshplogo.png">
          <a:hlinkClick xmlns:r="http://schemas.openxmlformats.org/officeDocument/2006/relationships" r:id="rId419"/>
        </xdr:cNvPr>
        <xdr:cNvSpPr>
          <a:spLocks noChangeAspect="1" noChangeArrowheads="1"/>
        </xdr:cNvSpPr>
      </xdr:nvSpPr>
      <xdr:spPr bwMode="auto">
        <a:xfrm>
          <a:off x="13411200" y="86768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63" name="AutoShape 839" descr="SLOVENIA"/>
        <xdr:cNvSpPr>
          <a:spLocks noChangeAspect="1" noChangeArrowheads="1"/>
        </xdr:cNvSpPr>
      </xdr:nvSpPr>
      <xdr:spPr bwMode="auto">
        <a:xfrm>
          <a:off x="0" y="86944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64" name="AutoShape 840" descr="https://www.soccerstats.com/img/own/sshplogo.png">
          <a:hlinkClick xmlns:r="http://schemas.openxmlformats.org/officeDocument/2006/relationships" r:id="rId420"/>
        </xdr:cNvPr>
        <xdr:cNvSpPr>
          <a:spLocks noChangeAspect="1" noChangeArrowheads="1"/>
        </xdr:cNvSpPr>
      </xdr:nvSpPr>
      <xdr:spPr bwMode="auto">
        <a:xfrm>
          <a:off x="13411200" y="86944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65" name="AutoShape 841" descr="SOUTHAFRICA"/>
        <xdr:cNvSpPr>
          <a:spLocks noChangeAspect="1" noChangeArrowheads="1"/>
        </xdr:cNvSpPr>
      </xdr:nvSpPr>
      <xdr:spPr bwMode="auto">
        <a:xfrm>
          <a:off x="0" y="87119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66" name="AutoShape 842" descr="https://www.soccerstats.com/img/own/sshplogo.png">
          <a:hlinkClick xmlns:r="http://schemas.openxmlformats.org/officeDocument/2006/relationships" r:id="rId421"/>
        </xdr:cNvPr>
        <xdr:cNvSpPr>
          <a:spLocks noChangeAspect="1" noChangeArrowheads="1"/>
        </xdr:cNvSpPr>
      </xdr:nvSpPr>
      <xdr:spPr bwMode="auto">
        <a:xfrm>
          <a:off x="13411200" y="87119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67" name="AutoShape 843" descr="SOUTHAFRICA"/>
        <xdr:cNvSpPr>
          <a:spLocks noChangeAspect="1" noChangeArrowheads="1"/>
        </xdr:cNvSpPr>
      </xdr:nvSpPr>
      <xdr:spPr bwMode="auto">
        <a:xfrm>
          <a:off x="0" y="87294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68" name="AutoShape 844" descr="https://www.soccerstats.com/img/own/sshplogo.png">
          <a:hlinkClick xmlns:r="http://schemas.openxmlformats.org/officeDocument/2006/relationships" r:id="rId422"/>
        </xdr:cNvPr>
        <xdr:cNvSpPr>
          <a:spLocks noChangeAspect="1" noChangeArrowheads="1"/>
        </xdr:cNvSpPr>
      </xdr:nvSpPr>
      <xdr:spPr bwMode="auto">
        <a:xfrm>
          <a:off x="13411200" y="87294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69" name="AutoShape 845" descr="SOUTHAFRICA"/>
        <xdr:cNvSpPr>
          <a:spLocks noChangeAspect="1" noChangeArrowheads="1"/>
        </xdr:cNvSpPr>
      </xdr:nvSpPr>
      <xdr:spPr bwMode="auto">
        <a:xfrm>
          <a:off x="0" y="87469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70" name="AutoShape 846" descr="https://www.soccerstats.com/img/own/sshplogo.png">
          <a:hlinkClick xmlns:r="http://schemas.openxmlformats.org/officeDocument/2006/relationships" r:id="rId423"/>
        </xdr:cNvPr>
        <xdr:cNvSpPr>
          <a:spLocks noChangeAspect="1" noChangeArrowheads="1"/>
        </xdr:cNvSpPr>
      </xdr:nvSpPr>
      <xdr:spPr bwMode="auto">
        <a:xfrm>
          <a:off x="13411200" y="87469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71" name="AutoShape 847" descr="SOUTHAFRICA"/>
        <xdr:cNvSpPr>
          <a:spLocks noChangeAspect="1" noChangeArrowheads="1"/>
        </xdr:cNvSpPr>
      </xdr:nvSpPr>
      <xdr:spPr bwMode="auto">
        <a:xfrm>
          <a:off x="0" y="87645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72" name="AutoShape 848" descr="https://www.soccerstats.com/img/own/sshplogo.png">
          <a:hlinkClick xmlns:r="http://schemas.openxmlformats.org/officeDocument/2006/relationships" r:id="rId424"/>
        </xdr:cNvPr>
        <xdr:cNvSpPr>
          <a:spLocks noChangeAspect="1" noChangeArrowheads="1"/>
        </xdr:cNvSpPr>
      </xdr:nvSpPr>
      <xdr:spPr bwMode="auto">
        <a:xfrm>
          <a:off x="13411200" y="87645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73" name="AutoShape 849" descr="SOUTHAFRICA"/>
        <xdr:cNvSpPr>
          <a:spLocks noChangeAspect="1" noChangeArrowheads="1"/>
        </xdr:cNvSpPr>
      </xdr:nvSpPr>
      <xdr:spPr bwMode="auto">
        <a:xfrm>
          <a:off x="0" y="87820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74" name="AutoShape 850" descr="https://www.soccerstats.com/img/own/sshplogo.png">
          <a:hlinkClick xmlns:r="http://schemas.openxmlformats.org/officeDocument/2006/relationships" r:id="rId425"/>
        </xdr:cNvPr>
        <xdr:cNvSpPr>
          <a:spLocks noChangeAspect="1" noChangeArrowheads="1"/>
        </xdr:cNvSpPr>
      </xdr:nvSpPr>
      <xdr:spPr bwMode="auto">
        <a:xfrm>
          <a:off x="13411200" y="8782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75" name="AutoShape 851" descr="SOUTHKOREA"/>
        <xdr:cNvSpPr>
          <a:spLocks noChangeAspect="1" noChangeArrowheads="1"/>
        </xdr:cNvSpPr>
      </xdr:nvSpPr>
      <xdr:spPr bwMode="auto">
        <a:xfrm>
          <a:off x="0" y="87995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76" name="AutoShape 852" descr="https://www.soccerstats.com/img/own/sshplogo.png">
          <a:hlinkClick xmlns:r="http://schemas.openxmlformats.org/officeDocument/2006/relationships" r:id="rId426"/>
        </xdr:cNvPr>
        <xdr:cNvSpPr>
          <a:spLocks noChangeAspect="1" noChangeArrowheads="1"/>
        </xdr:cNvSpPr>
      </xdr:nvSpPr>
      <xdr:spPr bwMode="auto">
        <a:xfrm>
          <a:off x="13411200" y="87995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77" name="AutoShape 853" descr="SOUTHKOREA"/>
        <xdr:cNvSpPr>
          <a:spLocks noChangeAspect="1" noChangeArrowheads="1"/>
        </xdr:cNvSpPr>
      </xdr:nvSpPr>
      <xdr:spPr bwMode="auto">
        <a:xfrm>
          <a:off x="0" y="88247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78" name="AutoShape 854" descr="https://www.soccerstats.com/img/own/sshplogo.png">
          <a:hlinkClick xmlns:r="http://schemas.openxmlformats.org/officeDocument/2006/relationships" r:id="rId427"/>
        </xdr:cNvPr>
        <xdr:cNvSpPr>
          <a:spLocks noChangeAspect="1" noChangeArrowheads="1"/>
        </xdr:cNvSpPr>
      </xdr:nvSpPr>
      <xdr:spPr bwMode="auto">
        <a:xfrm>
          <a:off x="13411200" y="88247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79" name="AutoShape 855" descr="SOUTHKOREA"/>
        <xdr:cNvSpPr>
          <a:spLocks noChangeAspect="1" noChangeArrowheads="1"/>
        </xdr:cNvSpPr>
      </xdr:nvSpPr>
      <xdr:spPr bwMode="auto">
        <a:xfrm>
          <a:off x="0" y="88422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80" name="AutoShape 856" descr="https://www.soccerstats.com/img/own/sshplogo.png">
          <a:hlinkClick xmlns:r="http://schemas.openxmlformats.org/officeDocument/2006/relationships" r:id="rId428"/>
        </xdr:cNvPr>
        <xdr:cNvSpPr>
          <a:spLocks noChangeAspect="1" noChangeArrowheads="1"/>
        </xdr:cNvSpPr>
      </xdr:nvSpPr>
      <xdr:spPr bwMode="auto">
        <a:xfrm>
          <a:off x="13411200" y="88422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81" name="AutoShape 857" descr="SOUTHKOREA2"/>
        <xdr:cNvSpPr>
          <a:spLocks noChangeAspect="1" noChangeArrowheads="1"/>
        </xdr:cNvSpPr>
      </xdr:nvSpPr>
      <xdr:spPr bwMode="auto">
        <a:xfrm>
          <a:off x="0" y="88673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82" name="AutoShape 858" descr="https://www.soccerstats.com/img/own/sshplogo.png">
          <a:hlinkClick xmlns:r="http://schemas.openxmlformats.org/officeDocument/2006/relationships" r:id="rId429"/>
        </xdr:cNvPr>
        <xdr:cNvSpPr>
          <a:spLocks noChangeAspect="1" noChangeArrowheads="1"/>
        </xdr:cNvSpPr>
      </xdr:nvSpPr>
      <xdr:spPr bwMode="auto">
        <a:xfrm>
          <a:off x="13411200" y="88673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83" name="AutoShape 859" descr="SOUTHKOREA2"/>
        <xdr:cNvSpPr>
          <a:spLocks noChangeAspect="1" noChangeArrowheads="1"/>
        </xdr:cNvSpPr>
      </xdr:nvSpPr>
      <xdr:spPr bwMode="auto">
        <a:xfrm>
          <a:off x="0" y="88849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84" name="AutoShape 860" descr="https://www.soccerstats.com/img/own/sshplogo.png">
          <a:hlinkClick xmlns:r="http://schemas.openxmlformats.org/officeDocument/2006/relationships" r:id="rId430"/>
        </xdr:cNvPr>
        <xdr:cNvSpPr>
          <a:spLocks noChangeAspect="1" noChangeArrowheads="1"/>
        </xdr:cNvSpPr>
      </xdr:nvSpPr>
      <xdr:spPr bwMode="auto">
        <a:xfrm>
          <a:off x="13411200" y="8884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85" name="AutoShape 861" descr="SOUTHKOREA2"/>
        <xdr:cNvSpPr>
          <a:spLocks noChangeAspect="1" noChangeArrowheads="1"/>
        </xdr:cNvSpPr>
      </xdr:nvSpPr>
      <xdr:spPr bwMode="auto">
        <a:xfrm>
          <a:off x="0" y="89024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86" name="AutoShape 862" descr="https://www.soccerstats.com/img/own/sshplogo.png">
          <a:hlinkClick xmlns:r="http://schemas.openxmlformats.org/officeDocument/2006/relationships" r:id="rId431"/>
        </xdr:cNvPr>
        <xdr:cNvSpPr>
          <a:spLocks noChangeAspect="1" noChangeArrowheads="1"/>
        </xdr:cNvSpPr>
      </xdr:nvSpPr>
      <xdr:spPr bwMode="auto">
        <a:xfrm>
          <a:off x="13411200" y="89024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87" name="AutoShape 863" descr="SOUTHKOREA2"/>
        <xdr:cNvSpPr>
          <a:spLocks noChangeAspect="1" noChangeArrowheads="1"/>
        </xdr:cNvSpPr>
      </xdr:nvSpPr>
      <xdr:spPr bwMode="auto">
        <a:xfrm>
          <a:off x="0" y="89199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88" name="AutoShape 864" descr="https://www.soccerstats.com/img/own/sshplogo.png">
          <a:hlinkClick xmlns:r="http://schemas.openxmlformats.org/officeDocument/2006/relationships" r:id="rId432"/>
        </xdr:cNvPr>
        <xdr:cNvSpPr>
          <a:spLocks noChangeAspect="1" noChangeArrowheads="1"/>
        </xdr:cNvSpPr>
      </xdr:nvSpPr>
      <xdr:spPr bwMode="auto">
        <a:xfrm>
          <a:off x="13411200" y="89199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89" name="AutoShape 865" descr="SOUTHKOREA4"/>
        <xdr:cNvSpPr>
          <a:spLocks noChangeAspect="1" noChangeArrowheads="1"/>
        </xdr:cNvSpPr>
      </xdr:nvSpPr>
      <xdr:spPr bwMode="auto">
        <a:xfrm>
          <a:off x="0" y="89451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90" name="AutoShape 866" descr="https://www.soccerstats.com/img/own/sshplogo.png">
          <a:hlinkClick xmlns:r="http://schemas.openxmlformats.org/officeDocument/2006/relationships" r:id="rId433"/>
        </xdr:cNvPr>
        <xdr:cNvSpPr>
          <a:spLocks noChangeAspect="1" noChangeArrowheads="1"/>
        </xdr:cNvSpPr>
      </xdr:nvSpPr>
      <xdr:spPr bwMode="auto">
        <a:xfrm>
          <a:off x="13411200" y="89451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91" name="AutoShape 867" descr="SOUTHKOREA4"/>
        <xdr:cNvSpPr>
          <a:spLocks noChangeAspect="1" noChangeArrowheads="1"/>
        </xdr:cNvSpPr>
      </xdr:nvSpPr>
      <xdr:spPr bwMode="auto">
        <a:xfrm>
          <a:off x="0" y="89702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92" name="AutoShape 868" descr="https://www.soccerstats.com/img/own/sshplogo.png">
          <a:hlinkClick xmlns:r="http://schemas.openxmlformats.org/officeDocument/2006/relationships" r:id="rId434"/>
        </xdr:cNvPr>
        <xdr:cNvSpPr>
          <a:spLocks noChangeAspect="1" noChangeArrowheads="1"/>
        </xdr:cNvSpPr>
      </xdr:nvSpPr>
      <xdr:spPr bwMode="auto">
        <a:xfrm>
          <a:off x="13411200" y="89702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93" name="AutoShape 869" descr="SWEDEN"/>
        <xdr:cNvSpPr>
          <a:spLocks noChangeAspect="1" noChangeArrowheads="1"/>
        </xdr:cNvSpPr>
      </xdr:nvSpPr>
      <xdr:spPr bwMode="auto">
        <a:xfrm>
          <a:off x="0" y="89877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94" name="AutoShape 870" descr="https://www.soccerstats.com/img/own/sshplogo.png">
          <a:hlinkClick xmlns:r="http://schemas.openxmlformats.org/officeDocument/2006/relationships" r:id="rId435"/>
        </xdr:cNvPr>
        <xdr:cNvSpPr>
          <a:spLocks noChangeAspect="1" noChangeArrowheads="1"/>
        </xdr:cNvSpPr>
      </xdr:nvSpPr>
      <xdr:spPr bwMode="auto">
        <a:xfrm>
          <a:off x="13411200" y="89877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95" name="AutoShape 871" descr="SWEDEN2"/>
        <xdr:cNvSpPr>
          <a:spLocks noChangeAspect="1" noChangeArrowheads="1"/>
        </xdr:cNvSpPr>
      </xdr:nvSpPr>
      <xdr:spPr bwMode="auto">
        <a:xfrm>
          <a:off x="0" y="90053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96" name="AutoShape 872" descr="https://www.soccerstats.com/img/own/sshplogo.png">
          <a:hlinkClick xmlns:r="http://schemas.openxmlformats.org/officeDocument/2006/relationships" r:id="rId436"/>
        </xdr:cNvPr>
        <xdr:cNvSpPr>
          <a:spLocks noChangeAspect="1" noChangeArrowheads="1"/>
        </xdr:cNvSpPr>
      </xdr:nvSpPr>
      <xdr:spPr bwMode="auto">
        <a:xfrm>
          <a:off x="13411200" y="90053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97" name="AutoShape 873" descr="SWEDEN2"/>
        <xdr:cNvSpPr>
          <a:spLocks noChangeAspect="1" noChangeArrowheads="1"/>
        </xdr:cNvSpPr>
      </xdr:nvSpPr>
      <xdr:spPr bwMode="auto">
        <a:xfrm>
          <a:off x="0" y="90228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98" name="AutoShape 874" descr="https://www.soccerstats.com/img/own/sshplogo.png">
          <a:hlinkClick xmlns:r="http://schemas.openxmlformats.org/officeDocument/2006/relationships" r:id="rId437"/>
        </xdr:cNvPr>
        <xdr:cNvSpPr>
          <a:spLocks noChangeAspect="1" noChangeArrowheads="1"/>
        </xdr:cNvSpPr>
      </xdr:nvSpPr>
      <xdr:spPr bwMode="auto">
        <a:xfrm>
          <a:off x="13411200" y="90228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99" name="AutoShape 875" descr="SWEDEN2"/>
        <xdr:cNvSpPr>
          <a:spLocks noChangeAspect="1" noChangeArrowheads="1"/>
        </xdr:cNvSpPr>
      </xdr:nvSpPr>
      <xdr:spPr bwMode="auto">
        <a:xfrm>
          <a:off x="0" y="90403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00" name="AutoShape 876" descr="https://www.soccerstats.com/img/own/sshplogo.png">
          <a:hlinkClick xmlns:r="http://schemas.openxmlformats.org/officeDocument/2006/relationships" r:id="rId438"/>
        </xdr:cNvPr>
        <xdr:cNvSpPr>
          <a:spLocks noChangeAspect="1" noChangeArrowheads="1"/>
        </xdr:cNvSpPr>
      </xdr:nvSpPr>
      <xdr:spPr bwMode="auto">
        <a:xfrm>
          <a:off x="13411200" y="90403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01" name="AutoShape 877" descr="SWEDEN2"/>
        <xdr:cNvSpPr>
          <a:spLocks noChangeAspect="1" noChangeArrowheads="1"/>
        </xdr:cNvSpPr>
      </xdr:nvSpPr>
      <xdr:spPr bwMode="auto">
        <a:xfrm>
          <a:off x="0" y="90655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02" name="AutoShape 878" descr="https://www.soccerstats.com/img/own/sshplogo.png">
          <a:hlinkClick xmlns:r="http://schemas.openxmlformats.org/officeDocument/2006/relationships" r:id="rId439"/>
        </xdr:cNvPr>
        <xdr:cNvSpPr>
          <a:spLocks noChangeAspect="1" noChangeArrowheads="1"/>
        </xdr:cNvSpPr>
      </xdr:nvSpPr>
      <xdr:spPr bwMode="auto">
        <a:xfrm>
          <a:off x="13411200" y="90655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03" name="AutoShape 879" descr="SWEDEN2"/>
        <xdr:cNvSpPr>
          <a:spLocks noChangeAspect="1" noChangeArrowheads="1"/>
        </xdr:cNvSpPr>
      </xdr:nvSpPr>
      <xdr:spPr bwMode="auto">
        <a:xfrm>
          <a:off x="0" y="90830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04" name="AutoShape 880" descr="https://www.soccerstats.com/img/own/sshplogo.png">
          <a:hlinkClick xmlns:r="http://schemas.openxmlformats.org/officeDocument/2006/relationships" r:id="rId440"/>
        </xdr:cNvPr>
        <xdr:cNvSpPr>
          <a:spLocks noChangeAspect="1" noChangeArrowheads="1"/>
        </xdr:cNvSpPr>
      </xdr:nvSpPr>
      <xdr:spPr bwMode="auto">
        <a:xfrm>
          <a:off x="13411200" y="90830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05" name="AutoShape 881" descr="SWEDEN3"/>
        <xdr:cNvSpPr>
          <a:spLocks noChangeAspect="1" noChangeArrowheads="1"/>
        </xdr:cNvSpPr>
      </xdr:nvSpPr>
      <xdr:spPr bwMode="auto">
        <a:xfrm>
          <a:off x="0" y="91005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06" name="AutoShape 882" descr="https://www.soccerstats.com/img/own/sshplogo.png">
          <a:hlinkClick xmlns:r="http://schemas.openxmlformats.org/officeDocument/2006/relationships" r:id="rId441"/>
        </xdr:cNvPr>
        <xdr:cNvSpPr>
          <a:spLocks noChangeAspect="1" noChangeArrowheads="1"/>
        </xdr:cNvSpPr>
      </xdr:nvSpPr>
      <xdr:spPr bwMode="auto">
        <a:xfrm>
          <a:off x="13411200" y="91005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07" name="AutoShape 883" descr="SWEDEN3"/>
        <xdr:cNvSpPr>
          <a:spLocks noChangeAspect="1" noChangeArrowheads="1"/>
        </xdr:cNvSpPr>
      </xdr:nvSpPr>
      <xdr:spPr bwMode="auto">
        <a:xfrm>
          <a:off x="0" y="91180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08" name="AutoShape 884" descr="https://www.soccerstats.com/img/own/sshplogo.png">
          <a:hlinkClick xmlns:r="http://schemas.openxmlformats.org/officeDocument/2006/relationships" r:id="rId442"/>
        </xdr:cNvPr>
        <xdr:cNvSpPr>
          <a:spLocks noChangeAspect="1" noChangeArrowheads="1"/>
        </xdr:cNvSpPr>
      </xdr:nvSpPr>
      <xdr:spPr bwMode="auto">
        <a:xfrm>
          <a:off x="13411200" y="91180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09" name="AutoShape 885" descr="SWEDEN3"/>
        <xdr:cNvSpPr>
          <a:spLocks noChangeAspect="1" noChangeArrowheads="1"/>
        </xdr:cNvSpPr>
      </xdr:nvSpPr>
      <xdr:spPr bwMode="auto">
        <a:xfrm>
          <a:off x="0" y="91356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10" name="AutoShape 886" descr="https://www.soccerstats.com/img/own/sshplogo.png">
          <a:hlinkClick xmlns:r="http://schemas.openxmlformats.org/officeDocument/2006/relationships" r:id="rId443"/>
        </xdr:cNvPr>
        <xdr:cNvSpPr>
          <a:spLocks noChangeAspect="1" noChangeArrowheads="1"/>
        </xdr:cNvSpPr>
      </xdr:nvSpPr>
      <xdr:spPr bwMode="auto">
        <a:xfrm>
          <a:off x="13411200" y="91356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11" name="AutoShape 887" descr="SWEDEN3"/>
        <xdr:cNvSpPr>
          <a:spLocks noChangeAspect="1" noChangeArrowheads="1"/>
        </xdr:cNvSpPr>
      </xdr:nvSpPr>
      <xdr:spPr bwMode="auto">
        <a:xfrm>
          <a:off x="0" y="91531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12" name="AutoShape 888" descr="https://www.soccerstats.com/img/own/sshplogo.png">
          <a:hlinkClick xmlns:r="http://schemas.openxmlformats.org/officeDocument/2006/relationships" r:id="rId444"/>
        </xdr:cNvPr>
        <xdr:cNvSpPr>
          <a:spLocks noChangeAspect="1" noChangeArrowheads="1"/>
        </xdr:cNvSpPr>
      </xdr:nvSpPr>
      <xdr:spPr bwMode="auto">
        <a:xfrm>
          <a:off x="13411200" y="91531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13" name="AutoShape 889" descr="SWEDEN4"/>
        <xdr:cNvSpPr>
          <a:spLocks noChangeAspect="1" noChangeArrowheads="1"/>
        </xdr:cNvSpPr>
      </xdr:nvSpPr>
      <xdr:spPr bwMode="auto">
        <a:xfrm>
          <a:off x="0" y="91706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14" name="AutoShape 890" descr="https://www.soccerstats.com/img/own/sshplogo.png">
          <a:hlinkClick xmlns:r="http://schemas.openxmlformats.org/officeDocument/2006/relationships" r:id="rId445"/>
        </xdr:cNvPr>
        <xdr:cNvSpPr>
          <a:spLocks noChangeAspect="1" noChangeArrowheads="1"/>
        </xdr:cNvSpPr>
      </xdr:nvSpPr>
      <xdr:spPr bwMode="auto">
        <a:xfrm>
          <a:off x="13411200" y="91706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15" name="AutoShape 891" descr="SWEDEN4"/>
        <xdr:cNvSpPr>
          <a:spLocks noChangeAspect="1" noChangeArrowheads="1"/>
        </xdr:cNvSpPr>
      </xdr:nvSpPr>
      <xdr:spPr bwMode="auto">
        <a:xfrm>
          <a:off x="0" y="91881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16" name="AutoShape 892" descr="https://www.soccerstats.com/img/own/sshplogo.png">
          <a:hlinkClick xmlns:r="http://schemas.openxmlformats.org/officeDocument/2006/relationships" r:id="rId446"/>
        </xdr:cNvPr>
        <xdr:cNvSpPr>
          <a:spLocks noChangeAspect="1" noChangeArrowheads="1"/>
        </xdr:cNvSpPr>
      </xdr:nvSpPr>
      <xdr:spPr bwMode="auto">
        <a:xfrm>
          <a:off x="13411200" y="91881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17" name="AutoShape 893" descr="SWEDEN4"/>
        <xdr:cNvSpPr>
          <a:spLocks noChangeAspect="1" noChangeArrowheads="1"/>
        </xdr:cNvSpPr>
      </xdr:nvSpPr>
      <xdr:spPr bwMode="auto">
        <a:xfrm>
          <a:off x="0" y="92057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18" name="AutoShape 894" descr="https://www.soccerstats.com/img/own/sshplogo.png">
          <a:hlinkClick xmlns:r="http://schemas.openxmlformats.org/officeDocument/2006/relationships" r:id="rId447"/>
        </xdr:cNvPr>
        <xdr:cNvSpPr>
          <a:spLocks noChangeAspect="1" noChangeArrowheads="1"/>
        </xdr:cNvSpPr>
      </xdr:nvSpPr>
      <xdr:spPr bwMode="auto">
        <a:xfrm>
          <a:off x="13411200" y="92057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19" name="AutoShape 895" descr="SWEDEN4"/>
        <xdr:cNvSpPr>
          <a:spLocks noChangeAspect="1" noChangeArrowheads="1"/>
        </xdr:cNvSpPr>
      </xdr:nvSpPr>
      <xdr:spPr bwMode="auto">
        <a:xfrm>
          <a:off x="0" y="92232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20" name="AutoShape 896" descr="https://www.soccerstats.com/img/own/sshplogo.png">
          <a:hlinkClick xmlns:r="http://schemas.openxmlformats.org/officeDocument/2006/relationships" r:id="rId448"/>
        </xdr:cNvPr>
        <xdr:cNvSpPr>
          <a:spLocks noChangeAspect="1" noChangeArrowheads="1"/>
        </xdr:cNvSpPr>
      </xdr:nvSpPr>
      <xdr:spPr bwMode="auto">
        <a:xfrm>
          <a:off x="13411200" y="92232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21" name="AutoShape 897" descr="SWEDEN11"/>
        <xdr:cNvSpPr>
          <a:spLocks noChangeAspect="1" noChangeArrowheads="1"/>
        </xdr:cNvSpPr>
      </xdr:nvSpPr>
      <xdr:spPr bwMode="auto">
        <a:xfrm>
          <a:off x="0" y="92407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22" name="AutoShape 898" descr="https://www.soccerstats.com/img/own/sshplogo.png">
          <a:hlinkClick xmlns:r="http://schemas.openxmlformats.org/officeDocument/2006/relationships" r:id="rId449"/>
        </xdr:cNvPr>
        <xdr:cNvSpPr>
          <a:spLocks noChangeAspect="1" noChangeArrowheads="1"/>
        </xdr:cNvSpPr>
      </xdr:nvSpPr>
      <xdr:spPr bwMode="auto">
        <a:xfrm>
          <a:off x="13411200" y="92407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23" name="AutoShape 899" descr="SWEDEN11"/>
        <xdr:cNvSpPr>
          <a:spLocks noChangeAspect="1" noChangeArrowheads="1"/>
        </xdr:cNvSpPr>
      </xdr:nvSpPr>
      <xdr:spPr bwMode="auto">
        <a:xfrm>
          <a:off x="0" y="92583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24" name="AutoShape 900" descr="https://www.soccerstats.com/img/own/sshplogo.png">
          <a:hlinkClick xmlns:r="http://schemas.openxmlformats.org/officeDocument/2006/relationships" r:id="rId450"/>
        </xdr:cNvPr>
        <xdr:cNvSpPr>
          <a:spLocks noChangeAspect="1" noChangeArrowheads="1"/>
        </xdr:cNvSpPr>
      </xdr:nvSpPr>
      <xdr:spPr bwMode="auto">
        <a:xfrm>
          <a:off x="13411200" y="9258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25" name="AutoShape 901" descr="SWEDEN11"/>
        <xdr:cNvSpPr>
          <a:spLocks noChangeAspect="1" noChangeArrowheads="1"/>
        </xdr:cNvSpPr>
      </xdr:nvSpPr>
      <xdr:spPr bwMode="auto">
        <a:xfrm>
          <a:off x="0" y="92758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26" name="AutoShape 902" descr="https://www.soccerstats.com/img/own/sshplogo.png">
          <a:hlinkClick xmlns:r="http://schemas.openxmlformats.org/officeDocument/2006/relationships" r:id="rId451"/>
        </xdr:cNvPr>
        <xdr:cNvSpPr>
          <a:spLocks noChangeAspect="1" noChangeArrowheads="1"/>
        </xdr:cNvSpPr>
      </xdr:nvSpPr>
      <xdr:spPr bwMode="auto">
        <a:xfrm>
          <a:off x="13411200" y="92758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27" name="AutoShape 903" descr="SWEDEN11"/>
        <xdr:cNvSpPr>
          <a:spLocks noChangeAspect="1" noChangeArrowheads="1"/>
        </xdr:cNvSpPr>
      </xdr:nvSpPr>
      <xdr:spPr bwMode="auto">
        <a:xfrm>
          <a:off x="0" y="93009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28" name="AutoShape 904" descr="https://www.soccerstats.com/img/own/sshplogo.png">
          <a:hlinkClick xmlns:r="http://schemas.openxmlformats.org/officeDocument/2006/relationships" r:id="rId452"/>
        </xdr:cNvPr>
        <xdr:cNvSpPr>
          <a:spLocks noChangeAspect="1" noChangeArrowheads="1"/>
        </xdr:cNvSpPr>
      </xdr:nvSpPr>
      <xdr:spPr bwMode="auto">
        <a:xfrm>
          <a:off x="13411200" y="93009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29" name="AutoShape 905" descr="SWEDEN11"/>
        <xdr:cNvSpPr>
          <a:spLocks noChangeAspect="1" noChangeArrowheads="1"/>
        </xdr:cNvSpPr>
      </xdr:nvSpPr>
      <xdr:spPr bwMode="auto">
        <a:xfrm>
          <a:off x="0" y="93261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30" name="AutoShape 906" descr="https://www.soccerstats.com/img/own/sshplogo.png">
          <a:hlinkClick xmlns:r="http://schemas.openxmlformats.org/officeDocument/2006/relationships" r:id="rId453"/>
        </xdr:cNvPr>
        <xdr:cNvSpPr>
          <a:spLocks noChangeAspect="1" noChangeArrowheads="1"/>
        </xdr:cNvSpPr>
      </xdr:nvSpPr>
      <xdr:spPr bwMode="auto">
        <a:xfrm>
          <a:off x="13411200" y="93261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31" name="AutoShape 907" descr="TURKEY"/>
        <xdr:cNvSpPr>
          <a:spLocks noChangeAspect="1" noChangeArrowheads="1"/>
        </xdr:cNvSpPr>
      </xdr:nvSpPr>
      <xdr:spPr bwMode="auto">
        <a:xfrm>
          <a:off x="0" y="93512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32" name="AutoShape 908" descr="https://www.soccerstats.com/img/own/sshplogo.png">
          <a:hlinkClick xmlns:r="http://schemas.openxmlformats.org/officeDocument/2006/relationships" r:id="rId454"/>
        </xdr:cNvPr>
        <xdr:cNvSpPr>
          <a:spLocks noChangeAspect="1" noChangeArrowheads="1"/>
        </xdr:cNvSpPr>
      </xdr:nvSpPr>
      <xdr:spPr bwMode="auto">
        <a:xfrm>
          <a:off x="13411200" y="93512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33" name="AutoShape 909" descr="TURKEY"/>
        <xdr:cNvSpPr>
          <a:spLocks noChangeAspect="1" noChangeArrowheads="1"/>
        </xdr:cNvSpPr>
      </xdr:nvSpPr>
      <xdr:spPr bwMode="auto">
        <a:xfrm>
          <a:off x="0" y="93687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34" name="AutoShape 910" descr="https://www.soccerstats.com/img/own/sshplogo.png">
          <a:hlinkClick xmlns:r="http://schemas.openxmlformats.org/officeDocument/2006/relationships" r:id="rId455"/>
        </xdr:cNvPr>
        <xdr:cNvSpPr>
          <a:spLocks noChangeAspect="1" noChangeArrowheads="1"/>
        </xdr:cNvSpPr>
      </xdr:nvSpPr>
      <xdr:spPr bwMode="auto">
        <a:xfrm>
          <a:off x="13411200" y="93687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35" name="AutoShape 911" descr="TURKEY"/>
        <xdr:cNvSpPr>
          <a:spLocks noChangeAspect="1" noChangeArrowheads="1"/>
        </xdr:cNvSpPr>
      </xdr:nvSpPr>
      <xdr:spPr bwMode="auto">
        <a:xfrm>
          <a:off x="0" y="93863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36" name="AutoShape 912" descr="https://www.soccerstats.com/img/own/sshplogo.png">
          <a:hlinkClick xmlns:r="http://schemas.openxmlformats.org/officeDocument/2006/relationships" r:id="rId456"/>
        </xdr:cNvPr>
        <xdr:cNvSpPr>
          <a:spLocks noChangeAspect="1" noChangeArrowheads="1"/>
        </xdr:cNvSpPr>
      </xdr:nvSpPr>
      <xdr:spPr bwMode="auto">
        <a:xfrm>
          <a:off x="13411200" y="93863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37" name="AutoShape 913" descr="TURKEY"/>
        <xdr:cNvSpPr>
          <a:spLocks noChangeAspect="1" noChangeArrowheads="1"/>
        </xdr:cNvSpPr>
      </xdr:nvSpPr>
      <xdr:spPr bwMode="auto">
        <a:xfrm>
          <a:off x="0" y="94038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38" name="AutoShape 914" descr="https://www.soccerstats.com/img/own/sshplogo.png">
          <a:hlinkClick xmlns:r="http://schemas.openxmlformats.org/officeDocument/2006/relationships" r:id="rId457"/>
        </xdr:cNvPr>
        <xdr:cNvSpPr>
          <a:spLocks noChangeAspect="1" noChangeArrowheads="1"/>
        </xdr:cNvSpPr>
      </xdr:nvSpPr>
      <xdr:spPr bwMode="auto">
        <a:xfrm>
          <a:off x="13411200" y="94038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39" name="AutoShape 915" descr="TURKEY2"/>
        <xdr:cNvSpPr>
          <a:spLocks noChangeAspect="1" noChangeArrowheads="1"/>
        </xdr:cNvSpPr>
      </xdr:nvSpPr>
      <xdr:spPr bwMode="auto">
        <a:xfrm>
          <a:off x="0" y="94213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40" name="AutoShape 916" descr="https://www.soccerstats.com/img/own/sshplogo.png">
          <a:hlinkClick xmlns:r="http://schemas.openxmlformats.org/officeDocument/2006/relationships" r:id="rId458"/>
        </xdr:cNvPr>
        <xdr:cNvSpPr>
          <a:spLocks noChangeAspect="1" noChangeArrowheads="1"/>
        </xdr:cNvSpPr>
      </xdr:nvSpPr>
      <xdr:spPr bwMode="auto">
        <a:xfrm>
          <a:off x="13411200" y="94213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41" name="AutoShape 917" descr="TURKEY2"/>
        <xdr:cNvSpPr>
          <a:spLocks noChangeAspect="1" noChangeArrowheads="1"/>
        </xdr:cNvSpPr>
      </xdr:nvSpPr>
      <xdr:spPr bwMode="auto">
        <a:xfrm>
          <a:off x="0" y="94465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42" name="AutoShape 918" descr="https://www.soccerstats.com/img/own/sshplogo.png">
          <a:hlinkClick xmlns:r="http://schemas.openxmlformats.org/officeDocument/2006/relationships" r:id="rId459"/>
        </xdr:cNvPr>
        <xdr:cNvSpPr>
          <a:spLocks noChangeAspect="1" noChangeArrowheads="1"/>
        </xdr:cNvSpPr>
      </xdr:nvSpPr>
      <xdr:spPr bwMode="auto">
        <a:xfrm>
          <a:off x="13411200" y="94465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43" name="AutoShape 919" descr="TURKEY2"/>
        <xdr:cNvSpPr>
          <a:spLocks noChangeAspect="1" noChangeArrowheads="1"/>
        </xdr:cNvSpPr>
      </xdr:nvSpPr>
      <xdr:spPr bwMode="auto">
        <a:xfrm>
          <a:off x="0" y="94640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44" name="AutoShape 920" descr="https://www.soccerstats.com/img/own/sshplogo.png">
          <a:hlinkClick xmlns:r="http://schemas.openxmlformats.org/officeDocument/2006/relationships" r:id="rId460"/>
        </xdr:cNvPr>
        <xdr:cNvSpPr>
          <a:spLocks noChangeAspect="1" noChangeArrowheads="1"/>
        </xdr:cNvSpPr>
      </xdr:nvSpPr>
      <xdr:spPr bwMode="auto">
        <a:xfrm>
          <a:off x="13411200" y="94640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45" name="AutoShape 921" descr="TURKEY2"/>
        <xdr:cNvSpPr>
          <a:spLocks noChangeAspect="1" noChangeArrowheads="1"/>
        </xdr:cNvSpPr>
      </xdr:nvSpPr>
      <xdr:spPr bwMode="auto">
        <a:xfrm>
          <a:off x="0" y="94815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46" name="AutoShape 922" descr="https://www.soccerstats.com/img/own/sshplogo.png">
          <a:hlinkClick xmlns:r="http://schemas.openxmlformats.org/officeDocument/2006/relationships" r:id="rId461"/>
        </xdr:cNvPr>
        <xdr:cNvSpPr>
          <a:spLocks noChangeAspect="1" noChangeArrowheads="1"/>
        </xdr:cNvSpPr>
      </xdr:nvSpPr>
      <xdr:spPr bwMode="auto">
        <a:xfrm>
          <a:off x="13411200" y="94815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47" name="AutoShape 923" descr="UKRAINE"/>
        <xdr:cNvSpPr>
          <a:spLocks noChangeAspect="1" noChangeArrowheads="1"/>
        </xdr:cNvSpPr>
      </xdr:nvSpPr>
      <xdr:spPr bwMode="auto">
        <a:xfrm>
          <a:off x="0" y="94990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48" name="AutoShape 924" descr="https://www.soccerstats.com/img/own/sshplogo.png">
          <a:hlinkClick xmlns:r="http://schemas.openxmlformats.org/officeDocument/2006/relationships" r:id="rId462"/>
        </xdr:cNvPr>
        <xdr:cNvSpPr>
          <a:spLocks noChangeAspect="1" noChangeArrowheads="1"/>
        </xdr:cNvSpPr>
      </xdr:nvSpPr>
      <xdr:spPr bwMode="auto">
        <a:xfrm>
          <a:off x="13411200" y="94990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49" name="AutoShape 925" descr="UKRAINE"/>
        <xdr:cNvSpPr>
          <a:spLocks noChangeAspect="1" noChangeArrowheads="1"/>
        </xdr:cNvSpPr>
      </xdr:nvSpPr>
      <xdr:spPr bwMode="auto">
        <a:xfrm>
          <a:off x="0" y="95166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50" name="AutoShape 926" descr="https://www.soccerstats.com/img/own/sshplogo.png">
          <a:hlinkClick xmlns:r="http://schemas.openxmlformats.org/officeDocument/2006/relationships" r:id="rId463"/>
        </xdr:cNvPr>
        <xdr:cNvSpPr>
          <a:spLocks noChangeAspect="1" noChangeArrowheads="1"/>
        </xdr:cNvSpPr>
      </xdr:nvSpPr>
      <xdr:spPr bwMode="auto">
        <a:xfrm>
          <a:off x="13411200" y="95166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51" name="AutoShape 927" descr="UKRAINE"/>
        <xdr:cNvSpPr>
          <a:spLocks noChangeAspect="1" noChangeArrowheads="1"/>
        </xdr:cNvSpPr>
      </xdr:nvSpPr>
      <xdr:spPr bwMode="auto">
        <a:xfrm>
          <a:off x="0" y="95341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52" name="AutoShape 928" descr="https://www.soccerstats.com/img/own/sshplogo.png">
          <a:hlinkClick xmlns:r="http://schemas.openxmlformats.org/officeDocument/2006/relationships" r:id="rId464"/>
        </xdr:cNvPr>
        <xdr:cNvSpPr>
          <a:spLocks noChangeAspect="1" noChangeArrowheads="1"/>
        </xdr:cNvSpPr>
      </xdr:nvSpPr>
      <xdr:spPr bwMode="auto">
        <a:xfrm>
          <a:off x="13411200" y="95341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53" name="AutoShape 929" descr="URUGUAY3"/>
        <xdr:cNvSpPr>
          <a:spLocks noChangeAspect="1" noChangeArrowheads="1"/>
        </xdr:cNvSpPr>
      </xdr:nvSpPr>
      <xdr:spPr bwMode="auto">
        <a:xfrm>
          <a:off x="0" y="95516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54" name="AutoShape 930" descr="https://www.soccerstats.com/img/own/sshplogo.png">
          <a:hlinkClick xmlns:r="http://schemas.openxmlformats.org/officeDocument/2006/relationships" r:id="rId465"/>
        </xdr:cNvPr>
        <xdr:cNvSpPr>
          <a:spLocks noChangeAspect="1" noChangeArrowheads="1"/>
        </xdr:cNvSpPr>
      </xdr:nvSpPr>
      <xdr:spPr bwMode="auto">
        <a:xfrm>
          <a:off x="13411200" y="95516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55" name="AutoShape 931" descr="URUGUAY3"/>
        <xdr:cNvSpPr>
          <a:spLocks noChangeAspect="1" noChangeArrowheads="1"/>
        </xdr:cNvSpPr>
      </xdr:nvSpPr>
      <xdr:spPr bwMode="auto">
        <a:xfrm>
          <a:off x="0" y="95768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56" name="AutoShape 932" descr="https://www.soccerstats.com/img/own/sshplogo.png">
          <a:hlinkClick xmlns:r="http://schemas.openxmlformats.org/officeDocument/2006/relationships" r:id="rId466"/>
        </xdr:cNvPr>
        <xdr:cNvSpPr>
          <a:spLocks noChangeAspect="1" noChangeArrowheads="1"/>
        </xdr:cNvSpPr>
      </xdr:nvSpPr>
      <xdr:spPr bwMode="auto">
        <a:xfrm>
          <a:off x="13411200" y="95768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57" name="AutoShape 933" descr="URUGUAY3"/>
        <xdr:cNvSpPr>
          <a:spLocks noChangeAspect="1" noChangeArrowheads="1"/>
        </xdr:cNvSpPr>
      </xdr:nvSpPr>
      <xdr:spPr bwMode="auto">
        <a:xfrm>
          <a:off x="0" y="95943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58" name="AutoShape 934" descr="https://www.soccerstats.com/img/own/sshplogo.png">
          <a:hlinkClick xmlns:r="http://schemas.openxmlformats.org/officeDocument/2006/relationships" r:id="rId467"/>
        </xdr:cNvPr>
        <xdr:cNvSpPr>
          <a:spLocks noChangeAspect="1" noChangeArrowheads="1"/>
        </xdr:cNvSpPr>
      </xdr:nvSpPr>
      <xdr:spPr bwMode="auto">
        <a:xfrm>
          <a:off x="13411200" y="95943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59" name="AutoShape 935" descr="USA"/>
        <xdr:cNvSpPr>
          <a:spLocks noChangeAspect="1" noChangeArrowheads="1"/>
        </xdr:cNvSpPr>
      </xdr:nvSpPr>
      <xdr:spPr bwMode="auto">
        <a:xfrm>
          <a:off x="0" y="96118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60" name="AutoShape 936" descr="https://www.soccerstats.com/img/own/sshplogo.png">
          <a:hlinkClick xmlns:r="http://schemas.openxmlformats.org/officeDocument/2006/relationships" r:id="rId468"/>
        </xdr:cNvPr>
        <xdr:cNvSpPr>
          <a:spLocks noChangeAspect="1" noChangeArrowheads="1"/>
        </xdr:cNvSpPr>
      </xdr:nvSpPr>
      <xdr:spPr bwMode="auto">
        <a:xfrm>
          <a:off x="13411200" y="96118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61" name="AutoShape 937" descr="USA"/>
        <xdr:cNvSpPr>
          <a:spLocks noChangeAspect="1" noChangeArrowheads="1"/>
        </xdr:cNvSpPr>
      </xdr:nvSpPr>
      <xdr:spPr bwMode="auto">
        <a:xfrm>
          <a:off x="0" y="96293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62" name="AutoShape 938" descr="https://www.soccerstats.com/img/own/sshplogo.png">
          <a:hlinkClick xmlns:r="http://schemas.openxmlformats.org/officeDocument/2006/relationships" r:id="rId469"/>
        </xdr:cNvPr>
        <xdr:cNvSpPr>
          <a:spLocks noChangeAspect="1" noChangeArrowheads="1"/>
        </xdr:cNvSpPr>
      </xdr:nvSpPr>
      <xdr:spPr bwMode="auto">
        <a:xfrm>
          <a:off x="13411200" y="96293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63" name="AutoShape 939" descr="USA"/>
        <xdr:cNvSpPr>
          <a:spLocks noChangeAspect="1" noChangeArrowheads="1"/>
        </xdr:cNvSpPr>
      </xdr:nvSpPr>
      <xdr:spPr bwMode="auto">
        <a:xfrm>
          <a:off x="0" y="96469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64" name="AutoShape 940" descr="https://www.soccerstats.com/img/own/sshplogo.png">
          <a:hlinkClick xmlns:r="http://schemas.openxmlformats.org/officeDocument/2006/relationships" r:id="rId470"/>
        </xdr:cNvPr>
        <xdr:cNvSpPr>
          <a:spLocks noChangeAspect="1" noChangeArrowheads="1"/>
        </xdr:cNvSpPr>
      </xdr:nvSpPr>
      <xdr:spPr bwMode="auto">
        <a:xfrm>
          <a:off x="13411200" y="9646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65" name="AutoShape 941" descr="USA"/>
        <xdr:cNvSpPr>
          <a:spLocks noChangeAspect="1" noChangeArrowheads="1"/>
        </xdr:cNvSpPr>
      </xdr:nvSpPr>
      <xdr:spPr bwMode="auto">
        <a:xfrm>
          <a:off x="0" y="96720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66" name="AutoShape 942" descr="https://www.soccerstats.com/img/own/sshplogo.png">
          <a:hlinkClick xmlns:r="http://schemas.openxmlformats.org/officeDocument/2006/relationships" r:id="rId471"/>
        </xdr:cNvPr>
        <xdr:cNvSpPr>
          <a:spLocks noChangeAspect="1" noChangeArrowheads="1"/>
        </xdr:cNvSpPr>
      </xdr:nvSpPr>
      <xdr:spPr bwMode="auto">
        <a:xfrm>
          <a:off x="13411200" y="96720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67" name="AutoShape 943" descr="USA"/>
        <xdr:cNvSpPr>
          <a:spLocks noChangeAspect="1" noChangeArrowheads="1"/>
        </xdr:cNvSpPr>
      </xdr:nvSpPr>
      <xdr:spPr bwMode="auto">
        <a:xfrm>
          <a:off x="0" y="96895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68" name="AutoShape 944" descr="https://www.soccerstats.com/img/own/sshplogo.png">
          <a:hlinkClick xmlns:r="http://schemas.openxmlformats.org/officeDocument/2006/relationships" r:id="rId472"/>
        </xdr:cNvPr>
        <xdr:cNvSpPr>
          <a:spLocks noChangeAspect="1" noChangeArrowheads="1"/>
        </xdr:cNvSpPr>
      </xdr:nvSpPr>
      <xdr:spPr bwMode="auto">
        <a:xfrm>
          <a:off x="13411200" y="96895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69" name="AutoShape 945" descr="USA2"/>
        <xdr:cNvSpPr>
          <a:spLocks noChangeAspect="1" noChangeArrowheads="1"/>
        </xdr:cNvSpPr>
      </xdr:nvSpPr>
      <xdr:spPr bwMode="auto">
        <a:xfrm>
          <a:off x="0" y="97071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70" name="AutoShape 946" descr="https://www.soccerstats.com/img/own/sshplogo.png">
          <a:hlinkClick xmlns:r="http://schemas.openxmlformats.org/officeDocument/2006/relationships" r:id="rId473"/>
        </xdr:cNvPr>
        <xdr:cNvSpPr>
          <a:spLocks noChangeAspect="1" noChangeArrowheads="1"/>
        </xdr:cNvSpPr>
      </xdr:nvSpPr>
      <xdr:spPr bwMode="auto">
        <a:xfrm>
          <a:off x="13411200" y="97071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71" name="AutoShape 947" descr="USA2"/>
        <xdr:cNvSpPr>
          <a:spLocks noChangeAspect="1" noChangeArrowheads="1"/>
        </xdr:cNvSpPr>
      </xdr:nvSpPr>
      <xdr:spPr bwMode="auto">
        <a:xfrm>
          <a:off x="0" y="97246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72" name="AutoShape 948" descr="https://www.soccerstats.com/img/own/sshplogo.png">
          <a:hlinkClick xmlns:r="http://schemas.openxmlformats.org/officeDocument/2006/relationships" r:id="rId474"/>
        </xdr:cNvPr>
        <xdr:cNvSpPr>
          <a:spLocks noChangeAspect="1" noChangeArrowheads="1"/>
        </xdr:cNvSpPr>
      </xdr:nvSpPr>
      <xdr:spPr bwMode="auto">
        <a:xfrm>
          <a:off x="13411200" y="97246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73" name="AutoShape 949" descr="USA2"/>
        <xdr:cNvSpPr>
          <a:spLocks noChangeAspect="1" noChangeArrowheads="1"/>
        </xdr:cNvSpPr>
      </xdr:nvSpPr>
      <xdr:spPr bwMode="auto">
        <a:xfrm>
          <a:off x="0" y="97421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74" name="AutoShape 950" descr="https://www.soccerstats.com/img/own/sshplogo.png">
          <a:hlinkClick xmlns:r="http://schemas.openxmlformats.org/officeDocument/2006/relationships" r:id="rId475"/>
        </xdr:cNvPr>
        <xdr:cNvSpPr>
          <a:spLocks noChangeAspect="1" noChangeArrowheads="1"/>
        </xdr:cNvSpPr>
      </xdr:nvSpPr>
      <xdr:spPr bwMode="auto">
        <a:xfrm>
          <a:off x="13411200" y="9742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75" name="AutoShape 951" descr="USA2"/>
        <xdr:cNvSpPr>
          <a:spLocks noChangeAspect="1" noChangeArrowheads="1"/>
        </xdr:cNvSpPr>
      </xdr:nvSpPr>
      <xdr:spPr bwMode="auto">
        <a:xfrm>
          <a:off x="0" y="97596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76" name="AutoShape 952" descr="https://www.soccerstats.com/img/own/sshplogo.png">
          <a:hlinkClick xmlns:r="http://schemas.openxmlformats.org/officeDocument/2006/relationships" r:id="rId476"/>
        </xdr:cNvPr>
        <xdr:cNvSpPr>
          <a:spLocks noChangeAspect="1" noChangeArrowheads="1"/>
        </xdr:cNvSpPr>
      </xdr:nvSpPr>
      <xdr:spPr bwMode="auto">
        <a:xfrm>
          <a:off x="13411200" y="97596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77" name="AutoShape 953" descr="USA2"/>
        <xdr:cNvSpPr>
          <a:spLocks noChangeAspect="1" noChangeArrowheads="1"/>
        </xdr:cNvSpPr>
      </xdr:nvSpPr>
      <xdr:spPr bwMode="auto">
        <a:xfrm>
          <a:off x="0" y="97772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78" name="AutoShape 954" descr="https://www.soccerstats.com/img/own/sshplogo.png">
          <a:hlinkClick xmlns:r="http://schemas.openxmlformats.org/officeDocument/2006/relationships" r:id="rId477"/>
        </xdr:cNvPr>
        <xdr:cNvSpPr>
          <a:spLocks noChangeAspect="1" noChangeArrowheads="1"/>
        </xdr:cNvSpPr>
      </xdr:nvSpPr>
      <xdr:spPr bwMode="auto">
        <a:xfrm>
          <a:off x="13411200" y="97772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79" name="AutoShape 955" descr="USA3"/>
        <xdr:cNvSpPr>
          <a:spLocks noChangeAspect="1" noChangeArrowheads="1"/>
        </xdr:cNvSpPr>
      </xdr:nvSpPr>
      <xdr:spPr bwMode="auto">
        <a:xfrm>
          <a:off x="0" y="97947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80" name="AutoShape 956" descr="https://www.soccerstats.com/img/own/sshplogo.png">
          <a:hlinkClick xmlns:r="http://schemas.openxmlformats.org/officeDocument/2006/relationships" r:id="rId478"/>
        </xdr:cNvPr>
        <xdr:cNvSpPr>
          <a:spLocks noChangeAspect="1" noChangeArrowheads="1"/>
        </xdr:cNvSpPr>
      </xdr:nvSpPr>
      <xdr:spPr bwMode="auto">
        <a:xfrm>
          <a:off x="13411200" y="97947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81" name="AutoShape 957" descr="USA3"/>
        <xdr:cNvSpPr>
          <a:spLocks noChangeAspect="1" noChangeArrowheads="1"/>
        </xdr:cNvSpPr>
      </xdr:nvSpPr>
      <xdr:spPr bwMode="auto">
        <a:xfrm>
          <a:off x="0" y="98122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82" name="AutoShape 958" descr="https://www.soccerstats.com/img/own/sshplogo.png">
          <a:hlinkClick xmlns:r="http://schemas.openxmlformats.org/officeDocument/2006/relationships" r:id="rId479"/>
        </xdr:cNvPr>
        <xdr:cNvSpPr>
          <a:spLocks noChangeAspect="1" noChangeArrowheads="1"/>
        </xdr:cNvSpPr>
      </xdr:nvSpPr>
      <xdr:spPr bwMode="auto">
        <a:xfrm>
          <a:off x="13411200" y="98122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83" name="AutoShape 959" descr="USA3"/>
        <xdr:cNvSpPr>
          <a:spLocks noChangeAspect="1" noChangeArrowheads="1"/>
        </xdr:cNvSpPr>
      </xdr:nvSpPr>
      <xdr:spPr bwMode="auto">
        <a:xfrm>
          <a:off x="0" y="98298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84" name="AutoShape 960" descr="https://www.soccerstats.com/img/own/sshplogo.png">
          <a:hlinkClick xmlns:r="http://schemas.openxmlformats.org/officeDocument/2006/relationships" r:id="rId480"/>
        </xdr:cNvPr>
        <xdr:cNvSpPr>
          <a:spLocks noChangeAspect="1" noChangeArrowheads="1"/>
        </xdr:cNvSpPr>
      </xdr:nvSpPr>
      <xdr:spPr bwMode="auto">
        <a:xfrm>
          <a:off x="13411200" y="9829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85" name="AutoShape 961" descr="USA3"/>
        <xdr:cNvSpPr>
          <a:spLocks noChangeAspect="1" noChangeArrowheads="1"/>
        </xdr:cNvSpPr>
      </xdr:nvSpPr>
      <xdr:spPr bwMode="auto">
        <a:xfrm>
          <a:off x="0" y="98473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86" name="AutoShape 962" descr="https://www.soccerstats.com/img/own/sshplogo.png">
          <a:hlinkClick xmlns:r="http://schemas.openxmlformats.org/officeDocument/2006/relationships" r:id="rId481"/>
        </xdr:cNvPr>
        <xdr:cNvSpPr>
          <a:spLocks noChangeAspect="1" noChangeArrowheads="1"/>
        </xdr:cNvSpPr>
      </xdr:nvSpPr>
      <xdr:spPr bwMode="auto">
        <a:xfrm>
          <a:off x="13411200" y="98473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87" name="AutoShape 963" descr="USA3"/>
        <xdr:cNvSpPr>
          <a:spLocks noChangeAspect="1" noChangeArrowheads="1"/>
        </xdr:cNvSpPr>
      </xdr:nvSpPr>
      <xdr:spPr bwMode="auto">
        <a:xfrm>
          <a:off x="0" y="98724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88" name="AutoShape 964" descr="https://www.soccerstats.com/img/own/sshplogo.png">
          <a:hlinkClick xmlns:r="http://schemas.openxmlformats.org/officeDocument/2006/relationships" r:id="rId482"/>
        </xdr:cNvPr>
        <xdr:cNvSpPr>
          <a:spLocks noChangeAspect="1" noChangeArrowheads="1"/>
        </xdr:cNvSpPr>
      </xdr:nvSpPr>
      <xdr:spPr bwMode="auto">
        <a:xfrm>
          <a:off x="13411200" y="98724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89" name="AutoShape 965" descr="USA6"/>
        <xdr:cNvSpPr>
          <a:spLocks noChangeAspect="1" noChangeArrowheads="1"/>
        </xdr:cNvSpPr>
      </xdr:nvSpPr>
      <xdr:spPr bwMode="auto">
        <a:xfrm>
          <a:off x="0" y="98976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90" name="AutoShape 966" descr="https://www.soccerstats.com/img/own/sshplogo.png">
          <a:hlinkClick xmlns:r="http://schemas.openxmlformats.org/officeDocument/2006/relationships" r:id="rId483"/>
        </xdr:cNvPr>
        <xdr:cNvSpPr>
          <a:spLocks noChangeAspect="1" noChangeArrowheads="1"/>
        </xdr:cNvSpPr>
      </xdr:nvSpPr>
      <xdr:spPr bwMode="auto">
        <a:xfrm>
          <a:off x="13411200" y="98976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91" name="AutoShape 967" descr="USA6"/>
        <xdr:cNvSpPr>
          <a:spLocks noChangeAspect="1" noChangeArrowheads="1"/>
        </xdr:cNvSpPr>
      </xdr:nvSpPr>
      <xdr:spPr bwMode="auto">
        <a:xfrm>
          <a:off x="0" y="99227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92" name="AutoShape 968" descr="https://www.soccerstats.com/img/own/sshplogo.png">
          <a:hlinkClick xmlns:r="http://schemas.openxmlformats.org/officeDocument/2006/relationships" r:id="rId484"/>
        </xdr:cNvPr>
        <xdr:cNvSpPr>
          <a:spLocks noChangeAspect="1" noChangeArrowheads="1"/>
        </xdr:cNvSpPr>
      </xdr:nvSpPr>
      <xdr:spPr bwMode="auto">
        <a:xfrm>
          <a:off x="13411200" y="99227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93" name="AutoShape 969" descr="USA6"/>
        <xdr:cNvSpPr>
          <a:spLocks noChangeAspect="1" noChangeArrowheads="1"/>
        </xdr:cNvSpPr>
      </xdr:nvSpPr>
      <xdr:spPr bwMode="auto">
        <a:xfrm>
          <a:off x="0" y="99479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94" name="AutoShape 970" descr="https://www.soccerstats.com/img/own/sshplogo.png">
          <a:hlinkClick xmlns:r="http://schemas.openxmlformats.org/officeDocument/2006/relationships" r:id="rId485"/>
        </xdr:cNvPr>
        <xdr:cNvSpPr>
          <a:spLocks noChangeAspect="1" noChangeArrowheads="1"/>
        </xdr:cNvSpPr>
      </xdr:nvSpPr>
      <xdr:spPr bwMode="auto">
        <a:xfrm>
          <a:off x="13411200" y="99479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95" name="AutoShape 971" descr="USA6"/>
        <xdr:cNvSpPr>
          <a:spLocks noChangeAspect="1" noChangeArrowheads="1"/>
        </xdr:cNvSpPr>
      </xdr:nvSpPr>
      <xdr:spPr bwMode="auto">
        <a:xfrm>
          <a:off x="0" y="99730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96" name="AutoShape 972" descr="https://www.soccerstats.com/img/own/sshplogo.png">
          <a:hlinkClick xmlns:r="http://schemas.openxmlformats.org/officeDocument/2006/relationships" r:id="rId486"/>
        </xdr:cNvPr>
        <xdr:cNvSpPr>
          <a:spLocks noChangeAspect="1" noChangeArrowheads="1"/>
        </xdr:cNvSpPr>
      </xdr:nvSpPr>
      <xdr:spPr bwMode="auto">
        <a:xfrm>
          <a:off x="13411200" y="99730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97" name="AutoShape 973" descr="USA6"/>
        <xdr:cNvSpPr>
          <a:spLocks noChangeAspect="1" noChangeArrowheads="1"/>
        </xdr:cNvSpPr>
      </xdr:nvSpPr>
      <xdr:spPr bwMode="auto">
        <a:xfrm>
          <a:off x="0" y="99982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98" name="AutoShape 974" descr="https://www.soccerstats.com/img/own/sshplogo.png">
          <a:hlinkClick xmlns:r="http://schemas.openxmlformats.org/officeDocument/2006/relationships" r:id="rId487"/>
        </xdr:cNvPr>
        <xdr:cNvSpPr>
          <a:spLocks noChangeAspect="1" noChangeArrowheads="1"/>
        </xdr:cNvSpPr>
      </xdr:nvSpPr>
      <xdr:spPr bwMode="auto">
        <a:xfrm>
          <a:off x="13411200" y="99982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99" name="AutoShape 975" descr="USA7"/>
        <xdr:cNvSpPr>
          <a:spLocks noChangeAspect="1" noChangeArrowheads="1"/>
        </xdr:cNvSpPr>
      </xdr:nvSpPr>
      <xdr:spPr bwMode="auto">
        <a:xfrm>
          <a:off x="0" y="100233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2000" name="AutoShape 976" descr="https://www.soccerstats.com/img/own/sshplogo.png">
          <a:hlinkClick xmlns:r="http://schemas.openxmlformats.org/officeDocument/2006/relationships" r:id="rId488"/>
        </xdr:cNvPr>
        <xdr:cNvSpPr>
          <a:spLocks noChangeAspect="1" noChangeArrowheads="1"/>
        </xdr:cNvSpPr>
      </xdr:nvSpPr>
      <xdr:spPr bwMode="auto">
        <a:xfrm>
          <a:off x="13411200" y="100233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2001" name="AutoShape 977" descr="USA7"/>
        <xdr:cNvSpPr>
          <a:spLocks noChangeAspect="1" noChangeArrowheads="1"/>
        </xdr:cNvSpPr>
      </xdr:nvSpPr>
      <xdr:spPr bwMode="auto">
        <a:xfrm>
          <a:off x="0" y="100408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2002" name="AutoShape 978" descr="https://www.soccerstats.com/img/own/sshplogo.png">
          <a:hlinkClick xmlns:r="http://schemas.openxmlformats.org/officeDocument/2006/relationships" r:id="rId489"/>
        </xdr:cNvPr>
        <xdr:cNvSpPr>
          <a:spLocks noChangeAspect="1" noChangeArrowheads="1"/>
        </xdr:cNvSpPr>
      </xdr:nvSpPr>
      <xdr:spPr bwMode="auto">
        <a:xfrm>
          <a:off x="13411200" y="100408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2003" name="AutoShape 979" descr="USA7"/>
        <xdr:cNvSpPr>
          <a:spLocks noChangeAspect="1" noChangeArrowheads="1"/>
        </xdr:cNvSpPr>
      </xdr:nvSpPr>
      <xdr:spPr bwMode="auto">
        <a:xfrm>
          <a:off x="0" y="100584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2004" name="AutoShape 980" descr="https://www.soccerstats.com/img/own/sshplogo.png">
          <a:hlinkClick xmlns:r="http://schemas.openxmlformats.org/officeDocument/2006/relationships" r:id="rId490"/>
        </xdr:cNvPr>
        <xdr:cNvSpPr>
          <a:spLocks noChangeAspect="1" noChangeArrowheads="1"/>
        </xdr:cNvSpPr>
      </xdr:nvSpPr>
      <xdr:spPr bwMode="auto">
        <a:xfrm>
          <a:off x="13411200" y="10058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2005" name="AutoShape 981" descr="WALES"/>
        <xdr:cNvSpPr>
          <a:spLocks noChangeAspect="1" noChangeArrowheads="1"/>
        </xdr:cNvSpPr>
      </xdr:nvSpPr>
      <xdr:spPr bwMode="auto">
        <a:xfrm>
          <a:off x="0" y="100835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2006" name="AutoShape 982" descr="https://www.soccerstats.com/img/own/sshplogo.png">
          <a:hlinkClick xmlns:r="http://schemas.openxmlformats.org/officeDocument/2006/relationships" r:id="rId491"/>
        </xdr:cNvPr>
        <xdr:cNvSpPr>
          <a:spLocks noChangeAspect="1" noChangeArrowheads="1"/>
        </xdr:cNvSpPr>
      </xdr:nvSpPr>
      <xdr:spPr bwMode="auto">
        <a:xfrm>
          <a:off x="13411200" y="100835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2007" name="AutoShape 983" descr="WALES"/>
        <xdr:cNvSpPr>
          <a:spLocks noChangeAspect="1" noChangeArrowheads="1"/>
        </xdr:cNvSpPr>
      </xdr:nvSpPr>
      <xdr:spPr bwMode="auto">
        <a:xfrm>
          <a:off x="0" y="101010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2008" name="AutoShape 984" descr="https://www.soccerstats.com/img/own/sshplogo.png">
          <a:hlinkClick xmlns:r="http://schemas.openxmlformats.org/officeDocument/2006/relationships" r:id="rId492"/>
        </xdr:cNvPr>
        <xdr:cNvSpPr>
          <a:spLocks noChangeAspect="1" noChangeArrowheads="1"/>
        </xdr:cNvSpPr>
      </xdr:nvSpPr>
      <xdr:spPr bwMode="auto">
        <a:xfrm>
          <a:off x="13411200" y="101010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009" name="AutoShape 985" descr="ARGENTINA2"/>
        <xdr:cNvSpPr>
          <a:spLocks noChangeAspect="1" noChangeArrowheads="1"/>
        </xdr:cNvSpPr>
      </xdr:nvSpPr>
      <xdr:spPr bwMode="auto">
        <a:xfrm>
          <a:off x="0" y="175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010" name="AutoShape 986" descr="https://www.soccerstats.com/img/own/sshplogo.png">
          <a:hlinkClick xmlns:r="http://schemas.openxmlformats.org/officeDocument/2006/relationships" r:id="rId493"/>
        </xdr:cNvPr>
        <xdr:cNvSpPr>
          <a:spLocks noChangeAspect="1" noChangeArrowheads="1"/>
        </xdr:cNvSpPr>
      </xdr:nvSpPr>
      <xdr:spPr bwMode="auto">
        <a:xfrm>
          <a:off x="13411200" y="175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152400</xdr:colOff>
      <xdr:row>2</xdr:row>
      <xdr:rowOff>106680</xdr:rowOff>
    </xdr:to>
    <xdr:sp macro="" textlink="">
      <xdr:nvSpPr>
        <xdr:cNvPr id="2011" name="AutoShape 987" descr="AUSTRALIA7"/>
        <xdr:cNvSpPr>
          <a:spLocks noChangeAspect="1" noChangeArrowheads="1"/>
        </xdr:cNvSpPr>
      </xdr:nvSpPr>
      <xdr:spPr bwMode="auto">
        <a:xfrm>
          <a:off x="0" y="426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</xdr:row>
      <xdr:rowOff>0</xdr:rowOff>
    </xdr:from>
    <xdr:to>
      <xdr:col>22</xdr:col>
      <xdr:colOff>304800</xdr:colOff>
      <xdr:row>3</xdr:row>
      <xdr:rowOff>129540</xdr:rowOff>
    </xdr:to>
    <xdr:sp macro="" textlink="">
      <xdr:nvSpPr>
        <xdr:cNvPr id="2012" name="AutoShape 988" descr="https://www.soccerstats.com/img/own/sshplogo.png">
          <a:hlinkClick xmlns:r="http://schemas.openxmlformats.org/officeDocument/2006/relationships" r:id="rId494"/>
        </xdr:cNvPr>
        <xdr:cNvSpPr>
          <a:spLocks noChangeAspect="1" noChangeArrowheads="1"/>
        </xdr:cNvSpPr>
      </xdr:nvSpPr>
      <xdr:spPr bwMode="auto">
        <a:xfrm>
          <a:off x="13411200" y="426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152400</xdr:colOff>
      <xdr:row>3</xdr:row>
      <xdr:rowOff>106680</xdr:rowOff>
    </xdr:to>
    <xdr:sp macro="" textlink="">
      <xdr:nvSpPr>
        <xdr:cNvPr id="2013" name="AutoShape 989" descr="AUSTRALIA10"/>
        <xdr:cNvSpPr>
          <a:spLocks noChangeAspect="1" noChangeArrowheads="1"/>
        </xdr:cNvSpPr>
      </xdr:nvSpPr>
      <xdr:spPr bwMode="auto">
        <a:xfrm>
          <a:off x="0" y="678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</xdr:row>
      <xdr:rowOff>0</xdr:rowOff>
    </xdr:from>
    <xdr:to>
      <xdr:col>22</xdr:col>
      <xdr:colOff>304800</xdr:colOff>
      <xdr:row>4</xdr:row>
      <xdr:rowOff>53340</xdr:rowOff>
    </xdr:to>
    <xdr:sp macro="" textlink="">
      <xdr:nvSpPr>
        <xdr:cNvPr id="2014" name="AutoShape 990" descr="https://www.soccerstats.com/img/own/sshplogo.png">
          <a:hlinkClick xmlns:r="http://schemas.openxmlformats.org/officeDocument/2006/relationships" r:id="rId495"/>
        </xdr:cNvPr>
        <xdr:cNvSpPr>
          <a:spLocks noChangeAspect="1" noChangeArrowheads="1"/>
        </xdr:cNvSpPr>
      </xdr:nvSpPr>
      <xdr:spPr bwMode="auto">
        <a:xfrm>
          <a:off x="13411200" y="678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152400</xdr:colOff>
      <xdr:row>4</xdr:row>
      <xdr:rowOff>106680</xdr:rowOff>
    </xdr:to>
    <xdr:sp macro="" textlink="">
      <xdr:nvSpPr>
        <xdr:cNvPr id="2015" name="AutoShape 991" descr="CHILE2"/>
        <xdr:cNvSpPr>
          <a:spLocks noChangeAspect="1" noChangeArrowheads="1"/>
        </xdr:cNvSpPr>
      </xdr:nvSpPr>
      <xdr:spPr bwMode="auto">
        <a:xfrm>
          <a:off x="0" y="929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</xdr:row>
      <xdr:rowOff>0</xdr:rowOff>
    </xdr:from>
    <xdr:to>
      <xdr:col>22</xdr:col>
      <xdr:colOff>304800</xdr:colOff>
      <xdr:row>5</xdr:row>
      <xdr:rowOff>53340</xdr:rowOff>
    </xdr:to>
    <xdr:sp macro="" textlink="">
      <xdr:nvSpPr>
        <xdr:cNvPr id="2016" name="AutoShape 992" descr="https://www.soccerstats.com/img/own/sshplogo.png">
          <a:hlinkClick xmlns:r="http://schemas.openxmlformats.org/officeDocument/2006/relationships" r:id="rId496"/>
        </xdr:cNvPr>
        <xdr:cNvSpPr>
          <a:spLocks noChangeAspect="1" noChangeArrowheads="1"/>
        </xdr:cNvSpPr>
      </xdr:nvSpPr>
      <xdr:spPr bwMode="auto">
        <a:xfrm>
          <a:off x="13411200" y="929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152400</xdr:colOff>
      <xdr:row>5</xdr:row>
      <xdr:rowOff>106680</xdr:rowOff>
    </xdr:to>
    <xdr:sp macro="" textlink="">
      <xdr:nvSpPr>
        <xdr:cNvPr id="2017" name="AutoShape 993" descr="CHILE2"/>
        <xdr:cNvSpPr>
          <a:spLocks noChangeAspect="1" noChangeArrowheads="1"/>
        </xdr:cNvSpPr>
      </xdr:nvSpPr>
      <xdr:spPr bwMode="auto">
        <a:xfrm>
          <a:off x="0" y="1104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</xdr:row>
      <xdr:rowOff>0</xdr:rowOff>
    </xdr:from>
    <xdr:to>
      <xdr:col>22</xdr:col>
      <xdr:colOff>304800</xdr:colOff>
      <xdr:row>6</xdr:row>
      <xdr:rowOff>53340</xdr:rowOff>
    </xdr:to>
    <xdr:sp macro="" textlink="">
      <xdr:nvSpPr>
        <xdr:cNvPr id="2018" name="AutoShape 994" descr="https://www.soccerstats.com/img/own/sshplogo.png">
          <a:hlinkClick xmlns:r="http://schemas.openxmlformats.org/officeDocument/2006/relationships" r:id="rId497"/>
        </xdr:cNvPr>
        <xdr:cNvSpPr>
          <a:spLocks noChangeAspect="1" noChangeArrowheads="1"/>
        </xdr:cNvSpPr>
      </xdr:nvSpPr>
      <xdr:spPr bwMode="auto">
        <a:xfrm>
          <a:off x="13411200" y="1104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</xdr:row>
      <xdr:rowOff>0</xdr:rowOff>
    </xdr:from>
    <xdr:to>
      <xdr:col>22</xdr:col>
      <xdr:colOff>304800</xdr:colOff>
      <xdr:row>7</xdr:row>
      <xdr:rowOff>129540</xdr:rowOff>
    </xdr:to>
    <xdr:sp macro="" textlink="">
      <xdr:nvSpPr>
        <xdr:cNvPr id="2019" name="AutoShape 995" descr="https://www.soccerstats.com/img/own/sshplogo.png">
          <a:hlinkClick xmlns:r="http://schemas.openxmlformats.org/officeDocument/2006/relationships" r:id="rId498" tooltip="Bolivar vs Sao Paulo"/>
        </xdr:cNvPr>
        <xdr:cNvSpPr>
          <a:spLocks noChangeAspect="1" noChangeArrowheads="1"/>
        </xdr:cNvSpPr>
      </xdr:nvSpPr>
      <xdr:spPr bwMode="auto">
        <a:xfrm>
          <a:off x="13411200" y="1280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</xdr:row>
      <xdr:rowOff>0</xdr:rowOff>
    </xdr:from>
    <xdr:to>
      <xdr:col>22</xdr:col>
      <xdr:colOff>304800</xdr:colOff>
      <xdr:row>8</xdr:row>
      <xdr:rowOff>129540</xdr:rowOff>
    </xdr:to>
    <xdr:sp macro="" textlink="">
      <xdr:nvSpPr>
        <xdr:cNvPr id="2020" name="AutoShape 996" descr="https://www.soccerstats.com/img/own/sshplogo.png">
          <a:hlinkClick xmlns:r="http://schemas.openxmlformats.org/officeDocument/2006/relationships" r:id="rId499" tooltip="Bragantino vs Atletico MG"/>
        </xdr:cNvPr>
        <xdr:cNvSpPr>
          <a:spLocks noChangeAspect="1" noChangeArrowheads="1"/>
        </xdr:cNvSpPr>
      </xdr:nvSpPr>
      <xdr:spPr bwMode="auto">
        <a:xfrm>
          <a:off x="13411200" y="1623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</xdr:row>
      <xdr:rowOff>0</xdr:rowOff>
    </xdr:from>
    <xdr:to>
      <xdr:col>22</xdr:col>
      <xdr:colOff>304800</xdr:colOff>
      <xdr:row>9</xdr:row>
      <xdr:rowOff>129540</xdr:rowOff>
    </xdr:to>
    <xdr:sp macro="" textlink="">
      <xdr:nvSpPr>
        <xdr:cNvPr id="2021" name="AutoShape 997" descr="https://www.soccerstats.com/img/own/sshplogo.png">
          <a:hlinkClick xmlns:r="http://schemas.openxmlformats.org/officeDocument/2006/relationships" r:id="rId500" tooltip="Tigre vs Montevideo City"/>
        </xdr:cNvPr>
        <xdr:cNvSpPr>
          <a:spLocks noChangeAspect="1" noChangeArrowheads="1"/>
        </xdr:cNvSpPr>
      </xdr:nvSpPr>
      <xdr:spPr bwMode="auto">
        <a:xfrm>
          <a:off x="13411200" y="1965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</xdr:row>
      <xdr:rowOff>0</xdr:rowOff>
    </xdr:from>
    <xdr:to>
      <xdr:col>22</xdr:col>
      <xdr:colOff>304800</xdr:colOff>
      <xdr:row>10</xdr:row>
      <xdr:rowOff>129540</xdr:rowOff>
    </xdr:to>
    <xdr:sp macro="" textlink="">
      <xdr:nvSpPr>
        <xdr:cNvPr id="2022" name="AutoShape 998" descr="https://www.soccerstats.com/img/own/sshplogo.png">
          <a:hlinkClick xmlns:r="http://schemas.openxmlformats.org/officeDocument/2006/relationships" r:id="rId501" tooltip="Deportes Tolima vs I. del Valle"/>
        </xdr:cNvPr>
        <xdr:cNvSpPr>
          <a:spLocks noChangeAspect="1" noChangeArrowheads="1"/>
        </xdr:cNvSpPr>
      </xdr:nvSpPr>
      <xdr:spPr bwMode="auto">
        <a:xfrm>
          <a:off x="13411200" y="2308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</xdr:row>
      <xdr:rowOff>0</xdr:rowOff>
    </xdr:from>
    <xdr:to>
      <xdr:col>22</xdr:col>
      <xdr:colOff>304800</xdr:colOff>
      <xdr:row>11</xdr:row>
      <xdr:rowOff>129540</xdr:rowOff>
    </xdr:to>
    <xdr:sp macro="" textlink="">
      <xdr:nvSpPr>
        <xdr:cNvPr id="2023" name="AutoShape 999" descr="https://www.soccerstats.com/img/own/sshplogo.png">
          <a:hlinkClick xmlns:r="http://schemas.openxmlformats.org/officeDocument/2006/relationships" r:id="rId502" tooltip="Estudiantes vs U. Catolica"/>
        </xdr:cNvPr>
        <xdr:cNvSpPr>
          <a:spLocks noChangeAspect="1" noChangeArrowheads="1"/>
        </xdr:cNvSpPr>
      </xdr:nvSpPr>
      <xdr:spPr bwMode="auto">
        <a:xfrm>
          <a:off x="13411200" y="2560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</xdr:row>
      <xdr:rowOff>0</xdr:rowOff>
    </xdr:from>
    <xdr:to>
      <xdr:col>22</xdr:col>
      <xdr:colOff>304800</xdr:colOff>
      <xdr:row>12</xdr:row>
      <xdr:rowOff>129540</xdr:rowOff>
    </xdr:to>
    <xdr:sp macro="" textlink="">
      <xdr:nvSpPr>
        <xdr:cNvPr id="2024" name="AutoShape 1000" descr="https://www.soccerstats.com/img/own/sshplogo.png">
          <a:hlinkClick xmlns:r="http://schemas.openxmlformats.org/officeDocument/2006/relationships" r:id="rId503" tooltip="Palmeiras vs Cerro Porteno"/>
        </xdr:cNvPr>
        <xdr:cNvSpPr>
          <a:spLocks noChangeAspect="1" noChangeArrowheads="1"/>
        </xdr:cNvSpPr>
      </xdr:nvSpPr>
      <xdr:spPr bwMode="auto">
        <a:xfrm>
          <a:off x="13411200" y="2735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</xdr:row>
      <xdr:rowOff>0</xdr:rowOff>
    </xdr:from>
    <xdr:to>
      <xdr:col>22</xdr:col>
      <xdr:colOff>304800</xdr:colOff>
      <xdr:row>13</xdr:row>
      <xdr:rowOff>53340</xdr:rowOff>
    </xdr:to>
    <xdr:sp macro="" textlink="">
      <xdr:nvSpPr>
        <xdr:cNvPr id="2025" name="AutoShape 1001" descr="https://www.soccerstats.com/img/own/sshplogo.png">
          <a:hlinkClick xmlns:r="http://schemas.openxmlformats.org/officeDocument/2006/relationships" r:id="rId504" tooltip="Platense vs Coquimbo Unido"/>
        </xdr:cNvPr>
        <xdr:cNvSpPr>
          <a:spLocks noChangeAspect="1" noChangeArrowheads="1"/>
        </xdr:cNvSpPr>
      </xdr:nvSpPr>
      <xdr:spPr bwMode="auto">
        <a:xfrm>
          <a:off x="13411200" y="2987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152400</xdr:colOff>
      <xdr:row>13</xdr:row>
      <xdr:rowOff>106680</xdr:rowOff>
    </xdr:to>
    <xdr:sp macro="" textlink="">
      <xdr:nvSpPr>
        <xdr:cNvPr id="2026" name="AutoShape 1002" descr="GERMANY4"/>
        <xdr:cNvSpPr>
          <a:spLocks noChangeAspect="1" noChangeArrowheads="1"/>
        </xdr:cNvSpPr>
      </xdr:nvSpPr>
      <xdr:spPr bwMode="auto">
        <a:xfrm>
          <a:off x="0" y="3238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</xdr:row>
      <xdr:rowOff>0</xdr:rowOff>
    </xdr:from>
    <xdr:to>
      <xdr:col>22</xdr:col>
      <xdr:colOff>304800</xdr:colOff>
      <xdr:row>14</xdr:row>
      <xdr:rowOff>129540</xdr:rowOff>
    </xdr:to>
    <xdr:sp macro="" textlink="">
      <xdr:nvSpPr>
        <xdr:cNvPr id="2027" name="AutoShape 1003" descr="https://www.soccerstats.com/img/own/sshplogo.png">
          <a:hlinkClick xmlns:r="http://schemas.openxmlformats.org/officeDocument/2006/relationships" r:id="rId505"/>
        </xdr:cNvPr>
        <xdr:cNvSpPr>
          <a:spLocks noChangeAspect="1" noChangeArrowheads="1"/>
        </xdr:cNvSpPr>
      </xdr:nvSpPr>
      <xdr:spPr bwMode="auto">
        <a:xfrm>
          <a:off x="13411200" y="323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152400</xdr:colOff>
      <xdr:row>14</xdr:row>
      <xdr:rowOff>106680</xdr:rowOff>
    </xdr:to>
    <xdr:sp macro="" textlink="">
      <xdr:nvSpPr>
        <xdr:cNvPr id="2028" name="AutoShape 1004" descr="GERMANY4"/>
        <xdr:cNvSpPr>
          <a:spLocks noChangeAspect="1" noChangeArrowheads="1"/>
        </xdr:cNvSpPr>
      </xdr:nvSpPr>
      <xdr:spPr bwMode="auto">
        <a:xfrm>
          <a:off x="0" y="3489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</xdr:row>
      <xdr:rowOff>0</xdr:rowOff>
    </xdr:from>
    <xdr:to>
      <xdr:col>22</xdr:col>
      <xdr:colOff>304800</xdr:colOff>
      <xdr:row>15</xdr:row>
      <xdr:rowOff>53340</xdr:rowOff>
    </xdr:to>
    <xdr:sp macro="" textlink="">
      <xdr:nvSpPr>
        <xdr:cNvPr id="2029" name="AutoShape 1005" descr="https://www.soccerstats.com/img/own/sshplogo.png">
          <a:hlinkClick xmlns:r="http://schemas.openxmlformats.org/officeDocument/2006/relationships" r:id="rId506"/>
        </xdr:cNvPr>
        <xdr:cNvSpPr>
          <a:spLocks noChangeAspect="1" noChangeArrowheads="1"/>
        </xdr:cNvSpPr>
      </xdr:nvSpPr>
      <xdr:spPr bwMode="auto">
        <a:xfrm>
          <a:off x="13411200" y="3489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152400</xdr:colOff>
      <xdr:row>15</xdr:row>
      <xdr:rowOff>106680</xdr:rowOff>
    </xdr:to>
    <xdr:sp macro="" textlink="">
      <xdr:nvSpPr>
        <xdr:cNvPr id="2030" name="AutoShape 1006" descr="GERMANY4"/>
        <xdr:cNvSpPr>
          <a:spLocks noChangeAspect="1" noChangeArrowheads="1"/>
        </xdr:cNvSpPr>
      </xdr:nvSpPr>
      <xdr:spPr bwMode="auto">
        <a:xfrm>
          <a:off x="0" y="3665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15</xdr:row>
      <xdr:rowOff>0</xdr:rowOff>
    </xdr:from>
    <xdr:to>
      <xdr:col>22</xdr:col>
      <xdr:colOff>304800</xdr:colOff>
      <xdr:row>16</xdr:row>
      <xdr:rowOff>129540</xdr:rowOff>
    </xdr:to>
    <xdr:sp macro="" textlink="">
      <xdr:nvSpPr>
        <xdr:cNvPr id="2031" name="AutoShape 1007" descr="https://www.soccerstats.com/img/own/sshplogo.png">
          <a:hlinkClick xmlns:r="http://schemas.openxmlformats.org/officeDocument/2006/relationships" r:id="rId507"/>
        </xdr:cNvPr>
        <xdr:cNvSpPr>
          <a:spLocks noChangeAspect="1" noChangeArrowheads="1"/>
        </xdr:cNvSpPr>
      </xdr:nvSpPr>
      <xdr:spPr bwMode="auto">
        <a:xfrm>
          <a:off x="13411200" y="3665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152400</xdr:colOff>
      <xdr:row>16</xdr:row>
      <xdr:rowOff>106680</xdr:rowOff>
    </xdr:to>
    <xdr:sp macro="" textlink="">
      <xdr:nvSpPr>
        <xdr:cNvPr id="2032" name="AutoShape 1008" descr="GERMANY4"/>
        <xdr:cNvSpPr>
          <a:spLocks noChangeAspect="1" noChangeArrowheads="1"/>
        </xdr:cNvSpPr>
      </xdr:nvSpPr>
      <xdr:spPr bwMode="auto">
        <a:xfrm>
          <a:off x="0" y="3916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16</xdr:row>
      <xdr:rowOff>0</xdr:rowOff>
    </xdr:from>
    <xdr:to>
      <xdr:col>22</xdr:col>
      <xdr:colOff>304800</xdr:colOff>
      <xdr:row>17</xdr:row>
      <xdr:rowOff>129540</xdr:rowOff>
    </xdr:to>
    <xdr:sp macro="" textlink="">
      <xdr:nvSpPr>
        <xdr:cNvPr id="2033" name="AutoShape 1009" descr="https://www.soccerstats.com/img/own/sshplogo.png">
          <a:hlinkClick xmlns:r="http://schemas.openxmlformats.org/officeDocument/2006/relationships" r:id="rId508"/>
        </xdr:cNvPr>
        <xdr:cNvSpPr>
          <a:spLocks noChangeAspect="1" noChangeArrowheads="1"/>
        </xdr:cNvSpPr>
      </xdr:nvSpPr>
      <xdr:spPr bwMode="auto">
        <a:xfrm>
          <a:off x="13411200" y="3916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152400</xdr:colOff>
      <xdr:row>17</xdr:row>
      <xdr:rowOff>106680</xdr:rowOff>
    </xdr:to>
    <xdr:sp macro="" textlink="">
      <xdr:nvSpPr>
        <xdr:cNvPr id="2034" name="AutoShape 1010" descr="GERMANY4"/>
        <xdr:cNvSpPr>
          <a:spLocks noChangeAspect="1" noChangeArrowheads="1"/>
        </xdr:cNvSpPr>
      </xdr:nvSpPr>
      <xdr:spPr bwMode="auto">
        <a:xfrm>
          <a:off x="0" y="4091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17</xdr:row>
      <xdr:rowOff>0</xdr:rowOff>
    </xdr:from>
    <xdr:to>
      <xdr:col>22</xdr:col>
      <xdr:colOff>304800</xdr:colOff>
      <xdr:row>18</xdr:row>
      <xdr:rowOff>53340</xdr:rowOff>
    </xdr:to>
    <xdr:sp macro="" textlink="">
      <xdr:nvSpPr>
        <xdr:cNvPr id="2035" name="AutoShape 1011" descr="https://www.soccerstats.com/img/own/sshplogo.png">
          <a:hlinkClick xmlns:r="http://schemas.openxmlformats.org/officeDocument/2006/relationships" r:id="rId509"/>
        </xdr:cNvPr>
        <xdr:cNvSpPr>
          <a:spLocks noChangeAspect="1" noChangeArrowheads="1"/>
        </xdr:cNvSpPr>
      </xdr:nvSpPr>
      <xdr:spPr bwMode="auto">
        <a:xfrm>
          <a:off x="13411200" y="4091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152400</xdr:colOff>
      <xdr:row>18</xdr:row>
      <xdr:rowOff>106680</xdr:rowOff>
    </xdr:to>
    <xdr:sp macro="" textlink="">
      <xdr:nvSpPr>
        <xdr:cNvPr id="2036" name="AutoShape 1012" descr="GERMANY4"/>
        <xdr:cNvSpPr>
          <a:spLocks noChangeAspect="1" noChangeArrowheads="1"/>
        </xdr:cNvSpPr>
      </xdr:nvSpPr>
      <xdr:spPr bwMode="auto">
        <a:xfrm>
          <a:off x="0" y="4343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18</xdr:row>
      <xdr:rowOff>0</xdr:rowOff>
    </xdr:from>
    <xdr:to>
      <xdr:col>22</xdr:col>
      <xdr:colOff>304800</xdr:colOff>
      <xdr:row>19</xdr:row>
      <xdr:rowOff>53340</xdr:rowOff>
    </xdr:to>
    <xdr:sp macro="" textlink="">
      <xdr:nvSpPr>
        <xdr:cNvPr id="2037" name="AutoShape 1013" descr="https://www.soccerstats.com/img/own/sshplogo.png">
          <a:hlinkClick xmlns:r="http://schemas.openxmlformats.org/officeDocument/2006/relationships" r:id="rId510"/>
        </xdr:cNvPr>
        <xdr:cNvSpPr>
          <a:spLocks noChangeAspect="1" noChangeArrowheads="1"/>
        </xdr:cNvSpPr>
      </xdr:nvSpPr>
      <xdr:spPr bwMode="auto">
        <a:xfrm>
          <a:off x="13411200" y="4343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152400</xdr:colOff>
      <xdr:row>19</xdr:row>
      <xdr:rowOff>106680</xdr:rowOff>
    </xdr:to>
    <xdr:sp macro="" textlink="">
      <xdr:nvSpPr>
        <xdr:cNvPr id="2038" name="AutoShape 1014" descr="GERMANY4"/>
        <xdr:cNvSpPr>
          <a:spLocks noChangeAspect="1" noChangeArrowheads="1"/>
        </xdr:cNvSpPr>
      </xdr:nvSpPr>
      <xdr:spPr bwMode="auto">
        <a:xfrm>
          <a:off x="0" y="4594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19</xdr:row>
      <xdr:rowOff>0</xdr:rowOff>
    </xdr:from>
    <xdr:to>
      <xdr:col>22</xdr:col>
      <xdr:colOff>304800</xdr:colOff>
      <xdr:row>20</xdr:row>
      <xdr:rowOff>129540</xdr:rowOff>
    </xdr:to>
    <xdr:sp macro="" textlink="">
      <xdr:nvSpPr>
        <xdr:cNvPr id="2039" name="AutoShape 1015" descr="https://www.soccerstats.com/img/own/sshplogo.png">
          <a:hlinkClick xmlns:r="http://schemas.openxmlformats.org/officeDocument/2006/relationships" r:id="rId511"/>
        </xdr:cNvPr>
        <xdr:cNvSpPr>
          <a:spLocks noChangeAspect="1" noChangeArrowheads="1"/>
        </xdr:cNvSpPr>
      </xdr:nvSpPr>
      <xdr:spPr bwMode="auto">
        <a:xfrm>
          <a:off x="13411200" y="4594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152400</xdr:colOff>
      <xdr:row>20</xdr:row>
      <xdr:rowOff>106680</xdr:rowOff>
    </xdr:to>
    <xdr:sp macro="" textlink="">
      <xdr:nvSpPr>
        <xdr:cNvPr id="2040" name="AutoShape 1016" descr="SOUTHAFRICA"/>
        <xdr:cNvSpPr>
          <a:spLocks noChangeAspect="1" noChangeArrowheads="1"/>
        </xdr:cNvSpPr>
      </xdr:nvSpPr>
      <xdr:spPr bwMode="auto">
        <a:xfrm>
          <a:off x="0" y="4846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20</xdr:row>
      <xdr:rowOff>0</xdr:rowOff>
    </xdr:from>
    <xdr:to>
      <xdr:col>22</xdr:col>
      <xdr:colOff>304800</xdr:colOff>
      <xdr:row>21</xdr:row>
      <xdr:rowOff>129540</xdr:rowOff>
    </xdr:to>
    <xdr:sp macro="" textlink="">
      <xdr:nvSpPr>
        <xdr:cNvPr id="2041" name="AutoShape 1017" descr="https://www.soccerstats.com/img/own/sshplogo.png">
          <a:hlinkClick xmlns:r="http://schemas.openxmlformats.org/officeDocument/2006/relationships" r:id="rId512"/>
        </xdr:cNvPr>
        <xdr:cNvSpPr>
          <a:spLocks noChangeAspect="1" noChangeArrowheads="1"/>
        </xdr:cNvSpPr>
      </xdr:nvSpPr>
      <xdr:spPr bwMode="auto">
        <a:xfrm>
          <a:off x="13411200" y="4846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152400</xdr:colOff>
      <xdr:row>21</xdr:row>
      <xdr:rowOff>106680</xdr:rowOff>
    </xdr:to>
    <xdr:sp macro="" textlink="">
      <xdr:nvSpPr>
        <xdr:cNvPr id="2042" name="AutoShape 1018" descr="SOUTHAFRICA"/>
        <xdr:cNvSpPr>
          <a:spLocks noChangeAspect="1" noChangeArrowheads="1"/>
        </xdr:cNvSpPr>
      </xdr:nvSpPr>
      <xdr:spPr bwMode="auto">
        <a:xfrm>
          <a:off x="0" y="5097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21</xdr:row>
      <xdr:rowOff>0</xdr:rowOff>
    </xdr:from>
    <xdr:to>
      <xdr:col>22</xdr:col>
      <xdr:colOff>304800</xdr:colOff>
      <xdr:row>22</xdr:row>
      <xdr:rowOff>53340</xdr:rowOff>
    </xdr:to>
    <xdr:sp macro="" textlink="">
      <xdr:nvSpPr>
        <xdr:cNvPr id="2043" name="AutoShape 1019" descr="https://www.soccerstats.com/img/own/sshplogo.png">
          <a:hlinkClick xmlns:r="http://schemas.openxmlformats.org/officeDocument/2006/relationships" r:id="rId513"/>
        </xdr:cNvPr>
        <xdr:cNvSpPr>
          <a:spLocks noChangeAspect="1" noChangeArrowheads="1"/>
        </xdr:cNvSpPr>
      </xdr:nvSpPr>
      <xdr:spPr bwMode="auto">
        <a:xfrm>
          <a:off x="13411200" y="5097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152400</xdr:colOff>
      <xdr:row>22</xdr:row>
      <xdr:rowOff>106680</xdr:rowOff>
    </xdr:to>
    <xdr:sp macro="" textlink="">
      <xdr:nvSpPr>
        <xdr:cNvPr id="2044" name="AutoShape 1020" descr="SOUTHAFRICA"/>
        <xdr:cNvSpPr>
          <a:spLocks noChangeAspect="1" noChangeArrowheads="1"/>
        </xdr:cNvSpPr>
      </xdr:nvSpPr>
      <xdr:spPr bwMode="auto">
        <a:xfrm>
          <a:off x="0" y="5349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22</xdr:row>
      <xdr:rowOff>0</xdr:rowOff>
    </xdr:from>
    <xdr:to>
      <xdr:col>22</xdr:col>
      <xdr:colOff>304800</xdr:colOff>
      <xdr:row>23</xdr:row>
      <xdr:rowOff>129540</xdr:rowOff>
    </xdr:to>
    <xdr:sp macro="" textlink="">
      <xdr:nvSpPr>
        <xdr:cNvPr id="2045" name="AutoShape 1021" descr="https://www.soccerstats.com/img/own/sshplogo.png">
          <a:hlinkClick xmlns:r="http://schemas.openxmlformats.org/officeDocument/2006/relationships" r:id="rId514"/>
        </xdr:cNvPr>
        <xdr:cNvSpPr>
          <a:spLocks noChangeAspect="1" noChangeArrowheads="1"/>
        </xdr:cNvSpPr>
      </xdr:nvSpPr>
      <xdr:spPr bwMode="auto">
        <a:xfrm>
          <a:off x="13411200" y="5349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152400</xdr:colOff>
      <xdr:row>23</xdr:row>
      <xdr:rowOff>106680</xdr:rowOff>
    </xdr:to>
    <xdr:sp macro="" textlink="">
      <xdr:nvSpPr>
        <xdr:cNvPr id="2046" name="AutoShape 1022" descr="SOUTHAFRICA"/>
        <xdr:cNvSpPr>
          <a:spLocks noChangeAspect="1" noChangeArrowheads="1"/>
        </xdr:cNvSpPr>
      </xdr:nvSpPr>
      <xdr:spPr bwMode="auto">
        <a:xfrm>
          <a:off x="0" y="5524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23</xdr:row>
      <xdr:rowOff>0</xdr:rowOff>
    </xdr:from>
    <xdr:to>
      <xdr:col>22</xdr:col>
      <xdr:colOff>304800</xdr:colOff>
      <xdr:row>24</xdr:row>
      <xdr:rowOff>129540</xdr:rowOff>
    </xdr:to>
    <xdr:sp macro="" textlink="">
      <xdr:nvSpPr>
        <xdr:cNvPr id="2047" name="AutoShape 1023" descr="https://www.soccerstats.com/img/own/sshplogo.png">
          <a:hlinkClick xmlns:r="http://schemas.openxmlformats.org/officeDocument/2006/relationships" r:id="rId515"/>
        </xdr:cNvPr>
        <xdr:cNvSpPr>
          <a:spLocks noChangeAspect="1" noChangeArrowheads="1"/>
        </xdr:cNvSpPr>
      </xdr:nvSpPr>
      <xdr:spPr bwMode="auto">
        <a:xfrm>
          <a:off x="13411200" y="5524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" name="AutoShape 1" descr="NETHERLANDS"/>
        <xdr:cNvSpPr>
          <a:spLocks noChangeAspect="1" noChangeArrowheads="1"/>
        </xdr:cNvSpPr>
      </xdr:nvSpPr>
      <xdr:spPr bwMode="auto">
        <a:xfrm>
          <a:off x="0" y="175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" name="AutoShape 2" descr="https://www.soccerstats.com/img/own/sshplogo.png">
          <a:hlinkClick xmlns:r="http://schemas.openxmlformats.org/officeDocument/2006/relationships" r:id="rId516"/>
        </xdr:cNvPr>
        <xdr:cNvSpPr>
          <a:spLocks noChangeAspect="1" noChangeArrowheads="1"/>
        </xdr:cNvSpPr>
      </xdr:nvSpPr>
      <xdr:spPr bwMode="auto">
        <a:xfrm>
          <a:off x="13411200" y="175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152400</xdr:colOff>
      <xdr:row>2</xdr:row>
      <xdr:rowOff>106680</xdr:rowOff>
    </xdr:to>
    <xdr:sp macro="" textlink="">
      <xdr:nvSpPr>
        <xdr:cNvPr id="4" name="AutoShape 3" descr="PORTUGAL"/>
        <xdr:cNvSpPr>
          <a:spLocks noChangeAspect="1" noChangeArrowheads="1"/>
        </xdr:cNvSpPr>
      </xdr:nvSpPr>
      <xdr:spPr bwMode="auto">
        <a:xfrm>
          <a:off x="0" y="350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</xdr:row>
      <xdr:rowOff>0</xdr:rowOff>
    </xdr:from>
    <xdr:to>
      <xdr:col>22</xdr:col>
      <xdr:colOff>304800</xdr:colOff>
      <xdr:row>3</xdr:row>
      <xdr:rowOff>129540</xdr:rowOff>
    </xdr:to>
    <xdr:sp macro="" textlink="">
      <xdr:nvSpPr>
        <xdr:cNvPr id="5" name="AutoShape 4" descr="https://www.soccerstats.com/img/own/sshplogo.png">
          <a:hlinkClick xmlns:r="http://schemas.openxmlformats.org/officeDocument/2006/relationships" r:id="rId517"/>
        </xdr:cNvPr>
        <xdr:cNvSpPr>
          <a:spLocks noChangeAspect="1" noChangeArrowheads="1"/>
        </xdr:cNvSpPr>
      </xdr:nvSpPr>
      <xdr:spPr bwMode="auto">
        <a:xfrm>
          <a:off x="13411200" y="350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152400</xdr:colOff>
      <xdr:row>3</xdr:row>
      <xdr:rowOff>106680</xdr:rowOff>
    </xdr:to>
    <xdr:sp macro="" textlink="">
      <xdr:nvSpPr>
        <xdr:cNvPr id="6" name="AutoShape 5" descr="ENGLAND2"/>
        <xdr:cNvSpPr>
          <a:spLocks noChangeAspect="1" noChangeArrowheads="1"/>
        </xdr:cNvSpPr>
      </xdr:nvSpPr>
      <xdr:spPr bwMode="auto">
        <a:xfrm>
          <a:off x="0" y="525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</xdr:row>
      <xdr:rowOff>0</xdr:rowOff>
    </xdr:from>
    <xdr:to>
      <xdr:col>22</xdr:col>
      <xdr:colOff>304800</xdr:colOff>
      <xdr:row>4</xdr:row>
      <xdr:rowOff>53340</xdr:rowOff>
    </xdr:to>
    <xdr:sp macro="" textlink="">
      <xdr:nvSpPr>
        <xdr:cNvPr id="7" name="AutoShape 6" descr="https://www.soccerstats.com/img/own/sshplogo.png">
          <a:hlinkClick xmlns:r="http://schemas.openxmlformats.org/officeDocument/2006/relationships" r:id="rId518"/>
        </xdr:cNvPr>
        <xdr:cNvSpPr>
          <a:spLocks noChangeAspect="1" noChangeArrowheads="1"/>
        </xdr:cNvSpPr>
      </xdr:nvSpPr>
      <xdr:spPr bwMode="auto">
        <a:xfrm>
          <a:off x="13411200" y="525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152400</xdr:colOff>
      <xdr:row>4</xdr:row>
      <xdr:rowOff>106680</xdr:rowOff>
    </xdr:to>
    <xdr:sp macro="" textlink="">
      <xdr:nvSpPr>
        <xdr:cNvPr id="8" name="AutoShape 7" descr="SPAIN2"/>
        <xdr:cNvSpPr>
          <a:spLocks noChangeAspect="1" noChangeArrowheads="1"/>
        </xdr:cNvSpPr>
      </xdr:nvSpPr>
      <xdr:spPr bwMode="auto">
        <a:xfrm>
          <a:off x="0" y="777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</xdr:row>
      <xdr:rowOff>0</xdr:rowOff>
    </xdr:from>
    <xdr:to>
      <xdr:col>22</xdr:col>
      <xdr:colOff>304800</xdr:colOff>
      <xdr:row>5</xdr:row>
      <xdr:rowOff>53340</xdr:rowOff>
    </xdr:to>
    <xdr:sp macro="" textlink="">
      <xdr:nvSpPr>
        <xdr:cNvPr id="9" name="AutoShape 8" descr="https://www.soccerstats.com/img/own/sshplogo.png">
          <a:hlinkClick xmlns:r="http://schemas.openxmlformats.org/officeDocument/2006/relationships" r:id="rId519"/>
        </xdr:cNvPr>
        <xdr:cNvSpPr>
          <a:spLocks noChangeAspect="1" noChangeArrowheads="1"/>
        </xdr:cNvSpPr>
      </xdr:nvSpPr>
      <xdr:spPr bwMode="auto">
        <a:xfrm>
          <a:off x="13411200" y="777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152400</xdr:colOff>
      <xdr:row>5</xdr:row>
      <xdr:rowOff>106680</xdr:rowOff>
    </xdr:to>
    <xdr:sp macro="" textlink="">
      <xdr:nvSpPr>
        <xdr:cNvPr id="10" name="AutoShape 9" descr="FRANCE2"/>
        <xdr:cNvSpPr>
          <a:spLocks noChangeAspect="1" noChangeArrowheads="1"/>
        </xdr:cNvSpPr>
      </xdr:nvSpPr>
      <xdr:spPr bwMode="auto">
        <a:xfrm>
          <a:off x="0" y="1028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</xdr:row>
      <xdr:rowOff>0</xdr:rowOff>
    </xdr:from>
    <xdr:to>
      <xdr:col>22</xdr:col>
      <xdr:colOff>304800</xdr:colOff>
      <xdr:row>6</xdr:row>
      <xdr:rowOff>53340</xdr:rowOff>
    </xdr:to>
    <xdr:sp macro="" textlink="">
      <xdr:nvSpPr>
        <xdr:cNvPr id="11" name="AutoShape 10" descr="https://www.soccerstats.com/img/own/sshplogo.png">
          <a:hlinkClick xmlns:r="http://schemas.openxmlformats.org/officeDocument/2006/relationships" r:id="rId520"/>
        </xdr:cNvPr>
        <xdr:cNvSpPr>
          <a:spLocks noChangeAspect="1" noChangeArrowheads="1"/>
        </xdr:cNvSpPr>
      </xdr:nvSpPr>
      <xdr:spPr bwMode="auto">
        <a:xfrm>
          <a:off x="134112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152400</xdr:colOff>
      <xdr:row>6</xdr:row>
      <xdr:rowOff>106680</xdr:rowOff>
    </xdr:to>
    <xdr:sp macro="" textlink="">
      <xdr:nvSpPr>
        <xdr:cNvPr id="12" name="AutoShape 11" descr="FRANCE2"/>
        <xdr:cNvSpPr>
          <a:spLocks noChangeAspect="1" noChangeArrowheads="1"/>
        </xdr:cNvSpPr>
      </xdr:nvSpPr>
      <xdr:spPr bwMode="auto">
        <a:xfrm>
          <a:off x="0" y="1280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</xdr:row>
      <xdr:rowOff>0</xdr:rowOff>
    </xdr:from>
    <xdr:to>
      <xdr:col>22</xdr:col>
      <xdr:colOff>304800</xdr:colOff>
      <xdr:row>7</xdr:row>
      <xdr:rowOff>129540</xdr:rowOff>
    </xdr:to>
    <xdr:sp macro="" textlink="">
      <xdr:nvSpPr>
        <xdr:cNvPr id="13" name="AutoShape 12" descr="https://www.soccerstats.com/img/own/sshplogo.png">
          <a:hlinkClick xmlns:r="http://schemas.openxmlformats.org/officeDocument/2006/relationships" r:id="rId521"/>
        </xdr:cNvPr>
        <xdr:cNvSpPr>
          <a:spLocks noChangeAspect="1" noChangeArrowheads="1"/>
        </xdr:cNvSpPr>
      </xdr:nvSpPr>
      <xdr:spPr bwMode="auto">
        <a:xfrm>
          <a:off x="13411200" y="1280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152400</xdr:colOff>
      <xdr:row>7</xdr:row>
      <xdr:rowOff>106680</xdr:rowOff>
    </xdr:to>
    <xdr:sp macro="" textlink="">
      <xdr:nvSpPr>
        <xdr:cNvPr id="14" name="AutoShape 13" descr="FRANCE2"/>
        <xdr:cNvSpPr>
          <a:spLocks noChangeAspect="1" noChangeArrowheads="1"/>
        </xdr:cNvSpPr>
      </xdr:nvSpPr>
      <xdr:spPr bwMode="auto">
        <a:xfrm>
          <a:off x="0" y="1455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</xdr:row>
      <xdr:rowOff>0</xdr:rowOff>
    </xdr:from>
    <xdr:to>
      <xdr:col>22</xdr:col>
      <xdr:colOff>304800</xdr:colOff>
      <xdr:row>8</xdr:row>
      <xdr:rowOff>129540</xdr:rowOff>
    </xdr:to>
    <xdr:sp macro="" textlink="">
      <xdr:nvSpPr>
        <xdr:cNvPr id="15" name="AutoShape 14" descr="https://www.soccerstats.com/img/own/sshplogo.png">
          <a:hlinkClick xmlns:r="http://schemas.openxmlformats.org/officeDocument/2006/relationships" r:id="rId522"/>
        </xdr:cNvPr>
        <xdr:cNvSpPr>
          <a:spLocks noChangeAspect="1" noChangeArrowheads="1"/>
        </xdr:cNvSpPr>
      </xdr:nvSpPr>
      <xdr:spPr bwMode="auto">
        <a:xfrm>
          <a:off x="13411200" y="1455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152400</xdr:colOff>
      <xdr:row>8</xdr:row>
      <xdr:rowOff>106680</xdr:rowOff>
    </xdr:to>
    <xdr:sp macro="" textlink="">
      <xdr:nvSpPr>
        <xdr:cNvPr id="16" name="AutoShape 15" descr="FRANCE2"/>
        <xdr:cNvSpPr>
          <a:spLocks noChangeAspect="1" noChangeArrowheads="1"/>
        </xdr:cNvSpPr>
      </xdr:nvSpPr>
      <xdr:spPr bwMode="auto">
        <a:xfrm>
          <a:off x="0" y="1630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</xdr:row>
      <xdr:rowOff>0</xdr:rowOff>
    </xdr:from>
    <xdr:to>
      <xdr:col>22</xdr:col>
      <xdr:colOff>304800</xdr:colOff>
      <xdr:row>9</xdr:row>
      <xdr:rowOff>129540</xdr:rowOff>
    </xdr:to>
    <xdr:sp macro="" textlink="">
      <xdr:nvSpPr>
        <xdr:cNvPr id="17" name="AutoShape 16" descr="https://www.soccerstats.com/img/own/sshplogo.png">
          <a:hlinkClick xmlns:r="http://schemas.openxmlformats.org/officeDocument/2006/relationships" r:id="rId523"/>
        </xdr:cNvPr>
        <xdr:cNvSpPr>
          <a:spLocks noChangeAspect="1" noChangeArrowheads="1"/>
        </xdr:cNvSpPr>
      </xdr:nvSpPr>
      <xdr:spPr bwMode="auto">
        <a:xfrm>
          <a:off x="13411200" y="1630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152400</xdr:colOff>
      <xdr:row>9</xdr:row>
      <xdr:rowOff>106680</xdr:rowOff>
    </xdr:to>
    <xdr:sp macro="" textlink="">
      <xdr:nvSpPr>
        <xdr:cNvPr id="18" name="AutoShape 17" descr="FRANCE2"/>
        <xdr:cNvSpPr>
          <a:spLocks noChangeAspect="1" noChangeArrowheads="1"/>
        </xdr:cNvSpPr>
      </xdr:nvSpPr>
      <xdr:spPr bwMode="auto">
        <a:xfrm>
          <a:off x="0" y="1805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</xdr:row>
      <xdr:rowOff>0</xdr:rowOff>
    </xdr:from>
    <xdr:to>
      <xdr:col>22</xdr:col>
      <xdr:colOff>304800</xdr:colOff>
      <xdr:row>10</xdr:row>
      <xdr:rowOff>129540</xdr:rowOff>
    </xdr:to>
    <xdr:sp macro="" textlink="">
      <xdr:nvSpPr>
        <xdr:cNvPr id="19" name="AutoShape 18" descr="https://www.soccerstats.com/img/own/sshplogo.png">
          <a:hlinkClick xmlns:r="http://schemas.openxmlformats.org/officeDocument/2006/relationships" r:id="rId524"/>
        </xdr:cNvPr>
        <xdr:cNvSpPr>
          <a:spLocks noChangeAspect="1" noChangeArrowheads="1"/>
        </xdr:cNvSpPr>
      </xdr:nvSpPr>
      <xdr:spPr bwMode="auto">
        <a:xfrm>
          <a:off x="13411200" y="1805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152400</xdr:colOff>
      <xdr:row>10</xdr:row>
      <xdr:rowOff>106680</xdr:rowOff>
    </xdr:to>
    <xdr:sp macro="" textlink="">
      <xdr:nvSpPr>
        <xdr:cNvPr id="20" name="AutoShape 19" descr="FRANCE2"/>
        <xdr:cNvSpPr>
          <a:spLocks noChangeAspect="1" noChangeArrowheads="1"/>
        </xdr:cNvSpPr>
      </xdr:nvSpPr>
      <xdr:spPr bwMode="auto">
        <a:xfrm>
          <a:off x="0" y="1981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</xdr:row>
      <xdr:rowOff>0</xdr:rowOff>
    </xdr:from>
    <xdr:to>
      <xdr:col>22</xdr:col>
      <xdr:colOff>304800</xdr:colOff>
      <xdr:row>11</xdr:row>
      <xdr:rowOff>129540</xdr:rowOff>
    </xdr:to>
    <xdr:sp macro="" textlink="">
      <xdr:nvSpPr>
        <xdr:cNvPr id="21" name="AutoShape 20" descr="https://www.soccerstats.com/img/own/sshplogo.png">
          <a:hlinkClick xmlns:r="http://schemas.openxmlformats.org/officeDocument/2006/relationships" r:id="rId525"/>
        </xdr:cNvPr>
        <xdr:cNvSpPr>
          <a:spLocks noChangeAspect="1" noChangeArrowheads="1"/>
        </xdr:cNvSpPr>
      </xdr:nvSpPr>
      <xdr:spPr bwMode="auto">
        <a:xfrm>
          <a:off x="13411200" y="1981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152400</xdr:colOff>
      <xdr:row>11</xdr:row>
      <xdr:rowOff>106680</xdr:rowOff>
    </xdr:to>
    <xdr:sp macro="" textlink="">
      <xdr:nvSpPr>
        <xdr:cNvPr id="22" name="AutoShape 21" descr="FRANCE2"/>
        <xdr:cNvSpPr>
          <a:spLocks noChangeAspect="1" noChangeArrowheads="1"/>
        </xdr:cNvSpPr>
      </xdr:nvSpPr>
      <xdr:spPr bwMode="auto">
        <a:xfrm>
          <a:off x="0" y="2156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</xdr:row>
      <xdr:rowOff>0</xdr:rowOff>
    </xdr:from>
    <xdr:to>
      <xdr:col>22</xdr:col>
      <xdr:colOff>304800</xdr:colOff>
      <xdr:row>12</xdr:row>
      <xdr:rowOff>129540</xdr:rowOff>
    </xdr:to>
    <xdr:sp macro="" textlink="">
      <xdr:nvSpPr>
        <xdr:cNvPr id="23" name="AutoShape 22" descr="https://www.soccerstats.com/img/own/sshplogo.png">
          <a:hlinkClick xmlns:r="http://schemas.openxmlformats.org/officeDocument/2006/relationships" r:id="rId526"/>
        </xdr:cNvPr>
        <xdr:cNvSpPr>
          <a:spLocks noChangeAspect="1" noChangeArrowheads="1"/>
        </xdr:cNvSpPr>
      </xdr:nvSpPr>
      <xdr:spPr bwMode="auto">
        <a:xfrm>
          <a:off x="13411200" y="2156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152400</xdr:colOff>
      <xdr:row>12</xdr:row>
      <xdr:rowOff>106680</xdr:rowOff>
    </xdr:to>
    <xdr:sp macro="" textlink="">
      <xdr:nvSpPr>
        <xdr:cNvPr id="24" name="AutoShape 23" descr="FRANCE2"/>
        <xdr:cNvSpPr>
          <a:spLocks noChangeAspect="1" noChangeArrowheads="1"/>
        </xdr:cNvSpPr>
      </xdr:nvSpPr>
      <xdr:spPr bwMode="auto">
        <a:xfrm>
          <a:off x="0" y="2331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</xdr:row>
      <xdr:rowOff>0</xdr:rowOff>
    </xdr:from>
    <xdr:to>
      <xdr:col>22</xdr:col>
      <xdr:colOff>304800</xdr:colOff>
      <xdr:row>13</xdr:row>
      <xdr:rowOff>53340</xdr:rowOff>
    </xdr:to>
    <xdr:sp macro="" textlink="">
      <xdr:nvSpPr>
        <xdr:cNvPr id="25" name="AutoShape 24" descr="https://www.soccerstats.com/img/own/sshplogo.png">
          <a:hlinkClick xmlns:r="http://schemas.openxmlformats.org/officeDocument/2006/relationships" r:id="rId527"/>
        </xdr:cNvPr>
        <xdr:cNvSpPr>
          <a:spLocks noChangeAspect="1" noChangeArrowheads="1"/>
        </xdr:cNvSpPr>
      </xdr:nvSpPr>
      <xdr:spPr bwMode="auto">
        <a:xfrm>
          <a:off x="13411200" y="2331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152400</xdr:colOff>
      <xdr:row>13</xdr:row>
      <xdr:rowOff>106680</xdr:rowOff>
    </xdr:to>
    <xdr:sp macro="" textlink="">
      <xdr:nvSpPr>
        <xdr:cNvPr id="26" name="AutoShape 25" descr="FRANCE2"/>
        <xdr:cNvSpPr>
          <a:spLocks noChangeAspect="1" noChangeArrowheads="1"/>
        </xdr:cNvSpPr>
      </xdr:nvSpPr>
      <xdr:spPr bwMode="auto">
        <a:xfrm>
          <a:off x="0" y="2583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</xdr:row>
      <xdr:rowOff>0</xdr:rowOff>
    </xdr:from>
    <xdr:to>
      <xdr:col>22</xdr:col>
      <xdr:colOff>304800</xdr:colOff>
      <xdr:row>14</xdr:row>
      <xdr:rowOff>129540</xdr:rowOff>
    </xdr:to>
    <xdr:sp macro="" textlink="">
      <xdr:nvSpPr>
        <xdr:cNvPr id="27" name="AutoShape 26" descr="https://www.soccerstats.com/img/own/sshplogo.png">
          <a:hlinkClick xmlns:r="http://schemas.openxmlformats.org/officeDocument/2006/relationships" r:id="rId528"/>
        </xdr:cNvPr>
        <xdr:cNvSpPr>
          <a:spLocks noChangeAspect="1" noChangeArrowheads="1"/>
        </xdr:cNvSpPr>
      </xdr:nvSpPr>
      <xdr:spPr bwMode="auto">
        <a:xfrm>
          <a:off x="13411200" y="2583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152400</xdr:colOff>
      <xdr:row>14</xdr:row>
      <xdr:rowOff>106680</xdr:rowOff>
    </xdr:to>
    <xdr:sp macro="" textlink="">
      <xdr:nvSpPr>
        <xdr:cNvPr id="28" name="AutoShape 27" descr="GERMANY2"/>
        <xdr:cNvSpPr>
          <a:spLocks noChangeAspect="1" noChangeArrowheads="1"/>
        </xdr:cNvSpPr>
      </xdr:nvSpPr>
      <xdr:spPr bwMode="auto">
        <a:xfrm>
          <a:off x="0" y="2758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</xdr:row>
      <xdr:rowOff>0</xdr:rowOff>
    </xdr:from>
    <xdr:to>
      <xdr:col>22</xdr:col>
      <xdr:colOff>304800</xdr:colOff>
      <xdr:row>15</xdr:row>
      <xdr:rowOff>53340</xdr:rowOff>
    </xdr:to>
    <xdr:sp macro="" textlink="">
      <xdr:nvSpPr>
        <xdr:cNvPr id="29" name="AutoShape 28" descr="https://www.soccerstats.com/img/own/sshplogo.png">
          <a:hlinkClick xmlns:r="http://schemas.openxmlformats.org/officeDocument/2006/relationships" r:id="rId529"/>
        </xdr:cNvPr>
        <xdr:cNvSpPr>
          <a:spLocks noChangeAspect="1" noChangeArrowheads="1"/>
        </xdr:cNvSpPr>
      </xdr:nvSpPr>
      <xdr:spPr bwMode="auto">
        <a:xfrm>
          <a:off x="13411200" y="2758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152400</xdr:colOff>
      <xdr:row>15</xdr:row>
      <xdr:rowOff>106680</xdr:rowOff>
    </xdr:to>
    <xdr:sp macro="" textlink="">
      <xdr:nvSpPr>
        <xdr:cNvPr id="30" name="AutoShape 29" descr="GERMANY2"/>
        <xdr:cNvSpPr>
          <a:spLocks noChangeAspect="1" noChangeArrowheads="1"/>
        </xdr:cNvSpPr>
      </xdr:nvSpPr>
      <xdr:spPr bwMode="auto">
        <a:xfrm>
          <a:off x="0" y="3009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15</xdr:row>
      <xdr:rowOff>0</xdr:rowOff>
    </xdr:from>
    <xdr:to>
      <xdr:col>22</xdr:col>
      <xdr:colOff>304800</xdr:colOff>
      <xdr:row>16</xdr:row>
      <xdr:rowOff>129540</xdr:rowOff>
    </xdr:to>
    <xdr:sp macro="" textlink="">
      <xdr:nvSpPr>
        <xdr:cNvPr id="31" name="AutoShape 30" descr="https://www.soccerstats.com/img/own/sshplogo.png">
          <a:hlinkClick xmlns:r="http://schemas.openxmlformats.org/officeDocument/2006/relationships" r:id="rId530"/>
        </xdr:cNvPr>
        <xdr:cNvSpPr>
          <a:spLocks noChangeAspect="1" noChangeArrowheads="1"/>
        </xdr:cNvSpPr>
      </xdr:nvSpPr>
      <xdr:spPr bwMode="auto">
        <a:xfrm>
          <a:off x="13411200" y="3009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152400</xdr:colOff>
      <xdr:row>16</xdr:row>
      <xdr:rowOff>106680</xdr:rowOff>
    </xdr:to>
    <xdr:sp macro="" textlink="">
      <xdr:nvSpPr>
        <xdr:cNvPr id="32" name="AutoShape 31" descr="NETHERLANDS2"/>
        <xdr:cNvSpPr>
          <a:spLocks noChangeAspect="1" noChangeArrowheads="1"/>
        </xdr:cNvSpPr>
      </xdr:nvSpPr>
      <xdr:spPr bwMode="auto">
        <a:xfrm>
          <a:off x="0" y="3185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16</xdr:row>
      <xdr:rowOff>0</xdr:rowOff>
    </xdr:from>
    <xdr:to>
      <xdr:col>22</xdr:col>
      <xdr:colOff>304800</xdr:colOff>
      <xdr:row>17</xdr:row>
      <xdr:rowOff>129540</xdr:rowOff>
    </xdr:to>
    <xdr:sp macro="" textlink="">
      <xdr:nvSpPr>
        <xdr:cNvPr id="33" name="AutoShape 32" descr="https://www.soccerstats.com/img/own/sshplogo.png">
          <a:hlinkClick xmlns:r="http://schemas.openxmlformats.org/officeDocument/2006/relationships" r:id="rId531"/>
        </xdr:cNvPr>
        <xdr:cNvSpPr>
          <a:spLocks noChangeAspect="1" noChangeArrowheads="1"/>
        </xdr:cNvSpPr>
      </xdr:nvSpPr>
      <xdr:spPr bwMode="auto">
        <a:xfrm>
          <a:off x="13411200" y="3185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152400</xdr:colOff>
      <xdr:row>17</xdr:row>
      <xdr:rowOff>106680</xdr:rowOff>
    </xdr:to>
    <xdr:sp macro="" textlink="">
      <xdr:nvSpPr>
        <xdr:cNvPr id="34" name="AutoShape 33" descr="NETHERLANDS2"/>
        <xdr:cNvSpPr>
          <a:spLocks noChangeAspect="1" noChangeArrowheads="1"/>
        </xdr:cNvSpPr>
      </xdr:nvSpPr>
      <xdr:spPr bwMode="auto">
        <a:xfrm>
          <a:off x="0" y="3360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17</xdr:row>
      <xdr:rowOff>0</xdr:rowOff>
    </xdr:from>
    <xdr:to>
      <xdr:col>22</xdr:col>
      <xdr:colOff>304800</xdr:colOff>
      <xdr:row>18</xdr:row>
      <xdr:rowOff>53340</xdr:rowOff>
    </xdr:to>
    <xdr:sp macro="" textlink="">
      <xdr:nvSpPr>
        <xdr:cNvPr id="35" name="AutoShape 34" descr="https://www.soccerstats.com/img/own/sshplogo.png">
          <a:hlinkClick xmlns:r="http://schemas.openxmlformats.org/officeDocument/2006/relationships" r:id="rId532"/>
        </xdr:cNvPr>
        <xdr:cNvSpPr>
          <a:spLocks noChangeAspect="1" noChangeArrowheads="1"/>
        </xdr:cNvSpPr>
      </xdr:nvSpPr>
      <xdr:spPr bwMode="auto">
        <a:xfrm>
          <a:off x="13411200" y="3360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152400</xdr:colOff>
      <xdr:row>18</xdr:row>
      <xdr:rowOff>106680</xdr:rowOff>
    </xdr:to>
    <xdr:sp macro="" textlink="">
      <xdr:nvSpPr>
        <xdr:cNvPr id="36" name="AutoShape 35" descr="NETHERLANDS2"/>
        <xdr:cNvSpPr>
          <a:spLocks noChangeAspect="1" noChangeArrowheads="1"/>
        </xdr:cNvSpPr>
      </xdr:nvSpPr>
      <xdr:spPr bwMode="auto">
        <a:xfrm>
          <a:off x="0" y="3611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18</xdr:row>
      <xdr:rowOff>0</xdr:rowOff>
    </xdr:from>
    <xdr:to>
      <xdr:col>22</xdr:col>
      <xdr:colOff>304800</xdr:colOff>
      <xdr:row>19</xdr:row>
      <xdr:rowOff>53340</xdr:rowOff>
    </xdr:to>
    <xdr:sp macro="" textlink="">
      <xdr:nvSpPr>
        <xdr:cNvPr id="37" name="AutoShape 36" descr="https://www.soccerstats.com/img/own/sshplogo.png">
          <a:hlinkClick xmlns:r="http://schemas.openxmlformats.org/officeDocument/2006/relationships" r:id="rId533"/>
        </xdr:cNvPr>
        <xdr:cNvSpPr>
          <a:spLocks noChangeAspect="1" noChangeArrowheads="1"/>
        </xdr:cNvSpPr>
      </xdr:nvSpPr>
      <xdr:spPr bwMode="auto">
        <a:xfrm>
          <a:off x="13411200" y="3611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152400</xdr:colOff>
      <xdr:row>19</xdr:row>
      <xdr:rowOff>106680</xdr:rowOff>
    </xdr:to>
    <xdr:sp macro="" textlink="">
      <xdr:nvSpPr>
        <xdr:cNvPr id="38" name="AutoShape 37" descr="NETHERLANDS2"/>
        <xdr:cNvSpPr>
          <a:spLocks noChangeAspect="1" noChangeArrowheads="1"/>
        </xdr:cNvSpPr>
      </xdr:nvSpPr>
      <xdr:spPr bwMode="auto">
        <a:xfrm>
          <a:off x="0" y="3863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19</xdr:row>
      <xdr:rowOff>0</xdr:rowOff>
    </xdr:from>
    <xdr:to>
      <xdr:col>22</xdr:col>
      <xdr:colOff>304800</xdr:colOff>
      <xdr:row>20</xdr:row>
      <xdr:rowOff>129540</xdr:rowOff>
    </xdr:to>
    <xdr:sp macro="" textlink="">
      <xdr:nvSpPr>
        <xdr:cNvPr id="39" name="AutoShape 38" descr="https://www.soccerstats.com/img/own/sshplogo.png">
          <a:hlinkClick xmlns:r="http://schemas.openxmlformats.org/officeDocument/2006/relationships" r:id="rId534"/>
        </xdr:cNvPr>
        <xdr:cNvSpPr>
          <a:spLocks noChangeAspect="1" noChangeArrowheads="1"/>
        </xdr:cNvSpPr>
      </xdr:nvSpPr>
      <xdr:spPr bwMode="auto">
        <a:xfrm>
          <a:off x="13411200" y="3863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152400</xdr:colOff>
      <xdr:row>20</xdr:row>
      <xdr:rowOff>106680</xdr:rowOff>
    </xdr:to>
    <xdr:sp macro="" textlink="">
      <xdr:nvSpPr>
        <xdr:cNvPr id="40" name="AutoShape 39" descr="NETHERLANDS2"/>
        <xdr:cNvSpPr>
          <a:spLocks noChangeAspect="1" noChangeArrowheads="1"/>
        </xdr:cNvSpPr>
      </xdr:nvSpPr>
      <xdr:spPr bwMode="auto">
        <a:xfrm>
          <a:off x="0" y="4038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20</xdr:row>
      <xdr:rowOff>0</xdr:rowOff>
    </xdr:from>
    <xdr:to>
      <xdr:col>22</xdr:col>
      <xdr:colOff>304800</xdr:colOff>
      <xdr:row>21</xdr:row>
      <xdr:rowOff>129540</xdr:rowOff>
    </xdr:to>
    <xdr:sp macro="" textlink="">
      <xdr:nvSpPr>
        <xdr:cNvPr id="41" name="AutoShape 40" descr="https://www.soccerstats.com/img/own/sshplogo.png">
          <a:hlinkClick xmlns:r="http://schemas.openxmlformats.org/officeDocument/2006/relationships" r:id="rId535"/>
        </xdr:cNvPr>
        <xdr:cNvSpPr>
          <a:spLocks noChangeAspect="1" noChangeArrowheads="1"/>
        </xdr:cNvSpPr>
      </xdr:nvSpPr>
      <xdr:spPr bwMode="auto">
        <a:xfrm>
          <a:off x="13411200" y="4038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152400</xdr:colOff>
      <xdr:row>21</xdr:row>
      <xdr:rowOff>106680</xdr:rowOff>
    </xdr:to>
    <xdr:sp macro="" textlink="">
      <xdr:nvSpPr>
        <xdr:cNvPr id="42" name="AutoShape 41" descr="NETHERLANDS2"/>
        <xdr:cNvSpPr>
          <a:spLocks noChangeAspect="1" noChangeArrowheads="1"/>
        </xdr:cNvSpPr>
      </xdr:nvSpPr>
      <xdr:spPr bwMode="auto">
        <a:xfrm>
          <a:off x="0" y="4213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21</xdr:row>
      <xdr:rowOff>0</xdr:rowOff>
    </xdr:from>
    <xdr:to>
      <xdr:col>22</xdr:col>
      <xdr:colOff>304800</xdr:colOff>
      <xdr:row>22</xdr:row>
      <xdr:rowOff>53340</xdr:rowOff>
    </xdr:to>
    <xdr:sp macro="" textlink="">
      <xdr:nvSpPr>
        <xdr:cNvPr id="43" name="AutoShape 42" descr="https://www.soccerstats.com/img/own/sshplogo.png">
          <a:hlinkClick xmlns:r="http://schemas.openxmlformats.org/officeDocument/2006/relationships" r:id="rId536"/>
        </xdr:cNvPr>
        <xdr:cNvSpPr>
          <a:spLocks noChangeAspect="1" noChangeArrowheads="1"/>
        </xdr:cNvSpPr>
      </xdr:nvSpPr>
      <xdr:spPr bwMode="auto">
        <a:xfrm>
          <a:off x="13411200" y="4213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152400</xdr:colOff>
      <xdr:row>22</xdr:row>
      <xdr:rowOff>106680</xdr:rowOff>
    </xdr:to>
    <xdr:sp macro="" textlink="">
      <xdr:nvSpPr>
        <xdr:cNvPr id="44" name="AutoShape 43" descr="ARGENTINA2"/>
        <xdr:cNvSpPr>
          <a:spLocks noChangeAspect="1" noChangeArrowheads="1"/>
        </xdr:cNvSpPr>
      </xdr:nvSpPr>
      <xdr:spPr bwMode="auto">
        <a:xfrm>
          <a:off x="0" y="4465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22</xdr:row>
      <xdr:rowOff>0</xdr:rowOff>
    </xdr:from>
    <xdr:to>
      <xdr:col>22</xdr:col>
      <xdr:colOff>304800</xdr:colOff>
      <xdr:row>23</xdr:row>
      <xdr:rowOff>129540</xdr:rowOff>
    </xdr:to>
    <xdr:sp macro="" textlink="">
      <xdr:nvSpPr>
        <xdr:cNvPr id="45" name="AutoShape 44" descr="https://www.soccerstats.com/img/own/sshplogo.png">
          <a:hlinkClick xmlns:r="http://schemas.openxmlformats.org/officeDocument/2006/relationships" r:id="rId537"/>
        </xdr:cNvPr>
        <xdr:cNvSpPr>
          <a:spLocks noChangeAspect="1" noChangeArrowheads="1"/>
        </xdr:cNvSpPr>
      </xdr:nvSpPr>
      <xdr:spPr bwMode="auto">
        <a:xfrm>
          <a:off x="13411200" y="4465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152400</xdr:colOff>
      <xdr:row>23</xdr:row>
      <xdr:rowOff>106680</xdr:rowOff>
    </xdr:to>
    <xdr:sp macro="" textlink="">
      <xdr:nvSpPr>
        <xdr:cNvPr id="46" name="AutoShape 45" descr="ARGENTINA3"/>
        <xdr:cNvSpPr>
          <a:spLocks noChangeAspect="1" noChangeArrowheads="1"/>
        </xdr:cNvSpPr>
      </xdr:nvSpPr>
      <xdr:spPr bwMode="auto">
        <a:xfrm>
          <a:off x="0" y="4640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23</xdr:row>
      <xdr:rowOff>0</xdr:rowOff>
    </xdr:from>
    <xdr:to>
      <xdr:col>22</xdr:col>
      <xdr:colOff>304800</xdr:colOff>
      <xdr:row>24</xdr:row>
      <xdr:rowOff>129540</xdr:rowOff>
    </xdr:to>
    <xdr:sp macro="" textlink="">
      <xdr:nvSpPr>
        <xdr:cNvPr id="47" name="AutoShape 46" descr="https://www.soccerstats.com/img/own/sshplogo.png">
          <a:hlinkClick xmlns:r="http://schemas.openxmlformats.org/officeDocument/2006/relationships" r:id="rId538"/>
        </xdr:cNvPr>
        <xdr:cNvSpPr>
          <a:spLocks noChangeAspect="1" noChangeArrowheads="1"/>
        </xdr:cNvSpPr>
      </xdr:nvSpPr>
      <xdr:spPr bwMode="auto">
        <a:xfrm>
          <a:off x="13411200" y="4640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48" name="AutoShape 47" descr="ARGENTINA3"/>
        <xdr:cNvSpPr>
          <a:spLocks noChangeAspect="1" noChangeArrowheads="1"/>
        </xdr:cNvSpPr>
      </xdr:nvSpPr>
      <xdr:spPr bwMode="auto">
        <a:xfrm>
          <a:off x="0" y="4815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49" name="AutoShape 48" descr="https://www.soccerstats.com/img/own/sshplogo.png">
          <a:hlinkClick xmlns:r="http://schemas.openxmlformats.org/officeDocument/2006/relationships" r:id="rId539"/>
        </xdr:cNvPr>
        <xdr:cNvSpPr>
          <a:spLocks noChangeAspect="1" noChangeArrowheads="1"/>
        </xdr:cNvSpPr>
      </xdr:nvSpPr>
      <xdr:spPr bwMode="auto">
        <a:xfrm>
          <a:off x="13411200" y="4815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152400</xdr:colOff>
      <xdr:row>25</xdr:row>
      <xdr:rowOff>106680</xdr:rowOff>
    </xdr:to>
    <xdr:sp macro="" textlink="">
      <xdr:nvSpPr>
        <xdr:cNvPr id="50" name="AutoShape 49" descr="ARMENIA"/>
        <xdr:cNvSpPr>
          <a:spLocks noChangeAspect="1" noChangeArrowheads="1"/>
        </xdr:cNvSpPr>
      </xdr:nvSpPr>
      <xdr:spPr bwMode="auto">
        <a:xfrm>
          <a:off x="0" y="5067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25</xdr:row>
      <xdr:rowOff>0</xdr:rowOff>
    </xdr:from>
    <xdr:to>
      <xdr:col>22</xdr:col>
      <xdr:colOff>304800</xdr:colOff>
      <xdr:row>26</xdr:row>
      <xdr:rowOff>129540</xdr:rowOff>
    </xdr:to>
    <xdr:sp macro="" textlink="">
      <xdr:nvSpPr>
        <xdr:cNvPr id="51" name="AutoShape 50" descr="https://www.soccerstats.com/img/own/sshplogo.png">
          <a:hlinkClick xmlns:r="http://schemas.openxmlformats.org/officeDocument/2006/relationships" r:id="rId540"/>
        </xdr:cNvPr>
        <xdr:cNvSpPr>
          <a:spLocks noChangeAspect="1" noChangeArrowheads="1"/>
        </xdr:cNvSpPr>
      </xdr:nvSpPr>
      <xdr:spPr bwMode="auto">
        <a:xfrm>
          <a:off x="13411200" y="5067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152400</xdr:colOff>
      <xdr:row>26</xdr:row>
      <xdr:rowOff>106680</xdr:rowOff>
    </xdr:to>
    <xdr:sp macro="" textlink="">
      <xdr:nvSpPr>
        <xdr:cNvPr id="52" name="AutoShape 51" descr="AUSTRALIA3"/>
        <xdr:cNvSpPr>
          <a:spLocks noChangeAspect="1" noChangeArrowheads="1"/>
        </xdr:cNvSpPr>
      </xdr:nvSpPr>
      <xdr:spPr bwMode="auto">
        <a:xfrm>
          <a:off x="0" y="5242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26</xdr:row>
      <xdr:rowOff>0</xdr:rowOff>
    </xdr:from>
    <xdr:to>
      <xdr:col>22</xdr:col>
      <xdr:colOff>304800</xdr:colOff>
      <xdr:row>27</xdr:row>
      <xdr:rowOff>53340</xdr:rowOff>
    </xdr:to>
    <xdr:sp macro="" textlink="">
      <xdr:nvSpPr>
        <xdr:cNvPr id="53" name="AutoShape 52" descr="https://www.soccerstats.com/img/own/sshplogo.png">
          <a:hlinkClick xmlns:r="http://schemas.openxmlformats.org/officeDocument/2006/relationships" r:id="rId541"/>
        </xdr:cNvPr>
        <xdr:cNvSpPr>
          <a:spLocks noChangeAspect="1" noChangeArrowheads="1"/>
        </xdr:cNvSpPr>
      </xdr:nvSpPr>
      <xdr:spPr bwMode="auto">
        <a:xfrm>
          <a:off x="13411200" y="5242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152400</xdr:colOff>
      <xdr:row>27</xdr:row>
      <xdr:rowOff>106680</xdr:rowOff>
    </xdr:to>
    <xdr:sp macro="" textlink="">
      <xdr:nvSpPr>
        <xdr:cNvPr id="54" name="AutoShape 53" descr="AUSTRALIA3"/>
        <xdr:cNvSpPr>
          <a:spLocks noChangeAspect="1" noChangeArrowheads="1"/>
        </xdr:cNvSpPr>
      </xdr:nvSpPr>
      <xdr:spPr bwMode="auto">
        <a:xfrm>
          <a:off x="0" y="5494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27</xdr:row>
      <xdr:rowOff>0</xdr:rowOff>
    </xdr:from>
    <xdr:to>
      <xdr:col>22</xdr:col>
      <xdr:colOff>304800</xdr:colOff>
      <xdr:row>28</xdr:row>
      <xdr:rowOff>129540</xdr:rowOff>
    </xdr:to>
    <xdr:sp macro="" textlink="">
      <xdr:nvSpPr>
        <xdr:cNvPr id="55" name="AutoShape 54" descr="https://www.soccerstats.com/img/own/sshplogo.png">
          <a:hlinkClick xmlns:r="http://schemas.openxmlformats.org/officeDocument/2006/relationships" r:id="rId542"/>
        </xdr:cNvPr>
        <xdr:cNvSpPr>
          <a:spLocks noChangeAspect="1" noChangeArrowheads="1"/>
        </xdr:cNvSpPr>
      </xdr:nvSpPr>
      <xdr:spPr bwMode="auto">
        <a:xfrm>
          <a:off x="13411200" y="5494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152400</xdr:colOff>
      <xdr:row>28</xdr:row>
      <xdr:rowOff>106680</xdr:rowOff>
    </xdr:to>
    <xdr:sp macro="" textlink="">
      <xdr:nvSpPr>
        <xdr:cNvPr id="56" name="AutoShape 55" descr="AUSTRALIA3"/>
        <xdr:cNvSpPr>
          <a:spLocks noChangeAspect="1" noChangeArrowheads="1"/>
        </xdr:cNvSpPr>
      </xdr:nvSpPr>
      <xdr:spPr bwMode="auto">
        <a:xfrm>
          <a:off x="0" y="5669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28</xdr:row>
      <xdr:rowOff>0</xdr:rowOff>
    </xdr:from>
    <xdr:to>
      <xdr:col>22</xdr:col>
      <xdr:colOff>304800</xdr:colOff>
      <xdr:row>29</xdr:row>
      <xdr:rowOff>129540</xdr:rowOff>
    </xdr:to>
    <xdr:sp macro="" textlink="">
      <xdr:nvSpPr>
        <xdr:cNvPr id="57" name="AutoShape 56" descr="https://www.soccerstats.com/img/own/sshplogo.png">
          <a:hlinkClick xmlns:r="http://schemas.openxmlformats.org/officeDocument/2006/relationships" r:id="rId543"/>
        </xdr:cNvPr>
        <xdr:cNvSpPr>
          <a:spLocks noChangeAspect="1" noChangeArrowheads="1"/>
        </xdr:cNvSpPr>
      </xdr:nvSpPr>
      <xdr:spPr bwMode="auto">
        <a:xfrm>
          <a:off x="13411200" y="5669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152400</xdr:colOff>
      <xdr:row>29</xdr:row>
      <xdr:rowOff>106680</xdr:rowOff>
    </xdr:to>
    <xdr:sp macro="" textlink="">
      <xdr:nvSpPr>
        <xdr:cNvPr id="58" name="AutoShape 57" descr="AUSTRALIA4"/>
        <xdr:cNvSpPr>
          <a:spLocks noChangeAspect="1" noChangeArrowheads="1"/>
        </xdr:cNvSpPr>
      </xdr:nvSpPr>
      <xdr:spPr bwMode="auto">
        <a:xfrm>
          <a:off x="0" y="5844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29</xdr:row>
      <xdr:rowOff>0</xdr:rowOff>
    </xdr:from>
    <xdr:to>
      <xdr:col>22</xdr:col>
      <xdr:colOff>304800</xdr:colOff>
      <xdr:row>30</xdr:row>
      <xdr:rowOff>53340</xdr:rowOff>
    </xdr:to>
    <xdr:sp macro="" textlink="">
      <xdr:nvSpPr>
        <xdr:cNvPr id="59" name="AutoShape 58" descr="https://www.soccerstats.com/img/own/sshplogo.png">
          <a:hlinkClick xmlns:r="http://schemas.openxmlformats.org/officeDocument/2006/relationships" r:id="rId544"/>
        </xdr:cNvPr>
        <xdr:cNvSpPr>
          <a:spLocks noChangeAspect="1" noChangeArrowheads="1"/>
        </xdr:cNvSpPr>
      </xdr:nvSpPr>
      <xdr:spPr bwMode="auto">
        <a:xfrm>
          <a:off x="13411200" y="5844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152400</xdr:colOff>
      <xdr:row>30</xdr:row>
      <xdr:rowOff>106680</xdr:rowOff>
    </xdr:to>
    <xdr:sp macro="" textlink="">
      <xdr:nvSpPr>
        <xdr:cNvPr id="60" name="AutoShape 59" descr="AUSTRALIA4"/>
        <xdr:cNvSpPr>
          <a:spLocks noChangeAspect="1" noChangeArrowheads="1"/>
        </xdr:cNvSpPr>
      </xdr:nvSpPr>
      <xdr:spPr bwMode="auto">
        <a:xfrm>
          <a:off x="0" y="6096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30</xdr:row>
      <xdr:rowOff>0</xdr:rowOff>
    </xdr:from>
    <xdr:to>
      <xdr:col>22</xdr:col>
      <xdr:colOff>304800</xdr:colOff>
      <xdr:row>31</xdr:row>
      <xdr:rowOff>53340</xdr:rowOff>
    </xdr:to>
    <xdr:sp macro="" textlink="">
      <xdr:nvSpPr>
        <xdr:cNvPr id="61" name="AutoShape 60" descr="https://www.soccerstats.com/img/own/sshplogo.png">
          <a:hlinkClick xmlns:r="http://schemas.openxmlformats.org/officeDocument/2006/relationships" r:id="rId545"/>
        </xdr:cNvPr>
        <xdr:cNvSpPr>
          <a:spLocks noChangeAspect="1" noChangeArrowheads="1"/>
        </xdr:cNvSpPr>
      </xdr:nvSpPr>
      <xdr:spPr bwMode="auto">
        <a:xfrm>
          <a:off x="13411200" y="609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152400</xdr:colOff>
      <xdr:row>31</xdr:row>
      <xdr:rowOff>106680</xdr:rowOff>
    </xdr:to>
    <xdr:sp macro="" textlink="">
      <xdr:nvSpPr>
        <xdr:cNvPr id="62" name="AutoShape 61" descr="AUSTRALIA4"/>
        <xdr:cNvSpPr>
          <a:spLocks noChangeAspect="1" noChangeArrowheads="1"/>
        </xdr:cNvSpPr>
      </xdr:nvSpPr>
      <xdr:spPr bwMode="auto">
        <a:xfrm>
          <a:off x="0" y="6347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31</xdr:row>
      <xdr:rowOff>0</xdr:rowOff>
    </xdr:from>
    <xdr:to>
      <xdr:col>22</xdr:col>
      <xdr:colOff>304800</xdr:colOff>
      <xdr:row>32</xdr:row>
      <xdr:rowOff>53340</xdr:rowOff>
    </xdr:to>
    <xdr:sp macro="" textlink="">
      <xdr:nvSpPr>
        <xdr:cNvPr id="63" name="AutoShape 62" descr="https://www.soccerstats.com/img/own/sshplogo.png">
          <a:hlinkClick xmlns:r="http://schemas.openxmlformats.org/officeDocument/2006/relationships" r:id="rId546"/>
        </xdr:cNvPr>
        <xdr:cNvSpPr>
          <a:spLocks noChangeAspect="1" noChangeArrowheads="1"/>
        </xdr:cNvSpPr>
      </xdr:nvSpPr>
      <xdr:spPr bwMode="auto">
        <a:xfrm>
          <a:off x="13411200" y="6347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152400</xdr:colOff>
      <xdr:row>32</xdr:row>
      <xdr:rowOff>106680</xdr:rowOff>
    </xdr:to>
    <xdr:sp macro="" textlink="">
      <xdr:nvSpPr>
        <xdr:cNvPr id="1024" name="AutoShape 63" descr="AUSTRALIA4"/>
        <xdr:cNvSpPr>
          <a:spLocks noChangeAspect="1" noChangeArrowheads="1"/>
        </xdr:cNvSpPr>
      </xdr:nvSpPr>
      <xdr:spPr bwMode="auto">
        <a:xfrm>
          <a:off x="0" y="6598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32</xdr:row>
      <xdr:rowOff>0</xdr:rowOff>
    </xdr:from>
    <xdr:to>
      <xdr:col>22</xdr:col>
      <xdr:colOff>304800</xdr:colOff>
      <xdr:row>33</xdr:row>
      <xdr:rowOff>129540</xdr:rowOff>
    </xdr:to>
    <xdr:sp macro="" textlink="">
      <xdr:nvSpPr>
        <xdr:cNvPr id="2048" name="AutoShape 64" descr="https://www.soccerstats.com/img/own/sshplogo.png">
          <a:hlinkClick xmlns:r="http://schemas.openxmlformats.org/officeDocument/2006/relationships" r:id="rId547"/>
        </xdr:cNvPr>
        <xdr:cNvSpPr>
          <a:spLocks noChangeAspect="1" noChangeArrowheads="1"/>
        </xdr:cNvSpPr>
      </xdr:nvSpPr>
      <xdr:spPr bwMode="auto">
        <a:xfrm>
          <a:off x="13411200" y="6598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152400</xdr:colOff>
      <xdr:row>33</xdr:row>
      <xdr:rowOff>106680</xdr:rowOff>
    </xdr:to>
    <xdr:sp macro="" textlink="">
      <xdr:nvSpPr>
        <xdr:cNvPr id="2049" name="AutoShape 65" descr="AUSTRALIA4"/>
        <xdr:cNvSpPr>
          <a:spLocks noChangeAspect="1" noChangeArrowheads="1"/>
        </xdr:cNvSpPr>
      </xdr:nvSpPr>
      <xdr:spPr bwMode="auto">
        <a:xfrm>
          <a:off x="0" y="6774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33</xdr:row>
      <xdr:rowOff>0</xdr:rowOff>
    </xdr:from>
    <xdr:to>
      <xdr:col>22</xdr:col>
      <xdr:colOff>304800</xdr:colOff>
      <xdr:row>34</xdr:row>
      <xdr:rowOff>129540</xdr:rowOff>
    </xdr:to>
    <xdr:sp macro="" textlink="">
      <xdr:nvSpPr>
        <xdr:cNvPr id="2050" name="AutoShape 66" descr="https://www.soccerstats.com/img/own/sshplogo.png">
          <a:hlinkClick xmlns:r="http://schemas.openxmlformats.org/officeDocument/2006/relationships" r:id="rId548"/>
        </xdr:cNvPr>
        <xdr:cNvSpPr>
          <a:spLocks noChangeAspect="1" noChangeArrowheads="1"/>
        </xdr:cNvSpPr>
      </xdr:nvSpPr>
      <xdr:spPr bwMode="auto">
        <a:xfrm>
          <a:off x="13411200" y="6774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152400</xdr:colOff>
      <xdr:row>34</xdr:row>
      <xdr:rowOff>106680</xdr:rowOff>
    </xdr:to>
    <xdr:sp macro="" textlink="">
      <xdr:nvSpPr>
        <xdr:cNvPr id="2051" name="AutoShape 67" descr="AUSTRALIA4"/>
        <xdr:cNvSpPr>
          <a:spLocks noChangeAspect="1" noChangeArrowheads="1"/>
        </xdr:cNvSpPr>
      </xdr:nvSpPr>
      <xdr:spPr bwMode="auto">
        <a:xfrm>
          <a:off x="0" y="6949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34</xdr:row>
      <xdr:rowOff>0</xdr:rowOff>
    </xdr:from>
    <xdr:to>
      <xdr:col>22</xdr:col>
      <xdr:colOff>304800</xdr:colOff>
      <xdr:row>35</xdr:row>
      <xdr:rowOff>53340</xdr:rowOff>
    </xdr:to>
    <xdr:sp macro="" textlink="">
      <xdr:nvSpPr>
        <xdr:cNvPr id="2052" name="AutoShape 68" descr="https://www.soccerstats.com/img/own/sshplogo.png">
          <a:hlinkClick xmlns:r="http://schemas.openxmlformats.org/officeDocument/2006/relationships" r:id="rId549"/>
        </xdr:cNvPr>
        <xdr:cNvSpPr>
          <a:spLocks noChangeAspect="1" noChangeArrowheads="1"/>
        </xdr:cNvSpPr>
      </xdr:nvSpPr>
      <xdr:spPr bwMode="auto">
        <a:xfrm>
          <a:off x="13411200" y="6949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152400</xdr:colOff>
      <xdr:row>35</xdr:row>
      <xdr:rowOff>106680</xdr:rowOff>
    </xdr:to>
    <xdr:sp macro="" textlink="">
      <xdr:nvSpPr>
        <xdr:cNvPr id="2053" name="AutoShape 69" descr="AUSTRALIA5"/>
        <xdr:cNvSpPr>
          <a:spLocks noChangeAspect="1" noChangeArrowheads="1"/>
        </xdr:cNvSpPr>
      </xdr:nvSpPr>
      <xdr:spPr bwMode="auto">
        <a:xfrm>
          <a:off x="0" y="7200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35</xdr:row>
      <xdr:rowOff>0</xdr:rowOff>
    </xdr:from>
    <xdr:to>
      <xdr:col>22</xdr:col>
      <xdr:colOff>304800</xdr:colOff>
      <xdr:row>36</xdr:row>
      <xdr:rowOff>129540</xdr:rowOff>
    </xdr:to>
    <xdr:sp macro="" textlink="">
      <xdr:nvSpPr>
        <xdr:cNvPr id="2054" name="AutoShape 70" descr="https://www.soccerstats.com/img/own/sshplogo.png">
          <a:hlinkClick xmlns:r="http://schemas.openxmlformats.org/officeDocument/2006/relationships" r:id="rId550"/>
        </xdr:cNvPr>
        <xdr:cNvSpPr>
          <a:spLocks noChangeAspect="1" noChangeArrowheads="1"/>
        </xdr:cNvSpPr>
      </xdr:nvSpPr>
      <xdr:spPr bwMode="auto">
        <a:xfrm>
          <a:off x="13411200" y="7200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152400</xdr:colOff>
      <xdr:row>36</xdr:row>
      <xdr:rowOff>106680</xdr:rowOff>
    </xdr:to>
    <xdr:sp macro="" textlink="">
      <xdr:nvSpPr>
        <xdr:cNvPr id="2055" name="AutoShape 71" descr="AUSTRALIA11"/>
        <xdr:cNvSpPr>
          <a:spLocks noChangeAspect="1" noChangeArrowheads="1"/>
        </xdr:cNvSpPr>
      </xdr:nvSpPr>
      <xdr:spPr bwMode="auto">
        <a:xfrm>
          <a:off x="0" y="7376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36</xdr:row>
      <xdr:rowOff>0</xdr:rowOff>
    </xdr:from>
    <xdr:to>
      <xdr:col>22</xdr:col>
      <xdr:colOff>304800</xdr:colOff>
      <xdr:row>37</xdr:row>
      <xdr:rowOff>53340</xdr:rowOff>
    </xdr:to>
    <xdr:sp macro="" textlink="">
      <xdr:nvSpPr>
        <xdr:cNvPr id="2056" name="AutoShape 72" descr="https://www.soccerstats.com/img/own/sshplogo.png">
          <a:hlinkClick xmlns:r="http://schemas.openxmlformats.org/officeDocument/2006/relationships" r:id="rId551"/>
        </xdr:cNvPr>
        <xdr:cNvSpPr>
          <a:spLocks noChangeAspect="1" noChangeArrowheads="1"/>
        </xdr:cNvSpPr>
      </xdr:nvSpPr>
      <xdr:spPr bwMode="auto">
        <a:xfrm>
          <a:off x="13411200" y="7376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152400</xdr:colOff>
      <xdr:row>37</xdr:row>
      <xdr:rowOff>106680</xdr:rowOff>
    </xdr:to>
    <xdr:sp macro="" textlink="">
      <xdr:nvSpPr>
        <xdr:cNvPr id="2057" name="AutoShape 73" descr="AUSTRIA"/>
        <xdr:cNvSpPr>
          <a:spLocks noChangeAspect="1" noChangeArrowheads="1"/>
        </xdr:cNvSpPr>
      </xdr:nvSpPr>
      <xdr:spPr bwMode="auto">
        <a:xfrm>
          <a:off x="0" y="7627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37</xdr:row>
      <xdr:rowOff>0</xdr:rowOff>
    </xdr:from>
    <xdr:to>
      <xdr:col>22</xdr:col>
      <xdr:colOff>304800</xdr:colOff>
      <xdr:row>38</xdr:row>
      <xdr:rowOff>129540</xdr:rowOff>
    </xdr:to>
    <xdr:sp macro="" textlink="">
      <xdr:nvSpPr>
        <xdr:cNvPr id="2058" name="AutoShape 74" descr="https://www.soccerstats.com/img/own/sshplogo.png">
          <a:hlinkClick xmlns:r="http://schemas.openxmlformats.org/officeDocument/2006/relationships" r:id="rId552"/>
        </xdr:cNvPr>
        <xdr:cNvSpPr>
          <a:spLocks noChangeAspect="1" noChangeArrowheads="1"/>
        </xdr:cNvSpPr>
      </xdr:nvSpPr>
      <xdr:spPr bwMode="auto">
        <a:xfrm>
          <a:off x="13411200" y="7627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152400</xdr:colOff>
      <xdr:row>38</xdr:row>
      <xdr:rowOff>106680</xdr:rowOff>
    </xdr:to>
    <xdr:sp macro="" textlink="">
      <xdr:nvSpPr>
        <xdr:cNvPr id="2059" name="AutoShape 75" descr="AUSTRIA2"/>
        <xdr:cNvSpPr>
          <a:spLocks noChangeAspect="1" noChangeArrowheads="1"/>
        </xdr:cNvSpPr>
      </xdr:nvSpPr>
      <xdr:spPr bwMode="auto">
        <a:xfrm>
          <a:off x="0" y="7802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38</xdr:row>
      <xdr:rowOff>0</xdr:rowOff>
    </xdr:from>
    <xdr:to>
      <xdr:col>22</xdr:col>
      <xdr:colOff>304800</xdr:colOff>
      <xdr:row>39</xdr:row>
      <xdr:rowOff>129540</xdr:rowOff>
    </xdr:to>
    <xdr:sp macro="" textlink="">
      <xdr:nvSpPr>
        <xdr:cNvPr id="2060" name="AutoShape 76" descr="https://www.soccerstats.com/img/own/sshplogo.png">
          <a:hlinkClick xmlns:r="http://schemas.openxmlformats.org/officeDocument/2006/relationships" r:id="rId553"/>
        </xdr:cNvPr>
        <xdr:cNvSpPr>
          <a:spLocks noChangeAspect="1" noChangeArrowheads="1"/>
        </xdr:cNvSpPr>
      </xdr:nvSpPr>
      <xdr:spPr bwMode="auto">
        <a:xfrm>
          <a:off x="13411200" y="7802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152400</xdr:colOff>
      <xdr:row>39</xdr:row>
      <xdr:rowOff>106680</xdr:rowOff>
    </xdr:to>
    <xdr:sp macro="" textlink="">
      <xdr:nvSpPr>
        <xdr:cNvPr id="2061" name="AutoShape 77" descr="AUSTRIA2"/>
        <xdr:cNvSpPr>
          <a:spLocks noChangeAspect="1" noChangeArrowheads="1"/>
        </xdr:cNvSpPr>
      </xdr:nvSpPr>
      <xdr:spPr bwMode="auto">
        <a:xfrm>
          <a:off x="0" y="7978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39</xdr:row>
      <xdr:rowOff>0</xdr:rowOff>
    </xdr:from>
    <xdr:to>
      <xdr:col>22</xdr:col>
      <xdr:colOff>304800</xdr:colOff>
      <xdr:row>40</xdr:row>
      <xdr:rowOff>129540</xdr:rowOff>
    </xdr:to>
    <xdr:sp macro="" textlink="">
      <xdr:nvSpPr>
        <xdr:cNvPr id="2062" name="AutoShape 78" descr="https://www.soccerstats.com/img/own/sshplogo.png">
          <a:hlinkClick xmlns:r="http://schemas.openxmlformats.org/officeDocument/2006/relationships" r:id="rId554"/>
        </xdr:cNvPr>
        <xdr:cNvSpPr>
          <a:spLocks noChangeAspect="1" noChangeArrowheads="1"/>
        </xdr:cNvSpPr>
      </xdr:nvSpPr>
      <xdr:spPr bwMode="auto">
        <a:xfrm>
          <a:off x="13411200" y="7978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152400</xdr:colOff>
      <xdr:row>40</xdr:row>
      <xdr:rowOff>106680</xdr:rowOff>
    </xdr:to>
    <xdr:sp macro="" textlink="">
      <xdr:nvSpPr>
        <xdr:cNvPr id="2063" name="AutoShape 79" descr="AZERBAIJAN"/>
        <xdr:cNvSpPr>
          <a:spLocks noChangeAspect="1" noChangeArrowheads="1"/>
        </xdr:cNvSpPr>
      </xdr:nvSpPr>
      <xdr:spPr bwMode="auto">
        <a:xfrm>
          <a:off x="0" y="8153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40</xdr:row>
      <xdr:rowOff>0</xdr:rowOff>
    </xdr:from>
    <xdr:to>
      <xdr:col>22</xdr:col>
      <xdr:colOff>304800</xdr:colOff>
      <xdr:row>41</xdr:row>
      <xdr:rowOff>129540</xdr:rowOff>
    </xdr:to>
    <xdr:sp macro="" textlink="">
      <xdr:nvSpPr>
        <xdr:cNvPr id="2064" name="AutoShape 80" descr="https://www.soccerstats.com/img/own/sshplogo.png">
          <a:hlinkClick xmlns:r="http://schemas.openxmlformats.org/officeDocument/2006/relationships" r:id="rId555"/>
        </xdr:cNvPr>
        <xdr:cNvSpPr>
          <a:spLocks noChangeAspect="1" noChangeArrowheads="1"/>
        </xdr:cNvSpPr>
      </xdr:nvSpPr>
      <xdr:spPr bwMode="auto">
        <a:xfrm>
          <a:off x="13411200" y="8153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152400</xdr:colOff>
      <xdr:row>41</xdr:row>
      <xdr:rowOff>106680</xdr:rowOff>
    </xdr:to>
    <xdr:sp macro="" textlink="">
      <xdr:nvSpPr>
        <xdr:cNvPr id="2065" name="AutoShape 81" descr="AZERBAIJAN"/>
        <xdr:cNvSpPr>
          <a:spLocks noChangeAspect="1" noChangeArrowheads="1"/>
        </xdr:cNvSpPr>
      </xdr:nvSpPr>
      <xdr:spPr bwMode="auto">
        <a:xfrm>
          <a:off x="0" y="8328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41</xdr:row>
      <xdr:rowOff>0</xdr:rowOff>
    </xdr:from>
    <xdr:to>
      <xdr:col>22</xdr:col>
      <xdr:colOff>304800</xdr:colOff>
      <xdr:row>42</xdr:row>
      <xdr:rowOff>129540</xdr:rowOff>
    </xdr:to>
    <xdr:sp macro="" textlink="">
      <xdr:nvSpPr>
        <xdr:cNvPr id="2066" name="AutoShape 82" descr="https://www.soccerstats.com/img/own/sshplogo.png">
          <a:hlinkClick xmlns:r="http://schemas.openxmlformats.org/officeDocument/2006/relationships" r:id="rId556"/>
        </xdr:cNvPr>
        <xdr:cNvSpPr>
          <a:spLocks noChangeAspect="1" noChangeArrowheads="1"/>
        </xdr:cNvSpPr>
      </xdr:nvSpPr>
      <xdr:spPr bwMode="auto">
        <a:xfrm>
          <a:off x="13411200" y="8328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152400</xdr:colOff>
      <xdr:row>42</xdr:row>
      <xdr:rowOff>106680</xdr:rowOff>
    </xdr:to>
    <xdr:sp macro="" textlink="">
      <xdr:nvSpPr>
        <xdr:cNvPr id="2067" name="AutoShape 83" descr="AZERBAIJAN"/>
        <xdr:cNvSpPr>
          <a:spLocks noChangeAspect="1" noChangeArrowheads="1"/>
        </xdr:cNvSpPr>
      </xdr:nvSpPr>
      <xdr:spPr bwMode="auto">
        <a:xfrm>
          <a:off x="0" y="8503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42</xdr:row>
      <xdr:rowOff>0</xdr:rowOff>
    </xdr:from>
    <xdr:to>
      <xdr:col>22</xdr:col>
      <xdr:colOff>304800</xdr:colOff>
      <xdr:row>43</xdr:row>
      <xdr:rowOff>129540</xdr:rowOff>
    </xdr:to>
    <xdr:sp macro="" textlink="">
      <xdr:nvSpPr>
        <xdr:cNvPr id="2068" name="AutoShape 84" descr="https://www.soccerstats.com/img/own/sshplogo.png">
          <a:hlinkClick xmlns:r="http://schemas.openxmlformats.org/officeDocument/2006/relationships" r:id="rId557"/>
        </xdr:cNvPr>
        <xdr:cNvSpPr>
          <a:spLocks noChangeAspect="1" noChangeArrowheads="1"/>
        </xdr:cNvSpPr>
      </xdr:nvSpPr>
      <xdr:spPr bwMode="auto">
        <a:xfrm>
          <a:off x="13411200" y="8503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152400</xdr:colOff>
      <xdr:row>43</xdr:row>
      <xdr:rowOff>106680</xdr:rowOff>
    </xdr:to>
    <xdr:sp macro="" textlink="">
      <xdr:nvSpPr>
        <xdr:cNvPr id="2069" name="AutoShape 85" descr="AZERBAIJAN"/>
        <xdr:cNvSpPr>
          <a:spLocks noChangeAspect="1" noChangeArrowheads="1"/>
        </xdr:cNvSpPr>
      </xdr:nvSpPr>
      <xdr:spPr bwMode="auto">
        <a:xfrm>
          <a:off x="0" y="8679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43</xdr:row>
      <xdr:rowOff>0</xdr:rowOff>
    </xdr:from>
    <xdr:to>
      <xdr:col>22</xdr:col>
      <xdr:colOff>304800</xdr:colOff>
      <xdr:row>44</xdr:row>
      <xdr:rowOff>53340</xdr:rowOff>
    </xdr:to>
    <xdr:sp macro="" textlink="">
      <xdr:nvSpPr>
        <xdr:cNvPr id="2070" name="AutoShape 86" descr="https://www.soccerstats.com/img/own/sshplogo.png">
          <a:hlinkClick xmlns:r="http://schemas.openxmlformats.org/officeDocument/2006/relationships" r:id="rId558"/>
        </xdr:cNvPr>
        <xdr:cNvSpPr>
          <a:spLocks noChangeAspect="1" noChangeArrowheads="1"/>
        </xdr:cNvSpPr>
      </xdr:nvSpPr>
      <xdr:spPr bwMode="auto">
        <a:xfrm>
          <a:off x="13411200" y="8679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152400</xdr:colOff>
      <xdr:row>44</xdr:row>
      <xdr:rowOff>106680</xdr:rowOff>
    </xdr:to>
    <xdr:sp macro="" textlink="">
      <xdr:nvSpPr>
        <xdr:cNvPr id="2071" name="AutoShape 87" descr="AZERBAIJAN"/>
        <xdr:cNvSpPr>
          <a:spLocks noChangeAspect="1" noChangeArrowheads="1"/>
        </xdr:cNvSpPr>
      </xdr:nvSpPr>
      <xdr:spPr bwMode="auto">
        <a:xfrm>
          <a:off x="0" y="8854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44</xdr:row>
      <xdr:rowOff>0</xdr:rowOff>
    </xdr:from>
    <xdr:to>
      <xdr:col>22</xdr:col>
      <xdr:colOff>304800</xdr:colOff>
      <xdr:row>45</xdr:row>
      <xdr:rowOff>53340</xdr:rowOff>
    </xdr:to>
    <xdr:sp macro="" textlink="">
      <xdr:nvSpPr>
        <xdr:cNvPr id="2072" name="AutoShape 88" descr="https://www.soccerstats.com/img/own/sshplogo.png">
          <a:hlinkClick xmlns:r="http://schemas.openxmlformats.org/officeDocument/2006/relationships" r:id="rId559"/>
        </xdr:cNvPr>
        <xdr:cNvSpPr>
          <a:spLocks noChangeAspect="1" noChangeArrowheads="1"/>
        </xdr:cNvSpPr>
      </xdr:nvSpPr>
      <xdr:spPr bwMode="auto">
        <a:xfrm>
          <a:off x="13411200" y="8854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152400</xdr:colOff>
      <xdr:row>45</xdr:row>
      <xdr:rowOff>106680</xdr:rowOff>
    </xdr:to>
    <xdr:sp macro="" textlink="">
      <xdr:nvSpPr>
        <xdr:cNvPr id="2073" name="AutoShape 89" descr="AZERBAIJAN"/>
        <xdr:cNvSpPr>
          <a:spLocks noChangeAspect="1" noChangeArrowheads="1"/>
        </xdr:cNvSpPr>
      </xdr:nvSpPr>
      <xdr:spPr bwMode="auto">
        <a:xfrm>
          <a:off x="0" y="9029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45</xdr:row>
      <xdr:rowOff>0</xdr:rowOff>
    </xdr:from>
    <xdr:to>
      <xdr:col>22</xdr:col>
      <xdr:colOff>304800</xdr:colOff>
      <xdr:row>46</xdr:row>
      <xdr:rowOff>129540</xdr:rowOff>
    </xdr:to>
    <xdr:sp macro="" textlink="">
      <xdr:nvSpPr>
        <xdr:cNvPr id="2074" name="AutoShape 90" descr="https://www.soccerstats.com/img/own/sshplogo.png">
          <a:hlinkClick xmlns:r="http://schemas.openxmlformats.org/officeDocument/2006/relationships" r:id="rId560"/>
        </xdr:cNvPr>
        <xdr:cNvSpPr>
          <a:spLocks noChangeAspect="1" noChangeArrowheads="1"/>
        </xdr:cNvSpPr>
      </xdr:nvSpPr>
      <xdr:spPr bwMode="auto">
        <a:xfrm>
          <a:off x="13411200" y="9029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152400</xdr:colOff>
      <xdr:row>46</xdr:row>
      <xdr:rowOff>106680</xdr:rowOff>
    </xdr:to>
    <xdr:sp macro="" textlink="">
      <xdr:nvSpPr>
        <xdr:cNvPr id="2075" name="AutoShape 91" descr="BELARUS"/>
        <xdr:cNvSpPr>
          <a:spLocks noChangeAspect="1" noChangeArrowheads="1"/>
        </xdr:cNvSpPr>
      </xdr:nvSpPr>
      <xdr:spPr bwMode="auto">
        <a:xfrm>
          <a:off x="0" y="9204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46</xdr:row>
      <xdr:rowOff>0</xdr:rowOff>
    </xdr:from>
    <xdr:to>
      <xdr:col>22</xdr:col>
      <xdr:colOff>304800</xdr:colOff>
      <xdr:row>47</xdr:row>
      <xdr:rowOff>53340</xdr:rowOff>
    </xdr:to>
    <xdr:sp macro="" textlink="">
      <xdr:nvSpPr>
        <xdr:cNvPr id="2076" name="AutoShape 92" descr="https://www.soccerstats.com/img/own/sshplogo.png">
          <a:hlinkClick xmlns:r="http://schemas.openxmlformats.org/officeDocument/2006/relationships" r:id="rId561"/>
        </xdr:cNvPr>
        <xdr:cNvSpPr>
          <a:spLocks noChangeAspect="1" noChangeArrowheads="1"/>
        </xdr:cNvSpPr>
      </xdr:nvSpPr>
      <xdr:spPr bwMode="auto">
        <a:xfrm>
          <a:off x="13411200" y="9204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152400</xdr:colOff>
      <xdr:row>47</xdr:row>
      <xdr:rowOff>106680</xdr:rowOff>
    </xdr:to>
    <xdr:sp macro="" textlink="">
      <xdr:nvSpPr>
        <xdr:cNvPr id="2077" name="AutoShape 93" descr="BELARUS"/>
        <xdr:cNvSpPr>
          <a:spLocks noChangeAspect="1" noChangeArrowheads="1"/>
        </xdr:cNvSpPr>
      </xdr:nvSpPr>
      <xdr:spPr bwMode="auto">
        <a:xfrm>
          <a:off x="0" y="9380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47</xdr:row>
      <xdr:rowOff>0</xdr:rowOff>
    </xdr:from>
    <xdr:to>
      <xdr:col>22</xdr:col>
      <xdr:colOff>304800</xdr:colOff>
      <xdr:row>48</xdr:row>
      <xdr:rowOff>129540</xdr:rowOff>
    </xdr:to>
    <xdr:sp macro="" textlink="">
      <xdr:nvSpPr>
        <xdr:cNvPr id="2078" name="AutoShape 94" descr="https://www.soccerstats.com/img/own/sshplogo.png">
          <a:hlinkClick xmlns:r="http://schemas.openxmlformats.org/officeDocument/2006/relationships" r:id="rId562"/>
        </xdr:cNvPr>
        <xdr:cNvSpPr>
          <a:spLocks noChangeAspect="1" noChangeArrowheads="1"/>
        </xdr:cNvSpPr>
      </xdr:nvSpPr>
      <xdr:spPr bwMode="auto">
        <a:xfrm>
          <a:off x="13411200" y="9380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152400</xdr:colOff>
      <xdr:row>48</xdr:row>
      <xdr:rowOff>106680</xdr:rowOff>
    </xdr:to>
    <xdr:sp macro="" textlink="">
      <xdr:nvSpPr>
        <xdr:cNvPr id="2079" name="AutoShape 95" descr="BELGIUM"/>
        <xdr:cNvSpPr>
          <a:spLocks noChangeAspect="1" noChangeArrowheads="1"/>
        </xdr:cNvSpPr>
      </xdr:nvSpPr>
      <xdr:spPr bwMode="auto">
        <a:xfrm>
          <a:off x="0" y="9631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48</xdr:row>
      <xdr:rowOff>0</xdr:rowOff>
    </xdr:from>
    <xdr:to>
      <xdr:col>22</xdr:col>
      <xdr:colOff>304800</xdr:colOff>
      <xdr:row>49</xdr:row>
      <xdr:rowOff>129540</xdr:rowOff>
    </xdr:to>
    <xdr:sp macro="" textlink="">
      <xdr:nvSpPr>
        <xdr:cNvPr id="2080" name="AutoShape 96" descr="https://www.soccerstats.com/img/own/sshplogo.png">
          <a:hlinkClick xmlns:r="http://schemas.openxmlformats.org/officeDocument/2006/relationships" r:id="rId563"/>
        </xdr:cNvPr>
        <xdr:cNvSpPr>
          <a:spLocks noChangeAspect="1" noChangeArrowheads="1"/>
        </xdr:cNvSpPr>
      </xdr:nvSpPr>
      <xdr:spPr bwMode="auto">
        <a:xfrm>
          <a:off x="13411200" y="9631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152400</xdr:colOff>
      <xdr:row>49</xdr:row>
      <xdr:rowOff>106680</xdr:rowOff>
    </xdr:to>
    <xdr:sp macro="" textlink="">
      <xdr:nvSpPr>
        <xdr:cNvPr id="2081" name="AutoShape 97" descr="BELGIUM2"/>
        <xdr:cNvSpPr>
          <a:spLocks noChangeAspect="1" noChangeArrowheads="1"/>
        </xdr:cNvSpPr>
      </xdr:nvSpPr>
      <xdr:spPr bwMode="auto">
        <a:xfrm>
          <a:off x="0" y="9883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49</xdr:row>
      <xdr:rowOff>0</xdr:rowOff>
    </xdr:from>
    <xdr:to>
      <xdr:col>22</xdr:col>
      <xdr:colOff>304800</xdr:colOff>
      <xdr:row>50</xdr:row>
      <xdr:rowOff>129540</xdr:rowOff>
    </xdr:to>
    <xdr:sp macro="" textlink="">
      <xdr:nvSpPr>
        <xdr:cNvPr id="2082" name="AutoShape 98" descr="https://www.soccerstats.com/img/own/sshplogo.png">
          <a:hlinkClick xmlns:r="http://schemas.openxmlformats.org/officeDocument/2006/relationships" r:id="rId564"/>
        </xdr:cNvPr>
        <xdr:cNvSpPr>
          <a:spLocks noChangeAspect="1" noChangeArrowheads="1"/>
        </xdr:cNvSpPr>
      </xdr:nvSpPr>
      <xdr:spPr bwMode="auto">
        <a:xfrm>
          <a:off x="13411200" y="9883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152400</xdr:colOff>
      <xdr:row>50</xdr:row>
      <xdr:rowOff>106680</xdr:rowOff>
    </xdr:to>
    <xdr:sp macro="" textlink="">
      <xdr:nvSpPr>
        <xdr:cNvPr id="2083" name="AutoShape 99" descr="BELGIUM2"/>
        <xdr:cNvSpPr>
          <a:spLocks noChangeAspect="1" noChangeArrowheads="1"/>
        </xdr:cNvSpPr>
      </xdr:nvSpPr>
      <xdr:spPr bwMode="auto">
        <a:xfrm>
          <a:off x="0" y="10058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50</xdr:row>
      <xdr:rowOff>0</xdr:rowOff>
    </xdr:from>
    <xdr:to>
      <xdr:col>22</xdr:col>
      <xdr:colOff>304800</xdr:colOff>
      <xdr:row>51</xdr:row>
      <xdr:rowOff>129540</xdr:rowOff>
    </xdr:to>
    <xdr:sp macro="" textlink="">
      <xdr:nvSpPr>
        <xdr:cNvPr id="2084" name="AutoShape 100" descr="https://www.soccerstats.com/img/own/sshplogo.png">
          <a:hlinkClick xmlns:r="http://schemas.openxmlformats.org/officeDocument/2006/relationships" r:id="rId565"/>
        </xdr:cNvPr>
        <xdr:cNvSpPr>
          <a:spLocks noChangeAspect="1" noChangeArrowheads="1"/>
        </xdr:cNvSpPr>
      </xdr:nvSpPr>
      <xdr:spPr bwMode="auto">
        <a:xfrm>
          <a:off x="13411200" y="10058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152400</xdr:colOff>
      <xdr:row>51</xdr:row>
      <xdr:rowOff>106680</xdr:rowOff>
    </xdr:to>
    <xdr:sp macro="" textlink="">
      <xdr:nvSpPr>
        <xdr:cNvPr id="2085" name="AutoShape 101" descr="BRAZIL2"/>
        <xdr:cNvSpPr>
          <a:spLocks noChangeAspect="1" noChangeArrowheads="1"/>
        </xdr:cNvSpPr>
      </xdr:nvSpPr>
      <xdr:spPr bwMode="auto">
        <a:xfrm>
          <a:off x="0" y="10309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51</xdr:row>
      <xdr:rowOff>0</xdr:rowOff>
    </xdr:from>
    <xdr:to>
      <xdr:col>22</xdr:col>
      <xdr:colOff>304800</xdr:colOff>
      <xdr:row>52</xdr:row>
      <xdr:rowOff>53340</xdr:rowOff>
    </xdr:to>
    <xdr:sp macro="" textlink="">
      <xdr:nvSpPr>
        <xdr:cNvPr id="2086" name="AutoShape 102" descr="https://www.soccerstats.com/img/own/sshplogo.png">
          <a:hlinkClick xmlns:r="http://schemas.openxmlformats.org/officeDocument/2006/relationships" r:id="rId566"/>
        </xdr:cNvPr>
        <xdr:cNvSpPr>
          <a:spLocks noChangeAspect="1" noChangeArrowheads="1"/>
        </xdr:cNvSpPr>
      </xdr:nvSpPr>
      <xdr:spPr bwMode="auto">
        <a:xfrm>
          <a:off x="13411200" y="10309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152400</xdr:colOff>
      <xdr:row>52</xdr:row>
      <xdr:rowOff>106680</xdr:rowOff>
    </xdr:to>
    <xdr:sp macro="" textlink="">
      <xdr:nvSpPr>
        <xdr:cNvPr id="2087" name="AutoShape 103" descr="BRAZIL2"/>
        <xdr:cNvSpPr>
          <a:spLocks noChangeAspect="1" noChangeArrowheads="1"/>
        </xdr:cNvSpPr>
      </xdr:nvSpPr>
      <xdr:spPr bwMode="auto">
        <a:xfrm>
          <a:off x="0" y="10485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52</xdr:row>
      <xdr:rowOff>0</xdr:rowOff>
    </xdr:from>
    <xdr:to>
      <xdr:col>22</xdr:col>
      <xdr:colOff>304800</xdr:colOff>
      <xdr:row>53</xdr:row>
      <xdr:rowOff>129540</xdr:rowOff>
    </xdr:to>
    <xdr:sp macro="" textlink="">
      <xdr:nvSpPr>
        <xdr:cNvPr id="2088" name="AutoShape 104" descr="https://www.soccerstats.com/img/own/sshplogo.png">
          <a:hlinkClick xmlns:r="http://schemas.openxmlformats.org/officeDocument/2006/relationships" r:id="rId567"/>
        </xdr:cNvPr>
        <xdr:cNvSpPr>
          <a:spLocks noChangeAspect="1" noChangeArrowheads="1"/>
        </xdr:cNvSpPr>
      </xdr:nvSpPr>
      <xdr:spPr bwMode="auto">
        <a:xfrm>
          <a:off x="13411200" y="10485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152400</xdr:colOff>
      <xdr:row>53</xdr:row>
      <xdr:rowOff>106680</xdr:rowOff>
    </xdr:to>
    <xdr:sp macro="" textlink="">
      <xdr:nvSpPr>
        <xdr:cNvPr id="2089" name="AutoShape 105" descr="BRAZIL2"/>
        <xdr:cNvSpPr>
          <a:spLocks noChangeAspect="1" noChangeArrowheads="1"/>
        </xdr:cNvSpPr>
      </xdr:nvSpPr>
      <xdr:spPr bwMode="auto">
        <a:xfrm>
          <a:off x="0" y="10660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53</xdr:row>
      <xdr:rowOff>0</xdr:rowOff>
    </xdr:from>
    <xdr:to>
      <xdr:col>22</xdr:col>
      <xdr:colOff>304800</xdr:colOff>
      <xdr:row>54</xdr:row>
      <xdr:rowOff>53340</xdr:rowOff>
    </xdr:to>
    <xdr:sp macro="" textlink="">
      <xdr:nvSpPr>
        <xdr:cNvPr id="2090" name="AutoShape 106" descr="https://www.soccerstats.com/img/own/sshplogo.png">
          <a:hlinkClick xmlns:r="http://schemas.openxmlformats.org/officeDocument/2006/relationships" r:id="rId568"/>
        </xdr:cNvPr>
        <xdr:cNvSpPr>
          <a:spLocks noChangeAspect="1" noChangeArrowheads="1"/>
        </xdr:cNvSpPr>
      </xdr:nvSpPr>
      <xdr:spPr bwMode="auto">
        <a:xfrm>
          <a:off x="13411200" y="10660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152400</xdr:colOff>
      <xdr:row>54</xdr:row>
      <xdr:rowOff>106680</xdr:rowOff>
    </xdr:to>
    <xdr:sp macro="" textlink="">
      <xdr:nvSpPr>
        <xdr:cNvPr id="2091" name="AutoShape 107" descr="BULGARIA"/>
        <xdr:cNvSpPr>
          <a:spLocks noChangeAspect="1" noChangeArrowheads="1"/>
        </xdr:cNvSpPr>
      </xdr:nvSpPr>
      <xdr:spPr bwMode="auto">
        <a:xfrm>
          <a:off x="0" y="10835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54</xdr:row>
      <xdr:rowOff>0</xdr:rowOff>
    </xdr:from>
    <xdr:to>
      <xdr:col>22</xdr:col>
      <xdr:colOff>304800</xdr:colOff>
      <xdr:row>55</xdr:row>
      <xdr:rowOff>53340</xdr:rowOff>
    </xdr:to>
    <xdr:sp macro="" textlink="">
      <xdr:nvSpPr>
        <xdr:cNvPr id="2092" name="AutoShape 108" descr="https://www.soccerstats.com/img/own/sshplogo.png">
          <a:hlinkClick xmlns:r="http://schemas.openxmlformats.org/officeDocument/2006/relationships" r:id="rId569"/>
        </xdr:cNvPr>
        <xdr:cNvSpPr>
          <a:spLocks noChangeAspect="1" noChangeArrowheads="1"/>
        </xdr:cNvSpPr>
      </xdr:nvSpPr>
      <xdr:spPr bwMode="auto">
        <a:xfrm>
          <a:off x="13411200" y="10835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152400</xdr:colOff>
      <xdr:row>55</xdr:row>
      <xdr:rowOff>106680</xdr:rowOff>
    </xdr:to>
    <xdr:sp macro="" textlink="">
      <xdr:nvSpPr>
        <xdr:cNvPr id="2093" name="AutoShape 109" descr="BULGARIA2"/>
        <xdr:cNvSpPr>
          <a:spLocks noChangeAspect="1" noChangeArrowheads="1"/>
        </xdr:cNvSpPr>
      </xdr:nvSpPr>
      <xdr:spPr bwMode="auto">
        <a:xfrm>
          <a:off x="0" y="11087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55</xdr:row>
      <xdr:rowOff>0</xdr:rowOff>
    </xdr:from>
    <xdr:to>
      <xdr:col>22</xdr:col>
      <xdr:colOff>304800</xdr:colOff>
      <xdr:row>56</xdr:row>
      <xdr:rowOff>129540</xdr:rowOff>
    </xdr:to>
    <xdr:sp macro="" textlink="">
      <xdr:nvSpPr>
        <xdr:cNvPr id="2094" name="AutoShape 110" descr="https://www.soccerstats.com/img/own/sshplogo.png">
          <a:hlinkClick xmlns:r="http://schemas.openxmlformats.org/officeDocument/2006/relationships" r:id="rId570"/>
        </xdr:cNvPr>
        <xdr:cNvSpPr>
          <a:spLocks noChangeAspect="1" noChangeArrowheads="1"/>
        </xdr:cNvSpPr>
      </xdr:nvSpPr>
      <xdr:spPr bwMode="auto">
        <a:xfrm>
          <a:off x="13411200" y="11087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152400</xdr:colOff>
      <xdr:row>56</xdr:row>
      <xdr:rowOff>106680</xdr:rowOff>
    </xdr:to>
    <xdr:sp macro="" textlink="">
      <xdr:nvSpPr>
        <xdr:cNvPr id="2095" name="AutoShape 111" descr="CHILE"/>
        <xdr:cNvSpPr>
          <a:spLocks noChangeAspect="1" noChangeArrowheads="1"/>
        </xdr:cNvSpPr>
      </xdr:nvSpPr>
      <xdr:spPr bwMode="auto">
        <a:xfrm>
          <a:off x="0" y="11262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56</xdr:row>
      <xdr:rowOff>0</xdr:rowOff>
    </xdr:from>
    <xdr:to>
      <xdr:col>22</xdr:col>
      <xdr:colOff>304800</xdr:colOff>
      <xdr:row>57</xdr:row>
      <xdr:rowOff>53340</xdr:rowOff>
    </xdr:to>
    <xdr:sp macro="" textlink="">
      <xdr:nvSpPr>
        <xdr:cNvPr id="2096" name="AutoShape 112" descr="https://www.soccerstats.com/img/own/sshplogo.png">
          <a:hlinkClick xmlns:r="http://schemas.openxmlformats.org/officeDocument/2006/relationships" r:id="rId571"/>
        </xdr:cNvPr>
        <xdr:cNvSpPr>
          <a:spLocks noChangeAspect="1" noChangeArrowheads="1"/>
        </xdr:cNvSpPr>
      </xdr:nvSpPr>
      <xdr:spPr bwMode="auto">
        <a:xfrm>
          <a:off x="13411200" y="11262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152400</xdr:colOff>
      <xdr:row>57</xdr:row>
      <xdr:rowOff>106680</xdr:rowOff>
    </xdr:to>
    <xdr:sp macro="" textlink="">
      <xdr:nvSpPr>
        <xdr:cNvPr id="2097" name="AutoShape 113" descr="CHILE2"/>
        <xdr:cNvSpPr>
          <a:spLocks noChangeAspect="1" noChangeArrowheads="1"/>
        </xdr:cNvSpPr>
      </xdr:nvSpPr>
      <xdr:spPr bwMode="auto">
        <a:xfrm>
          <a:off x="0" y="11513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57</xdr:row>
      <xdr:rowOff>0</xdr:rowOff>
    </xdr:from>
    <xdr:to>
      <xdr:col>22</xdr:col>
      <xdr:colOff>304800</xdr:colOff>
      <xdr:row>58</xdr:row>
      <xdr:rowOff>53340</xdr:rowOff>
    </xdr:to>
    <xdr:sp macro="" textlink="">
      <xdr:nvSpPr>
        <xdr:cNvPr id="2098" name="AutoShape 114" descr="https://www.soccerstats.com/img/own/sshplogo.png">
          <a:hlinkClick xmlns:r="http://schemas.openxmlformats.org/officeDocument/2006/relationships" r:id="rId572"/>
        </xdr:cNvPr>
        <xdr:cNvSpPr>
          <a:spLocks noChangeAspect="1" noChangeArrowheads="1"/>
        </xdr:cNvSpPr>
      </xdr:nvSpPr>
      <xdr:spPr bwMode="auto">
        <a:xfrm>
          <a:off x="13411200" y="11513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152400</xdr:colOff>
      <xdr:row>58</xdr:row>
      <xdr:rowOff>106680</xdr:rowOff>
    </xdr:to>
    <xdr:sp macro="" textlink="">
      <xdr:nvSpPr>
        <xdr:cNvPr id="2099" name="AutoShape 115" descr="CHILE2"/>
        <xdr:cNvSpPr>
          <a:spLocks noChangeAspect="1" noChangeArrowheads="1"/>
        </xdr:cNvSpPr>
      </xdr:nvSpPr>
      <xdr:spPr bwMode="auto">
        <a:xfrm>
          <a:off x="0" y="11765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58</xdr:row>
      <xdr:rowOff>0</xdr:rowOff>
    </xdr:from>
    <xdr:to>
      <xdr:col>22</xdr:col>
      <xdr:colOff>304800</xdr:colOff>
      <xdr:row>59</xdr:row>
      <xdr:rowOff>53340</xdr:rowOff>
    </xdr:to>
    <xdr:sp macro="" textlink="">
      <xdr:nvSpPr>
        <xdr:cNvPr id="2100" name="AutoShape 116" descr="https://www.soccerstats.com/img/own/sshplogo.png">
          <a:hlinkClick xmlns:r="http://schemas.openxmlformats.org/officeDocument/2006/relationships" r:id="rId573"/>
        </xdr:cNvPr>
        <xdr:cNvSpPr>
          <a:spLocks noChangeAspect="1" noChangeArrowheads="1"/>
        </xdr:cNvSpPr>
      </xdr:nvSpPr>
      <xdr:spPr bwMode="auto">
        <a:xfrm>
          <a:off x="13411200" y="11765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152400</xdr:colOff>
      <xdr:row>59</xdr:row>
      <xdr:rowOff>106680</xdr:rowOff>
    </xdr:to>
    <xdr:sp macro="" textlink="">
      <xdr:nvSpPr>
        <xdr:cNvPr id="2101" name="AutoShape 117" descr="CHINA"/>
        <xdr:cNvSpPr>
          <a:spLocks noChangeAspect="1" noChangeArrowheads="1"/>
        </xdr:cNvSpPr>
      </xdr:nvSpPr>
      <xdr:spPr bwMode="auto">
        <a:xfrm>
          <a:off x="0" y="11940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59</xdr:row>
      <xdr:rowOff>0</xdr:rowOff>
    </xdr:from>
    <xdr:to>
      <xdr:col>22</xdr:col>
      <xdr:colOff>304800</xdr:colOff>
      <xdr:row>60</xdr:row>
      <xdr:rowOff>53340</xdr:rowOff>
    </xdr:to>
    <xdr:sp macro="" textlink="">
      <xdr:nvSpPr>
        <xdr:cNvPr id="2102" name="AutoShape 118" descr="https://www.soccerstats.com/img/own/sshplogo.png">
          <a:hlinkClick xmlns:r="http://schemas.openxmlformats.org/officeDocument/2006/relationships" r:id="rId574"/>
        </xdr:cNvPr>
        <xdr:cNvSpPr>
          <a:spLocks noChangeAspect="1" noChangeArrowheads="1"/>
        </xdr:cNvSpPr>
      </xdr:nvSpPr>
      <xdr:spPr bwMode="auto">
        <a:xfrm>
          <a:off x="13411200" y="11940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152400</xdr:colOff>
      <xdr:row>60</xdr:row>
      <xdr:rowOff>106680</xdr:rowOff>
    </xdr:to>
    <xdr:sp macro="" textlink="">
      <xdr:nvSpPr>
        <xdr:cNvPr id="2103" name="AutoShape 119" descr="CHINA"/>
        <xdr:cNvSpPr>
          <a:spLocks noChangeAspect="1" noChangeArrowheads="1"/>
        </xdr:cNvSpPr>
      </xdr:nvSpPr>
      <xdr:spPr bwMode="auto">
        <a:xfrm>
          <a:off x="0" y="12192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60</xdr:row>
      <xdr:rowOff>0</xdr:rowOff>
    </xdr:from>
    <xdr:to>
      <xdr:col>22</xdr:col>
      <xdr:colOff>304800</xdr:colOff>
      <xdr:row>60</xdr:row>
      <xdr:rowOff>304800</xdr:rowOff>
    </xdr:to>
    <xdr:sp macro="" textlink="">
      <xdr:nvSpPr>
        <xdr:cNvPr id="2104" name="AutoShape 120" descr="https://www.soccerstats.com/img/own/sshplogo.png">
          <a:hlinkClick xmlns:r="http://schemas.openxmlformats.org/officeDocument/2006/relationships" r:id="rId575"/>
        </xdr:cNvPr>
        <xdr:cNvSpPr>
          <a:spLocks noChangeAspect="1" noChangeArrowheads="1"/>
        </xdr:cNvSpPr>
      </xdr:nvSpPr>
      <xdr:spPr bwMode="auto">
        <a:xfrm>
          <a:off x="13411200" y="1219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152400</xdr:colOff>
      <xdr:row>61</xdr:row>
      <xdr:rowOff>106680</xdr:rowOff>
    </xdr:to>
    <xdr:sp macro="" textlink="">
      <xdr:nvSpPr>
        <xdr:cNvPr id="2105" name="AutoShape 121" descr="CHINA"/>
        <xdr:cNvSpPr>
          <a:spLocks noChangeAspect="1" noChangeArrowheads="1"/>
        </xdr:cNvSpPr>
      </xdr:nvSpPr>
      <xdr:spPr bwMode="auto">
        <a:xfrm>
          <a:off x="0" y="12443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61</xdr:row>
      <xdr:rowOff>0</xdr:rowOff>
    </xdr:from>
    <xdr:to>
      <xdr:col>22</xdr:col>
      <xdr:colOff>304800</xdr:colOff>
      <xdr:row>62</xdr:row>
      <xdr:rowOff>53340</xdr:rowOff>
    </xdr:to>
    <xdr:sp macro="" textlink="">
      <xdr:nvSpPr>
        <xdr:cNvPr id="2106" name="AutoShape 122" descr="https://www.soccerstats.com/img/own/sshplogo.png">
          <a:hlinkClick xmlns:r="http://schemas.openxmlformats.org/officeDocument/2006/relationships" r:id="rId576"/>
        </xdr:cNvPr>
        <xdr:cNvSpPr>
          <a:spLocks noChangeAspect="1" noChangeArrowheads="1"/>
        </xdr:cNvSpPr>
      </xdr:nvSpPr>
      <xdr:spPr bwMode="auto">
        <a:xfrm>
          <a:off x="13411200" y="12443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152400</xdr:colOff>
      <xdr:row>62</xdr:row>
      <xdr:rowOff>106680</xdr:rowOff>
    </xdr:to>
    <xdr:sp macro="" textlink="">
      <xdr:nvSpPr>
        <xdr:cNvPr id="2107" name="AutoShape 123" descr="COLOMBIA2"/>
        <xdr:cNvSpPr>
          <a:spLocks noChangeAspect="1" noChangeArrowheads="1"/>
        </xdr:cNvSpPr>
      </xdr:nvSpPr>
      <xdr:spPr bwMode="auto">
        <a:xfrm>
          <a:off x="0" y="12694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62</xdr:row>
      <xdr:rowOff>0</xdr:rowOff>
    </xdr:from>
    <xdr:to>
      <xdr:col>22</xdr:col>
      <xdr:colOff>304800</xdr:colOff>
      <xdr:row>63</xdr:row>
      <xdr:rowOff>53340</xdr:rowOff>
    </xdr:to>
    <xdr:sp macro="" textlink="">
      <xdr:nvSpPr>
        <xdr:cNvPr id="2108" name="AutoShape 124" descr="https://www.soccerstats.com/img/own/sshplogo.png">
          <a:hlinkClick xmlns:r="http://schemas.openxmlformats.org/officeDocument/2006/relationships" r:id="rId577"/>
        </xdr:cNvPr>
        <xdr:cNvSpPr>
          <a:spLocks noChangeAspect="1" noChangeArrowheads="1"/>
        </xdr:cNvSpPr>
      </xdr:nvSpPr>
      <xdr:spPr bwMode="auto">
        <a:xfrm>
          <a:off x="13411200" y="12694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63</xdr:row>
      <xdr:rowOff>0</xdr:rowOff>
    </xdr:from>
    <xdr:to>
      <xdr:col>22</xdr:col>
      <xdr:colOff>304800</xdr:colOff>
      <xdr:row>64</xdr:row>
      <xdr:rowOff>53340</xdr:rowOff>
    </xdr:to>
    <xdr:sp macro="" textlink="">
      <xdr:nvSpPr>
        <xdr:cNvPr id="2109" name="AutoShape 125" descr="https://www.soccerstats.com/img/own/sshplogo.png">
          <a:hlinkClick xmlns:r="http://schemas.openxmlformats.org/officeDocument/2006/relationships" r:id="rId578" tooltip="Cienciano vs Botafogo"/>
        </xdr:cNvPr>
        <xdr:cNvSpPr>
          <a:spLocks noChangeAspect="1" noChangeArrowheads="1"/>
        </xdr:cNvSpPr>
      </xdr:nvSpPr>
      <xdr:spPr bwMode="auto">
        <a:xfrm>
          <a:off x="13411200" y="12946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64</xdr:row>
      <xdr:rowOff>0</xdr:rowOff>
    </xdr:from>
    <xdr:to>
      <xdr:col>22</xdr:col>
      <xdr:colOff>304800</xdr:colOff>
      <xdr:row>65</xdr:row>
      <xdr:rowOff>129540</xdr:rowOff>
    </xdr:to>
    <xdr:sp macro="" textlink="">
      <xdr:nvSpPr>
        <xdr:cNvPr id="2110" name="AutoShape 126" descr="https://www.soccerstats.com/img/own/sshplogo.png">
          <a:hlinkClick xmlns:r="http://schemas.openxmlformats.org/officeDocument/2006/relationships" r:id="rId579" tooltip="Rosario Central vs Corinthians"/>
        </xdr:cNvPr>
        <xdr:cNvSpPr>
          <a:spLocks noChangeAspect="1" noChangeArrowheads="1"/>
        </xdr:cNvSpPr>
      </xdr:nvSpPr>
      <xdr:spPr bwMode="auto">
        <a:xfrm>
          <a:off x="13411200" y="13289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152400</xdr:colOff>
      <xdr:row>65</xdr:row>
      <xdr:rowOff>106680</xdr:rowOff>
    </xdr:to>
    <xdr:sp macro="" textlink="">
      <xdr:nvSpPr>
        <xdr:cNvPr id="2111" name="AutoShape 127" descr="CROATIA"/>
        <xdr:cNvSpPr>
          <a:spLocks noChangeAspect="1" noChangeArrowheads="1"/>
        </xdr:cNvSpPr>
      </xdr:nvSpPr>
      <xdr:spPr bwMode="auto">
        <a:xfrm>
          <a:off x="0" y="13540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65</xdr:row>
      <xdr:rowOff>0</xdr:rowOff>
    </xdr:from>
    <xdr:to>
      <xdr:col>22</xdr:col>
      <xdr:colOff>304800</xdr:colOff>
      <xdr:row>66</xdr:row>
      <xdr:rowOff>129540</xdr:rowOff>
    </xdr:to>
    <xdr:sp macro="" textlink="">
      <xdr:nvSpPr>
        <xdr:cNvPr id="2112" name="AutoShape 128" descr="https://www.soccerstats.com/img/own/sshplogo.png">
          <a:hlinkClick xmlns:r="http://schemas.openxmlformats.org/officeDocument/2006/relationships" r:id="rId580"/>
        </xdr:cNvPr>
        <xdr:cNvSpPr>
          <a:spLocks noChangeAspect="1" noChangeArrowheads="1"/>
        </xdr:cNvSpPr>
      </xdr:nvSpPr>
      <xdr:spPr bwMode="auto">
        <a:xfrm>
          <a:off x="13411200" y="13540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152400</xdr:colOff>
      <xdr:row>66</xdr:row>
      <xdr:rowOff>106680</xdr:rowOff>
    </xdr:to>
    <xdr:sp macro="" textlink="">
      <xdr:nvSpPr>
        <xdr:cNvPr id="2113" name="AutoShape 129" descr="CZECHREPUBLIC2"/>
        <xdr:cNvSpPr>
          <a:spLocks noChangeAspect="1" noChangeArrowheads="1"/>
        </xdr:cNvSpPr>
      </xdr:nvSpPr>
      <xdr:spPr bwMode="auto">
        <a:xfrm>
          <a:off x="0" y="13792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66</xdr:row>
      <xdr:rowOff>0</xdr:rowOff>
    </xdr:from>
    <xdr:to>
      <xdr:col>22</xdr:col>
      <xdr:colOff>304800</xdr:colOff>
      <xdr:row>67</xdr:row>
      <xdr:rowOff>129540</xdr:rowOff>
    </xdr:to>
    <xdr:sp macro="" textlink="">
      <xdr:nvSpPr>
        <xdr:cNvPr id="2114" name="AutoShape 130" descr="https://www.soccerstats.com/img/own/sshplogo.png">
          <a:hlinkClick xmlns:r="http://schemas.openxmlformats.org/officeDocument/2006/relationships" r:id="rId581"/>
        </xdr:cNvPr>
        <xdr:cNvSpPr>
          <a:spLocks noChangeAspect="1" noChangeArrowheads="1"/>
        </xdr:cNvSpPr>
      </xdr:nvSpPr>
      <xdr:spPr bwMode="auto">
        <a:xfrm>
          <a:off x="13411200" y="1379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152400</xdr:colOff>
      <xdr:row>67</xdr:row>
      <xdr:rowOff>106680</xdr:rowOff>
    </xdr:to>
    <xdr:sp macro="" textlink="">
      <xdr:nvSpPr>
        <xdr:cNvPr id="2115" name="AutoShape 131" descr="CZECHREPUBLIC2"/>
        <xdr:cNvSpPr>
          <a:spLocks noChangeAspect="1" noChangeArrowheads="1"/>
        </xdr:cNvSpPr>
      </xdr:nvSpPr>
      <xdr:spPr bwMode="auto">
        <a:xfrm>
          <a:off x="0" y="14043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67</xdr:row>
      <xdr:rowOff>0</xdr:rowOff>
    </xdr:from>
    <xdr:to>
      <xdr:col>22</xdr:col>
      <xdr:colOff>304800</xdr:colOff>
      <xdr:row>68</xdr:row>
      <xdr:rowOff>129540</xdr:rowOff>
    </xdr:to>
    <xdr:sp macro="" textlink="">
      <xdr:nvSpPr>
        <xdr:cNvPr id="2116" name="AutoShape 132" descr="https://www.soccerstats.com/img/own/sshplogo.png">
          <a:hlinkClick xmlns:r="http://schemas.openxmlformats.org/officeDocument/2006/relationships" r:id="rId582"/>
        </xdr:cNvPr>
        <xdr:cNvSpPr>
          <a:spLocks noChangeAspect="1" noChangeArrowheads="1"/>
        </xdr:cNvSpPr>
      </xdr:nvSpPr>
      <xdr:spPr bwMode="auto">
        <a:xfrm>
          <a:off x="13411200" y="14043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152400</xdr:colOff>
      <xdr:row>68</xdr:row>
      <xdr:rowOff>106680</xdr:rowOff>
    </xdr:to>
    <xdr:sp macro="" textlink="">
      <xdr:nvSpPr>
        <xdr:cNvPr id="2117" name="AutoShape 133" descr="DENMARK"/>
        <xdr:cNvSpPr>
          <a:spLocks noChangeAspect="1" noChangeArrowheads="1"/>
        </xdr:cNvSpPr>
      </xdr:nvSpPr>
      <xdr:spPr bwMode="auto">
        <a:xfrm>
          <a:off x="0" y="14218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68</xdr:row>
      <xdr:rowOff>0</xdr:rowOff>
    </xdr:from>
    <xdr:to>
      <xdr:col>22</xdr:col>
      <xdr:colOff>304800</xdr:colOff>
      <xdr:row>69</xdr:row>
      <xdr:rowOff>129540</xdr:rowOff>
    </xdr:to>
    <xdr:sp macro="" textlink="">
      <xdr:nvSpPr>
        <xdr:cNvPr id="2118" name="AutoShape 134" descr="https://www.soccerstats.com/img/own/sshplogo.png">
          <a:hlinkClick xmlns:r="http://schemas.openxmlformats.org/officeDocument/2006/relationships" r:id="rId583"/>
        </xdr:cNvPr>
        <xdr:cNvSpPr>
          <a:spLocks noChangeAspect="1" noChangeArrowheads="1"/>
        </xdr:cNvSpPr>
      </xdr:nvSpPr>
      <xdr:spPr bwMode="auto">
        <a:xfrm>
          <a:off x="13411200" y="14218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152400</xdr:colOff>
      <xdr:row>69</xdr:row>
      <xdr:rowOff>106680</xdr:rowOff>
    </xdr:to>
    <xdr:sp macro="" textlink="">
      <xdr:nvSpPr>
        <xdr:cNvPr id="2119" name="AutoShape 135" descr="DENMARK2"/>
        <xdr:cNvSpPr>
          <a:spLocks noChangeAspect="1" noChangeArrowheads="1"/>
        </xdr:cNvSpPr>
      </xdr:nvSpPr>
      <xdr:spPr bwMode="auto">
        <a:xfrm>
          <a:off x="0" y="14394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69</xdr:row>
      <xdr:rowOff>0</xdr:rowOff>
    </xdr:from>
    <xdr:to>
      <xdr:col>22</xdr:col>
      <xdr:colOff>304800</xdr:colOff>
      <xdr:row>70</xdr:row>
      <xdr:rowOff>129540</xdr:rowOff>
    </xdr:to>
    <xdr:sp macro="" textlink="">
      <xdr:nvSpPr>
        <xdr:cNvPr id="2120" name="AutoShape 136" descr="https://www.soccerstats.com/img/own/sshplogo.png">
          <a:hlinkClick xmlns:r="http://schemas.openxmlformats.org/officeDocument/2006/relationships" r:id="rId584"/>
        </xdr:cNvPr>
        <xdr:cNvSpPr>
          <a:spLocks noChangeAspect="1" noChangeArrowheads="1"/>
        </xdr:cNvSpPr>
      </xdr:nvSpPr>
      <xdr:spPr bwMode="auto">
        <a:xfrm>
          <a:off x="13411200" y="14394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152400</xdr:colOff>
      <xdr:row>70</xdr:row>
      <xdr:rowOff>106680</xdr:rowOff>
    </xdr:to>
    <xdr:sp macro="" textlink="">
      <xdr:nvSpPr>
        <xdr:cNvPr id="2121" name="AutoShape 137" descr="DENMARK2"/>
        <xdr:cNvSpPr>
          <a:spLocks noChangeAspect="1" noChangeArrowheads="1"/>
        </xdr:cNvSpPr>
      </xdr:nvSpPr>
      <xdr:spPr bwMode="auto">
        <a:xfrm>
          <a:off x="0" y="14569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70</xdr:row>
      <xdr:rowOff>0</xdr:rowOff>
    </xdr:from>
    <xdr:to>
      <xdr:col>22</xdr:col>
      <xdr:colOff>304800</xdr:colOff>
      <xdr:row>71</xdr:row>
      <xdr:rowOff>129540</xdr:rowOff>
    </xdr:to>
    <xdr:sp macro="" textlink="">
      <xdr:nvSpPr>
        <xdr:cNvPr id="2122" name="AutoShape 138" descr="https://www.soccerstats.com/img/own/sshplogo.png">
          <a:hlinkClick xmlns:r="http://schemas.openxmlformats.org/officeDocument/2006/relationships" r:id="rId585"/>
        </xdr:cNvPr>
        <xdr:cNvSpPr>
          <a:spLocks noChangeAspect="1" noChangeArrowheads="1"/>
        </xdr:cNvSpPr>
      </xdr:nvSpPr>
      <xdr:spPr bwMode="auto">
        <a:xfrm>
          <a:off x="13411200" y="14569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152400</xdr:colOff>
      <xdr:row>71</xdr:row>
      <xdr:rowOff>106680</xdr:rowOff>
    </xdr:to>
    <xdr:sp macro="" textlink="">
      <xdr:nvSpPr>
        <xdr:cNvPr id="2123" name="AutoShape 139" descr="DENMARK3"/>
        <xdr:cNvSpPr>
          <a:spLocks noChangeAspect="1" noChangeArrowheads="1"/>
        </xdr:cNvSpPr>
      </xdr:nvSpPr>
      <xdr:spPr bwMode="auto">
        <a:xfrm>
          <a:off x="0" y="14744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71</xdr:row>
      <xdr:rowOff>0</xdr:rowOff>
    </xdr:from>
    <xdr:to>
      <xdr:col>22</xdr:col>
      <xdr:colOff>304800</xdr:colOff>
      <xdr:row>72</xdr:row>
      <xdr:rowOff>53340</xdr:rowOff>
    </xdr:to>
    <xdr:sp macro="" textlink="">
      <xdr:nvSpPr>
        <xdr:cNvPr id="2124" name="AutoShape 140" descr="https://www.soccerstats.com/img/own/sshplogo.png">
          <a:hlinkClick xmlns:r="http://schemas.openxmlformats.org/officeDocument/2006/relationships" r:id="rId586"/>
        </xdr:cNvPr>
        <xdr:cNvSpPr>
          <a:spLocks noChangeAspect="1" noChangeArrowheads="1"/>
        </xdr:cNvSpPr>
      </xdr:nvSpPr>
      <xdr:spPr bwMode="auto">
        <a:xfrm>
          <a:off x="13411200" y="1474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152400</xdr:colOff>
      <xdr:row>72</xdr:row>
      <xdr:rowOff>106680</xdr:rowOff>
    </xdr:to>
    <xdr:sp macro="" textlink="">
      <xdr:nvSpPr>
        <xdr:cNvPr id="2125" name="AutoShape 141" descr="DENMARK3"/>
        <xdr:cNvSpPr>
          <a:spLocks noChangeAspect="1" noChangeArrowheads="1"/>
        </xdr:cNvSpPr>
      </xdr:nvSpPr>
      <xdr:spPr bwMode="auto">
        <a:xfrm>
          <a:off x="0" y="14919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72</xdr:row>
      <xdr:rowOff>0</xdr:rowOff>
    </xdr:from>
    <xdr:to>
      <xdr:col>22</xdr:col>
      <xdr:colOff>304800</xdr:colOff>
      <xdr:row>73</xdr:row>
      <xdr:rowOff>53340</xdr:rowOff>
    </xdr:to>
    <xdr:sp macro="" textlink="">
      <xdr:nvSpPr>
        <xdr:cNvPr id="2126" name="AutoShape 142" descr="https://www.soccerstats.com/img/own/sshplogo.png">
          <a:hlinkClick xmlns:r="http://schemas.openxmlformats.org/officeDocument/2006/relationships" r:id="rId587"/>
        </xdr:cNvPr>
        <xdr:cNvSpPr>
          <a:spLocks noChangeAspect="1" noChangeArrowheads="1"/>
        </xdr:cNvSpPr>
      </xdr:nvSpPr>
      <xdr:spPr bwMode="auto">
        <a:xfrm>
          <a:off x="13411200" y="14919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152400</xdr:colOff>
      <xdr:row>73</xdr:row>
      <xdr:rowOff>106680</xdr:rowOff>
    </xdr:to>
    <xdr:sp macro="" textlink="">
      <xdr:nvSpPr>
        <xdr:cNvPr id="2127" name="AutoShape 143" descr="DENMARK3"/>
        <xdr:cNvSpPr>
          <a:spLocks noChangeAspect="1" noChangeArrowheads="1"/>
        </xdr:cNvSpPr>
      </xdr:nvSpPr>
      <xdr:spPr bwMode="auto">
        <a:xfrm>
          <a:off x="0" y="15095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73</xdr:row>
      <xdr:rowOff>0</xdr:rowOff>
    </xdr:from>
    <xdr:to>
      <xdr:col>22</xdr:col>
      <xdr:colOff>304800</xdr:colOff>
      <xdr:row>74</xdr:row>
      <xdr:rowOff>129540</xdr:rowOff>
    </xdr:to>
    <xdr:sp macro="" textlink="">
      <xdr:nvSpPr>
        <xdr:cNvPr id="2128" name="AutoShape 144" descr="https://www.soccerstats.com/img/own/sshplogo.png">
          <a:hlinkClick xmlns:r="http://schemas.openxmlformats.org/officeDocument/2006/relationships" r:id="rId588"/>
        </xdr:cNvPr>
        <xdr:cNvSpPr>
          <a:spLocks noChangeAspect="1" noChangeArrowheads="1"/>
        </xdr:cNvSpPr>
      </xdr:nvSpPr>
      <xdr:spPr bwMode="auto">
        <a:xfrm>
          <a:off x="13411200" y="15095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152400</xdr:colOff>
      <xdr:row>74</xdr:row>
      <xdr:rowOff>106680</xdr:rowOff>
    </xdr:to>
    <xdr:sp macro="" textlink="">
      <xdr:nvSpPr>
        <xdr:cNvPr id="2129" name="AutoShape 145" descr="DENMARK3"/>
        <xdr:cNvSpPr>
          <a:spLocks noChangeAspect="1" noChangeArrowheads="1"/>
        </xdr:cNvSpPr>
      </xdr:nvSpPr>
      <xdr:spPr bwMode="auto">
        <a:xfrm>
          <a:off x="0" y="15270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74</xdr:row>
      <xdr:rowOff>0</xdr:rowOff>
    </xdr:from>
    <xdr:to>
      <xdr:col>22</xdr:col>
      <xdr:colOff>304800</xdr:colOff>
      <xdr:row>75</xdr:row>
      <xdr:rowOff>129540</xdr:rowOff>
    </xdr:to>
    <xdr:sp macro="" textlink="">
      <xdr:nvSpPr>
        <xdr:cNvPr id="2130" name="AutoShape 146" descr="https://www.soccerstats.com/img/own/sshplogo.png">
          <a:hlinkClick xmlns:r="http://schemas.openxmlformats.org/officeDocument/2006/relationships" r:id="rId589"/>
        </xdr:cNvPr>
        <xdr:cNvSpPr>
          <a:spLocks noChangeAspect="1" noChangeArrowheads="1"/>
        </xdr:cNvSpPr>
      </xdr:nvSpPr>
      <xdr:spPr bwMode="auto">
        <a:xfrm>
          <a:off x="13411200" y="15270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152400</xdr:colOff>
      <xdr:row>75</xdr:row>
      <xdr:rowOff>106680</xdr:rowOff>
    </xdr:to>
    <xdr:sp macro="" textlink="">
      <xdr:nvSpPr>
        <xdr:cNvPr id="2131" name="AutoShape 147" descr="ENGLAND7"/>
        <xdr:cNvSpPr>
          <a:spLocks noChangeAspect="1" noChangeArrowheads="1"/>
        </xdr:cNvSpPr>
      </xdr:nvSpPr>
      <xdr:spPr bwMode="auto">
        <a:xfrm>
          <a:off x="0" y="15521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75</xdr:row>
      <xdr:rowOff>0</xdr:rowOff>
    </xdr:from>
    <xdr:to>
      <xdr:col>22</xdr:col>
      <xdr:colOff>304800</xdr:colOff>
      <xdr:row>76</xdr:row>
      <xdr:rowOff>129540</xdr:rowOff>
    </xdr:to>
    <xdr:sp macro="" textlink="">
      <xdr:nvSpPr>
        <xdr:cNvPr id="2132" name="AutoShape 148" descr="https://www.soccerstats.com/img/own/sshplogo.png">
          <a:hlinkClick xmlns:r="http://schemas.openxmlformats.org/officeDocument/2006/relationships" r:id="rId590"/>
        </xdr:cNvPr>
        <xdr:cNvSpPr>
          <a:spLocks noChangeAspect="1" noChangeArrowheads="1"/>
        </xdr:cNvSpPr>
      </xdr:nvSpPr>
      <xdr:spPr bwMode="auto">
        <a:xfrm>
          <a:off x="13411200" y="15521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152400</xdr:colOff>
      <xdr:row>76</xdr:row>
      <xdr:rowOff>106680</xdr:rowOff>
    </xdr:to>
    <xdr:sp macro="" textlink="">
      <xdr:nvSpPr>
        <xdr:cNvPr id="2133" name="AutoShape 149" descr="ENGLAND9"/>
        <xdr:cNvSpPr>
          <a:spLocks noChangeAspect="1" noChangeArrowheads="1"/>
        </xdr:cNvSpPr>
      </xdr:nvSpPr>
      <xdr:spPr bwMode="auto">
        <a:xfrm>
          <a:off x="0" y="15773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76</xdr:row>
      <xdr:rowOff>0</xdr:rowOff>
    </xdr:from>
    <xdr:to>
      <xdr:col>22</xdr:col>
      <xdr:colOff>304800</xdr:colOff>
      <xdr:row>77</xdr:row>
      <xdr:rowOff>129540</xdr:rowOff>
    </xdr:to>
    <xdr:sp macro="" textlink="">
      <xdr:nvSpPr>
        <xdr:cNvPr id="2134" name="AutoShape 150" descr="https://www.soccerstats.com/img/own/sshplogo.png">
          <a:hlinkClick xmlns:r="http://schemas.openxmlformats.org/officeDocument/2006/relationships" r:id="rId591"/>
        </xdr:cNvPr>
        <xdr:cNvSpPr>
          <a:spLocks noChangeAspect="1" noChangeArrowheads="1"/>
        </xdr:cNvSpPr>
      </xdr:nvSpPr>
      <xdr:spPr bwMode="auto">
        <a:xfrm>
          <a:off x="13411200" y="15773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152400</xdr:colOff>
      <xdr:row>77</xdr:row>
      <xdr:rowOff>106680</xdr:rowOff>
    </xdr:to>
    <xdr:sp macro="" textlink="">
      <xdr:nvSpPr>
        <xdr:cNvPr id="2135" name="AutoShape 151" descr="ESTONIA"/>
        <xdr:cNvSpPr>
          <a:spLocks noChangeAspect="1" noChangeArrowheads="1"/>
        </xdr:cNvSpPr>
      </xdr:nvSpPr>
      <xdr:spPr bwMode="auto">
        <a:xfrm>
          <a:off x="0" y="15948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77</xdr:row>
      <xdr:rowOff>0</xdr:rowOff>
    </xdr:from>
    <xdr:to>
      <xdr:col>22</xdr:col>
      <xdr:colOff>304800</xdr:colOff>
      <xdr:row>78</xdr:row>
      <xdr:rowOff>129540</xdr:rowOff>
    </xdr:to>
    <xdr:sp macro="" textlink="">
      <xdr:nvSpPr>
        <xdr:cNvPr id="2136" name="AutoShape 152" descr="https://www.soccerstats.com/img/own/sshplogo.png">
          <a:hlinkClick xmlns:r="http://schemas.openxmlformats.org/officeDocument/2006/relationships" r:id="rId592"/>
        </xdr:cNvPr>
        <xdr:cNvSpPr>
          <a:spLocks noChangeAspect="1" noChangeArrowheads="1"/>
        </xdr:cNvSpPr>
      </xdr:nvSpPr>
      <xdr:spPr bwMode="auto">
        <a:xfrm>
          <a:off x="13411200" y="15948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152400</xdr:colOff>
      <xdr:row>78</xdr:row>
      <xdr:rowOff>106680</xdr:rowOff>
    </xdr:to>
    <xdr:sp macro="" textlink="">
      <xdr:nvSpPr>
        <xdr:cNvPr id="2137" name="AutoShape 153" descr="FINLAND"/>
        <xdr:cNvSpPr>
          <a:spLocks noChangeAspect="1" noChangeArrowheads="1"/>
        </xdr:cNvSpPr>
      </xdr:nvSpPr>
      <xdr:spPr bwMode="auto">
        <a:xfrm>
          <a:off x="0" y="16123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78</xdr:row>
      <xdr:rowOff>0</xdr:rowOff>
    </xdr:from>
    <xdr:to>
      <xdr:col>22</xdr:col>
      <xdr:colOff>304800</xdr:colOff>
      <xdr:row>79</xdr:row>
      <xdr:rowOff>129540</xdr:rowOff>
    </xdr:to>
    <xdr:sp macro="" textlink="">
      <xdr:nvSpPr>
        <xdr:cNvPr id="2138" name="AutoShape 154" descr="https://www.soccerstats.com/img/own/sshplogo.png">
          <a:hlinkClick xmlns:r="http://schemas.openxmlformats.org/officeDocument/2006/relationships" r:id="rId593"/>
        </xdr:cNvPr>
        <xdr:cNvSpPr>
          <a:spLocks noChangeAspect="1" noChangeArrowheads="1"/>
        </xdr:cNvSpPr>
      </xdr:nvSpPr>
      <xdr:spPr bwMode="auto">
        <a:xfrm>
          <a:off x="13411200" y="16123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152400</xdr:colOff>
      <xdr:row>79</xdr:row>
      <xdr:rowOff>106680</xdr:rowOff>
    </xdr:to>
    <xdr:sp macro="" textlink="">
      <xdr:nvSpPr>
        <xdr:cNvPr id="2139" name="AutoShape 155" descr="FINLAND2"/>
        <xdr:cNvSpPr>
          <a:spLocks noChangeAspect="1" noChangeArrowheads="1"/>
        </xdr:cNvSpPr>
      </xdr:nvSpPr>
      <xdr:spPr bwMode="auto">
        <a:xfrm>
          <a:off x="0" y="16299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79</xdr:row>
      <xdr:rowOff>0</xdr:rowOff>
    </xdr:from>
    <xdr:to>
      <xdr:col>22</xdr:col>
      <xdr:colOff>304800</xdr:colOff>
      <xdr:row>80</xdr:row>
      <xdr:rowOff>53340</xdr:rowOff>
    </xdr:to>
    <xdr:sp macro="" textlink="">
      <xdr:nvSpPr>
        <xdr:cNvPr id="2140" name="AutoShape 156" descr="https://www.soccerstats.com/img/own/sshplogo.png">
          <a:hlinkClick xmlns:r="http://schemas.openxmlformats.org/officeDocument/2006/relationships" r:id="rId594"/>
        </xdr:cNvPr>
        <xdr:cNvSpPr>
          <a:spLocks noChangeAspect="1" noChangeArrowheads="1"/>
        </xdr:cNvSpPr>
      </xdr:nvSpPr>
      <xdr:spPr bwMode="auto">
        <a:xfrm>
          <a:off x="13411200" y="16299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152400</xdr:colOff>
      <xdr:row>80</xdr:row>
      <xdr:rowOff>106680</xdr:rowOff>
    </xdr:to>
    <xdr:sp macro="" textlink="">
      <xdr:nvSpPr>
        <xdr:cNvPr id="2141" name="AutoShape 157" descr="FRANCE3"/>
        <xdr:cNvSpPr>
          <a:spLocks noChangeAspect="1" noChangeArrowheads="1"/>
        </xdr:cNvSpPr>
      </xdr:nvSpPr>
      <xdr:spPr bwMode="auto">
        <a:xfrm>
          <a:off x="0" y="16474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80</xdr:row>
      <xdr:rowOff>0</xdr:rowOff>
    </xdr:from>
    <xdr:to>
      <xdr:col>22</xdr:col>
      <xdr:colOff>304800</xdr:colOff>
      <xdr:row>81</xdr:row>
      <xdr:rowOff>129540</xdr:rowOff>
    </xdr:to>
    <xdr:sp macro="" textlink="">
      <xdr:nvSpPr>
        <xdr:cNvPr id="2142" name="AutoShape 158" descr="https://www.soccerstats.com/img/own/sshplogo.png">
          <a:hlinkClick xmlns:r="http://schemas.openxmlformats.org/officeDocument/2006/relationships" r:id="rId595"/>
        </xdr:cNvPr>
        <xdr:cNvSpPr>
          <a:spLocks noChangeAspect="1" noChangeArrowheads="1"/>
        </xdr:cNvSpPr>
      </xdr:nvSpPr>
      <xdr:spPr bwMode="auto">
        <a:xfrm>
          <a:off x="13411200" y="16474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152400</xdr:colOff>
      <xdr:row>81</xdr:row>
      <xdr:rowOff>106680</xdr:rowOff>
    </xdr:to>
    <xdr:sp macro="" textlink="">
      <xdr:nvSpPr>
        <xdr:cNvPr id="2143" name="AutoShape 159" descr="FRANCE3"/>
        <xdr:cNvSpPr>
          <a:spLocks noChangeAspect="1" noChangeArrowheads="1"/>
        </xdr:cNvSpPr>
      </xdr:nvSpPr>
      <xdr:spPr bwMode="auto">
        <a:xfrm>
          <a:off x="0" y="16649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81</xdr:row>
      <xdr:rowOff>0</xdr:rowOff>
    </xdr:from>
    <xdr:to>
      <xdr:col>22</xdr:col>
      <xdr:colOff>304800</xdr:colOff>
      <xdr:row>82</xdr:row>
      <xdr:rowOff>53340</xdr:rowOff>
    </xdr:to>
    <xdr:sp macro="" textlink="">
      <xdr:nvSpPr>
        <xdr:cNvPr id="2144" name="AutoShape 160" descr="https://www.soccerstats.com/img/own/sshplogo.png">
          <a:hlinkClick xmlns:r="http://schemas.openxmlformats.org/officeDocument/2006/relationships" r:id="rId596"/>
        </xdr:cNvPr>
        <xdr:cNvSpPr>
          <a:spLocks noChangeAspect="1" noChangeArrowheads="1"/>
        </xdr:cNvSpPr>
      </xdr:nvSpPr>
      <xdr:spPr bwMode="auto">
        <a:xfrm>
          <a:off x="13411200" y="16649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152400</xdr:colOff>
      <xdr:row>82</xdr:row>
      <xdr:rowOff>106680</xdr:rowOff>
    </xdr:to>
    <xdr:sp macro="" textlink="">
      <xdr:nvSpPr>
        <xdr:cNvPr id="2145" name="AutoShape 161" descr="FRANCE3"/>
        <xdr:cNvSpPr>
          <a:spLocks noChangeAspect="1" noChangeArrowheads="1"/>
        </xdr:cNvSpPr>
      </xdr:nvSpPr>
      <xdr:spPr bwMode="auto">
        <a:xfrm>
          <a:off x="0" y="16824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82</xdr:row>
      <xdr:rowOff>0</xdr:rowOff>
    </xdr:from>
    <xdr:to>
      <xdr:col>22</xdr:col>
      <xdr:colOff>304800</xdr:colOff>
      <xdr:row>83</xdr:row>
      <xdr:rowOff>129540</xdr:rowOff>
    </xdr:to>
    <xdr:sp macro="" textlink="">
      <xdr:nvSpPr>
        <xdr:cNvPr id="2146" name="AutoShape 162" descr="https://www.soccerstats.com/img/own/sshplogo.png">
          <a:hlinkClick xmlns:r="http://schemas.openxmlformats.org/officeDocument/2006/relationships" r:id="rId597"/>
        </xdr:cNvPr>
        <xdr:cNvSpPr>
          <a:spLocks noChangeAspect="1" noChangeArrowheads="1"/>
        </xdr:cNvSpPr>
      </xdr:nvSpPr>
      <xdr:spPr bwMode="auto">
        <a:xfrm>
          <a:off x="13411200" y="16824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152400</xdr:colOff>
      <xdr:row>83</xdr:row>
      <xdr:rowOff>106680</xdr:rowOff>
    </xdr:to>
    <xdr:sp macro="" textlink="">
      <xdr:nvSpPr>
        <xdr:cNvPr id="2147" name="AutoShape 163" descr="FRANCE3"/>
        <xdr:cNvSpPr>
          <a:spLocks noChangeAspect="1" noChangeArrowheads="1"/>
        </xdr:cNvSpPr>
      </xdr:nvSpPr>
      <xdr:spPr bwMode="auto">
        <a:xfrm>
          <a:off x="0" y="17076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83</xdr:row>
      <xdr:rowOff>0</xdr:rowOff>
    </xdr:from>
    <xdr:to>
      <xdr:col>22</xdr:col>
      <xdr:colOff>304800</xdr:colOff>
      <xdr:row>84</xdr:row>
      <xdr:rowOff>53340</xdr:rowOff>
    </xdr:to>
    <xdr:sp macro="" textlink="">
      <xdr:nvSpPr>
        <xdr:cNvPr id="2148" name="AutoShape 164" descr="https://www.soccerstats.com/img/own/sshplogo.png">
          <a:hlinkClick xmlns:r="http://schemas.openxmlformats.org/officeDocument/2006/relationships" r:id="rId598"/>
        </xdr:cNvPr>
        <xdr:cNvSpPr>
          <a:spLocks noChangeAspect="1" noChangeArrowheads="1"/>
        </xdr:cNvSpPr>
      </xdr:nvSpPr>
      <xdr:spPr bwMode="auto">
        <a:xfrm>
          <a:off x="13411200" y="17076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152400</xdr:colOff>
      <xdr:row>84</xdr:row>
      <xdr:rowOff>106680</xdr:rowOff>
    </xdr:to>
    <xdr:sp macro="" textlink="">
      <xdr:nvSpPr>
        <xdr:cNvPr id="2149" name="AutoShape 165" descr="FRANCE3"/>
        <xdr:cNvSpPr>
          <a:spLocks noChangeAspect="1" noChangeArrowheads="1"/>
        </xdr:cNvSpPr>
      </xdr:nvSpPr>
      <xdr:spPr bwMode="auto">
        <a:xfrm>
          <a:off x="0" y="17251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84</xdr:row>
      <xdr:rowOff>0</xdr:rowOff>
    </xdr:from>
    <xdr:to>
      <xdr:col>22</xdr:col>
      <xdr:colOff>304800</xdr:colOff>
      <xdr:row>85</xdr:row>
      <xdr:rowOff>129540</xdr:rowOff>
    </xdr:to>
    <xdr:sp macro="" textlink="">
      <xdr:nvSpPr>
        <xdr:cNvPr id="2150" name="AutoShape 166" descr="https://www.soccerstats.com/img/own/sshplogo.png">
          <a:hlinkClick xmlns:r="http://schemas.openxmlformats.org/officeDocument/2006/relationships" r:id="rId599"/>
        </xdr:cNvPr>
        <xdr:cNvSpPr>
          <a:spLocks noChangeAspect="1" noChangeArrowheads="1"/>
        </xdr:cNvSpPr>
      </xdr:nvSpPr>
      <xdr:spPr bwMode="auto">
        <a:xfrm>
          <a:off x="13411200" y="17251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152400</xdr:colOff>
      <xdr:row>85</xdr:row>
      <xdr:rowOff>106680</xdr:rowOff>
    </xdr:to>
    <xdr:sp macro="" textlink="">
      <xdr:nvSpPr>
        <xdr:cNvPr id="2151" name="AutoShape 167" descr="FRANCE3"/>
        <xdr:cNvSpPr>
          <a:spLocks noChangeAspect="1" noChangeArrowheads="1"/>
        </xdr:cNvSpPr>
      </xdr:nvSpPr>
      <xdr:spPr bwMode="auto">
        <a:xfrm>
          <a:off x="0" y="17503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85</xdr:row>
      <xdr:rowOff>0</xdr:rowOff>
    </xdr:from>
    <xdr:to>
      <xdr:col>22</xdr:col>
      <xdr:colOff>304800</xdr:colOff>
      <xdr:row>86</xdr:row>
      <xdr:rowOff>129540</xdr:rowOff>
    </xdr:to>
    <xdr:sp macro="" textlink="">
      <xdr:nvSpPr>
        <xdr:cNvPr id="2152" name="AutoShape 168" descr="https://www.soccerstats.com/img/own/sshplogo.png">
          <a:hlinkClick xmlns:r="http://schemas.openxmlformats.org/officeDocument/2006/relationships" r:id="rId600"/>
        </xdr:cNvPr>
        <xdr:cNvSpPr>
          <a:spLocks noChangeAspect="1" noChangeArrowheads="1"/>
        </xdr:cNvSpPr>
      </xdr:nvSpPr>
      <xdr:spPr bwMode="auto">
        <a:xfrm>
          <a:off x="13411200" y="17503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152400</xdr:colOff>
      <xdr:row>86</xdr:row>
      <xdr:rowOff>106680</xdr:rowOff>
    </xdr:to>
    <xdr:sp macro="" textlink="">
      <xdr:nvSpPr>
        <xdr:cNvPr id="2153" name="AutoShape 169" descr="FRANCE3"/>
        <xdr:cNvSpPr>
          <a:spLocks noChangeAspect="1" noChangeArrowheads="1"/>
        </xdr:cNvSpPr>
      </xdr:nvSpPr>
      <xdr:spPr bwMode="auto">
        <a:xfrm>
          <a:off x="0" y="17678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86</xdr:row>
      <xdr:rowOff>0</xdr:rowOff>
    </xdr:from>
    <xdr:to>
      <xdr:col>22</xdr:col>
      <xdr:colOff>304800</xdr:colOff>
      <xdr:row>87</xdr:row>
      <xdr:rowOff>53340</xdr:rowOff>
    </xdr:to>
    <xdr:sp macro="" textlink="">
      <xdr:nvSpPr>
        <xdr:cNvPr id="2154" name="AutoShape 170" descr="https://www.soccerstats.com/img/own/sshplogo.png">
          <a:hlinkClick xmlns:r="http://schemas.openxmlformats.org/officeDocument/2006/relationships" r:id="rId601"/>
        </xdr:cNvPr>
        <xdr:cNvSpPr>
          <a:spLocks noChangeAspect="1" noChangeArrowheads="1"/>
        </xdr:cNvSpPr>
      </xdr:nvSpPr>
      <xdr:spPr bwMode="auto">
        <a:xfrm>
          <a:off x="13411200" y="17678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152400</xdr:colOff>
      <xdr:row>87</xdr:row>
      <xdr:rowOff>106680</xdr:rowOff>
    </xdr:to>
    <xdr:sp macro="" textlink="">
      <xdr:nvSpPr>
        <xdr:cNvPr id="2155" name="AutoShape 171" descr="FRANCE3"/>
        <xdr:cNvSpPr>
          <a:spLocks noChangeAspect="1" noChangeArrowheads="1"/>
        </xdr:cNvSpPr>
      </xdr:nvSpPr>
      <xdr:spPr bwMode="auto">
        <a:xfrm>
          <a:off x="0" y="17929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87</xdr:row>
      <xdr:rowOff>0</xdr:rowOff>
    </xdr:from>
    <xdr:to>
      <xdr:col>22</xdr:col>
      <xdr:colOff>304800</xdr:colOff>
      <xdr:row>88</xdr:row>
      <xdr:rowOff>129540</xdr:rowOff>
    </xdr:to>
    <xdr:sp macro="" textlink="">
      <xdr:nvSpPr>
        <xdr:cNvPr id="2156" name="AutoShape 172" descr="https://www.soccerstats.com/img/own/sshplogo.png">
          <a:hlinkClick xmlns:r="http://schemas.openxmlformats.org/officeDocument/2006/relationships" r:id="rId602"/>
        </xdr:cNvPr>
        <xdr:cNvSpPr>
          <a:spLocks noChangeAspect="1" noChangeArrowheads="1"/>
        </xdr:cNvSpPr>
      </xdr:nvSpPr>
      <xdr:spPr bwMode="auto">
        <a:xfrm>
          <a:off x="13411200" y="17929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152400</xdr:colOff>
      <xdr:row>88</xdr:row>
      <xdr:rowOff>106680</xdr:rowOff>
    </xdr:to>
    <xdr:sp macro="" textlink="">
      <xdr:nvSpPr>
        <xdr:cNvPr id="2157" name="AutoShape 173" descr="FRANCE3"/>
        <xdr:cNvSpPr>
          <a:spLocks noChangeAspect="1" noChangeArrowheads="1"/>
        </xdr:cNvSpPr>
      </xdr:nvSpPr>
      <xdr:spPr bwMode="auto">
        <a:xfrm>
          <a:off x="0" y="18105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88</xdr:row>
      <xdr:rowOff>0</xdr:rowOff>
    </xdr:from>
    <xdr:to>
      <xdr:col>22</xdr:col>
      <xdr:colOff>304800</xdr:colOff>
      <xdr:row>89</xdr:row>
      <xdr:rowOff>53340</xdr:rowOff>
    </xdr:to>
    <xdr:sp macro="" textlink="">
      <xdr:nvSpPr>
        <xdr:cNvPr id="2158" name="AutoShape 174" descr="https://www.soccerstats.com/img/own/sshplogo.png">
          <a:hlinkClick xmlns:r="http://schemas.openxmlformats.org/officeDocument/2006/relationships" r:id="rId603"/>
        </xdr:cNvPr>
        <xdr:cNvSpPr>
          <a:spLocks noChangeAspect="1" noChangeArrowheads="1"/>
        </xdr:cNvSpPr>
      </xdr:nvSpPr>
      <xdr:spPr bwMode="auto">
        <a:xfrm>
          <a:off x="13411200" y="18105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152400</xdr:colOff>
      <xdr:row>89</xdr:row>
      <xdr:rowOff>106680</xdr:rowOff>
    </xdr:to>
    <xdr:sp macro="" textlink="">
      <xdr:nvSpPr>
        <xdr:cNvPr id="2159" name="AutoShape 175" descr="GERMANY3"/>
        <xdr:cNvSpPr>
          <a:spLocks noChangeAspect="1" noChangeArrowheads="1"/>
        </xdr:cNvSpPr>
      </xdr:nvSpPr>
      <xdr:spPr bwMode="auto">
        <a:xfrm>
          <a:off x="0" y="18280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89</xdr:row>
      <xdr:rowOff>0</xdr:rowOff>
    </xdr:from>
    <xdr:to>
      <xdr:col>22</xdr:col>
      <xdr:colOff>304800</xdr:colOff>
      <xdr:row>90</xdr:row>
      <xdr:rowOff>53340</xdr:rowOff>
    </xdr:to>
    <xdr:sp macro="" textlink="">
      <xdr:nvSpPr>
        <xdr:cNvPr id="2160" name="AutoShape 176" descr="https://www.soccerstats.com/img/own/sshplogo.png">
          <a:hlinkClick xmlns:r="http://schemas.openxmlformats.org/officeDocument/2006/relationships" r:id="rId604"/>
        </xdr:cNvPr>
        <xdr:cNvSpPr>
          <a:spLocks noChangeAspect="1" noChangeArrowheads="1"/>
        </xdr:cNvSpPr>
      </xdr:nvSpPr>
      <xdr:spPr bwMode="auto">
        <a:xfrm>
          <a:off x="13411200" y="18280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152400</xdr:colOff>
      <xdr:row>90</xdr:row>
      <xdr:rowOff>106680</xdr:rowOff>
    </xdr:to>
    <xdr:sp macro="" textlink="">
      <xdr:nvSpPr>
        <xdr:cNvPr id="2161" name="AutoShape 177" descr="GERMANY5"/>
        <xdr:cNvSpPr>
          <a:spLocks noChangeAspect="1" noChangeArrowheads="1"/>
        </xdr:cNvSpPr>
      </xdr:nvSpPr>
      <xdr:spPr bwMode="auto">
        <a:xfrm>
          <a:off x="0" y="18531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90</xdr:row>
      <xdr:rowOff>0</xdr:rowOff>
    </xdr:from>
    <xdr:to>
      <xdr:col>22</xdr:col>
      <xdr:colOff>304800</xdr:colOff>
      <xdr:row>91</xdr:row>
      <xdr:rowOff>129540</xdr:rowOff>
    </xdr:to>
    <xdr:sp macro="" textlink="">
      <xdr:nvSpPr>
        <xdr:cNvPr id="2162" name="AutoShape 178" descr="https://www.soccerstats.com/img/own/sshplogo.png">
          <a:hlinkClick xmlns:r="http://schemas.openxmlformats.org/officeDocument/2006/relationships" r:id="rId605"/>
        </xdr:cNvPr>
        <xdr:cNvSpPr>
          <a:spLocks noChangeAspect="1" noChangeArrowheads="1"/>
        </xdr:cNvSpPr>
      </xdr:nvSpPr>
      <xdr:spPr bwMode="auto">
        <a:xfrm>
          <a:off x="13411200" y="18531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152400</xdr:colOff>
      <xdr:row>91</xdr:row>
      <xdr:rowOff>106680</xdr:rowOff>
    </xdr:to>
    <xdr:sp macro="" textlink="">
      <xdr:nvSpPr>
        <xdr:cNvPr id="2163" name="AutoShape 179" descr="GERMANY5"/>
        <xdr:cNvSpPr>
          <a:spLocks noChangeAspect="1" noChangeArrowheads="1"/>
        </xdr:cNvSpPr>
      </xdr:nvSpPr>
      <xdr:spPr bwMode="auto">
        <a:xfrm>
          <a:off x="0" y="18707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91</xdr:row>
      <xdr:rowOff>0</xdr:rowOff>
    </xdr:from>
    <xdr:to>
      <xdr:col>22</xdr:col>
      <xdr:colOff>304800</xdr:colOff>
      <xdr:row>92</xdr:row>
      <xdr:rowOff>129540</xdr:rowOff>
    </xdr:to>
    <xdr:sp macro="" textlink="">
      <xdr:nvSpPr>
        <xdr:cNvPr id="2164" name="AutoShape 180" descr="https://www.soccerstats.com/img/own/sshplogo.png">
          <a:hlinkClick xmlns:r="http://schemas.openxmlformats.org/officeDocument/2006/relationships" r:id="rId606"/>
        </xdr:cNvPr>
        <xdr:cNvSpPr>
          <a:spLocks noChangeAspect="1" noChangeArrowheads="1"/>
        </xdr:cNvSpPr>
      </xdr:nvSpPr>
      <xdr:spPr bwMode="auto">
        <a:xfrm>
          <a:off x="13411200" y="18707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152400</xdr:colOff>
      <xdr:row>92</xdr:row>
      <xdr:rowOff>106680</xdr:rowOff>
    </xdr:to>
    <xdr:sp macro="" textlink="">
      <xdr:nvSpPr>
        <xdr:cNvPr id="2165" name="AutoShape 181" descr="GERMANY5"/>
        <xdr:cNvSpPr>
          <a:spLocks noChangeAspect="1" noChangeArrowheads="1"/>
        </xdr:cNvSpPr>
      </xdr:nvSpPr>
      <xdr:spPr bwMode="auto">
        <a:xfrm>
          <a:off x="0" y="18958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92</xdr:row>
      <xdr:rowOff>0</xdr:rowOff>
    </xdr:from>
    <xdr:to>
      <xdr:col>22</xdr:col>
      <xdr:colOff>304800</xdr:colOff>
      <xdr:row>93</xdr:row>
      <xdr:rowOff>129540</xdr:rowOff>
    </xdr:to>
    <xdr:sp macro="" textlink="">
      <xdr:nvSpPr>
        <xdr:cNvPr id="2166" name="AutoShape 182" descr="https://www.soccerstats.com/img/own/sshplogo.png">
          <a:hlinkClick xmlns:r="http://schemas.openxmlformats.org/officeDocument/2006/relationships" r:id="rId607"/>
        </xdr:cNvPr>
        <xdr:cNvSpPr>
          <a:spLocks noChangeAspect="1" noChangeArrowheads="1"/>
        </xdr:cNvSpPr>
      </xdr:nvSpPr>
      <xdr:spPr bwMode="auto">
        <a:xfrm>
          <a:off x="13411200" y="18958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152400</xdr:colOff>
      <xdr:row>93</xdr:row>
      <xdr:rowOff>106680</xdr:rowOff>
    </xdr:to>
    <xdr:sp macro="" textlink="">
      <xdr:nvSpPr>
        <xdr:cNvPr id="2167" name="AutoShape 183" descr="GERMANY5"/>
        <xdr:cNvSpPr>
          <a:spLocks noChangeAspect="1" noChangeArrowheads="1"/>
        </xdr:cNvSpPr>
      </xdr:nvSpPr>
      <xdr:spPr bwMode="auto">
        <a:xfrm>
          <a:off x="0" y="19210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93</xdr:row>
      <xdr:rowOff>0</xdr:rowOff>
    </xdr:from>
    <xdr:to>
      <xdr:col>22</xdr:col>
      <xdr:colOff>304800</xdr:colOff>
      <xdr:row>94</xdr:row>
      <xdr:rowOff>129540</xdr:rowOff>
    </xdr:to>
    <xdr:sp macro="" textlink="">
      <xdr:nvSpPr>
        <xdr:cNvPr id="2168" name="AutoShape 184" descr="https://www.soccerstats.com/img/own/sshplogo.png">
          <a:hlinkClick xmlns:r="http://schemas.openxmlformats.org/officeDocument/2006/relationships" r:id="rId608"/>
        </xdr:cNvPr>
        <xdr:cNvSpPr>
          <a:spLocks noChangeAspect="1" noChangeArrowheads="1"/>
        </xdr:cNvSpPr>
      </xdr:nvSpPr>
      <xdr:spPr bwMode="auto">
        <a:xfrm>
          <a:off x="13411200" y="19210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152400</xdr:colOff>
      <xdr:row>94</xdr:row>
      <xdr:rowOff>106680</xdr:rowOff>
    </xdr:to>
    <xdr:sp macro="" textlink="">
      <xdr:nvSpPr>
        <xdr:cNvPr id="2169" name="AutoShape 185" descr="GERMANY6"/>
        <xdr:cNvSpPr>
          <a:spLocks noChangeAspect="1" noChangeArrowheads="1"/>
        </xdr:cNvSpPr>
      </xdr:nvSpPr>
      <xdr:spPr bwMode="auto">
        <a:xfrm>
          <a:off x="0" y="19385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94</xdr:row>
      <xdr:rowOff>0</xdr:rowOff>
    </xdr:from>
    <xdr:to>
      <xdr:col>22</xdr:col>
      <xdr:colOff>304800</xdr:colOff>
      <xdr:row>95</xdr:row>
      <xdr:rowOff>129540</xdr:rowOff>
    </xdr:to>
    <xdr:sp macro="" textlink="">
      <xdr:nvSpPr>
        <xdr:cNvPr id="2170" name="AutoShape 186" descr="https://www.soccerstats.com/img/own/sshplogo.png">
          <a:hlinkClick xmlns:r="http://schemas.openxmlformats.org/officeDocument/2006/relationships" r:id="rId609"/>
        </xdr:cNvPr>
        <xdr:cNvSpPr>
          <a:spLocks noChangeAspect="1" noChangeArrowheads="1"/>
        </xdr:cNvSpPr>
      </xdr:nvSpPr>
      <xdr:spPr bwMode="auto">
        <a:xfrm>
          <a:off x="13411200" y="19385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152400</xdr:colOff>
      <xdr:row>95</xdr:row>
      <xdr:rowOff>106680</xdr:rowOff>
    </xdr:to>
    <xdr:sp macro="" textlink="">
      <xdr:nvSpPr>
        <xdr:cNvPr id="2171" name="AutoShape 187" descr="GERMANY6"/>
        <xdr:cNvSpPr>
          <a:spLocks noChangeAspect="1" noChangeArrowheads="1"/>
        </xdr:cNvSpPr>
      </xdr:nvSpPr>
      <xdr:spPr bwMode="auto">
        <a:xfrm>
          <a:off x="0" y="19560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95</xdr:row>
      <xdr:rowOff>0</xdr:rowOff>
    </xdr:from>
    <xdr:to>
      <xdr:col>22</xdr:col>
      <xdr:colOff>304800</xdr:colOff>
      <xdr:row>96</xdr:row>
      <xdr:rowOff>53340</xdr:rowOff>
    </xdr:to>
    <xdr:sp macro="" textlink="">
      <xdr:nvSpPr>
        <xdr:cNvPr id="2172" name="AutoShape 188" descr="https://www.soccerstats.com/img/own/sshplogo.png">
          <a:hlinkClick xmlns:r="http://schemas.openxmlformats.org/officeDocument/2006/relationships" r:id="rId610"/>
        </xdr:cNvPr>
        <xdr:cNvSpPr>
          <a:spLocks noChangeAspect="1" noChangeArrowheads="1"/>
        </xdr:cNvSpPr>
      </xdr:nvSpPr>
      <xdr:spPr bwMode="auto">
        <a:xfrm>
          <a:off x="13411200" y="19560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152400</xdr:colOff>
      <xdr:row>96</xdr:row>
      <xdr:rowOff>106680</xdr:rowOff>
    </xdr:to>
    <xdr:sp macro="" textlink="">
      <xdr:nvSpPr>
        <xdr:cNvPr id="2173" name="AutoShape 189" descr="GERMANY6"/>
        <xdr:cNvSpPr>
          <a:spLocks noChangeAspect="1" noChangeArrowheads="1"/>
        </xdr:cNvSpPr>
      </xdr:nvSpPr>
      <xdr:spPr bwMode="auto">
        <a:xfrm>
          <a:off x="0" y="19735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96</xdr:row>
      <xdr:rowOff>0</xdr:rowOff>
    </xdr:from>
    <xdr:to>
      <xdr:col>22</xdr:col>
      <xdr:colOff>304800</xdr:colOff>
      <xdr:row>97</xdr:row>
      <xdr:rowOff>129540</xdr:rowOff>
    </xdr:to>
    <xdr:sp macro="" textlink="">
      <xdr:nvSpPr>
        <xdr:cNvPr id="2174" name="AutoShape 190" descr="https://www.soccerstats.com/img/own/sshplogo.png">
          <a:hlinkClick xmlns:r="http://schemas.openxmlformats.org/officeDocument/2006/relationships" r:id="rId611"/>
        </xdr:cNvPr>
        <xdr:cNvSpPr>
          <a:spLocks noChangeAspect="1" noChangeArrowheads="1"/>
        </xdr:cNvSpPr>
      </xdr:nvSpPr>
      <xdr:spPr bwMode="auto">
        <a:xfrm>
          <a:off x="13411200" y="19735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152400</xdr:colOff>
      <xdr:row>97</xdr:row>
      <xdr:rowOff>106680</xdr:rowOff>
    </xdr:to>
    <xdr:sp macro="" textlink="">
      <xdr:nvSpPr>
        <xdr:cNvPr id="2175" name="AutoShape 191" descr="GERMANY6"/>
        <xdr:cNvSpPr>
          <a:spLocks noChangeAspect="1" noChangeArrowheads="1"/>
        </xdr:cNvSpPr>
      </xdr:nvSpPr>
      <xdr:spPr bwMode="auto">
        <a:xfrm>
          <a:off x="0" y="19911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97</xdr:row>
      <xdr:rowOff>0</xdr:rowOff>
    </xdr:from>
    <xdr:to>
      <xdr:col>22</xdr:col>
      <xdr:colOff>304800</xdr:colOff>
      <xdr:row>98</xdr:row>
      <xdr:rowOff>129540</xdr:rowOff>
    </xdr:to>
    <xdr:sp macro="" textlink="">
      <xdr:nvSpPr>
        <xdr:cNvPr id="2176" name="AutoShape 192" descr="https://www.soccerstats.com/img/own/sshplogo.png">
          <a:hlinkClick xmlns:r="http://schemas.openxmlformats.org/officeDocument/2006/relationships" r:id="rId612"/>
        </xdr:cNvPr>
        <xdr:cNvSpPr>
          <a:spLocks noChangeAspect="1" noChangeArrowheads="1"/>
        </xdr:cNvSpPr>
      </xdr:nvSpPr>
      <xdr:spPr bwMode="auto">
        <a:xfrm>
          <a:off x="13411200" y="19911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152400</xdr:colOff>
      <xdr:row>98</xdr:row>
      <xdr:rowOff>106680</xdr:rowOff>
    </xdr:to>
    <xdr:sp macro="" textlink="">
      <xdr:nvSpPr>
        <xdr:cNvPr id="2177" name="AutoShape 193" descr="GERMANY7"/>
        <xdr:cNvSpPr>
          <a:spLocks noChangeAspect="1" noChangeArrowheads="1"/>
        </xdr:cNvSpPr>
      </xdr:nvSpPr>
      <xdr:spPr bwMode="auto">
        <a:xfrm>
          <a:off x="0" y="20086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98</xdr:row>
      <xdr:rowOff>0</xdr:rowOff>
    </xdr:from>
    <xdr:to>
      <xdr:col>22</xdr:col>
      <xdr:colOff>304800</xdr:colOff>
      <xdr:row>99</xdr:row>
      <xdr:rowOff>129540</xdr:rowOff>
    </xdr:to>
    <xdr:sp macro="" textlink="">
      <xdr:nvSpPr>
        <xdr:cNvPr id="2178" name="AutoShape 194" descr="https://www.soccerstats.com/img/own/sshplogo.png">
          <a:hlinkClick xmlns:r="http://schemas.openxmlformats.org/officeDocument/2006/relationships" r:id="rId613"/>
        </xdr:cNvPr>
        <xdr:cNvSpPr>
          <a:spLocks noChangeAspect="1" noChangeArrowheads="1"/>
        </xdr:cNvSpPr>
      </xdr:nvSpPr>
      <xdr:spPr bwMode="auto">
        <a:xfrm>
          <a:off x="13411200" y="20086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152400</xdr:colOff>
      <xdr:row>99</xdr:row>
      <xdr:rowOff>106680</xdr:rowOff>
    </xdr:to>
    <xdr:sp macro="" textlink="">
      <xdr:nvSpPr>
        <xdr:cNvPr id="2179" name="AutoShape 195" descr="GERMANY8"/>
        <xdr:cNvSpPr>
          <a:spLocks noChangeAspect="1" noChangeArrowheads="1"/>
        </xdr:cNvSpPr>
      </xdr:nvSpPr>
      <xdr:spPr bwMode="auto">
        <a:xfrm>
          <a:off x="0" y="20337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99</xdr:row>
      <xdr:rowOff>0</xdr:rowOff>
    </xdr:from>
    <xdr:to>
      <xdr:col>22</xdr:col>
      <xdr:colOff>304800</xdr:colOff>
      <xdr:row>100</xdr:row>
      <xdr:rowOff>129540</xdr:rowOff>
    </xdr:to>
    <xdr:sp macro="" textlink="">
      <xdr:nvSpPr>
        <xdr:cNvPr id="2180" name="AutoShape 196" descr="https://www.soccerstats.com/img/own/sshplogo.png">
          <a:hlinkClick xmlns:r="http://schemas.openxmlformats.org/officeDocument/2006/relationships" r:id="rId614"/>
        </xdr:cNvPr>
        <xdr:cNvSpPr>
          <a:spLocks noChangeAspect="1" noChangeArrowheads="1"/>
        </xdr:cNvSpPr>
      </xdr:nvSpPr>
      <xdr:spPr bwMode="auto">
        <a:xfrm>
          <a:off x="13411200" y="20337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152400</xdr:colOff>
      <xdr:row>100</xdr:row>
      <xdr:rowOff>106680</xdr:rowOff>
    </xdr:to>
    <xdr:sp macro="" textlink="">
      <xdr:nvSpPr>
        <xdr:cNvPr id="2181" name="AutoShape 197" descr="GERMANY8"/>
        <xdr:cNvSpPr>
          <a:spLocks noChangeAspect="1" noChangeArrowheads="1"/>
        </xdr:cNvSpPr>
      </xdr:nvSpPr>
      <xdr:spPr bwMode="auto">
        <a:xfrm>
          <a:off x="0" y="20513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100</xdr:row>
      <xdr:rowOff>0</xdr:rowOff>
    </xdr:from>
    <xdr:to>
      <xdr:col>22</xdr:col>
      <xdr:colOff>304800</xdr:colOff>
      <xdr:row>101</xdr:row>
      <xdr:rowOff>129540</xdr:rowOff>
    </xdr:to>
    <xdr:sp macro="" textlink="">
      <xdr:nvSpPr>
        <xdr:cNvPr id="2182" name="AutoShape 198" descr="https://www.soccerstats.com/img/own/sshplogo.png">
          <a:hlinkClick xmlns:r="http://schemas.openxmlformats.org/officeDocument/2006/relationships" r:id="rId615"/>
        </xdr:cNvPr>
        <xdr:cNvSpPr>
          <a:spLocks noChangeAspect="1" noChangeArrowheads="1"/>
        </xdr:cNvSpPr>
      </xdr:nvSpPr>
      <xdr:spPr bwMode="auto">
        <a:xfrm>
          <a:off x="13411200" y="20513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152400</xdr:colOff>
      <xdr:row>101</xdr:row>
      <xdr:rowOff>106680</xdr:rowOff>
    </xdr:to>
    <xdr:sp macro="" textlink="">
      <xdr:nvSpPr>
        <xdr:cNvPr id="2183" name="AutoShape 199" descr="GERMANY8"/>
        <xdr:cNvSpPr>
          <a:spLocks noChangeAspect="1" noChangeArrowheads="1"/>
        </xdr:cNvSpPr>
      </xdr:nvSpPr>
      <xdr:spPr bwMode="auto">
        <a:xfrm>
          <a:off x="0" y="20688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101</xdr:row>
      <xdr:rowOff>0</xdr:rowOff>
    </xdr:from>
    <xdr:to>
      <xdr:col>22</xdr:col>
      <xdr:colOff>304800</xdr:colOff>
      <xdr:row>102</xdr:row>
      <xdr:rowOff>129540</xdr:rowOff>
    </xdr:to>
    <xdr:sp macro="" textlink="">
      <xdr:nvSpPr>
        <xdr:cNvPr id="2184" name="AutoShape 200" descr="https://www.soccerstats.com/img/own/sshplogo.png">
          <a:hlinkClick xmlns:r="http://schemas.openxmlformats.org/officeDocument/2006/relationships" r:id="rId616"/>
        </xdr:cNvPr>
        <xdr:cNvSpPr>
          <a:spLocks noChangeAspect="1" noChangeArrowheads="1"/>
        </xdr:cNvSpPr>
      </xdr:nvSpPr>
      <xdr:spPr bwMode="auto">
        <a:xfrm>
          <a:off x="13411200" y="20688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152400</xdr:colOff>
      <xdr:row>102</xdr:row>
      <xdr:rowOff>106680</xdr:rowOff>
    </xdr:to>
    <xdr:sp macro="" textlink="">
      <xdr:nvSpPr>
        <xdr:cNvPr id="2185" name="AutoShape 201" descr="GERMANY8"/>
        <xdr:cNvSpPr>
          <a:spLocks noChangeAspect="1" noChangeArrowheads="1"/>
        </xdr:cNvSpPr>
      </xdr:nvSpPr>
      <xdr:spPr bwMode="auto">
        <a:xfrm>
          <a:off x="0" y="20863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102</xdr:row>
      <xdr:rowOff>0</xdr:rowOff>
    </xdr:from>
    <xdr:to>
      <xdr:col>22</xdr:col>
      <xdr:colOff>304800</xdr:colOff>
      <xdr:row>103</xdr:row>
      <xdr:rowOff>53340</xdr:rowOff>
    </xdr:to>
    <xdr:sp macro="" textlink="">
      <xdr:nvSpPr>
        <xdr:cNvPr id="2186" name="AutoShape 202" descr="https://www.soccerstats.com/img/own/sshplogo.png">
          <a:hlinkClick xmlns:r="http://schemas.openxmlformats.org/officeDocument/2006/relationships" r:id="rId617"/>
        </xdr:cNvPr>
        <xdr:cNvSpPr>
          <a:spLocks noChangeAspect="1" noChangeArrowheads="1"/>
        </xdr:cNvSpPr>
      </xdr:nvSpPr>
      <xdr:spPr bwMode="auto">
        <a:xfrm>
          <a:off x="13411200" y="20863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152400</xdr:colOff>
      <xdr:row>103</xdr:row>
      <xdr:rowOff>106680</xdr:rowOff>
    </xdr:to>
    <xdr:sp macro="" textlink="">
      <xdr:nvSpPr>
        <xdr:cNvPr id="2187" name="AutoShape 203" descr="GERMANY8"/>
        <xdr:cNvSpPr>
          <a:spLocks noChangeAspect="1" noChangeArrowheads="1"/>
        </xdr:cNvSpPr>
      </xdr:nvSpPr>
      <xdr:spPr bwMode="auto">
        <a:xfrm>
          <a:off x="0" y="21038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103</xdr:row>
      <xdr:rowOff>0</xdr:rowOff>
    </xdr:from>
    <xdr:to>
      <xdr:col>22</xdr:col>
      <xdr:colOff>304800</xdr:colOff>
      <xdr:row>104</xdr:row>
      <xdr:rowOff>129540</xdr:rowOff>
    </xdr:to>
    <xdr:sp macro="" textlink="">
      <xdr:nvSpPr>
        <xdr:cNvPr id="2188" name="AutoShape 204" descr="https://www.soccerstats.com/img/own/sshplogo.png">
          <a:hlinkClick xmlns:r="http://schemas.openxmlformats.org/officeDocument/2006/relationships" r:id="rId618"/>
        </xdr:cNvPr>
        <xdr:cNvSpPr>
          <a:spLocks noChangeAspect="1" noChangeArrowheads="1"/>
        </xdr:cNvSpPr>
      </xdr:nvSpPr>
      <xdr:spPr bwMode="auto">
        <a:xfrm>
          <a:off x="13411200" y="21038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152400</xdr:colOff>
      <xdr:row>104</xdr:row>
      <xdr:rowOff>106680</xdr:rowOff>
    </xdr:to>
    <xdr:sp macro="" textlink="">
      <xdr:nvSpPr>
        <xdr:cNvPr id="2189" name="AutoShape 205" descr="GERMANY8"/>
        <xdr:cNvSpPr>
          <a:spLocks noChangeAspect="1" noChangeArrowheads="1"/>
        </xdr:cNvSpPr>
      </xdr:nvSpPr>
      <xdr:spPr bwMode="auto">
        <a:xfrm>
          <a:off x="0" y="21214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104</xdr:row>
      <xdr:rowOff>0</xdr:rowOff>
    </xdr:from>
    <xdr:to>
      <xdr:col>22</xdr:col>
      <xdr:colOff>304800</xdr:colOff>
      <xdr:row>105</xdr:row>
      <xdr:rowOff>53340</xdr:rowOff>
    </xdr:to>
    <xdr:sp macro="" textlink="">
      <xdr:nvSpPr>
        <xdr:cNvPr id="2190" name="AutoShape 206" descr="https://www.soccerstats.com/img/own/sshplogo.png">
          <a:hlinkClick xmlns:r="http://schemas.openxmlformats.org/officeDocument/2006/relationships" r:id="rId619"/>
        </xdr:cNvPr>
        <xdr:cNvSpPr>
          <a:spLocks noChangeAspect="1" noChangeArrowheads="1"/>
        </xdr:cNvSpPr>
      </xdr:nvSpPr>
      <xdr:spPr bwMode="auto">
        <a:xfrm>
          <a:off x="13411200" y="21214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152400</xdr:colOff>
      <xdr:row>105</xdr:row>
      <xdr:rowOff>106680</xdr:rowOff>
    </xdr:to>
    <xdr:sp macro="" textlink="">
      <xdr:nvSpPr>
        <xdr:cNvPr id="2191" name="AutoShape 207" descr="GERMANY8"/>
        <xdr:cNvSpPr>
          <a:spLocks noChangeAspect="1" noChangeArrowheads="1"/>
        </xdr:cNvSpPr>
      </xdr:nvSpPr>
      <xdr:spPr bwMode="auto">
        <a:xfrm>
          <a:off x="0" y="21389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105</xdr:row>
      <xdr:rowOff>0</xdr:rowOff>
    </xdr:from>
    <xdr:to>
      <xdr:col>22</xdr:col>
      <xdr:colOff>304800</xdr:colOff>
      <xdr:row>106</xdr:row>
      <xdr:rowOff>129540</xdr:rowOff>
    </xdr:to>
    <xdr:sp macro="" textlink="">
      <xdr:nvSpPr>
        <xdr:cNvPr id="2192" name="AutoShape 208" descr="https://www.soccerstats.com/img/own/sshplogo.png">
          <a:hlinkClick xmlns:r="http://schemas.openxmlformats.org/officeDocument/2006/relationships" r:id="rId620"/>
        </xdr:cNvPr>
        <xdr:cNvSpPr>
          <a:spLocks noChangeAspect="1" noChangeArrowheads="1"/>
        </xdr:cNvSpPr>
      </xdr:nvSpPr>
      <xdr:spPr bwMode="auto">
        <a:xfrm>
          <a:off x="13411200" y="21389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152400</xdr:colOff>
      <xdr:row>106</xdr:row>
      <xdr:rowOff>106680</xdr:rowOff>
    </xdr:to>
    <xdr:sp macro="" textlink="">
      <xdr:nvSpPr>
        <xdr:cNvPr id="2193" name="AutoShape 209" descr="GERMANY8"/>
        <xdr:cNvSpPr>
          <a:spLocks noChangeAspect="1" noChangeArrowheads="1"/>
        </xdr:cNvSpPr>
      </xdr:nvSpPr>
      <xdr:spPr bwMode="auto">
        <a:xfrm>
          <a:off x="0" y="21640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106</xdr:row>
      <xdr:rowOff>0</xdr:rowOff>
    </xdr:from>
    <xdr:to>
      <xdr:col>22</xdr:col>
      <xdr:colOff>304800</xdr:colOff>
      <xdr:row>107</xdr:row>
      <xdr:rowOff>53340</xdr:rowOff>
    </xdr:to>
    <xdr:sp macro="" textlink="">
      <xdr:nvSpPr>
        <xdr:cNvPr id="2194" name="AutoShape 210" descr="https://www.soccerstats.com/img/own/sshplogo.png">
          <a:hlinkClick xmlns:r="http://schemas.openxmlformats.org/officeDocument/2006/relationships" r:id="rId621"/>
        </xdr:cNvPr>
        <xdr:cNvSpPr>
          <a:spLocks noChangeAspect="1" noChangeArrowheads="1"/>
        </xdr:cNvSpPr>
      </xdr:nvSpPr>
      <xdr:spPr bwMode="auto">
        <a:xfrm>
          <a:off x="13411200" y="2164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152400</xdr:colOff>
      <xdr:row>107</xdr:row>
      <xdr:rowOff>106680</xdr:rowOff>
    </xdr:to>
    <xdr:sp macro="" textlink="">
      <xdr:nvSpPr>
        <xdr:cNvPr id="2195" name="AutoShape 211" descr="GERMANY8"/>
        <xdr:cNvSpPr>
          <a:spLocks noChangeAspect="1" noChangeArrowheads="1"/>
        </xdr:cNvSpPr>
      </xdr:nvSpPr>
      <xdr:spPr bwMode="auto">
        <a:xfrm>
          <a:off x="0" y="21816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107</xdr:row>
      <xdr:rowOff>0</xdr:rowOff>
    </xdr:from>
    <xdr:to>
      <xdr:col>22</xdr:col>
      <xdr:colOff>304800</xdr:colOff>
      <xdr:row>108</xdr:row>
      <xdr:rowOff>53340</xdr:rowOff>
    </xdr:to>
    <xdr:sp macro="" textlink="">
      <xdr:nvSpPr>
        <xdr:cNvPr id="2196" name="AutoShape 212" descr="https://www.soccerstats.com/img/own/sshplogo.png">
          <a:hlinkClick xmlns:r="http://schemas.openxmlformats.org/officeDocument/2006/relationships" r:id="rId622"/>
        </xdr:cNvPr>
        <xdr:cNvSpPr>
          <a:spLocks noChangeAspect="1" noChangeArrowheads="1"/>
        </xdr:cNvSpPr>
      </xdr:nvSpPr>
      <xdr:spPr bwMode="auto">
        <a:xfrm>
          <a:off x="13411200" y="21816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152400</xdr:colOff>
      <xdr:row>108</xdr:row>
      <xdr:rowOff>106680</xdr:rowOff>
    </xdr:to>
    <xdr:sp macro="" textlink="">
      <xdr:nvSpPr>
        <xdr:cNvPr id="2197" name="AutoShape 213" descr="HUNGARY"/>
        <xdr:cNvSpPr>
          <a:spLocks noChangeAspect="1" noChangeArrowheads="1"/>
        </xdr:cNvSpPr>
      </xdr:nvSpPr>
      <xdr:spPr bwMode="auto">
        <a:xfrm>
          <a:off x="0" y="22067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108</xdr:row>
      <xdr:rowOff>0</xdr:rowOff>
    </xdr:from>
    <xdr:to>
      <xdr:col>22</xdr:col>
      <xdr:colOff>304800</xdr:colOff>
      <xdr:row>109</xdr:row>
      <xdr:rowOff>129540</xdr:rowOff>
    </xdr:to>
    <xdr:sp macro="" textlink="">
      <xdr:nvSpPr>
        <xdr:cNvPr id="2198" name="AutoShape 214" descr="https://www.soccerstats.com/img/own/sshplogo.png">
          <a:hlinkClick xmlns:r="http://schemas.openxmlformats.org/officeDocument/2006/relationships" r:id="rId623"/>
        </xdr:cNvPr>
        <xdr:cNvSpPr>
          <a:spLocks noChangeAspect="1" noChangeArrowheads="1"/>
        </xdr:cNvSpPr>
      </xdr:nvSpPr>
      <xdr:spPr bwMode="auto">
        <a:xfrm>
          <a:off x="13411200" y="22067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152400</xdr:colOff>
      <xdr:row>109</xdr:row>
      <xdr:rowOff>106680</xdr:rowOff>
    </xdr:to>
    <xdr:sp macro="" textlink="">
      <xdr:nvSpPr>
        <xdr:cNvPr id="2199" name="AutoShape 215" descr="ICELAND3"/>
        <xdr:cNvSpPr>
          <a:spLocks noChangeAspect="1" noChangeArrowheads="1"/>
        </xdr:cNvSpPr>
      </xdr:nvSpPr>
      <xdr:spPr bwMode="auto">
        <a:xfrm>
          <a:off x="0" y="22242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109</xdr:row>
      <xdr:rowOff>0</xdr:rowOff>
    </xdr:from>
    <xdr:to>
      <xdr:col>22</xdr:col>
      <xdr:colOff>304800</xdr:colOff>
      <xdr:row>110</xdr:row>
      <xdr:rowOff>53340</xdr:rowOff>
    </xdr:to>
    <xdr:sp macro="" textlink="">
      <xdr:nvSpPr>
        <xdr:cNvPr id="2200" name="AutoShape 216" descr="https://www.soccerstats.com/img/own/sshplogo.png">
          <a:hlinkClick xmlns:r="http://schemas.openxmlformats.org/officeDocument/2006/relationships" r:id="rId624"/>
        </xdr:cNvPr>
        <xdr:cNvSpPr>
          <a:spLocks noChangeAspect="1" noChangeArrowheads="1"/>
        </xdr:cNvSpPr>
      </xdr:nvSpPr>
      <xdr:spPr bwMode="auto">
        <a:xfrm>
          <a:off x="13411200" y="22242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152400</xdr:colOff>
      <xdr:row>110</xdr:row>
      <xdr:rowOff>106680</xdr:rowOff>
    </xdr:to>
    <xdr:sp macro="" textlink="">
      <xdr:nvSpPr>
        <xdr:cNvPr id="2201" name="AutoShape 217" descr="JAPAN"/>
        <xdr:cNvSpPr>
          <a:spLocks noChangeAspect="1" noChangeArrowheads="1"/>
        </xdr:cNvSpPr>
      </xdr:nvSpPr>
      <xdr:spPr bwMode="auto">
        <a:xfrm>
          <a:off x="0" y="22494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110</xdr:row>
      <xdr:rowOff>0</xdr:rowOff>
    </xdr:from>
    <xdr:to>
      <xdr:col>22</xdr:col>
      <xdr:colOff>304800</xdr:colOff>
      <xdr:row>111</xdr:row>
      <xdr:rowOff>129540</xdr:rowOff>
    </xdr:to>
    <xdr:sp macro="" textlink="">
      <xdr:nvSpPr>
        <xdr:cNvPr id="2202" name="AutoShape 218" descr="https://www.soccerstats.com/img/own/sshplogo.png">
          <a:hlinkClick xmlns:r="http://schemas.openxmlformats.org/officeDocument/2006/relationships" r:id="rId625"/>
        </xdr:cNvPr>
        <xdr:cNvSpPr>
          <a:spLocks noChangeAspect="1" noChangeArrowheads="1"/>
        </xdr:cNvSpPr>
      </xdr:nvSpPr>
      <xdr:spPr bwMode="auto">
        <a:xfrm>
          <a:off x="13411200" y="22494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152400</xdr:colOff>
      <xdr:row>111</xdr:row>
      <xdr:rowOff>106680</xdr:rowOff>
    </xdr:to>
    <xdr:sp macro="" textlink="">
      <xdr:nvSpPr>
        <xdr:cNvPr id="2203" name="AutoShape 219" descr="NORWAY"/>
        <xdr:cNvSpPr>
          <a:spLocks noChangeAspect="1" noChangeArrowheads="1"/>
        </xdr:cNvSpPr>
      </xdr:nvSpPr>
      <xdr:spPr bwMode="auto">
        <a:xfrm>
          <a:off x="0" y="22745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111</xdr:row>
      <xdr:rowOff>0</xdr:rowOff>
    </xdr:from>
    <xdr:to>
      <xdr:col>22</xdr:col>
      <xdr:colOff>304800</xdr:colOff>
      <xdr:row>112</xdr:row>
      <xdr:rowOff>53340</xdr:rowOff>
    </xdr:to>
    <xdr:sp macro="" textlink="">
      <xdr:nvSpPr>
        <xdr:cNvPr id="2204" name="AutoShape 220" descr="https://www.soccerstats.com/img/own/sshplogo.png">
          <a:hlinkClick xmlns:r="http://schemas.openxmlformats.org/officeDocument/2006/relationships" r:id="rId626"/>
        </xdr:cNvPr>
        <xdr:cNvSpPr>
          <a:spLocks noChangeAspect="1" noChangeArrowheads="1"/>
        </xdr:cNvSpPr>
      </xdr:nvSpPr>
      <xdr:spPr bwMode="auto">
        <a:xfrm>
          <a:off x="13411200" y="22745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152400</xdr:colOff>
      <xdr:row>112</xdr:row>
      <xdr:rowOff>106680</xdr:rowOff>
    </xdr:to>
    <xdr:sp macro="" textlink="">
      <xdr:nvSpPr>
        <xdr:cNvPr id="2205" name="AutoShape 221" descr="NORWAY11"/>
        <xdr:cNvSpPr>
          <a:spLocks noChangeAspect="1" noChangeArrowheads="1"/>
        </xdr:cNvSpPr>
      </xdr:nvSpPr>
      <xdr:spPr bwMode="auto">
        <a:xfrm>
          <a:off x="0" y="22920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112</xdr:row>
      <xdr:rowOff>0</xdr:rowOff>
    </xdr:from>
    <xdr:to>
      <xdr:col>22</xdr:col>
      <xdr:colOff>304800</xdr:colOff>
      <xdr:row>113</xdr:row>
      <xdr:rowOff>129540</xdr:rowOff>
    </xdr:to>
    <xdr:sp macro="" textlink="">
      <xdr:nvSpPr>
        <xdr:cNvPr id="2206" name="AutoShape 222" descr="https://www.soccerstats.com/img/own/sshplogo.png">
          <a:hlinkClick xmlns:r="http://schemas.openxmlformats.org/officeDocument/2006/relationships" r:id="rId627"/>
        </xdr:cNvPr>
        <xdr:cNvSpPr>
          <a:spLocks noChangeAspect="1" noChangeArrowheads="1"/>
        </xdr:cNvSpPr>
      </xdr:nvSpPr>
      <xdr:spPr bwMode="auto">
        <a:xfrm>
          <a:off x="13411200" y="22920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113</xdr:row>
      <xdr:rowOff>0</xdr:rowOff>
    </xdr:from>
    <xdr:to>
      <xdr:col>0</xdr:col>
      <xdr:colOff>152400</xdr:colOff>
      <xdr:row>113</xdr:row>
      <xdr:rowOff>106680</xdr:rowOff>
    </xdr:to>
    <xdr:sp macro="" textlink="">
      <xdr:nvSpPr>
        <xdr:cNvPr id="2207" name="AutoShape 223" descr="PARAGUAY2"/>
        <xdr:cNvSpPr>
          <a:spLocks noChangeAspect="1" noChangeArrowheads="1"/>
        </xdr:cNvSpPr>
      </xdr:nvSpPr>
      <xdr:spPr bwMode="auto">
        <a:xfrm>
          <a:off x="0" y="23172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113</xdr:row>
      <xdr:rowOff>0</xdr:rowOff>
    </xdr:from>
    <xdr:to>
      <xdr:col>22</xdr:col>
      <xdr:colOff>304800</xdr:colOff>
      <xdr:row>114</xdr:row>
      <xdr:rowOff>53340</xdr:rowOff>
    </xdr:to>
    <xdr:sp macro="" textlink="">
      <xdr:nvSpPr>
        <xdr:cNvPr id="2208" name="AutoShape 224" descr="https://www.soccerstats.com/img/own/sshplogo.png">
          <a:hlinkClick xmlns:r="http://schemas.openxmlformats.org/officeDocument/2006/relationships" r:id="rId628"/>
        </xdr:cNvPr>
        <xdr:cNvSpPr>
          <a:spLocks noChangeAspect="1" noChangeArrowheads="1"/>
        </xdr:cNvSpPr>
      </xdr:nvSpPr>
      <xdr:spPr bwMode="auto">
        <a:xfrm>
          <a:off x="13411200" y="23172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114</xdr:row>
      <xdr:rowOff>0</xdr:rowOff>
    </xdr:from>
    <xdr:to>
      <xdr:col>0</xdr:col>
      <xdr:colOff>152400</xdr:colOff>
      <xdr:row>114</xdr:row>
      <xdr:rowOff>106680</xdr:rowOff>
    </xdr:to>
    <xdr:sp macro="" textlink="">
      <xdr:nvSpPr>
        <xdr:cNvPr id="2209" name="AutoShape 225" descr="POLAND"/>
        <xdr:cNvSpPr>
          <a:spLocks noChangeAspect="1" noChangeArrowheads="1"/>
        </xdr:cNvSpPr>
      </xdr:nvSpPr>
      <xdr:spPr bwMode="auto">
        <a:xfrm>
          <a:off x="0" y="23347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114</xdr:row>
      <xdr:rowOff>0</xdr:rowOff>
    </xdr:from>
    <xdr:to>
      <xdr:col>22</xdr:col>
      <xdr:colOff>304800</xdr:colOff>
      <xdr:row>115</xdr:row>
      <xdr:rowOff>53340</xdr:rowOff>
    </xdr:to>
    <xdr:sp macro="" textlink="">
      <xdr:nvSpPr>
        <xdr:cNvPr id="2210" name="AutoShape 226" descr="https://www.soccerstats.com/img/own/sshplogo.png">
          <a:hlinkClick xmlns:r="http://schemas.openxmlformats.org/officeDocument/2006/relationships" r:id="rId629"/>
        </xdr:cNvPr>
        <xdr:cNvSpPr>
          <a:spLocks noChangeAspect="1" noChangeArrowheads="1"/>
        </xdr:cNvSpPr>
      </xdr:nvSpPr>
      <xdr:spPr bwMode="auto">
        <a:xfrm>
          <a:off x="13411200" y="23347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115</xdr:row>
      <xdr:rowOff>0</xdr:rowOff>
    </xdr:from>
    <xdr:to>
      <xdr:col>0</xdr:col>
      <xdr:colOff>152400</xdr:colOff>
      <xdr:row>115</xdr:row>
      <xdr:rowOff>106680</xdr:rowOff>
    </xdr:to>
    <xdr:sp macro="" textlink="">
      <xdr:nvSpPr>
        <xdr:cNvPr id="2211" name="AutoShape 227" descr="POLAND2"/>
        <xdr:cNvSpPr>
          <a:spLocks noChangeAspect="1" noChangeArrowheads="1"/>
        </xdr:cNvSpPr>
      </xdr:nvSpPr>
      <xdr:spPr bwMode="auto">
        <a:xfrm>
          <a:off x="0" y="23599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115</xdr:row>
      <xdr:rowOff>0</xdr:rowOff>
    </xdr:from>
    <xdr:to>
      <xdr:col>22</xdr:col>
      <xdr:colOff>304800</xdr:colOff>
      <xdr:row>116</xdr:row>
      <xdr:rowOff>129540</xdr:rowOff>
    </xdr:to>
    <xdr:sp macro="" textlink="">
      <xdr:nvSpPr>
        <xdr:cNvPr id="2212" name="AutoShape 228" descr="https://www.soccerstats.com/img/own/sshplogo.png">
          <a:hlinkClick xmlns:r="http://schemas.openxmlformats.org/officeDocument/2006/relationships" r:id="rId630"/>
        </xdr:cNvPr>
        <xdr:cNvSpPr>
          <a:spLocks noChangeAspect="1" noChangeArrowheads="1"/>
        </xdr:cNvSpPr>
      </xdr:nvSpPr>
      <xdr:spPr bwMode="auto">
        <a:xfrm>
          <a:off x="13411200" y="23599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152400</xdr:colOff>
      <xdr:row>116</xdr:row>
      <xdr:rowOff>106680</xdr:rowOff>
    </xdr:to>
    <xdr:sp macro="" textlink="">
      <xdr:nvSpPr>
        <xdr:cNvPr id="2213" name="AutoShape 229" descr="POLAND2"/>
        <xdr:cNvSpPr>
          <a:spLocks noChangeAspect="1" noChangeArrowheads="1"/>
        </xdr:cNvSpPr>
      </xdr:nvSpPr>
      <xdr:spPr bwMode="auto">
        <a:xfrm>
          <a:off x="0" y="23774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116</xdr:row>
      <xdr:rowOff>0</xdr:rowOff>
    </xdr:from>
    <xdr:to>
      <xdr:col>22</xdr:col>
      <xdr:colOff>304800</xdr:colOff>
      <xdr:row>117</xdr:row>
      <xdr:rowOff>129540</xdr:rowOff>
    </xdr:to>
    <xdr:sp macro="" textlink="">
      <xdr:nvSpPr>
        <xdr:cNvPr id="2214" name="AutoShape 230" descr="https://www.soccerstats.com/img/own/sshplogo.png">
          <a:hlinkClick xmlns:r="http://schemas.openxmlformats.org/officeDocument/2006/relationships" r:id="rId631"/>
        </xdr:cNvPr>
        <xdr:cNvSpPr>
          <a:spLocks noChangeAspect="1" noChangeArrowheads="1"/>
        </xdr:cNvSpPr>
      </xdr:nvSpPr>
      <xdr:spPr bwMode="auto">
        <a:xfrm>
          <a:off x="13411200" y="23774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152400</xdr:colOff>
      <xdr:row>117</xdr:row>
      <xdr:rowOff>106680</xdr:rowOff>
    </xdr:to>
    <xdr:sp macro="" textlink="">
      <xdr:nvSpPr>
        <xdr:cNvPr id="2215" name="AutoShape 231" descr="POLAND3"/>
        <xdr:cNvSpPr>
          <a:spLocks noChangeAspect="1" noChangeArrowheads="1"/>
        </xdr:cNvSpPr>
      </xdr:nvSpPr>
      <xdr:spPr bwMode="auto">
        <a:xfrm>
          <a:off x="0" y="24025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117</xdr:row>
      <xdr:rowOff>0</xdr:rowOff>
    </xdr:from>
    <xdr:to>
      <xdr:col>22</xdr:col>
      <xdr:colOff>304800</xdr:colOff>
      <xdr:row>118</xdr:row>
      <xdr:rowOff>53340</xdr:rowOff>
    </xdr:to>
    <xdr:sp macro="" textlink="">
      <xdr:nvSpPr>
        <xdr:cNvPr id="2216" name="AutoShape 232" descr="https://www.soccerstats.com/img/own/sshplogo.png">
          <a:hlinkClick xmlns:r="http://schemas.openxmlformats.org/officeDocument/2006/relationships" r:id="rId632"/>
        </xdr:cNvPr>
        <xdr:cNvSpPr>
          <a:spLocks noChangeAspect="1" noChangeArrowheads="1"/>
        </xdr:cNvSpPr>
      </xdr:nvSpPr>
      <xdr:spPr bwMode="auto">
        <a:xfrm>
          <a:off x="13411200" y="24025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152400</xdr:colOff>
      <xdr:row>118</xdr:row>
      <xdr:rowOff>106680</xdr:rowOff>
    </xdr:to>
    <xdr:sp macro="" textlink="">
      <xdr:nvSpPr>
        <xdr:cNvPr id="2217" name="AutoShape 233" descr="PORTUGAL2"/>
        <xdr:cNvSpPr>
          <a:spLocks noChangeAspect="1" noChangeArrowheads="1"/>
        </xdr:cNvSpPr>
      </xdr:nvSpPr>
      <xdr:spPr bwMode="auto">
        <a:xfrm>
          <a:off x="0" y="24277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118</xdr:row>
      <xdr:rowOff>0</xdr:rowOff>
    </xdr:from>
    <xdr:to>
      <xdr:col>22</xdr:col>
      <xdr:colOff>304800</xdr:colOff>
      <xdr:row>119</xdr:row>
      <xdr:rowOff>53340</xdr:rowOff>
    </xdr:to>
    <xdr:sp macro="" textlink="">
      <xdr:nvSpPr>
        <xdr:cNvPr id="2218" name="AutoShape 234" descr="https://www.soccerstats.com/img/own/sshplogo.png">
          <a:hlinkClick xmlns:r="http://schemas.openxmlformats.org/officeDocument/2006/relationships" r:id="rId633"/>
        </xdr:cNvPr>
        <xdr:cNvSpPr>
          <a:spLocks noChangeAspect="1" noChangeArrowheads="1"/>
        </xdr:cNvSpPr>
      </xdr:nvSpPr>
      <xdr:spPr bwMode="auto">
        <a:xfrm>
          <a:off x="13411200" y="24277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152400</xdr:colOff>
      <xdr:row>119</xdr:row>
      <xdr:rowOff>106680</xdr:rowOff>
    </xdr:to>
    <xdr:sp macro="" textlink="">
      <xdr:nvSpPr>
        <xdr:cNvPr id="2219" name="AutoShape 235" descr="ROMANIA"/>
        <xdr:cNvSpPr>
          <a:spLocks noChangeAspect="1" noChangeArrowheads="1"/>
        </xdr:cNvSpPr>
      </xdr:nvSpPr>
      <xdr:spPr bwMode="auto">
        <a:xfrm>
          <a:off x="0" y="24452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119</xdr:row>
      <xdr:rowOff>0</xdr:rowOff>
    </xdr:from>
    <xdr:to>
      <xdr:col>22</xdr:col>
      <xdr:colOff>304800</xdr:colOff>
      <xdr:row>120</xdr:row>
      <xdr:rowOff>129540</xdr:rowOff>
    </xdr:to>
    <xdr:sp macro="" textlink="">
      <xdr:nvSpPr>
        <xdr:cNvPr id="2220" name="AutoShape 236" descr="https://www.soccerstats.com/img/own/sshplogo.png">
          <a:hlinkClick xmlns:r="http://schemas.openxmlformats.org/officeDocument/2006/relationships" r:id="rId634"/>
        </xdr:cNvPr>
        <xdr:cNvSpPr>
          <a:spLocks noChangeAspect="1" noChangeArrowheads="1"/>
        </xdr:cNvSpPr>
      </xdr:nvSpPr>
      <xdr:spPr bwMode="auto">
        <a:xfrm>
          <a:off x="13411200" y="24452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152400</xdr:colOff>
      <xdr:row>120</xdr:row>
      <xdr:rowOff>106680</xdr:rowOff>
    </xdr:to>
    <xdr:sp macro="" textlink="">
      <xdr:nvSpPr>
        <xdr:cNvPr id="2221" name="AutoShape 237" descr="ROMANIA"/>
        <xdr:cNvSpPr>
          <a:spLocks noChangeAspect="1" noChangeArrowheads="1"/>
        </xdr:cNvSpPr>
      </xdr:nvSpPr>
      <xdr:spPr bwMode="auto">
        <a:xfrm>
          <a:off x="0" y="24627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120</xdr:row>
      <xdr:rowOff>0</xdr:rowOff>
    </xdr:from>
    <xdr:to>
      <xdr:col>22</xdr:col>
      <xdr:colOff>304800</xdr:colOff>
      <xdr:row>121</xdr:row>
      <xdr:rowOff>129540</xdr:rowOff>
    </xdr:to>
    <xdr:sp macro="" textlink="">
      <xdr:nvSpPr>
        <xdr:cNvPr id="2222" name="AutoShape 238" descr="https://www.soccerstats.com/img/own/sshplogo.png">
          <a:hlinkClick xmlns:r="http://schemas.openxmlformats.org/officeDocument/2006/relationships" r:id="rId635"/>
        </xdr:cNvPr>
        <xdr:cNvSpPr>
          <a:spLocks noChangeAspect="1" noChangeArrowheads="1"/>
        </xdr:cNvSpPr>
      </xdr:nvSpPr>
      <xdr:spPr bwMode="auto">
        <a:xfrm>
          <a:off x="13411200" y="24627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152400</xdr:colOff>
      <xdr:row>121</xdr:row>
      <xdr:rowOff>106680</xdr:rowOff>
    </xdr:to>
    <xdr:sp macro="" textlink="">
      <xdr:nvSpPr>
        <xdr:cNvPr id="2223" name="AutoShape 239" descr="RUSSIA"/>
        <xdr:cNvSpPr>
          <a:spLocks noChangeAspect="1" noChangeArrowheads="1"/>
        </xdr:cNvSpPr>
      </xdr:nvSpPr>
      <xdr:spPr bwMode="auto">
        <a:xfrm>
          <a:off x="0" y="24879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121</xdr:row>
      <xdr:rowOff>0</xdr:rowOff>
    </xdr:from>
    <xdr:to>
      <xdr:col>22</xdr:col>
      <xdr:colOff>304800</xdr:colOff>
      <xdr:row>122</xdr:row>
      <xdr:rowOff>129540</xdr:rowOff>
    </xdr:to>
    <xdr:sp macro="" textlink="">
      <xdr:nvSpPr>
        <xdr:cNvPr id="2224" name="AutoShape 240" descr="https://www.soccerstats.com/img/own/sshplogo.png">
          <a:hlinkClick xmlns:r="http://schemas.openxmlformats.org/officeDocument/2006/relationships" r:id="rId636"/>
        </xdr:cNvPr>
        <xdr:cNvSpPr>
          <a:spLocks noChangeAspect="1" noChangeArrowheads="1"/>
        </xdr:cNvSpPr>
      </xdr:nvSpPr>
      <xdr:spPr bwMode="auto">
        <a:xfrm>
          <a:off x="13411200" y="2487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152400</xdr:colOff>
      <xdr:row>122</xdr:row>
      <xdr:rowOff>106680</xdr:rowOff>
    </xdr:to>
    <xdr:sp macro="" textlink="">
      <xdr:nvSpPr>
        <xdr:cNvPr id="2225" name="AutoShape 241" descr="SAUDIARABIA"/>
        <xdr:cNvSpPr>
          <a:spLocks noChangeAspect="1" noChangeArrowheads="1"/>
        </xdr:cNvSpPr>
      </xdr:nvSpPr>
      <xdr:spPr bwMode="auto">
        <a:xfrm>
          <a:off x="0" y="25130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122</xdr:row>
      <xdr:rowOff>0</xdr:rowOff>
    </xdr:from>
    <xdr:to>
      <xdr:col>22</xdr:col>
      <xdr:colOff>304800</xdr:colOff>
      <xdr:row>123</xdr:row>
      <xdr:rowOff>129540</xdr:rowOff>
    </xdr:to>
    <xdr:sp macro="" textlink="">
      <xdr:nvSpPr>
        <xdr:cNvPr id="2226" name="AutoShape 242" descr="https://www.soccerstats.com/img/own/sshplogo.png">
          <a:hlinkClick xmlns:r="http://schemas.openxmlformats.org/officeDocument/2006/relationships" r:id="rId637"/>
        </xdr:cNvPr>
        <xdr:cNvSpPr>
          <a:spLocks noChangeAspect="1" noChangeArrowheads="1"/>
        </xdr:cNvSpPr>
      </xdr:nvSpPr>
      <xdr:spPr bwMode="auto">
        <a:xfrm>
          <a:off x="13411200" y="25130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152400</xdr:colOff>
      <xdr:row>123</xdr:row>
      <xdr:rowOff>106680</xdr:rowOff>
    </xdr:to>
    <xdr:sp macro="" textlink="">
      <xdr:nvSpPr>
        <xdr:cNvPr id="2227" name="AutoShape 243" descr="SAUDIARABIA"/>
        <xdr:cNvSpPr>
          <a:spLocks noChangeAspect="1" noChangeArrowheads="1"/>
        </xdr:cNvSpPr>
      </xdr:nvSpPr>
      <xdr:spPr bwMode="auto">
        <a:xfrm>
          <a:off x="0" y="25306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123</xdr:row>
      <xdr:rowOff>0</xdr:rowOff>
    </xdr:from>
    <xdr:to>
      <xdr:col>22</xdr:col>
      <xdr:colOff>304800</xdr:colOff>
      <xdr:row>124</xdr:row>
      <xdr:rowOff>129540</xdr:rowOff>
    </xdr:to>
    <xdr:sp macro="" textlink="">
      <xdr:nvSpPr>
        <xdr:cNvPr id="2228" name="AutoShape 244" descr="https://www.soccerstats.com/img/own/sshplogo.png">
          <a:hlinkClick xmlns:r="http://schemas.openxmlformats.org/officeDocument/2006/relationships" r:id="rId638"/>
        </xdr:cNvPr>
        <xdr:cNvSpPr>
          <a:spLocks noChangeAspect="1" noChangeArrowheads="1"/>
        </xdr:cNvSpPr>
      </xdr:nvSpPr>
      <xdr:spPr bwMode="auto">
        <a:xfrm>
          <a:off x="13411200" y="25306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152400</xdr:colOff>
      <xdr:row>124</xdr:row>
      <xdr:rowOff>106680</xdr:rowOff>
    </xdr:to>
    <xdr:sp macro="" textlink="">
      <xdr:nvSpPr>
        <xdr:cNvPr id="2229" name="AutoShape 245" descr="SAUDIARABIA"/>
        <xdr:cNvSpPr>
          <a:spLocks noChangeAspect="1" noChangeArrowheads="1"/>
        </xdr:cNvSpPr>
      </xdr:nvSpPr>
      <xdr:spPr bwMode="auto">
        <a:xfrm>
          <a:off x="0" y="25481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124</xdr:row>
      <xdr:rowOff>0</xdr:rowOff>
    </xdr:from>
    <xdr:to>
      <xdr:col>22</xdr:col>
      <xdr:colOff>304800</xdr:colOff>
      <xdr:row>125</xdr:row>
      <xdr:rowOff>53340</xdr:rowOff>
    </xdr:to>
    <xdr:sp macro="" textlink="">
      <xdr:nvSpPr>
        <xdr:cNvPr id="2230" name="AutoShape 246" descr="https://www.soccerstats.com/img/own/sshplogo.png">
          <a:hlinkClick xmlns:r="http://schemas.openxmlformats.org/officeDocument/2006/relationships" r:id="rId639"/>
        </xdr:cNvPr>
        <xdr:cNvSpPr>
          <a:spLocks noChangeAspect="1" noChangeArrowheads="1"/>
        </xdr:cNvSpPr>
      </xdr:nvSpPr>
      <xdr:spPr bwMode="auto">
        <a:xfrm>
          <a:off x="13411200" y="25481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152400</xdr:colOff>
      <xdr:row>125</xdr:row>
      <xdr:rowOff>106680</xdr:rowOff>
    </xdr:to>
    <xdr:sp macro="" textlink="">
      <xdr:nvSpPr>
        <xdr:cNvPr id="2231" name="AutoShape 247" descr="SOUTHAFRICA"/>
        <xdr:cNvSpPr>
          <a:spLocks noChangeAspect="1" noChangeArrowheads="1"/>
        </xdr:cNvSpPr>
      </xdr:nvSpPr>
      <xdr:spPr bwMode="auto">
        <a:xfrm>
          <a:off x="0" y="25656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125</xdr:row>
      <xdr:rowOff>0</xdr:rowOff>
    </xdr:from>
    <xdr:to>
      <xdr:col>22</xdr:col>
      <xdr:colOff>304800</xdr:colOff>
      <xdr:row>126</xdr:row>
      <xdr:rowOff>129540</xdr:rowOff>
    </xdr:to>
    <xdr:sp macro="" textlink="">
      <xdr:nvSpPr>
        <xdr:cNvPr id="2232" name="AutoShape 248" descr="https://www.soccerstats.com/img/own/sshplogo.png">
          <a:hlinkClick xmlns:r="http://schemas.openxmlformats.org/officeDocument/2006/relationships" r:id="rId640"/>
        </xdr:cNvPr>
        <xdr:cNvSpPr>
          <a:spLocks noChangeAspect="1" noChangeArrowheads="1"/>
        </xdr:cNvSpPr>
      </xdr:nvSpPr>
      <xdr:spPr bwMode="auto">
        <a:xfrm>
          <a:off x="13411200" y="25656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126</xdr:row>
      <xdr:rowOff>0</xdr:rowOff>
    </xdr:from>
    <xdr:to>
      <xdr:col>0</xdr:col>
      <xdr:colOff>152400</xdr:colOff>
      <xdr:row>126</xdr:row>
      <xdr:rowOff>106680</xdr:rowOff>
    </xdr:to>
    <xdr:sp macro="" textlink="">
      <xdr:nvSpPr>
        <xdr:cNvPr id="2233" name="AutoShape 249" descr="SOUTHKOREA4"/>
        <xdr:cNvSpPr>
          <a:spLocks noChangeAspect="1" noChangeArrowheads="1"/>
        </xdr:cNvSpPr>
      </xdr:nvSpPr>
      <xdr:spPr bwMode="auto">
        <a:xfrm>
          <a:off x="0" y="25831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126</xdr:row>
      <xdr:rowOff>0</xdr:rowOff>
    </xdr:from>
    <xdr:to>
      <xdr:col>22</xdr:col>
      <xdr:colOff>304800</xdr:colOff>
      <xdr:row>127</xdr:row>
      <xdr:rowOff>129540</xdr:rowOff>
    </xdr:to>
    <xdr:sp macro="" textlink="">
      <xdr:nvSpPr>
        <xdr:cNvPr id="2234" name="AutoShape 250" descr="https://www.soccerstats.com/img/own/sshplogo.png">
          <a:hlinkClick xmlns:r="http://schemas.openxmlformats.org/officeDocument/2006/relationships" r:id="rId641"/>
        </xdr:cNvPr>
        <xdr:cNvSpPr>
          <a:spLocks noChangeAspect="1" noChangeArrowheads="1"/>
        </xdr:cNvSpPr>
      </xdr:nvSpPr>
      <xdr:spPr bwMode="auto">
        <a:xfrm>
          <a:off x="13411200" y="2583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152400</xdr:colOff>
      <xdr:row>127</xdr:row>
      <xdr:rowOff>106680</xdr:rowOff>
    </xdr:to>
    <xdr:sp macro="" textlink="">
      <xdr:nvSpPr>
        <xdr:cNvPr id="2235" name="AutoShape 251" descr="SOUTHKOREA4"/>
        <xdr:cNvSpPr>
          <a:spLocks noChangeAspect="1" noChangeArrowheads="1"/>
        </xdr:cNvSpPr>
      </xdr:nvSpPr>
      <xdr:spPr bwMode="auto">
        <a:xfrm>
          <a:off x="0" y="26007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127</xdr:row>
      <xdr:rowOff>0</xdr:rowOff>
    </xdr:from>
    <xdr:to>
      <xdr:col>22</xdr:col>
      <xdr:colOff>304800</xdr:colOff>
      <xdr:row>128</xdr:row>
      <xdr:rowOff>129540</xdr:rowOff>
    </xdr:to>
    <xdr:sp macro="" textlink="">
      <xdr:nvSpPr>
        <xdr:cNvPr id="2236" name="AutoShape 252" descr="https://www.soccerstats.com/img/own/sshplogo.png">
          <a:hlinkClick xmlns:r="http://schemas.openxmlformats.org/officeDocument/2006/relationships" r:id="rId642"/>
        </xdr:cNvPr>
        <xdr:cNvSpPr>
          <a:spLocks noChangeAspect="1" noChangeArrowheads="1"/>
        </xdr:cNvSpPr>
      </xdr:nvSpPr>
      <xdr:spPr bwMode="auto">
        <a:xfrm>
          <a:off x="13411200" y="26007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152400</xdr:colOff>
      <xdr:row>128</xdr:row>
      <xdr:rowOff>106680</xdr:rowOff>
    </xdr:to>
    <xdr:sp macro="" textlink="">
      <xdr:nvSpPr>
        <xdr:cNvPr id="2237" name="AutoShape 253" descr="SWEDEN"/>
        <xdr:cNvSpPr>
          <a:spLocks noChangeAspect="1" noChangeArrowheads="1"/>
        </xdr:cNvSpPr>
      </xdr:nvSpPr>
      <xdr:spPr bwMode="auto">
        <a:xfrm>
          <a:off x="0" y="26258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128</xdr:row>
      <xdr:rowOff>0</xdr:rowOff>
    </xdr:from>
    <xdr:to>
      <xdr:col>22</xdr:col>
      <xdr:colOff>304800</xdr:colOff>
      <xdr:row>129</xdr:row>
      <xdr:rowOff>53340</xdr:rowOff>
    </xdr:to>
    <xdr:sp macro="" textlink="">
      <xdr:nvSpPr>
        <xdr:cNvPr id="2238" name="AutoShape 254" descr="https://www.soccerstats.com/img/own/sshplogo.png">
          <a:hlinkClick xmlns:r="http://schemas.openxmlformats.org/officeDocument/2006/relationships" r:id="rId643"/>
        </xdr:cNvPr>
        <xdr:cNvSpPr>
          <a:spLocks noChangeAspect="1" noChangeArrowheads="1"/>
        </xdr:cNvSpPr>
      </xdr:nvSpPr>
      <xdr:spPr bwMode="auto">
        <a:xfrm>
          <a:off x="13411200" y="26258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152400</xdr:colOff>
      <xdr:row>129</xdr:row>
      <xdr:rowOff>106680</xdr:rowOff>
    </xdr:to>
    <xdr:sp macro="" textlink="">
      <xdr:nvSpPr>
        <xdr:cNvPr id="2239" name="AutoShape 255" descr="SWEDEN2"/>
        <xdr:cNvSpPr>
          <a:spLocks noChangeAspect="1" noChangeArrowheads="1"/>
        </xdr:cNvSpPr>
      </xdr:nvSpPr>
      <xdr:spPr bwMode="auto">
        <a:xfrm>
          <a:off x="0" y="26433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129</xdr:row>
      <xdr:rowOff>0</xdr:rowOff>
    </xdr:from>
    <xdr:to>
      <xdr:col>22</xdr:col>
      <xdr:colOff>304800</xdr:colOff>
      <xdr:row>130</xdr:row>
      <xdr:rowOff>53340</xdr:rowOff>
    </xdr:to>
    <xdr:sp macro="" textlink="">
      <xdr:nvSpPr>
        <xdr:cNvPr id="2240" name="AutoShape 256" descr="https://www.soccerstats.com/img/own/sshplogo.png">
          <a:hlinkClick xmlns:r="http://schemas.openxmlformats.org/officeDocument/2006/relationships" r:id="rId644"/>
        </xdr:cNvPr>
        <xdr:cNvSpPr>
          <a:spLocks noChangeAspect="1" noChangeArrowheads="1"/>
        </xdr:cNvSpPr>
      </xdr:nvSpPr>
      <xdr:spPr bwMode="auto">
        <a:xfrm>
          <a:off x="13411200" y="26433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152400</xdr:colOff>
      <xdr:row>130</xdr:row>
      <xdr:rowOff>106680</xdr:rowOff>
    </xdr:to>
    <xdr:sp macro="" textlink="">
      <xdr:nvSpPr>
        <xdr:cNvPr id="2241" name="AutoShape 257" descr="SWEDEN2"/>
        <xdr:cNvSpPr>
          <a:spLocks noChangeAspect="1" noChangeArrowheads="1"/>
        </xdr:cNvSpPr>
      </xdr:nvSpPr>
      <xdr:spPr bwMode="auto">
        <a:xfrm>
          <a:off x="0" y="26609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130</xdr:row>
      <xdr:rowOff>0</xdr:rowOff>
    </xdr:from>
    <xdr:to>
      <xdr:col>22</xdr:col>
      <xdr:colOff>304800</xdr:colOff>
      <xdr:row>131</xdr:row>
      <xdr:rowOff>129540</xdr:rowOff>
    </xdr:to>
    <xdr:sp macro="" textlink="">
      <xdr:nvSpPr>
        <xdr:cNvPr id="2242" name="AutoShape 258" descr="https://www.soccerstats.com/img/own/sshplogo.png">
          <a:hlinkClick xmlns:r="http://schemas.openxmlformats.org/officeDocument/2006/relationships" r:id="rId645"/>
        </xdr:cNvPr>
        <xdr:cNvSpPr>
          <a:spLocks noChangeAspect="1" noChangeArrowheads="1"/>
        </xdr:cNvSpPr>
      </xdr:nvSpPr>
      <xdr:spPr bwMode="auto">
        <a:xfrm>
          <a:off x="13411200" y="26609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152400</xdr:colOff>
      <xdr:row>131</xdr:row>
      <xdr:rowOff>106680</xdr:rowOff>
    </xdr:to>
    <xdr:sp macro="" textlink="">
      <xdr:nvSpPr>
        <xdr:cNvPr id="2243" name="AutoShape 259" descr="SWEDEN3"/>
        <xdr:cNvSpPr>
          <a:spLocks noChangeAspect="1" noChangeArrowheads="1"/>
        </xdr:cNvSpPr>
      </xdr:nvSpPr>
      <xdr:spPr bwMode="auto">
        <a:xfrm>
          <a:off x="0" y="26784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131</xdr:row>
      <xdr:rowOff>0</xdr:rowOff>
    </xdr:from>
    <xdr:to>
      <xdr:col>22</xdr:col>
      <xdr:colOff>304800</xdr:colOff>
      <xdr:row>132</xdr:row>
      <xdr:rowOff>129540</xdr:rowOff>
    </xdr:to>
    <xdr:sp macro="" textlink="">
      <xdr:nvSpPr>
        <xdr:cNvPr id="2244" name="AutoShape 260" descr="https://www.soccerstats.com/img/own/sshplogo.png">
          <a:hlinkClick xmlns:r="http://schemas.openxmlformats.org/officeDocument/2006/relationships" r:id="rId646"/>
        </xdr:cNvPr>
        <xdr:cNvSpPr>
          <a:spLocks noChangeAspect="1" noChangeArrowheads="1"/>
        </xdr:cNvSpPr>
      </xdr:nvSpPr>
      <xdr:spPr bwMode="auto">
        <a:xfrm>
          <a:off x="13411200" y="2678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132</xdr:row>
      <xdr:rowOff>0</xdr:rowOff>
    </xdr:from>
    <xdr:to>
      <xdr:col>0</xdr:col>
      <xdr:colOff>152400</xdr:colOff>
      <xdr:row>132</xdr:row>
      <xdr:rowOff>106680</xdr:rowOff>
    </xdr:to>
    <xdr:sp macro="" textlink="">
      <xdr:nvSpPr>
        <xdr:cNvPr id="2245" name="AutoShape 261" descr="SWEDEN4"/>
        <xdr:cNvSpPr>
          <a:spLocks noChangeAspect="1" noChangeArrowheads="1"/>
        </xdr:cNvSpPr>
      </xdr:nvSpPr>
      <xdr:spPr bwMode="auto">
        <a:xfrm>
          <a:off x="0" y="27035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132</xdr:row>
      <xdr:rowOff>0</xdr:rowOff>
    </xdr:from>
    <xdr:to>
      <xdr:col>22</xdr:col>
      <xdr:colOff>304800</xdr:colOff>
      <xdr:row>133</xdr:row>
      <xdr:rowOff>129540</xdr:rowOff>
    </xdr:to>
    <xdr:sp macro="" textlink="">
      <xdr:nvSpPr>
        <xdr:cNvPr id="2246" name="AutoShape 262" descr="https://www.soccerstats.com/img/own/sshplogo.png">
          <a:hlinkClick xmlns:r="http://schemas.openxmlformats.org/officeDocument/2006/relationships" r:id="rId647"/>
        </xdr:cNvPr>
        <xdr:cNvSpPr>
          <a:spLocks noChangeAspect="1" noChangeArrowheads="1"/>
        </xdr:cNvSpPr>
      </xdr:nvSpPr>
      <xdr:spPr bwMode="auto">
        <a:xfrm>
          <a:off x="13411200" y="27035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152400</xdr:colOff>
      <xdr:row>133</xdr:row>
      <xdr:rowOff>106680</xdr:rowOff>
    </xdr:to>
    <xdr:sp macro="" textlink="">
      <xdr:nvSpPr>
        <xdr:cNvPr id="2247" name="AutoShape 263" descr="SWEDEN11"/>
        <xdr:cNvSpPr>
          <a:spLocks noChangeAspect="1" noChangeArrowheads="1"/>
        </xdr:cNvSpPr>
      </xdr:nvSpPr>
      <xdr:spPr bwMode="auto">
        <a:xfrm>
          <a:off x="0" y="27287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133</xdr:row>
      <xdr:rowOff>0</xdr:rowOff>
    </xdr:from>
    <xdr:to>
      <xdr:col>22</xdr:col>
      <xdr:colOff>304800</xdr:colOff>
      <xdr:row>134</xdr:row>
      <xdr:rowOff>129540</xdr:rowOff>
    </xdr:to>
    <xdr:sp macro="" textlink="">
      <xdr:nvSpPr>
        <xdr:cNvPr id="2248" name="AutoShape 264" descr="https://www.soccerstats.com/img/own/sshplogo.png">
          <a:hlinkClick xmlns:r="http://schemas.openxmlformats.org/officeDocument/2006/relationships" r:id="rId648"/>
        </xdr:cNvPr>
        <xdr:cNvSpPr>
          <a:spLocks noChangeAspect="1" noChangeArrowheads="1"/>
        </xdr:cNvSpPr>
      </xdr:nvSpPr>
      <xdr:spPr bwMode="auto">
        <a:xfrm>
          <a:off x="13411200" y="27287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152400</xdr:colOff>
      <xdr:row>134</xdr:row>
      <xdr:rowOff>106680</xdr:rowOff>
    </xdr:to>
    <xdr:sp macro="" textlink="">
      <xdr:nvSpPr>
        <xdr:cNvPr id="2249" name="AutoShape 265" descr="TURKEY"/>
        <xdr:cNvSpPr>
          <a:spLocks noChangeAspect="1" noChangeArrowheads="1"/>
        </xdr:cNvSpPr>
      </xdr:nvSpPr>
      <xdr:spPr bwMode="auto">
        <a:xfrm>
          <a:off x="0" y="27462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134</xdr:row>
      <xdr:rowOff>0</xdr:rowOff>
    </xdr:from>
    <xdr:to>
      <xdr:col>22</xdr:col>
      <xdr:colOff>304800</xdr:colOff>
      <xdr:row>135</xdr:row>
      <xdr:rowOff>129540</xdr:rowOff>
    </xdr:to>
    <xdr:sp macro="" textlink="">
      <xdr:nvSpPr>
        <xdr:cNvPr id="2250" name="AutoShape 266" descr="https://www.soccerstats.com/img/own/sshplogo.png">
          <a:hlinkClick xmlns:r="http://schemas.openxmlformats.org/officeDocument/2006/relationships" r:id="rId649"/>
        </xdr:cNvPr>
        <xdr:cNvSpPr>
          <a:spLocks noChangeAspect="1" noChangeArrowheads="1"/>
        </xdr:cNvSpPr>
      </xdr:nvSpPr>
      <xdr:spPr bwMode="auto">
        <a:xfrm>
          <a:off x="13411200" y="27462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152400</xdr:colOff>
      <xdr:row>135</xdr:row>
      <xdr:rowOff>106680</xdr:rowOff>
    </xdr:to>
    <xdr:sp macro="" textlink="">
      <xdr:nvSpPr>
        <xdr:cNvPr id="2251" name="AutoShape 267" descr="TURKEY2"/>
        <xdr:cNvSpPr>
          <a:spLocks noChangeAspect="1" noChangeArrowheads="1"/>
        </xdr:cNvSpPr>
      </xdr:nvSpPr>
      <xdr:spPr bwMode="auto">
        <a:xfrm>
          <a:off x="0" y="27637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135</xdr:row>
      <xdr:rowOff>0</xdr:rowOff>
    </xdr:from>
    <xdr:to>
      <xdr:col>22</xdr:col>
      <xdr:colOff>304800</xdr:colOff>
      <xdr:row>136</xdr:row>
      <xdr:rowOff>129540</xdr:rowOff>
    </xdr:to>
    <xdr:sp macro="" textlink="">
      <xdr:nvSpPr>
        <xdr:cNvPr id="2252" name="AutoShape 268" descr="https://www.soccerstats.com/img/own/sshplogo.png">
          <a:hlinkClick xmlns:r="http://schemas.openxmlformats.org/officeDocument/2006/relationships" r:id="rId650"/>
        </xdr:cNvPr>
        <xdr:cNvSpPr>
          <a:spLocks noChangeAspect="1" noChangeArrowheads="1"/>
        </xdr:cNvSpPr>
      </xdr:nvSpPr>
      <xdr:spPr bwMode="auto">
        <a:xfrm>
          <a:off x="13411200" y="27637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152400</xdr:colOff>
      <xdr:row>136</xdr:row>
      <xdr:rowOff>106680</xdr:rowOff>
    </xdr:to>
    <xdr:sp macro="" textlink="">
      <xdr:nvSpPr>
        <xdr:cNvPr id="2253" name="AutoShape 269" descr="UKRAINE"/>
        <xdr:cNvSpPr>
          <a:spLocks noChangeAspect="1" noChangeArrowheads="1"/>
        </xdr:cNvSpPr>
      </xdr:nvSpPr>
      <xdr:spPr bwMode="auto">
        <a:xfrm>
          <a:off x="0" y="27813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136</xdr:row>
      <xdr:rowOff>0</xdr:rowOff>
    </xdr:from>
    <xdr:to>
      <xdr:col>22</xdr:col>
      <xdr:colOff>304800</xdr:colOff>
      <xdr:row>137</xdr:row>
      <xdr:rowOff>53340</xdr:rowOff>
    </xdr:to>
    <xdr:sp macro="" textlink="">
      <xdr:nvSpPr>
        <xdr:cNvPr id="2254" name="AutoShape 270" descr="https://www.soccerstats.com/img/own/sshplogo.png">
          <a:hlinkClick xmlns:r="http://schemas.openxmlformats.org/officeDocument/2006/relationships" r:id="rId651"/>
        </xdr:cNvPr>
        <xdr:cNvSpPr>
          <a:spLocks noChangeAspect="1" noChangeArrowheads="1"/>
        </xdr:cNvSpPr>
      </xdr:nvSpPr>
      <xdr:spPr bwMode="auto">
        <a:xfrm>
          <a:off x="13411200" y="2781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152400</xdr:colOff>
      <xdr:row>137</xdr:row>
      <xdr:rowOff>106680</xdr:rowOff>
    </xdr:to>
    <xdr:sp macro="" textlink="">
      <xdr:nvSpPr>
        <xdr:cNvPr id="2255" name="AutoShape 271" descr="URUGUAY3"/>
        <xdr:cNvSpPr>
          <a:spLocks noChangeAspect="1" noChangeArrowheads="1"/>
        </xdr:cNvSpPr>
      </xdr:nvSpPr>
      <xdr:spPr bwMode="auto">
        <a:xfrm>
          <a:off x="0" y="27988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137</xdr:row>
      <xdr:rowOff>0</xdr:rowOff>
    </xdr:from>
    <xdr:to>
      <xdr:col>22</xdr:col>
      <xdr:colOff>304800</xdr:colOff>
      <xdr:row>138</xdr:row>
      <xdr:rowOff>53340</xdr:rowOff>
    </xdr:to>
    <xdr:sp macro="" textlink="">
      <xdr:nvSpPr>
        <xdr:cNvPr id="2256" name="AutoShape 272" descr="https://www.soccerstats.com/img/own/sshplogo.png">
          <a:hlinkClick xmlns:r="http://schemas.openxmlformats.org/officeDocument/2006/relationships" r:id="rId652"/>
        </xdr:cNvPr>
        <xdr:cNvSpPr>
          <a:spLocks noChangeAspect="1" noChangeArrowheads="1"/>
        </xdr:cNvSpPr>
      </xdr:nvSpPr>
      <xdr:spPr bwMode="auto">
        <a:xfrm>
          <a:off x="13411200" y="27988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138</xdr:row>
      <xdr:rowOff>0</xdr:rowOff>
    </xdr:from>
    <xdr:to>
      <xdr:col>0</xdr:col>
      <xdr:colOff>152400</xdr:colOff>
      <xdr:row>138</xdr:row>
      <xdr:rowOff>106680</xdr:rowOff>
    </xdr:to>
    <xdr:sp macro="" textlink="">
      <xdr:nvSpPr>
        <xdr:cNvPr id="2257" name="AutoShape 273" descr="WALES"/>
        <xdr:cNvSpPr>
          <a:spLocks noChangeAspect="1" noChangeArrowheads="1"/>
        </xdr:cNvSpPr>
      </xdr:nvSpPr>
      <xdr:spPr bwMode="auto">
        <a:xfrm>
          <a:off x="0" y="28163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138</xdr:row>
      <xdr:rowOff>0</xdr:rowOff>
    </xdr:from>
    <xdr:to>
      <xdr:col>22</xdr:col>
      <xdr:colOff>304800</xdr:colOff>
      <xdr:row>139</xdr:row>
      <xdr:rowOff>53340</xdr:rowOff>
    </xdr:to>
    <xdr:sp macro="" textlink="">
      <xdr:nvSpPr>
        <xdr:cNvPr id="2258" name="AutoShape 274" descr="https://www.soccerstats.com/img/own/sshplogo.png">
          <a:hlinkClick xmlns:r="http://schemas.openxmlformats.org/officeDocument/2006/relationships" r:id="rId653"/>
        </xdr:cNvPr>
        <xdr:cNvSpPr>
          <a:spLocks noChangeAspect="1" noChangeArrowheads="1"/>
        </xdr:cNvSpPr>
      </xdr:nvSpPr>
      <xdr:spPr bwMode="auto">
        <a:xfrm>
          <a:off x="13411200" y="28163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152400</xdr:colOff>
      <xdr:row>139</xdr:row>
      <xdr:rowOff>106680</xdr:rowOff>
    </xdr:to>
    <xdr:sp macro="" textlink="">
      <xdr:nvSpPr>
        <xdr:cNvPr id="2259" name="AutoShape 275" descr="WALES"/>
        <xdr:cNvSpPr>
          <a:spLocks noChangeAspect="1" noChangeArrowheads="1"/>
        </xdr:cNvSpPr>
      </xdr:nvSpPr>
      <xdr:spPr bwMode="auto">
        <a:xfrm>
          <a:off x="0" y="28338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139</xdr:row>
      <xdr:rowOff>0</xdr:rowOff>
    </xdr:from>
    <xdr:to>
      <xdr:col>22</xdr:col>
      <xdr:colOff>304800</xdr:colOff>
      <xdr:row>140</xdr:row>
      <xdr:rowOff>129540</xdr:rowOff>
    </xdr:to>
    <xdr:sp macro="" textlink="">
      <xdr:nvSpPr>
        <xdr:cNvPr id="2260" name="AutoShape 276" descr="https://www.soccerstats.com/img/own/sshplogo.png">
          <a:hlinkClick xmlns:r="http://schemas.openxmlformats.org/officeDocument/2006/relationships" r:id="rId654"/>
        </xdr:cNvPr>
        <xdr:cNvSpPr>
          <a:spLocks noChangeAspect="1" noChangeArrowheads="1"/>
        </xdr:cNvSpPr>
      </xdr:nvSpPr>
      <xdr:spPr bwMode="auto">
        <a:xfrm>
          <a:off x="13411200" y="28338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140</xdr:row>
      <xdr:rowOff>0</xdr:rowOff>
    </xdr:from>
    <xdr:to>
      <xdr:col>0</xdr:col>
      <xdr:colOff>152400</xdr:colOff>
      <xdr:row>140</xdr:row>
      <xdr:rowOff>106680</xdr:rowOff>
    </xdr:to>
    <xdr:sp macro="" textlink="">
      <xdr:nvSpPr>
        <xdr:cNvPr id="2261" name="AutoShape 277" descr="WALES"/>
        <xdr:cNvSpPr>
          <a:spLocks noChangeAspect="1" noChangeArrowheads="1"/>
        </xdr:cNvSpPr>
      </xdr:nvSpPr>
      <xdr:spPr bwMode="auto">
        <a:xfrm>
          <a:off x="0" y="28590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140</xdr:row>
      <xdr:rowOff>0</xdr:rowOff>
    </xdr:from>
    <xdr:to>
      <xdr:col>22</xdr:col>
      <xdr:colOff>304800</xdr:colOff>
      <xdr:row>141</xdr:row>
      <xdr:rowOff>53340</xdr:rowOff>
    </xdr:to>
    <xdr:sp macro="" textlink="">
      <xdr:nvSpPr>
        <xdr:cNvPr id="2262" name="AutoShape 278" descr="https://www.soccerstats.com/img/own/sshplogo.png">
          <a:hlinkClick xmlns:r="http://schemas.openxmlformats.org/officeDocument/2006/relationships" r:id="rId655"/>
        </xdr:cNvPr>
        <xdr:cNvSpPr>
          <a:spLocks noChangeAspect="1" noChangeArrowheads="1"/>
        </xdr:cNvSpPr>
      </xdr:nvSpPr>
      <xdr:spPr bwMode="auto">
        <a:xfrm>
          <a:off x="13411200" y="28590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263" name="AutoShape 279" descr="WALES"/>
        <xdr:cNvSpPr>
          <a:spLocks noChangeAspect="1" noChangeArrowheads="1"/>
        </xdr:cNvSpPr>
      </xdr:nvSpPr>
      <xdr:spPr bwMode="auto">
        <a:xfrm>
          <a:off x="0" y="28841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264" name="AutoShape 280" descr="https://www.soccerstats.com/img/own/sshplogo.png">
          <a:hlinkClick xmlns:r="http://schemas.openxmlformats.org/officeDocument/2006/relationships" r:id="rId656"/>
        </xdr:cNvPr>
        <xdr:cNvSpPr>
          <a:spLocks noChangeAspect="1" noChangeArrowheads="1"/>
        </xdr:cNvSpPr>
      </xdr:nvSpPr>
      <xdr:spPr bwMode="auto">
        <a:xfrm>
          <a:off x="13411200" y="2884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265" name="AutoShape 281" descr="WALES"/>
        <xdr:cNvSpPr>
          <a:spLocks noChangeAspect="1" noChangeArrowheads="1"/>
        </xdr:cNvSpPr>
      </xdr:nvSpPr>
      <xdr:spPr bwMode="auto">
        <a:xfrm>
          <a:off x="0" y="29093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266" name="AutoShape 282" descr="https://www.soccerstats.com/img/own/sshplogo.png">
          <a:hlinkClick xmlns:r="http://schemas.openxmlformats.org/officeDocument/2006/relationships" r:id="rId657"/>
        </xdr:cNvPr>
        <xdr:cNvSpPr>
          <a:spLocks noChangeAspect="1" noChangeArrowheads="1"/>
        </xdr:cNvSpPr>
      </xdr:nvSpPr>
      <xdr:spPr bwMode="auto">
        <a:xfrm>
          <a:off x="13411200" y="29093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267" name="AutoShape 283" descr="WALES"/>
        <xdr:cNvSpPr>
          <a:spLocks noChangeAspect="1" noChangeArrowheads="1"/>
        </xdr:cNvSpPr>
      </xdr:nvSpPr>
      <xdr:spPr bwMode="auto">
        <a:xfrm>
          <a:off x="0" y="29268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268" name="AutoShape 284" descr="https://www.soccerstats.com/img/own/sshplogo.png">
          <a:hlinkClick xmlns:r="http://schemas.openxmlformats.org/officeDocument/2006/relationships" r:id="rId658"/>
        </xdr:cNvPr>
        <xdr:cNvSpPr>
          <a:spLocks noChangeAspect="1" noChangeArrowheads="1"/>
        </xdr:cNvSpPr>
      </xdr:nvSpPr>
      <xdr:spPr bwMode="auto">
        <a:xfrm>
          <a:off x="13411200" y="29268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269" name="AutoShape 1" descr="SPAIN"/>
        <xdr:cNvSpPr>
          <a:spLocks noChangeAspect="1" noChangeArrowheads="1"/>
        </xdr:cNvSpPr>
      </xdr:nvSpPr>
      <xdr:spPr bwMode="auto">
        <a:xfrm>
          <a:off x="0" y="175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270" name="AutoShape 2" descr="https://www.soccerstats.com/img/own/sshplogo.png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13411200" y="175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152400</xdr:colOff>
      <xdr:row>2</xdr:row>
      <xdr:rowOff>106680</xdr:rowOff>
    </xdr:to>
    <xdr:sp macro="" textlink="">
      <xdr:nvSpPr>
        <xdr:cNvPr id="2271" name="AutoShape 3" descr="SPAIN"/>
        <xdr:cNvSpPr>
          <a:spLocks noChangeAspect="1" noChangeArrowheads="1"/>
        </xdr:cNvSpPr>
      </xdr:nvSpPr>
      <xdr:spPr bwMode="auto">
        <a:xfrm>
          <a:off x="0" y="350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</xdr:row>
      <xdr:rowOff>0</xdr:rowOff>
    </xdr:from>
    <xdr:to>
      <xdr:col>22</xdr:col>
      <xdr:colOff>304800</xdr:colOff>
      <xdr:row>3</xdr:row>
      <xdr:rowOff>129540</xdr:rowOff>
    </xdr:to>
    <xdr:sp macro="" textlink="">
      <xdr:nvSpPr>
        <xdr:cNvPr id="2272" name="AutoShape 4" descr="https://www.soccerstats.com/img/own/sshplogo.png">
          <a:hlinkClick xmlns:r="http://schemas.openxmlformats.org/officeDocument/2006/relationships" r:id="rId2"/>
        </xdr:cNvPr>
        <xdr:cNvSpPr>
          <a:spLocks noChangeAspect="1" noChangeArrowheads="1"/>
        </xdr:cNvSpPr>
      </xdr:nvSpPr>
      <xdr:spPr bwMode="auto">
        <a:xfrm>
          <a:off x="13411200" y="350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152400</xdr:colOff>
      <xdr:row>3</xdr:row>
      <xdr:rowOff>106680</xdr:rowOff>
    </xdr:to>
    <xdr:sp macro="" textlink="">
      <xdr:nvSpPr>
        <xdr:cNvPr id="2273" name="AutoShape 5" descr="NETHERLANDS"/>
        <xdr:cNvSpPr>
          <a:spLocks noChangeAspect="1" noChangeArrowheads="1"/>
        </xdr:cNvSpPr>
      </xdr:nvSpPr>
      <xdr:spPr bwMode="auto">
        <a:xfrm>
          <a:off x="0" y="601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</xdr:row>
      <xdr:rowOff>0</xdr:rowOff>
    </xdr:from>
    <xdr:to>
      <xdr:col>22</xdr:col>
      <xdr:colOff>304800</xdr:colOff>
      <xdr:row>4</xdr:row>
      <xdr:rowOff>53340</xdr:rowOff>
    </xdr:to>
    <xdr:sp macro="" textlink="">
      <xdr:nvSpPr>
        <xdr:cNvPr id="2274" name="AutoShape 6" descr="https://www.soccerstats.com/img/own/sshplogo.png">
          <a:hlinkClick xmlns:r="http://schemas.openxmlformats.org/officeDocument/2006/relationships" r:id="rId3"/>
        </xdr:cNvPr>
        <xdr:cNvSpPr>
          <a:spLocks noChangeAspect="1" noChangeArrowheads="1"/>
        </xdr:cNvSpPr>
      </xdr:nvSpPr>
      <xdr:spPr bwMode="auto">
        <a:xfrm>
          <a:off x="13411200" y="601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152400</xdr:colOff>
      <xdr:row>4</xdr:row>
      <xdr:rowOff>106680</xdr:rowOff>
    </xdr:to>
    <xdr:sp macro="" textlink="">
      <xdr:nvSpPr>
        <xdr:cNvPr id="2275" name="AutoShape 7" descr="NETHERLANDS"/>
        <xdr:cNvSpPr>
          <a:spLocks noChangeAspect="1" noChangeArrowheads="1"/>
        </xdr:cNvSpPr>
      </xdr:nvSpPr>
      <xdr:spPr bwMode="auto">
        <a:xfrm>
          <a:off x="0" y="853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</xdr:row>
      <xdr:rowOff>0</xdr:rowOff>
    </xdr:from>
    <xdr:to>
      <xdr:col>22</xdr:col>
      <xdr:colOff>304800</xdr:colOff>
      <xdr:row>5</xdr:row>
      <xdr:rowOff>53340</xdr:rowOff>
    </xdr:to>
    <xdr:sp macro="" textlink="">
      <xdr:nvSpPr>
        <xdr:cNvPr id="2276" name="AutoShape 8" descr="https://www.soccerstats.com/img/own/sshplogo.png">
          <a:hlinkClick xmlns:r="http://schemas.openxmlformats.org/officeDocument/2006/relationships" r:id="rId4"/>
        </xdr:cNvPr>
        <xdr:cNvSpPr>
          <a:spLocks noChangeAspect="1" noChangeArrowheads="1"/>
        </xdr:cNvSpPr>
      </xdr:nvSpPr>
      <xdr:spPr bwMode="auto">
        <a:xfrm>
          <a:off x="13411200" y="853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152400</xdr:colOff>
      <xdr:row>5</xdr:row>
      <xdr:rowOff>106680</xdr:rowOff>
    </xdr:to>
    <xdr:sp macro="" textlink="">
      <xdr:nvSpPr>
        <xdr:cNvPr id="2277" name="AutoShape 9" descr="NETHERLANDS"/>
        <xdr:cNvSpPr>
          <a:spLocks noChangeAspect="1" noChangeArrowheads="1"/>
        </xdr:cNvSpPr>
      </xdr:nvSpPr>
      <xdr:spPr bwMode="auto">
        <a:xfrm>
          <a:off x="0" y="1028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</xdr:row>
      <xdr:rowOff>0</xdr:rowOff>
    </xdr:from>
    <xdr:to>
      <xdr:col>22</xdr:col>
      <xdr:colOff>304800</xdr:colOff>
      <xdr:row>6</xdr:row>
      <xdr:rowOff>53340</xdr:rowOff>
    </xdr:to>
    <xdr:sp macro="" textlink="">
      <xdr:nvSpPr>
        <xdr:cNvPr id="2278" name="AutoShape 10" descr="https://www.soccerstats.com/img/own/sshplogo.png">
          <a:hlinkClick xmlns:r="http://schemas.openxmlformats.org/officeDocument/2006/relationships" r:id="rId5"/>
        </xdr:cNvPr>
        <xdr:cNvSpPr>
          <a:spLocks noChangeAspect="1" noChangeArrowheads="1"/>
        </xdr:cNvSpPr>
      </xdr:nvSpPr>
      <xdr:spPr bwMode="auto">
        <a:xfrm>
          <a:off x="134112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152400</xdr:colOff>
      <xdr:row>6</xdr:row>
      <xdr:rowOff>106680</xdr:rowOff>
    </xdr:to>
    <xdr:sp macro="" textlink="">
      <xdr:nvSpPr>
        <xdr:cNvPr id="2279" name="AutoShape 11" descr="NETHERLANDS"/>
        <xdr:cNvSpPr>
          <a:spLocks noChangeAspect="1" noChangeArrowheads="1"/>
        </xdr:cNvSpPr>
      </xdr:nvSpPr>
      <xdr:spPr bwMode="auto">
        <a:xfrm>
          <a:off x="0" y="1280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</xdr:row>
      <xdr:rowOff>0</xdr:rowOff>
    </xdr:from>
    <xdr:to>
      <xdr:col>22</xdr:col>
      <xdr:colOff>304800</xdr:colOff>
      <xdr:row>7</xdr:row>
      <xdr:rowOff>129540</xdr:rowOff>
    </xdr:to>
    <xdr:sp macro="" textlink="">
      <xdr:nvSpPr>
        <xdr:cNvPr id="2280" name="AutoShape 12" descr="https://www.soccerstats.com/img/own/sshplogo.png">
          <a:hlinkClick xmlns:r="http://schemas.openxmlformats.org/officeDocument/2006/relationships" r:id="rId6"/>
        </xdr:cNvPr>
        <xdr:cNvSpPr>
          <a:spLocks noChangeAspect="1" noChangeArrowheads="1"/>
        </xdr:cNvSpPr>
      </xdr:nvSpPr>
      <xdr:spPr bwMode="auto">
        <a:xfrm>
          <a:off x="13411200" y="1280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152400</xdr:colOff>
      <xdr:row>7</xdr:row>
      <xdr:rowOff>106680</xdr:rowOff>
    </xdr:to>
    <xdr:sp macro="" textlink="">
      <xdr:nvSpPr>
        <xdr:cNvPr id="2281" name="AutoShape 13" descr="PORTUGAL"/>
        <xdr:cNvSpPr>
          <a:spLocks noChangeAspect="1" noChangeArrowheads="1"/>
        </xdr:cNvSpPr>
      </xdr:nvSpPr>
      <xdr:spPr bwMode="auto">
        <a:xfrm>
          <a:off x="0" y="1531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</xdr:row>
      <xdr:rowOff>0</xdr:rowOff>
    </xdr:from>
    <xdr:to>
      <xdr:col>22</xdr:col>
      <xdr:colOff>304800</xdr:colOff>
      <xdr:row>8</xdr:row>
      <xdr:rowOff>129540</xdr:rowOff>
    </xdr:to>
    <xdr:sp macro="" textlink="">
      <xdr:nvSpPr>
        <xdr:cNvPr id="2282" name="AutoShape 14" descr="https://www.soccerstats.com/img/own/sshplogo.png">
          <a:hlinkClick xmlns:r="http://schemas.openxmlformats.org/officeDocument/2006/relationships" r:id="rId7"/>
        </xdr:cNvPr>
        <xdr:cNvSpPr>
          <a:spLocks noChangeAspect="1" noChangeArrowheads="1"/>
        </xdr:cNvSpPr>
      </xdr:nvSpPr>
      <xdr:spPr bwMode="auto">
        <a:xfrm>
          <a:off x="13411200" y="1531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152400</xdr:colOff>
      <xdr:row>8</xdr:row>
      <xdr:rowOff>106680</xdr:rowOff>
    </xdr:to>
    <xdr:sp macro="" textlink="">
      <xdr:nvSpPr>
        <xdr:cNvPr id="2283" name="AutoShape 15" descr="PORTUGAL"/>
        <xdr:cNvSpPr>
          <a:spLocks noChangeAspect="1" noChangeArrowheads="1"/>
        </xdr:cNvSpPr>
      </xdr:nvSpPr>
      <xdr:spPr bwMode="auto">
        <a:xfrm>
          <a:off x="0" y="1783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</xdr:row>
      <xdr:rowOff>0</xdr:rowOff>
    </xdr:from>
    <xdr:to>
      <xdr:col>22</xdr:col>
      <xdr:colOff>304800</xdr:colOff>
      <xdr:row>9</xdr:row>
      <xdr:rowOff>129540</xdr:rowOff>
    </xdr:to>
    <xdr:sp macro="" textlink="">
      <xdr:nvSpPr>
        <xdr:cNvPr id="2284" name="AutoShape 16" descr="https://www.soccerstats.com/img/own/sshplogo.png">
          <a:hlinkClick xmlns:r="http://schemas.openxmlformats.org/officeDocument/2006/relationships" r:id="rId8"/>
        </xdr:cNvPr>
        <xdr:cNvSpPr>
          <a:spLocks noChangeAspect="1" noChangeArrowheads="1"/>
        </xdr:cNvSpPr>
      </xdr:nvSpPr>
      <xdr:spPr bwMode="auto">
        <a:xfrm>
          <a:off x="13411200" y="1783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152400</xdr:colOff>
      <xdr:row>9</xdr:row>
      <xdr:rowOff>106680</xdr:rowOff>
    </xdr:to>
    <xdr:sp macro="" textlink="">
      <xdr:nvSpPr>
        <xdr:cNvPr id="2285" name="AutoShape 17" descr="PORTUGAL"/>
        <xdr:cNvSpPr>
          <a:spLocks noChangeAspect="1" noChangeArrowheads="1"/>
        </xdr:cNvSpPr>
      </xdr:nvSpPr>
      <xdr:spPr bwMode="auto">
        <a:xfrm>
          <a:off x="0" y="2034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</xdr:row>
      <xdr:rowOff>0</xdr:rowOff>
    </xdr:from>
    <xdr:to>
      <xdr:col>22</xdr:col>
      <xdr:colOff>304800</xdr:colOff>
      <xdr:row>10</xdr:row>
      <xdr:rowOff>129540</xdr:rowOff>
    </xdr:to>
    <xdr:sp macro="" textlink="">
      <xdr:nvSpPr>
        <xdr:cNvPr id="2286" name="AutoShape 18" descr="https://www.soccerstats.com/img/own/sshplogo.png">
          <a:hlinkClick xmlns:r="http://schemas.openxmlformats.org/officeDocument/2006/relationships" r:id="rId9"/>
        </xdr:cNvPr>
        <xdr:cNvSpPr>
          <a:spLocks noChangeAspect="1" noChangeArrowheads="1"/>
        </xdr:cNvSpPr>
      </xdr:nvSpPr>
      <xdr:spPr bwMode="auto">
        <a:xfrm>
          <a:off x="13411200" y="2034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152400</xdr:colOff>
      <xdr:row>10</xdr:row>
      <xdr:rowOff>106680</xdr:rowOff>
    </xdr:to>
    <xdr:sp macro="" textlink="">
      <xdr:nvSpPr>
        <xdr:cNvPr id="2287" name="AutoShape 19" descr="ENGLAND2"/>
        <xdr:cNvSpPr>
          <a:spLocks noChangeAspect="1" noChangeArrowheads="1"/>
        </xdr:cNvSpPr>
      </xdr:nvSpPr>
      <xdr:spPr bwMode="auto">
        <a:xfrm>
          <a:off x="0" y="2209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</xdr:row>
      <xdr:rowOff>0</xdr:rowOff>
    </xdr:from>
    <xdr:to>
      <xdr:col>22</xdr:col>
      <xdr:colOff>304800</xdr:colOff>
      <xdr:row>11</xdr:row>
      <xdr:rowOff>129540</xdr:rowOff>
    </xdr:to>
    <xdr:sp macro="" textlink="">
      <xdr:nvSpPr>
        <xdr:cNvPr id="2288" name="AutoShape 20" descr="https://www.soccerstats.com/img/own/sshplogo.png">
          <a:hlinkClick xmlns:r="http://schemas.openxmlformats.org/officeDocument/2006/relationships" r:id="rId10"/>
        </xdr:cNvPr>
        <xdr:cNvSpPr>
          <a:spLocks noChangeAspect="1" noChangeArrowheads="1"/>
        </xdr:cNvSpPr>
      </xdr:nvSpPr>
      <xdr:spPr bwMode="auto">
        <a:xfrm>
          <a:off x="13411200" y="2209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152400</xdr:colOff>
      <xdr:row>11</xdr:row>
      <xdr:rowOff>106680</xdr:rowOff>
    </xdr:to>
    <xdr:sp macro="" textlink="">
      <xdr:nvSpPr>
        <xdr:cNvPr id="2289" name="AutoShape 21" descr="ENGLAND2"/>
        <xdr:cNvSpPr>
          <a:spLocks noChangeAspect="1" noChangeArrowheads="1"/>
        </xdr:cNvSpPr>
      </xdr:nvSpPr>
      <xdr:spPr bwMode="auto">
        <a:xfrm>
          <a:off x="0" y="2385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</xdr:row>
      <xdr:rowOff>0</xdr:rowOff>
    </xdr:from>
    <xdr:to>
      <xdr:col>22</xdr:col>
      <xdr:colOff>304800</xdr:colOff>
      <xdr:row>12</xdr:row>
      <xdr:rowOff>129540</xdr:rowOff>
    </xdr:to>
    <xdr:sp macro="" textlink="">
      <xdr:nvSpPr>
        <xdr:cNvPr id="2290" name="AutoShape 22" descr="https://www.soccerstats.com/img/own/sshplogo.png">
          <a:hlinkClick xmlns:r="http://schemas.openxmlformats.org/officeDocument/2006/relationships" r:id="rId11"/>
        </xdr:cNvPr>
        <xdr:cNvSpPr>
          <a:spLocks noChangeAspect="1" noChangeArrowheads="1"/>
        </xdr:cNvSpPr>
      </xdr:nvSpPr>
      <xdr:spPr bwMode="auto">
        <a:xfrm>
          <a:off x="13411200" y="2385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152400</xdr:colOff>
      <xdr:row>12</xdr:row>
      <xdr:rowOff>106680</xdr:rowOff>
    </xdr:to>
    <xdr:sp macro="" textlink="">
      <xdr:nvSpPr>
        <xdr:cNvPr id="2291" name="AutoShape 23" descr="ENGLAND2"/>
        <xdr:cNvSpPr>
          <a:spLocks noChangeAspect="1" noChangeArrowheads="1"/>
        </xdr:cNvSpPr>
      </xdr:nvSpPr>
      <xdr:spPr bwMode="auto">
        <a:xfrm>
          <a:off x="0" y="2560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</xdr:row>
      <xdr:rowOff>0</xdr:rowOff>
    </xdr:from>
    <xdr:to>
      <xdr:col>22</xdr:col>
      <xdr:colOff>304800</xdr:colOff>
      <xdr:row>13</xdr:row>
      <xdr:rowOff>53340</xdr:rowOff>
    </xdr:to>
    <xdr:sp macro="" textlink="">
      <xdr:nvSpPr>
        <xdr:cNvPr id="2292" name="AutoShape 24" descr="https://www.soccerstats.com/img/own/sshplogo.png">
          <a:hlinkClick xmlns:r="http://schemas.openxmlformats.org/officeDocument/2006/relationships" r:id="rId12"/>
        </xdr:cNvPr>
        <xdr:cNvSpPr>
          <a:spLocks noChangeAspect="1" noChangeArrowheads="1"/>
        </xdr:cNvSpPr>
      </xdr:nvSpPr>
      <xdr:spPr bwMode="auto">
        <a:xfrm>
          <a:off x="13411200" y="2560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152400</xdr:colOff>
      <xdr:row>13</xdr:row>
      <xdr:rowOff>106680</xdr:rowOff>
    </xdr:to>
    <xdr:sp macro="" textlink="">
      <xdr:nvSpPr>
        <xdr:cNvPr id="2293" name="AutoShape 25" descr="ENGLAND2"/>
        <xdr:cNvSpPr>
          <a:spLocks noChangeAspect="1" noChangeArrowheads="1"/>
        </xdr:cNvSpPr>
      </xdr:nvSpPr>
      <xdr:spPr bwMode="auto">
        <a:xfrm>
          <a:off x="0" y="2735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</xdr:row>
      <xdr:rowOff>0</xdr:rowOff>
    </xdr:from>
    <xdr:to>
      <xdr:col>22</xdr:col>
      <xdr:colOff>304800</xdr:colOff>
      <xdr:row>14</xdr:row>
      <xdr:rowOff>129540</xdr:rowOff>
    </xdr:to>
    <xdr:sp macro="" textlink="">
      <xdr:nvSpPr>
        <xdr:cNvPr id="2294" name="AutoShape 26" descr="https://www.soccerstats.com/img/own/sshplogo.png">
          <a:hlinkClick xmlns:r="http://schemas.openxmlformats.org/officeDocument/2006/relationships" r:id="rId13"/>
        </xdr:cNvPr>
        <xdr:cNvSpPr>
          <a:spLocks noChangeAspect="1" noChangeArrowheads="1"/>
        </xdr:cNvSpPr>
      </xdr:nvSpPr>
      <xdr:spPr bwMode="auto">
        <a:xfrm>
          <a:off x="13411200" y="2735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152400</xdr:colOff>
      <xdr:row>14</xdr:row>
      <xdr:rowOff>106680</xdr:rowOff>
    </xdr:to>
    <xdr:sp macro="" textlink="">
      <xdr:nvSpPr>
        <xdr:cNvPr id="2295" name="AutoShape 27" descr="ENGLAND2"/>
        <xdr:cNvSpPr>
          <a:spLocks noChangeAspect="1" noChangeArrowheads="1"/>
        </xdr:cNvSpPr>
      </xdr:nvSpPr>
      <xdr:spPr bwMode="auto">
        <a:xfrm>
          <a:off x="0" y="2987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</xdr:row>
      <xdr:rowOff>0</xdr:rowOff>
    </xdr:from>
    <xdr:to>
      <xdr:col>22</xdr:col>
      <xdr:colOff>304800</xdr:colOff>
      <xdr:row>15</xdr:row>
      <xdr:rowOff>53340</xdr:rowOff>
    </xdr:to>
    <xdr:sp macro="" textlink="">
      <xdr:nvSpPr>
        <xdr:cNvPr id="2296" name="AutoShape 28" descr="https://www.soccerstats.com/img/own/sshplogo.png">
          <a:hlinkClick xmlns:r="http://schemas.openxmlformats.org/officeDocument/2006/relationships" r:id="rId14"/>
        </xdr:cNvPr>
        <xdr:cNvSpPr>
          <a:spLocks noChangeAspect="1" noChangeArrowheads="1"/>
        </xdr:cNvSpPr>
      </xdr:nvSpPr>
      <xdr:spPr bwMode="auto">
        <a:xfrm>
          <a:off x="13411200" y="2987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152400</xdr:colOff>
      <xdr:row>15</xdr:row>
      <xdr:rowOff>106680</xdr:rowOff>
    </xdr:to>
    <xdr:sp macro="" textlink="">
      <xdr:nvSpPr>
        <xdr:cNvPr id="2297" name="AutoShape 29" descr="ENGLAND2"/>
        <xdr:cNvSpPr>
          <a:spLocks noChangeAspect="1" noChangeArrowheads="1"/>
        </xdr:cNvSpPr>
      </xdr:nvSpPr>
      <xdr:spPr bwMode="auto">
        <a:xfrm>
          <a:off x="0" y="3162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15</xdr:row>
      <xdr:rowOff>0</xdr:rowOff>
    </xdr:from>
    <xdr:to>
      <xdr:col>22</xdr:col>
      <xdr:colOff>304800</xdr:colOff>
      <xdr:row>16</xdr:row>
      <xdr:rowOff>129540</xdr:rowOff>
    </xdr:to>
    <xdr:sp macro="" textlink="">
      <xdr:nvSpPr>
        <xdr:cNvPr id="2298" name="AutoShape 30" descr="https://www.soccerstats.com/img/own/sshplogo.png">
          <a:hlinkClick xmlns:r="http://schemas.openxmlformats.org/officeDocument/2006/relationships" r:id="rId15"/>
        </xdr:cNvPr>
        <xdr:cNvSpPr>
          <a:spLocks noChangeAspect="1" noChangeArrowheads="1"/>
        </xdr:cNvSpPr>
      </xdr:nvSpPr>
      <xdr:spPr bwMode="auto">
        <a:xfrm>
          <a:off x="13411200" y="3162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152400</xdr:colOff>
      <xdr:row>16</xdr:row>
      <xdr:rowOff>106680</xdr:rowOff>
    </xdr:to>
    <xdr:sp macro="" textlink="">
      <xdr:nvSpPr>
        <xdr:cNvPr id="2299" name="AutoShape 31" descr="ENGLAND2"/>
        <xdr:cNvSpPr>
          <a:spLocks noChangeAspect="1" noChangeArrowheads="1"/>
        </xdr:cNvSpPr>
      </xdr:nvSpPr>
      <xdr:spPr bwMode="auto">
        <a:xfrm>
          <a:off x="0" y="3337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16</xdr:row>
      <xdr:rowOff>0</xdr:rowOff>
    </xdr:from>
    <xdr:to>
      <xdr:col>22</xdr:col>
      <xdr:colOff>304800</xdr:colOff>
      <xdr:row>17</xdr:row>
      <xdr:rowOff>129540</xdr:rowOff>
    </xdr:to>
    <xdr:sp macro="" textlink="">
      <xdr:nvSpPr>
        <xdr:cNvPr id="2300" name="AutoShape 32" descr="https://www.soccerstats.com/img/own/sshplogo.png">
          <a:hlinkClick xmlns:r="http://schemas.openxmlformats.org/officeDocument/2006/relationships" r:id="rId16"/>
        </xdr:cNvPr>
        <xdr:cNvSpPr>
          <a:spLocks noChangeAspect="1" noChangeArrowheads="1"/>
        </xdr:cNvSpPr>
      </xdr:nvSpPr>
      <xdr:spPr bwMode="auto">
        <a:xfrm>
          <a:off x="13411200" y="3337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152400</xdr:colOff>
      <xdr:row>17</xdr:row>
      <xdr:rowOff>106680</xdr:rowOff>
    </xdr:to>
    <xdr:sp macro="" textlink="">
      <xdr:nvSpPr>
        <xdr:cNvPr id="2301" name="AutoShape 33" descr="ENGLAND2"/>
        <xdr:cNvSpPr>
          <a:spLocks noChangeAspect="1" noChangeArrowheads="1"/>
        </xdr:cNvSpPr>
      </xdr:nvSpPr>
      <xdr:spPr bwMode="auto">
        <a:xfrm>
          <a:off x="0" y="3512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17</xdr:row>
      <xdr:rowOff>0</xdr:rowOff>
    </xdr:from>
    <xdr:to>
      <xdr:col>22</xdr:col>
      <xdr:colOff>304800</xdr:colOff>
      <xdr:row>18</xdr:row>
      <xdr:rowOff>53340</xdr:rowOff>
    </xdr:to>
    <xdr:sp macro="" textlink="">
      <xdr:nvSpPr>
        <xdr:cNvPr id="2302" name="AutoShape 34" descr="https://www.soccerstats.com/img/own/sshplogo.png">
          <a:hlinkClick xmlns:r="http://schemas.openxmlformats.org/officeDocument/2006/relationships" r:id="rId17"/>
        </xdr:cNvPr>
        <xdr:cNvSpPr>
          <a:spLocks noChangeAspect="1" noChangeArrowheads="1"/>
        </xdr:cNvSpPr>
      </xdr:nvSpPr>
      <xdr:spPr bwMode="auto">
        <a:xfrm>
          <a:off x="13411200" y="3512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152400</xdr:colOff>
      <xdr:row>18</xdr:row>
      <xdr:rowOff>106680</xdr:rowOff>
    </xdr:to>
    <xdr:sp macro="" textlink="">
      <xdr:nvSpPr>
        <xdr:cNvPr id="2303" name="AutoShape 35" descr="ENGLAND3"/>
        <xdr:cNvSpPr>
          <a:spLocks noChangeAspect="1" noChangeArrowheads="1"/>
        </xdr:cNvSpPr>
      </xdr:nvSpPr>
      <xdr:spPr bwMode="auto">
        <a:xfrm>
          <a:off x="0" y="3764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18</xdr:row>
      <xdr:rowOff>0</xdr:rowOff>
    </xdr:from>
    <xdr:to>
      <xdr:col>22</xdr:col>
      <xdr:colOff>304800</xdr:colOff>
      <xdr:row>19</xdr:row>
      <xdr:rowOff>53340</xdr:rowOff>
    </xdr:to>
    <xdr:sp macro="" textlink="">
      <xdr:nvSpPr>
        <xdr:cNvPr id="2304" name="AutoShape 36" descr="https://www.soccerstats.com/img/own/sshplogo.png">
          <a:hlinkClick xmlns:r="http://schemas.openxmlformats.org/officeDocument/2006/relationships" r:id="rId18"/>
        </xdr:cNvPr>
        <xdr:cNvSpPr>
          <a:spLocks noChangeAspect="1" noChangeArrowheads="1"/>
        </xdr:cNvSpPr>
      </xdr:nvSpPr>
      <xdr:spPr bwMode="auto">
        <a:xfrm>
          <a:off x="13411200" y="3764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152400</xdr:colOff>
      <xdr:row>19</xdr:row>
      <xdr:rowOff>106680</xdr:rowOff>
    </xdr:to>
    <xdr:sp macro="" textlink="">
      <xdr:nvSpPr>
        <xdr:cNvPr id="2305" name="AutoShape 37" descr="ENGLAND3"/>
        <xdr:cNvSpPr>
          <a:spLocks noChangeAspect="1" noChangeArrowheads="1"/>
        </xdr:cNvSpPr>
      </xdr:nvSpPr>
      <xdr:spPr bwMode="auto">
        <a:xfrm>
          <a:off x="0" y="3939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19</xdr:row>
      <xdr:rowOff>0</xdr:rowOff>
    </xdr:from>
    <xdr:to>
      <xdr:col>22</xdr:col>
      <xdr:colOff>304800</xdr:colOff>
      <xdr:row>20</xdr:row>
      <xdr:rowOff>129540</xdr:rowOff>
    </xdr:to>
    <xdr:sp macro="" textlink="">
      <xdr:nvSpPr>
        <xdr:cNvPr id="2306" name="AutoShape 38" descr="https://www.soccerstats.com/img/own/sshplogo.png">
          <a:hlinkClick xmlns:r="http://schemas.openxmlformats.org/officeDocument/2006/relationships" r:id="rId19"/>
        </xdr:cNvPr>
        <xdr:cNvSpPr>
          <a:spLocks noChangeAspect="1" noChangeArrowheads="1"/>
        </xdr:cNvSpPr>
      </xdr:nvSpPr>
      <xdr:spPr bwMode="auto">
        <a:xfrm>
          <a:off x="13411200" y="3939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152400</xdr:colOff>
      <xdr:row>20</xdr:row>
      <xdr:rowOff>106680</xdr:rowOff>
    </xdr:to>
    <xdr:sp macro="" textlink="">
      <xdr:nvSpPr>
        <xdr:cNvPr id="2307" name="AutoShape 39" descr="ENGLAND3"/>
        <xdr:cNvSpPr>
          <a:spLocks noChangeAspect="1" noChangeArrowheads="1"/>
        </xdr:cNvSpPr>
      </xdr:nvSpPr>
      <xdr:spPr bwMode="auto">
        <a:xfrm>
          <a:off x="0" y="4191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20</xdr:row>
      <xdr:rowOff>0</xdr:rowOff>
    </xdr:from>
    <xdr:to>
      <xdr:col>22</xdr:col>
      <xdr:colOff>304800</xdr:colOff>
      <xdr:row>21</xdr:row>
      <xdr:rowOff>129540</xdr:rowOff>
    </xdr:to>
    <xdr:sp macro="" textlink="">
      <xdr:nvSpPr>
        <xdr:cNvPr id="2308" name="AutoShape 40" descr="https://www.soccerstats.com/img/own/sshplogo.png">
          <a:hlinkClick xmlns:r="http://schemas.openxmlformats.org/officeDocument/2006/relationships" r:id="rId20"/>
        </xdr:cNvPr>
        <xdr:cNvSpPr>
          <a:spLocks noChangeAspect="1" noChangeArrowheads="1"/>
        </xdr:cNvSpPr>
      </xdr:nvSpPr>
      <xdr:spPr bwMode="auto">
        <a:xfrm>
          <a:off x="13411200" y="419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152400</xdr:colOff>
      <xdr:row>21</xdr:row>
      <xdr:rowOff>106680</xdr:rowOff>
    </xdr:to>
    <xdr:sp macro="" textlink="">
      <xdr:nvSpPr>
        <xdr:cNvPr id="2309" name="AutoShape 41" descr="ENGLAND3"/>
        <xdr:cNvSpPr>
          <a:spLocks noChangeAspect="1" noChangeArrowheads="1"/>
        </xdr:cNvSpPr>
      </xdr:nvSpPr>
      <xdr:spPr bwMode="auto">
        <a:xfrm>
          <a:off x="0" y="4366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21</xdr:row>
      <xdr:rowOff>0</xdr:rowOff>
    </xdr:from>
    <xdr:to>
      <xdr:col>22</xdr:col>
      <xdr:colOff>304800</xdr:colOff>
      <xdr:row>22</xdr:row>
      <xdr:rowOff>53340</xdr:rowOff>
    </xdr:to>
    <xdr:sp macro="" textlink="">
      <xdr:nvSpPr>
        <xdr:cNvPr id="2310" name="AutoShape 42" descr="https://www.soccerstats.com/img/own/sshplogo.png">
          <a:hlinkClick xmlns:r="http://schemas.openxmlformats.org/officeDocument/2006/relationships" r:id="rId21"/>
        </xdr:cNvPr>
        <xdr:cNvSpPr>
          <a:spLocks noChangeAspect="1" noChangeArrowheads="1"/>
        </xdr:cNvSpPr>
      </xdr:nvSpPr>
      <xdr:spPr bwMode="auto">
        <a:xfrm>
          <a:off x="13411200" y="4366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152400</xdr:colOff>
      <xdr:row>22</xdr:row>
      <xdr:rowOff>106680</xdr:rowOff>
    </xdr:to>
    <xdr:sp macro="" textlink="">
      <xdr:nvSpPr>
        <xdr:cNvPr id="2311" name="AutoShape 43" descr="ENGLAND3"/>
        <xdr:cNvSpPr>
          <a:spLocks noChangeAspect="1" noChangeArrowheads="1"/>
        </xdr:cNvSpPr>
      </xdr:nvSpPr>
      <xdr:spPr bwMode="auto">
        <a:xfrm>
          <a:off x="0" y="4541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22</xdr:row>
      <xdr:rowOff>0</xdr:rowOff>
    </xdr:from>
    <xdr:to>
      <xdr:col>22</xdr:col>
      <xdr:colOff>304800</xdr:colOff>
      <xdr:row>23</xdr:row>
      <xdr:rowOff>129540</xdr:rowOff>
    </xdr:to>
    <xdr:sp macro="" textlink="">
      <xdr:nvSpPr>
        <xdr:cNvPr id="2312" name="AutoShape 44" descr="https://www.soccerstats.com/img/own/sshplogo.png">
          <a:hlinkClick xmlns:r="http://schemas.openxmlformats.org/officeDocument/2006/relationships" r:id="rId22"/>
        </xdr:cNvPr>
        <xdr:cNvSpPr>
          <a:spLocks noChangeAspect="1" noChangeArrowheads="1"/>
        </xdr:cNvSpPr>
      </xdr:nvSpPr>
      <xdr:spPr bwMode="auto">
        <a:xfrm>
          <a:off x="13411200" y="4541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152400</xdr:colOff>
      <xdr:row>23</xdr:row>
      <xdr:rowOff>106680</xdr:rowOff>
    </xdr:to>
    <xdr:sp macro="" textlink="">
      <xdr:nvSpPr>
        <xdr:cNvPr id="2313" name="AutoShape 45" descr="ENGLAND3"/>
        <xdr:cNvSpPr>
          <a:spLocks noChangeAspect="1" noChangeArrowheads="1"/>
        </xdr:cNvSpPr>
      </xdr:nvSpPr>
      <xdr:spPr bwMode="auto">
        <a:xfrm>
          <a:off x="0" y="4716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23</xdr:row>
      <xdr:rowOff>0</xdr:rowOff>
    </xdr:from>
    <xdr:to>
      <xdr:col>22</xdr:col>
      <xdr:colOff>304800</xdr:colOff>
      <xdr:row>24</xdr:row>
      <xdr:rowOff>129540</xdr:rowOff>
    </xdr:to>
    <xdr:sp macro="" textlink="">
      <xdr:nvSpPr>
        <xdr:cNvPr id="2314" name="AutoShape 46" descr="https://www.soccerstats.com/img/own/sshplogo.png">
          <a:hlinkClick xmlns:r="http://schemas.openxmlformats.org/officeDocument/2006/relationships" r:id="rId23"/>
        </xdr:cNvPr>
        <xdr:cNvSpPr>
          <a:spLocks noChangeAspect="1" noChangeArrowheads="1"/>
        </xdr:cNvSpPr>
      </xdr:nvSpPr>
      <xdr:spPr bwMode="auto">
        <a:xfrm>
          <a:off x="13411200" y="4716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2315" name="AutoShape 47" descr="ENGLAND3"/>
        <xdr:cNvSpPr>
          <a:spLocks noChangeAspect="1" noChangeArrowheads="1"/>
        </xdr:cNvSpPr>
      </xdr:nvSpPr>
      <xdr:spPr bwMode="auto">
        <a:xfrm>
          <a:off x="0" y="4892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2316" name="AutoShape 48" descr="https://www.soccerstats.com/img/own/sshplogo.png">
          <a:hlinkClick xmlns:r="http://schemas.openxmlformats.org/officeDocument/2006/relationships" r:id="rId24"/>
        </xdr:cNvPr>
        <xdr:cNvSpPr>
          <a:spLocks noChangeAspect="1" noChangeArrowheads="1"/>
        </xdr:cNvSpPr>
      </xdr:nvSpPr>
      <xdr:spPr bwMode="auto">
        <a:xfrm>
          <a:off x="13411200" y="4892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152400</xdr:colOff>
      <xdr:row>25</xdr:row>
      <xdr:rowOff>106680</xdr:rowOff>
    </xdr:to>
    <xdr:sp macro="" textlink="">
      <xdr:nvSpPr>
        <xdr:cNvPr id="2317" name="AutoShape 49" descr="ENGLAND3"/>
        <xdr:cNvSpPr>
          <a:spLocks noChangeAspect="1" noChangeArrowheads="1"/>
        </xdr:cNvSpPr>
      </xdr:nvSpPr>
      <xdr:spPr bwMode="auto">
        <a:xfrm>
          <a:off x="0" y="5143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25</xdr:row>
      <xdr:rowOff>0</xdr:rowOff>
    </xdr:from>
    <xdr:to>
      <xdr:col>22</xdr:col>
      <xdr:colOff>304800</xdr:colOff>
      <xdr:row>26</xdr:row>
      <xdr:rowOff>129540</xdr:rowOff>
    </xdr:to>
    <xdr:sp macro="" textlink="">
      <xdr:nvSpPr>
        <xdr:cNvPr id="2318" name="AutoShape 50" descr="https://www.soccerstats.com/img/own/sshplogo.png">
          <a:hlinkClick xmlns:r="http://schemas.openxmlformats.org/officeDocument/2006/relationships" r:id="rId25"/>
        </xdr:cNvPr>
        <xdr:cNvSpPr>
          <a:spLocks noChangeAspect="1" noChangeArrowheads="1"/>
        </xdr:cNvSpPr>
      </xdr:nvSpPr>
      <xdr:spPr bwMode="auto">
        <a:xfrm>
          <a:off x="13411200" y="514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152400</xdr:colOff>
      <xdr:row>26</xdr:row>
      <xdr:rowOff>106680</xdr:rowOff>
    </xdr:to>
    <xdr:sp macro="" textlink="">
      <xdr:nvSpPr>
        <xdr:cNvPr id="2319" name="AutoShape 51" descr="ENGLAND3"/>
        <xdr:cNvSpPr>
          <a:spLocks noChangeAspect="1" noChangeArrowheads="1"/>
        </xdr:cNvSpPr>
      </xdr:nvSpPr>
      <xdr:spPr bwMode="auto">
        <a:xfrm>
          <a:off x="0" y="5394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26</xdr:row>
      <xdr:rowOff>0</xdr:rowOff>
    </xdr:from>
    <xdr:to>
      <xdr:col>22</xdr:col>
      <xdr:colOff>304800</xdr:colOff>
      <xdr:row>27</xdr:row>
      <xdr:rowOff>53340</xdr:rowOff>
    </xdr:to>
    <xdr:sp macro="" textlink="">
      <xdr:nvSpPr>
        <xdr:cNvPr id="2320" name="AutoShape 52" descr="https://www.soccerstats.com/img/own/sshplogo.png">
          <a:hlinkClick xmlns:r="http://schemas.openxmlformats.org/officeDocument/2006/relationships" r:id="rId26"/>
        </xdr:cNvPr>
        <xdr:cNvSpPr>
          <a:spLocks noChangeAspect="1" noChangeArrowheads="1"/>
        </xdr:cNvSpPr>
      </xdr:nvSpPr>
      <xdr:spPr bwMode="auto">
        <a:xfrm>
          <a:off x="13411200" y="5394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152400</xdr:colOff>
      <xdr:row>27</xdr:row>
      <xdr:rowOff>106680</xdr:rowOff>
    </xdr:to>
    <xdr:sp macro="" textlink="">
      <xdr:nvSpPr>
        <xdr:cNvPr id="2321" name="AutoShape 53" descr="ENGLAND3"/>
        <xdr:cNvSpPr>
          <a:spLocks noChangeAspect="1" noChangeArrowheads="1"/>
        </xdr:cNvSpPr>
      </xdr:nvSpPr>
      <xdr:spPr bwMode="auto">
        <a:xfrm>
          <a:off x="0" y="5646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27</xdr:row>
      <xdr:rowOff>0</xdr:rowOff>
    </xdr:from>
    <xdr:to>
      <xdr:col>22</xdr:col>
      <xdr:colOff>304800</xdr:colOff>
      <xdr:row>28</xdr:row>
      <xdr:rowOff>129540</xdr:rowOff>
    </xdr:to>
    <xdr:sp macro="" textlink="">
      <xdr:nvSpPr>
        <xdr:cNvPr id="2322" name="AutoShape 54" descr="https://www.soccerstats.com/img/own/sshplogo.png">
          <a:hlinkClick xmlns:r="http://schemas.openxmlformats.org/officeDocument/2006/relationships" r:id="rId27"/>
        </xdr:cNvPr>
        <xdr:cNvSpPr>
          <a:spLocks noChangeAspect="1" noChangeArrowheads="1"/>
        </xdr:cNvSpPr>
      </xdr:nvSpPr>
      <xdr:spPr bwMode="auto">
        <a:xfrm>
          <a:off x="13411200" y="5646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152400</xdr:colOff>
      <xdr:row>28</xdr:row>
      <xdr:rowOff>106680</xdr:rowOff>
    </xdr:to>
    <xdr:sp macro="" textlink="">
      <xdr:nvSpPr>
        <xdr:cNvPr id="2323" name="AutoShape 55" descr="ENGLAND3"/>
        <xdr:cNvSpPr>
          <a:spLocks noChangeAspect="1" noChangeArrowheads="1"/>
        </xdr:cNvSpPr>
      </xdr:nvSpPr>
      <xdr:spPr bwMode="auto">
        <a:xfrm>
          <a:off x="0" y="5821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28</xdr:row>
      <xdr:rowOff>0</xdr:rowOff>
    </xdr:from>
    <xdr:to>
      <xdr:col>22</xdr:col>
      <xdr:colOff>304800</xdr:colOff>
      <xdr:row>29</xdr:row>
      <xdr:rowOff>129540</xdr:rowOff>
    </xdr:to>
    <xdr:sp macro="" textlink="">
      <xdr:nvSpPr>
        <xdr:cNvPr id="2324" name="AutoShape 56" descr="https://www.soccerstats.com/img/own/sshplogo.png">
          <a:hlinkClick xmlns:r="http://schemas.openxmlformats.org/officeDocument/2006/relationships" r:id="rId28"/>
        </xdr:cNvPr>
        <xdr:cNvSpPr>
          <a:spLocks noChangeAspect="1" noChangeArrowheads="1"/>
        </xdr:cNvSpPr>
      </xdr:nvSpPr>
      <xdr:spPr bwMode="auto">
        <a:xfrm>
          <a:off x="13411200" y="5821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152400</xdr:colOff>
      <xdr:row>29</xdr:row>
      <xdr:rowOff>106680</xdr:rowOff>
    </xdr:to>
    <xdr:sp macro="" textlink="">
      <xdr:nvSpPr>
        <xdr:cNvPr id="2325" name="AutoShape 57" descr="ENGLAND3"/>
        <xdr:cNvSpPr>
          <a:spLocks noChangeAspect="1" noChangeArrowheads="1"/>
        </xdr:cNvSpPr>
      </xdr:nvSpPr>
      <xdr:spPr bwMode="auto">
        <a:xfrm>
          <a:off x="0" y="5996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29</xdr:row>
      <xdr:rowOff>0</xdr:rowOff>
    </xdr:from>
    <xdr:to>
      <xdr:col>22</xdr:col>
      <xdr:colOff>304800</xdr:colOff>
      <xdr:row>30</xdr:row>
      <xdr:rowOff>53340</xdr:rowOff>
    </xdr:to>
    <xdr:sp macro="" textlink="">
      <xdr:nvSpPr>
        <xdr:cNvPr id="2326" name="AutoShape 58" descr="https://www.soccerstats.com/img/own/sshplogo.png">
          <a:hlinkClick xmlns:r="http://schemas.openxmlformats.org/officeDocument/2006/relationships" r:id="rId29"/>
        </xdr:cNvPr>
        <xdr:cNvSpPr>
          <a:spLocks noChangeAspect="1" noChangeArrowheads="1"/>
        </xdr:cNvSpPr>
      </xdr:nvSpPr>
      <xdr:spPr bwMode="auto">
        <a:xfrm>
          <a:off x="13411200" y="5996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152400</xdr:colOff>
      <xdr:row>30</xdr:row>
      <xdr:rowOff>106680</xdr:rowOff>
    </xdr:to>
    <xdr:sp macro="" textlink="">
      <xdr:nvSpPr>
        <xdr:cNvPr id="2327" name="AutoShape 59" descr="ENGLAND4"/>
        <xdr:cNvSpPr>
          <a:spLocks noChangeAspect="1" noChangeArrowheads="1"/>
        </xdr:cNvSpPr>
      </xdr:nvSpPr>
      <xdr:spPr bwMode="auto">
        <a:xfrm>
          <a:off x="0" y="6172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30</xdr:row>
      <xdr:rowOff>0</xdr:rowOff>
    </xdr:from>
    <xdr:to>
      <xdr:col>22</xdr:col>
      <xdr:colOff>304800</xdr:colOff>
      <xdr:row>31</xdr:row>
      <xdr:rowOff>53340</xdr:rowOff>
    </xdr:to>
    <xdr:sp macro="" textlink="">
      <xdr:nvSpPr>
        <xdr:cNvPr id="2328" name="AutoShape 60" descr="https://www.soccerstats.com/img/own/sshplogo.png">
          <a:hlinkClick xmlns:r="http://schemas.openxmlformats.org/officeDocument/2006/relationships" r:id="rId30"/>
        </xdr:cNvPr>
        <xdr:cNvSpPr>
          <a:spLocks noChangeAspect="1" noChangeArrowheads="1"/>
        </xdr:cNvSpPr>
      </xdr:nvSpPr>
      <xdr:spPr bwMode="auto">
        <a:xfrm>
          <a:off x="134112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152400</xdr:colOff>
      <xdr:row>31</xdr:row>
      <xdr:rowOff>106680</xdr:rowOff>
    </xdr:to>
    <xdr:sp macro="" textlink="">
      <xdr:nvSpPr>
        <xdr:cNvPr id="2329" name="AutoShape 61" descr="ENGLAND4"/>
        <xdr:cNvSpPr>
          <a:spLocks noChangeAspect="1" noChangeArrowheads="1"/>
        </xdr:cNvSpPr>
      </xdr:nvSpPr>
      <xdr:spPr bwMode="auto">
        <a:xfrm>
          <a:off x="0" y="6347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31</xdr:row>
      <xdr:rowOff>0</xdr:rowOff>
    </xdr:from>
    <xdr:to>
      <xdr:col>22</xdr:col>
      <xdr:colOff>304800</xdr:colOff>
      <xdr:row>32</xdr:row>
      <xdr:rowOff>53340</xdr:rowOff>
    </xdr:to>
    <xdr:sp macro="" textlink="">
      <xdr:nvSpPr>
        <xdr:cNvPr id="2330" name="AutoShape 62" descr="https://www.soccerstats.com/img/own/sshplogo.png">
          <a:hlinkClick xmlns:r="http://schemas.openxmlformats.org/officeDocument/2006/relationships" r:id="rId31"/>
        </xdr:cNvPr>
        <xdr:cNvSpPr>
          <a:spLocks noChangeAspect="1" noChangeArrowheads="1"/>
        </xdr:cNvSpPr>
      </xdr:nvSpPr>
      <xdr:spPr bwMode="auto">
        <a:xfrm>
          <a:off x="13411200" y="6347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152400</xdr:colOff>
      <xdr:row>32</xdr:row>
      <xdr:rowOff>106680</xdr:rowOff>
    </xdr:to>
    <xdr:sp macro="" textlink="">
      <xdr:nvSpPr>
        <xdr:cNvPr id="2331" name="AutoShape 63" descr="ENGLAND4"/>
        <xdr:cNvSpPr>
          <a:spLocks noChangeAspect="1" noChangeArrowheads="1"/>
        </xdr:cNvSpPr>
      </xdr:nvSpPr>
      <xdr:spPr bwMode="auto">
        <a:xfrm>
          <a:off x="0" y="6522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32</xdr:row>
      <xdr:rowOff>0</xdr:rowOff>
    </xdr:from>
    <xdr:to>
      <xdr:col>22</xdr:col>
      <xdr:colOff>304800</xdr:colOff>
      <xdr:row>33</xdr:row>
      <xdr:rowOff>129540</xdr:rowOff>
    </xdr:to>
    <xdr:sp macro="" textlink="">
      <xdr:nvSpPr>
        <xdr:cNvPr id="2332" name="AutoShape 64" descr="https://www.soccerstats.com/img/own/sshplogo.png">
          <a:hlinkClick xmlns:r="http://schemas.openxmlformats.org/officeDocument/2006/relationships" r:id="rId32"/>
        </xdr:cNvPr>
        <xdr:cNvSpPr>
          <a:spLocks noChangeAspect="1" noChangeArrowheads="1"/>
        </xdr:cNvSpPr>
      </xdr:nvSpPr>
      <xdr:spPr bwMode="auto">
        <a:xfrm>
          <a:off x="13411200" y="6522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152400</xdr:colOff>
      <xdr:row>33</xdr:row>
      <xdr:rowOff>106680</xdr:rowOff>
    </xdr:to>
    <xdr:sp macro="" textlink="">
      <xdr:nvSpPr>
        <xdr:cNvPr id="2333" name="AutoShape 65" descr="ENGLAND4"/>
        <xdr:cNvSpPr>
          <a:spLocks noChangeAspect="1" noChangeArrowheads="1"/>
        </xdr:cNvSpPr>
      </xdr:nvSpPr>
      <xdr:spPr bwMode="auto">
        <a:xfrm>
          <a:off x="0" y="6774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33</xdr:row>
      <xdr:rowOff>0</xdr:rowOff>
    </xdr:from>
    <xdr:to>
      <xdr:col>22</xdr:col>
      <xdr:colOff>304800</xdr:colOff>
      <xdr:row>34</xdr:row>
      <xdr:rowOff>129540</xdr:rowOff>
    </xdr:to>
    <xdr:sp macro="" textlink="">
      <xdr:nvSpPr>
        <xdr:cNvPr id="2334" name="AutoShape 66" descr="https://www.soccerstats.com/img/own/sshplogo.png">
          <a:hlinkClick xmlns:r="http://schemas.openxmlformats.org/officeDocument/2006/relationships" r:id="rId33"/>
        </xdr:cNvPr>
        <xdr:cNvSpPr>
          <a:spLocks noChangeAspect="1" noChangeArrowheads="1"/>
        </xdr:cNvSpPr>
      </xdr:nvSpPr>
      <xdr:spPr bwMode="auto">
        <a:xfrm>
          <a:off x="13411200" y="6774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152400</xdr:colOff>
      <xdr:row>34</xdr:row>
      <xdr:rowOff>106680</xdr:rowOff>
    </xdr:to>
    <xdr:sp macro="" textlink="">
      <xdr:nvSpPr>
        <xdr:cNvPr id="2335" name="AutoShape 67" descr="ENGLAND4"/>
        <xdr:cNvSpPr>
          <a:spLocks noChangeAspect="1" noChangeArrowheads="1"/>
        </xdr:cNvSpPr>
      </xdr:nvSpPr>
      <xdr:spPr bwMode="auto">
        <a:xfrm>
          <a:off x="0" y="6949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34</xdr:row>
      <xdr:rowOff>0</xdr:rowOff>
    </xdr:from>
    <xdr:to>
      <xdr:col>22</xdr:col>
      <xdr:colOff>304800</xdr:colOff>
      <xdr:row>35</xdr:row>
      <xdr:rowOff>53340</xdr:rowOff>
    </xdr:to>
    <xdr:sp macro="" textlink="">
      <xdr:nvSpPr>
        <xdr:cNvPr id="2336" name="AutoShape 68" descr="https://www.soccerstats.com/img/own/sshplogo.png">
          <a:hlinkClick xmlns:r="http://schemas.openxmlformats.org/officeDocument/2006/relationships" r:id="rId34"/>
        </xdr:cNvPr>
        <xdr:cNvSpPr>
          <a:spLocks noChangeAspect="1" noChangeArrowheads="1"/>
        </xdr:cNvSpPr>
      </xdr:nvSpPr>
      <xdr:spPr bwMode="auto">
        <a:xfrm>
          <a:off x="13411200" y="6949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152400</xdr:colOff>
      <xdr:row>35</xdr:row>
      <xdr:rowOff>106680</xdr:rowOff>
    </xdr:to>
    <xdr:sp macro="" textlink="">
      <xdr:nvSpPr>
        <xdr:cNvPr id="2337" name="AutoShape 69" descr="ENGLAND4"/>
        <xdr:cNvSpPr>
          <a:spLocks noChangeAspect="1" noChangeArrowheads="1"/>
        </xdr:cNvSpPr>
      </xdr:nvSpPr>
      <xdr:spPr bwMode="auto">
        <a:xfrm>
          <a:off x="0" y="7124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35</xdr:row>
      <xdr:rowOff>0</xdr:rowOff>
    </xdr:from>
    <xdr:to>
      <xdr:col>22</xdr:col>
      <xdr:colOff>304800</xdr:colOff>
      <xdr:row>36</xdr:row>
      <xdr:rowOff>129540</xdr:rowOff>
    </xdr:to>
    <xdr:sp macro="" textlink="">
      <xdr:nvSpPr>
        <xdr:cNvPr id="2338" name="AutoShape 70" descr="https://www.soccerstats.com/img/own/sshplogo.png">
          <a:hlinkClick xmlns:r="http://schemas.openxmlformats.org/officeDocument/2006/relationships" r:id="rId35"/>
        </xdr:cNvPr>
        <xdr:cNvSpPr>
          <a:spLocks noChangeAspect="1" noChangeArrowheads="1"/>
        </xdr:cNvSpPr>
      </xdr:nvSpPr>
      <xdr:spPr bwMode="auto">
        <a:xfrm>
          <a:off x="13411200" y="712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152400</xdr:colOff>
      <xdr:row>36</xdr:row>
      <xdr:rowOff>106680</xdr:rowOff>
    </xdr:to>
    <xdr:sp macro="" textlink="">
      <xdr:nvSpPr>
        <xdr:cNvPr id="2339" name="AutoShape 71" descr="ENGLAND4"/>
        <xdr:cNvSpPr>
          <a:spLocks noChangeAspect="1" noChangeArrowheads="1"/>
        </xdr:cNvSpPr>
      </xdr:nvSpPr>
      <xdr:spPr bwMode="auto">
        <a:xfrm>
          <a:off x="0" y="7299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36</xdr:row>
      <xdr:rowOff>0</xdr:rowOff>
    </xdr:from>
    <xdr:to>
      <xdr:col>22</xdr:col>
      <xdr:colOff>304800</xdr:colOff>
      <xdr:row>37</xdr:row>
      <xdr:rowOff>53340</xdr:rowOff>
    </xdr:to>
    <xdr:sp macro="" textlink="">
      <xdr:nvSpPr>
        <xdr:cNvPr id="2340" name="AutoShape 72" descr="https://www.soccerstats.com/img/own/sshplogo.png">
          <a:hlinkClick xmlns:r="http://schemas.openxmlformats.org/officeDocument/2006/relationships" r:id="rId36"/>
        </xdr:cNvPr>
        <xdr:cNvSpPr>
          <a:spLocks noChangeAspect="1" noChangeArrowheads="1"/>
        </xdr:cNvSpPr>
      </xdr:nvSpPr>
      <xdr:spPr bwMode="auto">
        <a:xfrm>
          <a:off x="13411200" y="7299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152400</xdr:colOff>
      <xdr:row>37</xdr:row>
      <xdr:rowOff>106680</xdr:rowOff>
    </xdr:to>
    <xdr:sp macro="" textlink="">
      <xdr:nvSpPr>
        <xdr:cNvPr id="2341" name="AutoShape 73" descr="ENGLAND4"/>
        <xdr:cNvSpPr>
          <a:spLocks noChangeAspect="1" noChangeArrowheads="1"/>
        </xdr:cNvSpPr>
      </xdr:nvSpPr>
      <xdr:spPr bwMode="auto">
        <a:xfrm>
          <a:off x="0" y="7551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37</xdr:row>
      <xdr:rowOff>0</xdr:rowOff>
    </xdr:from>
    <xdr:to>
      <xdr:col>22</xdr:col>
      <xdr:colOff>304800</xdr:colOff>
      <xdr:row>38</xdr:row>
      <xdr:rowOff>129540</xdr:rowOff>
    </xdr:to>
    <xdr:sp macro="" textlink="">
      <xdr:nvSpPr>
        <xdr:cNvPr id="2342" name="AutoShape 74" descr="https://www.soccerstats.com/img/own/sshplogo.png">
          <a:hlinkClick xmlns:r="http://schemas.openxmlformats.org/officeDocument/2006/relationships" r:id="rId37"/>
        </xdr:cNvPr>
        <xdr:cNvSpPr>
          <a:spLocks noChangeAspect="1" noChangeArrowheads="1"/>
        </xdr:cNvSpPr>
      </xdr:nvSpPr>
      <xdr:spPr bwMode="auto">
        <a:xfrm>
          <a:off x="13411200" y="7551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152400</xdr:colOff>
      <xdr:row>38</xdr:row>
      <xdr:rowOff>106680</xdr:rowOff>
    </xdr:to>
    <xdr:sp macro="" textlink="">
      <xdr:nvSpPr>
        <xdr:cNvPr id="2343" name="AutoShape 75" descr="ENGLAND4"/>
        <xdr:cNvSpPr>
          <a:spLocks noChangeAspect="1" noChangeArrowheads="1"/>
        </xdr:cNvSpPr>
      </xdr:nvSpPr>
      <xdr:spPr bwMode="auto">
        <a:xfrm>
          <a:off x="0" y="7726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38</xdr:row>
      <xdr:rowOff>0</xdr:rowOff>
    </xdr:from>
    <xdr:to>
      <xdr:col>22</xdr:col>
      <xdr:colOff>304800</xdr:colOff>
      <xdr:row>39</xdr:row>
      <xdr:rowOff>129540</xdr:rowOff>
    </xdr:to>
    <xdr:sp macro="" textlink="">
      <xdr:nvSpPr>
        <xdr:cNvPr id="2344" name="AutoShape 76" descr="https://www.soccerstats.com/img/own/sshplogo.png">
          <a:hlinkClick xmlns:r="http://schemas.openxmlformats.org/officeDocument/2006/relationships" r:id="rId38"/>
        </xdr:cNvPr>
        <xdr:cNvSpPr>
          <a:spLocks noChangeAspect="1" noChangeArrowheads="1"/>
        </xdr:cNvSpPr>
      </xdr:nvSpPr>
      <xdr:spPr bwMode="auto">
        <a:xfrm>
          <a:off x="13411200" y="7726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152400</xdr:colOff>
      <xdr:row>39</xdr:row>
      <xdr:rowOff>106680</xdr:rowOff>
    </xdr:to>
    <xdr:sp macro="" textlink="">
      <xdr:nvSpPr>
        <xdr:cNvPr id="2345" name="AutoShape 77" descr="ENGLAND4"/>
        <xdr:cNvSpPr>
          <a:spLocks noChangeAspect="1" noChangeArrowheads="1"/>
        </xdr:cNvSpPr>
      </xdr:nvSpPr>
      <xdr:spPr bwMode="auto">
        <a:xfrm>
          <a:off x="0" y="7901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39</xdr:row>
      <xdr:rowOff>0</xdr:rowOff>
    </xdr:from>
    <xdr:to>
      <xdr:col>22</xdr:col>
      <xdr:colOff>304800</xdr:colOff>
      <xdr:row>40</xdr:row>
      <xdr:rowOff>129540</xdr:rowOff>
    </xdr:to>
    <xdr:sp macro="" textlink="">
      <xdr:nvSpPr>
        <xdr:cNvPr id="2346" name="AutoShape 78" descr="https://www.soccerstats.com/img/own/sshplogo.png">
          <a:hlinkClick xmlns:r="http://schemas.openxmlformats.org/officeDocument/2006/relationships" r:id="rId39"/>
        </xdr:cNvPr>
        <xdr:cNvSpPr>
          <a:spLocks noChangeAspect="1" noChangeArrowheads="1"/>
        </xdr:cNvSpPr>
      </xdr:nvSpPr>
      <xdr:spPr bwMode="auto">
        <a:xfrm>
          <a:off x="13411200" y="7901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152400</xdr:colOff>
      <xdr:row>40</xdr:row>
      <xdr:rowOff>106680</xdr:rowOff>
    </xdr:to>
    <xdr:sp macro="" textlink="">
      <xdr:nvSpPr>
        <xdr:cNvPr id="2347" name="AutoShape 79" descr="ENGLAND4"/>
        <xdr:cNvSpPr>
          <a:spLocks noChangeAspect="1" noChangeArrowheads="1"/>
        </xdr:cNvSpPr>
      </xdr:nvSpPr>
      <xdr:spPr bwMode="auto">
        <a:xfrm>
          <a:off x="0" y="8153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40</xdr:row>
      <xdr:rowOff>0</xdr:rowOff>
    </xdr:from>
    <xdr:to>
      <xdr:col>22</xdr:col>
      <xdr:colOff>304800</xdr:colOff>
      <xdr:row>41</xdr:row>
      <xdr:rowOff>129540</xdr:rowOff>
    </xdr:to>
    <xdr:sp macro="" textlink="">
      <xdr:nvSpPr>
        <xdr:cNvPr id="2348" name="AutoShape 80" descr="https://www.soccerstats.com/img/own/sshplogo.png">
          <a:hlinkClick xmlns:r="http://schemas.openxmlformats.org/officeDocument/2006/relationships" r:id="rId40"/>
        </xdr:cNvPr>
        <xdr:cNvSpPr>
          <a:spLocks noChangeAspect="1" noChangeArrowheads="1"/>
        </xdr:cNvSpPr>
      </xdr:nvSpPr>
      <xdr:spPr bwMode="auto">
        <a:xfrm>
          <a:off x="13411200" y="8153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152400</xdr:colOff>
      <xdr:row>41</xdr:row>
      <xdr:rowOff>106680</xdr:rowOff>
    </xdr:to>
    <xdr:sp macro="" textlink="">
      <xdr:nvSpPr>
        <xdr:cNvPr id="2349" name="AutoShape 81" descr="ENGLAND4"/>
        <xdr:cNvSpPr>
          <a:spLocks noChangeAspect="1" noChangeArrowheads="1"/>
        </xdr:cNvSpPr>
      </xdr:nvSpPr>
      <xdr:spPr bwMode="auto">
        <a:xfrm>
          <a:off x="0" y="8328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41</xdr:row>
      <xdr:rowOff>0</xdr:rowOff>
    </xdr:from>
    <xdr:to>
      <xdr:col>22</xdr:col>
      <xdr:colOff>304800</xdr:colOff>
      <xdr:row>42</xdr:row>
      <xdr:rowOff>129540</xdr:rowOff>
    </xdr:to>
    <xdr:sp macro="" textlink="">
      <xdr:nvSpPr>
        <xdr:cNvPr id="2350" name="AutoShape 82" descr="https://www.soccerstats.com/img/own/sshplogo.png">
          <a:hlinkClick xmlns:r="http://schemas.openxmlformats.org/officeDocument/2006/relationships" r:id="rId41"/>
        </xdr:cNvPr>
        <xdr:cNvSpPr>
          <a:spLocks noChangeAspect="1" noChangeArrowheads="1"/>
        </xdr:cNvSpPr>
      </xdr:nvSpPr>
      <xdr:spPr bwMode="auto">
        <a:xfrm>
          <a:off x="13411200" y="8328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152400</xdr:colOff>
      <xdr:row>42</xdr:row>
      <xdr:rowOff>106680</xdr:rowOff>
    </xdr:to>
    <xdr:sp macro="" textlink="">
      <xdr:nvSpPr>
        <xdr:cNvPr id="2351" name="AutoShape 83" descr="ENGLAND5"/>
        <xdr:cNvSpPr>
          <a:spLocks noChangeAspect="1" noChangeArrowheads="1"/>
        </xdr:cNvSpPr>
      </xdr:nvSpPr>
      <xdr:spPr bwMode="auto">
        <a:xfrm>
          <a:off x="0" y="8503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42</xdr:row>
      <xdr:rowOff>0</xdr:rowOff>
    </xdr:from>
    <xdr:to>
      <xdr:col>22</xdr:col>
      <xdr:colOff>304800</xdr:colOff>
      <xdr:row>43</xdr:row>
      <xdr:rowOff>129540</xdr:rowOff>
    </xdr:to>
    <xdr:sp macro="" textlink="">
      <xdr:nvSpPr>
        <xdr:cNvPr id="2352" name="AutoShape 84" descr="https://www.soccerstats.com/img/own/sshplogo.png">
          <a:hlinkClick xmlns:r="http://schemas.openxmlformats.org/officeDocument/2006/relationships" r:id="rId42"/>
        </xdr:cNvPr>
        <xdr:cNvSpPr>
          <a:spLocks noChangeAspect="1" noChangeArrowheads="1"/>
        </xdr:cNvSpPr>
      </xdr:nvSpPr>
      <xdr:spPr bwMode="auto">
        <a:xfrm>
          <a:off x="13411200" y="8503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152400</xdr:colOff>
      <xdr:row>43</xdr:row>
      <xdr:rowOff>106680</xdr:rowOff>
    </xdr:to>
    <xdr:sp macro="" textlink="">
      <xdr:nvSpPr>
        <xdr:cNvPr id="2353" name="AutoShape 85" descr="ENGLAND5"/>
        <xdr:cNvSpPr>
          <a:spLocks noChangeAspect="1" noChangeArrowheads="1"/>
        </xdr:cNvSpPr>
      </xdr:nvSpPr>
      <xdr:spPr bwMode="auto">
        <a:xfrm>
          <a:off x="0" y="8755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43</xdr:row>
      <xdr:rowOff>0</xdr:rowOff>
    </xdr:from>
    <xdr:to>
      <xdr:col>22</xdr:col>
      <xdr:colOff>304800</xdr:colOff>
      <xdr:row>44</xdr:row>
      <xdr:rowOff>53340</xdr:rowOff>
    </xdr:to>
    <xdr:sp macro="" textlink="">
      <xdr:nvSpPr>
        <xdr:cNvPr id="2354" name="AutoShape 86" descr="https://www.soccerstats.com/img/own/sshplogo.png">
          <a:hlinkClick xmlns:r="http://schemas.openxmlformats.org/officeDocument/2006/relationships" r:id="rId43"/>
        </xdr:cNvPr>
        <xdr:cNvSpPr>
          <a:spLocks noChangeAspect="1" noChangeArrowheads="1"/>
        </xdr:cNvSpPr>
      </xdr:nvSpPr>
      <xdr:spPr bwMode="auto">
        <a:xfrm>
          <a:off x="13411200" y="8755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152400</xdr:colOff>
      <xdr:row>44</xdr:row>
      <xdr:rowOff>106680</xdr:rowOff>
    </xdr:to>
    <xdr:sp macro="" textlink="">
      <xdr:nvSpPr>
        <xdr:cNvPr id="2355" name="AutoShape 87" descr="ENGLAND5"/>
        <xdr:cNvSpPr>
          <a:spLocks noChangeAspect="1" noChangeArrowheads="1"/>
        </xdr:cNvSpPr>
      </xdr:nvSpPr>
      <xdr:spPr bwMode="auto">
        <a:xfrm>
          <a:off x="0" y="8930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44</xdr:row>
      <xdr:rowOff>0</xdr:rowOff>
    </xdr:from>
    <xdr:to>
      <xdr:col>22</xdr:col>
      <xdr:colOff>304800</xdr:colOff>
      <xdr:row>45</xdr:row>
      <xdr:rowOff>53340</xdr:rowOff>
    </xdr:to>
    <xdr:sp macro="" textlink="">
      <xdr:nvSpPr>
        <xdr:cNvPr id="2356" name="AutoShape 88" descr="https://www.soccerstats.com/img/own/sshplogo.png">
          <a:hlinkClick xmlns:r="http://schemas.openxmlformats.org/officeDocument/2006/relationships" r:id="rId44"/>
        </xdr:cNvPr>
        <xdr:cNvSpPr>
          <a:spLocks noChangeAspect="1" noChangeArrowheads="1"/>
        </xdr:cNvSpPr>
      </xdr:nvSpPr>
      <xdr:spPr bwMode="auto">
        <a:xfrm>
          <a:off x="13411200" y="8930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152400</xdr:colOff>
      <xdr:row>45</xdr:row>
      <xdr:rowOff>106680</xdr:rowOff>
    </xdr:to>
    <xdr:sp macro="" textlink="">
      <xdr:nvSpPr>
        <xdr:cNvPr id="2357" name="AutoShape 89" descr="ENGLAND5"/>
        <xdr:cNvSpPr>
          <a:spLocks noChangeAspect="1" noChangeArrowheads="1"/>
        </xdr:cNvSpPr>
      </xdr:nvSpPr>
      <xdr:spPr bwMode="auto">
        <a:xfrm>
          <a:off x="0" y="9105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45</xdr:row>
      <xdr:rowOff>0</xdr:rowOff>
    </xdr:from>
    <xdr:to>
      <xdr:col>22</xdr:col>
      <xdr:colOff>304800</xdr:colOff>
      <xdr:row>46</xdr:row>
      <xdr:rowOff>129540</xdr:rowOff>
    </xdr:to>
    <xdr:sp macro="" textlink="">
      <xdr:nvSpPr>
        <xdr:cNvPr id="2358" name="AutoShape 90" descr="https://www.soccerstats.com/img/own/sshplogo.png">
          <a:hlinkClick xmlns:r="http://schemas.openxmlformats.org/officeDocument/2006/relationships" r:id="rId45"/>
        </xdr:cNvPr>
        <xdr:cNvSpPr>
          <a:spLocks noChangeAspect="1" noChangeArrowheads="1"/>
        </xdr:cNvSpPr>
      </xdr:nvSpPr>
      <xdr:spPr bwMode="auto">
        <a:xfrm>
          <a:off x="13411200" y="9105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152400</xdr:colOff>
      <xdr:row>46</xdr:row>
      <xdr:rowOff>106680</xdr:rowOff>
    </xdr:to>
    <xdr:sp macro="" textlink="">
      <xdr:nvSpPr>
        <xdr:cNvPr id="2359" name="AutoShape 91" descr="ENGLAND5"/>
        <xdr:cNvSpPr>
          <a:spLocks noChangeAspect="1" noChangeArrowheads="1"/>
        </xdr:cNvSpPr>
      </xdr:nvSpPr>
      <xdr:spPr bwMode="auto">
        <a:xfrm>
          <a:off x="0" y="9357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46</xdr:row>
      <xdr:rowOff>0</xdr:rowOff>
    </xdr:from>
    <xdr:to>
      <xdr:col>22</xdr:col>
      <xdr:colOff>304800</xdr:colOff>
      <xdr:row>47</xdr:row>
      <xdr:rowOff>53340</xdr:rowOff>
    </xdr:to>
    <xdr:sp macro="" textlink="">
      <xdr:nvSpPr>
        <xdr:cNvPr id="2360" name="AutoShape 92" descr="https://www.soccerstats.com/img/own/sshplogo.png">
          <a:hlinkClick xmlns:r="http://schemas.openxmlformats.org/officeDocument/2006/relationships" r:id="rId46"/>
        </xdr:cNvPr>
        <xdr:cNvSpPr>
          <a:spLocks noChangeAspect="1" noChangeArrowheads="1"/>
        </xdr:cNvSpPr>
      </xdr:nvSpPr>
      <xdr:spPr bwMode="auto">
        <a:xfrm>
          <a:off x="13411200" y="9357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152400</xdr:colOff>
      <xdr:row>47</xdr:row>
      <xdr:rowOff>106680</xdr:rowOff>
    </xdr:to>
    <xdr:sp macro="" textlink="">
      <xdr:nvSpPr>
        <xdr:cNvPr id="2361" name="AutoShape 93" descr="ENGLAND5"/>
        <xdr:cNvSpPr>
          <a:spLocks noChangeAspect="1" noChangeArrowheads="1"/>
        </xdr:cNvSpPr>
      </xdr:nvSpPr>
      <xdr:spPr bwMode="auto">
        <a:xfrm>
          <a:off x="0" y="9608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47</xdr:row>
      <xdr:rowOff>0</xdr:rowOff>
    </xdr:from>
    <xdr:to>
      <xdr:col>22</xdr:col>
      <xdr:colOff>304800</xdr:colOff>
      <xdr:row>48</xdr:row>
      <xdr:rowOff>129540</xdr:rowOff>
    </xdr:to>
    <xdr:sp macro="" textlink="">
      <xdr:nvSpPr>
        <xdr:cNvPr id="2362" name="AutoShape 94" descr="https://www.soccerstats.com/img/own/sshplogo.png">
          <a:hlinkClick xmlns:r="http://schemas.openxmlformats.org/officeDocument/2006/relationships" r:id="rId47"/>
        </xdr:cNvPr>
        <xdr:cNvSpPr>
          <a:spLocks noChangeAspect="1" noChangeArrowheads="1"/>
        </xdr:cNvSpPr>
      </xdr:nvSpPr>
      <xdr:spPr bwMode="auto">
        <a:xfrm>
          <a:off x="13411200" y="9608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152400</xdr:colOff>
      <xdr:row>48</xdr:row>
      <xdr:rowOff>106680</xdr:rowOff>
    </xdr:to>
    <xdr:sp macro="" textlink="">
      <xdr:nvSpPr>
        <xdr:cNvPr id="2363" name="AutoShape 95" descr="ENGLAND5"/>
        <xdr:cNvSpPr>
          <a:spLocks noChangeAspect="1" noChangeArrowheads="1"/>
        </xdr:cNvSpPr>
      </xdr:nvSpPr>
      <xdr:spPr bwMode="auto">
        <a:xfrm>
          <a:off x="0" y="9860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48</xdr:row>
      <xdr:rowOff>0</xdr:rowOff>
    </xdr:from>
    <xdr:to>
      <xdr:col>22</xdr:col>
      <xdr:colOff>304800</xdr:colOff>
      <xdr:row>49</xdr:row>
      <xdr:rowOff>129540</xdr:rowOff>
    </xdr:to>
    <xdr:sp macro="" textlink="">
      <xdr:nvSpPr>
        <xdr:cNvPr id="2364" name="AutoShape 96" descr="https://www.soccerstats.com/img/own/sshplogo.png">
          <a:hlinkClick xmlns:r="http://schemas.openxmlformats.org/officeDocument/2006/relationships" r:id="rId48"/>
        </xdr:cNvPr>
        <xdr:cNvSpPr>
          <a:spLocks noChangeAspect="1" noChangeArrowheads="1"/>
        </xdr:cNvSpPr>
      </xdr:nvSpPr>
      <xdr:spPr bwMode="auto">
        <a:xfrm>
          <a:off x="13411200" y="9860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152400</xdr:colOff>
      <xdr:row>49</xdr:row>
      <xdr:rowOff>106680</xdr:rowOff>
    </xdr:to>
    <xdr:sp macro="" textlink="">
      <xdr:nvSpPr>
        <xdr:cNvPr id="2365" name="AutoShape 97" descr="ENGLAND5"/>
        <xdr:cNvSpPr>
          <a:spLocks noChangeAspect="1" noChangeArrowheads="1"/>
        </xdr:cNvSpPr>
      </xdr:nvSpPr>
      <xdr:spPr bwMode="auto">
        <a:xfrm>
          <a:off x="0" y="10035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49</xdr:row>
      <xdr:rowOff>0</xdr:rowOff>
    </xdr:from>
    <xdr:to>
      <xdr:col>22</xdr:col>
      <xdr:colOff>304800</xdr:colOff>
      <xdr:row>50</xdr:row>
      <xdr:rowOff>129540</xdr:rowOff>
    </xdr:to>
    <xdr:sp macro="" textlink="">
      <xdr:nvSpPr>
        <xdr:cNvPr id="2366" name="AutoShape 98" descr="https://www.soccerstats.com/img/own/sshplogo.png">
          <a:hlinkClick xmlns:r="http://schemas.openxmlformats.org/officeDocument/2006/relationships" r:id="rId49"/>
        </xdr:cNvPr>
        <xdr:cNvSpPr>
          <a:spLocks noChangeAspect="1" noChangeArrowheads="1"/>
        </xdr:cNvSpPr>
      </xdr:nvSpPr>
      <xdr:spPr bwMode="auto">
        <a:xfrm>
          <a:off x="13411200" y="10035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152400</xdr:colOff>
      <xdr:row>50</xdr:row>
      <xdr:rowOff>106680</xdr:rowOff>
    </xdr:to>
    <xdr:sp macro="" textlink="">
      <xdr:nvSpPr>
        <xdr:cNvPr id="2367" name="AutoShape 99" descr="ENGLAND5"/>
        <xdr:cNvSpPr>
          <a:spLocks noChangeAspect="1" noChangeArrowheads="1"/>
        </xdr:cNvSpPr>
      </xdr:nvSpPr>
      <xdr:spPr bwMode="auto">
        <a:xfrm>
          <a:off x="0" y="10210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50</xdr:row>
      <xdr:rowOff>0</xdr:rowOff>
    </xdr:from>
    <xdr:to>
      <xdr:col>22</xdr:col>
      <xdr:colOff>304800</xdr:colOff>
      <xdr:row>51</xdr:row>
      <xdr:rowOff>129540</xdr:rowOff>
    </xdr:to>
    <xdr:sp macro="" textlink="">
      <xdr:nvSpPr>
        <xdr:cNvPr id="2368" name="AutoShape 100" descr="https://www.soccerstats.com/img/own/sshplogo.png">
          <a:hlinkClick xmlns:r="http://schemas.openxmlformats.org/officeDocument/2006/relationships" r:id="rId50"/>
        </xdr:cNvPr>
        <xdr:cNvSpPr>
          <a:spLocks noChangeAspect="1" noChangeArrowheads="1"/>
        </xdr:cNvSpPr>
      </xdr:nvSpPr>
      <xdr:spPr bwMode="auto">
        <a:xfrm>
          <a:off x="13411200" y="1021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152400</xdr:colOff>
      <xdr:row>51</xdr:row>
      <xdr:rowOff>106680</xdr:rowOff>
    </xdr:to>
    <xdr:sp macro="" textlink="">
      <xdr:nvSpPr>
        <xdr:cNvPr id="2369" name="AutoShape 101" descr="ENGLAND5"/>
        <xdr:cNvSpPr>
          <a:spLocks noChangeAspect="1" noChangeArrowheads="1"/>
        </xdr:cNvSpPr>
      </xdr:nvSpPr>
      <xdr:spPr bwMode="auto">
        <a:xfrm>
          <a:off x="0" y="10386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51</xdr:row>
      <xdr:rowOff>0</xdr:rowOff>
    </xdr:from>
    <xdr:to>
      <xdr:col>22</xdr:col>
      <xdr:colOff>304800</xdr:colOff>
      <xdr:row>52</xdr:row>
      <xdr:rowOff>53340</xdr:rowOff>
    </xdr:to>
    <xdr:sp macro="" textlink="">
      <xdr:nvSpPr>
        <xdr:cNvPr id="2370" name="AutoShape 102" descr="https://www.soccerstats.com/img/own/sshplogo.png">
          <a:hlinkClick xmlns:r="http://schemas.openxmlformats.org/officeDocument/2006/relationships" r:id="rId51"/>
        </xdr:cNvPr>
        <xdr:cNvSpPr>
          <a:spLocks noChangeAspect="1" noChangeArrowheads="1"/>
        </xdr:cNvSpPr>
      </xdr:nvSpPr>
      <xdr:spPr bwMode="auto">
        <a:xfrm>
          <a:off x="13411200" y="10386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152400</xdr:colOff>
      <xdr:row>52</xdr:row>
      <xdr:rowOff>106680</xdr:rowOff>
    </xdr:to>
    <xdr:sp macro="" textlink="">
      <xdr:nvSpPr>
        <xdr:cNvPr id="2371" name="AutoShape 103" descr="ENGLAND5"/>
        <xdr:cNvSpPr>
          <a:spLocks noChangeAspect="1" noChangeArrowheads="1"/>
        </xdr:cNvSpPr>
      </xdr:nvSpPr>
      <xdr:spPr bwMode="auto">
        <a:xfrm>
          <a:off x="0" y="10561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52</xdr:row>
      <xdr:rowOff>0</xdr:rowOff>
    </xdr:from>
    <xdr:to>
      <xdr:col>22</xdr:col>
      <xdr:colOff>304800</xdr:colOff>
      <xdr:row>53</xdr:row>
      <xdr:rowOff>129540</xdr:rowOff>
    </xdr:to>
    <xdr:sp macro="" textlink="">
      <xdr:nvSpPr>
        <xdr:cNvPr id="2372" name="AutoShape 104" descr="https://www.soccerstats.com/img/own/sshplogo.png">
          <a:hlinkClick xmlns:r="http://schemas.openxmlformats.org/officeDocument/2006/relationships" r:id="rId52"/>
        </xdr:cNvPr>
        <xdr:cNvSpPr>
          <a:spLocks noChangeAspect="1" noChangeArrowheads="1"/>
        </xdr:cNvSpPr>
      </xdr:nvSpPr>
      <xdr:spPr bwMode="auto">
        <a:xfrm>
          <a:off x="13411200" y="10561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152400</xdr:colOff>
      <xdr:row>53</xdr:row>
      <xdr:rowOff>106680</xdr:rowOff>
    </xdr:to>
    <xdr:sp macro="" textlink="">
      <xdr:nvSpPr>
        <xdr:cNvPr id="2373" name="AutoShape 105" descr="ENGLAND5"/>
        <xdr:cNvSpPr>
          <a:spLocks noChangeAspect="1" noChangeArrowheads="1"/>
        </xdr:cNvSpPr>
      </xdr:nvSpPr>
      <xdr:spPr bwMode="auto">
        <a:xfrm>
          <a:off x="0" y="10736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53</xdr:row>
      <xdr:rowOff>0</xdr:rowOff>
    </xdr:from>
    <xdr:to>
      <xdr:col>22</xdr:col>
      <xdr:colOff>304800</xdr:colOff>
      <xdr:row>54</xdr:row>
      <xdr:rowOff>53340</xdr:rowOff>
    </xdr:to>
    <xdr:sp macro="" textlink="">
      <xdr:nvSpPr>
        <xdr:cNvPr id="2374" name="AutoShape 106" descr="https://www.soccerstats.com/img/own/sshplogo.png">
          <a:hlinkClick xmlns:r="http://schemas.openxmlformats.org/officeDocument/2006/relationships" r:id="rId53"/>
        </xdr:cNvPr>
        <xdr:cNvSpPr>
          <a:spLocks noChangeAspect="1" noChangeArrowheads="1"/>
        </xdr:cNvSpPr>
      </xdr:nvSpPr>
      <xdr:spPr bwMode="auto">
        <a:xfrm>
          <a:off x="13411200" y="10736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152400</xdr:colOff>
      <xdr:row>54</xdr:row>
      <xdr:rowOff>106680</xdr:rowOff>
    </xdr:to>
    <xdr:sp macro="" textlink="">
      <xdr:nvSpPr>
        <xdr:cNvPr id="2375" name="AutoShape 107" descr="SPAIN2"/>
        <xdr:cNvSpPr>
          <a:spLocks noChangeAspect="1" noChangeArrowheads="1"/>
        </xdr:cNvSpPr>
      </xdr:nvSpPr>
      <xdr:spPr bwMode="auto">
        <a:xfrm>
          <a:off x="0" y="10911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54</xdr:row>
      <xdr:rowOff>0</xdr:rowOff>
    </xdr:from>
    <xdr:to>
      <xdr:col>22</xdr:col>
      <xdr:colOff>304800</xdr:colOff>
      <xdr:row>55</xdr:row>
      <xdr:rowOff>53340</xdr:rowOff>
    </xdr:to>
    <xdr:sp macro="" textlink="">
      <xdr:nvSpPr>
        <xdr:cNvPr id="2376" name="AutoShape 108" descr="https://www.soccerstats.com/img/own/sshplogo.png">
          <a:hlinkClick xmlns:r="http://schemas.openxmlformats.org/officeDocument/2006/relationships" r:id="rId54"/>
        </xdr:cNvPr>
        <xdr:cNvSpPr>
          <a:spLocks noChangeAspect="1" noChangeArrowheads="1"/>
        </xdr:cNvSpPr>
      </xdr:nvSpPr>
      <xdr:spPr bwMode="auto">
        <a:xfrm>
          <a:off x="13411200" y="10911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152400</xdr:colOff>
      <xdr:row>55</xdr:row>
      <xdr:rowOff>106680</xdr:rowOff>
    </xdr:to>
    <xdr:sp macro="" textlink="">
      <xdr:nvSpPr>
        <xdr:cNvPr id="2377" name="AutoShape 109" descr="SPAIN2"/>
        <xdr:cNvSpPr>
          <a:spLocks noChangeAspect="1" noChangeArrowheads="1"/>
        </xdr:cNvSpPr>
      </xdr:nvSpPr>
      <xdr:spPr bwMode="auto">
        <a:xfrm>
          <a:off x="0" y="11087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55</xdr:row>
      <xdr:rowOff>0</xdr:rowOff>
    </xdr:from>
    <xdr:to>
      <xdr:col>22</xdr:col>
      <xdr:colOff>304800</xdr:colOff>
      <xdr:row>56</xdr:row>
      <xdr:rowOff>129540</xdr:rowOff>
    </xdr:to>
    <xdr:sp macro="" textlink="">
      <xdr:nvSpPr>
        <xdr:cNvPr id="2378" name="AutoShape 110" descr="https://www.soccerstats.com/img/own/sshplogo.png">
          <a:hlinkClick xmlns:r="http://schemas.openxmlformats.org/officeDocument/2006/relationships" r:id="rId55"/>
        </xdr:cNvPr>
        <xdr:cNvSpPr>
          <a:spLocks noChangeAspect="1" noChangeArrowheads="1"/>
        </xdr:cNvSpPr>
      </xdr:nvSpPr>
      <xdr:spPr bwMode="auto">
        <a:xfrm>
          <a:off x="13411200" y="11087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152400</xdr:colOff>
      <xdr:row>56</xdr:row>
      <xdr:rowOff>106680</xdr:rowOff>
    </xdr:to>
    <xdr:sp macro="" textlink="">
      <xdr:nvSpPr>
        <xdr:cNvPr id="2379" name="AutoShape 111" descr="SPAIN2"/>
        <xdr:cNvSpPr>
          <a:spLocks noChangeAspect="1" noChangeArrowheads="1"/>
        </xdr:cNvSpPr>
      </xdr:nvSpPr>
      <xdr:spPr bwMode="auto">
        <a:xfrm>
          <a:off x="0" y="11262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56</xdr:row>
      <xdr:rowOff>0</xdr:rowOff>
    </xdr:from>
    <xdr:to>
      <xdr:col>22</xdr:col>
      <xdr:colOff>304800</xdr:colOff>
      <xdr:row>57</xdr:row>
      <xdr:rowOff>53340</xdr:rowOff>
    </xdr:to>
    <xdr:sp macro="" textlink="">
      <xdr:nvSpPr>
        <xdr:cNvPr id="2380" name="AutoShape 112" descr="https://www.soccerstats.com/img/own/sshplogo.png">
          <a:hlinkClick xmlns:r="http://schemas.openxmlformats.org/officeDocument/2006/relationships" r:id="rId56"/>
        </xdr:cNvPr>
        <xdr:cNvSpPr>
          <a:spLocks noChangeAspect="1" noChangeArrowheads="1"/>
        </xdr:cNvSpPr>
      </xdr:nvSpPr>
      <xdr:spPr bwMode="auto">
        <a:xfrm>
          <a:off x="13411200" y="11262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152400</xdr:colOff>
      <xdr:row>57</xdr:row>
      <xdr:rowOff>106680</xdr:rowOff>
    </xdr:to>
    <xdr:sp macro="" textlink="">
      <xdr:nvSpPr>
        <xdr:cNvPr id="2381" name="AutoShape 113" descr="SPAIN2"/>
        <xdr:cNvSpPr>
          <a:spLocks noChangeAspect="1" noChangeArrowheads="1"/>
        </xdr:cNvSpPr>
      </xdr:nvSpPr>
      <xdr:spPr bwMode="auto">
        <a:xfrm>
          <a:off x="0" y="11437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57</xdr:row>
      <xdr:rowOff>0</xdr:rowOff>
    </xdr:from>
    <xdr:to>
      <xdr:col>22</xdr:col>
      <xdr:colOff>304800</xdr:colOff>
      <xdr:row>58</xdr:row>
      <xdr:rowOff>53340</xdr:rowOff>
    </xdr:to>
    <xdr:sp macro="" textlink="">
      <xdr:nvSpPr>
        <xdr:cNvPr id="2382" name="AutoShape 114" descr="https://www.soccerstats.com/img/own/sshplogo.png">
          <a:hlinkClick xmlns:r="http://schemas.openxmlformats.org/officeDocument/2006/relationships" r:id="rId57"/>
        </xdr:cNvPr>
        <xdr:cNvSpPr>
          <a:spLocks noChangeAspect="1" noChangeArrowheads="1"/>
        </xdr:cNvSpPr>
      </xdr:nvSpPr>
      <xdr:spPr bwMode="auto">
        <a:xfrm>
          <a:off x="13411200" y="11437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152400</xdr:colOff>
      <xdr:row>58</xdr:row>
      <xdr:rowOff>106680</xdr:rowOff>
    </xdr:to>
    <xdr:sp macro="" textlink="">
      <xdr:nvSpPr>
        <xdr:cNvPr id="2383" name="AutoShape 115" descr="GERMANY2"/>
        <xdr:cNvSpPr>
          <a:spLocks noChangeAspect="1" noChangeArrowheads="1"/>
        </xdr:cNvSpPr>
      </xdr:nvSpPr>
      <xdr:spPr bwMode="auto">
        <a:xfrm>
          <a:off x="0" y="11612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58</xdr:row>
      <xdr:rowOff>0</xdr:rowOff>
    </xdr:from>
    <xdr:to>
      <xdr:col>22</xdr:col>
      <xdr:colOff>304800</xdr:colOff>
      <xdr:row>59</xdr:row>
      <xdr:rowOff>53340</xdr:rowOff>
    </xdr:to>
    <xdr:sp macro="" textlink="">
      <xdr:nvSpPr>
        <xdr:cNvPr id="2384" name="AutoShape 116" descr="https://www.soccerstats.com/img/own/sshplogo.png">
          <a:hlinkClick xmlns:r="http://schemas.openxmlformats.org/officeDocument/2006/relationships" r:id="rId58"/>
        </xdr:cNvPr>
        <xdr:cNvSpPr>
          <a:spLocks noChangeAspect="1" noChangeArrowheads="1"/>
        </xdr:cNvSpPr>
      </xdr:nvSpPr>
      <xdr:spPr bwMode="auto">
        <a:xfrm>
          <a:off x="13411200" y="11612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152400</xdr:colOff>
      <xdr:row>59</xdr:row>
      <xdr:rowOff>106680</xdr:rowOff>
    </xdr:to>
    <xdr:sp macro="" textlink="">
      <xdr:nvSpPr>
        <xdr:cNvPr id="2385" name="AutoShape 117" descr="GERMANY2"/>
        <xdr:cNvSpPr>
          <a:spLocks noChangeAspect="1" noChangeArrowheads="1"/>
        </xdr:cNvSpPr>
      </xdr:nvSpPr>
      <xdr:spPr bwMode="auto">
        <a:xfrm>
          <a:off x="0" y="11864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59</xdr:row>
      <xdr:rowOff>0</xdr:rowOff>
    </xdr:from>
    <xdr:to>
      <xdr:col>22</xdr:col>
      <xdr:colOff>304800</xdr:colOff>
      <xdr:row>60</xdr:row>
      <xdr:rowOff>53340</xdr:rowOff>
    </xdr:to>
    <xdr:sp macro="" textlink="">
      <xdr:nvSpPr>
        <xdr:cNvPr id="2386" name="AutoShape 118" descr="https://www.soccerstats.com/img/own/sshplogo.png">
          <a:hlinkClick xmlns:r="http://schemas.openxmlformats.org/officeDocument/2006/relationships" r:id="rId59"/>
        </xdr:cNvPr>
        <xdr:cNvSpPr>
          <a:spLocks noChangeAspect="1" noChangeArrowheads="1"/>
        </xdr:cNvSpPr>
      </xdr:nvSpPr>
      <xdr:spPr bwMode="auto">
        <a:xfrm>
          <a:off x="13411200" y="11864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152400</xdr:colOff>
      <xdr:row>60</xdr:row>
      <xdr:rowOff>106680</xdr:rowOff>
    </xdr:to>
    <xdr:sp macro="" textlink="">
      <xdr:nvSpPr>
        <xdr:cNvPr id="2387" name="AutoShape 119" descr="GERMANY2"/>
        <xdr:cNvSpPr>
          <a:spLocks noChangeAspect="1" noChangeArrowheads="1"/>
        </xdr:cNvSpPr>
      </xdr:nvSpPr>
      <xdr:spPr bwMode="auto">
        <a:xfrm>
          <a:off x="0" y="12039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60</xdr:row>
      <xdr:rowOff>0</xdr:rowOff>
    </xdr:from>
    <xdr:to>
      <xdr:col>22</xdr:col>
      <xdr:colOff>304800</xdr:colOff>
      <xdr:row>60</xdr:row>
      <xdr:rowOff>304800</xdr:rowOff>
    </xdr:to>
    <xdr:sp macro="" textlink="">
      <xdr:nvSpPr>
        <xdr:cNvPr id="2388" name="AutoShape 120" descr="https://www.soccerstats.com/img/own/sshplogo.png">
          <a:hlinkClick xmlns:r="http://schemas.openxmlformats.org/officeDocument/2006/relationships" r:id="rId60"/>
        </xdr:cNvPr>
        <xdr:cNvSpPr>
          <a:spLocks noChangeAspect="1" noChangeArrowheads="1"/>
        </xdr:cNvSpPr>
      </xdr:nvSpPr>
      <xdr:spPr bwMode="auto">
        <a:xfrm>
          <a:off x="13411200" y="12039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152400</xdr:colOff>
      <xdr:row>61</xdr:row>
      <xdr:rowOff>106680</xdr:rowOff>
    </xdr:to>
    <xdr:sp macro="" textlink="">
      <xdr:nvSpPr>
        <xdr:cNvPr id="2389" name="AutoShape 121" descr="GERMANY2"/>
        <xdr:cNvSpPr>
          <a:spLocks noChangeAspect="1" noChangeArrowheads="1"/>
        </xdr:cNvSpPr>
      </xdr:nvSpPr>
      <xdr:spPr bwMode="auto">
        <a:xfrm>
          <a:off x="0" y="12214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61</xdr:row>
      <xdr:rowOff>0</xdr:rowOff>
    </xdr:from>
    <xdr:to>
      <xdr:col>22</xdr:col>
      <xdr:colOff>304800</xdr:colOff>
      <xdr:row>62</xdr:row>
      <xdr:rowOff>53340</xdr:rowOff>
    </xdr:to>
    <xdr:sp macro="" textlink="">
      <xdr:nvSpPr>
        <xdr:cNvPr id="2390" name="AutoShape 122" descr="https://www.soccerstats.com/img/own/sshplogo.png">
          <a:hlinkClick xmlns:r="http://schemas.openxmlformats.org/officeDocument/2006/relationships" r:id="rId61"/>
        </xdr:cNvPr>
        <xdr:cNvSpPr>
          <a:spLocks noChangeAspect="1" noChangeArrowheads="1"/>
        </xdr:cNvSpPr>
      </xdr:nvSpPr>
      <xdr:spPr bwMode="auto">
        <a:xfrm>
          <a:off x="13411200" y="12214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152400</xdr:colOff>
      <xdr:row>62</xdr:row>
      <xdr:rowOff>106680</xdr:rowOff>
    </xdr:to>
    <xdr:sp macro="" textlink="">
      <xdr:nvSpPr>
        <xdr:cNvPr id="2391" name="AutoShape 123" descr="NETHERLANDS2"/>
        <xdr:cNvSpPr>
          <a:spLocks noChangeAspect="1" noChangeArrowheads="1"/>
        </xdr:cNvSpPr>
      </xdr:nvSpPr>
      <xdr:spPr bwMode="auto">
        <a:xfrm>
          <a:off x="0" y="12390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62</xdr:row>
      <xdr:rowOff>0</xdr:rowOff>
    </xdr:from>
    <xdr:to>
      <xdr:col>22</xdr:col>
      <xdr:colOff>304800</xdr:colOff>
      <xdr:row>63</xdr:row>
      <xdr:rowOff>53340</xdr:rowOff>
    </xdr:to>
    <xdr:sp macro="" textlink="">
      <xdr:nvSpPr>
        <xdr:cNvPr id="2392" name="AutoShape 124" descr="https://www.soccerstats.com/img/own/sshplogo.png">
          <a:hlinkClick xmlns:r="http://schemas.openxmlformats.org/officeDocument/2006/relationships" r:id="rId62"/>
        </xdr:cNvPr>
        <xdr:cNvSpPr>
          <a:spLocks noChangeAspect="1" noChangeArrowheads="1"/>
        </xdr:cNvSpPr>
      </xdr:nvSpPr>
      <xdr:spPr bwMode="auto">
        <a:xfrm>
          <a:off x="13411200" y="12390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152400</xdr:colOff>
      <xdr:row>63</xdr:row>
      <xdr:rowOff>106680</xdr:rowOff>
    </xdr:to>
    <xdr:sp macro="" textlink="">
      <xdr:nvSpPr>
        <xdr:cNvPr id="2393" name="AutoShape 125" descr="ARGENTINA2"/>
        <xdr:cNvSpPr>
          <a:spLocks noChangeAspect="1" noChangeArrowheads="1"/>
        </xdr:cNvSpPr>
      </xdr:nvSpPr>
      <xdr:spPr bwMode="auto">
        <a:xfrm>
          <a:off x="0" y="12565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63</xdr:row>
      <xdr:rowOff>0</xdr:rowOff>
    </xdr:from>
    <xdr:to>
      <xdr:col>22</xdr:col>
      <xdr:colOff>304800</xdr:colOff>
      <xdr:row>64</xdr:row>
      <xdr:rowOff>53340</xdr:rowOff>
    </xdr:to>
    <xdr:sp macro="" textlink="">
      <xdr:nvSpPr>
        <xdr:cNvPr id="2394" name="AutoShape 126" descr="https://www.soccerstats.com/img/own/sshplogo.png">
          <a:hlinkClick xmlns:r="http://schemas.openxmlformats.org/officeDocument/2006/relationships" r:id="rId63"/>
        </xdr:cNvPr>
        <xdr:cNvSpPr>
          <a:spLocks noChangeAspect="1" noChangeArrowheads="1"/>
        </xdr:cNvSpPr>
      </xdr:nvSpPr>
      <xdr:spPr bwMode="auto">
        <a:xfrm>
          <a:off x="13411200" y="12565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152400</xdr:colOff>
      <xdr:row>64</xdr:row>
      <xdr:rowOff>106680</xdr:rowOff>
    </xdr:to>
    <xdr:sp macro="" textlink="">
      <xdr:nvSpPr>
        <xdr:cNvPr id="2395" name="AutoShape 127" descr="ARGENTINA2"/>
        <xdr:cNvSpPr>
          <a:spLocks noChangeAspect="1" noChangeArrowheads="1"/>
        </xdr:cNvSpPr>
      </xdr:nvSpPr>
      <xdr:spPr bwMode="auto">
        <a:xfrm>
          <a:off x="0" y="12740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64</xdr:row>
      <xdr:rowOff>0</xdr:rowOff>
    </xdr:from>
    <xdr:to>
      <xdr:col>22</xdr:col>
      <xdr:colOff>304800</xdr:colOff>
      <xdr:row>65</xdr:row>
      <xdr:rowOff>129540</xdr:rowOff>
    </xdr:to>
    <xdr:sp macro="" textlink="">
      <xdr:nvSpPr>
        <xdr:cNvPr id="2396" name="AutoShape 128" descr="https://www.soccerstats.com/img/own/sshplogo.png">
          <a:hlinkClick xmlns:r="http://schemas.openxmlformats.org/officeDocument/2006/relationships" r:id="rId64"/>
        </xdr:cNvPr>
        <xdr:cNvSpPr>
          <a:spLocks noChangeAspect="1" noChangeArrowheads="1"/>
        </xdr:cNvSpPr>
      </xdr:nvSpPr>
      <xdr:spPr bwMode="auto">
        <a:xfrm>
          <a:off x="13411200" y="12740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152400</xdr:colOff>
      <xdr:row>65</xdr:row>
      <xdr:rowOff>106680</xdr:rowOff>
    </xdr:to>
    <xdr:sp macro="" textlink="">
      <xdr:nvSpPr>
        <xdr:cNvPr id="2397" name="AutoShape 129" descr="ARGENTINA2"/>
        <xdr:cNvSpPr>
          <a:spLocks noChangeAspect="1" noChangeArrowheads="1"/>
        </xdr:cNvSpPr>
      </xdr:nvSpPr>
      <xdr:spPr bwMode="auto">
        <a:xfrm>
          <a:off x="0" y="12992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65</xdr:row>
      <xdr:rowOff>0</xdr:rowOff>
    </xdr:from>
    <xdr:to>
      <xdr:col>22</xdr:col>
      <xdr:colOff>304800</xdr:colOff>
      <xdr:row>66</xdr:row>
      <xdr:rowOff>129540</xdr:rowOff>
    </xdr:to>
    <xdr:sp macro="" textlink="">
      <xdr:nvSpPr>
        <xdr:cNvPr id="2398" name="AutoShape 130" descr="https://www.soccerstats.com/img/own/sshplogo.png">
          <a:hlinkClick xmlns:r="http://schemas.openxmlformats.org/officeDocument/2006/relationships" r:id="rId65"/>
        </xdr:cNvPr>
        <xdr:cNvSpPr>
          <a:spLocks noChangeAspect="1" noChangeArrowheads="1"/>
        </xdr:cNvSpPr>
      </xdr:nvSpPr>
      <xdr:spPr bwMode="auto">
        <a:xfrm>
          <a:off x="13411200" y="12992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152400</xdr:colOff>
      <xdr:row>66</xdr:row>
      <xdr:rowOff>106680</xdr:rowOff>
    </xdr:to>
    <xdr:sp macro="" textlink="">
      <xdr:nvSpPr>
        <xdr:cNvPr id="2399" name="AutoShape 131" descr="ARGENTINA2"/>
        <xdr:cNvSpPr>
          <a:spLocks noChangeAspect="1" noChangeArrowheads="1"/>
        </xdr:cNvSpPr>
      </xdr:nvSpPr>
      <xdr:spPr bwMode="auto">
        <a:xfrm>
          <a:off x="0" y="13167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66</xdr:row>
      <xdr:rowOff>0</xdr:rowOff>
    </xdr:from>
    <xdr:to>
      <xdr:col>22</xdr:col>
      <xdr:colOff>304800</xdr:colOff>
      <xdr:row>67</xdr:row>
      <xdr:rowOff>129540</xdr:rowOff>
    </xdr:to>
    <xdr:sp macro="" textlink="">
      <xdr:nvSpPr>
        <xdr:cNvPr id="2400" name="AutoShape 132" descr="https://www.soccerstats.com/img/own/sshplogo.png">
          <a:hlinkClick xmlns:r="http://schemas.openxmlformats.org/officeDocument/2006/relationships" r:id="rId66"/>
        </xdr:cNvPr>
        <xdr:cNvSpPr>
          <a:spLocks noChangeAspect="1" noChangeArrowheads="1"/>
        </xdr:cNvSpPr>
      </xdr:nvSpPr>
      <xdr:spPr bwMode="auto">
        <a:xfrm>
          <a:off x="13411200" y="13167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152400</xdr:colOff>
      <xdr:row>67</xdr:row>
      <xdr:rowOff>106680</xdr:rowOff>
    </xdr:to>
    <xdr:sp macro="" textlink="">
      <xdr:nvSpPr>
        <xdr:cNvPr id="2401" name="AutoShape 133" descr="ARGENTINA2"/>
        <xdr:cNvSpPr>
          <a:spLocks noChangeAspect="1" noChangeArrowheads="1"/>
        </xdr:cNvSpPr>
      </xdr:nvSpPr>
      <xdr:spPr bwMode="auto">
        <a:xfrm>
          <a:off x="0" y="13342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67</xdr:row>
      <xdr:rowOff>0</xdr:rowOff>
    </xdr:from>
    <xdr:to>
      <xdr:col>22</xdr:col>
      <xdr:colOff>304800</xdr:colOff>
      <xdr:row>68</xdr:row>
      <xdr:rowOff>129540</xdr:rowOff>
    </xdr:to>
    <xdr:sp macro="" textlink="">
      <xdr:nvSpPr>
        <xdr:cNvPr id="2402" name="AutoShape 134" descr="https://www.soccerstats.com/img/own/sshplogo.png">
          <a:hlinkClick xmlns:r="http://schemas.openxmlformats.org/officeDocument/2006/relationships" r:id="rId67"/>
        </xdr:cNvPr>
        <xdr:cNvSpPr>
          <a:spLocks noChangeAspect="1" noChangeArrowheads="1"/>
        </xdr:cNvSpPr>
      </xdr:nvSpPr>
      <xdr:spPr bwMode="auto">
        <a:xfrm>
          <a:off x="13411200" y="13342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152400</xdr:colOff>
      <xdr:row>68</xdr:row>
      <xdr:rowOff>106680</xdr:rowOff>
    </xdr:to>
    <xdr:sp macro="" textlink="">
      <xdr:nvSpPr>
        <xdr:cNvPr id="2403" name="AutoShape 135" descr="ARGENTINA3"/>
        <xdr:cNvSpPr>
          <a:spLocks noChangeAspect="1" noChangeArrowheads="1"/>
        </xdr:cNvSpPr>
      </xdr:nvSpPr>
      <xdr:spPr bwMode="auto">
        <a:xfrm>
          <a:off x="0" y="13517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68</xdr:row>
      <xdr:rowOff>0</xdr:rowOff>
    </xdr:from>
    <xdr:to>
      <xdr:col>22</xdr:col>
      <xdr:colOff>304800</xdr:colOff>
      <xdr:row>69</xdr:row>
      <xdr:rowOff>129540</xdr:rowOff>
    </xdr:to>
    <xdr:sp macro="" textlink="">
      <xdr:nvSpPr>
        <xdr:cNvPr id="2404" name="AutoShape 136" descr="https://www.soccerstats.com/img/own/sshplogo.png">
          <a:hlinkClick xmlns:r="http://schemas.openxmlformats.org/officeDocument/2006/relationships" r:id="rId68"/>
        </xdr:cNvPr>
        <xdr:cNvSpPr>
          <a:spLocks noChangeAspect="1" noChangeArrowheads="1"/>
        </xdr:cNvSpPr>
      </xdr:nvSpPr>
      <xdr:spPr bwMode="auto">
        <a:xfrm>
          <a:off x="13411200" y="13517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152400</xdr:colOff>
      <xdr:row>69</xdr:row>
      <xdr:rowOff>106680</xdr:rowOff>
    </xdr:to>
    <xdr:sp macro="" textlink="">
      <xdr:nvSpPr>
        <xdr:cNvPr id="2405" name="AutoShape 137" descr="ARGENTINA3"/>
        <xdr:cNvSpPr>
          <a:spLocks noChangeAspect="1" noChangeArrowheads="1"/>
        </xdr:cNvSpPr>
      </xdr:nvSpPr>
      <xdr:spPr bwMode="auto">
        <a:xfrm>
          <a:off x="0" y="13769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69</xdr:row>
      <xdr:rowOff>0</xdr:rowOff>
    </xdr:from>
    <xdr:to>
      <xdr:col>22</xdr:col>
      <xdr:colOff>304800</xdr:colOff>
      <xdr:row>70</xdr:row>
      <xdr:rowOff>129540</xdr:rowOff>
    </xdr:to>
    <xdr:sp macro="" textlink="">
      <xdr:nvSpPr>
        <xdr:cNvPr id="2406" name="AutoShape 138" descr="https://www.soccerstats.com/img/own/sshplogo.png">
          <a:hlinkClick xmlns:r="http://schemas.openxmlformats.org/officeDocument/2006/relationships" r:id="rId69"/>
        </xdr:cNvPr>
        <xdr:cNvSpPr>
          <a:spLocks noChangeAspect="1" noChangeArrowheads="1"/>
        </xdr:cNvSpPr>
      </xdr:nvSpPr>
      <xdr:spPr bwMode="auto">
        <a:xfrm>
          <a:off x="13411200" y="13769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152400</xdr:colOff>
      <xdr:row>70</xdr:row>
      <xdr:rowOff>106680</xdr:rowOff>
    </xdr:to>
    <xdr:sp macro="" textlink="">
      <xdr:nvSpPr>
        <xdr:cNvPr id="2407" name="AutoShape 139" descr="ARGENTINA3"/>
        <xdr:cNvSpPr>
          <a:spLocks noChangeAspect="1" noChangeArrowheads="1"/>
        </xdr:cNvSpPr>
      </xdr:nvSpPr>
      <xdr:spPr bwMode="auto">
        <a:xfrm>
          <a:off x="0" y="14020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70</xdr:row>
      <xdr:rowOff>0</xdr:rowOff>
    </xdr:from>
    <xdr:to>
      <xdr:col>22</xdr:col>
      <xdr:colOff>304800</xdr:colOff>
      <xdr:row>71</xdr:row>
      <xdr:rowOff>129540</xdr:rowOff>
    </xdr:to>
    <xdr:sp macro="" textlink="">
      <xdr:nvSpPr>
        <xdr:cNvPr id="2408" name="AutoShape 140" descr="https://www.soccerstats.com/img/own/sshplogo.png">
          <a:hlinkClick xmlns:r="http://schemas.openxmlformats.org/officeDocument/2006/relationships" r:id="rId70"/>
        </xdr:cNvPr>
        <xdr:cNvSpPr>
          <a:spLocks noChangeAspect="1" noChangeArrowheads="1"/>
        </xdr:cNvSpPr>
      </xdr:nvSpPr>
      <xdr:spPr bwMode="auto">
        <a:xfrm>
          <a:off x="13411200" y="1402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152400</xdr:colOff>
      <xdr:row>71</xdr:row>
      <xdr:rowOff>106680</xdr:rowOff>
    </xdr:to>
    <xdr:sp macro="" textlink="">
      <xdr:nvSpPr>
        <xdr:cNvPr id="2409" name="AutoShape 141" descr="ARGENTINA3"/>
        <xdr:cNvSpPr>
          <a:spLocks noChangeAspect="1" noChangeArrowheads="1"/>
        </xdr:cNvSpPr>
      </xdr:nvSpPr>
      <xdr:spPr bwMode="auto">
        <a:xfrm>
          <a:off x="0" y="14272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71</xdr:row>
      <xdr:rowOff>0</xdr:rowOff>
    </xdr:from>
    <xdr:to>
      <xdr:col>22</xdr:col>
      <xdr:colOff>304800</xdr:colOff>
      <xdr:row>72</xdr:row>
      <xdr:rowOff>53340</xdr:rowOff>
    </xdr:to>
    <xdr:sp macro="" textlink="">
      <xdr:nvSpPr>
        <xdr:cNvPr id="2410" name="AutoShape 142" descr="https://www.soccerstats.com/img/own/sshplogo.png">
          <a:hlinkClick xmlns:r="http://schemas.openxmlformats.org/officeDocument/2006/relationships" r:id="rId71"/>
        </xdr:cNvPr>
        <xdr:cNvSpPr>
          <a:spLocks noChangeAspect="1" noChangeArrowheads="1"/>
        </xdr:cNvSpPr>
      </xdr:nvSpPr>
      <xdr:spPr bwMode="auto">
        <a:xfrm>
          <a:off x="13411200" y="14272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152400</xdr:colOff>
      <xdr:row>72</xdr:row>
      <xdr:rowOff>106680</xdr:rowOff>
    </xdr:to>
    <xdr:sp macro="" textlink="">
      <xdr:nvSpPr>
        <xdr:cNvPr id="2411" name="AutoShape 143" descr="ARGENTINA3"/>
        <xdr:cNvSpPr>
          <a:spLocks noChangeAspect="1" noChangeArrowheads="1"/>
        </xdr:cNvSpPr>
      </xdr:nvSpPr>
      <xdr:spPr bwMode="auto">
        <a:xfrm>
          <a:off x="0" y="14447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72</xdr:row>
      <xdr:rowOff>0</xdr:rowOff>
    </xdr:from>
    <xdr:to>
      <xdr:col>22</xdr:col>
      <xdr:colOff>304800</xdr:colOff>
      <xdr:row>73</xdr:row>
      <xdr:rowOff>53340</xdr:rowOff>
    </xdr:to>
    <xdr:sp macro="" textlink="">
      <xdr:nvSpPr>
        <xdr:cNvPr id="2412" name="AutoShape 144" descr="https://www.soccerstats.com/img/own/sshplogo.png">
          <a:hlinkClick xmlns:r="http://schemas.openxmlformats.org/officeDocument/2006/relationships" r:id="rId72"/>
        </xdr:cNvPr>
        <xdr:cNvSpPr>
          <a:spLocks noChangeAspect="1" noChangeArrowheads="1"/>
        </xdr:cNvSpPr>
      </xdr:nvSpPr>
      <xdr:spPr bwMode="auto">
        <a:xfrm>
          <a:off x="13411200" y="14447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152400</xdr:colOff>
      <xdr:row>73</xdr:row>
      <xdr:rowOff>106680</xdr:rowOff>
    </xdr:to>
    <xdr:sp macro="" textlink="">
      <xdr:nvSpPr>
        <xdr:cNvPr id="2413" name="AutoShape 145" descr="ARGENTINA3"/>
        <xdr:cNvSpPr>
          <a:spLocks noChangeAspect="1" noChangeArrowheads="1"/>
        </xdr:cNvSpPr>
      </xdr:nvSpPr>
      <xdr:spPr bwMode="auto">
        <a:xfrm>
          <a:off x="0" y="14622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73</xdr:row>
      <xdr:rowOff>0</xdr:rowOff>
    </xdr:from>
    <xdr:to>
      <xdr:col>22</xdr:col>
      <xdr:colOff>304800</xdr:colOff>
      <xdr:row>74</xdr:row>
      <xdr:rowOff>129540</xdr:rowOff>
    </xdr:to>
    <xdr:sp macro="" textlink="">
      <xdr:nvSpPr>
        <xdr:cNvPr id="2414" name="AutoShape 146" descr="https://www.soccerstats.com/img/own/sshplogo.png">
          <a:hlinkClick xmlns:r="http://schemas.openxmlformats.org/officeDocument/2006/relationships" r:id="rId73"/>
        </xdr:cNvPr>
        <xdr:cNvSpPr>
          <a:spLocks noChangeAspect="1" noChangeArrowheads="1"/>
        </xdr:cNvSpPr>
      </xdr:nvSpPr>
      <xdr:spPr bwMode="auto">
        <a:xfrm>
          <a:off x="13411200" y="14622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152400</xdr:colOff>
      <xdr:row>74</xdr:row>
      <xdr:rowOff>106680</xdr:rowOff>
    </xdr:to>
    <xdr:sp macro="" textlink="">
      <xdr:nvSpPr>
        <xdr:cNvPr id="2415" name="AutoShape 147" descr="ARGENTINA3"/>
        <xdr:cNvSpPr>
          <a:spLocks noChangeAspect="1" noChangeArrowheads="1"/>
        </xdr:cNvSpPr>
      </xdr:nvSpPr>
      <xdr:spPr bwMode="auto">
        <a:xfrm>
          <a:off x="0" y="14798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74</xdr:row>
      <xdr:rowOff>0</xdr:rowOff>
    </xdr:from>
    <xdr:to>
      <xdr:col>22</xdr:col>
      <xdr:colOff>304800</xdr:colOff>
      <xdr:row>75</xdr:row>
      <xdr:rowOff>129540</xdr:rowOff>
    </xdr:to>
    <xdr:sp macro="" textlink="">
      <xdr:nvSpPr>
        <xdr:cNvPr id="2416" name="AutoShape 148" descr="https://www.soccerstats.com/img/own/sshplogo.png">
          <a:hlinkClick xmlns:r="http://schemas.openxmlformats.org/officeDocument/2006/relationships" r:id="rId74"/>
        </xdr:cNvPr>
        <xdr:cNvSpPr>
          <a:spLocks noChangeAspect="1" noChangeArrowheads="1"/>
        </xdr:cNvSpPr>
      </xdr:nvSpPr>
      <xdr:spPr bwMode="auto">
        <a:xfrm>
          <a:off x="13411200" y="14798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152400</xdr:colOff>
      <xdr:row>75</xdr:row>
      <xdr:rowOff>106680</xdr:rowOff>
    </xdr:to>
    <xdr:sp macro="" textlink="">
      <xdr:nvSpPr>
        <xdr:cNvPr id="2417" name="AutoShape 149" descr="ARGENTINA3"/>
        <xdr:cNvSpPr>
          <a:spLocks noChangeAspect="1" noChangeArrowheads="1"/>
        </xdr:cNvSpPr>
      </xdr:nvSpPr>
      <xdr:spPr bwMode="auto">
        <a:xfrm>
          <a:off x="0" y="15049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75</xdr:row>
      <xdr:rowOff>0</xdr:rowOff>
    </xdr:from>
    <xdr:to>
      <xdr:col>22</xdr:col>
      <xdr:colOff>304800</xdr:colOff>
      <xdr:row>76</xdr:row>
      <xdr:rowOff>129540</xdr:rowOff>
    </xdr:to>
    <xdr:sp macro="" textlink="">
      <xdr:nvSpPr>
        <xdr:cNvPr id="2418" name="AutoShape 150" descr="https://www.soccerstats.com/img/own/sshplogo.png">
          <a:hlinkClick xmlns:r="http://schemas.openxmlformats.org/officeDocument/2006/relationships" r:id="rId75"/>
        </xdr:cNvPr>
        <xdr:cNvSpPr>
          <a:spLocks noChangeAspect="1" noChangeArrowheads="1"/>
        </xdr:cNvSpPr>
      </xdr:nvSpPr>
      <xdr:spPr bwMode="auto">
        <a:xfrm>
          <a:off x="13411200" y="1504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152400</xdr:colOff>
      <xdr:row>76</xdr:row>
      <xdr:rowOff>106680</xdr:rowOff>
    </xdr:to>
    <xdr:sp macro="" textlink="">
      <xdr:nvSpPr>
        <xdr:cNvPr id="2419" name="AutoShape 151" descr="ARMENIA"/>
        <xdr:cNvSpPr>
          <a:spLocks noChangeAspect="1" noChangeArrowheads="1"/>
        </xdr:cNvSpPr>
      </xdr:nvSpPr>
      <xdr:spPr bwMode="auto">
        <a:xfrm>
          <a:off x="0" y="15224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76</xdr:row>
      <xdr:rowOff>0</xdr:rowOff>
    </xdr:from>
    <xdr:to>
      <xdr:col>22</xdr:col>
      <xdr:colOff>304800</xdr:colOff>
      <xdr:row>77</xdr:row>
      <xdr:rowOff>129540</xdr:rowOff>
    </xdr:to>
    <xdr:sp macro="" textlink="">
      <xdr:nvSpPr>
        <xdr:cNvPr id="2420" name="AutoShape 152" descr="https://www.soccerstats.com/img/own/sshplogo.png">
          <a:hlinkClick xmlns:r="http://schemas.openxmlformats.org/officeDocument/2006/relationships" r:id="rId76"/>
        </xdr:cNvPr>
        <xdr:cNvSpPr>
          <a:spLocks noChangeAspect="1" noChangeArrowheads="1"/>
        </xdr:cNvSpPr>
      </xdr:nvSpPr>
      <xdr:spPr bwMode="auto">
        <a:xfrm>
          <a:off x="13411200" y="15224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152400</xdr:colOff>
      <xdr:row>77</xdr:row>
      <xdr:rowOff>106680</xdr:rowOff>
    </xdr:to>
    <xdr:sp macro="" textlink="">
      <xdr:nvSpPr>
        <xdr:cNvPr id="2421" name="AutoShape 153" descr="ARMENIA"/>
        <xdr:cNvSpPr>
          <a:spLocks noChangeAspect="1" noChangeArrowheads="1"/>
        </xdr:cNvSpPr>
      </xdr:nvSpPr>
      <xdr:spPr bwMode="auto">
        <a:xfrm>
          <a:off x="0" y="15476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77</xdr:row>
      <xdr:rowOff>0</xdr:rowOff>
    </xdr:from>
    <xdr:to>
      <xdr:col>22</xdr:col>
      <xdr:colOff>304800</xdr:colOff>
      <xdr:row>78</xdr:row>
      <xdr:rowOff>129540</xdr:rowOff>
    </xdr:to>
    <xdr:sp macro="" textlink="">
      <xdr:nvSpPr>
        <xdr:cNvPr id="2422" name="AutoShape 154" descr="https://www.soccerstats.com/img/own/sshplogo.png">
          <a:hlinkClick xmlns:r="http://schemas.openxmlformats.org/officeDocument/2006/relationships" r:id="rId77"/>
        </xdr:cNvPr>
        <xdr:cNvSpPr>
          <a:spLocks noChangeAspect="1" noChangeArrowheads="1"/>
        </xdr:cNvSpPr>
      </xdr:nvSpPr>
      <xdr:spPr bwMode="auto">
        <a:xfrm>
          <a:off x="13411200" y="15476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152400</xdr:colOff>
      <xdr:row>78</xdr:row>
      <xdr:rowOff>106680</xdr:rowOff>
    </xdr:to>
    <xdr:sp macro="" textlink="">
      <xdr:nvSpPr>
        <xdr:cNvPr id="2423" name="AutoShape 155" descr="AUSTRALIA3"/>
        <xdr:cNvSpPr>
          <a:spLocks noChangeAspect="1" noChangeArrowheads="1"/>
        </xdr:cNvSpPr>
      </xdr:nvSpPr>
      <xdr:spPr bwMode="auto">
        <a:xfrm>
          <a:off x="0" y="15727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78</xdr:row>
      <xdr:rowOff>0</xdr:rowOff>
    </xdr:from>
    <xdr:to>
      <xdr:col>22</xdr:col>
      <xdr:colOff>304800</xdr:colOff>
      <xdr:row>79</xdr:row>
      <xdr:rowOff>129540</xdr:rowOff>
    </xdr:to>
    <xdr:sp macro="" textlink="">
      <xdr:nvSpPr>
        <xdr:cNvPr id="2424" name="AutoShape 156" descr="https://www.soccerstats.com/img/own/sshplogo.png">
          <a:hlinkClick xmlns:r="http://schemas.openxmlformats.org/officeDocument/2006/relationships" r:id="rId78"/>
        </xdr:cNvPr>
        <xdr:cNvSpPr>
          <a:spLocks noChangeAspect="1" noChangeArrowheads="1"/>
        </xdr:cNvSpPr>
      </xdr:nvSpPr>
      <xdr:spPr bwMode="auto">
        <a:xfrm>
          <a:off x="13411200" y="15727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152400</xdr:colOff>
      <xdr:row>79</xdr:row>
      <xdr:rowOff>106680</xdr:rowOff>
    </xdr:to>
    <xdr:sp macro="" textlink="">
      <xdr:nvSpPr>
        <xdr:cNvPr id="2425" name="AutoShape 157" descr="AUSTRALIA3"/>
        <xdr:cNvSpPr>
          <a:spLocks noChangeAspect="1" noChangeArrowheads="1"/>
        </xdr:cNvSpPr>
      </xdr:nvSpPr>
      <xdr:spPr bwMode="auto">
        <a:xfrm>
          <a:off x="0" y="15979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79</xdr:row>
      <xdr:rowOff>0</xdr:rowOff>
    </xdr:from>
    <xdr:to>
      <xdr:col>22</xdr:col>
      <xdr:colOff>304800</xdr:colOff>
      <xdr:row>80</xdr:row>
      <xdr:rowOff>53340</xdr:rowOff>
    </xdr:to>
    <xdr:sp macro="" textlink="">
      <xdr:nvSpPr>
        <xdr:cNvPr id="2426" name="AutoShape 158" descr="https://www.soccerstats.com/img/own/sshplogo.png">
          <a:hlinkClick xmlns:r="http://schemas.openxmlformats.org/officeDocument/2006/relationships" r:id="rId79"/>
        </xdr:cNvPr>
        <xdr:cNvSpPr>
          <a:spLocks noChangeAspect="1" noChangeArrowheads="1"/>
        </xdr:cNvSpPr>
      </xdr:nvSpPr>
      <xdr:spPr bwMode="auto">
        <a:xfrm>
          <a:off x="13411200" y="15979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152400</xdr:colOff>
      <xdr:row>80</xdr:row>
      <xdr:rowOff>106680</xdr:rowOff>
    </xdr:to>
    <xdr:sp macro="" textlink="">
      <xdr:nvSpPr>
        <xdr:cNvPr id="2427" name="AutoShape 159" descr="AUSTRALIA3"/>
        <xdr:cNvSpPr>
          <a:spLocks noChangeAspect="1" noChangeArrowheads="1"/>
        </xdr:cNvSpPr>
      </xdr:nvSpPr>
      <xdr:spPr bwMode="auto">
        <a:xfrm>
          <a:off x="0" y="16230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80</xdr:row>
      <xdr:rowOff>0</xdr:rowOff>
    </xdr:from>
    <xdr:to>
      <xdr:col>22</xdr:col>
      <xdr:colOff>304800</xdr:colOff>
      <xdr:row>81</xdr:row>
      <xdr:rowOff>129540</xdr:rowOff>
    </xdr:to>
    <xdr:sp macro="" textlink="">
      <xdr:nvSpPr>
        <xdr:cNvPr id="2428" name="AutoShape 160" descr="https://www.soccerstats.com/img/own/sshplogo.png">
          <a:hlinkClick xmlns:r="http://schemas.openxmlformats.org/officeDocument/2006/relationships" r:id="rId80"/>
        </xdr:cNvPr>
        <xdr:cNvSpPr>
          <a:spLocks noChangeAspect="1" noChangeArrowheads="1"/>
        </xdr:cNvSpPr>
      </xdr:nvSpPr>
      <xdr:spPr bwMode="auto">
        <a:xfrm>
          <a:off x="13411200" y="1623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152400</xdr:colOff>
      <xdr:row>81</xdr:row>
      <xdr:rowOff>106680</xdr:rowOff>
    </xdr:to>
    <xdr:sp macro="" textlink="">
      <xdr:nvSpPr>
        <xdr:cNvPr id="2429" name="AutoShape 161" descr="AUSTRALIA5"/>
        <xdr:cNvSpPr>
          <a:spLocks noChangeAspect="1" noChangeArrowheads="1"/>
        </xdr:cNvSpPr>
      </xdr:nvSpPr>
      <xdr:spPr bwMode="auto">
        <a:xfrm>
          <a:off x="0" y="16405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81</xdr:row>
      <xdr:rowOff>0</xdr:rowOff>
    </xdr:from>
    <xdr:to>
      <xdr:col>22</xdr:col>
      <xdr:colOff>304800</xdr:colOff>
      <xdr:row>82</xdr:row>
      <xdr:rowOff>53340</xdr:rowOff>
    </xdr:to>
    <xdr:sp macro="" textlink="">
      <xdr:nvSpPr>
        <xdr:cNvPr id="2430" name="AutoShape 162" descr="https://www.soccerstats.com/img/own/sshplogo.png">
          <a:hlinkClick xmlns:r="http://schemas.openxmlformats.org/officeDocument/2006/relationships" r:id="rId81"/>
        </xdr:cNvPr>
        <xdr:cNvSpPr>
          <a:spLocks noChangeAspect="1" noChangeArrowheads="1"/>
        </xdr:cNvSpPr>
      </xdr:nvSpPr>
      <xdr:spPr bwMode="auto">
        <a:xfrm>
          <a:off x="13411200" y="16405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152400</xdr:colOff>
      <xdr:row>82</xdr:row>
      <xdr:rowOff>106680</xdr:rowOff>
    </xdr:to>
    <xdr:sp macro="" textlink="">
      <xdr:nvSpPr>
        <xdr:cNvPr id="2431" name="AutoShape 163" descr="AUSTRALIA5"/>
        <xdr:cNvSpPr>
          <a:spLocks noChangeAspect="1" noChangeArrowheads="1"/>
        </xdr:cNvSpPr>
      </xdr:nvSpPr>
      <xdr:spPr bwMode="auto">
        <a:xfrm>
          <a:off x="0" y="16581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82</xdr:row>
      <xdr:rowOff>0</xdr:rowOff>
    </xdr:from>
    <xdr:to>
      <xdr:col>22</xdr:col>
      <xdr:colOff>304800</xdr:colOff>
      <xdr:row>83</xdr:row>
      <xdr:rowOff>129540</xdr:rowOff>
    </xdr:to>
    <xdr:sp macro="" textlink="">
      <xdr:nvSpPr>
        <xdr:cNvPr id="2432" name="AutoShape 164" descr="https://www.soccerstats.com/img/own/sshplogo.png">
          <a:hlinkClick xmlns:r="http://schemas.openxmlformats.org/officeDocument/2006/relationships" r:id="rId82"/>
        </xdr:cNvPr>
        <xdr:cNvSpPr>
          <a:spLocks noChangeAspect="1" noChangeArrowheads="1"/>
        </xdr:cNvSpPr>
      </xdr:nvSpPr>
      <xdr:spPr bwMode="auto">
        <a:xfrm>
          <a:off x="13411200" y="16581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152400</xdr:colOff>
      <xdr:row>83</xdr:row>
      <xdr:rowOff>106680</xdr:rowOff>
    </xdr:to>
    <xdr:sp macro="" textlink="">
      <xdr:nvSpPr>
        <xdr:cNvPr id="2433" name="AutoShape 165" descr="AUSTRALIA5"/>
        <xdr:cNvSpPr>
          <a:spLocks noChangeAspect="1" noChangeArrowheads="1"/>
        </xdr:cNvSpPr>
      </xdr:nvSpPr>
      <xdr:spPr bwMode="auto">
        <a:xfrm>
          <a:off x="0" y="16756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83</xdr:row>
      <xdr:rowOff>0</xdr:rowOff>
    </xdr:from>
    <xdr:to>
      <xdr:col>22</xdr:col>
      <xdr:colOff>304800</xdr:colOff>
      <xdr:row>84</xdr:row>
      <xdr:rowOff>53340</xdr:rowOff>
    </xdr:to>
    <xdr:sp macro="" textlink="">
      <xdr:nvSpPr>
        <xdr:cNvPr id="2434" name="AutoShape 166" descr="https://www.soccerstats.com/img/own/sshplogo.png">
          <a:hlinkClick xmlns:r="http://schemas.openxmlformats.org/officeDocument/2006/relationships" r:id="rId83"/>
        </xdr:cNvPr>
        <xdr:cNvSpPr>
          <a:spLocks noChangeAspect="1" noChangeArrowheads="1"/>
        </xdr:cNvSpPr>
      </xdr:nvSpPr>
      <xdr:spPr bwMode="auto">
        <a:xfrm>
          <a:off x="13411200" y="16756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152400</xdr:colOff>
      <xdr:row>84</xdr:row>
      <xdr:rowOff>106680</xdr:rowOff>
    </xdr:to>
    <xdr:sp macro="" textlink="">
      <xdr:nvSpPr>
        <xdr:cNvPr id="2435" name="AutoShape 167" descr="AUSTRALIA5"/>
        <xdr:cNvSpPr>
          <a:spLocks noChangeAspect="1" noChangeArrowheads="1"/>
        </xdr:cNvSpPr>
      </xdr:nvSpPr>
      <xdr:spPr bwMode="auto">
        <a:xfrm>
          <a:off x="0" y="17007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84</xdr:row>
      <xdr:rowOff>0</xdr:rowOff>
    </xdr:from>
    <xdr:to>
      <xdr:col>22</xdr:col>
      <xdr:colOff>304800</xdr:colOff>
      <xdr:row>85</xdr:row>
      <xdr:rowOff>129540</xdr:rowOff>
    </xdr:to>
    <xdr:sp macro="" textlink="">
      <xdr:nvSpPr>
        <xdr:cNvPr id="2436" name="AutoShape 168" descr="https://www.soccerstats.com/img/own/sshplogo.png">
          <a:hlinkClick xmlns:r="http://schemas.openxmlformats.org/officeDocument/2006/relationships" r:id="rId84"/>
        </xdr:cNvPr>
        <xdr:cNvSpPr>
          <a:spLocks noChangeAspect="1" noChangeArrowheads="1"/>
        </xdr:cNvSpPr>
      </xdr:nvSpPr>
      <xdr:spPr bwMode="auto">
        <a:xfrm>
          <a:off x="13411200" y="17007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152400</xdr:colOff>
      <xdr:row>85</xdr:row>
      <xdr:rowOff>106680</xdr:rowOff>
    </xdr:to>
    <xdr:sp macro="" textlink="">
      <xdr:nvSpPr>
        <xdr:cNvPr id="2437" name="AutoShape 169" descr="AUSTRALIA5"/>
        <xdr:cNvSpPr>
          <a:spLocks noChangeAspect="1" noChangeArrowheads="1"/>
        </xdr:cNvSpPr>
      </xdr:nvSpPr>
      <xdr:spPr bwMode="auto">
        <a:xfrm>
          <a:off x="0" y="17183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85</xdr:row>
      <xdr:rowOff>0</xdr:rowOff>
    </xdr:from>
    <xdr:to>
      <xdr:col>22</xdr:col>
      <xdr:colOff>304800</xdr:colOff>
      <xdr:row>86</xdr:row>
      <xdr:rowOff>129540</xdr:rowOff>
    </xdr:to>
    <xdr:sp macro="" textlink="">
      <xdr:nvSpPr>
        <xdr:cNvPr id="2438" name="AutoShape 170" descr="https://www.soccerstats.com/img/own/sshplogo.png">
          <a:hlinkClick xmlns:r="http://schemas.openxmlformats.org/officeDocument/2006/relationships" r:id="rId85"/>
        </xdr:cNvPr>
        <xdr:cNvSpPr>
          <a:spLocks noChangeAspect="1" noChangeArrowheads="1"/>
        </xdr:cNvSpPr>
      </xdr:nvSpPr>
      <xdr:spPr bwMode="auto">
        <a:xfrm>
          <a:off x="13411200" y="1718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152400</xdr:colOff>
      <xdr:row>86</xdr:row>
      <xdr:rowOff>106680</xdr:rowOff>
    </xdr:to>
    <xdr:sp macro="" textlink="">
      <xdr:nvSpPr>
        <xdr:cNvPr id="2439" name="AutoShape 171" descr="AUSTRALIA6"/>
        <xdr:cNvSpPr>
          <a:spLocks noChangeAspect="1" noChangeArrowheads="1"/>
        </xdr:cNvSpPr>
      </xdr:nvSpPr>
      <xdr:spPr bwMode="auto">
        <a:xfrm>
          <a:off x="0" y="17434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86</xdr:row>
      <xdr:rowOff>0</xdr:rowOff>
    </xdr:from>
    <xdr:to>
      <xdr:col>22</xdr:col>
      <xdr:colOff>304800</xdr:colOff>
      <xdr:row>87</xdr:row>
      <xdr:rowOff>53340</xdr:rowOff>
    </xdr:to>
    <xdr:sp macro="" textlink="">
      <xdr:nvSpPr>
        <xdr:cNvPr id="2440" name="AutoShape 172" descr="https://www.soccerstats.com/img/own/sshplogo.png">
          <a:hlinkClick xmlns:r="http://schemas.openxmlformats.org/officeDocument/2006/relationships" r:id="rId86"/>
        </xdr:cNvPr>
        <xdr:cNvSpPr>
          <a:spLocks noChangeAspect="1" noChangeArrowheads="1"/>
        </xdr:cNvSpPr>
      </xdr:nvSpPr>
      <xdr:spPr bwMode="auto">
        <a:xfrm>
          <a:off x="13411200" y="17434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152400</xdr:colOff>
      <xdr:row>87</xdr:row>
      <xdr:rowOff>106680</xdr:rowOff>
    </xdr:to>
    <xdr:sp macro="" textlink="">
      <xdr:nvSpPr>
        <xdr:cNvPr id="2441" name="AutoShape 173" descr="AUSTRALIA6"/>
        <xdr:cNvSpPr>
          <a:spLocks noChangeAspect="1" noChangeArrowheads="1"/>
        </xdr:cNvSpPr>
      </xdr:nvSpPr>
      <xdr:spPr bwMode="auto">
        <a:xfrm>
          <a:off x="0" y="17609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87</xdr:row>
      <xdr:rowOff>0</xdr:rowOff>
    </xdr:from>
    <xdr:to>
      <xdr:col>22</xdr:col>
      <xdr:colOff>304800</xdr:colOff>
      <xdr:row>88</xdr:row>
      <xdr:rowOff>129540</xdr:rowOff>
    </xdr:to>
    <xdr:sp macro="" textlink="">
      <xdr:nvSpPr>
        <xdr:cNvPr id="2442" name="AutoShape 174" descr="https://www.soccerstats.com/img/own/sshplogo.png">
          <a:hlinkClick xmlns:r="http://schemas.openxmlformats.org/officeDocument/2006/relationships" r:id="rId87"/>
        </xdr:cNvPr>
        <xdr:cNvSpPr>
          <a:spLocks noChangeAspect="1" noChangeArrowheads="1"/>
        </xdr:cNvSpPr>
      </xdr:nvSpPr>
      <xdr:spPr bwMode="auto">
        <a:xfrm>
          <a:off x="13411200" y="17609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152400</xdr:colOff>
      <xdr:row>88</xdr:row>
      <xdr:rowOff>106680</xdr:rowOff>
    </xdr:to>
    <xdr:sp macro="" textlink="">
      <xdr:nvSpPr>
        <xdr:cNvPr id="2443" name="AutoShape 175" descr="AUSTRALIA6"/>
        <xdr:cNvSpPr>
          <a:spLocks noChangeAspect="1" noChangeArrowheads="1"/>
        </xdr:cNvSpPr>
      </xdr:nvSpPr>
      <xdr:spPr bwMode="auto">
        <a:xfrm>
          <a:off x="0" y="17861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88</xdr:row>
      <xdr:rowOff>0</xdr:rowOff>
    </xdr:from>
    <xdr:to>
      <xdr:col>22</xdr:col>
      <xdr:colOff>304800</xdr:colOff>
      <xdr:row>89</xdr:row>
      <xdr:rowOff>53340</xdr:rowOff>
    </xdr:to>
    <xdr:sp macro="" textlink="">
      <xdr:nvSpPr>
        <xdr:cNvPr id="2444" name="AutoShape 176" descr="https://www.soccerstats.com/img/own/sshplogo.png">
          <a:hlinkClick xmlns:r="http://schemas.openxmlformats.org/officeDocument/2006/relationships" r:id="rId88"/>
        </xdr:cNvPr>
        <xdr:cNvSpPr>
          <a:spLocks noChangeAspect="1" noChangeArrowheads="1"/>
        </xdr:cNvSpPr>
      </xdr:nvSpPr>
      <xdr:spPr bwMode="auto">
        <a:xfrm>
          <a:off x="13411200" y="17861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152400</xdr:colOff>
      <xdr:row>89</xdr:row>
      <xdr:rowOff>106680</xdr:rowOff>
    </xdr:to>
    <xdr:sp macro="" textlink="">
      <xdr:nvSpPr>
        <xdr:cNvPr id="2445" name="AutoShape 177" descr="AUSTRALIA6"/>
        <xdr:cNvSpPr>
          <a:spLocks noChangeAspect="1" noChangeArrowheads="1"/>
        </xdr:cNvSpPr>
      </xdr:nvSpPr>
      <xdr:spPr bwMode="auto">
        <a:xfrm>
          <a:off x="0" y="18112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89</xdr:row>
      <xdr:rowOff>0</xdr:rowOff>
    </xdr:from>
    <xdr:to>
      <xdr:col>22</xdr:col>
      <xdr:colOff>304800</xdr:colOff>
      <xdr:row>90</xdr:row>
      <xdr:rowOff>53340</xdr:rowOff>
    </xdr:to>
    <xdr:sp macro="" textlink="">
      <xdr:nvSpPr>
        <xdr:cNvPr id="2446" name="AutoShape 178" descr="https://www.soccerstats.com/img/own/sshplogo.png">
          <a:hlinkClick xmlns:r="http://schemas.openxmlformats.org/officeDocument/2006/relationships" r:id="rId89"/>
        </xdr:cNvPr>
        <xdr:cNvSpPr>
          <a:spLocks noChangeAspect="1" noChangeArrowheads="1"/>
        </xdr:cNvSpPr>
      </xdr:nvSpPr>
      <xdr:spPr bwMode="auto">
        <a:xfrm>
          <a:off x="13411200" y="18112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152400</xdr:colOff>
      <xdr:row>90</xdr:row>
      <xdr:rowOff>106680</xdr:rowOff>
    </xdr:to>
    <xdr:sp macro="" textlink="">
      <xdr:nvSpPr>
        <xdr:cNvPr id="2447" name="AutoShape 179" descr="AUSTRALIA6"/>
        <xdr:cNvSpPr>
          <a:spLocks noChangeAspect="1" noChangeArrowheads="1"/>
        </xdr:cNvSpPr>
      </xdr:nvSpPr>
      <xdr:spPr bwMode="auto">
        <a:xfrm>
          <a:off x="0" y="18364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90</xdr:row>
      <xdr:rowOff>0</xdr:rowOff>
    </xdr:from>
    <xdr:to>
      <xdr:col>22</xdr:col>
      <xdr:colOff>304800</xdr:colOff>
      <xdr:row>91</xdr:row>
      <xdr:rowOff>129540</xdr:rowOff>
    </xdr:to>
    <xdr:sp macro="" textlink="">
      <xdr:nvSpPr>
        <xdr:cNvPr id="2448" name="AutoShape 180" descr="https://www.soccerstats.com/img/own/sshplogo.png">
          <a:hlinkClick xmlns:r="http://schemas.openxmlformats.org/officeDocument/2006/relationships" r:id="rId90"/>
        </xdr:cNvPr>
        <xdr:cNvSpPr>
          <a:spLocks noChangeAspect="1" noChangeArrowheads="1"/>
        </xdr:cNvSpPr>
      </xdr:nvSpPr>
      <xdr:spPr bwMode="auto">
        <a:xfrm>
          <a:off x="13411200" y="18364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152400</xdr:colOff>
      <xdr:row>91</xdr:row>
      <xdr:rowOff>106680</xdr:rowOff>
    </xdr:to>
    <xdr:sp macro="" textlink="">
      <xdr:nvSpPr>
        <xdr:cNvPr id="2449" name="AutoShape 181" descr="AUSTRALIA6"/>
        <xdr:cNvSpPr>
          <a:spLocks noChangeAspect="1" noChangeArrowheads="1"/>
        </xdr:cNvSpPr>
      </xdr:nvSpPr>
      <xdr:spPr bwMode="auto">
        <a:xfrm>
          <a:off x="0" y="18615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91</xdr:row>
      <xdr:rowOff>0</xdr:rowOff>
    </xdr:from>
    <xdr:to>
      <xdr:col>22</xdr:col>
      <xdr:colOff>304800</xdr:colOff>
      <xdr:row>92</xdr:row>
      <xdr:rowOff>129540</xdr:rowOff>
    </xdr:to>
    <xdr:sp macro="" textlink="">
      <xdr:nvSpPr>
        <xdr:cNvPr id="2450" name="AutoShape 182" descr="https://www.soccerstats.com/img/own/sshplogo.png">
          <a:hlinkClick xmlns:r="http://schemas.openxmlformats.org/officeDocument/2006/relationships" r:id="rId91"/>
        </xdr:cNvPr>
        <xdr:cNvSpPr>
          <a:spLocks noChangeAspect="1" noChangeArrowheads="1"/>
        </xdr:cNvSpPr>
      </xdr:nvSpPr>
      <xdr:spPr bwMode="auto">
        <a:xfrm>
          <a:off x="13411200" y="18615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152400</xdr:colOff>
      <xdr:row>92</xdr:row>
      <xdr:rowOff>106680</xdr:rowOff>
    </xdr:to>
    <xdr:sp macro="" textlink="">
      <xdr:nvSpPr>
        <xdr:cNvPr id="2451" name="AutoShape 183" descr="AUSTRALIA10"/>
        <xdr:cNvSpPr>
          <a:spLocks noChangeAspect="1" noChangeArrowheads="1"/>
        </xdr:cNvSpPr>
      </xdr:nvSpPr>
      <xdr:spPr bwMode="auto">
        <a:xfrm>
          <a:off x="0" y="18867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92</xdr:row>
      <xdr:rowOff>0</xdr:rowOff>
    </xdr:from>
    <xdr:to>
      <xdr:col>22</xdr:col>
      <xdr:colOff>304800</xdr:colOff>
      <xdr:row>93</xdr:row>
      <xdr:rowOff>129540</xdr:rowOff>
    </xdr:to>
    <xdr:sp macro="" textlink="">
      <xdr:nvSpPr>
        <xdr:cNvPr id="2452" name="AutoShape 184" descr="https://www.soccerstats.com/img/own/sshplogo.png">
          <a:hlinkClick xmlns:r="http://schemas.openxmlformats.org/officeDocument/2006/relationships" r:id="rId92"/>
        </xdr:cNvPr>
        <xdr:cNvSpPr>
          <a:spLocks noChangeAspect="1" noChangeArrowheads="1"/>
        </xdr:cNvSpPr>
      </xdr:nvSpPr>
      <xdr:spPr bwMode="auto">
        <a:xfrm>
          <a:off x="13411200" y="18867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152400</xdr:colOff>
      <xdr:row>93</xdr:row>
      <xdr:rowOff>106680</xdr:rowOff>
    </xdr:to>
    <xdr:sp macro="" textlink="">
      <xdr:nvSpPr>
        <xdr:cNvPr id="2453" name="AutoShape 185" descr="AUSTRALIA10"/>
        <xdr:cNvSpPr>
          <a:spLocks noChangeAspect="1" noChangeArrowheads="1"/>
        </xdr:cNvSpPr>
      </xdr:nvSpPr>
      <xdr:spPr bwMode="auto">
        <a:xfrm>
          <a:off x="0" y="19118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93</xdr:row>
      <xdr:rowOff>0</xdr:rowOff>
    </xdr:from>
    <xdr:to>
      <xdr:col>22</xdr:col>
      <xdr:colOff>304800</xdr:colOff>
      <xdr:row>94</xdr:row>
      <xdr:rowOff>129540</xdr:rowOff>
    </xdr:to>
    <xdr:sp macro="" textlink="">
      <xdr:nvSpPr>
        <xdr:cNvPr id="2454" name="AutoShape 186" descr="https://www.soccerstats.com/img/own/sshplogo.png">
          <a:hlinkClick xmlns:r="http://schemas.openxmlformats.org/officeDocument/2006/relationships" r:id="rId93"/>
        </xdr:cNvPr>
        <xdr:cNvSpPr>
          <a:spLocks noChangeAspect="1" noChangeArrowheads="1"/>
        </xdr:cNvSpPr>
      </xdr:nvSpPr>
      <xdr:spPr bwMode="auto">
        <a:xfrm>
          <a:off x="13411200" y="19118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152400</xdr:colOff>
      <xdr:row>94</xdr:row>
      <xdr:rowOff>106680</xdr:rowOff>
    </xdr:to>
    <xdr:sp macro="" textlink="">
      <xdr:nvSpPr>
        <xdr:cNvPr id="2455" name="AutoShape 187" descr="AUSTRALIA10"/>
        <xdr:cNvSpPr>
          <a:spLocks noChangeAspect="1" noChangeArrowheads="1"/>
        </xdr:cNvSpPr>
      </xdr:nvSpPr>
      <xdr:spPr bwMode="auto">
        <a:xfrm>
          <a:off x="0" y="19370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94</xdr:row>
      <xdr:rowOff>0</xdr:rowOff>
    </xdr:from>
    <xdr:to>
      <xdr:col>22</xdr:col>
      <xdr:colOff>304800</xdr:colOff>
      <xdr:row>95</xdr:row>
      <xdr:rowOff>129540</xdr:rowOff>
    </xdr:to>
    <xdr:sp macro="" textlink="">
      <xdr:nvSpPr>
        <xdr:cNvPr id="2456" name="AutoShape 188" descr="https://www.soccerstats.com/img/own/sshplogo.png">
          <a:hlinkClick xmlns:r="http://schemas.openxmlformats.org/officeDocument/2006/relationships" r:id="rId94"/>
        </xdr:cNvPr>
        <xdr:cNvSpPr>
          <a:spLocks noChangeAspect="1" noChangeArrowheads="1"/>
        </xdr:cNvSpPr>
      </xdr:nvSpPr>
      <xdr:spPr bwMode="auto">
        <a:xfrm>
          <a:off x="13411200" y="19370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152400</xdr:colOff>
      <xdr:row>95</xdr:row>
      <xdr:rowOff>106680</xdr:rowOff>
    </xdr:to>
    <xdr:sp macro="" textlink="">
      <xdr:nvSpPr>
        <xdr:cNvPr id="2457" name="AutoShape 189" descr="AUSTRALIA11"/>
        <xdr:cNvSpPr>
          <a:spLocks noChangeAspect="1" noChangeArrowheads="1"/>
        </xdr:cNvSpPr>
      </xdr:nvSpPr>
      <xdr:spPr bwMode="auto">
        <a:xfrm>
          <a:off x="0" y="19621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95</xdr:row>
      <xdr:rowOff>0</xdr:rowOff>
    </xdr:from>
    <xdr:to>
      <xdr:col>22</xdr:col>
      <xdr:colOff>304800</xdr:colOff>
      <xdr:row>96</xdr:row>
      <xdr:rowOff>53340</xdr:rowOff>
    </xdr:to>
    <xdr:sp macro="" textlink="">
      <xdr:nvSpPr>
        <xdr:cNvPr id="2458" name="AutoShape 190" descr="https://www.soccerstats.com/img/own/sshplogo.png">
          <a:hlinkClick xmlns:r="http://schemas.openxmlformats.org/officeDocument/2006/relationships" r:id="rId95"/>
        </xdr:cNvPr>
        <xdr:cNvSpPr>
          <a:spLocks noChangeAspect="1" noChangeArrowheads="1"/>
        </xdr:cNvSpPr>
      </xdr:nvSpPr>
      <xdr:spPr bwMode="auto">
        <a:xfrm>
          <a:off x="13411200" y="1962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152400</xdr:colOff>
      <xdr:row>96</xdr:row>
      <xdr:rowOff>106680</xdr:rowOff>
    </xdr:to>
    <xdr:sp macro="" textlink="">
      <xdr:nvSpPr>
        <xdr:cNvPr id="2459" name="AutoShape 191" descr="AUSTRALIA11"/>
        <xdr:cNvSpPr>
          <a:spLocks noChangeAspect="1" noChangeArrowheads="1"/>
        </xdr:cNvSpPr>
      </xdr:nvSpPr>
      <xdr:spPr bwMode="auto">
        <a:xfrm>
          <a:off x="0" y="19872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96</xdr:row>
      <xdr:rowOff>0</xdr:rowOff>
    </xdr:from>
    <xdr:to>
      <xdr:col>22</xdr:col>
      <xdr:colOff>304800</xdr:colOff>
      <xdr:row>97</xdr:row>
      <xdr:rowOff>129540</xdr:rowOff>
    </xdr:to>
    <xdr:sp macro="" textlink="">
      <xdr:nvSpPr>
        <xdr:cNvPr id="2460" name="AutoShape 192" descr="https://www.soccerstats.com/img/own/sshplogo.png">
          <a:hlinkClick xmlns:r="http://schemas.openxmlformats.org/officeDocument/2006/relationships" r:id="rId96"/>
        </xdr:cNvPr>
        <xdr:cNvSpPr>
          <a:spLocks noChangeAspect="1" noChangeArrowheads="1"/>
        </xdr:cNvSpPr>
      </xdr:nvSpPr>
      <xdr:spPr bwMode="auto">
        <a:xfrm>
          <a:off x="13411200" y="19872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152400</xdr:colOff>
      <xdr:row>97</xdr:row>
      <xdr:rowOff>106680</xdr:rowOff>
    </xdr:to>
    <xdr:sp macro="" textlink="">
      <xdr:nvSpPr>
        <xdr:cNvPr id="2461" name="AutoShape 193" descr="AUSTRALIA11"/>
        <xdr:cNvSpPr>
          <a:spLocks noChangeAspect="1" noChangeArrowheads="1"/>
        </xdr:cNvSpPr>
      </xdr:nvSpPr>
      <xdr:spPr bwMode="auto">
        <a:xfrm>
          <a:off x="0" y="20048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97</xdr:row>
      <xdr:rowOff>0</xdr:rowOff>
    </xdr:from>
    <xdr:to>
      <xdr:col>22</xdr:col>
      <xdr:colOff>304800</xdr:colOff>
      <xdr:row>98</xdr:row>
      <xdr:rowOff>129540</xdr:rowOff>
    </xdr:to>
    <xdr:sp macro="" textlink="">
      <xdr:nvSpPr>
        <xdr:cNvPr id="2462" name="AutoShape 194" descr="https://www.soccerstats.com/img/own/sshplogo.png">
          <a:hlinkClick xmlns:r="http://schemas.openxmlformats.org/officeDocument/2006/relationships" r:id="rId97"/>
        </xdr:cNvPr>
        <xdr:cNvSpPr>
          <a:spLocks noChangeAspect="1" noChangeArrowheads="1"/>
        </xdr:cNvSpPr>
      </xdr:nvSpPr>
      <xdr:spPr bwMode="auto">
        <a:xfrm>
          <a:off x="13411200" y="20048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152400</xdr:colOff>
      <xdr:row>98</xdr:row>
      <xdr:rowOff>106680</xdr:rowOff>
    </xdr:to>
    <xdr:sp macro="" textlink="">
      <xdr:nvSpPr>
        <xdr:cNvPr id="2463" name="AutoShape 195" descr="AUSTRALIA11"/>
        <xdr:cNvSpPr>
          <a:spLocks noChangeAspect="1" noChangeArrowheads="1"/>
        </xdr:cNvSpPr>
      </xdr:nvSpPr>
      <xdr:spPr bwMode="auto">
        <a:xfrm>
          <a:off x="0" y="20299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98</xdr:row>
      <xdr:rowOff>0</xdr:rowOff>
    </xdr:from>
    <xdr:to>
      <xdr:col>22</xdr:col>
      <xdr:colOff>304800</xdr:colOff>
      <xdr:row>99</xdr:row>
      <xdr:rowOff>129540</xdr:rowOff>
    </xdr:to>
    <xdr:sp macro="" textlink="">
      <xdr:nvSpPr>
        <xdr:cNvPr id="2464" name="AutoShape 196" descr="https://www.soccerstats.com/img/own/sshplogo.png">
          <a:hlinkClick xmlns:r="http://schemas.openxmlformats.org/officeDocument/2006/relationships" r:id="rId98"/>
        </xdr:cNvPr>
        <xdr:cNvSpPr>
          <a:spLocks noChangeAspect="1" noChangeArrowheads="1"/>
        </xdr:cNvSpPr>
      </xdr:nvSpPr>
      <xdr:spPr bwMode="auto">
        <a:xfrm>
          <a:off x="13411200" y="20299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152400</xdr:colOff>
      <xdr:row>99</xdr:row>
      <xdr:rowOff>106680</xdr:rowOff>
    </xdr:to>
    <xdr:sp macro="" textlink="">
      <xdr:nvSpPr>
        <xdr:cNvPr id="2465" name="AutoShape 197" descr="AUSTRIA"/>
        <xdr:cNvSpPr>
          <a:spLocks noChangeAspect="1" noChangeArrowheads="1"/>
        </xdr:cNvSpPr>
      </xdr:nvSpPr>
      <xdr:spPr bwMode="auto">
        <a:xfrm>
          <a:off x="0" y="20551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99</xdr:row>
      <xdr:rowOff>0</xdr:rowOff>
    </xdr:from>
    <xdr:to>
      <xdr:col>22</xdr:col>
      <xdr:colOff>304800</xdr:colOff>
      <xdr:row>100</xdr:row>
      <xdr:rowOff>129540</xdr:rowOff>
    </xdr:to>
    <xdr:sp macro="" textlink="">
      <xdr:nvSpPr>
        <xdr:cNvPr id="2466" name="AutoShape 198" descr="https://www.soccerstats.com/img/own/sshplogo.png">
          <a:hlinkClick xmlns:r="http://schemas.openxmlformats.org/officeDocument/2006/relationships" r:id="rId99"/>
        </xdr:cNvPr>
        <xdr:cNvSpPr>
          <a:spLocks noChangeAspect="1" noChangeArrowheads="1"/>
        </xdr:cNvSpPr>
      </xdr:nvSpPr>
      <xdr:spPr bwMode="auto">
        <a:xfrm>
          <a:off x="13411200" y="20551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152400</xdr:colOff>
      <xdr:row>100</xdr:row>
      <xdr:rowOff>106680</xdr:rowOff>
    </xdr:to>
    <xdr:sp macro="" textlink="">
      <xdr:nvSpPr>
        <xdr:cNvPr id="2467" name="AutoShape 199" descr="AUSTRIA"/>
        <xdr:cNvSpPr>
          <a:spLocks noChangeAspect="1" noChangeArrowheads="1"/>
        </xdr:cNvSpPr>
      </xdr:nvSpPr>
      <xdr:spPr bwMode="auto">
        <a:xfrm>
          <a:off x="0" y="20802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100</xdr:row>
      <xdr:rowOff>0</xdr:rowOff>
    </xdr:from>
    <xdr:to>
      <xdr:col>22</xdr:col>
      <xdr:colOff>304800</xdr:colOff>
      <xdr:row>101</xdr:row>
      <xdr:rowOff>129540</xdr:rowOff>
    </xdr:to>
    <xdr:sp macro="" textlink="">
      <xdr:nvSpPr>
        <xdr:cNvPr id="2468" name="AutoShape 200" descr="https://www.soccerstats.com/img/own/sshplogo.png">
          <a:hlinkClick xmlns:r="http://schemas.openxmlformats.org/officeDocument/2006/relationships" r:id="rId100"/>
        </xdr:cNvPr>
        <xdr:cNvSpPr>
          <a:spLocks noChangeAspect="1" noChangeArrowheads="1"/>
        </xdr:cNvSpPr>
      </xdr:nvSpPr>
      <xdr:spPr bwMode="auto">
        <a:xfrm>
          <a:off x="13411200" y="20802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152400</xdr:colOff>
      <xdr:row>101</xdr:row>
      <xdr:rowOff>106680</xdr:rowOff>
    </xdr:to>
    <xdr:sp macro="" textlink="">
      <xdr:nvSpPr>
        <xdr:cNvPr id="2469" name="AutoShape 201" descr="AUSTRIA2"/>
        <xdr:cNvSpPr>
          <a:spLocks noChangeAspect="1" noChangeArrowheads="1"/>
        </xdr:cNvSpPr>
      </xdr:nvSpPr>
      <xdr:spPr bwMode="auto">
        <a:xfrm>
          <a:off x="0" y="20977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101</xdr:row>
      <xdr:rowOff>0</xdr:rowOff>
    </xdr:from>
    <xdr:to>
      <xdr:col>22</xdr:col>
      <xdr:colOff>304800</xdr:colOff>
      <xdr:row>102</xdr:row>
      <xdr:rowOff>129540</xdr:rowOff>
    </xdr:to>
    <xdr:sp macro="" textlink="">
      <xdr:nvSpPr>
        <xdr:cNvPr id="2470" name="AutoShape 202" descr="https://www.soccerstats.com/img/own/sshplogo.png">
          <a:hlinkClick xmlns:r="http://schemas.openxmlformats.org/officeDocument/2006/relationships" r:id="rId101"/>
        </xdr:cNvPr>
        <xdr:cNvSpPr>
          <a:spLocks noChangeAspect="1" noChangeArrowheads="1"/>
        </xdr:cNvSpPr>
      </xdr:nvSpPr>
      <xdr:spPr bwMode="auto">
        <a:xfrm>
          <a:off x="13411200" y="20977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152400</xdr:colOff>
      <xdr:row>102</xdr:row>
      <xdr:rowOff>106680</xdr:rowOff>
    </xdr:to>
    <xdr:sp macro="" textlink="">
      <xdr:nvSpPr>
        <xdr:cNvPr id="2471" name="AutoShape 203" descr="AUSTRIA2"/>
        <xdr:cNvSpPr>
          <a:spLocks noChangeAspect="1" noChangeArrowheads="1"/>
        </xdr:cNvSpPr>
      </xdr:nvSpPr>
      <xdr:spPr bwMode="auto">
        <a:xfrm>
          <a:off x="0" y="21153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102</xdr:row>
      <xdr:rowOff>0</xdr:rowOff>
    </xdr:from>
    <xdr:to>
      <xdr:col>22</xdr:col>
      <xdr:colOff>304800</xdr:colOff>
      <xdr:row>103</xdr:row>
      <xdr:rowOff>53340</xdr:rowOff>
    </xdr:to>
    <xdr:sp macro="" textlink="">
      <xdr:nvSpPr>
        <xdr:cNvPr id="2472" name="AutoShape 204" descr="https://www.soccerstats.com/img/own/sshplogo.png">
          <a:hlinkClick xmlns:r="http://schemas.openxmlformats.org/officeDocument/2006/relationships" r:id="rId102"/>
        </xdr:cNvPr>
        <xdr:cNvSpPr>
          <a:spLocks noChangeAspect="1" noChangeArrowheads="1"/>
        </xdr:cNvSpPr>
      </xdr:nvSpPr>
      <xdr:spPr bwMode="auto">
        <a:xfrm>
          <a:off x="13411200" y="21153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152400</xdr:colOff>
      <xdr:row>103</xdr:row>
      <xdr:rowOff>106680</xdr:rowOff>
    </xdr:to>
    <xdr:sp macro="" textlink="">
      <xdr:nvSpPr>
        <xdr:cNvPr id="2473" name="AutoShape 205" descr="AUSTRIA2"/>
        <xdr:cNvSpPr>
          <a:spLocks noChangeAspect="1" noChangeArrowheads="1"/>
        </xdr:cNvSpPr>
      </xdr:nvSpPr>
      <xdr:spPr bwMode="auto">
        <a:xfrm>
          <a:off x="0" y="21404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103</xdr:row>
      <xdr:rowOff>0</xdr:rowOff>
    </xdr:from>
    <xdr:to>
      <xdr:col>22</xdr:col>
      <xdr:colOff>304800</xdr:colOff>
      <xdr:row>104</xdr:row>
      <xdr:rowOff>129540</xdr:rowOff>
    </xdr:to>
    <xdr:sp macro="" textlink="">
      <xdr:nvSpPr>
        <xdr:cNvPr id="2474" name="AutoShape 206" descr="https://www.soccerstats.com/img/own/sshplogo.png">
          <a:hlinkClick xmlns:r="http://schemas.openxmlformats.org/officeDocument/2006/relationships" r:id="rId103"/>
        </xdr:cNvPr>
        <xdr:cNvSpPr>
          <a:spLocks noChangeAspect="1" noChangeArrowheads="1"/>
        </xdr:cNvSpPr>
      </xdr:nvSpPr>
      <xdr:spPr bwMode="auto">
        <a:xfrm>
          <a:off x="13411200" y="21404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152400</xdr:colOff>
      <xdr:row>104</xdr:row>
      <xdr:rowOff>106680</xdr:rowOff>
    </xdr:to>
    <xdr:sp macro="" textlink="">
      <xdr:nvSpPr>
        <xdr:cNvPr id="2475" name="AutoShape 207" descr="AUSTRIA2"/>
        <xdr:cNvSpPr>
          <a:spLocks noChangeAspect="1" noChangeArrowheads="1"/>
        </xdr:cNvSpPr>
      </xdr:nvSpPr>
      <xdr:spPr bwMode="auto">
        <a:xfrm>
          <a:off x="0" y="21656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104</xdr:row>
      <xdr:rowOff>0</xdr:rowOff>
    </xdr:from>
    <xdr:to>
      <xdr:col>22</xdr:col>
      <xdr:colOff>304800</xdr:colOff>
      <xdr:row>105</xdr:row>
      <xdr:rowOff>53340</xdr:rowOff>
    </xdr:to>
    <xdr:sp macro="" textlink="">
      <xdr:nvSpPr>
        <xdr:cNvPr id="2476" name="AutoShape 208" descr="https://www.soccerstats.com/img/own/sshplogo.png">
          <a:hlinkClick xmlns:r="http://schemas.openxmlformats.org/officeDocument/2006/relationships" r:id="rId104"/>
        </xdr:cNvPr>
        <xdr:cNvSpPr>
          <a:spLocks noChangeAspect="1" noChangeArrowheads="1"/>
        </xdr:cNvSpPr>
      </xdr:nvSpPr>
      <xdr:spPr bwMode="auto">
        <a:xfrm>
          <a:off x="13411200" y="21656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152400</xdr:colOff>
      <xdr:row>105</xdr:row>
      <xdr:rowOff>106680</xdr:rowOff>
    </xdr:to>
    <xdr:sp macro="" textlink="">
      <xdr:nvSpPr>
        <xdr:cNvPr id="2477" name="AutoShape 209" descr="AUSTRIA2"/>
        <xdr:cNvSpPr>
          <a:spLocks noChangeAspect="1" noChangeArrowheads="1"/>
        </xdr:cNvSpPr>
      </xdr:nvSpPr>
      <xdr:spPr bwMode="auto">
        <a:xfrm>
          <a:off x="0" y="21831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105</xdr:row>
      <xdr:rowOff>0</xdr:rowOff>
    </xdr:from>
    <xdr:to>
      <xdr:col>22</xdr:col>
      <xdr:colOff>304800</xdr:colOff>
      <xdr:row>106</xdr:row>
      <xdr:rowOff>129540</xdr:rowOff>
    </xdr:to>
    <xdr:sp macro="" textlink="">
      <xdr:nvSpPr>
        <xdr:cNvPr id="2478" name="AutoShape 210" descr="https://www.soccerstats.com/img/own/sshplogo.png">
          <a:hlinkClick xmlns:r="http://schemas.openxmlformats.org/officeDocument/2006/relationships" r:id="rId105"/>
        </xdr:cNvPr>
        <xdr:cNvSpPr>
          <a:spLocks noChangeAspect="1" noChangeArrowheads="1"/>
        </xdr:cNvSpPr>
      </xdr:nvSpPr>
      <xdr:spPr bwMode="auto">
        <a:xfrm>
          <a:off x="13411200" y="21831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152400</xdr:colOff>
      <xdr:row>106</xdr:row>
      <xdr:rowOff>106680</xdr:rowOff>
    </xdr:to>
    <xdr:sp macro="" textlink="">
      <xdr:nvSpPr>
        <xdr:cNvPr id="2479" name="AutoShape 211" descr="BELARUS"/>
        <xdr:cNvSpPr>
          <a:spLocks noChangeAspect="1" noChangeArrowheads="1"/>
        </xdr:cNvSpPr>
      </xdr:nvSpPr>
      <xdr:spPr bwMode="auto">
        <a:xfrm>
          <a:off x="0" y="22006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106</xdr:row>
      <xdr:rowOff>0</xdr:rowOff>
    </xdr:from>
    <xdr:to>
      <xdr:col>22</xdr:col>
      <xdr:colOff>304800</xdr:colOff>
      <xdr:row>107</xdr:row>
      <xdr:rowOff>53340</xdr:rowOff>
    </xdr:to>
    <xdr:sp macro="" textlink="">
      <xdr:nvSpPr>
        <xdr:cNvPr id="2480" name="AutoShape 212" descr="https://www.soccerstats.com/img/own/sshplogo.png">
          <a:hlinkClick xmlns:r="http://schemas.openxmlformats.org/officeDocument/2006/relationships" r:id="rId106"/>
        </xdr:cNvPr>
        <xdr:cNvSpPr>
          <a:spLocks noChangeAspect="1" noChangeArrowheads="1"/>
        </xdr:cNvSpPr>
      </xdr:nvSpPr>
      <xdr:spPr bwMode="auto">
        <a:xfrm>
          <a:off x="13411200" y="22006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152400</xdr:colOff>
      <xdr:row>107</xdr:row>
      <xdr:rowOff>106680</xdr:rowOff>
    </xdr:to>
    <xdr:sp macro="" textlink="">
      <xdr:nvSpPr>
        <xdr:cNvPr id="2481" name="AutoShape 213" descr="BELARUS"/>
        <xdr:cNvSpPr>
          <a:spLocks noChangeAspect="1" noChangeArrowheads="1"/>
        </xdr:cNvSpPr>
      </xdr:nvSpPr>
      <xdr:spPr bwMode="auto">
        <a:xfrm>
          <a:off x="0" y="22181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107</xdr:row>
      <xdr:rowOff>0</xdr:rowOff>
    </xdr:from>
    <xdr:to>
      <xdr:col>22</xdr:col>
      <xdr:colOff>304800</xdr:colOff>
      <xdr:row>108</xdr:row>
      <xdr:rowOff>53340</xdr:rowOff>
    </xdr:to>
    <xdr:sp macro="" textlink="">
      <xdr:nvSpPr>
        <xdr:cNvPr id="2482" name="AutoShape 214" descr="https://www.soccerstats.com/img/own/sshplogo.png">
          <a:hlinkClick xmlns:r="http://schemas.openxmlformats.org/officeDocument/2006/relationships" r:id="rId107"/>
        </xdr:cNvPr>
        <xdr:cNvSpPr>
          <a:spLocks noChangeAspect="1" noChangeArrowheads="1"/>
        </xdr:cNvSpPr>
      </xdr:nvSpPr>
      <xdr:spPr bwMode="auto">
        <a:xfrm>
          <a:off x="13411200" y="22181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152400</xdr:colOff>
      <xdr:row>108</xdr:row>
      <xdr:rowOff>106680</xdr:rowOff>
    </xdr:to>
    <xdr:sp macro="" textlink="">
      <xdr:nvSpPr>
        <xdr:cNvPr id="2483" name="AutoShape 215" descr="BELARUS"/>
        <xdr:cNvSpPr>
          <a:spLocks noChangeAspect="1" noChangeArrowheads="1"/>
        </xdr:cNvSpPr>
      </xdr:nvSpPr>
      <xdr:spPr bwMode="auto">
        <a:xfrm>
          <a:off x="0" y="22433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108</xdr:row>
      <xdr:rowOff>0</xdr:rowOff>
    </xdr:from>
    <xdr:to>
      <xdr:col>22</xdr:col>
      <xdr:colOff>304800</xdr:colOff>
      <xdr:row>109</xdr:row>
      <xdr:rowOff>129540</xdr:rowOff>
    </xdr:to>
    <xdr:sp macro="" textlink="">
      <xdr:nvSpPr>
        <xdr:cNvPr id="2484" name="AutoShape 216" descr="https://www.soccerstats.com/img/own/sshplogo.png">
          <a:hlinkClick xmlns:r="http://schemas.openxmlformats.org/officeDocument/2006/relationships" r:id="rId108"/>
        </xdr:cNvPr>
        <xdr:cNvSpPr>
          <a:spLocks noChangeAspect="1" noChangeArrowheads="1"/>
        </xdr:cNvSpPr>
      </xdr:nvSpPr>
      <xdr:spPr bwMode="auto">
        <a:xfrm>
          <a:off x="13411200" y="22433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152400</xdr:colOff>
      <xdr:row>109</xdr:row>
      <xdr:rowOff>106680</xdr:rowOff>
    </xdr:to>
    <xdr:sp macro="" textlink="">
      <xdr:nvSpPr>
        <xdr:cNvPr id="2485" name="AutoShape 217" descr="BELGIUM"/>
        <xdr:cNvSpPr>
          <a:spLocks noChangeAspect="1" noChangeArrowheads="1"/>
        </xdr:cNvSpPr>
      </xdr:nvSpPr>
      <xdr:spPr bwMode="auto">
        <a:xfrm>
          <a:off x="0" y="22608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109</xdr:row>
      <xdr:rowOff>0</xdr:rowOff>
    </xdr:from>
    <xdr:to>
      <xdr:col>22</xdr:col>
      <xdr:colOff>304800</xdr:colOff>
      <xdr:row>110</xdr:row>
      <xdr:rowOff>53340</xdr:rowOff>
    </xdr:to>
    <xdr:sp macro="" textlink="">
      <xdr:nvSpPr>
        <xdr:cNvPr id="2486" name="AutoShape 218" descr="https://www.soccerstats.com/img/own/sshplogo.png">
          <a:hlinkClick xmlns:r="http://schemas.openxmlformats.org/officeDocument/2006/relationships" r:id="rId109"/>
        </xdr:cNvPr>
        <xdr:cNvSpPr>
          <a:spLocks noChangeAspect="1" noChangeArrowheads="1"/>
        </xdr:cNvSpPr>
      </xdr:nvSpPr>
      <xdr:spPr bwMode="auto">
        <a:xfrm>
          <a:off x="13411200" y="22608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152400</xdr:colOff>
      <xdr:row>110</xdr:row>
      <xdr:rowOff>106680</xdr:rowOff>
    </xdr:to>
    <xdr:sp macro="" textlink="">
      <xdr:nvSpPr>
        <xdr:cNvPr id="2487" name="AutoShape 219" descr="BELGIUM"/>
        <xdr:cNvSpPr>
          <a:spLocks noChangeAspect="1" noChangeArrowheads="1"/>
        </xdr:cNvSpPr>
      </xdr:nvSpPr>
      <xdr:spPr bwMode="auto">
        <a:xfrm>
          <a:off x="0" y="22860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110</xdr:row>
      <xdr:rowOff>0</xdr:rowOff>
    </xdr:from>
    <xdr:to>
      <xdr:col>22</xdr:col>
      <xdr:colOff>304800</xdr:colOff>
      <xdr:row>111</xdr:row>
      <xdr:rowOff>129540</xdr:rowOff>
    </xdr:to>
    <xdr:sp macro="" textlink="">
      <xdr:nvSpPr>
        <xdr:cNvPr id="2488" name="AutoShape 220" descr="https://www.soccerstats.com/img/own/sshplogo.png">
          <a:hlinkClick xmlns:r="http://schemas.openxmlformats.org/officeDocument/2006/relationships" r:id="rId110"/>
        </xdr:cNvPr>
        <xdr:cNvSpPr>
          <a:spLocks noChangeAspect="1" noChangeArrowheads="1"/>
        </xdr:cNvSpPr>
      </xdr:nvSpPr>
      <xdr:spPr bwMode="auto">
        <a:xfrm>
          <a:off x="13411200" y="2286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152400</xdr:colOff>
      <xdr:row>111</xdr:row>
      <xdr:rowOff>106680</xdr:rowOff>
    </xdr:to>
    <xdr:sp macro="" textlink="">
      <xdr:nvSpPr>
        <xdr:cNvPr id="2489" name="AutoShape 221" descr="BELGIUM"/>
        <xdr:cNvSpPr>
          <a:spLocks noChangeAspect="1" noChangeArrowheads="1"/>
        </xdr:cNvSpPr>
      </xdr:nvSpPr>
      <xdr:spPr bwMode="auto">
        <a:xfrm>
          <a:off x="0" y="23035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111</xdr:row>
      <xdr:rowOff>0</xdr:rowOff>
    </xdr:from>
    <xdr:to>
      <xdr:col>22</xdr:col>
      <xdr:colOff>304800</xdr:colOff>
      <xdr:row>112</xdr:row>
      <xdr:rowOff>53340</xdr:rowOff>
    </xdr:to>
    <xdr:sp macro="" textlink="">
      <xdr:nvSpPr>
        <xdr:cNvPr id="2490" name="AutoShape 222" descr="https://www.soccerstats.com/img/own/sshplogo.png">
          <a:hlinkClick xmlns:r="http://schemas.openxmlformats.org/officeDocument/2006/relationships" r:id="rId111"/>
        </xdr:cNvPr>
        <xdr:cNvSpPr>
          <a:spLocks noChangeAspect="1" noChangeArrowheads="1"/>
        </xdr:cNvSpPr>
      </xdr:nvSpPr>
      <xdr:spPr bwMode="auto">
        <a:xfrm>
          <a:off x="13411200" y="23035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152400</xdr:colOff>
      <xdr:row>112</xdr:row>
      <xdr:rowOff>106680</xdr:rowOff>
    </xdr:to>
    <xdr:sp macro="" textlink="">
      <xdr:nvSpPr>
        <xdr:cNvPr id="2491" name="AutoShape 223" descr="BELGIUM"/>
        <xdr:cNvSpPr>
          <a:spLocks noChangeAspect="1" noChangeArrowheads="1"/>
        </xdr:cNvSpPr>
      </xdr:nvSpPr>
      <xdr:spPr bwMode="auto">
        <a:xfrm>
          <a:off x="0" y="23210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112</xdr:row>
      <xdr:rowOff>0</xdr:rowOff>
    </xdr:from>
    <xdr:to>
      <xdr:col>22</xdr:col>
      <xdr:colOff>304800</xdr:colOff>
      <xdr:row>113</xdr:row>
      <xdr:rowOff>129540</xdr:rowOff>
    </xdr:to>
    <xdr:sp macro="" textlink="">
      <xdr:nvSpPr>
        <xdr:cNvPr id="2492" name="AutoShape 224" descr="https://www.soccerstats.com/img/own/sshplogo.png">
          <a:hlinkClick xmlns:r="http://schemas.openxmlformats.org/officeDocument/2006/relationships" r:id="rId112"/>
        </xdr:cNvPr>
        <xdr:cNvSpPr>
          <a:spLocks noChangeAspect="1" noChangeArrowheads="1"/>
        </xdr:cNvSpPr>
      </xdr:nvSpPr>
      <xdr:spPr bwMode="auto">
        <a:xfrm>
          <a:off x="13411200" y="23210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113</xdr:row>
      <xdr:rowOff>0</xdr:rowOff>
    </xdr:from>
    <xdr:to>
      <xdr:col>0</xdr:col>
      <xdr:colOff>152400</xdr:colOff>
      <xdr:row>113</xdr:row>
      <xdr:rowOff>106680</xdr:rowOff>
    </xdr:to>
    <xdr:sp macro="" textlink="">
      <xdr:nvSpPr>
        <xdr:cNvPr id="2493" name="AutoShape 225" descr="BELGIUM2"/>
        <xdr:cNvSpPr>
          <a:spLocks noChangeAspect="1" noChangeArrowheads="1"/>
        </xdr:cNvSpPr>
      </xdr:nvSpPr>
      <xdr:spPr bwMode="auto">
        <a:xfrm>
          <a:off x="0" y="23385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113</xdr:row>
      <xdr:rowOff>0</xdr:rowOff>
    </xdr:from>
    <xdr:to>
      <xdr:col>22</xdr:col>
      <xdr:colOff>304800</xdr:colOff>
      <xdr:row>114</xdr:row>
      <xdr:rowOff>53340</xdr:rowOff>
    </xdr:to>
    <xdr:sp macro="" textlink="">
      <xdr:nvSpPr>
        <xdr:cNvPr id="2494" name="AutoShape 226" descr="https://www.soccerstats.com/img/own/sshplogo.png">
          <a:hlinkClick xmlns:r="http://schemas.openxmlformats.org/officeDocument/2006/relationships" r:id="rId113"/>
        </xdr:cNvPr>
        <xdr:cNvSpPr>
          <a:spLocks noChangeAspect="1" noChangeArrowheads="1"/>
        </xdr:cNvSpPr>
      </xdr:nvSpPr>
      <xdr:spPr bwMode="auto">
        <a:xfrm>
          <a:off x="13411200" y="23385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114</xdr:row>
      <xdr:rowOff>0</xdr:rowOff>
    </xdr:from>
    <xdr:to>
      <xdr:col>0</xdr:col>
      <xdr:colOff>152400</xdr:colOff>
      <xdr:row>114</xdr:row>
      <xdr:rowOff>106680</xdr:rowOff>
    </xdr:to>
    <xdr:sp macro="" textlink="">
      <xdr:nvSpPr>
        <xdr:cNvPr id="2495" name="AutoShape 227" descr="BELGIUM2"/>
        <xdr:cNvSpPr>
          <a:spLocks noChangeAspect="1" noChangeArrowheads="1"/>
        </xdr:cNvSpPr>
      </xdr:nvSpPr>
      <xdr:spPr bwMode="auto">
        <a:xfrm>
          <a:off x="0" y="23561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114</xdr:row>
      <xdr:rowOff>0</xdr:rowOff>
    </xdr:from>
    <xdr:to>
      <xdr:col>22</xdr:col>
      <xdr:colOff>304800</xdr:colOff>
      <xdr:row>115</xdr:row>
      <xdr:rowOff>53340</xdr:rowOff>
    </xdr:to>
    <xdr:sp macro="" textlink="">
      <xdr:nvSpPr>
        <xdr:cNvPr id="2496" name="AutoShape 228" descr="https://www.soccerstats.com/img/own/sshplogo.png">
          <a:hlinkClick xmlns:r="http://schemas.openxmlformats.org/officeDocument/2006/relationships" r:id="rId114"/>
        </xdr:cNvPr>
        <xdr:cNvSpPr>
          <a:spLocks noChangeAspect="1" noChangeArrowheads="1"/>
        </xdr:cNvSpPr>
      </xdr:nvSpPr>
      <xdr:spPr bwMode="auto">
        <a:xfrm>
          <a:off x="13411200" y="23561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115</xdr:row>
      <xdr:rowOff>0</xdr:rowOff>
    </xdr:from>
    <xdr:to>
      <xdr:col>0</xdr:col>
      <xdr:colOff>152400</xdr:colOff>
      <xdr:row>115</xdr:row>
      <xdr:rowOff>106680</xdr:rowOff>
    </xdr:to>
    <xdr:sp macro="" textlink="">
      <xdr:nvSpPr>
        <xdr:cNvPr id="2497" name="AutoShape 229" descr="BELGIUM2"/>
        <xdr:cNvSpPr>
          <a:spLocks noChangeAspect="1" noChangeArrowheads="1"/>
        </xdr:cNvSpPr>
      </xdr:nvSpPr>
      <xdr:spPr bwMode="auto">
        <a:xfrm>
          <a:off x="0" y="23736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115</xdr:row>
      <xdr:rowOff>0</xdr:rowOff>
    </xdr:from>
    <xdr:to>
      <xdr:col>22</xdr:col>
      <xdr:colOff>304800</xdr:colOff>
      <xdr:row>116</xdr:row>
      <xdr:rowOff>129540</xdr:rowOff>
    </xdr:to>
    <xdr:sp macro="" textlink="">
      <xdr:nvSpPr>
        <xdr:cNvPr id="2498" name="AutoShape 230" descr="https://www.soccerstats.com/img/own/sshplogo.png">
          <a:hlinkClick xmlns:r="http://schemas.openxmlformats.org/officeDocument/2006/relationships" r:id="rId115"/>
        </xdr:cNvPr>
        <xdr:cNvSpPr>
          <a:spLocks noChangeAspect="1" noChangeArrowheads="1"/>
        </xdr:cNvSpPr>
      </xdr:nvSpPr>
      <xdr:spPr bwMode="auto">
        <a:xfrm>
          <a:off x="13411200" y="23736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152400</xdr:colOff>
      <xdr:row>116</xdr:row>
      <xdr:rowOff>106680</xdr:rowOff>
    </xdr:to>
    <xdr:sp macro="" textlink="">
      <xdr:nvSpPr>
        <xdr:cNvPr id="2499" name="AutoShape 231" descr="BOSNIA"/>
        <xdr:cNvSpPr>
          <a:spLocks noChangeAspect="1" noChangeArrowheads="1"/>
        </xdr:cNvSpPr>
      </xdr:nvSpPr>
      <xdr:spPr bwMode="auto">
        <a:xfrm>
          <a:off x="0" y="23911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116</xdr:row>
      <xdr:rowOff>0</xdr:rowOff>
    </xdr:from>
    <xdr:to>
      <xdr:col>22</xdr:col>
      <xdr:colOff>304800</xdr:colOff>
      <xdr:row>117</xdr:row>
      <xdr:rowOff>129540</xdr:rowOff>
    </xdr:to>
    <xdr:sp macro="" textlink="">
      <xdr:nvSpPr>
        <xdr:cNvPr id="2500" name="AutoShape 232" descr="https://www.soccerstats.com/img/own/sshplogo.png">
          <a:hlinkClick xmlns:r="http://schemas.openxmlformats.org/officeDocument/2006/relationships" r:id="rId116"/>
        </xdr:cNvPr>
        <xdr:cNvSpPr>
          <a:spLocks noChangeAspect="1" noChangeArrowheads="1"/>
        </xdr:cNvSpPr>
      </xdr:nvSpPr>
      <xdr:spPr bwMode="auto">
        <a:xfrm>
          <a:off x="13411200" y="23911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152400</xdr:colOff>
      <xdr:row>117</xdr:row>
      <xdr:rowOff>106680</xdr:rowOff>
    </xdr:to>
    <xdr:sp macro="" textlink="">
      <xdr:nvSpPr>
        <xdr:cNvPr id="2501" name="AutoShape 233" descr="BOSNIA"/>
        <xdr:cNvSpPr>
          <a:spLocks noChangeAspect="1" noChangeArrowheads="1"/>
        </xdr:cNvSpPr>
      </xdr:nvSpPr>
      <xdr:spPr bwMode="auto">
        <a:xfrm>
          <a:off x="0" y="24163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117</xdr:row>
      <xdr:rowOff>0</xdr:rowOff>
    </xdr:from>
    <xdr:to>
      <xdr:col>22</xdr:col>
      <xdr:colOff>304800</xdr:colOff>
      <xdr:row>118</xdr:row>
      <xdr:rowOff>53340</xdr:rowOff>
    </xdr:to>
    <xdr:sp macro="" textlink="">
      <xdr:nvSpPr>
        <xdr:cNvPr id="2502" name="AutoShape 234" descr="https://www.soccerstats.com/img/own/sshplogo.png">
          <a:hlinkClick xmlns:r="http://schemas.openxmlformats.org/officeDocument/2006/relationships" r:id="rId117"/>
        </xdr:cNvPr>
        <xdr:cNvSpPr>
          <a:spLocks noChangeAspect="1" noChangeArrowheads="1"/>
        </xdr:cNvSpPr>
      </xdr:nvSpPr>
      <xdr:spPr bwMode="auto">
        <a:xfrm>
          <a:off x="13411200" y="24163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152400</xdr:colOff>
      <xdr:row>118</xdr:row>
      <xdr:rowOff>106680</xdr:rowOff>
    </xdr:to>
    <xdr:sp macro="" textlink="">
      <xdr:nvSpPr>
        <xdr:cNvPr id="2503" name="AutoShape 235" descr="BOSNIA"/>
        <xdr:cNvSpPr>
          <a:spLocks noChangeAspect="1" noChangeArrowheads="1"/>
        </xdr:cNvSpPr>
      </xdr:nvSpPr>
      <xdr:spPr bwMode="auto">
        <a:xfrm>
          <a:off x="0" y="24338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118</xdr:row>
      <xdr:rowOff>0</xdr:rowOff>
    </xdr:from>
    <xdr:to>
      <xdr:col>22</xdr:col>
      <xdr:colOff>304800</xdr:colOff>
      <xdr:row>119</xdr:row>
      <xdr:rowOff>53340</xdr:rowOff>
    </xdr:to>
    <xdr:sp macro="" textlink="">
      <xdr:nvSpPr>
        <xdr:cNvPr id="2504" name="AutoShape 236" descr="https://www.soccerstats.com/img/own/sshplogo.png">
          <a:hlinkClick xmlns:r="http://schemas.openxmlformats.org/officeDocument/2006/relationships" r:id="rId118"/>
        </xdr:cNvPr>
        <xdr:cNvSpPr>
          <a:spLocks noChangeAspect="1" noChangeArrowheads="1"/>
        </xdr:cNvSpPr>
      </xdr:nvSpPr>
      <xdr:spPr bwMode="auto">
        <a:xfrm>
          <a:off x="13411200" y="24338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152400</xdr:colOff>
      <xdr:row>119</xdr:row>
      <xdr:rowOff>106680</xdr:rowOff>
    </xdr:to>
    <xdr:sp macro="" textlink="">
      <xdr:nvSpPr>
        <xdr:cNvPr id="2505" name="AutoShape 237" descr="BOSNIA"/>
        <xdr:cNvSpPr>
          <a:spLocks noChangeAspect="1" noChangeArrowheads="1"/>
        </xdr:cNvSpPr>
      </xdr:nvSpPr>
      <xdr:spPr bwMode="auto">
        <a:xfrm>
          <a:off x="0" y="24589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119</xdr:row>
      <xdr:rowOff>0</xdr:rowOff>
    </xdr:from>
    <xdr:to>
      <xdr:col>22</xdr:col>
      <xdr:colOff>304800</xdr:colOff>
      <xdr:row>120</xdr:row>
      <xdr:rowOff>129540</xdr:rowOff>
    </xdr:to>
    <xdr:sp macro="" textlink="">
      <xdr:nvSpPr>
        <xdr:cNvPr id="2506" name="AutoShape 238" descr="https://www.soccerstats.com/img/own/sshplogo.png">
          <a:hlinkClick xmlns:r="http://schemas.openxmlformats.org/officeDocument/2006/relationships" r:id="rId119"/>
        </xdr:cNvPr>
        <xdr:cNvSpPr>
          <a:spLocks noChangeAspect="1" noChangeArrowheads="1"/>
        </xdr:cNvSpPr>
      </xdr:nvSpPr>
      <xdr:spPr bwMode="auto">
        <a:xfrm>
          <a:off x="13411200" y="24589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152400</xdr:colOff>
      <xdr:row>120</xdr:row>
      <xdr:rowOff>106680</xdr:rowOff>
    </xdr:to>
    <xdr:sp macro="" textlink="">
      <xdr:nvSpPr>
        <xdr:cNvPr id="2507" name="AutoShape 239" descr="BOSNIA"/>
        <xdr:cNvSpPr>
          <a:spLocks noChangeAspect="1" noChangeArrowheads="1"/>
        </xdr:cNvSpPr>
      </xdr:nvSpPr>
      <xdr:spPr bwMode="auto">
        <a:xfrm>
          <a:off x="0" y="24841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120</xdr:row>
      <xdr:rowOff>0</xdr:rowOff>
    </xdr:from>
    <xdr:to>
      <xdr:col>22</xdr:col>
      <xdr:colOff>304800</xdr:colOff>
      <xdr:row>121</xdr:row>
      <xdr:rowOff>129540</xdr:rowOff>
    </xdr:to>
    <xdr:sp macro="" textlink="">
      <xdr:nvSpPr>
        <xdr:cNvPr id="2508" name="AutoShape 240" descr="https://www.soccerstats.com/img/own/sshplogo.png">
          <a:hlinkClick xmlns:r="http://schemas.openxmlformats.org/officeDocument/2006/relationships" r:id="rId120"/>
        </xdr:cNvPr>
        <xdr:cNvSpPr>
          <a:spLocks noChangeAspect="1" noChangeArrowheads="1"/>
        </xdr:cNvSpPr>
      </xdr:nvSpPr>
      <xdr:spPr bwMode="auto">
        <a:xfrm>
          <a:off x="13411200" y="24841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152400</xdr:colOff>
      <xdr:row>121</xdr:row>
      <xdr:rowOff>106680</xdr:rowOff>
    </xdr:to>
    <xdr:sp macro="" textlink="">
      <xdr:nvSpPr>
        <xdr:cNvPr id="2509" name="AutoShape 241" descr="BRAZIL"/>
        <xdr:cNvSpPr>
          <a:spLocks noChangeAspect="1" noChangeArrowheads="1"/>
        </xdr:cNvSpPr>
      </xdr:nvSpPr>
      <xdr:spPr bwMode="auto">
        <a:xfrm>
          <a:off x="0" y="25016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121</xdr:row>
      <xdr:rowOff>0</xdr:rowOff>
    </xdr:from>
    <xdr:to>
      <xdr:col>22</xdr:col>
      <xdr:colOff>304800</xdr:colOff>
      <xdr:row>122</xdr:row>
      <xdr:rowOff>129540</xdr:rowOff>
    </xdr:to>
    <xdr:sp macro="" textlink="">
      <xdr:nvSpPr>
        <xdr:cNvPr id="2510" name="AutoShape 242" descr="https://www.soccerstats.com/img/own/sshplogo.png">
          <a:hlinkClick xmlns:r="http://schemas.openxmlformats.org/officeDocument/2006/relationships" r:id="rId121"/>
        </xdr:cNvPr>
        <xdr:cNvSpPr>
          <a:spLocks noChangeAspect="1" noChangeArrowheads="1"/>
        </xdr:cNvSpPr>
      </xdr:nvSpPr>
      <xdr:spPr bwMode="auto">
        <a:xfrm>
          <a:off x="13411200" y="25016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152400</xdr:colOff>
      <xdr:row>122</xdr:row>
      <xdr:rowOff>106680</xdr:rowOff>
    </xdr:to>
    <xdr:sp macro="" textlink="">
      <xdr:nvSpPr>
        <xdr:cNvPr id="2511" name="AutoShape 243" descr="BRAZIL"/>
        <xdr:cNvSpPr>
          <a:spLocks noChangeAspect="1" noChangeArrowheads="1"/>
        </xdr:cNvSpPr>
      </xdr:nvSpPr>
      <xdr:spPr bwMode="auto">
        <a:xfrm>
          <a:off x="0" y="25191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122</xdr:row>
      <xdr:rowOff>0</xdr:rowOff>
    </xdr:from>
    <xdr:to>
      <xdr:col>22</xdr:col>
      <xdr:colOff>304800</xdr:colOff>
      <xdr:row>123</xdr:row>
      <xdr:rowOff>129540</xdr:rowOff>
    </xdr:to>
    <xdr:sp macro="" textlink="">
      <xdr:nvSpPr>
        <xdr:cNvPr id="2512" name="AutoShape 244" descr="https://www.soccerstats.com/img/own/sshplogo.png">
          <a:hlinkClick xmlns:r="http://schemas.openxmlformats.org/officeDocument/2006/relationships" r:id="rId122"/>
        </xdr:cNvPr>
        <xdr:cNvSpPr>
          <a:spLocks noChangeAspect="1" noChangeArrowheads="1"/>
        </xdr:cNvSpPr>
      </xdr:nvSpPr>
      <xdr:spPr bwMode="auto">
        <a:xfrm>
          <a:off x="13411200" y="25191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152400</xdr:colOff>
      <xdr:row>123</xdr:row>
      <xdr:rowOff>106680</xdr:rowOff>
    </xdr:to>
    <xdr:sp macro="" textlink="">
      <xdr:nvSpPr>
        <xdr:cNvPr id="2513" name="AutoShape 245" descr="BRAZIL2"/>
        <xdr:cNvSpPr>
          <a:spLocks noChangeAspect="1" noChangeArrowheads="1"/>
        </xdr:cNvSpPr>
      </xdr:nvSpPr>
      <xdr:spPr bwMode="auto">
        <a:xfrm>
          <a:off x="0" y="25366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123</xdr:row>
      <xdr:rowOff>0</xdr:rowOff>
    </xdr:from>
    <xdr:to>
      <xdr:col>22</xdr:col>
      <xdr:colOff>304800</xdr:colOff>
      <xdr:row>124</xdr:row>
      <xdr:rowOff>129540</xdr:rowOff>
    </xdr:to>
    <xdr:sp macro="" textlink="">
      <xdr:nvSpPr>
        <xdr:cNvPr id="2514" name="AutoShape 246" descr="https://www.soccerstats.com/img/own/sshplogo.png">
          <a:hlinkClick xmlns:r="http://schemas.openxmlformats.org/officeDocument/2006/relationships" r:id="rId123"/>
        </xdr:cNvPr>
        <xdr:cNvSpPr>
          <a:spLocks noChangeAspect="1" noChangeArrowheads="1"/>
        </xdr:cNvSpPr>
      </xdr:nvSpPr>
      <xdr:spPr bwMode="auto">
        <a:xfrm>
          <a:off x="13411200" y="25366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152400</xdr:colOff>
      <xdr:row>124</xdr:row>
      <xdr:rowOff>106680</xdr:rowOff>
    </xdr:to>
    <xdr:sp macro="" textlink="">
      <xdr:nvSpPr>
        <xdr:cNvPr id="2515" name="AutoShape 247" descr="BRAZIL2"/>
        <xdr:cNvSpPr>
          <a:spLocks noChangeAspect="1" noChangeArrowheads="1"/>
        </xdr:cNvSpPr>
      </xdr:nvSpPr>
      <xdr:spPr bwMode="auto">
        <a:xfrm>
          <a:off x="0" y="25542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124</xdr:row>
      <xdr:rowOff>0</xdr:rowOff>
    </xdr:from>
    <xdr:to>
      <xdr:col>22</xdr:col>
      <xdr:colOff>304800</xdr:colOff>
      <xdr:row>125</xdr:row>
      <xdr:rowOff>53340</xdr:rowOff>
    </xdr:to>
    <xdr:sp macro="" textlink="">
      <xdr:nvSpPr>
        <xdr:cNvPr id="2516" name="AutoShape 248" descr="https://www.soccerstats.com/img/own/sshplogo.png">
          <a:hlinkClick xmlns:r="http://schemas.openxmlformats.org/officeDocument/2006/relationships" r:id="rId124"/>
        </xdr:cNvPr>
        <xdr:cNvSpPr>
          <a:spLocks noChangeAspect="1" noChangeArrowheads="1"/>
        </xdr:cNvSpPr>
      </xdr:nvSpPr>
      <xdr:spPr bwMode="auto">
        <a:xfrm>
          <a:off x="13411200" y="25542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152400</xdr:colOff>
      <xdr:row>125</xdr:row>
      <xdr:rowOff>106680</xdr:rowOff>
    </xdr:to>
    <xdr:sp macro="" textlink="">
      <xdr:nvSpPr>
        <xdr:cNvPr id="2517" name="AutoShape 249" descr="BRAZIL2"/>
        <xdr:cNvSpPr>
          <a:spLocks noChangeAspect="1" noChangeArrowheads="1"/>
        </xdr:cNvSpPr>
      </xdr:nvSpPr>
      <xdr:spPr bwMode="auto">
        <a:xfrm>
          <a:off x="0" y="25717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125</xdr:row>
      <xdr:rowOff>0</xdr:rowOff>
    </xdr:from>
    <xdr:to>
      <xdr:col>22</xdr:col>
      <xdr:colOff>304800</xdr:colOff>
      <xdr:row>126</xdr:row>
      <xdr:rowOff>129540</xdr:rowOff>
    </xdr:to>
    <xdr:sp macro="" textlink="">
      <xdr:nvSpPr>
        <xdr:cNvPr id="2518" name="AutoShape 250" descr="https://www.soccerstats.com/img/own/sshplogo.png">
          <a:hlinkClick xmlns:r="http://schemas.openxmlformats.org/officeDocument/2006/relationships" r:id="rId125"/>
        </xdr:cNvPr>
        <xdr:cNvSpPr>
          <a:spLocks noChangeAspect="1" noChangeArrowheads="1"/>
        </xdr:cNvSpPr>
      </xdr:nvSpPr>
      <xdr:spPr bwMode="auto">
        <a:xfrm>
          <a:off x="13411200" y="2571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126</xdr:row>
      <xdr:rowOff>0</xdr:rowOff>
    </xdr:from>
    <xdr:to>
      <xdr:col>0</xdr:col>
      <xdr:colOff>152400</xdr:colOff>
      <xdr:row>126</xdr:row>
      <xdr:rowOff>106680</xdr:rowOff>
    </xdr:to>
    <xdr:sp macro="" textlink="">
      <xdr:nvSpPr>
        <xdr:cNvPr id="2519" name="AutoShape 251" descr="BRAZIL2"/>
        <xdr:cNvSpPr>
          <a:spLocks noChangeAspect="1" noChangeArrowheads="1"/>
        </xdr:cNvSpPr>
      </xdr:nvSpPr>
      <xdr:spPr bwMode="auto">
        <a:xfrm>
          <a:off x="0" y="25892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126</xdr:row>
      <xdr:rowOff>0</xdr:rowOff>
    </xdr:from>
    <xdr:to>
      <xdr:col>22</xdr:col>
      <xdr:colOff>304800</xdr:colOff>
      <xdr:row>127</xdr:row>
      <xdr:rowOff>129540</xdr:rowOff>
    </xdr:to>
    <xdr:sp macro="" textlink="">
      <xdr:nvSpPr>
        <xdr:cNvPr id="2520" name="AutoShape 252" descr="https://www.soccerstats.com/img/own/sshplogo.png">
          <a:hlinkClick xmlns:r="http://schemas.openxmlformats.org/officeDocument/2006/relationships" r:id="rId126"/>
        </xdr:cNvPr>
        <xdr:cNvSpPr>
          <a:spLocks noChangeAspect="1" noChangeArrowheads="1"/>
        </xdr:cNvSpPr>
      </xdr:nvSpPr>
      <xdr:spPr bwMode="auto">
        <a:xfrm>
          <a:off x="13411200" y="25892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152400</xdr:colOff>
      <xdr:row>127</xdr:row>
      <xdr:rowOff>106680</xdr:rowOff>
    </xdr:to>
    <xdr:sp macro="" textlink="">
      <xdr:nvSpPr>
        <xdr:cNvPr id="2521" name="AutoShape 253" descr="BRAZIL3"/>
        <xdr:cNvSpPr>
          <a:spLocks noChangeAspect="1" noChangeArrowheads="1"/>
        </xdr:cNvSpPr>
      </xdr:nvSpPr>
      <xdr:spPr bwMode="auto">
        <a:xfrm>
          <a:off x="0" y="26068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127</xdr:row>
      <xdr:rowOff>0</xdr:rowOff>
    </xdr:from>
    <xdr:to>
      <xdr:col>22</xdr:col>
      <xdr:colOff>304800</xdr:colOff>
      <xdr:row>128</xdr:row>
      <xdr:rowOff>129540</xdr:rowOff>
    </xdr:to>
    <xdr:sp macro="" textlink="">
      <xdr:nvSpPr>
        <xdr:cNvPr id="2522" name="AutoShape 254" descr="https://www.soccerstats.com/img/own/sshplogo.png">
          <a:hlinkClick xmlns:r="http://schemas.openxmlformats.org/officeDocument/2006/relationships" r:id="rId127"/>
        </xdr:cNvPr>
        <xdr:cNvSpPr>
          <a:spLocks noChangeAspect="1" noChangeArrowheads="1"/>
        </xdr:cNvSpPr>
      </xdr:nvSpPr>
      <xdr:spPr bwMode="auto">
        <a:xfrm>
          <a:off x="13411200" y="26068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152400</xdr:colOff>
      <xdr:row>128</xdr:row>
      <xdr:rowOff>106680</xdr:rowOff>
    </xdr:to>
    <xdr:sp macro="" textlink="">
      <xdr:nvSpPr>
        <xdr:cNvPr id="2523" name="AutoShape 255" descr="BRAZIL3"/>
        <xdr:cNvSpPr>
          <a:spLocks noChangeAspect="1" noChangeArrowheads="1"/>
        </xdr:cNvSpPr>
      </xdr:nvSpPr>
      <xdr:spPr bwMode="auto">
        <a:xfrm>
          <a:off x="0" y="26243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128</xdr:row>
      <xdr:rowOff>0</xdr:rowOff>
    </xdr:from>
    <xdr:to>
      <xdr:col>22</xdr:col>
      <xdr:colOff>304800</xdr:colOff>
      <xdr:row>129</xdr:row>
      <xdr:rowOff>53340</xdr:rowOff>
    </xdr:to>
    <xdr:sp macro="" textlink="">
      <xdr:nvSpPr>
        <xdr:cNvPr id="2524" name="AutoShape 256" descr="https://www.soccerstats.com/img/own/sshplogo.png">
          <a:hlinkClick xmlns:r="http://schemas.openxmlformats.org/officeDocument/2006/relationships" r:id="rId128"/>
        </xdr:cNvPr>
        <xdr:cNvSpPr>
          <a:spLocks noChangeAspect="1" noChangeArrowheads="1"/>
        </xdr:cNvSpPr>
      </xdr:nvSpPr>
      <xdr:spPr bwMode="auto">
        <a:xfrm>
          <a:off x="13411200" y="26243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152400</xdr:colOff>
      <xdr:row>129</xdr:row>
      <xdr:rowOff>106680</xdr:rowOff>
    </xdr:to>
    <xdr:sp macro="" textlink="">
      <xdr:nvSpPr>
        <xdr:cNvPr id="2525" name="AutoShape 257" descr="BRAZIL3"/>
        <xdr:cNvSpPr>
          <a:spLocks noChangeAspect="1" noChangeArrowheads="1"/>
        </xdr:cNvSpPr>
      </xdr:nvSpPr>
      <xdr:spPr bwMode="auto">
        <a:xfrm>
          <a:off x="0" y="26494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129</xdr:row>
      <xdr:rowOff>0</xdr:rowOff>
    </xdr:from>
    <xdr:to>
      <xdr:col>22</xdr:col>
      <xdr:colOff>304800</xdr:colOff>
      <xdr:row>130</xdr:row>
      <xdr:rowOff>53340</xdr:rowOff>
    </xdr:to>
    <xdr:sp macro="" textlink="">
      <xdr:nvSpPr>
        <xdr:cNvPr id="2526" name="AutoShape 258" descr="https://www.soccerstats.com/img/own/sshplogo.png">
          <a:hlinkClick xmlns:r="http://schemas.openxmlformats.org/officeDocument/2006/relationships" r:id="rId129"/>
        </xdr:cNvPr>
        <xdr:cNvSpPr>
          <a:spLocks noChangeAspect="1" noChangeArrowheads="1"/>
        </xdr:cNvSpPr>
      </xdr:nvSpPr>
      <xdr:spPr bwMode="auto">
        <a:xfrm>
          <a:off x="13411200" y="26494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152400</xdr:colOff>
      <xdr:row>130</xdr:row>
      <xdr:rowOff>106680</xdr:rowOff>
    </xdr:to>
    <xdr:sp macro="" textlink="">
      <xdr:nvSpPr>
        <xdr:cNvPr id="2527" name="AutoShape 259" descr="BRAZIL3"/>
        <xdr:cNvSpPr>
          <a:spLocks noChangeAspect="1" noChangeArrowheads="1"/>
        </xdr:cNvSpPr>
      </xdr:nvSpPr>
      <xdr:spPr bwMode="auto">
        <a:xfrm>
          <a:off x="0" y="26670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130</xdr:row>
      <xdr:rowOff>0</xdr:rowOff>
    </xdr:from>
    <xdr:to>
      <xdr:col>22</xdr:col>
      <xdr:colOff>304800</xdr:colOff>
      <xdr:row>131</xdr:row>
      <xdr:rowOff>129540</xdr:rowOff>
    </xdr:to>
    <xdr:sp macro="" textlink="">
      <xdr:nvSpPr>
        <xdr:cNvPr id="2528" name="AutoShape 260" descr="https://www.soccerstats.com/img/own/sshplogo.png">
          <a:hlinkClick xmlns:r="http://schemas.openxmlformats.org/officeDocument/2006/relationships" r:id="rId130"/>
        </xdr:cNvPr>
        <xdr:cNvSpPr>
          <a:spLocks noChangeAspect="1" noChangeArrowheads="1"/>
        </xdr:cNvSpPr>
      </xdr:nvSpPr>
      <xdr:spPr bwMode="auto">
        <a:xfrm>
          <a:off x="13411200" y="2667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152400</xdr:colOff>
      <xdr:row>131</xdr:row>
      <xdr:rowOff>106680</xdr:rowOff>
    </xdr:to>
    <xdr:sp macro="" textlink="">
      <xdr:nvSpPr>
        <xdr:cNvPr id="2529" name="AutoShape 261" descr="BRAZIL5"/>
        <xdr:cNvSpPr>
          <a:spLocks noChangeAspect="1" noChangeArrowheads="1"/>
        </xdr:cNvSpPr>
      </xdr:nvSpPr>
      <xdr:spPr bwMode="auto">
        <a:xfrm>
          <a:off x="0" y="26845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131</xdr:row>
      <xdr:rowOff>0</xdr:rowOff>
    </xdr:from>
    <xdr:to>
      <xdr:col>22</xdr:col>
      <xdr:colOff>304800</xdr:colOff>
      <xdr:row>132</xdr:row>
      <xdr:rowOff>129540</xdr:rowOff>
    </xdr:to>
    <xdr:sp macro="" textlink="">
      <xdr:nvSpPr>
        <xdr:cNvPr id="2530" name="AutoShape 262" descr="https://www.soccerstats.com/img/own/sshplogo.png">
          <a:hlinkClick xmlns:r="http://schemas.openxmlformats.org/officeDocument/2006/relationships" r:id="rId131"/>
        </xdr:cNvPr>
        <xdr:cNvSpPr>
          <a:spLocks noChangeAspect="1" noChangeArrowheads="1"/>
        </xdr:cNvSpPr>
      </xdr:nvSpPr>
      <xdr:spPr bwMode="auto">
        <a:xfrm>
          <a:off x="13411200" y="26845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132</xdr:row>
      <xdr:rowOff>0</xdr:rowOff>
    </xdr:from>
    <xdr:to>
      <xdr:col>0</xdr:col>
      <xdr:colOff>152400</xdr:colOff>
      <xdr:row>132</xdr:row>
      <xdr:rowOff>106680</xdr:rowOff>
    </xdr:to>
    <xdr:sp macro="" textlink="">
      <xdr:nvSpPr>
        <xdr:cNvPr id="2531" name="AutoShape 263" descr="BRAZIL5"/>
        <xdr:cNvSpPr>
          <a:spLocks noChangeAspect="1" noChangeArrowheads="1"/>
        </xdr:cNvSpPr>
      </xdr:nvSpPr>
      <xdr:spPr bwMode="auto">
        <a:xfrm>
          <a:off x="0" y="27096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132</xdr:row>
      <xdr:rowOff>0</xdr:rowOff>
    </xdr:from>
    <xdr:to>
      <xdr:col>22</xdr:col>
      <xdr:colOff>304800</xdr:colOff>
      <xdr:row>133</xdr:row>
      <xdr:rowOff>129540</xdr:rowOff>
    </xdr:to>
    <xdr:sp macro="" textlink="">
      <xdr:nvSpPr>
        <xdr:cNvPr id="2532" name="AutoShape 264" descr="https://www.soccerstats.com/img/own/sshplogo.png">
          <a:hlinkClick xmlns:r="http://schemas.openxmlformats.org/officeDocument/2006/relationships" r:id="rId132"/>
        </xdr:cNvPr>
        <xdr:cNvSpPr>
          <a:spLocks noChangeAspect="1" noChangeArrowheads="1"/>
        </xdr:cNvSpPr>
      </xdr:nvSpPr>
      <xdr:spPr bwMode="auto">
        <a:xfrm>
          <a:off x="13411200" y="27096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152400</xdr:colOff>
      <xdr:row>133</xdr:row>
      <xdr:rowOff>106680</xdr:rowOff>
    </xdr:to>
    <xdr:sp macro="" textlink="">
      <xdr:nvSpPr>
        <xdr:cNvPr id="2533" name="AutoShape 265" descr="BRAZIL5"/>
        <xdr:cNvSpPr>
          <a:spLocks noChangeAspect="1" noChangeArrowheads="1"/>
        </xdr:cNvSpPr>
      </xdr:nvSpPr>
      <xdr:spPr bwMode="auto">
        <a:xfrm>
          <a:off x="0" y="27348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133</xdr:row>
      <xdr:rowOff>0</xdr:rowOff>
    </xdr:from>
    <xdr:to>
      <xdr:col>22</xdr:col>
      <xdr:colOff>304800</xdr:colOff>
      <xdr:row>134</xdr:row>
      <xdr:rowOff>129540</xdr:rowOff>
    </xdr:to>
    <xdr:sp macro="" textlink="">
      <xdr:nvSpPr>
        <xdr:cNvPr id="2534" name="AutoShape 266" descr="https://www.soccerstats.com/img/own/sshplogo.png">
          <a:hlinkClick xmlns:r="http://schemas.openxmlformats.org/officeDocument/2006/relationships" r:id="rId133"/>
        </xdr:cNvPr>
        <xdr:cNvSpPr>
          <a:spLocks noChangeAspect="1" noChangeArrowheads="1"/>
        </xdr:cNvSpPr>
      </xdr:nvSpPr>
      <xdr:spPr bwMode="auto">
        <a:xfrm>
          <a:off x="13411200" y="27348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152400</xdr:colOff>
      <xdr:row>134</xdr:row>
      <xdr:rowOff>106680</xdr:rowOff>
    </xdr:to>
    <xdr:sp macro="" textlink="">
      <xdr:nvSpPr>
        <xdr:cNvPr id="2535" name="AutoShape 267" descr="BRAZIL5"/>
        <xdr:cNvSpPr>
          <a:spLocks noChangeAspect="1" noChangeArrowheads="1"/>
        </xdr:cNvSpPr>
      </xdr:nvSpPr>
      <xdr:spPr bwMode="auto">
        <a:xfrm>
          <a:off x="0" y="27599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134</xdr:row>
      <xdr:rowOff>0</xdr:rowOff>
    </xdr:from>
    <xdr:to>
      <xdr:col>22</xdr:col>
      <xdr:colOff>304800</xdr:colOff>
      <xdr:row>135</xdr:row>
      <xdr:rowOff>129540</xdr:rowOff>
    </xdr:to>
    <xdr:sp macro="" textlink="">
      <xdr:nvSpPr>
        <xdr:cNvPr id="2536" name="AutoShape 268" descr="https://www.soccerstats.com/img/own/sshplogo.png">
          <a:hlinkClick xmlns:r="http://schemas.openxmlformats.org/officeDocument/2006/relationships" r:id="rId134"/>
        </xdr:cNvPr>
        <xdr:cNvSpPr>
          <a:spLocks noChangeAspect="1" noChangeArrowheads="1"/>
        </xdr:cNvSpPr>
      </xdr:nvSpPr>
      <xdr:spPr bwMode="auto">
        <a:xfrm>
          <a:off x="13411200" y="27599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152400</xdr:colOff>
      <xdr:row>135</xdr:row>
      <xdr:rowOff>106680</xdr:rowOff>
    </xdr:to>
    <xdr:sp macro="" textlink="">
      <xdr:nvSpPr>
        <xdr:cNvPr id="2537" name="AutoShape 269" descr="BRAZIL5"/>
        <xdr:cNvSpPr>
          <a:spLocks noChangeAspect="1" noChangeArrowheads="1"/>
        </xdr:cNvSpPr>
      </xdr:nvSpPr>
      <xdr:spPr bwMode="auto">
        <a:xfrm>
          <a:off x="0" y="27851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135</xdr:row>
      <xdr:rowOff>0</xdr:rowOff>
    </xdr:from>
    <xdr:to>
      <xdr:col>22</xdr:col>
      <xdr:colOff>304800</xdr:colOff>
      <xdr:row>136</xdr:row>
      <xdr:rowOff>129540</xdr:rowOff>
    </xdr:to>
    <xdr:sp macro="" textlink="">
      <xdr:nvSpPr>
        <xdr:cNvPr id="2538" name="AutoShape 270" descr="https://www.soccerstats.com/img/own/sshplogo.png">
          <a:hlinkClick xmlns:r="http://schemas.openxmlformats.org/officeDocument/2006/relationships" r:id="rId135"/>
        </xdr:cNvPr>
        <xdr:cNvSpPr>
          <a:spLocks noChangeAspect="1" noChangeArrowheads="1"/>
        </xdr:cNvSpPr>
      </xdr:nvSpPr>
      <xdr:spPr bwMode="auto">
        <a:xfrm>
          <a:off x="13411200" y="27851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152400</xdr:colOff>
      <xdr:row>136</xdr:row>
      <xdr:rowOff>106680</xdr:rowOff>
    </xdr:to>
    <xdr:sp macro="" textlink="">
      <xdr:nvSpPr>
        <xdr:cNvPr id="2539" name="AutoShape 271" descr="BRAZIL5"/>
        <xdr:cNvSpPr>
          <a:spLocks noChangeAspect="1" noChangeArrowheads="1"/>
        </xdr:cNvSpPr>
      </xdr:nvSpPr>
      <xdr:spPr bwMode="auto">
        <a:xfrm>
          <a:off x="0" y="28026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136</xdr:row>
      <xdr:rowOff>0</xdr:rowOff>
    </xdr:from>
    <xdr:to>
      <xdr:col>22</xdr:col>
      <xdr:colOff>304800</xdr:colOff>
      <xdr:row>137</xdr:row>
      <xdr:rowOff>53340</xdr:rowOff>
    </xdr:to>
    <xdr:sp macro="" textlink="">
      <xdr:nvSpPr>
        <xdr:cNvPr id="2540" name="AutoShape 272" descr="https://www.soccerstats.com/img/own/sshplogo.png">
          <a:hlinkClick xmlns:r="http://schemas.openxmlformats.org/officeDocument/2006/relationships" r:id="rId136"/>
        </xdr:cNvPr>
        <xdr:cNvSpPr>
          <a:spLocks noChangeAspect="1" noChangeArrowheads="1"/>
        </xdr:cNvSpPr>
      </xdr:nvSpPr>
      <xdr:spPr bwMode="auto">
        <a:xfrm>
          <a:off x="13411200" y="28026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152400</xdr:colOff>
      <xdr:row>137</xdr:row>
      <xdr:rowOff>106680</xdr:rowOff>
    </xdr:to>
    <xdr:sp macro="" textlink="">
      <xdr:nvSpPr>
        <xdr:cNvPr id="2541" name="AutoShape 273" descr="BULGARIA"/>
        <xdr:cNvSpPr>
          <a:spLocks noChangeAspect="1" noChangeArrowheads="1"/>
        </xdr:cNvSpPr>
      </xdr:nvSpPr>
      <xdr:spPr bwMode="auto">
        <a:xfrm>
          <a:off x="0" y="28277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137</xdr:row>
      <xdr:rowOff>0</xdr:rowOff>
    </xdr:from>
    <xdr:to>
      <xdr:col>22</xdr:col>
      <xdr:colOff>304800</xdr:colOff>
      <xdr:row>138</xdr:row>
      <xdr:rowOff>53340</xdr:rowOff>
    </xdr:to>
    <xdr:sp macro="" textlink="">
      <xdr:nvSpPr>
        <xdr:cNvPr id="2542" name="AutoShape 274" descr="https://www.soccerstats.com/img/own/sshplogo.png">
          <a:hlinkClick xmlns:r="http://schemas.openxmlformats.org/officeDocument/2006/relationships" r:id="rId137"/>
        </xdr:cNvPr>
        <xdr:cNvSpPr>
          <a:spLocks noChangeAspect="1" noChangeArrowheads="1"/>
        </xdr:cNvSpPr>
      </xdr:nvSpPr>
      <xdr:spPr bwMode="auto">
        <a:xfrm>
          <a:off x="13411200" y="28277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138</xdr:row>
      <xdr:rowOff>0</xdr:rowOff>
    </xdr:from>
    <xdr:to>
      <xdr:col>0</xdr:col>
      <xdr:colOff>152400</xdr:colOff>
      <xdr:row>138</xdr:row>
      <xdr:rowOff>106680</xdr:rowOff>
    </xdr:to>
    <xdr:sp macro="" textlink="">
      <xdr:nvSpPr>
        <xdr:cNvPr id="2543" name="AutoShape 275" descr="BULGARIA"/>
        <xdr:cNvSpPr>
          <a:spLocks noChangeAspect="1" noChangeArrowheads="1"/>
        </xdr:cNvSpPr>
      </xdr:nvSpPr>
      <xdr:spPr bwMode="auto">
        <a:xfrm>
          <a:off x="0" y="28453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138</xdr:row>
      <xdr:rowOff>0</xdr:rowOff>
    </xdr:from>
    <xdr:to>
      <xdr:col>22</xdr:col>
      <xdr:colOff>304800</xdr:colOff>
      <xdr:row>139</xdr:row>
      <xdr:rowOff>53340</xdr:rowOff>
    </xdr:to>
    <xdr:sp macro="" textlink="">
      <xdr:nvSpPr>
        <xdr:cNvPr id="2544" name="AutoShape 276" descr="https://www.soccerstats.com/img/own/sshplogo.png">
          <a:hlinkClick xmlns:r="http://schemas.openxmlformats.org/officeDocument/2006/relationships" r:id="rId138"/>
        </xdr:cNvPr>
        <xdr:cNvSpPr>
          <a:spLocks noChangeAspect="1" noChangeArrowheads="1"/>
        </xdr:cNvSpPr>
      </xdr:nvSpPr>
      <xdr:spPr bwMode="auto">
        <a:xfrm>
          <a:off x="13411200" y="28453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152400</xdr:colOff>
      <xdr:row>139</xdr:row>
      <xdr:rowOff>106680</xdr:rowOff>
    </xdr:to>
    <xdr:sp macro="" textlink="">
      <xdr:nvSpPr>
        <xdr:cNvPr id="2545" name="AutoShape 277" descr="CANADA"/>
        <xdr:cNvSpPr>
          <a:spLocks noChangeAspect="1" noChangeArrowheads="1"/>
        </xdr:cNvSpPr>
      </xdr:nvSpPr>
      <xdr:spPr bwMode="auto">
        <a:xfrm>
          <a:off x="0" y="28628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139</xdr:row>
      <xdr:rowOff>0</xdr:rowOff>
    </xdr:from>
    <xdr:to>
      <xdr:col>22</xdr:col>
      <xdr:colOff>304800</xdr:colOff>
      <xdr:row>140</xdr:row>
      <xdr:rowOff>129540</xdr:rowOff>
    </xdr:to>
    <xdr:sp macro="" textlink="">
      <xdr:nvSpPr>
        <xdr:cNvPr id="2546" name="AutoShape 278" descr="https://www.soccerstats.com/img/own/sshplogo.png">
          <a:hlinkClick xmlns:r="http://schemas.openxmlformats.org/officeDocument/2006/relationships" r:id="rId139"/>
        </xdr:cNvPr>
        <xdr:cNvSpPr>
          <a:spLocks noChangeAspect="1" noChangeArrowheads="1"/>
        </xdr:cNvSpPr>
      </xdr:nvSpPr>
      <xdr:spPr bwMode="auto">
        <a:xfrm>
          <a:off x="13411200" y="2862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140</xdr:row>
      <xdr:rowOff>0</xdr:rowOff>
    </xdr:from>
    <xdr:to>
      <xdr:col>0</xdr:col>
      <xdr:colOff>152400</xdr:colOff>
      <xdr:row>140</xdr:row>
      <xdr:rowOff>106680</xdr:rowOff>
    </xdr:to>
    <xdr:sp macro="" textlink="">
      <xdr:nvSpPr>
        <xdr:cNvPr id="2547" name="AutoShape 279" descr="CANADA"/>
        <xdr:cNvSpPr>
          <a:spLocks noChangeAspect="1" noChangeArrowheads="1"/>
        </xdr:cNvSpPr>
      </xdr:nvSpPr>
      <xdr:spPr bwMode="auto">
        <a:xfrm>
          <a:off x="0" y="28803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140</xdr:row>
      <xdr:rowOff>0</xdr:rowOff>
    </xdr:from>
    <xdr:to>
      <xdr:col>22</xdr:col>
      <xdr:colOff>304800</xdr:colOff>
      <xdr:row>141</xdr:row>
      <xdr:rowOff>53340</xdr:rowOff>
    </xdr:to>
    <xdr:sp macro="" textlink="">
      <xdr:nvSpPr>
        <xdr:cNvPr id="2548" name="AutoShape 280" descr="https://www.soccerstats.com/img/own/sshplogo.png">
          <a:hlinkClick xmlns:r="http://schemas.openxmlformats.org/officeDocument/2006/relationships" r:id="rId140"/>
        </xdr:cNvPr>
        <xdr:cNvSpPr>
          <a:spLocks noChangeAspect="1" noChangeArrowheads="1"/>
        </xdr:cNvSpPr>
      </xdr:nvSpPr>
      <xdr:spPr bwMode="auto">
        <a:xfrm>
          <a:off x="13411200" y="28803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549" name="AutoShape 281" descr="CHILE"/>
        <xdr:cNvSpPr>
          <a:spLocks noChangeAspect="1" noChangeArrowheads="1"/>
        </xdr:cNvSpPr>
      </xdr:nvSpPr>
      <xdr:spPr bwMode="auto">
        <a:xfrm>
          <a:off x="0" y="28978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550" name="AutoShape 282" descr="https://www.soccerstats.com/img/own/sshplogo.png">
          <a:hlinkClick xmlns:r="http://schemas.openxmlformats.org/officeDocument/2006/relationships" r:id="rId141"/>
        </xdr:cNvPr>
        <xdr:cNvSpPr>
          <a:spLocks noChangeAspect="1" noChangeArrowheads="1"/>
        </xdr:cNvSpPr>
      </xdr:nvSpPr>
      <xdr:spPr bwMode="auto">
        <a:xfrm>
          <a:off x="13411200" y="28978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551" name="AutoShape 283" descr="CHILE2"/>
        <xdr:cNvSpPr>
          <a:spLocks noChangeAspect="1" noChangeArrowheads="1"/>
        </xdr:cNvSpPr>
      </xdr:nvSpPr>
      <xdr:spPr bwMode="auto">
        <a:xfrm>
          <a:off x="0" y="29154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552" name="AutoShape 284" descr="https://www.soccerstats.com/img/own/sshplogo.png">
          <a:hlinkClick xmlns:r="http://schemas.openxmlformats.org/officeDocument/2006/relationships" r:id="rId142"/>
        </xdr:cNvPr>
        <xdr:cNvSpPr>
          <a:spLocks noChangeAspect="1" noChangeArrowheads="1"/>
        </xdr:cNvSpPr>
      </xdr:nvSpPr>
      <xdr:spPr bwMode="auto">
        <a:xfrm>
          <a:off x="13411200" y="29154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553" name="AutoShape 285" descr="CHINA"/>
        <xdr:cNvSpPr>
          <a:spLocks noChangeAspect="1" noChangeArrowheads="1"/>
        </xdr:cNvSpPr>
      </xdr:nvSpPr>
      <xdr:spPr bwMode="auto">
        <a:xfrm>
          <a:off x="0" y="29329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554" name="AutoShape 286" descr="https://www.soccerstats.com/img/own/sshplogo.png">
          <a:hlinkClick xmlns:r="http://schemas.openxmlformats.org/officeDocument/2006/relationships" r:id="rId143"/>
        </xdr:cNvPr>
        <xdr:cNvSpPr>
          <a:spLocks noChangeAspect="1" noChangeArrowheads="1"/>
        </xdr:cNvSpPr>
      </xdr:nvSpPr>
      <xdr:spPr bwMode="auto">
        <a:xfrm>
          <a:off x="13411200" y="29329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555" name="AutoShape 287" descr="CHINA"/>
        <xdr:cNvSpPr>
          <a:spLocks noChangeAspect="1" noChangeArrowheads="1"/>
        </xdr:cNvSpPr>
      </xdr:nvSpPr>
      <xdr:spPr bwMode="auto">
        <a:xfrm>
          <a:off x="0" y="29580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556" name="AutoShape 288" descr="https://www.soccerstats.com/img/own/sshplogo.png">
          <a:hlinkClick xmlns:r="http://schemas.openxmlformats.org/officeDocument/2006/relationships" r:id="rId144"/>
        </xdr:cNvPr>
        <xdr:cNvSpPr>
          <a:spLocks noChangeAspect="1" noChangeArrowheads="1"/>
        </xdr:cNvSpPr>
      </xdr:nvSpPr>
      <xdr:spPr bwMode="auto">
        <a:xfrm>
          <a:off x="13411200" y="29580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557" name="AutoShape 289" descr="CHINA"/>
        <xdr:cNvSpPr>
          <a:spLocks noChangeAspect="1" noChangeArrowheads="1"/>
        </xdr:cNvSpPr>
      </xdr:nvSpPr>
      <xdr:spPr bwMode="auto">
        <a:xfrm>
          <a:off x="0" y="29832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558" name="AutoShape 290" descr="https://www.soccerstats.com/img/own/sshplogo.png">
          <a:hlinkClick xmlns:r="http://schemas.openxmlformats.org/officeDocument/2006/relationships" r:id="rId145"/>
        </xdr:cNvPr>
        <xdr:cNvSpPr>
          <a:spLocks noChangeAspect="1" noChangeArrowheads="1"/>
        </xdr:cNvSpPr>
      </xdr:nvSpPr>
      <xdr:spPr bwMode="auto">
        <a:xfrm>
          <a:off x="13411200" y="29832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559" name="AutoShape 291" descr="CHINA"/>
        <xdr:cNvSpPr>
          <a:spLocks noChangeAspect="1" noChangeArrowheads="1"/>
        </xdr:cNvSpPr>
      </xdr:nvSpPr>
      <xdr:spPr bwMode="auto">
        <a:xfrm>
          <a:off x="0" y="30007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560" name="AutoShape 292" descr="https://www.soccerstats.com/img/own/sshplogo.png">
          <a:hlinkClick xmlns:r="http://schemas.openxmlformats.org/officeDocument/2006/relationships" r:id="rId146"/>
        </xdr:cNvPr>
        <xdr:cNvSpPr>
          <a:spLocks noChangeAspect="1" noChangeArrowheads="1"/>
        </xdr:cNvSpPr>
      </xdr:nvSpPr>
      <xdr:spPr bwMode="auto">
        <a:xfrm>
          <a:off x="13411200" y="30007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561" name="AutoShape 293" descr="CHINA"/>
        <xdr:cNvSpPr>
          <a:spLocks noChangeAspect="1" noChangeArrowheads="1"/>
        </xdr:cNvSpPr>
      </xdr:nvSpPr>
      <xdr:spPr bwMode="auto">
        <a:xfrm>
          <a:off x="0" y="30182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562" name="AutoShape 294" descr="https://www.soccerstats.com/img/own/sshplogo.png">
          <a:hlinkClick xmlns:r="http://schemas.openxmlformats.org/officeDocument/2006/relationships" r:id="rId147"/>
        </xdr:cNvPr>
        <xdr:cNvSpPr>
          <a:spLocks noChangeAspect="1" noChangeArrowheads="1"/>
        </xdr:cNvSpPr>
      </xdr:nvSpPr>
      <xdr:spPr bwMode="auto">
        <a:xfrm>
          <a:off x="13411200" y="30182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563" name="AutoShape 295" descr="CHINA2"/>
        <xdr:cNvSpPr>
          <a:spLocks noChangeAspect="1" noChangeArrowheads="1"/>
        </xdr:cNvSpPr>
      </xdr:nvSpPr>
      <xdr:spPr bwMode="auto">
        <a:xfrm>
          <a:off x="0" y="30434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564" name="AutoShape 296" descr="https://www.soccerstats.com/img/own/sshplogo.png">
          <a:hlinkClick xmlns:r="http://schemas.openxmlformats.org/officeDocument/2006/relationships" r:id="rId148"/>
        </xdr:cNvPr>
        <xdr:cNvSpPr>
          <a:spLocks noChangeAspect="1" noChangeArrowheads="1"/>
        </xdr:cNvSpPr>
      </xdr:nvSpPr>
      <xdr:spPr bwMode="auto">
        <a:xfrm>
          <a:off x="13411200" y="30434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565" name="AutoShape 297" descr="CHINA2"/>
        <xdr:cNvSpPr>
          <a:spLocks noChangeAspect="1" noChangeArrowheads="1"/>
        </xdr:cNvSpPr>
      </xdr:nvSpPr>
      <xdr:spPr bwMode="auto">
        <a:xfrm>
          <a:off x="0" y="30685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566" name="AutoShape 298" descr="https://www.soccerstats.com/img/own/sshplogo.png">
          <a:hlinkClick xmlns:r="http://schemas.openxmlformats.org/officeDocument/2006/relationships" r:id="rId149"/>
        </xdr:cNvPr>
        <xdr:cNvSpPr>
          <a:spLocks noChangeAspect="1" noChangeArrowheads="1"/>
        </xdr:cNvSpPr>
      </xdr:nvSpPr>
      <xdr:spPr bwMode="auto">
        <a:xfrm>
          <a:off x="13411200" y="30685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567" name="AutoShape 299" descr="CHINA2"/>
        <xdr:cNvSpPr>
          <a:spLocks noChangeAspect="1" noChangeArrowheads="1"/>
        </xdr:cNvSpPr>
      </xdr:nvSpPr>
      <xdr:spPr bwMode="auto">
        <a:xfrm>
          <a:off x="0" y="30937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568" name="AutoShape 300" descr="https://www.soccerstats.com/img/own/sshplogo.png">
          <a:hlinkClick xmlns:r="http://schemas.openxmlformats.org/officeDocument/2006/relationships" r:id="rId150"/>
        </xdr:cNvPr>
        <xdr:cNvSpPr>
          <a:spLocks noChangeAspect="1" noChangeArrowheads="1"/>
        </xdr:cNvSpPr>
      </xdr:nvSpPr>
      <xdr:spPr bwMode="auto">
        <a:xfrm>
          <a:off x="13411200" y="30937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569" name="AutoShape 301" descr="CHINA2"/>
        <xdr:cNvSpPr>
          <a:spLocks noChangeAspect="1" noChangeArrowheads="1"/>
        </xdr:cNvSpPr>
      </xdr:nvSpPr>
      <xdr:spPr bwMode="auto">
        <a:xfrm>
          <a:off x="0" y="31188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570" name="AutoShape 302" descr="https://www.soccerstats.com/img/own/sshplogo.png">
          <a:hlinkClick xmlns:r="http://schemas.openxmlformats.org/officeDocument/2006/relationships" r:id="rId151"/>
        </xdr:cNvPr>
        <xdr:cNvSpPr>
          <a:spLocks noChangeAspect="1" noChangeArrowheads="1"/>
        </xdr:cNvSpPr>
      </xdr:nvSpPr>
      <xdr:spPr bwMode="auto">
        <a:xfrm>
          <a:off x="13411200" y="31188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571" name="AutoShape 303" descr="COLOMBIA2"/>
        <xdr:cNvSpPr>
          <a:spLocks noChangeAspect="1" noChangeArrowheads="1"/>
        </xdr:cNvSpPr>
      </xdr:nvSpPr>
      <xdr:spPr bwMode="auto">
        <a:xfrm>
          <a:off x="0" y="31440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572" name="AutoShape 304" descr="https://www.soccerstats.com/img/own/sshplogo.png">
          <a:hlinkClick xmlns:r="http://schemas.openxmlformats.org/officeDocument/2006/relationships" r:id="rId152"/>
        </xdr:cNvPr>
        <xdr:cNvSpPr>
          <a:spLocks noChangeAspect="1" noChangeArrowheads="1"/>
        </xdr:cNvSpPr>
      </xdr:nvSpPr>
      <xdr:spPr bwMode="auto">
        <a:xfrm>
          <a:off x="13411200" y="31440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573" name="AutoShape 305" descr="COSTARICA"/>
        <xdr:cNvSpPr>
          <a:spLocks noChangeAspect="1" noChangeArrowheads="1"/>
        </xdr:cNvSpPr>
      </xdr:nvSpPr>
      <xdr:spPr bwMode="auto">
        <a:xfrm>
          <a:off x="0" y="31615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574" name="AutoShape 306" descr="https://www.soccerstats.com/img/own/sshplogo.png">
          <a:hlinkClick xmlns:r="http://schemas.openxmlformats.org/officeDocument/2006/relationships" r:id="rId153"/>
        </xdr:cNvPr>
        <xdr:cNvSpPr>
          <a:spLocks noChangeAspect="1" noChangeArrowheads="1"/>
        </xdr:cNvSpPr>
      </xdr:nvSpPr>
      <xdr:spPr bwMode="auto">
        <a:xfrm>
          <a:off x="13411200" y="31615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575" name="AutoShape 307" descr="COSTARICA"/>
        <xdr:cNvSpPr>
          <a:spLocks noChangeAspect="1" noChangeArrowheads="1"/>
        </xdr:cNvSpPr>
      </xdr:nvSpPr>
      <xdr:spPr bwMode="auto">
        <a:xfrm>
          <a:off x="0" y="31790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576" name="AutoShape 308" descr="https://www.soccerstats.com/img/own/sshplogo.png">
          <a:hlinkClick xmlns:r="http://schemas.openxmlformats.org/officeDocument/2006/relationships" r:id="rId154"/>
        </xdr:cNvPr>
        <xdr:cNvSpPr>
          <a:spLocks noChangeAspect="1" noChangeArrowheads="1"/>
        </xdr:cNvSpPr>
      </xdr:nvSpPr>
      <xdr:spPr bwMode="auto">
        <a:xfrm>
          <a:off x="13411200" y="31790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577" name="AutoShape 309" descr="CROATIA"/>
        <xdr:cNvSpPr>
          <a:spLocks noChangeAspect="1" noChangeArrowheads="1"/>
        </xdr:cNvSpPr>
      </xdr:nvSpPr>
      <xdr:spPr bwMode="auto">
        <a:xfrm>
          <a:off x="0" y="31965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578" name="AutoShape 310" descr="https://www.soccerstats.com/img/own/sshplogo.png">
          <a:hlinkClick xmlns:r="http://schemas.openxmlformats.org/officeDocument/2006/relationships" r:id="rId155"/>
        </xdr:cNvPr>
        <xdr:cNvSpPr>
          <a:spLocks noChangeAspect="1" noChangeArrowheads="1"/>
        </xdr:cNvSpPr>
      </xdr:nvSpPr>
      <xdr:spPr bwMode="auto">
        <a:xfrm>
          <a:off x="13411200" y="31965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579" name="AutoShape 311" descr="CROATIA"/>
        <xdr:cNvSpPr>
          <a:spLocks noChangeAspect="1" noChangeArrowheads="1"/>
        </xdr:cNvSpPr>
      </xdr:nvSpPr>
      <xdr:spPr bwMode="auto">
        <a:xfrm>
          <a:off x="0" y="32217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580" name="AutoShape 312" descr="https://www.soccerstats.com/img/own/sshplogo.png">
          <a:hlinkClick xmlns:r="http://schemas.openxmlformats.org/officeDocument/2006/relationships" r:id="rId156"/>
        </xdr:cNvPr>
        <xdr:cNvSpPr>
          <a:spLocks noChangeAspect="1" noChangeArrowheads="1"/>
        </xdr:cNvSpPr>
      </xdr:nvSpPr>
      <xdr:spPr bwMode="auto">
        <a:xfrm>
          <a:off x="13411200" y="32217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581" name="AutoShape 313" descr="CZECHREPUBLIC"/>
        <xdr:cNvSpPr>
          <a:spLocks noChangeAspect="1" noChangeArrowheads="1"/>
        </xdr:cNvSpPr>
      </xdr:nvSpPr>
      <xdr:spPr bwMode="auto">
        <a:xfrm>
          <a:off x="0" y="32392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582" name="AutoShape 314" descr="https://www.soccerstats.com/img/own/sshplogo.png">
          <a:hlinkClick xmlns:r="http://schemas.openxmlformats.org/officeDocument/2006/relationships" r:id="rId157"/>
        </xdr:cNvPr>
        <xdr:cNvSpPr>
          <a:spLocks noChangeAspect="1" noChangeArrowheads="1"/>
        </xdr:cNvSpPr>
      </xdr:nvSpPr>
      <xdr:spPr bwMode="auto">
        <a:xfrm>
          <a:off x="13411200" y="32392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583" name="AutoShape 315" descr="CZECHREPUBLIC"/>
        <xdr:cNvSpPr>
          <a:spLocks noChangeAspect="1" noChangeArrowheads="1"/>
        </xdr:cNvSpPr>
      </xdr:nvSpPr>
      <xdr:spPr bwMode="auto">
        <a:xfrm>
          <a:off x="0" y="32567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584" name="AutoShape 316" descr="https://www.soccerstats.com/img/own/sshplogo.png">
          <a:hlinkClick xmlns:r="http://schemas.openxmlformats.org/officeDocument/2006/relationships" r:id="rId158"/>
        </xdr:cNvPr>
        <xdr:cNvSpPr>
          <a:spLocks noChangeAspect="1" noChangeArrowheads="1"/>
        </xdr:cNvSpPr>
      </xdr:nvSpPr>
      <xdr:spPr bwMode="auto">
        <a:xfrm>
          <a:off x="13411200" y="32567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585" name="AutoShape 317" descr="CZECHREPUBLIC"/>
        <xdr:cNvSpPr>
          <a:spLocks noChangeAspect="1" noChangeArrowheads="1"/>
        </xdr:cNvSpPr>
      </xdr:nvSpPr>
      <xdr:spPr bwMode="auto">
        <a:xfrm>
          <a:off x="0" y="32743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586" name="AutoShape 318" descr="https://www.soccerstats.com/img/own/sshplogo.png">
          <a:hlinkClick xmlns:r="http://schemas.openxmlformats.org/officeDocument/2006/relationships" r:id="rId159"/>
        </xdr:cNvPr>
        <xdr:cNvSpPr>
          <a:spLocks noChangeAspect="1" noChangeArrowheads="1"/>
        </xdr:cNvSpPr>
      </xdr:nvSpPr>
      <xdr:spPr bwMode="auto">
        <a:xfrm>
          <a:off x="13411200" y="32743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587" name="AutoShape 319" descr="CZECHREPUBLIC"/>
        <xdr:cNvSpPr>
          <a:spLocks noChangeAspect="1" noChangeArrowheads="1"/>
        </xdr:cNvSpPr>
      </xdr:nvSpPr>
      <xdr:spPr bwMode="auto">
        <a:xfrm>
          <a:off x="0" y="32994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588" name="AutoShape 320" descr="https://www.soccerstats.com/img/own/sshplogo.png">
          <a:hlinkClick xmlns:r="http://schemas.openxmlformats.org/officeDocument/2006/relationships" r:id="rId160"/>
        </xdr:cNvPr>
        <xdr:cNvSpPr>
          <a:spLocks noChangeAspect="1" noChangeArrowheads="1"/>
        </xdr:cNvSpPr>
      </xdr:nvSpPr>
      <xdr:spPr bwMode="auto">
        <a:xfrm>
          <a:off x="13411200" y="32994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589" name="AutoShape 321" descr="CZECHREPUBLIC"/>
        <xdr:cNvSpPr>
          <a:spLocks noChangeAspect="1" noChangeArrowheads="1"/>
        </xdr:cNvSpPr>
      </xdr:nvSpPr>
      <xdr:spPr bwMode="auto">
        <a:xfrm>
          <a:off x="0" y="33246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590" name="AutoShape 322" descr="https://www.soccerstats.com/img/own/sshplogo.png">
          <a:hlinkClick xmlns:r="http://schemas.openxmlformats.org/officeDocument/2006/relationships" r:id="rId161"/>
        </xdr:cNvPr>
        <xdr:cNvSpPr>
          <a:spLocks noChangeAspect="1" noChangeArrowheads="1"/>
        </xdr:cNvSpPr>
      </xdr:nvSpPr>
      <xdr:spPr bwMode="auto">
        <a:xfrm>
          <a:off x="13411200" y="33246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591" name="AutoShape 323" descr="CZECHREPUBLIC"/>
        <xdr:cNvSpPr>
          <a:spLocks noChangeAspect="1" noChangeArrowheads="1"/>
        </xdr:cNvSpPr>
      </xdr:nvSpPr>
      <xdr:spPr bwMode="auto">
        <a:xfrm>
          <a:off x="0" y="33497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592" name="AutoShape 324" descr="https://www.soccerstats.com/img/own/sshplogo.png">
          <a:hlinkClick xmlns:r="http://schemas.openxmlformats.org/officeDocument/2006/relationships" r:id="rId162"/>
        </xdr:cNvPr>
        <xdr:cNvSpPr>
          <a:spLocks noChangeAspect="1" noChangeArrowheads="1"/>
        </xdr:cNvSpPr>
      </xdr:nvSpPr>
      <xdr:spPr bwMode="auto">
        <a:xfrm>
          <a:off x="13411200" y="33497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593" name="AutoShape 325" descr="CZECHREPUBLIC"/>
        <xdr:cNvSpPr>
          <a:spLocks noChangeAspect="1" noChangeArrowheads="1"/>
        </xdr:cNvSpPr>
      </xdr:nvSpPr>
      <xdr:spPr bwMode="auto">
        <a:xfrm>
          <a:off x="0" y="33672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594" name="AutoShape 326" descr="https://www.soccerstats.com/img/own/sshplogo.png">
          <a:hlinkClick xmlns:r="http://schemas.openxmlformats.org/officeDocument/2006/relationships" r:id="rId163"/>
        </xdr:cNvPr>
        <xdr:cNvSpPr>
          <a:spLocks noChangeAspect="1" noChangeArrowheads="1"/>
        </xdr:cNvSpPr>
      </xdr:nvSpPr>
      <xdr:spPr bwMode="auto">
        <a:xfrm>
          <a:off x="13411200" y="33672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595" name="AutoShape 327" descr="CZECHREPUBLIC"/>
        <xdr:cNvSpPr>
          <a:spLocks noChangeAspect="1" noChangeArrowheads="1"/>
        </xdr:cNvSpPr>
      </xdr:nvSpPr>
      <xdr:spPr bwMode="auto">
        <a:xfrm>
          <a:off x="0" y="33848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596" name="AutoShape 328" descr="https://www.soccerstats.com/img/own/sshplogo.png">
          <a:hlinkClick xmlns:r="http://schemas.openxmlformats.org/officeDocument/2006/relationships" r:id="rId164"/>
        </xdr:cNvPr>
        <xdr:cNvSpPr>
          <a:spLocks noChangeAspect="1" noChangeArrowheads="1"/>
        </xdr:cNvSpPr>
      </xdr:nvSpPr>
      <xdr:spPr bwMode="auto">
        <a:xfrm>
          <a:off x="13411200" y="33848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597" name="AutoShape 329" descr="CZECHREPUBLIC2"/>
        <xdr:cNvSpPr>
          <a:spLocks noChangeAspect="1" noChangeArrowheads="1"/>
        </xdr:cNvSpPr>
      </xdr:nvSpPr>
      <xdr:spPr bwMode="auto">
        <a:xfrm>
          <a:off x="0" y="34099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598" name="AutoShape 330" descr="https://www.soccerstats.com/img/own/sshplogo.png">
          <a:hlinkClick xmlns:r="http://schemas.openxmlformats.org/officeDocument/2006/relationships" r:id="rId165"/>
        </xdr:cNvPr>
        <xdr:cNvSpPr>
          <a:spLocks noChangeAspect="1" noChangeArrowheads="1"/>
        </xdr:cNvSpPr>
      </xdr:nvSpPr>
      <xdr:spPr bwMode="auto">
        <a:xfrm>
          <a:off x="13411200" y="3409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599" name="AutoShape 331" descr="CZECHREPUBLIC2"/>
        <xdr:cNvSpPr>
          <a:spLocks noChangeAspect="1" noChangeArrowheads="1"/>
        </xdr:cNvSpPr>
      </xdr:nvSpPr>
      <xdr:spPr bwMode="auto">
        <a:xfrm>
          <a:off x="0" y="34350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600" name="AutoShape 332" descr="https://www.soccerstats.com/img/own/sshplogo.png">
          <a:hlinkClick xmlns:r="http://schemas.openxmlformats.org/officeDocument/2006/relationships" r:id="rId166"/>
        </xdr:cNvPr>
        <xdr:cNvSpPr>
          <a:spLocks noChangeAspect="1" noChangeArrowheads="1"/>
        </xdr:cNvSpPr>
      </xdr:nvSpPr>
      <xdr:spPr bwMode="auto">
        <a:xfrm>
          <a:off x="13411200" y="34350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01" name="AutoShape 333" descr="CZECHREPUBLIC2"/>
        <xdr:cNvSpPr>
          <a:spLocks noChangeAspect="1" noChangeArrowheads="1"/>
        </xdr:cNvSpPr>
      </xdr:nvSpPr>
      <xdr:spPr bwMode="auto">
        <a:xfrm>
          <a:off x="0" y="34526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602" name="AutoShape 334" descr="https://www.soccerstats.com/img/own/sshplogo.png">
          <a:hlinkClick xmlns:r="http://schemas.openxmlformats.org/officeDocument/2006/relationships" r:id="rId167"/>
        </xdr:cNvPr>
        <xdr:cNvSpPr>
          <a:spLocks noChangeAspect="1" noChangeArrowheads="1"/>
        </xdr:cNvSpPr>
      </xdr:nvSpPr>
      <xdr:spPr bwMode="auto">
        <a:xfrm>
          <a:off x="13411200" y="34526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03" name="AutoShape 335" descr="CZECHREPUBLIC2"/>
        <xdr:cNvSpPr>
          <a:spLocks noChangeAspect="1" noChangeArrowheads="1"/>
        </xdr:cNvSpPr>
      </xdr:nvSpPr>
      <xdr:spPr bwMode="auto">
        <a:xfrm>
          <a:off x="0" y="34777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604" name="AutoShape 336" descr="https://www.soccerstats.com/img/own/sshplogo.png">
          <a:hlinkClick xmlns:r="http://schemas.openxmlformats.org/officeDocument/2006/relationships" r:id="rId168"/>
        </xdr:cNvPr>
        <xdr:cNvSpPr>
          <a:spLocks noChangeAspect="1" noChangeArrowheads="1"/>
        </xdr:cNvSpPr>
      </xdr:nvSpPr>
      <xdr:spPr bwMode="auto">
        <a:xfrm>
          <a:off x="13411200" y="34777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05" name="AutoShape 337" descr="DENMARK2"/>
        <xdr:cNvSpPr>
          <a:spLocks noChangeAspect="1" noChangeArrowheads="1"/>
        </xdr:cNvSpPr>
      </xdr:nvSpPr>
      <xdr:spPr bwMode="auto">
        <a:xfrm>
          <a:off x="0" y="34952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606" name="AutoShape 338" descr="https://www.soccerstats.com/img/own/sshplogo.png">
          <a:hlinkClick xmlns:r="http://schemas.openxmlformats.org/officeDocument/2006/relationships" r:id="rId169"/>
        </xdr:cNvPr>
        <xdr:cNvSpPr>
          <a:spLocks noChangeAspect="1" noChangeArrowheads="1"/>
        </xdr:cNvSpPr>
      </xdr:nvSpPr>
      <xdr:spPr bwMode="auto">
        <a:xfrm>
          <a:off x="13411200" y="34952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07" name="AutoShape 339" descr="DENMARK2"/>
        <xdr:cNvSpPr>
          <a:spLocks noChangeAspect="1" noChangeArrowheads="1"/>
        </xdr:cNvSpPr>
      </xdr:nvSpPr>
      <xdr:spPr bwMode="auto">
        <a:xfrm>
          <a:off x="0" y="35204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608" name="AutoShape 340" descr="https://www.soccerstats.com/img/own/sshplogo.png">
          <a:hlinkClick xmlns:r="http://schemas.openxmlformats.org/officeDocument/2006/relationships" r:id="rId170"/>
        </xdr:cNvPr>
        <xdr:cNvSpPr>
          <a:spLocks noChangeAspect="1" noChangeArrowheads="1"/>
        </xdr:cNvSpPr>
      </xdr:nvSpPr>
      <xdr:spPr bwMode="auto">
        <a:xfrm>
          <a:off x="13411200" y="35204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09" name="AutoShape 341" descr="DENMARK2"/>
        <xdr:cNvSpPr>
          <a:spLocks noChangeAspect="1" noChangeArrowheads="1"/>
        </xdr:cNvSpPr>
      </xdr:nvSpPr>
      <xdr:spPr bwMode="auto">
        <a:xfrm>
          <a:off x="0" y="35379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610" name="AutoShape 342" descr="https://www.soccerstats.com/img/own/sshplogo.png">
          <a:hlinkClick xmlns:r="http://schemas.openxmlformats.org/officeDocument/2006/relationships" r:id="rId171"/>
        </xdr:cNvPr>
        <xdr:cNvSpPr>
          <a:spLocks noChangeAspect="1" noChangeArrowheads="1"/>
        </xdr:cNvSpPr>
      </xdr:nvSpPr>
      <xdr:spPr bwMode="auto">
        <a:xfrm>
          <a:off x="13411200" y="35379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11" name="AutoShape 343" descr="DENMARK3"/>
        <xdr:cNvSpPr>
          <a:spLocks noChangeAspect="1" noChangeArrowheads="1"/>
        </xdr:cNvSpPr>
      </xdr:nvSpPr>
      <xdr:spPr bwMode="auto">
        <a:xfrm>
          <a:off x="0" y="35554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612" name="AutoShape 344" descr="https://www.soccerstats.com/img/own/sshplogo.png">
          <a:hlinkClick xmlns:r="http://schemas.openxmlformats.org/officeDocument/2006/relationships" r:id="rId172"/>
        </xdr:cNvPr>
        <xdr:cNvSpPr>
          <a:spLocks noChangeAspect="1" noChangeArrowheads="1"/>
        </xdr:cNvSpPr>
      </xdr:nvSpPr>
      <xdr:spPr bwMode="auto">
        <a:xfrm>
          <a:off x="13411200" y="35554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13" name="AutoShape 345" descr="DENMARK3"/>
        <xdr:cNvSpPr>
          <a:spLocks noChangeAspect="1" noChangeArrowheads="1"/>
        </xdr:cNvSpPr>
      </xdr:nvSpPr>
      <xdr:spPr bwMode="auto">
        <a:xfrm>
          <a:off x="0" y="35730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614" name="AutoShape 346" descr="https://www.soccerstats.com/img/own/sshplogo.png">
          <a:hlinkClick xmlns:r="http://schemas.openxmlformats.org/officeDocument/2006/relationships" r:id="rId173"/>
        </xdr:cNvPr>
        <xdr:cNvSpPr>
          <a:spLocks noChangeAspect="1" noChangeArrowheads="1"/>
        </xdr:cNvSpPr>
      </xdr:nvSpPr>
      <xdr:spPr bwMode="auto">
        <a:xfrm>
          <a:off x="13411200" y="35730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15" name="AutoShape 347" descr="ECUADOR"/>
        <xdr:cNvSpPr>
          <a:spLocks noChangeAspect="1" noChangeArrowheads="1"/>
        </xdr:cNvSpPr>
      </xdr:nvSpPr>
      <xdr:spPr bwMode="auto">
        <a:xfrm>
          <a:off x="0" y="35905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616" name="AutoShape 348" descr="https://www.soccerstats.com/img/own/sshplogo.png">
          <a:hlinkClick xmlns:r="http://schemas.openxmlformats.org/officeDocument/2006/relationships" r:id="rId174"/>
        </xdr:cNvPr>
        <xdr:cNvSpPr>
          <a:spLocks noChangeAspect="1" noChangeArrowheads="1"/>
        </xdr:cNvSpPr>
      </xdr:nvSpPr>
      <xdr:spPr bwMode="auto">
        <a:xfrm>
          <a:off x="13411200" y="35905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17" name="AutoShape 349" descr="ECUADOR"/>
        <xdr:cNvSpPr>
          <a:spLocks noChangeAspect="1" noChangeArrowheads="1"/>
        </xdr:cNvSpPr>
      </xdr:nvSpPr>
      <xdr:spPr bwMode="auto">
        <a:xfrm>
          <a:off x="0" y="36080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618" name="AutoShape 350" descr="https://www.soccerstats.com/img/own/sshplogo.png">
          <a:hlinkClick xmlns:r="http://schemas.openxmlformats.org/officeDocument/2006/relationships" r:id="rId175"/>
        </xdr:cNvPr>
        <xdr:cNvSpPr>
          <a:spLocks noChangeAspect="1" noChangeArrowheads="1"/>
        </xdr:cNvSpPr>
      </xdr:nvSpPr>
      <xdr:spPr bwMode="auto">
        <a:xfrm>
          <a:off x="13411200" y="36080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19" name="AutoShape 351" descr="ECUADOR"/>
        <xdr:cNvSpPr>
          <a:spLocks noChangeAspect="1" noChangeArrowheads="1"/>
        </xdr:cNvSpPr>
      </xdr:nvSpPr>
      <xdr:spPr bwMode="auto">
        <a:xfrm>
          <a:off x="0" y="36255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620" name="AutoShape 352" descr="https://www.soccerstats.com/img/own/sshplogo.png">
          <a:hlinkClick xmlns:r="http://schemas.openxmlformats.org/officeDocument/2006/relationships" r:id="rId176"/>
        </xdr:cNvPr>
        <xdr:cNvSpPr>
          <a:spLocks noChangeAspect="1" noChangeArrowheads="1"/>
        </xdr:cNvSpPr>
      </xdr:nvSpPr>
      <xdr:spPr bwMode="auto">
        <a:xfrm>
          <a:off x="13411200" y="36255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21" name="AutoShape 353" descr="ENGLAND6"/>
        <xdr:cNvSpPr>
          <a:spLocks noChangeAspect="1" noChangeArrowheads="1"/>
        </xdr:cNvSpPr>
      </xdr:nvSpPr>
      <xdr:spPr bwMode="auto">
        <a:xfrm>
          <a:off x="0" y="36507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622" name="AutoShape 354" descr="https://www.soccerstats.com/img/own/sshplogo.png">
          <a:hlinkClick xmlns:r="http://schemas.openxmlformats.org/officeDocument/2006/relationships" r:id="rId177"/>
        </xdr:cNvPr>
        <xdr:cNvSpPr>
          <a:spLocks noChangeAspect="1" noChangeArrowheads="1"/>
        </xdr:cNvSpPr>
      </xdr:nvSpPr>
      <xdr:spPr bwMode="auto">
        <a:xfrm>
          <a:off x="13411200" y="36507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23" name="AutoShape 355" descr="ENGLAND6"/>
        <xdr:cNvSpPr>
          <a:spLocks noChangeAspect="1" noChangeArrowheads="1"/>
        </xdr:cNvSpPr>
      </xdr:nvSpPr>
      <xdr:spPr bwMode="auto">
        <a:xfrm>
          <a:off x="0" y="36758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624" name="AutoShape 356" descr="https://www.soccerstats.com/img/own/sshplogo.png">
          <a:hlinkClick xmlns:r="http://schemas.openxmlformats.org/officeDocument/2006/relationships" r:id="rId178"/>
        </xdr:cNvPr>
        <xdr:cNvSpPr>
          <a:spLocks noChangeAspect="1" noChangeArrowheads="1"/>
        </xdr:cNvSpPr>
      </xdr:nvSpPr>
      <xdr:spPr bwMode="auto">
        <a:xfrm>
          <a:off x="13411200" y="36758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25" name="AutoShape 357" descr="ENGLAND6"/>
        <xdr:cNvSpPr>
          <a:spLocks noChangeAspect="1" noChangeArrowheads="1"/>
        </xdr:cNvSpPr>
      </xdr:nvSpPr>
      <xdr:spPr bwMode="auto">
        <a:xfrm>
          <a:off x="0" y="37010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626" name="AutoShape 358" descr="https://www.soccerstats.com/img/own/sshplogo.png">
          <a:hlinkClick xmlns:r="http://schemas.openxmlformats.org/officeDocument/2006/relationships" r:id="rId179"/>
        </xdr:cNvPr>
        <xdr:cNvSpPr>
          <a:spLocks noChangeAspect="1" noChangeArrowheads="1"/>
        </xdr:cNvSpPr>
      </xdr:nvSpPr>
      <xdr:spPr bwMode="auto">
        <a:xfrm>
          <a:off x="13411200" y="37010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27" name="AutoShape 359" descr="ENGLAND6"/>
        <xdr:cNvSpPr>
          <a:spLocks noChangeAspect="1" noChangeArrowheads="1"/>
        </xdr:cNvSpPr>
      </xdr:nvSpPr>
      <xdr:spPr bwMode="auto">
        <a:xfrm>
          <a:off x="0" y="37185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628" name="AutoShape 360" descr="https://www.soccerstats.com/img/own/sshplogo.png">
          <a:hlinkClick xmlns:r="http://schemas.openxmlformats.org/officeDocument/2006/relationships" r:id="rId180"/>
        </xdr:cNvPr>
        <xdr:cNvSpPr>
          <a:spLocks noChangeAspect="1" noChangeArrowheads="1"/>
        </xdr:cNvSpPr>
      </xdr:nvSpPr>
      <xdr:spPr bwMode="auto">
        <a:xfrm>
          <a:off x="13411200" y="37185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29" name="AutoShape 361" descr="ENGLAND6"/>
        <xdr:cNvSpPr>
          <a:spLocks noChangeAspect="1" noChangeArrowheads="1"/>
        </xdr:cNvSpPr>
      </xdr:nvSpPr>
      <xdr:spPr bwMode="auto">
        <a:xfrm>
          <a:off x="0" y="37437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630" name="AutoShape 362" descr="https://www.soccerstats.com/img/own/sshplogo.png">
          <a:hlinkClick xmlns:r="http://schemas.openxmlformats.org/officeDocument/2006/relationships" r:id="rId181"/>
        </xdr:cNvPr>
        <xdr:cNvSpPr>
          <a:spLocks noChangeAspect="1" noChangeArrowheads="1"/>
        </xdr:cNvSpPr>
      </xdr:nvSpPr>
      <xdr:spPr bwMode="auto">
        <a:xfrm>
          <a:off x="13411200" y="37437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31" name="AutoShape 363" descr="ENGLAND6"/>
        <xdr:cNvSpPr>
          <a:spLocks noChangeAspect="1" noChangeArrowheads="1"/>
        </xdr:cNvSpPr>
      </xdr:nvSpPr>
      <xdr:spPr bwMode="auto">
        <a:xfrm>
          <a:off x="0" y="37612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632" name="AutoShape 364" descr="https://www.soccerstats.com/img/own/sshplogo.png">
          <a:hlinkClick xmlns:r="http://schemas.openxmlformats.org/officeDocument/2006/relationships" r:id="rId182"/>
        </xdr:cNvPr>
        <xdr:cNvSpPr>
          <a:spLocks noChangeAspect="1" noChangeArrowheads="1"/>
        </xdr:cNvSpPr>
      </xdr:nvSpPr>
      <xdr:spPr bwMode="auto">
        <a:xfrm>
          <a:off x="13411200" y="37612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33" name="AutoShape 365" descr="ENGLAND6"/>
        <xdr:cNvSpPr>
          <a:spLocks noChangeAspect="1" noChangeArrowheads="1"/>
        </xdr:cNvSpPr>
      </xdr:nvSpPr>
      <xdr:spPr bwMode="auto">
        <a:xfrm>
          <a:off x="0" y="37787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634" name="AutoShape 366" descr="https://www.soccerstats.com/img/own/sshplogo.png">
          <a:hlinkClick xmlns:r="http://schemas.openxmlformats.org/officeDocument/2006/relationships" r:id="rId183"/>
        </xdr:cNvPr>
        <xdr:cNvSpPr>
          <a:spLocks noChangeAspect="1" noChangeArrowheads="1"/>
        </xdr:cNvSpPr>
      </xdr:nvSpPr>
      <xdr:spPr bwMode="auto">
        <a:xfrm>
          <a:off x="13411200" y="37787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35" name="AutoShape 367" descr="ENGLAND6"/>
        <xdr:cNvSpPr>
          <a:spLocks noChangeAspect="1" noChangeArrowheads="1"/>
        </xdr:cNvSpPr>
      </xdr:nvSpPr>
      <xdr:spPr bwMode="auto">
        <a:xfrm>
          <a:off x="0" y="37962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636" name="AutoShape 368" descr="https://www.soccerstats.com/img/own/sshplogo.png">
          <a:hlinkClick xmlns:r="http://schemas.openxmlformats.org/officeDocument/2006/relationships" r:id="rId184"/>
        </xdr:cNvPr>
        <xdr:cNvSpPr>
          <a:spLocks noChangeAspect="1" noChangeArrowheads="1"/>
        </xdr:cNvSpPr>
      </xdr:nvSpPr>
      <xdr:spPr bwMode="auto">
        <a:xfrm>
          <a:off x="13411200" y="37962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37" name="AutoShape 369" descr="ENGLAND6"/>
        <xdr:cNvSpPr>
          <a:spLocks noChangeAspect="1" noChangeArrowheads="1"/>
        </xdr:cNvSpPr>
      </xdr:nvSpPr>
      <xdr:spPr bwMode="auto">
        <a:xfrm>
          <a:off x="0" y="38138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638" name="AutoShape 370" descr="https://www.soccerstats.com/img/own/sshplogo.png">
          <a:hlinkClick xmlns:r="http://schemas.openxmlformats.org/officeDocument/2006/relationships" r:id="rId185"/>
        </xdr:cNvPr>
        <xdr:cNvSpPr>
          <a:spLocks noChangeAspect="1" noChangeArrowheads="1"/>
        </xdr:cNvSpPr>
      </xdr:nvSpPr>
      <xdr:spPr bwMode="auto">
        <a:xfrm>
          <a:off x="13411200" y="38138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39" name="AutoShape 371" descr="ENGLAND6"/>
        <xdr:cNvSpPr>
          <a:spLocks noChangeAspect="1" noChangeArrowheads="1"/>
        </xdr:cNvSpPr>
      </xdr:nvSpPr>
      <xdr:spPr bwMode="auto">
        <a:xfrm>
          <a:off x="0" y="38313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640" name="AutoShape 372" descr="https://www.soccerstats.com/img/own/sshplogo.png">
          <a:hlinkClick xmlns:r="http://schemas.openxmlformats.org/officeDocument/2006/relationships" r:id="rId186"/>
        </xdr:cNvPr>
        <xdr:cNvSpPr>
          <a:spLocks noChangeAspect="1" noChangeArrowheads="1"/>
        </xdr:cNvSpPr>
      </xdr:nvSpPr>
      <xdr:spPr bwMode="auto">
        <a:xfrm>
          <a:off x="13411200" y="38313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41" name="AutoShape 373" descr="ENGLAND6"/>
        <xdr:cNvSpPr>
          <a:spLocks noChangeAspect="1" noChangeArrowheads="1"/>
        </xdr:cNvSpPr>
      </xdr:nvSpPr>
      <xdr:spPr bwMode="auto">
        <a:xfrm>
          <a:off x="0" y="38488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642" name="AutoShape 374" descr="https://www.soccerstats.com/img/own/sshplogo.png">
          <a:hlinkClick xmlns:r="http://schemas.openxmlformats.org/officeDocument/2006/relationships" r:id="rId187"/>
        </xdr:cNvPr>
        <xdr:cNvSpPr>
          <a:spLocks noChangeAspect="1" noChangeArrowheads="1"/>
        </xdr:cNvSpPr>
      </xdr:nvSpPr>
      <xdr:spPr bwMode="auto">
        <a:xfrm>
          <a:off x="13411200" y="38488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43" name="AutoShape 375" descr="ENGLAND6"/>
        <xdr:cNvSpPr>
          <a:spLocks noChangeAspect="1" noChangeArrowheads="1"/>
        </xdr:cNvSpPr>
      </xdr:nvSpPr>
      <xdr:spPr bwMode="auto">
        <a:xfrm>
          <a:off x="0" y="38740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644" name="AutoShape 376" descr="https://www.soccerstats.com/img/own/sshplogo.png">
          <a:hlinkClick xmlns:r="http://schemas.openxmlformats.org/officeDocument/2006/relationships" r:id="rId188"/>
        </xdr:cNvPr>
        <xdr:cNvSpPr>
          <a:spLocks noChangeAspect="1" noChangeArrowheads="1"/>
        </xdr:cNvSpPr>
      </xdr:nvSpPr>
      <xdr:spPr bwMode="auto">
        <a:xfrm>
          <a:off x="13411200" y="38740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45" name="AutoShape 377" descr="ENGLAND7"/>
        <xdr:cNvSpPr>
          <a:spLocks noChangeAspect="1" noChangeArrowheads="1"/>
        </xdr:cNvSpPr>
      </xdr:nvSpPr>
      <xdr:spPr bwMode="auto">
        <a:xfrm>
          <a:off x="0" y="38991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646" name="AutoShape 378" descr="https://www.soccerstats.com/img/own/sshplogo.png">
          <a:hlinkClick xmlns:r="http://schemas.openxmlformats.org/officeDocument/2006/relationships" r:id="rId189"/>
        </xdr:cNvPr>
        <xdr:cNvSpPr>
          <a:spLocks noChangeAspect="1" noChangeArrowheads="1"/>
        </xdr:cNvSpPr>
      </xdr:nvSpPr>
      <xdr:spPr bwMode="auto">
        <a:xfrm>
          <a:off x="13411200" y="38991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47" name="AutoShape 379" descr="ENGLAND7"/>
        <xdr:cNvSpPr>
          <a:spLocks noChangeAspect="1" noChangeArrowheads="1"/>
        </xdr:cNvSpPr>
      </xdr:nvSpPr>
      <xdr:spPr bwMode="auto">
        <a:xfrm>
          <a:off x="0" y="39243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648" name="AutoShape 380" descr="https://www.soccerstats.com/img/own/sshplogo.png">
          <a:hlinkClick xmlns:r="http://schemas.openxmlformats.org/officeDocument/2006/relationships" r:id="rId190"/>
        </xdr:cNvPr>
        <xdr:cNvSpPr>
          <a:spLocks noChangeAspect="1" noChangeArrowheads="1"/>
        </xdr:cNvSpPr>
      </xdr:nvSpPr>
      <xdr:spPr bwMode="auto">
        <a:xfrm>
          <a:off x="13411200" y="3924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49" name="AutoShape 381" descr="ENGLAND7"/>
        <xdr:cNvSpPr>
          <a:spLocks noChangeAspect="1" noChangeArrowheads="1"/>
        </xdr:cNvSpPr>
      </xdr:nvSpPr>
      <xdr:spPr bwMode="auto">
        <a:xfrm>
          <a:off x="0" y="39494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650" name="AutoShape 382" descr="https://www.soccerstats.com/img/own/sshplogo.png">
          <a:hlinkClick xmlns:r="http://schemas.openxmlformats.org/officeDocument/2006/relationships" r:id="rId191"/>
        </xdr:cNvPr>
        <xdr:cNvSpPr>
          <a:spLocks noChangeAspect="1" noChangeArrowheads="1"/>
        </xdr:cNvSpPr>
      </xdr:nvSpPr>
      <xdr:spPr bwMode="auto">
        <a:xfrm>
          <a:off x="13411200" y="39494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51" name="AutoShape 383" descr="ENGLAND7"/>
        <xdr:cNvSpPr>
          <a:spLocks noChangeAspect="1" noChangeArrowheads="1"/>
        </xdr:cNvSpPr>
      </xdr:nvSpPr>
      <xdr:spPr bwMode="auto">
        <a:xfrm>
          <a:off x="0" y="39745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652" name="AutoShape 384" descr="https://www.soccerstats.com/img/own/sshplogo.png">
          <a:hlinkClick xmlns:r="http://schemas.openxmlformats.org/officeDocument/2006/relationships" r:id="rId192"/>
        </xdr:cNvPr>
        <xdr:cNvSpPr>
          <a:spLocks noChangeAspect="1" noChangeArrowheads="1"/>
        </xdr:cNvSpPr>
      </xdr:nvSpPr>
      <xdr:spPr bwMode="auto">
        <a:xfrm>
          <a:off x="13411200" y="39745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53" name="AutoShape 385" descr="ENGLAND7"/>
        <xdr:cNvSpPr>
          <a:spLocks noChangeAspect="1" noChangeArrowheads="1"/>
        </xdr:cNvSpPr>
      </xdr:nvSpPr>
      <xdr:spPr bwMode="auto">
        <a:xfrm>
          <a:off x="0" y="39997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654" name="AutoShape 386" descr="https://www.soccerstats.com/img/own/sshplogo.png">
          <a:hlinkClick xmlns:r="http://schemas.openxmlformats.org/officeDocument/2006/relationships" r:id="rId193"/>
        </xdr:cNvPr>
        <xdr:cNvSpPr>
          <a:spLocks noChangeAspect="1" noChangeArrowheads="1"/>
        </xdr:cNvSpPr>
      </xdr:nvSpPr>
      <xdr:spPr bwMode="auto">
        <a:xfrm>
          <a:off x="13411200" y="39997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55" name="AutoShape 387" descr="ENGLAND7"/>
        <xdr:cNvSpPr>
          <a:spLocks noChangeAspect="1" noChangeArrowheads="1"/>
        </xdr:cNvSpPr>
      </xdr:nvSpPr>
      <xdr:spPr bwMode="auto">
        <a:xfrm>
          <a:off x="0" y="40172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656" name="AutoShape 388" descr="https://www.soccerstats.com/img/own/sshplogo.png">
          <a:hlinkClick xmlns:r="http://schemas.openxmlformats.org/officeDocument/2006/relationships" r:id="rId194"/>
        </xdr:cNvPr>
        <xdr:cNvSpPr>
          <a:spLocks noChangeAspect="1" noChangeArrowheads="1"/>
        </xdr:cNvSpPr>
      </xdr:nvSpPr>
      <xdr:spPr bwMode="auto">
        <a:xfrm>
          <a:off x="13411200" y="40172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57" name="AutoShape 389" descr="ENGLAND7"/>
        <xdr:cNvSpPr>
          <a:spLocks noChangeAspect="1" noChangeArrowheads="1"/>
        </xdr:cNvSpPr>
      </xdr:nvSpPr>
      <xdr:spPr bwMode="auto">
        <a:xfrm>
          <a:off x="0" y="40424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658" name="AutoShape 390" descr="https://www.soccerstats.com/img/own/sshplogo.png">
          <a:hlinkClick xmlns:r="http://schemas.openxmlformats.org/officeDocument/2006/relationships" r:id="rId195"/>
        </xdr:cNvPr>
        <xdr:cNvSpPr>
          <a:spLocks noChangeAspect="1" noChangeArrowheads="1"/>
        </xdr:cNvSpPr>
      </xdr:nvSpPr>
      <xdr:spPr bwMode="auto">
        <a:xfrm>
          <a:off x="13411200" y="40424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59" name="AutoShape 391" descr="ENGLAND7"/>
        <xdr:cNvSpPr>
          <a:spLocks noChangeAspect="1" noChangeArrowheads="1"/>
        </xdr:cNvSpPr>
      </xdr:nvSpPr>
      <xdr:spPr bwMode="auto">
        <a:xfrm>
          <a:off x="0" y="40599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660" name="AutoShape 392" descr="https://www.soccerstats.com/img/own/sshplogo.png">
          <a:hlinkClick xmlns:r="http://schemas.openxmlformats.org/officeDocument/2006/relationships" r:id="rId196"/>
        </xdr:cNvPr>
        <xdr:cNvSpPr>
          <a:spLocks noChangeAspect="1" noChangeArrowheads="1"/>
        </xdr:cNvSpPr>
      </xdr:nvSpPr>
      <xdr:spPr bwMode="auto">
        <a:xfrm>
          <a:off x="13411200" y="40599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61" name="AutoShape 393" descr="ENGLAND7"/>
        <xdr:cNvSpPr>
          <a:spLocks noChangeAspect="1" noChangeArrowheads="1"/>
        </xdr:cNvSpPr>
      </xdr:nvSpPr>
      <xdr:spPr bwMode="auto">
        <a:xfrm>
          <a:off x="0" y="40850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662" name="AutoShape 394" descr="https://www.soccerstats.com/img/own/sshplogo.png">
          <a:hlinkClick xmlns:r="http://schemas.openxmlformats.org/officeDocument/2006/relationships" r:id="rId197"/>
        </xdr:cNvPr>
        <xdr:cNvSpPr>
          <a:spLocks noChangeAspect="1" noChangeArrowheads="1"/>
        </xdr:cNvSpPr>
      </xdr:nvSpPr>
      <xdr:spPr bwMode="auto">
        <a:xfrm>
          <a:off x="13411200" y="40850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63" name="AutoShape 395" descr="ENGLAND7"/>
        <xdr:cNvSpPr>
          <a:spLocks noChangeAspect="1" noChangeArrowheads="1"/>
        </xdr:cNvSpPr>
      </xdr:nvSpPr>
      <xdr:spPr bwMode="auto">
        <a:xfrm>
          <a:off x="0" y="41026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664" name="AutoShape 396" descr="https://www.soccerstats.com/img/own/sshplogo.png">
          <a:hlinkClick xmlns:r="http://schemas.openxmlformats.org/officeDocument/2006/relationships" r:id="rId198"/>
        </xdr:cNvPr>
        <xdr:cNvSpPr>
          <a:spLocks noChangeAspect="1" noChangeArrowheads="1"/>
        </xdr:cNvSpPr>
      </xdr:nvSpPr>
      <xdr:spPr bwMode="auto">
        <a:xfrm>
          <a:off x="13411200" y="41026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65" name="AutoShape 397" descr="ENGLAND7"/>
        <xdr:cNvSpPr>
          <a:spLocks noChangeAspect="1" noChangeArrowheads="1"/>
        </xdr:cNvSpPr>
      </xdr:nvSpPr>
      <xdr:spPr bwMode="auto">
        <a:xfrm>
          <a:off x="0" y="41277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666" name="AutoShape 398" descr="https://www.soccerstats.com/img/own/sshplogo.png">
          <a:hlinkClick xmlns:r="http://schemas.openxmlformats.org/officeDocument/2006/relationships" r:id="rId199"/>
        </xdr:cNvPr>
        <xdr:cNvSpPr>
          <a:spLocks noChangeAspect="1" noChangeArrowheads="1"/>
        </xdr:cNvSpPr>
      </xdr:nvSpPr>
      <xdr:spPr bwMode="auto">
        <a:xfrm>
          <a:off x="13411200" y="41277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67" name="AutoShape 399" descr="ENGLAND8"/>
        <xdr:cNvSpPr>
          <a:spLocks noChangeAspect="1" noChangeArrowheads="1"/>
        </xdr:cNvSpPr>
      </xdr:nvSpPr>
      <xdr:spPr bwMode="auto">
        <a:xfrm>
          <a:off x="0" y="41529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668" name="AutoShape 400" descr="https://www.soccerstats.com/img/own/sshplogo.png">
          <a:hlinkClick xmlns:r="http://schemas.openxmlformats.org/officeDocument/2006/relationships" r:id="rId200"/>
        </xdr:cNvPr>
        <xdr:cNvSpPr>
          <a:spLocks noChangeAspect="1" noChangeArrowheads="1"/>
        </xdr:cNvSpPr>
      </xdr:nvSpPr>
      <xdr:spPr bwMode="auto">
        <a:xfrm>
          <a:off x="13411200" y="41529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69" name="AutoShape 401" descr="ENGLAND8"/>
        <xdr:cNvSpPr>
          <a:spLocks noChangeAspect="1" noChangeArrowheads="1"/>
        </xdr:cNvSpPr>
      </xdr:nvSpPr>
      <xdr:spPr bwMode="auto">
        <a:xfrm>
          <a:off x="0" y="41704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670" name="AutoShape 402" descr="https://www.soccerstats.com/img/own/sshplogo.png">
          <a:hlinkClick xmlns:r="http://schemas.openxmlformats.org/officeDocument/2006/relationships" r:id="rId201"/>
        </xdr:cNvPr>
        <xdr:cNvSpPr>
          <a:spLocks noChangeAspect="1" noChangeArrowheads="1"/>
        </xdr:cNvSpPr>
      </xdr:nvSpPr>
      <xdr:spPr bwMode="auto">
        <a:xfrm>
          <a:off x="13411200" y="41704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71" name="AutoShape 403" descr="ENGLAND8"/>
        <xdr:cNvSpPr>
          <a:spLocks noChangeAspect="1" noChangeArrowheads="1"/>
        </xdr:cNvSpPr>
      </xdr:nvSpPr>
      <xdr:spPr bwMode="auto">
        <a:xfrm>
          <a:off x="0" y="41879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672" name="AutoShape 404" descr="https://www.soccerstats.com/img/own/sshplogo.png">
          <a:hlinkClick xmlns:r="http://schemas.openxmlformats.org/officeDocument/2006/relationships" r:id="rId202"/>
        </xdr:cNvPr>
        <xdr:cNvSpPr>
          <a:spLocks noChangeAspect="1" noChangeArrowheads="1"/>
        </xdr:cNvSpPr>
      </xdr:nvSpPr>
      <xdr:spPr bwMode="auto">
        <a:xfrm>
          <a:off x="13411200" y="41879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73" name="AutoShape 405" descr="ENGLAND8"/>
        <xdr:cNvSpPr>
          <a:spLocks noChangeAspect="1" noChangeArrowheads="1"/>
        </xdr:cNvSpPr>
      </xdr:nvSpPr>
      <xdr:spPr bwMode="auto">
        <a:xfrm>
          <a:off x="0" y="42130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674" name="AutoShape 406" descr="https://www.soccerstats.com/img/own/sshplogo.png">
          <a:hlinkClick xmlns:r="http://schemas.openxmlformats.org/officeDocument/2006/relationships" r:id="rId203"/>
        </xdr:cNvPr>
        <xdr:cNvSpPr>
          <a:spLocks noChangeAspect="1" noChangeArrowheads="1"/>
        </xdr:cNvSpPr>
      </xdr:nvSpPr>
      <xdr:spPr bwMode="auto">
        <a:xfrm>
          <a:off x="13411200" y="42130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75" name="AutoShape 407" descr="ENGLAND8"/>
        <xdr:cNvSpPr>
          <a:spLocks noChangeAspect="1" noChangeArrowheads="1"/>
        </xdr:cNvSpPr>
      </xdr:nvSpPr>
      <xdr:spPr bwMode="auto">
        <a:xfrm>
          <a:off x="0" y="42382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676" name="AutoShape 408" descr="https://www.soccerstats.com/img/own/sshplogo.png">
          <a:hlinkClick xmlns:r="http://schemas.openxmlformats.org/officeDocument/2006/relationships" r:id="rId204"/>
        </xdr:cNvPr>
        <xdr:cNvSpPr>
          <a:spLocks noChangeAspect="1" noChangeArrowheads="1"/>
        </xdr:cNvSpPr>
      </xdr:nvSpPr>
      <xdr:spPr bwMode="auto">
        <a:xfrm>
          <a:off x="13411200" y="42382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77" name="AutoShape 409" descr="ENGLAND8"/>
        <xdr:cNvSpPr>
          <a:spLocks noChangeAspect="1" noChangeArrowheads="1"/>
        </xdr:cNvSpPr>
      </xdr:nvSpPr>
      <xdr:spPr bwMode="auto">
        <a:xfrm>
          <a:off x="0" y="42633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678" name="AutoShape 410" descr="https://www.soccerstats.com/img/own/sshplogo.png">
          <a:hlinkClick xmlns:r="http://schemas.openxmlformats.org/officeDocument/2006/relationships" r:id="rId205"/>
        </xdr:cNvPr>
        <xdr:cNvSpPr>
          <a:spLocks noChangeAspect="1" noChangeArrowheads="1"/>
        </xdr:cNvSpPr>
      </xdr:nvSpPr>
      <xdr:spPr bwMode="auto">
        <a:xfrm>
          <a:off x="13411200" y="42633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79" name="AutoShape 411" descr="ENGLAND8"/>
        <xdr:cNvSpPr>
          <a:spLocks noChangeAspect="1" noChangeArrowheads="1"/>
        </xdr:cNvSpPr>
      </xdr:nvSpPr>
      <xdr:spPr bwMode="auto">
        <a:xfrm>
          <a:off x="0" y="42885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680" name="AutoShape 412" descr="https://www.soccerstats.com/img/own/sshplogo.png">
          <a:hlinkClick xmlns:r="http://schemas.openxmlformats.org/officeDocument/2006/relationships" r:id="rId206"/>
        </xdr:cNvPr>
        <xdr:cNvSpPr>
          <a:spLocks noChangeAspect="1" noChangeArrowheads="1"/>
        </xdr:cNvSpPr>
      </xdr:nvSpPr>
      <xdr:spPr bwMode="auto">
        <a:xfrm>
          <a:off x="13411200" y="42885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81" name="AutoShape 413" descr="ENGLAND8"/>
        <xdr:cNvSpPr>
          <a:spLocks noChangeAspect="1" noChangeArrowheads="1"/>
        </xdr:cNvSpPr>
      </xdr:nvSpPr>
      <xdr:spPr bwMode="auto">
        <a:xfrm>
          <a:off x="0" y="43060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682" name="AutoShape 414" descr="https://www.soccerstats.com/img/own/sshplogo.png">
          <a:hlinkClick xmlns:r="http://schemas.openxmlformats.org/officeDocument/2006/relationships" r:id="rId207"/>
        </xdr:cNvPr>
        <xdr:cNvSpPr>
          <a:spLocks noChangeAspect="1" noChangeArrowheads="1"/>
        </xdr:cNvSpPr>
      </xdr:nvSpPr>
      <xdr:spPr bwMode="auto">
        <a:xfrm>
          <a:off x="13411200" y="43060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83" name="AutoShape 415" descr="ENGLAND8"/>
        <xdr:cNvSpPr>
          <a:spLocks noChangeAspect="1" noChangeArrowheads="1"/>
        </xdr:cNvSpPr>
      </xdr:nvSpPr>
      <xdr:spPr bwMode="auto">
        <a:xfrm>
          <a:off x="0" y="43235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684" name="AutoShape 416" descr="https://www.soccerstats.com/img/own/sshplogo.png">
          <a:hlinkClick xmlns:r="http://schemas.openxmlformats.org/officeDocument/2006/relationships" r:id="rId208"/>
        </xdr:cNvPr>
        <xdr:cNvSpPr>
          <a:spLocks noChangeAspect="1" noChangeArrowheads="1"/>
        </xdr:cNvSpPr>
      </xdr:nvSpPr>
      <xdr:spPr bwMode="auto">
        <a:xfrm>
          <a:off x="13411200" y="43235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85" name="AutoShape 417" descr="ENGLAND8"/>
        <xdr:cNvSpPr>
          <a:spLocks noChangeAspect="1" noChangeArrowheads="1"/>
        </xdr:cNvSpPr>
      </xdr:nvSpPr>
      <xdr:spPr bwMode="auto">
        <a:xfrm>
          <a:off x="0" y="43411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686" name="AutoShape 418" descr="https://www.soccerstats.com/img/own/sshplogo.png">
          <a:hlinkClick xmlns:r="http://schemas.openxmlformats.org/officeDocument/2006/relationships" r:id="rId209"/>
        </xdr:cNvPr>
        <xdr:cNvSpPr>
          <a:spLocks noChangeAspect="1" noChangeArrowheads="1"/>
        </xdr:cNvSpPr>
      </xdr:nvSpPr>
      <xdr:spPr bwMode="auto">
        <a:xfrm>
          <a:off x="13411200" y="43411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87" name="AutoShape 419" descr="ENGLAND8"/>
        <xdr:cNvSpPr>
          <a:spLocks noChangeAspect="1" noChangeArrowheads="1"/>
        </xdr:cNvSpPr>
      </xdr:nvSpPr>
      <xdr:spPr bwMode="auto">
        <a:xfrm>
          <a:off x="0" y="43662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688" name="AutoShape 420" descr="https://www.soccerstats.com/img/own/sshplogo.png">
          <a:hlinkClick xmlns:r="http://schemas.openxmlformats.org/officeDocument/2006/relationships" r:id="rId210"/>
        </xdr:cNvPr>
        <xdr:cNvSpPr>
          <a:spLocks noChangeAspect="1" noChangeArrowheads="1"/>
        </xdr:cNvSpPr>
      </xdr:nvSpPr>
      <xdr:spPr bwMode="auto">
        <a:xfrm>
          <a:off x="13411200" y="43662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89" name="AutoShape 421" descr="ENGLAND9"/>
        <xdr:cNvSpPr>
          <a:spLocks noChangeAspect="1" noChangeArrowheads="1"/>
        </xdr:cNvSpPr>
      </xdr:nvSpPr>
      <xdr:spPr bwMode="auto">
        <a:xfrm>
          <a:off x="0" y="43837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690" name="AutoShape 422" descr="https://www.soccerstats.com/img/own/sshplogo.png">
          <a:hlinkClick xmlns:r="http://schemas.openxmlformats.org/officeDocument/2006/relationships" r:id="rId211"/>
        </xdr:cNvPr>
        <xdr:cNvSpPr>
          <a:spLocks noChangeAspect="1" noChangeArrowheads="1"/>
        </xdr:cNvSpPr>
      </xdr:nvSpPr>
      <xdr:spPr bwMode="auto">
        <a:xfrm>
          <a:off x="13411200" y="43837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91" name="AutoShape 423" descr="ENGLAND9"/>
        <xdr:cNvSpPr>
          <a:spLocks noChangeAspect="1" noChangeArrowheads="1"/>
        </xdr:cNvSpPr>
      </xdr:nvSpPr>
      <xdr:spPr bwMode="auto">
        <a:xfrm>
          <a:off x="0" y="44089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692" name="AutoShape 424" descr="https://www.soccerstats.com/img/own/sshplogo.png">
          <a:hlinkClick xmlns:r="http://schemas.openxmlformats.org/officeDocument/2006/relationships" r:id="rId212"/>
        </xdr:cNvPr>
        <xdr:cNvSpPr>
          <a:spLocks noChangeAspect="1" noChangeArrowheads="1"/>
        </xdr:cNvSpPr>
      </xdr:nvSpPr>
      <xdr:spPr bwMode="auto">
        <a:xfrm>
          <a:off x="13411200" y="44089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93" name="AutoShape 425" descr="ENGLAND9"/>
        <xdr:cNvSpPr>
          <a:spLocks noChangeAspect="1" noChangeArrowheads="1"/>
        </xdr:cNvSpPr>
      </xdr:nvSpPr>
      <xdr:spPr bwMode="auto">
        <a:xfrm>
          <a:off x="0" y="44340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694" name="AutoShape 426" descr="https://www.soccerstats.com/img/own/sshplogo.png">
          <a:hlinkClick xmlns:r="http://schemas.openxmlformats.org/officeDocument/2006/relationships" r:id="rId213"/>
        </xdr:cNvPr>
        <xdr:cNvSpPr>
          <a:spLocks noChangeAspect="1" noChangeArrowheads="1"/>
        </xdr:cNvSpPr>
      </xdr:nvSpPr>
      <xdr:spPr bwMode="auto">
        <a:xfrm>
          <a:off x="13411200" y="44340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95" name="AutoShape 427" descr="ENGLAND9"/>
        <xdr:cNvSpPr>
          <a:spLocks noChangeAspect="1" noChangeArrowheads="1"/>
        </xdr:cNvSpPr>
      </xdr:nvSpPr>
      <xdr:spPr bwMode="auto">
        <a:xfrm>
          <a:off x="0" y="44516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696" name="AutoShape 428" descr="https://www.soccerstats.com/img/own/sshplogo.png">
          <a:hlinkClick xmlns:r="http://schemas.openxmlformats.org/officeDocument/2006/relationships" r:id="rId214"/>
        </xdr:cNvPr>
        <xdr:cNvSpPr>
          <a:spLocks noChangeAspect="1" noChangeArrowheads="1"/>
        </xdr:cNvSpPr>
      </xdr:nvSpPr>
      <xdr:spPr bwMode="auto">
        <a:xfrm>
          <a:off x="13411200" y="44516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97" name="AutoShape 429" descr="ENGLAND9"/>
        <xdr:cNvSpPr>
          <a:spLocks noChangeAspect="1" noChangeArrowheads="1"/>
        </xdr:cNvSpPr>
      </xdr:nvSpPr>
      <xdr:spPr bwMode="auto">
        <a:xfrm>
          <a:off x="0" y="44767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698" name="AutoShape 430" descr="https://www.soccerstats.com/img/own/sshplogo.png">
          <a:hlinkClick xmlns:r="http://schemas.openxmlformats.org/officeDocument/2006/relationships" r:id="rId215"/>
        </xdr:cNvPr>
        <xdr:cNvSpPr>
          <a:spLocks noChangeAspect="1" noChangeArrowheads="1"/>
        </xdr:cNvSpPr>
      </xdr:nvSpPr>
      <xdr:spPr bwMode="auto">
        <a:xfrm>
          <a:off x="13411200" y="4476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99" name="AutoShape 431" descr="ENGLAND9"/>
        <xdr:cNvSpPr>
          <a:spLocks noChangeAspect="1" noChangeArrowheads="1"/>
        </xdr:cNvSpPr>
      </xdr:nvSpPr>
      <xdr:spPr bwMode="auto">
        <a:xfrm>
          <a:off x="0" y="45018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700" name="AutoShape 432" descr="https://www.soccerstats.com/img/own/sshplogo.png">
          <a:hlinkClick xmlns:r="http://schemas.openxmlformats.org/officeDocument/2006/relationships" r:id="rId216"/>
        </xdr:cNvPr>
        <xdr:cNvSpPr>
          <a:spLocks noChangeAspect="1" noChangeArrowheads="1"/>
        </xdr:cNvSpPr>
      </xdr:nvSpPr>
      <xdr:spPr bwMode="auto">
        <a:xfrm>
          <a:off x="13411200" y="45018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01" name="AutoShape 433" descr="ENGLAND9"/>
        <xdr:cNvSpPr>
          <a:spLocks noChangeAspect="1" noChangeArrowheads="1"/>
        </xdr:cNvSpPr>
      </xdr:nvSpPr>
      <xdr:spPr bwMode="auto">
        <a:xfrm>
          <a:off x="0" y="45270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702" name="AutoShape 434" descr="https://www.soccerstats.com/img/own/sshplogo.png">
          <a:hlinkClick xmlns:r="http://schemas.openxmlformats.org/officeDocument/2006/relationships" r:id="rId217"/>
        </xdr:cNvPr>
        <xdr:cNvSpPr>
          <a:spLocks noChangeAspect="1" noChangeArrowheads="1"/>
        </xdr:cNvSpPr>
      </xdr:nvSpPr>
      <xdr:spPr bwMode="auto">
        <a:xfrm>
          <a:off x="13411200" y="45270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03" name="AutoShape 435" descr="ENGLAND9"/>
        <xdr:cNvSpPr>
          <a:spLocks noChangeAspect="1" noChangeArrowheads="1"/>
        </xdr:cNvSpPr>
      </xdr:nvSpPr>
      <xdr:spPr bwMode="auto">
        <a:xfrm>
          <a:off x="0" y="45521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704" name="AutoShape 436" descr="https://www.soccerstats.com/img/own/sshplogo.png">
          <a:hlinkClick xmlns:r="http://schemas.openxmlformats.org/officeDocument/2006/relationships" r:id="rId218"/>
        </xdr:cNvPr>
        <xdr:cNvSpPr>
          <a:spLocks noChangeAspect="1" noChangeArrowheads="1"/>
        </xdr:cNvSpPr>
      </xdr:nvSpPr>
      <xdr:spPr bwMode="auto">
        <a:xfrm>
          <a:off x="13411200" y="45521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05" name="AutoShape 437" descr="ENGLAND9"/>
        <xdr:cNvSpPr>
          <a:spLocks noChangeAspect="1" noChangeArrowheads="1"/>
        </xdr:cNvSpPr>
      </xdr:nvSpPr>
      <xdr:spPr bwMode="auto">
        <a:xfrm>
          <a:off x="0" y="45697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706" name="AutoShape 438" descr="https://www.soccerstats.com/img/own/sshplogo.png">
          <a:hlinkClick xmlns:r="http://schemas.openxmlformats.org/officeDocument/2006/relationships" r:id="rId219"/>
        </xdr:cNvPr>
        <xdr:cNvSpPr>
          <a:spLocks noChangeAspect="1" noChangeArrowheads="1"/>
        </xdr:cNvSpPr>
      </xdr:nvSpPr>
      <xdr:spPr bwMode="auto">
        <a:xfrm>
          <a:off x="13411200" y="45697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07" name="AutoShape 439" descr="ENGLAND9"/>
        <xdr:cNvSpPr>
          <a:spLocks noChangeAspect="1" noChangeArrowheads="1"/>
        </xdr:cNvSpPr>
      </xdr:nvSpPr>
      <xdr:spPr bwMode="auto">
        <a:xfrm>
          <a:off x="0" y="45948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708" name="AutoShape 440" descr="https://www.soccerstats.com/img/own/sshplogo.png">
          <a:hlinkClick xmlns:r="http://schemas.openxmlformats.org/officeDocument/2006/relationships" r:id="rId220"/>
        </xdr:cNvPr>
        <xdr:cNvSpPr>
          <a:spLocks noChangeAspect="1" noChangeArrowheads="1"/>
        </xdr:cNvSpPr>
      </xdr:nvSpPr>
      <xdr:spPr bwMode="auto">
        <a:xfrm>
          <a:off x="13411200" y="45948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09" name="AutoShape 441" descr="ENGLAND10"/>
        <xdr:cNvSpPr>
          <a:spLocks noChangeAspect="1" noChangeArrowheads="1"/>
        </xdr:cNvSpPr>
      </xdr:nvSpPr>
      <xdr:spPr bwMode="auto">
        <a:xfrm>
          <a:off x="0" y="46123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710" name="AutoShape 442" descr="https://www.soccerstats.com/img/own/sshplogo.png">
          <a:hlinkClick xmlns:r="http://schemas.openxmlformats.org/officeDocument/2006/relationships" r:id="rId221"/>
        </xdr:cNvPr>
        <xdr:cNvSpPr>
          <a:spLocks noChangeAspect="1" noChangeArrowheads="1"/>
        </xdr:cNvSpPr>
      </xdr:nvSpPr>
      <xdr:spPr bwMode="auto">
        <a:xfrm>
          <a:off x="13411200" y="46123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11" name="AutoShape 443" descr="ENGLAND10"/>
        <xdr:cNvSpPr>
          <a:spLocks noChangeAspect="1" noChangeArrowheads="1"/>
        </xdr:cNvSpPr>
      </xdr:nvSpPr>
      <xdr:spPr bwMode="auto">
        <a:xfrm>
          <a:off x="0" y="46375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712" name="AutoShape 444" descr="https://www.soccerstats.com/img/own/sshplogo.png">
          <a:hlinkClick xmlns:r="http://schemas.openxmlformats.org/officeDocument/2006/relationships" r:id="rId222"/>
        </xdr:cNvPr>
        <xdr:cNvSpPr>
          <a:spLocks noChangeAspect="1" noChangeArrowheads="1"/>
        </xdr:cNvSpPr>
      </xdr:nvSpPr>
      <xdr:spPr bwMode="auto">
        <a:xfrm>
          <a:off x="13411200" y="46375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13" name="AutoShape 445" descr="ENGLAND10"/>
        <xdr:cNvSpPr>
          <a:spLocks noChangeAspect="1" noChangeArrowheads="1"/>
        </xdr:cNvSpPr>
      </xdr:nvSpPr>
      <xdr:spPr bwMode="auto">
        <a:xfrm>
          <a:off x="0" y="46550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714" name="AutoShape 446" descr="https://www.soccerstats.com/img/own/sshplogo.png">
          <a:hlinkClick xmlns:r="http://schemas.openxmlformats.org/officeDocument/2006/relationships" r:id="rId223"/>
        </xdr:cNvPr>
        <xdr:cNvSpPr>
          <a:spLocks noChangeAspect="1" noChangeArrowheads="1"/>
        </xdr:cNvSpPr>
      </xdr:nvSpPr>
      <xdr:spPr bwMode="auto">
        <a:xfrm>
          <a:off x="13411200" y="46550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15" name="AutoShape 447" descr="ENGLAND10"/>
        <xdr:cNvSpPr>
          <a:spLocks noChangeAspect="1" noChangeArrowheads="1"/>
        </xdr:cNvSpPr>
      </xdr:nvSpPr>
      <xdr:spPr bwMode="auto">
        <a:xfrm>
          <a:off x="0" y="46802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716" name="AutoShape 448" descr="https://www.soccerstats.com/img/own/sshplogo.png">
          <a:hlinkClick xmlns:r="http://schemas.openxmlformats.org/officeDocument/2006/relationships" r:id="rId224"/>
        </xdr:cNvPr>
        <xdr:cNvSpPr>
          <a:spLocks noChangeAspect="1" noChangeArrowheads="1"/>
        </xdr:cNvSpPr>
      </xdr:nvSpPr>
      <xdr:spPr bwMode="auto">
        <a:xfrm>
          <a:off x="13411200" y="46802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17" name="AutoShape 449" descr="ENGLAND10"/>
        <xdr:cNvSpPr>
          <a:spLocks noChangeAspect="1" noChangeArrowheads="1"/>
        </xdr:cNvSpPr>
      </xdr:nvSpPr>
      <xdr:spPr bwMode="auto">
        <a:xfrm>
          <a:off x="0" y="47053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718" name="AutoShape 450" descr="https://www.soccerstats.com/img/own/sshplogo.png">
          <a:hlinkClick xmlns:r="http://schemas.openxmlformats.org/officeDocument/2006/relationships" r:id="rId225"/>
        </xdr:cNvPr>
        <xdr:cNvSpPr>
          <a:spLocks noChangeAspect="1" noChangeArrowheads="1"/>
        </xdr:cNvSpPr>
      </xdr:nvSpPr>
      <xdr:spPr bwMode="auto">
        <a:xfrm>
          <a:off x="13411200" y="4705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19" name="AutoShape 451" descr="ENGLAND10"/>
        <xdr:cNvSpPr>
          <a:spLocks noChangeAspect="1" noChangeArrowheads="1"/>
        </xdr:cNvSpPr>
      </xdr:nvSpPr>
      <xdr:spPr bwMode="auto">
        <a:xfrm>
          <a:off x="0" y="47228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720" name="AutoShape 452" descr="https://www.soccerstats.com/img/own/sshplogo.png">
          <a:hlinkClick xmlns:r="http://schemas.openxmlformats.org/officeDocument/2006/relationships" r:id="rId226"/>
        </xdr:cNvPr>
        <xdr:cNvSpPr>
          <a:spLocks noChangeAspect="1" noChangeArrowheads="1"/>
        </xdr:cNvSpPr>
      </xdr:nvSpPr>
      <xdr:spPr bwMode="auto">
        <a:xfrm>
          <a:off x="13411200" y="47228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21" name="AutoShape 453" descr="ENGLAND10"/>
        <xdr:cNvSpPr>
          <a:spLocks noChangeAspect="1" noChangeArrowheads="1"/>
        </xdr:cNvSpPr>
      </xdr:nvSpPr>
      <xdr:spPr bwMode="auto">
        <a:xfrm>
          <a:off x="0" y="47480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722" name="AutoShape 454" descr="https://www.soccerstats.com/img/own/sshplogo.png">
          <a:hlinkClick xmlns:r="http://schemas.openxmlformats.org/officeDocument/2006/relationships" r:id="rId227"/>
        </xdr:cNvPr>
        <xdr:cNvSpPr>
          <a:spLocks noChangeAspect="1" noChangeArrowheads="1"/>
        </xdr:cNvSpPr>
      </xdr:nvSpPr>
      <xdr:spPr bwMode="auto">
        <a:xfrm>
          <a:off x="13411200" y="47480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23" name="AutoShape 455" descr="ENGLAND10"/>
        <xdr:cNvSpPr>
          <a:spLocks noChangeAspect="1" noChangeArrowheads="1"/>
        </xdr:cNvSpPr>
      </xdr:nvSpPr>
      <xdr:spPr bwMode="auto">
        <a:xfrm>
          <a:off x="0" y="47731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724" name="AutoShape 456" descr="https://www.soccerstats.com/img/own/sshplogo.png">
          <a:hlinkClick xmlns:r="http://schemas.openxmlformats.org/officeDocument/2006/relationships" r:id="rId228"/>
        </xdr:cNvPr>
        <xdr:cNvSpPr>
          <a:spLocks noChangeAspect="1" noChangeArrowheads="1"/>
        </xdr:cNvSpPr>
      </xdr:nvSpPr>
      <xdr:spPr bwMode="auto">
        <a:xfrm>
          <a:off x="13411200" y="47731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25" name="AutoShape 457" descr="ENGLAND10"/>
        <xdr:cNvSpPr>
          <a:spLocks noChangeAspect="1" noChangeArrowheads="1"/>
        </xdr:cNvSpPr>
      </xdr:nvSpPr>
      <xdr:spPr bwMode="auto">
        <a:xfrm>
          <a:off x="0" y="47906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726" name="AutoShape 458" descr="https://www.soccerstats.com/img/own/sshplogo.png">
          <a:hlinkClick xmlns:r="http://schemas.openxmlformats.org/officeDocument/2006/relationships" r:id="rId229"/>
        </xdr:cNvPr>
        <xdr:cNvSpPr>
          <a:spLocks noChangeAspect="1" noChangeArrowheads="1"/>
        </xdr:cNvSpPr>
      </xdr:nvSpPr>
      <xdr:spPr bwMode="auto">
        <a:xfrm>
          <a:off x="13411200" y="47906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27" name="AutoShape 459" descr="ENGLAND10"/>
        <xdr:cNvSpPr>
          <a:spLocks noChangeAspect="1" noChangeArrowheads="1"/>
        </xdr:cNvSpPr>
      </xdr:nvSpPr>
      <xdr:spPr bwMode="auto">
        <a:xfrm>
          <a:off x="0" y="48158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728" name="AutoShape 460" descr="https://www.soccerstats.com/img/own/sshplogo.png">
          <a:hlinkClick xmlns:r="http://schemas.openxmlformats.org/officeDocument/2006/relationships" r:id="rId230"/>
        </xdr:cNvPr>
        <xdr:cNvSpPr>
          <a:spLocks noChangeAspect="1" noChangeArrowheads="1"/>
        </xdr:cNvSpPr>
      </xdr:nvSpPr>
      <xdr:spPr bwMode="auto">
        <a:xfrm>
          <a:off x="13411200" y="48158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29" name="AutoShape 461" descr="ENGLAND10"/>
        <xdr:cNvSpPr>
          <a:spLocks noChangeAspect="1" noChangeArrowheads="1"/>
        </xdr:cNvSpPr>
      </xdr:nvSpPr>
      <xdr:spPr bwMode="auto">
        <a:xfrm>
          <a:off x="0" y="48409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730" name="AutoShape 462" descr="https://www.soccerstats.com/img/own/sshplogo.png">
          <a:hlinkClick xmlns:r="http://schemas.openxmlformats.org/officeDocument/2006/relationships" r:id="rId231"/>
        </xdr:cNvPr>
        <xdr:cNvSpPr>
          <a:spLocks noChangeAspect="1" noChangeArrowheads="1"/>
        </xdr:cNvSpPr>
      </xdr:nvSpPr>
      <xdr:spPr bwMode="auto">
        <a:xfrm>
          <a:off x="13411200" y="48409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31" name="AutoShape 463" descr="ESTONIA2"/>
        <xdr:cNvSpPr>
          <a:spLocks noChangeAspect="1" noChangeArrowheads="1"/>
        </xdr:cNvSpPr>
      </xdr:nvSpPr>
      <xdr:spPr bwMode="auto">
        <a:xfrm>
          <a:off x="0" y="48661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732" name="AutoShape 464" descr="https://www.soccerstats.com/img/own/sshplogo.png">
          <a:hlinkClick xmlns:r="http://schemas.openxmlformats.org/officeDocument/2006/relationships" r:id="rId232"/>
        </xdr:cNvPr>
        <xdr:cNvSpPr>
          <a:spLocks noChangeAspect="1" noChangeArrowheads="1"/>
        </xdr:cNvSpPr>
      </xdr:nvSpPr>
      <xdr:spPr bwMode="auto">
        <a:xfrm>
          <a:off x="13411200" y="48661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33" name="AutoShape 465" descr="ESTONIA2"/>
        <xdr:cNvSpPr>
          <a:spLocks noChangeAspect="1" noChangeArrowheads="1"/>
        </xdr:cNvSpPr>
      </xdr:nvSpPr>
      <xdr:spPr bwMode="auto">
        <a:xfrm>
          <a:off x="0" y="48836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734" name="AutoShape 466" descr="https://www.soccerstats.com/img/own/sshplogo.png">
          <a:hlinkClick xmlns:r="http://schemas.openxmlformats.org/officeDocument/2006/relationships" r:id="rId233"/>
        </xdr:cNvPr>
        <xdr:cNvSpPr>
          <a:spLocks noChangeAspect="1" noChangeArrowheads="1"/>
        </xdr:cNvSpPr>
      </xdr:nvSpPr>
      <xdr:spPr bwMode="auto">
        <a:xfrm>
          <a:off x="13411200" y="48836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35" name="AutoShape 467" descr="ESTONIA2"/>
        <xdr:cNvSpPr>
          <a:spLocks noChangeAspect="1" noChangeArrowheads="1"/>
        </xdr:cNvSpPr>
      </xdr:nvSpPr>
      <xdr:spPr bwMode="auto">
        <a:xfrm>
          <a:off x="0" y="49011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736" name="AutoShape 468" descr="https://www.soccerstats.com/img/own/sshplogo.png">
          <a:hlinkClick xmlns:r="http://schemas.openxmlformats.org/officeDocument/2006/relationships" r:id="rId234"/>
        </xdr:cNvPr>
        <xdr:cNvSpPr>
          <a:spLocks noChangeAspect="1" noChangeArrowheads="1"/>
        </xdr:cNvSpPr>
      </xdr:nvSpPr>
      <xdr:spPr bwMode="auto">
        <a:xfrm>
          <a:off x="13411200" y="49011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37" name="AutoShape 469" descr="ESTONIA2"/>
        <xdr:cNvSpPr>
          <a:spLocks noChangeAspect="1" noChangeArrowheads="1"/>
        </xdr:cNvSpPr>
      </xdr:nvSpPr>
      <xdr:spPr bwMode="auto">
        <a:xfrm>
          <a:off x="0" y="49187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738" name="AutoShape 470" descr="https://www.soccerstats.com/img/own/sshplogo.png">
          <a:hlinkClick xmlns:r="http://schemas.openxmlformats.org/officeDocument/2006/relationships" r:id="rId235"/>
        </xdr:cNvPr>
        <xdr:cNvSpPr>
          <a:spLocks noChangeAspect="1" noChangeArrowheads="1"/>
        </xdr:cNvSpPr>
      </xdr:nvSpPr>
      <xdr:spPr bwMode="auto">
        <a:xfrm>
          <a:off x="13411200" y="49187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39" name="AutoShape 471" descr="FINLAND"/>
        <xdr:cNvSpPr>
          <a:spLocks noChangeAspect="1" noChangeArrowheads="1"/>
        </xdr:cNvSpPr>
      </xdr:nvSpPr>
      <xdr:spPr bwMode="auto">
        <a:xfrm>
          <a:off x="0" y="49362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740" name="AutoShape 472" descr="https://www.soccerstats.com/img/own/sshplogo.png">
          <a:hlinkClick xmlns:r="http://schemas.openxmlformats.org/officeDocument/2006/relationships" r:id="rId236"/>
        </xdr:cNvPr>
        <xdr:cNvSpPr>
          <a:spLocks noChangeAspect="1" noChangeArrowheads="1"/>
        </xdr:cNvSpPr>
      </xdr:nvSpPr>
      <xdr:spPr bwMode="auto">
        <a:xfrm>
          <a:off x="13411200" y="49362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41" name="AutoShape 473" descr="FINLAND2"/>
        <xdr:cNvSpPr>
          <a:spLocks noChangeAspect="1" noChangeArrowheads="1"/>
        </xdr:cNvSpPr>
      </xdr:nvSpPr>
      <xdr:spPr bwMode="auto">
        <a:xfrm>
          <a:off x="0" y="49537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742" name="AutoShape 474" descr="https://www.soccerstats.com/img/own/sshplogo.png">
          <a:hlinkClick xmlns:r="http://schemas.openxmlformats.org/officeDocument/2006/relationships" r:id="rId237"/>
        </xdr:cNvPr>
        <xdr:cNvSpPr>
          <a:spLocks noChangeAspect="1" noChangeArrowheads="1"/>
        </xdr:cNvSpPr>
      </xdr:nvSpPr>
      <xdr:spPr bwMode="auto">
        <a:xfrm>
          <a:off x="13411200" y="49537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43" name="AutoShape 475" descr="FINLAND2"/>
        <xdr:cNvSpPr>
          <a:spLocks noChangeAspect="1" noChangeArrowheads="1"/>
        </xdr:cNvSpPr>
      </xdr:nvSpPr>
      <xdr:spPr bwMode="auto">
        <a:xfrm>
          <a:off x="0" y="49712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744" name="AutoShape 476" descr="https://www.soccerstats.com/img/own/sshplogo.png">
          <a:hlinkClick xmlns:r="http://schemas.openxmlformats.org/officeDocument/2006/relationships" r:id="rId238"/>
        </xdr:cNvPr>
        <xdr:cNvSpPr>
          <a:spLocks noChangeAspect="1" noChangeArrowheads="1"/>
        </xdr:cNvSpPr>
      </xdr:nvSpPr>
      <xdr:spPr bwMode="auto">
        <a:xfrm>
          <a:off x="13411200" y="49712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45" name="AutoShape 477" descr="FINLAND2"/>
        <xdr:cNvSpPr>
          <a:spLocks noChangeAspect="1" noChangeArrowheads="1"/>
        </xdr:cNvSpPr>
      </xdr:nvSpPr>
      <xdr:spPr bwMode="auto">
        <a:xfrm>
          <a:off x="0" y="49888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746" name="AutoShape 478" descr="https://www.soccerstats.com/img/own/sshplogo.png">
          <a:hlinkClick xmlns:r="http://schemas.openxmlformats.org/officeDocument/2006/relationships" r:id="rId239"/>
        </xdr:cNvPr>
        <xdr:cNvSpPr>
          <a:spLocks noChangeAspect="1" noChangeArrowheads="1"/>
        </xdr:cNvSpPr>
      </xdr:nvSpPr>
      <xdr:spPr bwMode="auto">
        <a:xfrm>
          <a:off x="13411200" y="49888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47" name="AutoShape 479" descr="FINLAND3"/>
        <xdr:cNvSpPr>
          <a:spLocks noChangeAspect="1" noChangeArrowheads="1"/>
        </xdr:cNvSpPr>
      </xdr:nvSpPr>
      <xdr:spPr bwMode="auto">
        <a:xfrm>
          <a:off x="0" y="50063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748" name="AutoShape 480" descr="https://www.soccerstats.com/img/own/sshplogo.png">
          <a:hlinkClick xmlns:r="http://schemas.openxmlformats.org/officeDocument/2006/relationships" r:id="rId240"/>
        </xdr:cNvPr>
        <xdr:cNvSpPr>
          <a:spLocks noChangeAspect="1" noChangeArrowheads="1"/>
        </xdr:cNvSpPr>
      </xdr:nvSpPr>
      <xdr:spPr bwMode="auto">
        <a:xfrm>
          <a:off x="13411200" y="50063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49" name="AutoShape 481" descr="FINLAND3"/>
        <xdr:cNvSpPr>
          <a:spLocks noChangeAspect="1" noChangeArrowheads="1"/>
        </xdr:cNvSpPr>
      </xdr:nvSpPr>
      <xdr:spPr bwMode="auto">
        <a:xfrm>
          <a:off x="0" y="50238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750" name="AutoShape 482" descr="https://www.soccerstats.com/img/own/sshplogo.png">
          <a:hlinkClick xmlns:r="http://schemas.openxmlformats.org/officeDocument/2006/relationships" r:id="rId241"/>
        </xdr:cNvPr>
        <xdr:cNvSpPr>
          <a:spLocks noChangeAspect="1" noChangeArrowheads="1"/>
        </xdr:cNvSpPr>
      </xdr:nvSpPr>
      <xdr:spPr bwMode="auto">
        <a:xfrm>
          <a:off x="13411200" y="50238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51" name="AutoShape 483" descr="FINLAND3"/>
        <xdr:cNvSpPr>
          <a:spLocks noChangeAspect="1" noChangeArrowheads="1"/>
        </xdr:cNvSpPr>
      </xdr:nvSpPr>
      <xdr:spPr bwMode="auto">
        <a:xfrm>
          <a:off x="0" y="50413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752" name="AutoShape 484" descr="https://www.soccerstats.com/img/own/sshplogo.png">
          <a:hlinkClick xmlns:r="http://schemas.openxmlformats.org/officeDocument/2006/relationships" r:id="rId242"/>
        </xdr:cNvPr>
        <xdr:cNvSpPr>
          <a:spLocks noChangeAspect="1" noChangeArrowheads="1"/>
        </xdr:cNvSpPr>
      </xdr:nvSpPr>
      <xdr:spPr bwMode="auto">
        <a:xfrm>
          <a:off x="13411200" y="50413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53" name="AutoShape 485" descr="FINLAND4"/>
        <xdr:cNvSpPr>
          <a:spLocks noChangeAspect="1" noChangeArrowheads="1"/>
        </xdr:cNvSpPr>
      </xdr:nvSpPr>
      <xdr:spPr bwMode="auto">
        <a:xfrm>
          <a:off x="0" y="50589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754" name="AutoShape 486" descr="https://www.soccerstats.com/img/own/sshplogo.png">
          <a:hlinkClick xmlns:r="http://schemas.openxmlformats.org/officeDocument/2006/relationships" r:id="rId243"/>
        </xdr:cNvPr>
        <xdr:cNvSpPr>
          <a:spLocks noChangeAspect="1" noChangeArrowheads="1"/>
        </xdr:cNvSpPr>
      </xdr:nvSpPr>
      <xdr:spPr bwMode="auto">
        <a:xfrm>
          <a:off x="13411200" y="50589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55" name="AutoShape 487" descr="FINLAND4"/>
        <xdr:cNvSpPr>
          <a:spLocks noChangeAspect="1" noChangeArrowheads="1"/>
        </xdr:cNvSpPr>
      </xdr:nvSpPr>
      <xdr:spPr bwMode="auto">
        <a:xfrm>
          <a:off x="0" y="50764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756" name="AutoShape 488" descr="https://www.soccerstats.com/img/own/sshplogo.png">
          <a:hlinkClick xmlns:r="http://schemas.openxmlformats.org/officeDocument/2006/relationships" r:id="rId244"/>
        </xdr:cNvPr>
        <xdr:cNvSpPr>
          <a:spLocks noChangeAspect="1" noChangeArrowheads="1"/>
        </xdr:cNvSpPr>
      </xdr:nvSpPr>
      <xdr:spPr bwMode="auto">
        <a:xfrm>
          <a:off x="13411200" y="50764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57" name="AutoShape 489" descr="FINLAND4"/>
        <xdr:cNvSpPr>
          <a:spLocks noChangeAspect="1" noChangeArrowheads="1"/>
        </xdr:cNvSpPr>
      </xdr:nvSpPr>
      <xdr:spPr bwMode="auto">
        <a:xfrm>
          <a:off x="0" y="50939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758" name="AutoShape 490" descr="https://www.soccerstats.com/img/own/sshplogo.png">
          <a:hlinkClick xmlns:r="http://schemas.openxmlformats.org/officeDocument/2006/relationships" r:id="rId245"/>
        </xdr:cNvPr>
        <xdr:cNvSpPr>
          <a:spLocks noChangeAspect="1" noChangeArrowheads="1"/>
        </xdr:cNvSpPr>
      </xdr:nvSpPr>
      <xdr:spPr bwMode="auto">
        <a:xfrm>
          <a:off x="13411200" y="50939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59" name="AutoShape 491" descr="FINLAND5"/>
        <xdr:cNvSpPr>
          <a:spLocks noChangeAspect="1" noChangeArrowheads="1"/>
        </xdr:cNvSpPr>
      </xdr:nvSpPr>
      <xdr:spPr bwMode="auto">
        <a:xfrm>
          <a:off x="0" y="51114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760" name="AutoShape 492" descr="https://www.soccerstats.com/img/own/sshplogo.png">
          <a:hlinkClick xmlns:r="http://schemas.openxmlformats.org/officeDocument/2006/relationships" r:id="rId246"/>
        </xdr:cNvPr>
        <xdr:cNvSpPr>
          <a:spLocks noChangeAspect="1" noChangeArrowheads="1"/>
        </xdr:cNvSpPr>
      </xdr:nvSpPr>
      <xdr:spPr bwMode="auto">
        <a:xfrm>
          <a:off x="13411200" y="51114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61" name="AutoShape 493" descr="FINLAND5"/>
        <xdr:cNvSpPr>
          <a:spLocks noChangeAspect="1" noChangeArrowheads="1"/>
        </xdr:cNvSpPr>
      </xdr:nvSpPr>
      <xdr:spPr bwMode="auto">
        <a:xfrm>
          <a:off x="0" y="51290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762" name="AutoShape 494" descr="https://www.soccerstats.com/img/own/sshplogo.png">
          <a:hlinkClick xmlns:r="http://schemas.openxmlformats.org/officeDocument/2006/relationships" r:id="rId247"/>
        </xdr:cNvPr>
        <xdr:cNvSpPr>
          <a:spLocks noChangeAspect="1" noChangeArrowheads="1"/>
        </xdr:cNvSpPr>
      </xdr:nvSpPr>
      <xdr:spPr bwMode="auto">
        <a:xfrm>
          <a:off x="13411200" y="51290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63" name="AutoShape 495" descr="FINLAND5"/>
        <xdr:cNvSpPr>
          <a:spLocks noChangeAspect="1" noChangeArrowheads="1"/>
        </xdr:cNvSpPr>
      </xdr:nvSpPr>
      <xdr:spPr bwMode="auto">
        <a:xfrm>
          <a:off x="0" y="51465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764" name="AutoShape 496" descr="https://www.soccerstats.com/img/own/sshplogo.png">
          <a:hlinkClick xmlns:r="http://schemas.openxmlformats.org/officeDocument/2006/relationships" r:id="rId248"/>
        </xdr:cNvPr>
        <xdr:cNvSpPr>
          <a:spLocks noChangeAspect="1" noChangeArrowheads="1"/>
        </xdr:cNvSpPr>
      </xdr:nvSpPr>
      <xdr:spPr bwMode="auto">
        <a:xfrm>
          <a:off x="13411200" y="51465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65" name="AutoShape 497" descr="FINLAND5"/>
        <xdr:cNvSpPr>
          <a:spLocks noChangeAspect="1" noChangeArrowheads="1"/>
        </xdr:cNvSpPr>
      </xdr:nvSpPr>
      <xdr:spPr bwMode="auto">
        <a:xfrm>
          <a:off x="0" y="51640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766" name="AutoShape 498" descr="https://www.soccerstats.com/img/own/sshplogo.png">
          <a:hlinkClick xmlns:r="http://schemas.openxmlformats.org/officeDocument/2006/relationships" r:id="rId249"/>
        </xdr:cNvPr>
        <xdr:cNvSpPr>
          <a:spLocks noChangeAspect="1" noChangeArrowheads="1"/>
        </xdr:cNvSpPr>
      </xdr:nvSpPr>
      <xdr:spPr bwMode="auto">
        <a:xfrm>
          <a:off x="13411200" y="51640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67" name="AutoShape 499" descr="FINLAND5"/>
        <xdr:cNvSpPr>
          <a:spLocks noChangeAspect="1" noChangeArrowheads="1"/>
        </xdr:cNvSpPr>
      </xdr:nvSpPr>
      <xdr:spPr bwMode="auto">
        <a:xfrm>
          <a:off x="0" y="51816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768" name="AutoShape 500" descr="https://www.soccerstats.com/img/own/sshplogo.png">
          <a:hlinkClick xmlns:r="http://schemas.openxmlformats.org/officeDocument/2006/relationships" r:id="rId250"/>
        </xdr:cNvPr>
        <xdr:cNvSpPr>
          <a:spLocks noChangeAspect="1" noChangeArrowheads="1"/>
        </xdr:cNvSpPr>
      </xdr:nvSpPr>
      <xdr:spPr bwMode="auto">
        <a:xfrm>
          <a:off x="13411200" y="5181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69" name="AutoShape 501" descr="FINLAND6"/>
        <xdr:cNvSpPr>
          <a:spLocks noChangeAspect="1" noChangeArrowheads="1"/>
        </xdr:cNvSpPr>
      </xdr:nvSpPr>
      <xdr:spPr bwMode="auto">
        <a:xfrm>
          <a:off x="0" y="51991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770" name="AutoShape 502" descr="https://www.soccerstats.com/img/own/sshplogo.png">
          <a:hlinkClick xmlns:r="http://schemas.openxmlformats.org/officeDocument/2006/relationships" r:id="rId251"/>
        </xdr:cNvPr>
        <xdr:cNvSpPr>
          <a:spLocks noChangeAspect="1" noChangeArrowheads="1"/>
        </xdr:cNvSpPr>
      </xdr:nvSpPr>
      <xdr:spPr bwMode="auto">
        <a:xfrm>
          <a:off x="13411200" y="51991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71" name="AutoShape 503" descr="FINLAND6"/>
        <xdr:cNvSpPr>
          <a:spLocks noChangeAspect="1" noChangeArrowheads="1"/>
        </xdr:cNvSpPr>
      </xdr:nvSpPr>
      <xdr:spPr bwMode="auto">
        <a:xfrm>
          <a:off x="0" y="52166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772" name="AutoShape 504" descr="https://www.soccerstats.com/img/own/sshplogo.png">
          <a:hlinkClick xmlns:r="http://schemas.openxmlformats.org/officeDocument/2006/relationships" r:id="rId252"/>
        </xdr:cNvPr>
        <xdr:cNvSpPr>
          <a:spLocks noChangeAspect="1" noChangeArrowheads="1"/>
        </xdr:cNvSpPr>
      </xdr:nvSpPr>
      <xdr:spPr bwMode="auto">
        <a:xfrm>
          <a:off x="13411200" y="52166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73" name="AutoShape 505" descr="FINLAND6"/>
        <xdr:cNvSpPr>
          <a:spLocks noChangeAspect="1" noChangeArrowheads="1"/>
        </xdr:cNvSpPr>
      </xdr:nvSpPr>
      <xdr:spPr bwMode="auto">
        <a:xfrm>
          <a:off x="0" y="52341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774" name="AutoShape 506" descr="https://www.soccerstats.com/img/own/sshplogo.png">
          <a:hlinkClick xmlns:r="http://schemas.openxmlformats.org/officeDocument/2006/relationships" r:id="rId253"/>
        </xdr:cNvPr>
        <xdr:cNvSpPr>
          <a:spLocks noChangeAspect="1" noChangeArrowheads="1"/>
        </xdr:cNvSpPr>
      </xdr:nvSpPr>
      <xdr:spPr bwMode="auto">
        <a:xfrm>
          <a:off x="13411200" y="52341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75" name="AutoShape 507" descr="GEORGIA"/>
        <xdr:cNvSpPr>
          <a:spLocks noChangeAspect="1" noChangeArrowheads="1"/>
        </xdr:cNvSpPr>
      </xdr:nvSpPr>
      <xdr:spPr bwMode="auto">
        <a:xfrm>
          <a:off x="0" y="52517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776" name="AutoShape 508" descr="https://www.soccerstats.com/img/own/sshplogo.png">
          <a:hlinkClick xmlns:r="http://schemas.openxmlformats.org/officeDocument/2006/relationships" r:id="rId254"/>
        </xdr:cNvPr>
        <xdr:cNvSpPr>
          <a:spLocks noChangeAspect="1" noChangeArrowheads="1"/>
        </xdr:cNvSpPr>
      </xdr:nvSpPr>
      <xdr:spPr bwMode="auto">
        <a:xfrm>
          <a:off x="13411200" y="52517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77" name="AutoShape 509" descr="GEORGIA"/>
        <xdr:cNvSpPr>
          <a:spLocks noChangeAspect="1" noChangeArrowheads="1"/>
        </xdr:cNvSpPr>
      </xdr:nvSpPr>
      <xdr:spPr bwMode="auto">
        <a:xfrm>
          <a:off x="0" y="52768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778" name="AutoShape 510" descr="https://www.soccerstats.com/img/own/sshplogo.png">
          <a:hlinkClick xmlns:r="http://schemas.openxmlformats.org/officeDocument/2006/relationships" r:id="rId255"/>
        </xdr:cNvPr>
        <xdr:cNvSpPr>
          <a:spLocks noChangeAspect="1" noChangeArrowheads="1"/>
        </xdr:cNvSpPr>
      </xdr:nvSpPr>
      <xdr:spPr bwMode="auto">
        <a:xfrm>
          <a:off x="13411200" y="5276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79" name="AutoShape 511" descr="GERMANY3"/>
        <xdr:cNvSpPr>
          <a:spLocks noChangeAspect="1" noChangeArrowheads="1"/>
        </xdr:cNvSpPr>
      </xdr:nvSpPr>
      <xdr:spPr bwMode="auto">
        <a:xfrm>
          <a:off x="0" y="53019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780" name="AutoShape 512" descr="https://www.soccerstats.com/img/own/sshplogo.png">
          <a:hlinkClick xmlns:r="http://schemas.openxmlformats.org/officeDocument/2006/relationships" r:id="rId256"/>
        </xdr:cNvPr>
        <xdr:cNvSpPr>
          <a:spLocks noChangeAspect="1" noChangeArrowheads="1"/>
        </xdr:cNvSpPr>
      </xdr:nvSpPr>
      <xdr:spPr bwMode="auto">
        <a:xfrm>
          <a:off x="13411200" y="53019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81" name="AutoShape 513" descr="GERMANY3"/>
        <xdr:cNvSpPr>
          <a:spLocks noChangeAspect="1" noChangeArrowheads="1"/>
        </xdr:cNvSpPr>
      </xdr:nvSpPr>
      <xdr:spPr bwMode="auto">
        <a:xfrm>
          <a:off x="0" y="53271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782" name="AutoShape 514" descr="https://www.soccerstats.com/img/own/sshplogo.png">
          <a:hlinkClick xmlns:r="http://schemas.openxmlformats.org/officeDocument/2006/relationships" r:id="rId257"/>
        </xdr:cNvPr>
        <xdr:cNvSpPr>
          <a:spLocks noChangeAspect="1" noChangeArrowheads="1"/>
        </xdr:cNvSpPr>
      </xdr:nvSpPr>
      <xdr:spPr bwMode="auto">
        <a:xfrm>
          <a:off x="13411200" y="53271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83" name="AutoShape 515" descr="GERMANY3"/>
        <xdr:cNvSpPr>
          <a:spLocks noChangeAspect="1" noChangeArrowheads="1"/>
        </xdr:cNvSpPr>
      </xdr:nvSpPr>
      <xdr:spPr bwMode="auto">
        <a:xfrm>
          <a:off x="0" y="53446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784" name="AutoShape 516" descr="https://www.soccerstats.com/img/own/sshplogo.png">
          <a:hlinkClick xmlns:r="http://schemas.openxmlformats.org/officeDocument/2006/relationships" r:id="rId258"/>
        </xdr:cNvPr>
        <xdr:cNvSpPr>
          <a:spLocks noChangeAspect="1" noChangeArrowheads="1"/>
        </xdr:cNvSpPr>
      </xdr:nvSpPr>
      <xdr:spPr bwMode="auto">
        <a:xfrm>
          <a:off x="13411200" y="53446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85" name="AutoShape 517" descr="GERMANY3"/>
        <xdr:cNvSpPr>
          <a:spLocks noChangeAspect="1" noChangeArrowheads="1"/>
        </xdr:cNvSpPr>
      </xdr:nvSpPr>
      <xdr:spPr bwMode="auto">
        <a:xfrm>
          <a:off x="0" y="53621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786" name="AutoShape 518" descr="https://www.soccerstats.com/img/own/sshplogo.png">
          <a:hlinkClick xmlns:r="http://schemas.openxmlformats.org/officeDocument/2006/relationships" r:id="rId259"/>
        </xdr:cNvPr>
        <xdr:cNvSpPr>
          <a:spLocks noChangeAspect="1" noChangeArrowheads="1"/>
        </xdr:cNvSpPr>
      </xdr:nvSpPr>
      <xdr:spPr bwMode="auto">
        <a:xfrm>
          <a:off x="13411200" y="53621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87" name="AutoShape 519" descr="GERMANY3"/>
        <xdr:cNvSpPr>
          <a:spLocks noChangeAspect="1" noChangeArrowheads="1"/>
        </xdr:cNvSpPr>
      </xdr:nvSpPr>
      <xdr:spPr bwMode="auto">
        <a:xfrm>
          <a:off x="0" y="53873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788" name="AutoShape 520" descr="https://www.soccerstats.com/img/own/sshplogo.png">
          <a:hlinkClick xmlns:r="http://schemas.openxmlformats.org/officeDocument/2006/relationships" r:id="rId260"/>
        </xdr:cNvPr>
        <xdr:cNvSpPr>
          <a:spLocks noChangeAspect="1" noChangeArrowheads="1"/>
        </xdr:cNvSpPr>
      </xdr:nvSpPr>
      <xdr:spPr bwMode="auto">
        <a:xfrm>
          <a:off x="13411200" y="53873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89" name="AutoShape 521" descr="GERMANY3"/>
        <xdr:cNvSpPr>
          <a:spLocks noChangeAspect="1" noChangeArrowheads="1"/>
        </xdr:cNvSpPr>
      </xdr:nvSpPr>
      <xdr:spPr bwMode="auto">
        <a:xfrm>
          <a:off x="0" y="54048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790" name="AutoShape 522" descr="https://www.soccerstats.com/img/own/sshplogo.png">
          <a:hlinkClick xmlns:r="http://schemas.openxmlformats.org/officeDocument/2006/relationships" r:id="rId261"/>
        </xdr:cNvPr>
        <xdr:cNvSpPr>
          <a:spLocks noChangeAspect="1" noChangeArrowheads="1"/>
        </xdr:cNvSpPr>
      </xdr:nvSpPr>
      <xdr:spPr bwMode="auto">
        <a:xfrm>
          <a:off x="13411200" y="54048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91" name="AutoShape 523" descr="GERMANY4"/>
        <xdr:cNvSpPr>
          <a:spLocks noChangeAspect="1" noChangeArrowheads="1"/>
        </xdr:cNvSpPr>
      </xdr:nvSpPr>
      <xdr:spPr bwMode="auto">
        <a:xfrm>
          <a:off x="0" y="54300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792" name="AutoShape 524" descr="https://www.soccerstats.com/img/own/sshplogo.png">
          <a:hlinkClick xmlns:r="http://schemas.openxmlformats.org/officeDocument/2006/relationships" r:id="rId262"/>
        </xdr:cNvPr>
        <xdr:cNvSpPr>
          <a:spLocks noChangeAspect="1" noChangeArrowheads="1"/>
        </xdr:cNvSpPr>
      </xdr:nvSpPr>
      <xdr:spPr bwMode="auto">
        <a:xfrm>
          <a:off x="13411200" y="54300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93" name="AutoShape 525" descr="GERMANY4"/>
        <xdr:cNvSpPr>
          <a:spLocks noChangeAspect="1" noChangeArrowheads="1"/>
        </xdr:cNvSpPr>
      </xdr:nvSpPr>
      <xdr:spPr bwMode="auto">
        <a:xfrm>
          <a:off x="0" y="54475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794" name="AutoShape 526" descr="https://www.soccerstats.com/img/own/sshplogo.png">
          <a:hlinkClick xmlns:r="http://schemas.openxmlformats.org/officeDocument/2006/relationships" r:id="rId263"/>
        </xdr:cNvPr>
        <xdr:cNvSpPr>
          <a:spLocks noChangeAspect="1" noChangeArrowheads="1"/>
        </xdr:cNvSpPr>
      </xdr:nvSpPr>
      <xdr:spPr bwMode="auto">
        <a:xfrm>
          <a:off x="13411200" y="54475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95" name="AutoShape 527" descr="GERMANY4"/>
        <xdr:cNvSpPr>
          <a:spLocks noChangeAspect="1" noChangeArrowheads="1"/>
        </xdr:cNvSpPr>
      </xdr:nvSpPr>
      <xdr:spPr bwMode="auto">
        <a:xfrm>
          <a:off x="0" y="54726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796" name="AutoShape 528" descr="https://www.soccerstats.com/img/own/sshplogo.png">
          <a:hlinkClick xmlns:r="http://schemas.openxmlformats.org/officeDocument/2006/relationships" r:id="rId264"/>
        </xdr:cNvPr>
        <xdr:cNvSpPr>
          <a:spLocks noChangeAspect="1" noChangeArrowheads="1"/>
        </xdr:cNvSpPr>
      </xdr:nvSpPr>
      <xdr:spPr bwMode="auto">
        <a:xfrm>
          <a:off x="13411200" y="54726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97" name="AutoShape 529" descr="GERMANY4"/>
        <xdr:cNvSpPr>
          <a:spLocks noChangeAspect="1" noChangeArrowheads="1"/>
        </xdr:cNvSpPr>
      </xdr:nvSpPr>
      <xdr:spPr bwMode="auto">
        <a:xfrm>
          <a:off x="0" y="54902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798" name="AutoShape 530" descr="https://www.soccerstats.com/img/own/sshplogo.png">
          <a:hlinkClick xmlns:r="http://schemas.openxmlformats.org/officeDocument/2006/relationships" r:id="rId265"/>
        </xdr:cNvPr>
        <xdr:cNvSpPr>
          <a:spLocks noChangeAspect="1" noChangeArrowheads="1"/>
        </xdr:cNvSpPr>
      </xdr:nvSpPr>
      <xdr:spPr bwMode="auto">
        <a:xfrm>
          <a:off x="13411200" y="54902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99" name="AutoShape 531" descr="GERMANY5"/>
        <xdr:cNvSpPr>
          <a:spLocks noChangeAspect="1" noChangeArrowheads="1"/>
        </xdr:cNvSpPr>
      </xdr:nvSpPr>
      <xdr:spPr bwMode="auto">
        <a:xfrm>
          <a:off x="0" y="55153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800" name="AutoShape 532" descr="https://www.soccerstats.com/img/own/sshplogo.png">
          <a:hlinkClick xmlns:r="http://schemas.openxmlformats.org/officeDocument/2006/relationships" r:id="rId266"/>
        </xdr:cNvPr>
        <xdr:cNvSpPr>
          <a:spLocks noChangeAspect="1" noChangeArrowheads="1"/>
        </xdr:cNvSpPr>
      </xdr:nvSpPr>
      <xdr:spPr bwMode="auto">
        <a:xfrm>
          <a:off x="13411200" y="55153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01" name="AutoShape 533" descr="GERMANY5"/>
        <xdr:cNvSpPr>
          <a:spLocks noChangeAspect="1" noChangeArrowheads="1"/>
        </xdr:cNvSpPr>
      </xdr:nvSpPr>
      <xdr:spPr bwMode="auto">
        <a:xfrm>
          <a:off x="0" y="55328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802" name="AutoShape 534" descr="https://www.soccerstats.com/img/own/sshplogo.png">
          <a:hlinkClick xmlns:r="http://schemas.openxmlformats.org/officeDocument/2006/relationships" r:id="rId267"/>
        </xdr:cNvPr>
        <xdr:cNvSpPr>
          <a:spLocks noChangeAspect="1" noChangeArrowheads="1"/>
        </xdr:cNvSpPr>
      </xdr:nvSpPr>
      <xdr:spPr bwMode="auto">
        <a:xfrm>
          <a:off x="13411200" y="55328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03" name="AutoShape 535" descr="GERMANY5"/>
        <xdr:cNvSpPr>
          <a:spLocks noChangeAspect="1" noChangeArrowheads="1"/>
        </xdr:cNvSpPr>
      </xdr:nvSpPr>
      <xdr:spPr bwMode="auto">
        <a:xfrm>
          <a:off x="0" y="55504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804" name="AutoShape 536" descr="https://www.soccerstats.com/img/own/sshplogo.png">
          <a:hlinkClick xmlns:r="http://schemas.openxmlformats.org/officeDocument/2006/relationships" r:id="rId268"/>
        </xdr:cNvPr>
        <xdr:cNvSpPr>
          <a:spLocks noChangeAspect="1" noChangeArrowheads="1"/>
        </xdr:cNvSpPr>
      </xdr:nvSpPr>
      <xdr:spPr bwMode="auto">
        <a:xfrm>
          <a:off x="13411200" y="55504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05" name="AutoShape 537" descr="GERMANY6"/>
        <xdr:cNvSpPr>
          <a:spLocks noChangeAspect="1" noChangeArrowheads="1"/>
        </xdr:cNvSpPr>
      </xdr:nvSpPr>
      <xdr:spPr bwMode="auto">
        <a:xfrm>
          <a:off x="0" y="55755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806" name="AutoShape 538" descr="https://www.soccerstats.com/img/own/sshplogo.png">
          <a:hlinkClick xmlns:r="http://schemas.openxmlformats.org/officeDocument/2006/relationships" r:id="rId269"/>
        </xdr:cNvPr>
        <xdr:cNvSpPr>
          <a:spLocks noChangeAspect="1" noChangeArrowheads="1"/>
        </xdr:cNvSpPr>
      </xdr:nvSpPr>
      <xdr:spPr bwMode="auto">
        <a:xfrm>
          <a:off x="13411200" y="55755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07" name="AutoShape 539" descr="GERMANY6"/>
        <xdr:cNvSpPr>
          <a:spLocks noChangeAspect="1" noChangeArrowheads="1"/>
        </xdr:cNvSpPr>
      </xdr:nvSpPr>
      <xdr:spPr bwMode="auto">
        <a:xfrm>
          <a:off x="0" y="55930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808" name="AutoShape 540" descr="https://www.soccerstats.com/img/own/sshplogo.png">
          <a:hlinkClick xmlns:r="http://schemas.openxmlformats.org/officeDocument/2006/relationships" r:id="rId270"/>
        </xdr:cNvPr>
        <xdr:cNvSpPr>
          <a:spLocks noChangeAspect="1" noChangeArrowheads="1"/>
        </xdr:cNvSpPr>
      </xdr:nvSpPr>
      <xdr:spPr bwMode="auto">
        <a:xfrm>
          <a:off x="13411200" y="559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09" name="AutoShape 541" descr="GERMANY6"/>
        <xdr:cNvSpPr>
          <a:spLocks noChangeAspect="1" noChangeArrowheads="1"/>
        </xdr:cNvSpPr>
      </xdr:nvSpPr>
      <xdr:spPr bwMode="auto">
        <a:xfrm>
          <a:off x="0" y="56106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810" name="AutoShape 542" descr="https://www.soccerstats.com/img/own/sshplogo.png">
          <a:hlinkClick xmlns:r="http://schemas.openxmlformats.org/officeDocument/2006/relationships" r:id="rId271"/>
        </xdr:cNvPr>
        <xdr:cNvSpPr>
          <a:spLocks noChangeAspect="1" noChangeArrowheads="1"/>
        </xdr:cNvSpPr>
      </xdr:nvSpPr>
      <xdr:spPr bwMode="auto">
        <a:xfrm>
          <a:off x="13411200" y="56106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11" name="AutoShape 543" descr="GERMANY6"/>
        <xdr:cNvSpPr>
          <a:spLocks noChangeAspect="1" noChangeArrowheads="1"/>
        </xdr:cNvSpPr>
      </xdr:nvSpPr>
      <xdr:spPr bwMode="auto">
        <a:xfrm>
          <a:off x="0" y="56357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812" name="AutoShape 544" descr="https://www.soccerstats.com/img/own/sshplogo.png">
          <a:hlinkClick xmlns:r="http://schemas.openxmlformats.org/officeDocument/2006/relationships" r:id="rId272"/>
        </xdr:cNvPr>
        <xdr:cNvSpPr>
          <a:spLocks noChangeAspect="1" noChangeArrowheads="1"/>
        </xdr:cNvSpPr>
      </xdr:nvSpPr>
      <xdr:spPr bwMode="auto">
        <a:xfrm>
          <a:off x="13411200" y="56357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13" name="AutoShape 545" descr="GERMANY7"/>
        <xdr:cNvSpPr>
          <a:spLocks noChangeAspect="1" noChangeArrowheads="1"/>
        </xdr:cNvSpPr>
      </xdr:nvSpPr>
      <xdr:spPr bwMode="auto">
        <a:xfrm>
          <a:off x="0" y="56608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814" name="AutoShape 546" descr="https://www.soccerstats.com/img/own/sshplogo.png">
          <a:hlinkClick xmlns:r="http://schemas.openxmlformats.org/officeDocument/2006/relationships" r:id="rId273"/>
        </xdr:cNvPr>
        <xdr:cNvSpPr>
          <a:spLocks noChangeAspect="1" noChangeArrowheads="1"/>
        </xdr:cNvSpPr>
      </xdr:nvSpPr>
      <xdr:spPr bwMode="auto">
        <a:xfrm>
          <a:off x="13411200" y="56608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15" name="AutoShape 547" descr="GERMANY7"/>
        <xdr:cNvSpPr>
          <a:spLocks noChangeAspect="1" noChangeArrowheads="1"/>
        </xdr:cNvSpPr>
      </xdr:nvSpPr>
      <xdr:spPr bwMode="auto">
        <a:xfrm>
          <a:off x="0" y="56784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816" name="AutoShape 548" descr="https://www.soccerstats.com/img/own/sshplogo.png">
          <a:hlinkClick xmlns:r="http://schemas.openxmlformats.org/officeDocument/2006/relationships" r:id="rId274"/>
        </xdr:cNvPr>
        <xdr:cNvSpPr>
          <a:spLocks noChangeAspect="1" noChangeArrowheads="1"/>
        </xdr:cNvSpPr>
      </xdr:nvSpPr>
      <xdr:spPr bwMode="auto">
        <a:xfrm>
          <a:off x="13411200" y="56784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17" name="AutoShape 549" descr="GERMANY7"/>
        <xdr:cNvSpPr>
          <a:spLocks noChangeAspect="1" noChangeArrowheads="1"/>
        </xdr:cNvSpPr>
      </xdr:nvSpPr>
      <xdr:spPr bwMode="auto">
        <a:xfrm>
          <a:off x="0" y="56959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818" name="AutoShape 550" descr="https://www.soccerstats.com/img/own/sshplogo.png">
          <a:hlinkClick xmlns:r="http://schemas.openxmlformats.org/officeDocument/2006/relationships" r:id="rId275"/>
        </xdr:cNvPr>
        <xdr:cNvSpPr>
          <a:spLocks noChangeAspect="1" noChangeArrowheads="1"/>
        </xdr:cNvSpPr>
      </xdr:nvSpPr>
      <xdr:spPr bwMode="auto">
        <a:xfrm>
          <a:off x="13411200" y="5695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19" name="AutoShape 551" descr="GERMANY7"/>
        <xdr:cNvSpPr>
          <a:spLocks noChangeAspect="1" noChangeArrowheads="1"/>
        </xdr:cNvSpPr>
      </xdr:nvSpPr>
      <xdr:spPr bwMode="auto">
        <a:xfrm>
          <a:off x="0" y="57210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820" name="AutoShape 552" descr="https://www.soccerstats.com/img/own/sshplogo.png">
          <a:hlinkClick xmlns:r="http://schemas.openxmlformats.org/officeDocument/2006/relationships" r:id="rId276"/>
        </xdr:cNvPr>
        <xdr:cNvSpPr>
          <a:spLocks noChangeAspect="1" noChangeArrowheads="1"/>
        </xdr:cNvSpPr>
      </xdr:nvSpPr>
      <xdr:spPr bwMode="auto">
        <a:xfrm>
          <a:off x="13411200" y="57210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21" name="AutoShape 553" descr="GERMANY7"/>
        <xdr:cNvSpPr>
          <a:spLocks noChangeAspect="1" noChangeArrowheads="1"/>
        </xdr:cNvSpPr>
      </xdr:nvSpPr>
      <xdr:spPr bwMode="auto">
        <a:xfrm>
          <a:off x="0" y="57386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822" name="AutoShape 554" descr="https://www.soccerstats.com/img/own/sshplogo.png">
          <a:hlinkClick xmlns:r="http://schemas.openxmlformats.org/officeDocument/2006/relationships" r:id="rId277"/>
        </xdr:cNvPr>
        <xdr:cNvSpPr>
          <a:spLocks noChangeAspect="1" noChangeArrowheads="1"/>
        </xdr:cNvSpPr>
      </xdr:nvSpPr>
      <xdr:spPr bwMode="auto">
        <a:xfrm>
          <a:off x="13411200" y="57386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23" name="AutoShape 555" descr="GUATEMALA"/>
        <xdr:cNvSpPr>
          <a:spLocks noChangeAspect="1" noChangeArrowheads="1"/>
        </xdr:cNvSpPr>
      </xdr:nvSpPr>
      <xdr:spPr bwMode="auto">
        <a:xfrm>
          <a:off x="0" y="57561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824" name="AutoShape 556" descr="https://www.soccerstats.com/img/own/sshplogo.png">
          <a:hlinkClick xmlns:r="http://schemas.openxmlformats.org/officeDocument/2006/relationships" r:id="rId278"/>
        </xdr:cNvPr>
        <xdr:cNvSpPr>
          <a:spLocks noChangeAspect="1" noChangeArrowheads="1"/>
        </xdr:cNvSpPr>
      </xdr:nvSpPr>
      <xdr:spPr bwMode="auto">
        <a:xfrm>
          <a:off x="13411200" y="57561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25" name="AutoShape 557" descr="GUATEMALA"/>
        <xdr:cNvSpPr>
          <a:spLocks noChangeAspect="1" noChangeArrowheads="1"/>
        </xdr:cNvSpPr>
      </xdr:nvSpPr>
      <xdr:spPr bwMode="auto">
        <a:xfrm>
          <a:off x="0" y="57812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826" name="AutoShape 558" descr="https://www.soccerstats.com/img/own/sshplogo.png">
          <a:hlinkClick xmlns:r="http://schemas.openxmlformats.org/officeDocument/2006/relationships" r:id="rId279"/>
        </xdr:cNvPr>
        <xdr:cNvSpPr>
          <a:spLocks noChangeAspect="1" noChangeArrowheads="1"/>
        </xdr:cNvSpPr>
      </xdr:nvSpPr>
      <xdr:spPr bwMode="auto">
        <a:xfrm>
          <a:off x="13411200" y="57812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27" name="AutoShape 559" descr="HUNGARY"/>
        <xdr:cNvSpPr>
          <a:spLocks noChangeAspect="1" noChangeArrowheads="1"/>
        </xdr:cNvSpPr>
      </xdr:nvSpPr>
      <xdr:spPr bwMode="auto">
        <a:xfrm>
          <a:off x="0" y="57988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828" name="AutoShape 560" descr="https://www.soccerstats.com/img/own/sshplogo.png">
          <a:hlinkClick xmlns:r="http://schemas.openxmlformats.org/officeDocument/2006/relationships" r:id="rId280"/>
        </xdr:cNvPr>
        <xdr:cNvSpPr>
          <a:spLocks noChangeAspect="1" noChangeArrowheads="1"/>
        </xdr:cNvSpPr>
      </xdr:nvSpPr>
      <xdr:spPr bwMode="auto">
        <a:xfrm>
          <a:off x="13411200" y="57988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29" name="AutoShape 561" descr="HUNGARY"/>
        <xdr:cNvSpPr>
          <a:spLocks noChangeAspect="1" noChangeArrowheads="1"/>
        </xdr:cNvSpPr>
      </xdr:nvSpPr>
      <xdr:spPr bwMode="auto">
        <a:xfrm>
          <a:off x="0" y="58239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830" name="AutoShape 562" descr="https://www.soccerstats.com/img/own/sshplogo.png">
          <a:hlinkClick xmlns:r="http://schemas.openxmlformats.org/officeDocument/2006/relationships" r:id="rId281"/>
        </xdr:cNvPr>
        <xdr:cNvSpPr>
          <a:spLocks noChangeAspect="1" noChangeArrowheads="1"/>
        </xdr:cNvSpPr>
      </xdr:nvSpPr>
      <xdr:spPr bwMode="auto">
        <a:xfrm>
          <a:off x="13411200" y="58239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31" name="AutoShape 563" descr="HUNGARY2"/>
        <xdr:cNvSpPr>
          <a:spLocks noChangeAspect="1" noChangeArrowheads="1"/>
        </xdr:cNvSpPr>
      </xdr:nvSpPr>
      <xdr:spPr bwMode="auto">
        <a:xfrm>
          <a:off x="0" y="58414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832" name="AutoShape 564" descr="https://www.soccerstats.com/img/own/sshplogo.png">
          <a:hlinkClick xmlns:r="http://schemas.openxmlformats.org/officeDocument/2006/relationships" r:id="rId282"/>
        </xdr:cNvPr>
        <xdr:cNvSpPr>
          <a:spLocks noChangeAspect="1" noChangeArrowheads="1"/>
        </xdr:cNvSpPr>
      </xdr:nvSpPr>
      <xdr:spPr bwMode="auto">
        <a:xfrm>
          <a:off x="13411200" y="58414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33" name="AutoShape 565" descr="HUNGARY2"/>
        <xdr:cNvSpPr>
          <a:spLocks noChangeAspect="1" noChangeArrowheads="1"/>
        </xdr:cNvSpPr>
      </xdr:nvSpPr>
      <xdr:spPr bwMode="auto">
        <a:xfrm>
          <a:off x="0" y="58590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834" name="AutoShape 566" descr="https://www.soccerstats.com/img/own/sshplogo.png">
          <a:hlinkClick xmlns:r="http://schemas.openxmlformats.org/officeDocument/2006/relationships" r:id="rId283"/>
        </xdr:cNvPr>
        <xdr:cNvSpPr>
          <a:spLocks noChangeAspect="1" noChangeArrowheads="1"/>
        </xdr:cNvSpPr>
      </xdr:nvSpPr>
      <xdr:spPr bwMode="auto">
        <a:xfrm>
          <a:off x="13411200" y="58590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35" name="AutoShape 567" descr="HUNGARY2"/>
        <xdr:cNvSpPr>
          <a:spLocks noChangeAspect="1" noChangeArrowheads="1"/>
        </xdr:cNvSpPr>
      </xdr:nvSpPr>
      <xdr:spPr bwMode="auto">
        <a:xfrm>
          <a:off x="0" y="58765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836" name="AutoShape 568" descr="https://www.soccerstats.com/img/own/sshplogo.png">
          <a:hlinkClick xmlns:r="http://schemas.openxmlformats.org/officeDocument/2006/relationships" r:id="rId284"/>
        </xdr:cNvPr>
        <xdr:cNvSpPr>
          <a:spLocks noChangeAspect="1" noChangeArrowheads="1"/>
        </xdr:cNvSpPr>
      </xdr:nvSpPr>
      <xdr:spPr bwMode="auto">
        <a:xfrm>
          <a:off x="13411200" y="58765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37" name="AutoShape 569" descr="HUNGARY2"/>
        <xdr:cNvSpPr>
          <a:spLocks noChangeAspect="1" noChangeArrowheads="1"/>
        </xdr:cNvSpPr>
      </xdr:nvSpPr>
      <xdr:spPr bwMode="auto">
        <a:xfrm>
          <a:off x="0" y="59016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838" name="AutoShape 570" descr="https://www.soccerstats.com/img/own/sshplogo.png">
          <a:hlinkClick xmlns:r="http://schemas.openxmlformats.org/officeDocument/2006/relationships" r:id="rId285"/>
        </xdr:cNvPr>
        <xdr:cNvSpPr>
          <a:spLocks noChangeAspect="1" noChangeArrowheads="1"/>
        </xdr:cNvSpPr>
      </xdr:nvSpPr>
      <xdr:spPr bwMode="auto">
        <a:xfrm>
          <a:off x="13411200" y="59016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39" name="AutoShape 571" descr="HUNGARY2"/>
        <xdr:cNvSpPr>
          <a:spLocks noChangeAspect="1" noChangeArrowheads="1"/>
        </xdr:cNvSpPr>
      </xdr:nvSpPr>
      <xdr:spPr bwMode="auto">
        <a:xfrm>
          <a:off x="0" y="59192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840" name="AutoShape 572" descr="https://www.soccerstats.com/img/own/sshplogo.png">
          <a:hlinkClick xmlns:r="http://schemas.openxmlformats.org/officeDocument/2006/relationships" r:id="rId286"/>
        </xdr:cNvPr>
        <xdr:cNvSpPr>
          <a:spLocks noChangeAspect="1" noChangeArrowheads="1"/>
        </xdr:cNvSpPr>
      </xdr:nvSpPr>
      <xdr:spPr bwMode="auto">
        <a:xfrm>
          <a:off x="13411200" y="59192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41" name="AutoShape 573" descr="HUNGARY2"/>
        <xdr:cNvSpPr>
          <a:spLocks noChangeAspect="1" noChangeArrowheads="1"/>
        </xdr:cNvSpPr>
      </xdr:nvSpPr>
      <xdr:spPr bwMode="auto">
        <a:xfrm>
          <a:off x="0" y="59443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842" name="AutoShape 574" descr="https://www.soccerstats.com/img/own/sshplogo.png">
          <a:hlinkClick xmlns:r="http://schemas.openxmlformats.org/officeDocument/2006/relationships" r:id="rId287"/>
        </xdr:cNvPr>
        <xdr:cNvSpPr>
          <a:spLocks noChangeAspect="1" noChangeArrowheads="1"/>
        </xdr:cNvSpPr>
      </xdr:nvSpPr>
      <xdr:spPr bwMode="auto">
        <a:xfrm>
          <a:off x="13411200" y="59443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43" name="AutoShape 575" descr="ICELAND"/>
        <xdr:cNvSpPr>
          <a:spLocks noChangeAspect="1" noChangeArrowheads="1"/>
        </xdr:cNvSpPr>
      </xdr:nvSpPr>
      <xdr:spPr bwMode="auto">
        <a:xfrm>
          <a:off x="0" y="59618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844" name="AutoShape 576" descr="https://www.soccerstats.com/img/own/sshplogo.png">
          <a:hlinkClick xmlns:r="http://schemas.openxmlformats.org/officeDocument/2006/relationships" r:id="rId288"/>
        </xdr:cNvPr>
        <xdr:cNvSpPr>
          <a:spLocks noChangeAspect="1" noChangeArrowheads="1"/>
        </xdr:cNvSpPr>
      </xdr:nvSpPr>
      <xdr:spPr bwMode="auto">
        <a:xfrm>
          <a:off x="13411200" y="59618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45" name="AutoShape 577" descr="ICELAND3"/>
        <xdr:cNvSpPr>
          <a:spLocks noChangeAspect="1" noChangeArrowheads="1"/>
        </xdr:cNvSpPr>
      </xdr:nvSpPr>
      <xdr:spPr bwMode="auto">
        <a:xfrm>
          <a:off x="0" y="59794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846" name="AutoShape 578" descr="https://www.soccerstats.com/img/own/sshplogo.png">
          <a:hlinkClick xmlns:r="http://schemas.openxmlformats.org/officeDocument/2006/relationships" r:id="rId289"/>
        </xdr:cNvPr>
        <xdr:cNvSpPr>
          <a:spLocks noChangeAspect="1" noChangeArrowheads="1"/>
        </xdr:cNvSpPr>
      </xdr:nvSpPr>
      <xdr:spPr bwMode="auto">
        <a:xfrm>
          <a:off x="13411200" y="59794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47" name="AutoShape 579" descr="ICELAND3"/>
        <xdr:cNvSpPr>
          <a:spLocks noChangeAspect="1" noChangeArrowheads="1"/>
        </xdr:cNvSpPr>
      </xdr:nvSpPr>
      <xdr:spPr bwMode="auto">
        <a:xfrm>
          <a:off x="0" y="59969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848" name="AutoShape 580" descr="https://www.soccerstats.com/img/own/sshplogo.png">
          <a:hlinkClick xmlns:r="http://schemas.openxmlformats.org/officeDocument/2006/relationships" r:id="rId290"/>
        </xdr:cNvPr>
        <xdr:cNvSpPr>
          <a:spLocks noChangeAspect="1" noChangeArrowheads="1"/>
        </xdr:cNvSpPr>
      </xdr:nvSpPr>
      <xdr:spPr bwMode="auto">
        <a:xfrm>
          <a:off x="13411200" y="59969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49" name="AutoShape 581" descr="ICELAND3"/>
        <xdr:cNvSpPr>
          <a:spLocks noChangeAspect="1" noChangeArrowheads="1"/>
        </xdr:cNvSpPr>
      </xdr:nvSpPr>
      <xdr:spPr bwMode="auto">
        <a:xfrm>
          <a:off x="0" y="60144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850" name="AutoShape 582" descr="https://www.soccerstats.com/img/own/sshplogo.png">
          <a:hlinkClick xmlns:r="http://schemas.openxmlformats.org/officeDocument/2006/relationships" r:id="rId291"/>
        </xdr:cNvPr>
        <xdr:cNvSpPr>
          <a:spLocks noChangeAspect="1" noChangeArrowheads="1"/>
        </xdr:cNvSpPr>
      </xdr:nvSpPr>
      <xdr:spPr bwMode="auto">
        <a:xfrm>
          <a:off x="13411200" y="60144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51" name="AutoShape 583" descr="ICELAND3"/>
        <xdr:cNvSpPr>
          <a:spLocks noChangeAspect="1" noChangeArrowheads="1"/>
        </xdr:cNvSpPr>
      </xdr:nvSpPr>
      <xdr:spPr bwMode="auto">
        <a:xfrm>
          <a:off x="0" y="60396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852" name="AutoShape 584" descr="https://www.soccerstats.com/img/own/sshplogo.png">
          <a:hlinkClick xmlns:r="http://schemas.openxmlformats.org/officeDocument/2006/relationships" r:id="rId292"/>
        </xdr:cNvPr>
        <xdr:cNvSpPr>
          <a:spLocks noChangeAspect="1" noChangeArrowheads="1"/>
        </xdr:cNvSpPr>
      </xdr:nvSpPr>
      <xdr:spPr bwMode="auto">
        <a:xfrm>
          <a:off x="13411200" y="60396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53" name="AutoShape 585" descr="ICELAND3"/>
        <xdr:cNvSpPr>
          <a:spLocks noChangeAspect="1" noChangeArrowheads="1"/>
        </xdr:cNvSpPr>
      </xdr:nvSpPr>
      <xdr:spPr bwMode="auto">
        <a:xfrm>
          <a:off x="0" y="60571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854" name="AutoShape 586" descr="https://www.soccerstats.com/img/own/sshplogo.png">
          <a:hlinkClick xmlns:r="http://schemas.openxmlformats.org/officeDocument/2006/relationships" r:id="rId293"/>
        </xdr:cNvPr>
        <xdr:cNvSpPr>
          <a:spLocks noChangeAspect="1" noChangeArrowheads="1"/>
        </xdr:cNvSpPr>
      </xdr:nvSpPr>
      <xdr:spPr bwMode="auto">
        <a:xfrm>
          <a:off x="13411200" y="60571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55" name="AutoShape 587" descr="IRELAND3"/>
        <xdr:cNvSpPr>
          <a:spLocks noChangeAspect="1" noChangeArrowheads="1"/>
        </xdr:cNvSpPr>
      </xdr:nvSpPr>
      <xdr:spPr bwMode="auto">
        <a:xfrm>
          <a:off x="0" y="60822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856" name="AutoShape 588" descr="https://www.soccerstats.com/img/own/sshplogo.png">
          <a:hlinkClick xmlns:r="http://schemas.openxmlformats.org/officeDocument/2006/relationships" r:id="rId294"/>
        </xdr:cNvPr>
        <xdr:cNvSpPr>
          <a:spLocks noChangeAspect="1" noChangeArrowheads="1"/>
        </xdr:cNvSpPr>
      </xdr:nvSpPr>
      <xdr:spPr bwMode="auto">
        <a:xfrm>
          <a:off x="13411200" y="60822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57" name="AutoShape 589" descr="IRELAND3"/>
        <xdr:cNvSpPr>
          <a:spLocks noChangeAspect="1" noChangeArrowheads="1"/>
        </xdr:cNvSpPr>
      </xdr:nvSpPr>
      <xdr:spPr bwMode="auto">
        <a:xfrm>
          <a:off x="0" y="60998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858" name="AutoShape 590" descr="https://www.soccerstats.com/img/own/sshplogo.png">
          <a:hlinkClick xmlns:r="http://schemas.openxmlformats.org/officeDocument/2006/relationships" r:id="rId295"/>
        </xdr:cNvPr>
        <xdr:cNvSpPr>
          <a:spLocks noChangeAspect="1" noChangeArrowheads="1"/>
        </xdr:cNvSpPr>
      </xdr:nvSpPr>
      <xdr:spPr bwMode="auto">
        <a:xfrm>
          <a:off x="13411200" y="60998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59" name="AutoShape 591" descr="IRELAND3"/>
        <xdr:cNvSpPr>
          <a:spLocks noChangeAspect="1" noChangeArrowheads="1"/>
        </xdr:cNvSpPr>
      </xdr:nvSpPr>
      <xdr:spPr bwMode="auto">
        <a:xfrm>
          <a:off x="0" y="61249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860" name="AutoShape 592" descr="https://www.soccerstats.com/img/own/sshplogo.png">
          <a:hlinkClick xmlns:r="http://schemas.openxmlformats.org/officeDocument/2006/relationships" r:id="rId296"/>
        </xdr:cNvPr>
        <xdr:cNvSpPr>
          <a:spLocks noChangeAspect="1" noChangeArrowheads="1"/>
        </xdr:cNvSpPr>
      </xdr:nvSpPr>
      <xdr:spPr bwMode="auto">
        <a:xfrm>
          <a:off x="13411200" y="61249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61" name="AutoShape 593" descr="IRELAND3"/>
        <xdr:cNvSpPr>
          <a:spLocks noChangeAspect="1" noChangeArrowheads="1"/>
        </xdr:cNvSpPr>
      </xdr:nvSpPr>
      <xdr:spPr bwMode="auto">
        <a:xfrm>
          <a:off x="0" y="61501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862" name="AutoShape 594" descr="https://www.soccerstats.com/img/own/sshplogo.png">
          <a:hlinkClick xmlns:r="http://schemas.openxmlformats.org/officeDocument/2006/relationships" r:id="rId297"/>
        </xdr:cNvPr>
        <xdr:cNvSpPr>
          <a:spLocks noChangeAspect="1" noChangeArrowheads="1"/>
        </xdr:cNvSpPr>
      </xdr:nvSpPr>
      <xdr:spPr bwMode="auto">
        <a:xfrm>
          <a:off x="13411200" y="61501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63" name="AutoShape 595" descr="IRELAND3"/>
        <xdr:cNvSpPr>
          <a:spLocks noChangeAspect="1" noChangeArrowheads="1"/>
        </xdr:cNvSpPr>
      </xdr:nvSpPr>
      <xdr:spPr bwMode="auto">
        <a:xfrm>
          <a:off x="0" y="61752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864" name="AutoShape 596" descr="https://www.soccerstats.com/img/own/sshplogo.png">
          <a:hlinkClick xmlns:r="http://schemas.openxmlformats.org/officeDocument/2006/relationships" r:id="rId298"/>
        </xdr:cNvPr>
        <xdr:cNvSpPr>
          <a:spLocks noChangeAspect="1" noChangeArrowheads="1"/>
        </xdr:cNvSpPr>
      </xdr:nvSpPr>
      <xdr:spPr bwMode="auto">
        <a:xfrm>
          <a:off x="13411200" y="61752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65" name="AutoShape 597" descr="IRELAND3"/>
        <xdr:cNvSpPr>
          <a:spLocks noChangeAspect="1" noChangeArrowheads="1"/>
        </xdr:cNvSpPr>
      </xdr:nvSpPr>
      <xdr:spPr bwMode="auto">
        <a:xfrm>
          <a:off x="0" y="61927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866" name="AutoShape 598" descr="https://www.soccerstats.com/img/own/sshplogo.png">
          <a:hlinkClick xmlns:r="http://schemas.openxmlformats.org/officeDocument/2006/relationships" r:id="rId299"/>
        </xdr:cNvPr>
        <xdr:cNvSpPr>
          <a:spLocks noChangeAspect="1" noChangeArrowheads="1"/>
        </xdr:cNvSpPr>
      </xdr:nvSpPr>
      <xdr:spPr bwMode="auto">
        <a:xfrm>
          <a:off x="13411200" y="61927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67" name="AutoShape 599" descr="JAPAN"/>
        <xdr:cNvSpPr>
          <a:spLocks noChangeAspect="1" noChangeArrowheads="1"/>
        </xdr:cNvSpPr>
      </xdr:nvSpPr>
      <xdr:spPr bwMode="auto">
        <a:xfrm>
          <a:off x="0" y="62179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868" name="AutoShape 600" descr="https://www.soccerstats.com/img/own/sshplogo.png">
          <a:hlinkClick xmlns:r="http://schemas.openxmlformats.org/officeDocument/2006/relationships" r:id="rId300"/>
        </xdr:cNvPr>
        <xdr:cNvSpPr>
          <a:spLocks noChangeAspect="1" noChangeArrowheads="1"/>
        </xdr:cNvSpPr>
      </xdr:nvSpPr>
      <xdr:spPr bwMode="auto">
        <a:xfrm>
          <a:off x="13411200" y="6217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69" name="AutoShape 601" descr="JAPAN"/>
        <xdr:cNvSpPr>
          <a:spLocks noChangeAspect="1" noChangeArrowheads="1"/>
        </xdr:cNvSpPr>
      </xdr:nvSpPr>
      <xdr:spPr bwMode="auto">
        <a:xfrm>
          <a:off x="0" y="62430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870" name="AutoShape 602" descr="https://www.soccerstats.com/img/own/sshplogo.png">
          <a:hlinkClick xmlns:r="http://schemas.openxmlformats.org/officeDocument/2006/relationships" r:id="rId301"/>
        </xdr:cNvPr>
        <xdr:cNvSpPr>
          <a:spLocks noChangeAspect="1" noChangeArrowheads="1"/>
        </xdr:cNvSpPr>
      </xdr:nvSpPr>
      <xdr:spPr bwMode="auto">
        <a:xfrm>
          <a:off x="13411200" y="62430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71" name="AutoShape 603" descr="JAPAN"/>
        <xdr:cNvSpPr>
          <a:spLocks noChangeAspect="1" noChangeArrowheads="1"/>
        </xdr:cNvSpPr>
      </xdr:nvSpPr>
      <xdr:spPr bwMode="auto">
        <a:xfrm>
          <a:off x="0" y="62682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872" name="AutoShape 604" descr="https://www.soccerstats.com/img/own/sshplogo.png">
          <a:hlinkClick xmlns:r="http://schemas.openxmlformats.org/officeDocument/2006/relationships" r:id="rId302"/>
        </xdr:cNvPr>
        <xdr:cNvSpPr>
          <a:spLocks noChangeAspect="1" noChangeArrowheads="1"/>
        </xdr:cNvSpPr>
      </xdr:nvSpPr>
      <xdr:spPr bwMode="auto">
        <a:xfrm>
          <a:off x="13411200" y="62682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73" name="AutoShape 605" descr="JAPAN"/>
        <xdr:cNvSpPr>
          <a:spLocks noChangeAspect="1" noChangeArrowheads="1"/>
        </xdr:cNvSpPr>
      </xdr:nvSpPr>
      <xdr:spPr bwMode="auto">
        <a:xfrm>
          <a:off x="0" y="62933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874" name="AutoShape 606" descr="https://www.soccerstats.com/img/own/sshplogo.png">
          <a:hlinkClick xmlns:r="http://schemas.openxmlformats.org/officeDocument/2006/relationships" r:id="rId303"/>
        </xdr:cNvPr>
        <xdr:cNvSpPr>
          <a:spLocks noChangeAspect="1" noChangeArrowheads="1"/>
        </xdr:cNvSpPr>
      </xdr:nvSpPr>
      <xdr:spPr bwMode="auto">
        <a:xfrm>
          <a:off x="13411200" y="62933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75" name="AutoShape 607" descr="JAPAN"/>
        <xdr:cNvSpPr>
          <a:spLocks noChangeAspect="1" noChangeArrowheads="1"/>
        </xdr:cNvSpPr>
      </xdr:nvSpPr>
      <xdr:spPr bwMode="auto">
        <a:xfrm>
          <a:off x="0" y="63185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876" name="AutoShape 608" descr="https://www.soccerstats.com/img/own/sshplogo.png">
          <a:hlinkClick xmlns:r="http://schemas.openxmlformats.org/officeDocument/2006/relationships" r:id="rId304"/>
        </xdr:cNvPr>
        <xdr:cNvSpPr>
          <a:spLocks noChangeAspect="1" noChangeArrowheads="1"/>
        </xdr:cNvSpPr>
      </xdr:nvSpPr>
      <xdr:spPr bwMode="auto">
        <a:xfrm>
          <a:off x="13411200" y="63185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77" name="AutoShape 609" descr="JAPAN"/>
        <xdr:cNvSpPr>
          <a:spLocks noChangeAspect="1" noChangeArrowheads="1"/>
        </xdr:cNvSpPr>
      </xdr:nvSpPr>
      <xdr:spPr bwMode="auto">
        <a:xfrm>
          <a:off x="0" y="63436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878" name="AutoShape 610" descr="https://www.soccerstats.com/img/own/sshplogo.png">
          <a:hlinkClick xmlns:r="http://schemas.openxmlformats.org/officeDocument/2006/relationships" r:id="rId305"/>
        </xdr:cNvPr>
        <xdr:cNvSpPr>
          <a:spLocks noChangeAspect="1" noChangeArrowheads="1"/>
        </xdr:cNvSpPr>
      </xdr:nvSpPr>
      <xdr:spPr bwMode="auto">
        <a:xfrm>
          <a:off x="13411200" y="6343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79" name="AutoShape 611" descr="JAPAN"/>
        <xdr:cNvSpPr>
          <a:spLocks noChangeAspect="1" noChangeArrowheads="1"/>
        </xdr:cNvSpPr>
      </xdr:nvSpPr>
      <xdr:spPr bwMode="auto">
        <a:xfrm>
          <a:off x="0" y="63687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880" name="AutoShape 612" descr="https://www.soccerstats.com/img/own/sshplogo.png">
          <a:hlinkClick xmlns:r="http://schemas.openxmlformats.org/officeDocument/2006/relationships" r:id="rId306"/>
        </xdr:cNvPr>
        <xdr:cNvSpPr>
          <a:spLocks noChangeAspect="1" noChangeArrowheads="1"/>
        </xdr:cNvSpPr>
      </xdr:nvSpPr>
      <xdr:spPr bwMode="auto">
        <a:xfrm>
          <a:off x="13411200" y="63687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81" name="AutoShape 613" descr="JAPAN"/>
        <xdr:cNvSpPr>
          <a:spLocks noChangeAspect="1" noChangeArrowheads="1"/>
        </xdr:cNvSpPr>
      </xdr:nvSpPr>
      <xdr:spPr bwMode="auto">
        <a:xfrm>
          <a:off x="0" y="63863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882" name="AutoShape 614" descr="https://www.soccerstats.com/img/own/sshplogo.png">
          <a:hlinkClick xmlns:r="http://schemas.openxmlformats.org/officeDocument/2006/relationships" r:id="rId307"/>
        </xdr:cNvPr>
        <xdr:cNvSpPr>
          <a:spLocks noChangeAspect="1" noChangeArrowheads="1"/>
        </xdr:cNvSpPr>
      </xdr:nvSpPr>
      <xdr:spPr bwMode="auto">
        <a:xfrm>
          <a:off x="13411200" y="63863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83" name="AutoShape 615" descr="JAPAN"/>
        <xdr:cNvSpPr>
          <a:spLocks noChangeAspect="1" noChangeArrowheads="1"/>
        </xdr:cNvSpPr>
      </xdr:nvSpPr>
      <xdr:spPr bwMode="auto">
        <a:xfrm>
          <a:off x="0" y="64038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884" name="AutoShape 616" descr="https://www.soccerstats.com/img/own/sshplogo.png">
          <a:hlinkClick xmlns:r="http://schemas.openxmlformats.org/officeDocument/2006/relationships" r:id="rId308"/>
        </xdr:cNvPr>
        <xdr:cNvSpPr>
          <a:spLocks noChangeAspect="1" noChangeArrowheads="1"/>
        </xdr:cNvSpPr>
      </xdr:nvSpPr>
      <xdr:spPr bwMode="auto">
        <a:xfrm>
          <a:off x="13411200" y="64038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85" name="AutoShape 617" descr="JAPAN2"/>
        <xdr:cNvSpPr>
          <a:spLocks noChangeAspect="1" noChangeArrowheads="1"/>
        </xdr:cNvSpPr>
      </xdr:nvSpPr>
      <xdr:spPr bwMode="auto">
        <a:xfrm>
          <a:off x="0" y="64213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886" name="AutoShape 618" descr="https://www.soccerstats.com/img/own/sshplogo.png">
          <a:hlinkClick xmlns:r="http://schemas.openxmlformats.org/officeDocument/2006/relationships" r:id="rId309"/>
        </xdr:cNvPr>
        <xdr:cNvSpPr>
          <a:spLocks noChangeAspect="1" noChangeArrowheads="1"/>
        </xdr:cNvSpPr>
      </xdr:nvSpPr>
      <xdr:spPr bwMode="auto">
        <a:xfrm>
          <a:off x="13411200" y="64213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87" name="AutoShape 619" descr="JAPAN2"/>
        <xdr:cNvSpPr>
          <a:spLocks noChangeAspect="1" noChangeArrowheads="1"/>
        </xdr:cNvSpPr>
      </xdr:nvSpPr>
      <xdr:spPr bwMode="auto">
        <a:xfrm>
          <a:off x="0" y="64465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888" name="AutoShape 620" descr="https://www.soccerstats.com/img/own/sshplogo.png">
          <a:hlinkClick xmlns:r="http://schemas.openxmlformats.org/officeDocument/2006/relationships" r:id="rId310"/>
        </xdr:cNvPr>
        <xdr:cNvSpPr>
          <a:spLocks noChangeAspect="1" noChangeArrowheads="1"/>
        </xdr:cNvSpPr>
      </xdr:nvSpPr>
      <xdr:spPr bwMode="auto">
        <a:xfrm>
          <a:off x="13411200" y="64465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89" name="AutoShape 621" descr="JAPAN2"/>
        <xdr:cNvSpPr>
          <a:spLocks noChangeAspect="1" noChangeArrowheads="1"/>
        </xdr:cNvSpPr>
      </xdr:nvSpPr>
      <xdr:spPr bwMode="auto">
        <a:xfrm>
          <a:off x="0" y="64640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890" name="AutoShape 622" descr="https://www.soccerstats.com/img/own/sshplogo.png">
          <a:hlinkClick xmlns:r="http://schemas.openxmlformats.org/officeDocument/2006/relationships" r:id="rId311"/>
        </xdr:cNvPr>
        <xdr:cNvSpPr>
          <a:spLocks noChangeAspect="1" noChangeArrowheads="1"/>
        </xdr:cNvSpPr>
      </xdr:nvSpPr>
      <xdr:spPr bwMode="auto">
        <a:xfrm>
          <a:off x="13411200" y="64640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91" name="AutoShape 623" descr="JAPAN2"/>
        <xdr:cNvSpPr>
          <a:spLocks noChangeAspect="1" noChangeArrowheads="1"/>
        </xdr:cNvSpPr>
      </xdr:nvSpPr>
      <xdr:spPr bwMode="auto">
        <a:xfrm>
          <a:off x="0" y="64815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892" name="AutoShape 624" descr="https://www.soccerstats.com/img/own/sshplogo.png">
          <a:hlinkClick xmlns:r="http://schemas.openxmlformats.org/officeDocument/2006/relationships" r:id="rId312"/>
        </xdr:cNvPr>
        <xdr:cNvSpPr>
          <a:spLocks noChangeAspect="1" noChangeArrowheads="1"/>
        </xdr:cNvSpPr>
      </xdr:nvSpPr>
      <xdr:spPr bwMode="auto">
        <a:xfrm>
          <a:off x="13411200" y="64815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93" name="AutoShape 625" descr="JAPAN2"/>
        <xdr:cNvSpPr>
          <a:spLocks noChangeAspect="1" noChangeArrowheads="1"/>
        </xdr:cNvSpPr>
      </xdr:nvSpPr>
      <xdr:spPr bwMode="auto">
        <a:xfrm>
          <a:off x="0" y="65067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894" name="AutoShape 626" descr="https://www.soccerstats.com/img/own/sshplogo.png">
          <a:hlinkClick xmlns:r="http://schemas.openxmlformats.org/officeDocument/2006/relationships" r:id="rId313"/>
        </xdr:cNvPr>
        <xdr:cNvSpPr>
          <a:spLocks noChangeAspect="1" noChangeArrowheads="1"/>
        </xdr:cNvSpPr>
      </xdr:nvSpPr>
      <xdr:spPr bwMode="auto">
        <a:xfrm>
          <a:off x="13411200" y="65067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95" name="AutoShape 627" descr="JAPAN2"/>
        <xdr:cNvSpPr>
          <a:spLocks noChangeAspect="1" noChangeArrowheads="1"/>
        </xdr:cNvSpPr>
      </xdr:nvSpPr>
      <xdr:spPr bwMode="auto">
        <a:xfrm>
          <a:off x="0" y="65242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896" name="AutoShape 628" descr="https://www.soccerstats.com/img/own/sshplogo.png">
          <a:hlinkClick xmlns:r="http://schemas.openxmlformats.org/officeDocument/2006/relationships" r:id="rId314"/>
        </xdr:cNvPr>
        <xdr:cNvSpPr>
          <a:spLocks noChangeAspect="1" noChangeArrowheads="1"/>
        </xdr:cNvSpPr>
      </xdr:nvSpPr>
      <xdr:spPr bwMode="auto">
        <a:xfrm>
          <a:off x="13411200" y="65242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97" name="AutoShape 629" descr="JAPAN2"/>
        <xdr:cNvSpPr>
          <a:spLocks noChangeAspect="1" noChangeArrowheads="1"/>
        </xdr:cNvSpPr>
      </xdr:nvSpPr>
      <xdr:spPr bwMode="auto">
        <a:xfrm>
          <a:off x="0" y="65493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898" name="AutoShape 630" descr="https://www.soccerstats.com/img/own/sshplogo.png">
          <a:hlinkClick xmlns:r="http://schemas.openxmlformats.org/officeDocument/2006/relationships" r:id="rId315"/>
        </xdr:cNvPr>
        <xdr:cNvSpPr>
          <a:spLocks noChangeAspect="1" noChangeArrowheads="1"/>
        </xdr:cNvSpPr>
      </xdr:nvSpPr>
      <xdr:spPr bwMode="auto">
        <a:xfrm>
          <a:off x="13411200" y="65493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99" name="AutoShape 631" descr="JAPAN2"/>
        <xdr:cNvSpPr>
          <a:spLocks noChangeAspect="1" noChangeArrowheads="1"/>
        </xdr:cNvSpPr>
      </xdr:nvSpPr>
      <xdr:spPr bwMode="auto">
        <a:xfrm>
          <a:off x="0" y="65745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900" name="AutoShape 632" descr="https://www.soccerstats.com/img/own/sshplogo.png">
          <a:hlinkClick xmlns:r="http://schemas.openxmlformats.org/officeDocument/2006/relationships" r:id="rId316"/>
        </xdr:cNvPr>
        <xdr:cNvSpPr>
          <a:spLocks noChangeAspect="1" noChangeArrowheads="1"/>
        </xdr:cNvSpPr>
      </xdr:nvSpPr>
      <xdr:spPr bwMode="auto">
        <a:xfrm>
          <a:off x="13411200" y="65745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01" name="AutoShape 633" descr="JAPAN3"/>
        <xdr:cNvSpPr>
          <a:spLocks noChangeAspect="1" noChangeArrowheads="1"/>
        </xdr:cNvSpPr>
      </xdr:nvSpPr>
      <xdr:spPr bwMode="auto">
        <a:xfrm>
          <a:off x="0" y="65996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902" name="AutoShape 634" descr="https://www.soccerstats.com/img/own/sshplogo.png">
          <a:hlinkClick xmlns:r="http://schemas.openxmlformats.org/officeDocument/2006/relationships" r:id="rId317"/>
        </xdr:cNvPr>
        <xdr:cNvSpPr>
          <a:spLocks noChangeAspect="1" noChangeArrowheads="1"/>
        </xdr:cNvSpPr>
      </xdr:nvSpPr>
      <xdr:spPr bwMode="auto">
        <a:xfrm>
          <a:off x="13411200" y="65996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03" name="AutoShape 635" descr="JAPAN3"/>
        <xdr:cNvSpPr>
          <a:spLocks noChangeAspect="1" noChangeArrowheads="1"/>
        </xdr:cNvSpPr>
      </xdr:nvSpPr>
      <xdr:spPr bwMode="auto">
        <a:xfrm>
          <a:off x="0" y="66248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904" name="AutoShape 636" descr="https://www.soccerstats.com/img/own/sshplogo.png">
          <a:hlinkClick xmlns:r="http://schemas.openxmlformats.org/officeDocument/2006/relationships" r:id="rId318"/>
        </xdr:cNvPr>
        <xdr:cNvSpPr>
          <a:spLocks noChangeAspect="1" noChangeArrowheads="1"/>
        </xdr:cNvSpPr>
      </xdr:nvSpPr>
      <xdr:spPr bwMode="auto">
        <a:xfrm>
          <a:off x="13411200" y="66248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05" name="AutoShape 637" descr="JAPAN3"/>
        <xdr:cNvSpPr>
          <a:spLocks noChangeAspect="1" noChangeArrowheads="1"/>
        </xdr:cNvSpPr>
      </xdr:nvSpPr>
      <xdr:spPr bwMode="auto">
        <a:xfrm>
          <a:off x="0" y="66423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906" name="AutoShape 638" descr="https://www.soccerstats.com/img/own/sshplogo.png">
          <a:hlinkClick xmlns:r="http://schemas.openxmlformats.org/officeDocument/2006/relationships" r:id="rId319"/>
        </xdr:cNvPr>
        <xdr:cNvSpPr>
          <a:spLocks noChangeAspect="1" noChangeArrowheads="1"/>
        </xdr:cNvSpPr>
      </xdr:nvSpPr>
      <xdr:spPr bwMode="auto">
        <a:xfrm>
          <a:off x="13411200" y="66423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07" name="AutoShape 639" descr="JAPAN3"/>
        <xdr:cNvSpPr>
          <a:spLocks noChangeAspect="1" noChangeArrowheads="1"/>
        </xdr:cNvSpPr>
      </xdr:nvSpPr>
      <xdr:spPr bwMode="auto">
        <a:xfrm>
          <a:off x="0" y="66675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908" name="AutoShape 640" descr="https://www.soccerstats.com/img/own/sshplogo.png">
          <a:hlinkClick xmlns:r="http://schemas.openxmlformats.org/officeDocument/2006/relationships" r:id="rId320"/>
        </xdr:cNvPr>
        <xdr:cNvSpPr>
          <a:spLocks noChangeAspect="1" noChangeArrowheads="1"/>
        </xdr:cNvSpPr>
      </xdr:nvSpPr>
      <xdr:spPr bwMode="auto">
        <a:xfrm>
          <a:off x="13411200" y="66675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09" name="AutoShape 641" descr="JAPAN3"/>
        <xdr:cNvSpPr>
          <a:spLocks noChangeAspect="1" noChangeArrowheads="1"/>
        </xdr:cNvSpPr>
      </xdr:nvSpPr>
      <xdr:spPr bwMode="auto">
        <a:xfrm>
          <a:off x="0" y="66850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910" name="AutoShape 642" descr="https://www.soccerstats.com/img/own/sshplogo.png">
          <a:hlinkClick xmlns:r="http://schemas.openxmlformats.org/officeDocument/2006/relationships" r:id="rId321"/>
        </xdr:cNvPr>
        <xdr:cNvSpPr>
          <a:spLocks noChangeAspect="1" noChangeArrowheads="1"/>
        </xdr:cNvSpPr>
      </xdr:nvSpPr>
      <xdr:spPr bwMode="auto">
        <a:xfrm>
          <a:off x="13411200" y="66850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11" name="AutoShape 643" descr="JAPAN3"/>
        <xdr:cNvSpPr>
          <a:spLocks noChangeAspect="1" noChangeArrowheads="1"/>
        </xdr:cNvSpPr>
      </xdr:nvSpPr>
      <xdr:spPr bwMode="auto">
        <a:xfrm>
          <a:off x="0" y="67025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912" name="AutoShape 644" descr="https://www.soccerstats.com/img/own/sshplogo.png">
          <a:hlinkClick xmlns:r="http://schemas.openxmlformats.org/officeDocument/2006/relationships" r:id="rId322"/>
        </xdr:cNvPr>
        <xdr:cNvSpPr>
          <a:spLocks noChangeAspect="1" noChangeArrowheads="1"/>
        </xdr:cNvSpPr>
      </xdr:nvSpPr>
      <xdr:spPr bwMode="auto">
        <a:xfrm>
          <a:off x="13411200" y="67025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13" name="AutoShape 645" descr="KAZAKHSTAN"/>
        <xdr:cNvSpPr>
          <a:spLocks noChangeAspect="1" noChangeArrowheads="1"/>
        </xdr:cNvSpPr>
      </xdr:nvSpPr>
      <xdr:spPr bwMode="auto">
        <a:xfrm>
          <a:off x="0" y="67276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914" name="AutoShape 646" descr="https://www.soccerstats.com/img/own/sshplogo.png">
          <a:hlinkClick xmlns:r="http://schemas.openxmlformats.org/officeDocument/2006/relationships" r:id="rId323"/>
        </xdr:cNvPr>
        <xdr:cNvSpPr>
          <a:spLocks noChangeAspect="1" noChangeArrowheads="1"/>
        </xdr:cNvSpPr>
      </xdr:nvSpPr>
      <xdr:spPr bwMode="auto">
        <a:xfrm>
          <a:off x="13411200" y="67276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15" name="AutoShape 647" descr="KAZAKHSTAN"/>
        <xdr:cNvSpPr>
          <a:spLocks noChangeAspect="1" noChangeArrowheads="1"/>
        </xdr:cNvSpPr>
      </xdr:nvSpPr>
      <xdr:spPr bwMode="auto">
        <a:xfrm>
          <a:off x="0" y="67452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916" name="AutoShape 648" descr="https://www.soccerstats.com/img/own/sshplogo.png">
          <a:hlinkClick xmlns:r="http://schemas.openxmlformats.org/officeDocument/2006/relationships" r:id="rId324"/>
        </xdr:cNvPr>
        <xdr:cNvSpPr>
          <a:spLocks noChangeAspect="1" noChangeArrowheads="1"/>
        </xdr:cNvSpPr>
      </xdr:nvSpPr>
      <xdr:spPr bwMode="auto">
        <a:xfrm>
          <a:off x="13411200" y="67452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17" name="AutoShape 649" descr="KAZAKHSTAN"/>
        <xdr:cNvSpPr>
          <a:spLocks noChangeAspect="1" noChangeArrowheads="1"/>
        </xdr:cNvSpPr>
      </xdr:nvSpPr>
      <xdr:spPr bwMode="auto">
        <a:xfrm>
          <a:off x="0" y="67627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918" name="AutoShape 650" descr="https://www.soccerstats.com/img/own/sshplogo.png">
          <a:hlinkClick xmlns:r="http://schemas.openxmlformats.org/officeDocument/2006/relationships" r:id="rId325"/>
        </xdr:cNvPr>
        <xdr:cNvSpPr>
          <a:spLocks noChangeAspect="1" noChangeArrowheads="1"/>
        </xdr:cNvSpPr>
      </xdr:nvSpPr>
      <xdr:spPr bwMode="auto">
        <a:xfrm>
          <a:off x="13411200" y="6762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19" name="AutoShape 651" descr="KAZAKHSTAN"/>
        <xdr:cNvSpPr>
          <a:spLocks noChangeAspect="1" noChangeArrowheads="1"/>
        </xdr:cNvSpPr>
      </xdr:nvSpPr>
      <xdr:spPr bwMode="auto">
        <a:xfrm>
          <a:off x="0" y="67802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920" name="AutoShape 652" descr="https://www.soccerstats.com/img/own/sshplogo.png">
          <a:hlinkClick xmlns:r="http://schemas.openxmlformats.org/officeDocument/2006/relationships" r:id="rId326"/>
        </xdr:cNvPr>
        <xdr:cNvSpPr>
          <a:spLocks noChangeAspect="1" noChangeArrowheads="1"/>
        </xdr:cNvSpPr>
      </xdr:nvSpPr>
      <xdr:spPr bwMode="auto">
        <a:xfrm>
          <a:off x="13411200" y="67802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21" name="AutoShape 653" descr="MEXICO"/>
        <xdr:cNvSpPr>
          <a:spLocks noChangeAspect="1" noChangeArrowheads="1"/>
        </xdr:cNvSpPr>
      </xdr:nvSpPr>
      <xdr:spPr bwMode="auto">
        <a:xfrm>
          <a:off x="0" y="67978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922" name="AutoShape 654" descr="https://www.soccerstats.com/img/own/sshplogo.png">
          <a:hlinkClick xmlns:r="http://schemas.openxmlformats.org/officeDocument/2006/relationships" r:id="rId327"/>
        </xdr:cNvPr>
        <xdr:cNvSpPr>
          <a:spLocks noChangeAspect="1" noChangeArrowheads="1"/>
        </xdr:cNvSpPr>
      </xdr:nvSpPr>
      <xdr:spPr bwMode="auto">
        <a:xfrm>
          <a:off x="13411200" y="67978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23" name="AutoShape 655" descr="MOLDOVA"/>
        <xdr:cNvSpPr>
          <a:spLocks noChangeAspect="1" noChangeArrowheads="1"/>
        </xdr:cNvSpPr>
      </xdr:nvSpPr>
      <xdr:spPr bwMode="auto">
        <a:xfrm>
          <a:off x="0" y="68153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924" name="AutoShape 656" descr="https://www.soccerstats.com/img/own/sshplogo.png">
          <a:hlinkClick xmlns:r="http://schemas.openxmlformats.org/officeDocument/2006/relationships" r:id="rId328"/>
        </xdr:cNvPr>
        <xdr:cNvSpPr>
          <a:spLocks noChangeAspect="1" noChangeArrowheads="1"/>
        </xdr:cNvSpPr>
      </xdr:nvSpPr>
      <xdr:spPr bwMode="auto">
        <a:xfrm>
          <a:off x="13411200" y="68153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25" name="AutoShape 657" descr="MOLDOVA"/>
        <xdr:cNvSpPr>
          <a:spLocks noChangeAspect="1" noChangeArrowheads="1"/>
        </xdr:cNvSpPr>
      </xdr:nvSpPr>
      <xdr:spPr bwMode="auto">
        <a:xfrm>
          <a:off x="0" y="68404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926" name="AutoShape 658" descr="https://www.soccerstats.com/img/own/sshplogo.png">
          <a:hlinkClick xmlns:r="http://schemas.openxmlformats.org/officeDocument/2006/relationships" r:id="rId329"/>
        </xdr:cNvPr>
        <xdr:cNvSpPr>
          <a:spLocks noChangeAspect="1" noChangeArrowheads="1"/>
        </xdr:cNvSpPr>
      </xdr:nvSpPr>
      <xdr:spPr bwMode="auto">
        <a:xfrm>
          <a:off x="13411200" y="68404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27" name="AutoShape 659" descr="MONTENEGRO"/>
        <xdr:cNvSpPr>
          <a:spLocks noChangeAspect="1" noChangeArrowheads="1"/>
        </xdr:cNvSpPr>
      </xdr:nvSpPr>
      <xdr:spPr bwMode="auto">
        <a:xfrm>
          <a:off x="0" y="68656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928" name="AutoShape 660" descr="https://www.soccerstats.com/img/own/sshplogo.png">
          <a:hlinkClick xmlns:r="http://schemas.openxmlformats.org/officeDocument/2006/relationships" r:id="rId330"/>
        </xdr:cNvPr>
        <xdr:cNvSpPr>
          <a:spLocks noChangeAspect="1" noChangeArrowheads="1"/>
        </xdr:cNvSpPr>
      </xdr:nvSpPr>
      <xdr:spPr bwMode="auto">
        <a:xfrm>
          <a:off x="13411200" y="68656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29" name="AutoShape 661" descr="NETHERLANDS3"/>
        <xdr:cNvSpPr>
          <a:spLocks noChangeAspect="1" noChangeArrowheads="1"/>
        </xdr:cNvSpPr>
      </xdr:nvSpPr>
      <xdr:spPr bwMode="auto">
        <a:xfrm>
          <a:off x="0" y="68831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930" name="AutoShape 662" descr="https://www.soccerstats.com/img/own/sshplogo.png">
          <a:hlinkClick xmlns:r="http://schemas.openxmlformats.org/officeDocument/2006/relationships" r:id="rId331"/>
        </xdr:cNvPr>
        <xdr:cNvSpPr>
          <a:spLocks noChangeAspect="1" noChangeArrowheads="1"/>
        </xdr:cNvSpPr>
      </xdr:nvSpPr>
      <xdr:spPr bwMode="auto">
        <a:xfrm>
          <a:off x="13411200" y="68831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31" name="AutoShape 663" descr="NETHERLANDS3"/>
        <xdr:cNvSpPr>
          <a:spLocks noChangeAspect="1" noChangeArrowheads="1"/>
        </xdr:cNvSpPr>
      </xdr:nvSpPr>
      <xdr:spPr bwMode="auto">
        <a:xfrm>
          <a:off x="0" y="69082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932" name="AutoShape 664" descr="https://www.soccerstats.com/img/own/sshplogo.png">
          <a:hlinkClick xmlns:r="http://schemas.openxmlformats.org/officeDocument/2006/relationships" r:id="rId332"/>
        </xdr:cNvPr>
        <xdr:cNvSpPr>
          <a:spLocks noChangeAspect="1" noChangeArrowheads="1"/>
        </xdr:cNvSpPr>
      </xdr:nvSpPr>
      <xdr:spPr bwMode="auto">
        <a:xfrm>
          <a:off x="13411200" y="69082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33" name="AutoShape 665" descr="NETHERLANDS3"/>
        <xdr:cNvSpPr>
          <a:spLocks noChangeAspect="1" noChangeArrowheads="1"/>
        </xdr:cNvSpPr>
      </xdr:nvSpPr>
      <xdr:spPr bwMode="auto">
        <a:xfrm>
          <a:off x="0" y="69334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934" name="AutoShape 666" descr="https://www.soccerstats.com/img/own/sshplogo.png">
          <a:hlinkClick xmlns:r="http://schemas.openxmlformats.org/officeDocument/2006/relationships" r:id="rId333"/>
        </xdr:cNvPr>
        <xdr:cNvSpPr>
          <a:spLocks noChangeAspect="1" noChangeArrowheads="1"/>
        </xdr:cNvSpPr>
      </xdr:nvSpPr>
      <xdr:spPr bwMode="auto">
        <a:xfrm>
          <a:off x="13411200" y="69334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35" name="AutoShape 667" descr="NETHERLANDS3"/>
        <xdr:cNvSpPr>
          <a:spLocks noChangeAspect="1" noChangeArrowheads="1"/>
        </xdr:cNvSpPr>
      </xdr:nvSpPr>
      <xdr:spPr bwMode="auto">
        <a:xfrm>
          <a:off x="0" y="69509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936" name="AutoShape 668" descr="https://www.soccerstats.com/img/own/sshplogo.png">
          <a:hlinkClick xmlns:r="http://schemas.openxmlformats.org/officeDocument/2006/relationships" r:id="rId334"/>
        </xdr:cNvPr>
        <xdr:cNvSpPr>
          <a:spLocks noChangeAspect="1" noChangeArrowheads="1"/>
        </xdr:cNvSpPr>
      </xdr:nvSpPr>
      <xdr:spPr bwMode="auto">
        <a:xfrm>
          <a:off x="13411200" y="69509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37" name="AutoShape 669" descr="NETHERLANDS3"/>
        <xdr:cNvSpPr>
          <a:spLocks noChangeAspect="1" noChangeArrowheads="1"/>
        </xdr:cNvSpPr>
      </xdr:nvSpPr>
      <xdr:spPr bwMode="auto">
        <a:xfrm>
          <a:off x="0" y="69761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938" name="AutoShape 670" descr="https://www.soccerstats.com/img/own/sshplogo.png">
          <a:hlinkClick xmlns:r="http://schemas.openxmlformats.org/officeDocument/2006/relationships" r:id="rId335"/>
        </xdr:cNvPr>
        <xdr:cNvSpPr>
          <a:spLocks noChangeAspect="1" noChangeArrowheads="1"/>
        </xdr:cNvSpPr>
      </xdr:nvSpPr>
      <xdr:spPr bwMode="auto">
        <a:xfrm>
          <a:off x="13411200" y="69761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39" name="AutoShape 671" descr="NETHERLANDS3"/>
        <xdr:cNvSpPr>
          <a:spLocks noChangeAspect="1" noChangeArrowheads="1"/>
        </xdr:cNvSpPr>
      </xdr:nvSpPr>
      <xdr:spPr bwMode="auto">
        <a:xfrm>
          <a:off x="0" y="70012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940" name="AutoShape 672" descr="https://www.soccerstats.com/img/own/sshplogo.png">
          <a:hlinkClick xmlns:r="http://schemas.openxmlformats.org/officeDocument/2006/relationships" r:id="rId336"/>
        </xdr:cNvPr>
        <xdr:cNvSpPr>
          <a:spLocks noChangeAspect="1" noChangeArrowheads="1"/>
        </xdr:cNvSpPr>
      </xdr:nvSpPr>
      <xdr:spPr bwMode="auto">
        <a:xfrm>
          <a:off x="13411200" y="70012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41" name="AutoShape 673" descr="NETHERLANDS3"/>
        <xdr:cNvSpPr>
          <a:spLocks noChangeAspect="1" noChangeArrowheads="1"/>
        </xdr:cNvSpPr>
      </xdr:nvSpPr>
      <xdr:spPr bwMode="auto">
        <a:xfrm>
          <a:off x="0" y="70187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942" name="AutoShape 674" descr="https://www.soccerstats.com/img/own/sshplogo.png">
          <a:hlinkClick xmlns:r="http://schemas.openxmlformats.org/officeDocument/2006/relationships" r:id="rId337"/>
        </xdr:cNvPr>
        <xdr:cNvSpPr>
          <a:spLocks noChangeAspect="1" noChangeArrowheads="1"/>
        </xdr:cNvSpPr>
      </xdr:nvSpPr>
      <xdr:spPr bwMode="auto">
        <a:xfrm>
          <a:off x="13411200" y="70187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43" name="AutoShape 675" descr="NETHERLANDS3"/>
        <xdr:cNvSpPr>
          <a:spLocks noChangeAspect="1" noChangeArrowheads="1"/>
        </xdr:cNvSpPr>
      </xdr:nvSpPr>
      <xdr:spPr bwMode="auto">
        <a:xfrm>
          <a:off x="0" y="70363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944" name="AutoShape 676" descr="https://www.soccerstats.com/img/own/sshplogo.png">
          <a:hlinkClick xmlns:r="http://schemas.openxmlformats.org/officeDocument/2006/relationships" r:id="rId338"/>
        </xdr:cNvPr>
        <xdr:cNvSpPr>
          <a:spLocks noChangeAspect="1" noChangeArrowheads="1"/>
        </xdr:cNvSpPr>
      </xdr:nvSpPr>
      <xdr:spPr bwMode="auto">
        <a:xfrm>
          <a:off x="13411200" y="70363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45" name="AutoShape 677" descr="NETHERLANDS3"/>
        <xdr:cNvSpPr>
          <a:spLocks noChangeAspect="1" noChangeArrowheads="1"/>
        </xdr:cNvSpPr>
      </xdr:nvSpPr>
      <xdr:spPr bwMode="auto">
        <a:xfrm>
          <a:off x="0" y="70614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946" name="AutoShape 678" descr="https://www.soccerstats.com/img/own/sshplogo.png">
          <a:hlinkClick xmlns:r="http://schemas.openxmlformats.org/officeDocument/2006/relationships" r:id="rId339"/>
        </xdr:cNvPr>
        <xdr:cNvSpPr>
          <a:spLocks noChangeAspect="1" noChangeArrowheads="1"/>
        </xdr:cNvSpPr>
      </xdr:nvSpPr>
      <xdr:spPr bwMode="auto">
        <a:xfrm>
          <a:off x="13411200" y="70614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47" name="AutoShape 679" descr="NORTHERNIRELAND"/>
        <xdr:cNvSpPr>
          <a:spLocks noChangeAspect="1" noChangeArrowheads="1"/>
        </xdr:cNvSpPr>
      </xdr:nvSpPr>
      <xdr:spPr bwMode="auto">
        <a:xfrm>
          <a:off x="0" y="70789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948" name="AutoShape 680" descr="https://www.soccerstats.com/img/own/sshplogo.png">
          <a:hlinkClick xmlns:r="http://schemas.openxmlformats.org/officeDocument/2006/relationships" r:id="rId340"/>
        </xdr:cNvPr>
        <xdr:cNvSpPr>
          <a:spLocks noChangeAspect="1" noChangeArrowheads="1"/>
        </xdr:cNvSpPr>
      </xdr:nvSpPr>
      <xdr:spPr bwMode="auto">
        <a:xfrm>
          <a:off x="13411200" y="70789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49" name="AutoShape 681" descr="NORTHERNIRELAND"/>
        <xdr:cNvSpPr>
          <a:spLocks noChangeAspect="1" noChangeArrowheads="1"/>
        </xdr:cNvSpPr>
      </xdr:nvSpPr>
      <xdr:spPr bwMode="auto">
        <a:xfrm>
          <a:off x="0" y="70965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950" name="AutoShape 682" descr="https://www.soccerstats.com/img/own/sshplogo.png">
          <a:hlinkClick xmlns:r="http://schemas.openxmlformats.org/officeDocument/2006/relationships" r:id="rId341"/>
        </xdr:cNvPr>
        <xdr:cNvSpPr>
          <a:spLocks noChangeAspect="1" noChangeArrowheads="1"/>
        </xdr:cNvSpPr>
      </xdr:nvSpPr>
      <xdr:spPr bwMode="auto">
        <a:xfrm>
          <a:off x="13411200" y="70965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51" name="AutoShape 683" descr="NORTHERNIRELAND"/>
        <xdr:cNvSpPr>
          <a:spLocks noChangeAspect="1" noChangeArrowheads="1"/>
        </xdr:cNvSpPr>
      </xdr:nvSpPr>
      <xdr:spPr bwMode="auto">
        <a:xfrm>
          <a:off x="0" y="71140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952" name="AutoShape 684" descr="https://www.soccerstats.com/img/own/sshplogo.png">
          <a:hlinkClick xmlns:r="http://schemas.openxmlformats.org/officeDocument/2006/relationships" r:id="rId342"/>
        </xdr:cNvPr>
        <xdr:cNvSpPr>
          <a:spLocks noChangeAspect="1" noChangeArrowheads="1"/>
        </xdr:cNvSpPr>
      </xdr:nvSpPr>
      <xdr:spPr bwMode="auto">
        <a:xfrm>
          <a:off x="13411200" y="71140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53" name="AutoShape 685" descr="NORTHERNIRELAND"/>
        <xdr:cNvSpPr>
          <a:spLocks noChangeAspect="1" noChangeArrowheads="1"/>
        </xdr:cNvSpPr>
      </xdr:nvSpPr>
      <xdr:spPr bwMode="auto">
        <a:xfrm>
          <a:off x="0" y="71391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954" name="AutoShape 686" descr="https://www.soccerstats.com/img/own/sshplogo.png">
          <a:hlinkClick xmlns:r="http://schemas.openxmlformats.org/officeDocument/2006/relationships" r:id="rId343"/>
        </xdr:cNvPr>
        <xdr:cNvSpPr>
          <a:spLocks noChangeAspect="1" noChangeArrowheads="1"/>
        </xdr:cNvSpPr>
      </xdr:nvSpPr>
      <xdr:spPr bwMode="auto">
        <a:xfrm>
          <a:off x="13411200" y="71391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55" name="AutoShape 687" descr="NORTHERNIRELAND"/>
        <xdr:cNvSpPr>
          <a:spLocks noChangeAspect="1" noChangeArrowheads="1"/>
        </xdr:cNvSpPr>
      </xdr:nvSpPr>
      <xdr:spPr bwMode="auto">
        <a:xfrm>
          <a:off x="0" y="71643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956" name="AutoShape 688" descr="https://www.soccerstats.com/img/own/sshplogo.png">
          <a:hlinkClick xmlns:r="http://schemas.openxmlformats.org/officeDocument/2006/relationships" r:id="rId344"/>
        </xdr:cNvPr>
        <xdr:cNvSpPr>
          <a:spLocks noChangeAspect="1" noChangeArrowheads="1"/>
        </xdr:cNvSpPr>
      </xdr:nvSpPr>
      <xdr:spPr bwMode="auto">
        <a:xfrm>
          <a:off x="13411200" y="71643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57" name="AutoShape 689" descr="NORTHERNIRELAND"/>
        <xdr:cNvSpPr>
          <a:spLocks noChangeAspect="1" noChangeArrowheads="1"/>
        </xdr:cNvSpPr>
      </xdr:nvSpPr>
      <xdr:spPr bwMode="auto">
        <a:xfrm>
          <a:off x="0" y="71818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958" name="AutoShape 690" descr="https://www.soccerstats.com/img/own/sshplogo.png">
          <a:hlinkClick xmlns:r="http://schemas.openxmlformats.org/officeDocument/2006/relationships" r:id="rId345"/>
        </xdr:cNvPr>
        <xdr:cNvSpPr>
          <a:spLocks noChangeAspect="1" noChangeArrowheads="1"/>
        </xdr:cNvSpPr>
      </xdr:nvSpPr>
      <xdr:spPr bwMode="auto">
        <a:xfrm>
          <a:off x="13411200" y="7181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59" name="AutoShape 691" descr="NORTHMACEDONIA"/>
        <xdr:cNvSpPr>
          <a:spLocks noChangeAspect="1" noChangeArrowheads="1"/>
        </xdr:cNvSpPr>
      </xdr:nvSpPr>
      <xdr:spPr bwMode="auto">
        <a:xfrm>
          <a:off x="0" y="71993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960" name="AutoShape 692" descr="https://www.soccerstats.com/img/own/sshplogo.png">
          <a:hlinkClick xmlns:r="http://schemas.openxmlformats.org/officeDocument/2006/relationships" r:id="rId346"/>
        </xdr:cNvPr>
        <xdr:cNvSpPr>
          <a:spLocks noChangeAspect="1" noChangeArrowheads="1"/>
        </xdr:cNvSpPr>
      </xdr:nvSpPr>
      <xdr:spPr bwMode="auto">
        <a:xfrm>
          <a:off x="13411200" y="71993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61" name="AutoShape 693" descr="NORTHMACEDONIA"/>
        <xdr:cNvSpPr>
          <a:spLocks noChangeAspect="1" noChangeArrowheads="1"/>
        </xdr:cNvSpPr>
      </xdr:nvSpPr>
      <xdr:spPr bwMode="auto">
        <a:xfrm>
          <a:off x="0" y="72169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962" name="AutoShape 694" descr="https://www.soccerstats.com/img/own/sshplogo.png">
          <a:hlinkClick xmlns:r="http://schemas.openxmlformats.org/officeDocument/2006/relationships" r:id="rId347"/>
        </xdr:cNvPr>
        <xdr:cNvSpPr>
          <a:spLocks noChangeAspect="1" noChangeArrowheads="1"/>
        </xdr:cNvSpPr>
      </xdr:nvSpPr>
      <xdr:spPr bwMode="auto">
        <a:xfrm>
          <a:off x="13411200" y="72169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63" name="AutoShape 695" descr="NORTHMACEDONIA"/>
        <xdr:cNvSpPr>
          <a:spLocks noChangeAspect="1" noChangeArrowheads="1"/>
        </xdr:cNvSpPr>
      </xdr:nvSpPr>
      <xdr:spPr bwMode="auto">
        <a:xfrm>
          <a:off x="0" y="72420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964" name="AutoShape 696" descr="https://www.soccerstats.com/img/own/sshplogo.png">
          <a:hlinkClick xmlns:r="http://schemas.openxmlformats.org/officeDocument/2006/relationships" r:id="rId348"/>
        </xdr:cNvPr>
        <xdr:cNvSpPr>
          <a:spLocks noChangeAspect="1" noChangeArrowheads="1"/>
        </xdr:cNvSpPr>
      </xdr:nvSpPr>
      <xdr:spPr bwMode="auto">
        <a:xfrm>
          <a:off x="13411200" y="72420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65" name="AutoShape 697" descr="NORTHMACEDONIA"/>
        <xdr:cNvSpPr>
          <a:spLocks noChangeAspect="1" noChangeArrowheads="1"/>
        </xdr:cNvSpPr>
      </xdr:nvSpPr>
      <xdr:spPr bwMode="auto">
        <a:xfrm>
          <a:off x="0" y="72595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966" name="AutoShape 698" descr="https://www.soccerstats.com/img/own/sshplogo.png">
          <a:hlinkClick xmlns:r="http://schemas.openxmlformats.org/officeDocument/2006/relationships" r:id="rId349"/>
        </xdr:cNvPr>
        <xdr:cNvSpPr>
          <a:spLocks noChangeAspect="1" noChangeArrowheads="1"/>
        </xdr:cNvSpPr>
      </xdr:nvSpPr>
      <xdr:spPr bwMode="auto">
        <a:xfrm>
          <a:off x="13411200" y="72595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67" name="AutoShape 699" descr="NORTHMACEDONIA"/>
        <xdr:cNvSpPr>
          <a:spLocks noChangeAspect="1" noChangeArrowheads="1"/>
        </xdr:cNvSpPr>
      </xdr:nvSpPr>
      <xdr:spPr bwMode="auto">
        <a:xfrm>
          <a:off x="0" y="72771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968" name="AutoShape 700" descr="https://www.soccerstats.com/img/own/sshplogo.png">
          <a:hlinkClick xmlns:r="http://schemas.openxmlformats.org/officeDocument/2006/relationships" r:id="rId350"/>
        </xdr:cNvPr>
        <xdr:cNvSpPr>
          <a:spLocks noChangeAspect="1" noChangeArrowheads="1"/>
        </xdr:cNvSpPr>
      </xdr:nvSpPr>
      <xdr:spPr bwMode="auto">
        <a:xfrm>
          <a:off x="13411200" y="7277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69" name="AutoShape 701" descr="NORWAY"/>
        <xdr:cNvSpPr>
          <a:spLocks noChangeAspect="1" noChangeArrowheads="1"/>
        </xdr:cNvSpPr>
      </xdr:nvSpPr>
      <xdr:spPr bwMode="auto">
        <a:xfrm>
          <a:off x="0" y="73022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970" name="AutoShape 702" descr="https://www.soccerstats.com/img/own/sshplogo.png">
          <a:hlinkClick xmlns:r="http://schemas.openxmlformats.org/officeDocument/2006/relationships" r:id="rId351"/>
        </xdr:cNvPr>
        <xdr:cNvSpPr>
          <a:spLocks noChangeAspect="1" noChangeArrowheads="1"/>
        </xdr:cNvSpPr>
      </xdr:nvSpPr>
      <xdr:spPr bwMode="auto">
        <a:xfrm>
          <a:off x="13411200" y="73022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71" name="AutoShape 703" descr="NORWAY2"/>
        <xdr:cNvSpPr>
          <a:spLocks noChangeAspect="1" noChangeArrowheads="1"/>
        </xdr:cNvSpPr>
      </xdr:nvSpPr>
      <xdr:spPr bwMode="auto">
        <a:xfrm>
          <a:off x="0" y="73197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972" name="AutoShape 704" descr="https://www.soccerstats.com/img/own/sshplogo.png">
          <a:hlinkClick xmlns:r="http://schemas.openxmlformats.org/officeDocument/2006/relationships" r:id="rId352"/>
        </xdr:cNvPr>
        <xdr:cNvSpPr>
          <a:spLocks noChangeAspect="1" noChangeArrowheads="1"/>
        </xdr:cNvSpPr>
      </xdr:nvSpPr>
      <xdr:spPr bwMode="auto">
        <a:xfrm>
          <a:off x="13411200" y="73197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73" name="AutoShape 705" descr="NORWAY2"/>
        <xdr:cNvSpPr>
          <a:spLocks noChangeAspect="1" noChangeArrowheads="1"/>
        </xdr:cNvSpPr>
      </xdr:nvSpPr>
      <xdr:spPr bwMode="auto">
        <a:xfrm>
          <a:off x="0" y="73372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974" name="AutoShape 706" descr="https://www.soccerstats.com/img/own/sshplogo.png">
          <a:hlinkClick xmlns:r="http://schemas.openxmlformats.org/officeDocument/2006/relationships" r:id="rId353"/>
        </xdr:cNvPr>
        <xdr:cNvSpPr>
          <a:spLocks noChangeAspect="1" noChangeArrowheads="1"/>
        </xdr:cNvSpPr>
      </xdr:nvSpPr>
      <xdr:spPr bwMode="auto">
        <a:xfrm>
          <a:off x="13411200" y="73372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75" name="AutoShape 707" descr="NORWAY2"/>
        <xdr:cNvSpPr>
          <a:spLocks noChangeAspect="1" noChangeArrowheads="1"/>
        </xdr:cNvSpPr>
      </xdr:nvSpPr>
      <xdr:spPr bwMode="auto">
        <a:xfrm>
          <a:off x="0" y="73548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976" name="AutoShape 708" descr="https://www.soccerstats.com/img/own/sshplogo.png">
          <a:hlinkClick xmlns:r="http://schemas.openxmlformats.org/officeDocument/2006/relationships" r:id="rId354"/>
        </xdr:cNvPr>
        <xdr:cNvSpPr>
          <a:spLocks noChangeAspect="1" noChangeArrowheads="1"/>
        </xdr:cNvSpPr>
      </xdr:nvSpPr>
      <xdr:spPr bwMode="auto">
        <a:xfrm>
          <a:off x="13411200" y="73548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77" name="AutoShape 709" descr="NORWAY3"/>
        <xdr:cNvSpPr>
          <a:spLocks noChangeAspect="1" noChangeArrowheads="1"/>
        </xdr:cNvSpPr>
      </xdr:nvSpPr>
      <xdr:spPr bwMode="auto">
        <a:xfrm>
          <a:off x="0" y="73723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978" name="AutoShape 710" descr="https://www.soccerstats.com/img/own/sshplogo.png">
          <a:hlinkClick xmlns:r="http://schemas.openxmlformats.org/officeDocument/2006/relationships" r:id="rId355"/>
        </xdr:cNvPr>
        <xdr:cNvSpPr>
          <a:spLocks noChangeAspect="1" noChangeArrowheads="1"/>
        </xdr:cNvSpPr>
      </xdr:nvSpPr>
      <xdr:spPr bwMode="auto">
        <a:xfrm>
          <a:off x="13411200" y="7372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79" name="AutoShape 711" descr="NORWAY3"/>
        <xdr:cNvSpPr>
          <a:spLocks noChangeAspect="1" noChangeArrowheads="1"/>
        </xdr:cNvSpPr>
      </xdr:nvSpPr>
      <xdr:spPr bwMode="auto">
        <a:xfrm>
          <a:off x="0" y="73898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980" name="AutoShape 712" descr="https://www.soccerstats.com/img/own/sshplogo.png">
          <a:hlinkClick xmlns:r="http://schemas.openxmlformats.org/officeDocument/2006/relationships" r:id="rId356"/>
        </xdr:cNvPr>
        <xdr:cNvSpPr>
          <a:spLocks noChangeAspect="1" noChangeArrowheads="1"/>
        </xdr:cNvSpPr>
      </xdr:nvSpPr>
      <xdr:spPr bwMode="auto">
        <a:xfrm>
          <a:off x="13411200" y="73898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81" name="AutoShape 713" descr="NORWAY3"/>
        <xdr:cNvSpPr>
          <a:spLocks noChangeAspect="1" noChangeArrowheads="1"/>
        </xdr:cNvSpPr>
      </xdr:nvSpPr>
      <xdr:spPr bwMode="auto">
        <a:xfrm>
          <a:off x="0" y="74074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982" name="AutoShape 714" descr="https://www.soccerstats.com/img/own/sshplogo.png">
          <a:hlinkClick xmlns:r="http://schemas.openxmlformats.org/officeDocument/2006/relationships" r:id="rId357"/>
        </xdr:cNvPr>
        <xdr:cNvSpPr>
          <a:spLocks noChangeAspect="1" noChangeArrowheads="1"/>
        </xdr:cNvSpPr>
      </xdr:nvSpPr>
      <xdr:spPr bwMode="auto">
        <a:xfrm>
          <a:off x="13411200" y="74074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83" name="AutoShape 715" descr="NORWAY3"/>
        <xdr:cNvSpPr>
          <a:spLocks noChangeAspect="1" noChangeArrowheads="1"/>
        </xdr:cNvSpPr>
      </xdr:nvSpPr>
      <xdr:spPr bwMode="auto">
        <a:xfrm>
          <a:off x="0" y="74249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984" name="AutoShape 716" descr="https://www.soccerstats.com/img/own/sshplogo.png">
          <a:hlinkClick xmlns:r="http://schemas.openxmlformats.org/officeDocument/2006/relationships" r:id="rId358"/>
        </xdr:cNvPr>
        <xdr:cNvSpPr>
          <a:spLocks noChangeAspect="1" noChangeArrowheads="1"/>
        </xdr:cNvSpPr>
      </xdr:nvSpPr>
      <xdr:spPr bwMode="auto">
        <a:xfrm>
          <a:off x="13411200" y="74249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85" name="AutoShape 717" descr="NORWAY4"/>
        <xdr:cNvSpPr>
          <a:spLocks noChangeAspect="1" noChangeArrowheads="1"/>
        </xdr:cNvSpPr>
      </xdr:nvSpPr>
      <xdr:spPr bwMode="auto">
        <a:xfrm>
          <a:off x="0" y="74424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986" name="AutoShape 718" descr="https://www.soccerstats.com/img/own/sshplogo.png">
          <a:hlinkClick xmlns:r="http://schemas.openxmlformats.org/officeDocument/2006/relationships" r:id="rId359"/>
        </xdr:cNvPr>
        <xdr:cNvSpPr>
          <a:spLocks noChangeAspect="1" noChangeArrowheads="1"/>
        </xdr:cNvSpPr>
      </xdr:nvSpPr>
      <xdr:spPr bwMode="auto">
        <a:xfrm>
          <a:off x="13411200" y="74424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87" name="AutoShape 719" descr="NORWAY11"/>
        <xdr:cNvSpPr>
          <a:spLocks noChangeAspect="1" noChangeArrowheads="1"/>
        </xdr:cNvSpPr>
      </xdr:nvSpPr>
      <xdr:spPr bwMode="auto">
        <a:xfrm>
          <a:off x="0" y="74599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988" name="AutoShape 720" descr="https://www.soccerstats.com/img/own/sshplogo.png">
          <a:hlinkClick xmlns:r="http://schemas.openxmlformats.org/officeDocument/2006/relationships" r:id="rId360"/>
        </xdr:cNvPr>
        <xdr:cNvSpPr>
          <a:spLocks noChangeAspect="1" noChangeArrowheads="1"/>
        </xdr:cNvSpPr>
      </xdr:nvSpPr>
      <xdr:spPr bwMode="auto">
        <a:xfrm>
          <a:off x="13411200" y="74599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89" name="AutoShape 721" descr="NORWAY11"/>
        <xdr:cNvSpPr>
          <a:spLocks noChangeAspect="1" noChangeArrowheads="1"/>
        </xdr:cNvSpPr>
      </xdr:nvSpPr>
      <xdr:spPr bwMode="auto">
        <a:xfrm>
          <a:off x="0" y="74775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990" name="AutoShape 722" descr="https://www.soccerstats.com/img/own/sshplogo.png">
          <a:hlinkClick xmlns:r="http://schemas.openxmlformats.org/officeDocument/2006/relationships" r:id="rId361"/>
        </xdr:cNvPr>
        <xdr:cNvSpPr>
          <a:spLocks noChangeAspect="1" noChangeArrowheads="1"/>
        </xdr:cNvSpPr>
      </xdr:nvSpPr>
      <xdr:spPr bwMode="auto">
        <a:xfrm>
          <a:off x="13411200" y="74775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91" name="AutoShape 723" descr="NORWAY11"/>
        <xdr:cNvSpPr>
          <a:spLocks noChangeAspect="1" noChangeArrowheads="1"/>
        </xdr:cNvSpPr>
      </xdr:nvSpPr>
      <xdr:spPr bwMode="auto">
        <a:xfrm>
          <a:off x="0" y="75026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992" name="AutoShape 724" descr="https://www.soccerstats.com/img/own/sshplogo.png">
          <a:hlinkClick xmlns:r="http://schemas.openxmlformats.org/officeDocument/2006/relationships" r:id="rId362"/>
        </xdr:cNvPr>
        <xdr:cNvSpPr>
          <a:spLocks noChangeAspect="1" noChangeArrowheads="1"/>
        </xdr:cNvSpPr>
      </xdr:nvSpPr>
      <xdr:spPr bwMode="auto">
        <a:xfrm>
          <a:off x="13411200" y="75026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93" name="AutoShape 725" descr="NORWAY11"/>
        <xdr:cNvSpPr>
          <a:spLocks noChangeAspect="1" noChangeArrowheads="1"/>
        </xdr:cNvSpPr>
      </xdr:nvSpPr>
      <xdr:spPr bwMode="auto">
        <a:xfrm>
          <a:off x="0" y="75277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994" name="AutoShape 726" descr="https://www.soccerstats.com/img/own/sshplogo.png">
          <a:hlinkClick xmlns:r="http://schemas.openxmlformats.org/officeDocument/2006/relationships" r:id="rId363"/>
        </xdr:cNvPr>
        <xdr:cNvSpPr>
          <a:spLocks noChangeAspect="1" noChangeArrowheads="1"/>
        </xdr:cNvSpPr>
      </xdr:nvSpPr>
      <xdr:spPr bwMode="auto">
        <a:xfrm>
          <a:off x="13411200" y="75277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95" name="AutoShape 727" descr="NORWAY11"/>
        <xdr:cNvSpPr>
          <a:spLocks noChangeAspect="1" noChangeArrowheads="1"/>
        </xdr:cNvSpPr>
      </xdr:nvSpPr>
      <xdr:spPr bwMode="auto">
        <a:xfrm>
          <a:off x="0" y="75453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996" name="AutoShape 728" descr="https://www.soccerstats.com/img/own/sshplogo.png">
          <a:hlinkClick xmlns:r="http://schemas.openxmlformats.org/officeDocument/2006/relationships" r:id="rId364"/>
        </xdr:cNvPr>
        <xdr:cNvSpPr>
          <a:spLocks noChangeAspect="1" noChangeArrowheads="1"/>
        </xdr:cNvSpPr>
      </xdr:nvSpPr>
      <xdr:spPr bwMode="auto">
        <a:xfrm>
          <a:off x="13411200" y="75453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97" name="AutoShape 729" descr="PARAGUAY2"/>
        <xdr:cNvSpPr>
          <a:spLocks noChangeAspect="1" noChangeArrowheads="1"/>
        </xdr:cNvSpPr>
      </xdr:nvSpPr>
      <xdr:spPr bwMode="auto">
        <a:xfrm>
          <a:off x="0" y="75628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2998" name="AutoShape 730" descr="https://www.soccerstats.com/img/own/sshplogo.png">
          <a:hlinkClick xmlns:r="http://schemas.openxmlformats.org/officeDocument/2006/relationships" r:id="rId365"/>
        </xdr:cNvPr>
        <xdr:cNvSpPr>
          <a:spLocks noChangeAspect="1" noChangeArrowheads="1"/>
        </xdr:cNvSpPr>
      </xdr:nvSpPr>
      <xdr:spPr bwMode="auto">
        <a:xfrm>
          <a:off x="13411200" y="7562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99" name="AutoShape 731" descr="PARAGUAY2"/>
        <xdr:cNvSpPr>
          <a:spLocks noChangeAspect="1" noChangeArrowheads="1"/>
        </xdr:cNvSpPr>
      </xdr:nvSpPr>
      <xdr:spPr bwMode="auto">
        <a:xfrm>
          <a:off x="0" y="75803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000" name="AutoShape 732" descr="https://www.soccerstats.com/img/own/sshplogo.png">
          <a:hlinkClick xmlns:r="http://schemas.openxmlformats.org/officeDocument/2006/relationships" r:id="rId366"/>
        </xdr:cNvPr>
        <xdr:cNvSpPr>
          <a:spLocks noChangeAspect="1" noChangeArrowheads="1"/>
        </xdr:cNvSpPr>
      </xdr:nvSpPr>
      <xdr:spPr bwMode="auto">
        <a:xfrm>
          <a:off x="13411200" y="75803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01" name="AutoShape 733" descr="PERU2"/>
        <xdr:cNvSpPr>
          <a:spLocks noChangeAspect="1" noChangeArrowheads="1"/>
        </xdr:cNvSpPr>
      </xdr:nvSpPr>
      <xdr:spPr bwMode="auto">
        <a:xfrm>
          <a:off x="0" y="75979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002" name="AutoShape 734" descr="https://www.soccerstats.com/img/own/sshplogo.png">
          <a:hlinkClick xmlns:r="http://schemas.openxmlformats.org/officeDocument/2006/relationships" r:id="rId367"/>
        </xdr:cNvPr>
        <xdr:cNvSpPr>
          <a:spLocks noChangeAspect="1" noChangeArrowheads="1"/>
        </xdr:cNvSpPr>
      </xdr:nvSpPr>
      <xdr:spPr bwMode="auto">
        <a:xfrm>
          <a:off x="13411200" y="75979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03" name="AutoShape 735" descr="PERU2"/>
        <xdr:cNvSpPr>
          <a:spLocks noChangeAspect="1" noChangeArrowheads="1"/>
        </xdr:cNvSpPr>
      </xdr:nvSpPr>
      <xdr:spPr bwMode="auto">
        <a:xfrm>
          <a:off x="0" y="76154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004" name="AutoShape 736" descr="https://www.soccerstats.com/img/own/sshplogo.png">
          <a:hlinkClick xmlns:r="http://schemas.openxmlformats.org/officeDocument/2006/relationships" r:id="rId368"/>
        </xdr:cNvPr>
        <xdr:cNvSpPr>
          <a:spLocks noChangeAspect="1" noChangeArrowheads="1"/>
        </xdr:cNvSpPr>
      </xdr:nvSpPr>
      <xdr:spPr bwMode="auto">
        <a:xfrm>
          <a:off x="13411200" y="76154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05" name="AutoShape 737" descr="PERU2"/>
        <xdr:cNvSpPr>
          <a:spLocks noChangeAspect="1" noChangeArrowheads="1"/>
        </xdr:cNvSpPr>
      </xdr:nvSpPr>
      <xdr:spPr bwMode="auto">
        <a:xfrm>
          <a:off x="0" y="76329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006" name="AutoShape 738" descr="https://www.soccerstats.com/img/own/sshplogo.png">
          <a:hlinkClick xmlns:r="http://schemas.openxmlformats.org/officeDocument/2006/relationships" r:id="rId369"/>
        </xdr:cNvPr>
        <xdr:cNvSpPr>
          <a:spLocks noChangeAspect="1" noChangeArrowheads="1"/>
        </xdr:cNvSpPr>
      </xdr:nvSpPr>
      <xdr:spPr bwMode="auto">
        <a:xfrm>
          <a:off x="13411200" y="76329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07" name="AutoShape 739" descr="PERU2"/>
        <xdr:cNvSpPr>
          <a:spLocks noChangeAspect="1" noChangeArrowheads="1"/>
        </xdr:cNvSpPr>
      </xdr:nvSpPr>
      <xdr:spPr bwMode="auto">
        <a:xfrm>
          <a:off x="0" y="76581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008" name="AutoShape 740" descr="https://www.soccerstats.com/img/own/sshplogo.png">
          <a:hlinkClick xmlns:r="http://schemas.openxmlformats.org/officeDocument/2006/relationships" r:id="rId370"/>
        </xdr:cNvPr>
        <xdr:cNvSpPr>
          <a:spLocks noChangeAspect="1" noChangeArrowheads="1"/>
        </xdr:cNvSpPr>
      </xdr:nvSpPr>
      <xdr:spPr bwMode="auto">
        <a:xfrm>
          <a:off x="13411200" y="765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09" name="AutoShape 741" descr="PERU2"/>
        <xdr:cNvSpPr>
          <a:spLocks noChangeAspect="1" noChangeArrowheads="1"/>
        </xdr:cNvSpPr>
      </xdr:nvSpPr>
      <xdr:spPr bwMode="auto">
        <a:xfrm>
          <a:off x="0" y="76756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010" name="AutoShape 742" descr="https://www.soccerstats.com/img/own/sshplogo.png">
          <a:hlinkClick xmlns:r="http://schemas.openxmlformats.org/officeDocument/2006/relationships" r:id="rId371"/>
        </xdr:cNvPr>
        <xdr:cNvSpPr>
          <a:spLocks noChangeAspect="1" noChangeArrowheads="1"/>
        </xdr:cNvSpPr>
      </xdr:nvSpPr>
      <xdr:spPr bwMode="auto">
        <a:xfrm>
          <a:off x="13411200" y="76756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11" name="AutoShape 743" descr="PERU2"/>
        <xdr:cNvSpPr>
          <a:spLocks noChangeAspect="1" noChangeArrowheads="1"/>
        </xdr:cNvSpPr>
      </xdr:nvSpPr>
      <xdr:spPr bwMode="auto">
        <a:xfrm>
          <a:off x="0" y="76931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012" name="AutoShape 744" descr="https://www.soccerstats.com/img/own/sshplogo.png">
          <a:hlinkClick xmlns:r="http://schemas.openxmlformats.org/officeDocument/2006/relationships" r:id="rId372"/>
        </xdr:cNvPr>
        <xdr:cNvSpPr>
          <a:spLocks noChangeAspect="1" noChangeArrowheads="1"/>
        </xdr:cNvSpPr>
      </xdr:nvSpPr>
      <xdr:spPr bwMode="auto">
        <a:xfrm>
          <a:off x="13411200" y="76931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13" name="AutoShape 745" descr="PERU2"/>
        <xdr:cNvSpPr>
          <a:spLocks noChangeAspect="1" noChangeArrowheads="1"/>
        </xdr:cNvSpPr>
      </xdr:nvSpPr>
      <xdr:spPr bwMode="auto">
        <a:xfrm>
          <a:off x="0" y="77106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014" name="AutoShape 746" descr="https://www.soccerstats.com/img/own/sshplogo.png">
          <a:hlinkClick xmlns:r="http://schemas.openxmlformats.org/officeDocument/2006/relationships" r:id="rId373"/>
        </xdr:cNvPr>
        <xdr:cNvSpPr>
          <a:spLocks noChangeAspect="1" noChangeArrowheads="1"/>
        </xdr:cNvSpPr>
      </xdr:nvSpPr>
      <xdr:spPr bwMode="auto">
        <a:xfrm>
          <a:off x="13411200" y="77106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15" name="AutoShape 747" descr="PERU2"/>
        <xdr:cNvSpPr>
          <a:spLocks noChangeAspect="1" noChangeArrowheads="1"/>
        </xdr:cNvSpPr>
      </xdr:nvSpPr>
      <xdr:spPr bwMode="auto">
        <a:xfrm>
          <a:off x="0" y="77282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016" name="AutoShape 748" descr="https://www.soccerstats.com/img/own/sshplogo.png">
          <a:hlinkClick xmlns:r="http://schemas.openxmlformats.org/officeDocument/2006/relationships" r:id="rId374"/>
        </xdr:cNvPr>
        <xdr:cNvSpPr>
          <a:spLocks noChangeAspect="1" noChangeArrowheads="1"/>
        </xdr:cNvSpPr>
      </xdr:nvSpPr>
      <xdr:spPr bwMode="auto">
        <a:xfrm>
          <a:off x="13411200" y="77282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17" name="AutoShape 749" descr="PERU2"/>
        <xdr:cNvSpPr>
          <a:spLocks noChangeAspect="1" noChangeArrowheads="1"/>
        </xdr:cNvSpPr>
      </xdr:nvSpPr>
      <xdr:spPr bwMode="auto">
        <a:xfrm>
          <a:off x="0" y="77533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018" name="AutoShape 750" descr="https://www.soccerstats.com/img/own/sshplogo.png">
          <a:hlinkClick xmlns:r="http://schemas.openxmlformats.org/officeDocument/2006/relationships" r:id="rId375"/>
        </xdr:cNvPr>
        <xdr:cNvSpPr>
          <a:spLocks noChangeAspect="1" noChangeArrowheads="1"/>
        </xdr:cNvSpPr>
      </xdr:nvSpPr>
      <xdr:spPr bwMode="auto">
        <a:xfrm>
          <a:off x="13411200" y="7753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19" name="AutoShape 751" descr="POLAND"/>
        <xdr:cNvSpPr>
          <a:spLocks noChangeAspect="1" noChangeArrowheads="1"/>
        </xdr:cNvSpPr>
      </xdr:nvSpPr>
      <xdr:spPr bwMode="auto">
        <a:xfrm>
          <a:off x="0" y="77784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020" name="AutoShape 752" descr="https://www.soccerstats.com/img/own/sshplogo.png">
          <a:hlinkClick xmlns:r="http://schemas.openxmlformats.org/officeDocument/2006/relationships" r:id="rId376"/>
        </xdr:cNvPr>
        <xdr:cNvSpPr>
          <a:spLocks noChangeAspect="1" noChangeArrowheads="1"/>
        </xdr:cNvSpPr>
      </xdr:nvSpPr>
      <xdr:spPr bwMode="auto">
        <a:xfrm>
          <a:off x="13411200" y="77784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21" name="AutoShape 753" descr="POLAND"/>
        <xdr:cNvSpPr>
          <a:spLocks noChangeAspect="1" noChangeArrowheads="1"/>
        </xdr:cNvSpPr>
      </xdr:nvSpPr>
      <xdr:spPr bwMode="auto">
        <a:xfrm>
          <a:off x="0" y="78036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022" name="AutoShape 754" descr="https://www.soccerstats.com/img/own/sshplogo.png">
          <a:hlinkClick xmlns:r="http://schemas.openxmlformats.org/officeDocument/2006/relationships" r:id="rId377"/>
        </xdr:cNvPr>
        <xdr:cNvSpPr>
          <a:spLocks noChangeAspect="1" noChangeArrowheads="1"/>
        </xdr:cNvSpPr>
      </xdr:nvSpPr>
      <xdr:spPr bwMode="auto">
        <a:xfrm>
          <a:off x="13411200" y="78036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23" name="AutoShape 755" descr="POLAND"/>
        <xdr:cNvSpPr>
          <a:spLocks noChangeAspect="1" noChangeArrowheads="1"/>
        </xdr:cNvSpPr>
      </xdr:nvSpPr>
      <xdr:spPr bwMode="auto">
        <a:xfrm>
          <a:off x="0" y="78211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024" name="AutoShape 756" descr="https://www.soccerstats.com/img/own/sshplogo.png">
          <a:hlinkClick xmlns:r="http://schemas.openxmlformats.org/officeDocument/2006/relationships" r:id="rId378"/>
        </xdr:cNvPr>
        <xdr:cNvSpPr>
          <a:spLocks noChangeAspect="1" noChangeArrowheads="1"/>
        </xdr:cNvSpPr>
      </xdr:nvSpPr>
      <xdr:spPr bwMode="auto">
        <a:xfrm>
          <a:off x="13411200" y="78211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25" name="AutoShape 757" descr="POLAND2"/>
        <xdr:cNvSpPr>
          <a:spLocks noChangeAspect="1" noChangeArrowheads="1"/>
        </xdr:cNvSpPr>
      </xdr:nvSpPr>
      <xdr:spPr bwMode="auto">
        <a:xfrm>
          <a:off x="0" y="78386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026" name="AutoShape 758" descr="https://www.soccerstats.com/img/own/sshplogo.png">
          <a:hlinkClick xmlns:r="http://schemas.openxmlformats.org/officeDocument/2006/relationships" r:id="rId379"/>
        </xdr:cNvPr>
        <xdr:cNvSpPr>
          <a:spLocks noChangeAspect="1" noChangeArrowheads="1"/>
        </xdr:cNvSpPr>
      </xdr:nvSpPr>
      <xdr:spPr bwMode="auto">
        <a:xfrm>
          <a:off x="13411200" y="78386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27" name="AutoShape 759" descr="POLAND2"/>
        <xdr:cNvSpPr>
          <a:spLocks noChangeAspect="1" noChangeArrowheads="1"/>
        </xdr:cNvSpPr>
      </xdr:nvSpPr>
      <xdr:spPr bwMode="auto">
        <a:xfrm>
          <a:off x="0" y="78638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028" name="AutoShape 760" descr="https://www.soccerstats.com/img/own/sshplogo.png">
          <a:hlinkClick xmlns:r="http://schemas.openxmlformats.org/officeDocument/2006/relationships" r:id="rId380"/>
        </xdr:cNvPr>
        <xdr:cNvSpPr>
          <a:spLocks noChangeAspect="1" noChangeArrowheads="1"/>
        </xdr:cNvSpPr>
      </xdr:nvSpPr>
      <xdr:spPr bwMode="auto">
        <a:xfrm>
          <a:off x="13411200" y="78638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29" name="AutoShape 761" descr="POLAND2"/>
        <xdr:cNvSpPr>
          <a:spLocks noChangeAspect="1" noChangeArrowheads="1"/>
        </xdr:cNvSpPr>
      </xdr:nvSpPr>
      <xdr:spPr bwMode="auto">
        <a:xfrm>
          <a:off x="0" y="78813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030" name="AutoShape 762" descr="https://www.soccerstats.com/img/own/sshplogo.png">
          <a:hlinkClick xmlns:r="http://schemas.openxmlformats.org/officeDocument/2006/relationships" r:id="rId381"/>
        </xdr:cNvPr>
        <xdr:cNvSpPr>
          <a:spLocks noChangeAspect="1" noChangeArrowheads="1"/>
        </xdr:cNvSpPr>
      </xdr:nvSpPr>
      <xdr:spPr bwMode="auto">
        <a:xfrm>
          <a:off x="13411200" y="78813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31" name="AutoShape 763" descr="POLAND3"/>
        <xdr:cNvSpPr>
          <a:spLocks noChangeAspect="1" noChangeArrowheads="1"/>
        </xdr:cNvSpPr>
      </xdr:nvSpPr>
      <xdr:spPr bwMode="auto">
        <a:xfrm>
          <a:off x="0" y="79065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032" name="AutoShape 764" descr="https://www.soccerstats.com/img/own/sshplogo.png">
          <a:hlinkClick xmlns:r="http://schemas.openxmlformats.org/officeDocument/2006/relationships" r:id="rId382"/>
        </xdr:cNvPr>
        <xdr:cNvSpPr>
          <a:spLocks noChangeAspect="1" noChangeArrowheads="1"/>
        </xdr:cNvSpPr>
      </xdr:nvSpPr>
      <xdr:spPr bwMode="auto">
        <a:xfrm>
          <a:off x="13411200" y="79065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33" name="AutoShape 765" descr="POLAND3"/>
        <xdr:cNvSpPr>
          <a:spLocks noChangeAspect="1" noChangeArrowheads="1"/>
        </xdr:cNvSpPr>
      </xdr:nvSpPr>
      <xdr:spPr bwMode="auto">
        <a:xfrm>
          <a:off x="0" y="79316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034" name="AutoShape 766" descr="https://www.soccerstats.com/img/own/sshplogo.png">
          <a:hlinkClick xmlns:r="http://schemas.openxmlformats.org/officeDocument/2006/relationships" r:id="rId383"/>
        </xdr:cNvPr>
        <xdr:cNvSpPr>
          <a:spLocks noChangeAspect="1" noChangeArrowheads="1"/>
        </xdr:cNvSpPr>
      </xdr:nvSpPr>
      <xdr:spPr bwMode="auto">
        <a:xfrm>
          <a:off x="13411200" y="79316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35" name="AutoShape 767" descr="POLAND3"/>
        <xdr:cNvSpPr>
          <a:spLocks noChangeAspect="1" noChangeArrowheads="1"/>
        </xdr:cNvSpPr>
      </xdr:nvSpPr>
      <xdr:spPr bwMode="auto">
        <a:xfrm>
          <a:off x="0" y="79568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036" name="AutoShape 768" descr="https://www.soccerstats.com/img/own/sshplogo.png">
          <a:hlinkClick xmlns:r="http://schemas.openxmlformats.org/officeDocument/2006/relationships" r:id="rId384"/>
        </xdr:cNvPr>
        <xdr:cNvSpPr>
          <a:spLocks noChangeAspect="1" noChangeArrowheads="1"/>
        </xdr:cNvSpPr>
      </xdr:nvSpPr>
      <xdr:spPr bwMode="auto">
        <a:xfrm>
          <a:off x="13411200" y="79568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37" name="AutoShape 769" descr="POLAND3"/>
        <xdr:cNvSpPr>
          <a:spLocks noChangeAspect="1" noChangeArrowheads="1"/>
        </xdr:cNvSpPr>
      </xdr:nvSpPr>
      <xdr:spPr bwMode="auto">
        <a:xfrm>
          <a:off x="0" y="79819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038" name="AutoShape 770" descr="https://www.soccerstats.com/img/own/sshplogo.png">
          <a:hlinkClick xmlns:r="http://schemas.openxmlformats.org/officeDocument/2006/relationships" r:id="rId385"/>
        </xdr:cNvPr>
        <xdr:cNvSpPr>
          <a:spLocks noChangeAspect="1" noChangeArrowheads="1"/>
        </xdr:cNvSpPr>
      </xdr:nvSpPr>
      <xdr:spPr bwMode="auto">
        <a:xfrm>
          <a:off x="13411200" y="798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39" name="AutoShape 771" descr="POLAND3"/>
        <xdr:cNvSpPr>
          <a:spLocks noChangeAspect="1" noChangeArrowheads="1"/>
        </xdr:cNvSpPr>
      </xdr:nvSpPr>
      <xdr:spPr bwMode="auto">
        <a:xfrm>
          <a:off x="0" y="80070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040" name="AutoShape 772" descr="https://www.soccerstats.com/img/own/sshplogo.png">
          <a:hlinkClick xmlns:r="http://schemas.openxmlformats.org/officeDocument/2006/relationships" r:id="rId386"/>
        </xdr:cNvPr>
        <xdr:cNvSpPr>
          <a:spLocks noChangeAspect="1" noChangeArrowheads="1"/>
        </xdr:cNvSpPr>
      </xdr:nvSpPr>
      <xdr:spPr bwMode="auto">
        <a:xfrm>
          <a:off x="13411200" y="80070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41" name="AutoShape 773" descr="PORTUGAL2"/>
        <xdr:cNvSpPr>
          <a:spLocks noChangeAspect="1" noChangeArrowheads="1"/>
        </xdr:cNvSpPr>
      </xdr:nvSpPr>
      <xdr:spPr bwMode="auto">
        <a:xfrm>
          <a:off x="0" y="80322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042" name="AutoShape 774" descr="https://www.soccerstats.com/img/own/sshplogo.png">
          <a:hlinkClick xmlns:r="http://schemas.openxmlformats.org/officeDocument/2006/relationships" r:id="rId387"/>
        </xdr:cNvPr>
        <xdr:cNvSpPr>
          <a:spLocks noChangeAspect="1" noChangeArrowheads="1"/>
        </xdr:cNvSpPr>
      </xdr:nvSpPr>
      <xdr:spPr bwMode="auto">
        <a:xfrm>
          <a:off x="13411200" y="80322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43" name="AutoShape 775" descr="PORTUGAL2"/>
        <xdr:cNvSpPr>
          <a:spLocks noChangeAspect="1" noChangeArrowheads="1"/>
        </xdr:cNvSpPr>
      </xdr:nvSpPr>
      <xdr:spPr bwMode="auto">
        <a:xfrm>
          <a:off x="0" y="80497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044" name="AutoShape 776" descr="https://www.soccerstats.com/img/own/sshplogo.png">
          <a:hlinkClick xmlns:r="http://schemas.openxmlformats.org/officeDocument/2006/relationships" r:id="rId388"/>
        </xdr:cNvPr>
        <xdr:cNvSpPr>
          <a:spLocks noChangeAspect="1" noChangeArrowheads="1"/>
        </xdr:cNvSpPr>
      </xdr:nvSpPr>
      <xdr:spPr bwMode="auto">
        <a:xfrm>
          <a:off x="13411200" y="80497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45" name="AutoShape 777" descr="PORTUGAL2"/>
        <xdr:cNvSpPr>
          <a:spLocks noChangeAspect="1" noChangeArrowheads="1"/>
        </xdr:cNvSpPr>
      </xdr:nvSpPr>
      <xdr:spPr bwMode="auto">
        <a:xfrm>
          <a:off x="0" y="80749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046" name="AutoShape 778" descr="https://www.soccerstats.com/img/own/sshplogo.png">
          <a:hlinkClick xmlns:r="http://schemas.openxmlformats.org/officeDocument/2006/relationships" r:id="rId389"/>
        </xdr:cNvPr>
        <xdr:cNvSpPr>
          <a:spLocks noChangeAspect="1" noChangeArrowheads="1"/>
        </xdr:cNvSpPr>
      </xdr:nvSpPr>
      <xdr:spPr bwMode="auto">
        <a:xfrm>
          <a:off x="13411200" y="80749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47" name="AutoShape 779" descr="ROMANIA"/>
        <xdr:cNvSpPr>
          <a:spLocks noChangeAspect="1" noChangeArrowheads="1"/>
        </xdr:cNvSpPr>
      </xdr:nvSpPr>
      <xdr:spPr bwMode="auto">
        <a:xfrm>
          <a:off x="0" y="80924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048" name="AutoShape 780" descr="https://www.soccerstats.com/img/own/sshplogo.png">
          <a:hlinkClick xmlns:r="http://schemas.openxmlformats.org/officeDocument/2006/relationships" r:id="rId390"/>
        </xdr:cNvPr>
        <xdr:cNvSpPr>
          <a:spLocks noChangeAspect="1" noChangeArrowheads="1"/>
        </xdr:cNvSpPr>
      </xdr:nvSpPr>
      <xdr:spPr bwMode="auto">
        <a:xfrm>
          <a:off x="13411200" y="80924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49" name="AutoShape 781" descr="ROMANIA"/>
        <xdr:cNvSpPr>
          <a:spLocks noChangeAspect="1" noChangeArrowheads="1"/>
        </xdr:cNvSpPr>
      </xdr:nvSpPr>
      <xdr:spPr bwMode="auto">
        <a:xfrm>
          <a:off x="0" y="81099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050" name="AutoShape 782" descr="https://www.soccerstats.com/img/own/sshplogo.png">
          <a:hlinkClick xmlns:r="http://schemas.openxmlformats.org/officeDocument/2006/relationships" r:id="rId391"/>
        </xdr:cNvPr>
        <xdr:cNvSpPr>
          <a:spLocks noChangeAspect="1" noChangeArrowheads="1"/>
        </xdr:cNvSpPr>
      </xdr:nvSpPr>
      <xdr:spPr bwMode="auto">
        <a:xfrm>
          <a:off x="13411200" y="81099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51" name="AutoShape 783" descr="RUSSIA"/>
        <xdr:cNvSpPr>
          <a:spLocks noChangeAspect="1" noChangeArrowheads="1"/>
        </xdr:cNvSpPr>
      </xdr:nvSpPr>
      <xdr:spPr bwMode="auto">
        <a:xfrm>
          <a:off x="0" y="81351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052" name="AutoShape 784" descr="https://www.soccerstats.com/img/own/sshplogo.png">
          <a:hlinkClick xmlns:r="http://schemas.openxmlformats.org/officeDocument/2006/relationships" r:id="rId392"/>
        </xdr:cNvPr>
        <xdr:cNvSpPr>
          <a:spLocks noChangeAspect="1" noChangeArrowheads="1"/>
        </xdr:cNvSpPr>
      </xdr:nvSpPr>
      <xdr:spPr bwMode="auto">
        <a:xfrm>
          <a:off x="13411200" y="81351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53" name="AutoShape 785" descr="RUSSIA"/>
        <xdr:cNvSpPr>
          <a:spLocks noChangeAspect="1" noChangeArrowheads="1"/>
        </xdr:cNvSpPr>
      </xdr:nvSpPr>
      <xdr:spPr bwMode="auto">
        <a:xfrm>
          <a:off x="0" y="81602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054" name="AutoShape 786" descr="https://www.soccerstats.com/img/own/sshplogo.png">
          <a:hlinkClick xmlns:r="http://schemas.openxmlformats.org/officeDocument/2006/relationships" r:id="rId393"/>
        </xdr:cNvPr>
        <xdr:cNvSpPr>
          <a:spLocks noChangeAspect="1" noChangeArrowheads="1"/>
        </xdr:cNvSpPr>
      </xdr:nvSpPr>
      <xdr:spPr bwMode="auto">
        <a:xfrm>
          <a:off x="13411200" y="81602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55" name="AutoShape 787" descr="RUSSIA"/>
        <xdr:cNvSpPr>
          <a:spLocks noChangeAspect="1" noChangeArrowheads="1"/>
        </xdr:cNvSpPr>
      </xdr:nvSpPr>
      <xdr:spPr bwMode="auto">
        <a:xfrm>
          <a:off x="0" y="81854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056" name="AutoShape 788" descr="https://www.soccerstats.com/img/own/sshplogo.png">
          <a:hlinkClick xmlns:r="http://schemas.openxmlformats.org/officeDocument/2006/relationships" r:id="rId394"/>
        </xdr:cNvPr>
        <xdr:cNvSpPr>
          <a:spLocks noChangeAspect="1" noChangeArrowheads="1"/>
        </xdr:cNvSpPr>
      </xdr:nvSpPr>
      <xdr:spPr bwMode="auto">
        <a:xfrm>
          <a:off x="13411200" y="81854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57" name="AutoShape 789" descr="RUSSIA"/>
        <xdr:cNvSpPr>
          <a:spLocks noChangeAspect="1" noChangeArrowheads="1"/>
        </xdr:cNvSpPr>
      </xdr:nvSpPr>
      <xdr:spPr bwMode="auto">
        <a:xfrm>
          <a:off x="0" y="82029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058" name="AutoShape 790" descr="https://www.soccerstats.com/img/own/sshplogo.png">
          <a:hlinkClick xmlns:r="http://schemas.openxmlformats.org/officeDocument/2006/relationships" r:id="rId395"/>
        </xdr:cNvPr>
        <xdr:cNvSpPr>
          <a:spLocks noChangeAspect="1" noChangeArrowheads="1"/>
        </xdr:cNvSpPr>
      </xdr:nvSpPr>
      <xdr:spPr bwMode="auto">
        <a:xfrm>
          <a:off x="13411200" y="8202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59" name="AutoShape 791" descr="SAUDIARABIA"/>
        <xdr:cNvSpPr>
          <a:spLocks noChangeAspect="1" noChangeArrowheads="1"/>
        </xdr:cNvSpPr>
      </xdr:nvSpPr>
      <xdr:spPr bwMode="auto">
        <a:xfrm>
          <a:off x="0" y="82280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060" name="AutoShape 792" descr="https://www.soccerstats.com/img/own/sshplogo.png">
          <a:hlinkClick xmlns:r="http://schemas.openxmlformats.org/officeDocument/2006/relationships" r:id="rId396"/>
        </xdr:cNvPr>
        <xdr:cNvSpPr>
          <a:spLocks noChangeAspect="1" noChangeArrowheads="1"/>
        </xdr:cNvSpPr>
      </xdr:nvSpPr>
      <xdr:spPr bwMode="auto">
        <a:xfrm>
          <a:off x="13411200" y="82280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61" name="AutoShape 793" descr="SAUDIARABIA"/>
        <xdr:cNvSpPr>
          <a:spLocks noChangeAspect="1" noChangeArrowheads="1"/>
        </xdr:cNvSpPr>
      </xdr:nvSpPr>
      <xdr:spPr bwMode="auto">
        <a:xfrm>
          <a:off x="0" y="82456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062" name="AutoShape 794" descr="https://www.soccerstats.com/img/own/sshplogo.png">
          <a:hlinkClick xmlns:r="http://schemas.openxmlformats.org/officeDocument/2006/relationships" r:id="rId397"/>
        </xdr:cNvPr>
        <xdr:cNvSpPr>
          <a:spLocks noChangeAspect="1" noChangeArrowheads="1"/>
        </xdr:cNvSpPr>
      </xdr:nvSpPr>
      <xdr:spPr bwMode="auto">
        <a:xfrm>
          <a:off x="13411200" y="82456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63" name="AutoShape 795" descr="SAUDIARABIA"/>
        <xdr:cNvSpPr>
          <a:spLocks noChangeAspect="1" noChangeArrowheads="1"/>
        </xdr:cNvSpPr>
      </xdr:nvSpPr>
      <xdr:spPr bwMode="auto">
        <a:xfrm>
          <a:off x="0" y="82631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064" name="AutoShape 796" descr="https://www.soccerstats.com/img/own/sshplogo.png">
          <a:hlinkClick xmlns:r="http://schemas.openxmlformats.org/officeDocument/2006/relationships" r:id="rId398"/>
        </xdr:cNvPr>
        <xdr:cNvSpPr>
          <a:spLocks noChangeAspect="1" noChangeArrowheads="1"/>
        </xdr:cNvSpPr>
      </xdr:nvSpPr>
      <xdr:spPr bwMode="auto">
        <a:xfrm>
          <a:off x="13411200" y="82631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65" name="AutoShape 797" descr="SCOTLAND3"/>
        <xdr:cNvSpPr>
          <a:spLocks noChangeAspect="1" noChangeArrowheads="1"/>
        </xdr:cNvSpPr>
      </xdr:nvSpPr>
      <xdr:spPr bwMode="auto">
        <a:xfrm>
          <a:off x="0" y="82806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066" name="AutoShape 798" descr="https://www.soccerstats.com/img/own/sshplogo.png">
          <a:hlinkClick xmlns:r="http://schemas.openxmlformats.org/officeDocument/2006/relationships" r:id="rId399"/>
        </xdr:cNvPr>
        <xdr:cNvSpPr>
          <a:spLocks noChangeAspect="1" noChangeArrowheads="1"/>
        </xdr:cNvSpPr>
      </xdr:nvSpPr>
      <xdr:spPr bwMode="auto">
        <a:xfrm>
          <a:off x="13411200" y="82806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67" name="AutoShape 799" descr="SCOTLAND3"/>
        <xdr:cNvSpPr>
          <a:spLocks noChangeAspect="1" noChangeArrowheads="1"/>
        </xdr:cNvSpPr>
      </xdr:nvSpPr>
      <xdr:spPr bwMode="auto">
        <a:xfrm>
          <a:off x="0" y="82981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068" name="AutoShape 800" descr="https://www.soccerstats.com/img/own/sshplogo.png">
          <a:hlinkClick xmlns:r="http://schemas.openxmlformats.org/officeDocument/2006/relationships" r:id="rId400"/>
        </xdr:cNvPr>
        <xdr:cNvSpPr>
          <a:spLocks noChangeAspect="1" noChangeArrowheads="1"/>
        </xdr:cNvSpPr>
      </xdr:nvSpPr>
      <xdr:spPr bwMode="auto">
        <a:xfrm>
          <a:off x="13411200" y="8298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69" name="AutoShape 801" descr="SCOTLAND3"/>
        <xdr:cNvSpPr>
          <a:spLocks noChangeAspect="1" noChangeArrowheads="1"/>
        </xdr:cNvSpPr>
      </xdr:nvSpPr>
      <xdr:spPr bwMode="auto">
        <a:xfrm>
          <a:off x="0" y="83157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070" name="AutoShape 802" descr="https://www.soccerstats.com/img/own/sshplogo.png">
          <a:hlinkClick xmlns:r="http://schemas.openxmlformats.org/officeDocument/2006/relationships" r:id="rId401"/>
        </xdr:cNvPr>
        <xdr:cNvSpPr>
          <a:spLocks noChangeAspect="1" noChangeArrowheads="1"/>
        </xdr:cNvSpPr>
      </xdr:nvSpPr>
      <xdr:spPr bwMode="auto">
        <a:xfrm>
          <a:off x="13411200" y="83157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71" name="AutoShape 803" descr="SCOTLAND3"/>
        <xdr:cNvSpPr>
          <a:spLocks noChangeAspect="1" noChangeArrowheads="1"/>
        </xdr:cNvSpPr>
      </xdr:nvSpPr>
      <xdr:spPr bwMode="auto">
        <a:xfrm>
          <a:off x="0" y="83332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072" name="AutoShape 804" descr="https://www.soccerstats.com/img/own/sshplogo.png">
          <a:hlinkClick xmlns:r="http://schemas.openxmlformats.org/officeDocument/2006/relationships" r:id="rId402"/>
        </xdr:cNvPr>
        <xdr:cNvSpPr>
          <a:spLocks noChangeAspect="1" noChangeArrowheads="1"/>
        </xdr:cNvSpPr>
      </xdr:nvSpPr>
      <xdr:spPr bwMode="auto">
        <a:xfrm>
          <a:off x="13411200" y="83332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73" name="AutoShape 805" descr="SCOTLAND4"/>
        <xdr:cNvSpPr>
          <a:spLocks noChangeAspect="1" noChangeArrowheads="1"/>
        </xdr:cNvSpPr>
      </xdr:nvSpPr>
      <xdr:spPr bwMode="auto">
        <a:xfrm>
          <a:off x="0" y="83507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074" name="AutoShape 806" descr="https://www.soccerstats.com/img/own/sshplogo.png">
          <a:hlinkClick xmlns:r="http://schemas.openxmlformats.org/officeDocument/2006/relationships" r:id="rId403"/>
        </xdr:cNvPr>
        <xdr:cNvSpPr>
          <a:spLocks noChangeAspect="1" noChangeArrowheads="1"/>
        </xdr:cNvSpPr>
      </xdr:nvSpPr>
      <xdr:spPr bwMode="auto">
        <a:xfrm>
          <a:off x="13411200" y="83507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75" name="AutoShape 807" descr="SCOTLAND4"/>
        <xdr:cNvSpPr>
          <a:spLocks noChangeAspect="1" noChangeArrowheads="1"/>
        </xdr:cNvSpPr>
      </xdr:nvSpPr>
      <xdr:spPr bwMode="auto">
        <a:xfrm>
          <a:off x="0" y="83759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076" name="AutoShape 808" descr="https://www.soccerstats.com/img/own/sshplogo.png">
          <a:hlinkClick xmlns:r="http://schemas.openxmlformats.org/officeDocument/2006/relationships" r:id="rId404"/>
        </xdr:cNvPr>
        <xdr:cNvSpPr>
          <a:spLocks noChangeAspect="1" noChangeArrowheads="1"/>
        </xdr:cNvSpPr>
      </xdr:nvSpPr>
      <xdr:spPr bwMode="auto">
        <a:xfrm>
          <a:off x="13411200" y="83759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77" name="AutoShape 809" descr="SCOTLAND4"/>
        <xdr:cNvSpPr>
          <a:spLocks noChangeAspect="1" noChangeArrowheads="1"/>
        </xdr:cNvSpPr>
      </xdr:nvSpPr>
      <xdr:spPr bwMode="auto">
        <a:xfrm>
          <a:off x="0" y="84010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078" name="AutoShape 810" descr="https://www.soccerstats.com/img/own/sshplogo.png">
          <a:hlinkClick xmlns:r="http://schemas.openxmlformats.org/officeDocument/2006/relationships" r:id="rId405"/>
        </xdr:cNvPr>
        <xdr:cNvSpPr>
          <a:spLocks noChangeAspect="1" noChangeArrowheads="1"/>
        </xdr:cNvSpPr>
      </xdr:nvSpPr>
      <xdr:spPr bwMode="auto">
        <a:xfrm>
          <a:off x="13411200" y="8401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79" name="AutoShape 811" descr="SCOTLAND4"/>
        <xdr:cNvSpPr>
          <a:spLocks noChangeAspect="1" noChangeArrowheads="1"/>
        </xdr:cNvSpPr>
      </xdr:nvSpPr>
      <xdr:spPr bwMode="auto">
        <a:xfrm>
          <a:off x="0" y="84185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080" name="AutoShape 812" descr="https://www.soccerstats.com/img/own/sshplogo.png">
          <a:hlinkClick xmlns:r="http://schemas.openxmlformats.org/officeDocument/2006/relationships" r:id="rId406"/>
        </xdr:cNvPr>
        <xdr:cNvSpPr>
          <a:spLocks noChangeAspect="1" noChangeArrowheads="1"/>
        </xdr:cNvSpPr>
      </xdr:nvSpPr>
      <xdr:spPr bwMode="auto">
        <a:xfrm>
          <a:off x="13411200" y="84185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81" name="AutoShape 813" descr="SCOTLAND4"/>
        <xdr:cNvSpPr>
          <a:spLocks noChangeAspect="1" noChangeArrowheads="1"/>
        </xdr:cNvSpPr>
      </xdr:nvSpPr>
      <xdr:spPr bwMode="auto">
        <a:xfrm>
          <a:off x="0" y="84437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082" name="AutoShape 814" descr="https://www.soccerstats.com/img/own/sshplogo.png">
          <a:hlinkClick xmlns:r="http://schemas.openxmlformats.org/officeDocument/2006/relationships" r:id="rId407"/>
        </xdr:cNvPr>
        <xdr:cNvSpPr>
          <a:spLocks noChangeAspect="1" noChangeArrowheads="1"/>
        </xdr:cNvSpPr>
      </xdr:nvSpPr>
      <xdr:spPr bwMode="auto">
        <a:xfrm>
          <a:off x="13411200" y="84437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83" name="AutoShape 815" descr="SERBIA"/>
        <xdr:cNvSpPr>
          <a:spLocks noChangeAspect="1" noChangeArrowheads="1"/>
        </xdr:cNvSpPr>
      </xdr:nvSpPr>
      <xdr:spPr bwMode="auto">
        <a:xfrm>
          <a:off x="0" y="84612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084" name="AutoShape 816" descr="https://www.soccerstats.com/img/own/sshplogo.png">
          <a:hlinkClick xmlns:r="http://schemas.openxmlformats.org/officeDocument/2006/relationships" r:id="rId412"/>
        </xdr:cNvPr>
        <xdr:cNvSpPr>
          <a:spLocks noChangeAspect="1" noChangeArrowheads="1"/>
        </xdr:cNvSpPr>
      </xdr:nvSpPr>
      <xdr:spPr bwMode="auto">
        <a:xfrm>
          <a:off x="13411200" y="84612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85" name="AutoShape 817" descr="SERBIA"/>
        <xdr:cNvSpPr>
          <a:spLocks noChangeAspect="1" noChangeArrowheads="1"/>
        </xdr:cNvSpPr>
      </xdr:nvSpPr>
      <xdr:spPr bwMode="auto">
        <a:xfrm>
          <a:off x="0" y="84787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086" name="AutoShape 818" descr="https://www.soccerstats.com/img/own/sshplogo.png">
          <a:hlinkClick xmlns:r="http://schemas.openxmlformats.org/officeDocument/2006/relationships" r:id="rId413"/>
        </xdr:cNvPr>
        <xdr:cNvSpPr>
          <a:spLocks noChangeAspect="1" noChangeArrowheads="1"/>
        </xdr:cNvSpPr>
      </xdr:nvSpPr>
      <xdr:spPr bwMode="auto">
        <a:xfrm>
          <a:off x="13411200" y="84787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87" name="AutoShape 819" descr="SERBIA"/>
        <xdr:cNvSpPr>
          <a:spLocks noChangeAspect="1" noChangeArrowheads="1"/>
        </xdr:cNvSpPr>
      </xdr:nvSpPr>
      <xdr:spPr bwMode="auto">
        <a:xfrm>
          <a:off x="0" y="84963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088" name="AutoShape 820" descr="https://www.soccerstats.com/img/own/sshplogo.png">
          <a:hlinkClick xmlns:r="http://schemas.openxmlformats.org/officeDocument/2006/relationships" r:id="rId408"/>
        </xdr:cNvPr>
        <xdr:cNvSpPr>
          <a:spLocks noChangeAspect="1" noChangeArrowheads="1"/>
        </xdr:cNvSpPr>
      </xdr:nvSpPr>
      <xdr:spPr bwMode="auto">
        <a:xfrm>
          <a:off x="13411200" y="8496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89" name="AutoShape 821" descr="SLOVAKIA"/>
        <xdr:cNvSpPr>
          <a:spLocks noChangeAspect="1" noChangeArrowheads="1"/>
        </xdr:cNvSpPr>
      </xdr:nvSpPr>
      <xdr:spPr bwMode="auto">
        <a:xfrm>
          <a:off x="0" y="85138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090" name="AutoShape 822" descr="https://www.soccerstats.com/img/own/sshplogo.png">
          <a:hlinkClick xmlns:r="http://schemas.openxmlformats.org/officeDocument/2006/relationships" r:id="rId415"/>
        </xdr:cNvPr>
        <xdr:cNvSpPr>
          <a:spLocks noChangeAspect="1" noChangeArrowheads="1"/>
        </xdr:cNvSpPr>
      </xdr:nvSpPr>
      <xdr:spPr bwMode="auto">
        <a:xfrm>
          <a:off x="13411200" y="85138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91" name="AutoShape 823" descr="SLOVAKIA"/>
        <xdr:cNvSpPr>
          <a:spLocks noChangeAspect="1" noChangeArrowheads="1"/>
        </xdr:cNvSpPr>
      </xdr:nvSpPr>
      <xdr:spPr bwMode="auto">
        <a:xfrm>
          <a:off x="0" y="85389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092" name="AutoShape 824" descr="https://www.soccerstats.com/img/own/sshplogo.png">
          <a:hlinkClick xmlns:r="http://schemas.openxmlformats.org/officeDocument/2006/relationships" r:id="rId416"/>
        </xdr:cNvPr>
        <xdr:cNvSpPr>
          <a:spLocks noChangeAspect="1" noChangeArrowheads="1"/>
        </xdr:cNvSpPr>
      </xdr:nvSpPr>
      <xdr:spPr bwMode="auto">
        <a:xfrm>
          <a:off x="13411200" y="85389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93" name="AutoShape 825" descr="SLOVAKIA"/>
        <xdr:cNvSpPr>
          <a:spLocks noChangeAspect="1" noChangeArrowheads="1"/>
        </xdr:cNvSpPr>
      </xdr:nvSpPr>
      <xdr:spPr bwMode="auto">
        <a:xfrm>
          <a:off x="0" y="85564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094" name="AutoShape 826" descr="https://www.soccerstats.com/img/own/sshplogo.png">
          <a:hlinkClick xmlns:r="http://schemas.openxmlformats.org/officeDocument/2006/relationships" r:id="rId417"/>
        </xdr:cNvPr>
        <xdr:cNvSpPr>
          <a:spLocks noChangeAspect="1" noChangeArrowheads="1"/>
        </xdr:cNvSpPr>
      </xdr:nvSpPr>
      <xdr:spPr bwMode="auto">
        <a:xfrm>
          <a:off x="13411200" y="85564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95" name="AutoShape 827" descr="SLOVAKIA"/>
        <xdr:cNvSpPr>
          <a:spLocks noChangeAspect="1" noChangeArrowheads="1"/>
        </xdr:cNvSpPr>
      </xdr:nvSpPr>
      <xdr:spPr bwMode="auto">
        <a:xfrm>
          <a:off x="0" y="85740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096" name="AutoShape 828" descr="https://www.soccerstats.com/img/own/sshplogo.png">
          <a:hlinkClick xmlns:r="http://schemas.openxmlformats.org/officeDocument/2006/relationships" r:id="rId418"/>
        </xdr:cNvPr>
        <xdr:cNvSpPr>
          <a:spLocks noChangeAspect="1" noChangeArrowheads="1"/>
        </xdr:cNvSpPr>
      </xdr:nvSpPr>
      <xdr:spPr bwMode="auto">
        <a:xfrm>
          <a:off x="13411200" y="85740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97" name="AutoShape 829" descr="SLOVENIA"/>
        <xdr:cNvSpPr>
          <a:spLocks noChangeAspect="1" noChangeArrowheads="1"/>
        </xdr:cNvSpPr>
      </xdr:nvSpPr>
      <xdr:spPr bwMode="auto">
        <a:xfrm>
          <a:off x="0" y="85915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098" name="AutoShape 830" descr="https://www.soccerstats.com/img/own/sshplogo.png">
          <a:hlinkClick xmlns:r="http://schemas.openxmlformats.org/officeDocument/2006/relationships" r:id="rId419"/>
        </xdr:cNvPr>
        <xdr:cNvSpPr>
          <a:spLocks noChangeAspect="1" noChangeArrowheads="1"/>
        </xdr:cNvSpPr>
      </xdr:nvSpPr>
      <xdr:spPr bwMode="auto">
        <a:xfrm>
          <a:off x="13411200" y="85915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99" name="AutoShape 831" descr="SLOVENIA"/>
        <xdr:cNvSpPr>
          <a:spLocks noChangeAspect="1" noChangeArrowheads="1"/>
        </xdr:cNvSpPr>
      </xdr:nvSpPr>
      <xdr:spPr bwMode="auto">
        <a:xfrm>
          <a:off x="0" y="86090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100" name="AutoShape 832" descr="https://www.soccerstats.com/img/own/sshplogo.png">
          <a:hlinkClick xmlns:r="http://schemas.openxmlformats.org/officeDocument/2006/relationships" r:id="rId420"/>
        </xdr:cNvPr>
        <xdr:cNvSpPr>
          <a:spLocks noChangeAspect="1" noChangeArrowheads="1"/>
        </xdr:cNvSpPr>
      </xdr:nvSpPr>
      <xdr:spPr bwMode="auto">
        <a:xfrm>
          <a:off x="13411200" y="86090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01" name="AutoShape 833" descr="SOUTHAFRICA"/>
        <xdr:cNvSpPr>
          <a:spLocks noChangeAspect="1" noChangeArrowheads="1"/>
        </xdr:cNvSpPr>
      </xdr:nvSpPr>
      <xdr:spPr bwMode="auto">
        <a:xfrm>
          <a:off x="0" y="86266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102" name="AutoShape 834" descr="https://www.soccerstats.com/img/own/sshplogo.png">
          <a:hlinkClick xmlns:r="http://schemas.openxmlformats.org/officeDocument/2006/relationships" r:id="rId421"/>
        </xdr:cNvPr>
        <xdr:cNvSpPr>
          <a:spLocks noChangeAspect="1" noChangeArrowheads="1"/>
        </xdr:cNvSpPr>
      </xdr:nvSpPr>
      <xdr:spPr bwMode="auto">
        <a:xfrm>
          <a:off x="13411200" y="86266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03" name="AutoShape 835" descr="SOUTHAFRICA"/>
        <xdr:cNvSpPr>
          <a:spLocks noChangeAspect="1" noChangeArrowheads="1"/>
        </xdr:cNvSpPr>
      </xdr:nvSpPr>
      <xdr:spPr bwMode="auto">
        <a:xfrm>
          <a:off x="0" y="86441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104" name="AutoShape 836" descr="https://www.soccerstats.com/img/own/sshplogo.png">
          <a:hlinkClick xmlns:r="http://schemas.openxmlformats.org/officeDocument/2006/relationships" r:id="rId422"/>
        </xdr:cNvPr>
        <xdr:cNvSpPr>
          <a:spLocks noChangeAspect="1" noChangeArrowheads="1"/>
        </xdr:cNvSpPr>
      </xdr:nvSpPr>
      <xdr:spPr bwMode="auto">
        <a:xfrm>
          <a:off x="13411200" y="86441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05" name="AutoShape 837" descr="SOUTHAFRICA"/>
        <xdr:cNvSpPr>
          <a:spLocks noChangeAspect="1" noChangeArrowheads="1"/>
        </xdr:cNvSpPr>
      </xdr:nvSpPr>
      <xdr:spPr bwMode="auto">
        <a:xfrm>
          <a:off x="0" y="86616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106" name="AutoShape 838" descr="https://www.soccerstats.com/img/own/sshplogo.png">
          <a:hlinkClick xmlns:r="http://schemas.openxmlformats.org/officeDocument/2006/relationships" r:id="rId423"/>
        </xdr:cNvPr>
        <xdr:cNvSpPr>
          <a:spLocks noChangeAspect="1" noChangeArrowheads="1"/>
        </xdr:cNvSpPr>
      </xdr:nvSpPr>
      <xdr:spPr bwMode="auto">
        <a:xfrm>
          <a:off x="13411200" y="86616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07" name="AutoShape 839" descr="SOUTHAFRICA"/>
        <xdr:cNvSpPr>
          <a:spLocks noChangeAspect="1" noChangeArrowheads="1"/>
        </xdr:cNvSpPr>
      </xdr:nvSpPr>
      <xdr:spPr bwMode="auto">
        <a:xfrm>
          <a:off x="0" y="86791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108" name="AutoShape 840" descr="https://www.soccerstats.com/img/own/sshplogo.png">
          <a:hlinkClick xmlns:r="http://schemas.openxmlformats.org/officeDocument/2006/relationships" r:id="rId424"/>
        </xdr:cNvPr>
        <xdr:cNvSpPr>
          <a:spLocks noChangeAspect="1" noChangeArrowheads="1"/>
        </xdr:cNvSpPr>
      </xdr:nvSpPr>
      <xdr:spPr bwMode="auto">
        <a:xfrm>
          <a:off x="13411200" y="8679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09" name="AutoShape 841" descr="SOUTHAFRICA"/>
        <xdr:cNvSpPr>
          <a:spLocks noChangeAspect="1" noChangeArrowheads="1"/>
        </xdr:cNvSpPr>
      </xdr:nvSpPr>
      <xdr:spPr bwMode="auto">
        <a:xfrm>
          <a:off x="0" y="86967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110" name="AutoShape 842" descr="https://www.soccerstats.com/img/own/sshplogo.png">
          <a:hlinkClick xmlns:r="http://schemas.openxmlformats.org/officeDocument/2006/relationships" r:id="rId425"/>
        </xdr:cNvPr>
        <xdr:cNvSpPr>
          <a:spLocks noChangeAspect="1" noChangeArrowheads="1"/>
        </xdr:cNvSpPr>
      </xdr:nvSpPr>
      <xdr:spPr bwMode="auto">
        <a:xfrm>
          <a:off x="13411200" y="86967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11" name="AutoShape 843" descr="SOUTHKOREA"/>
        <xdr:cNvSpPr>
          <a:spLocks noChangeAspect="1" noChangeArrowheads="1"/>
        </xdr:cNvSpPr>
      </xdr:nvSpPr>
      <xdr:spPr bwMode="auto">
        <a:xfrm>
          <a:off x="0" y="87142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112" name="AutoShape 844" descr="https://www.soccerstats.com/img/own/sshplogo.png">
          <a:hlinkClick xmlns:r="http://schemas.openxmlformats.org/officeDocument/2006/relationships" r:id="rId426"/>
        </xdr:cNvPr>
        <xdr:cNvSpPr>
          <a:spLocks noChangeAspect="1" noChangeArrowheads="1"/>
        </xdr:cNvSpPr>
      </xdr:nvSpPr>
      <xdr:spPr bwMode="auto">
        <a:xfrm>
          <a:off x="13411200" y="87142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13" name="AutoShape 845" descr="SOUTHKOREA"/>
        <xdr:cNvSpPr>
          <a:spLocks noChangeAspect="1" noChangeArrowheads="1"/>
        </xdr:cNvSpPr>
      </xdr:nvSpPr>
      <xdr:spPr bwMode="auto">
        <a:xfrm>
          <a:off x="0" y="87393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114" name="AutoShape 846" descr="https://www.soccerstats.com/img/own/sshplogo.png">
          <a:hlinkClick xmlns:r="http://schemas.openxmlformats.org/officeDocument/2006/relationships" r:id="rId427"/>
        </xdr:cNvPr>
        <xdr:cNvSpPr>
          <a:spLocks noChangeAspect="1" noChangeArrowheads="1"/>
        </xdr:cNvSpPr>
      </xdr:nvSpPr>
      <xdr:spPr bwMode="auto">
        <a:xfrm>
          <a:off x="13411200" y="87393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15" name="AutoShape 847" descr="SOUTHKOREA"/>
        <xdr:cNvSpPr>
          <a:spLocks noChangeAspect="1" noChangeArrowheads="1"/>
        </xdr:cNvSpPr>
      </xdr:nvSpPr>
      <xdr:spPr bwMode="auto">
        <a:xfrm>
          <a:off x="0" y="87569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116" name="AutoShape 848" descr="https://www.soccerstats.com/img/own/sshplogo.png">
          <a:hlinkClick xmlns:r="http://schemas.openxmlformats.org/officeDocument/2006/relationships" r:id="rId428"/>
        </xdr:cNvPr>
        <xdr:cNvSpPr>
          <a:spLocks noChangeAspect="1" noChangeArrowheads="1"/>
        </xdr:cNvSpPr>
      </xdr:nvSpPr>
      <xdr:spPr bwMode="auto">
        <a:xfrm>
          <a:off x="13411200" y="87569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17" name="AutoShape 849" descr="SOUTHKOREA2"/>
        <xdr:cNvSpPr>
          <a:spLocks noChangeAspect="1" noChangeArrowheads="1"/>
        </xdr:cNvSpPr>
      </xdr:nvSpPr>
      <xdr:spPr bwMode="auto">
        <a:xfrm>
          <a:off x="0" y="87820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118" name="AutoShape 850" descr="https://www.soccerstats.com/img/own/sshplogo.png">
          <a:hlinkClick xmlns:r="http://schemas.openxmlformats.org/officeDocument/2006/relationships" r:id="rId429"/>
        </xdr:cNvPr>
        <xdr:cNvSpPr>
          <a:spLocks noChangeAspect="1" noChangeArrowheads="1"/>
        </xdr:cNvSpPr>
      </xdr:nvSpPr>
      <xdr:spPr bwMode="auto">
        <a:xfrm>
          <a:off x="13411200" y="8782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19" name="AutoShape 851" descr="SOUTHKOREA2"/>
        <xdr:cNvSpPr>
          <a:spLocks noChangeAspect="1" noChangeArrowheads="1"/>
        </xdr:cNvSpPr>
      </xdr:nvSpPr>
      <xdr:spPr bwMode="auto">
        <a:xfrm>
          <a:off x="0" y="87995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120" name="AutoShape 852" descr="https://www.soccerstats.com/img/own/sshplogo.png">
          <a:hlinkClick xmlns:r="http://schemas.openxmlformats.org/officeDocument/2006/relationships" r:id="rId430"/>
        </xdr:cNvPr>
        <xdr:cNvSpPr>
          <a:spLocks noChangeAspect="1" noChangeArrowheads="1"/>
        </xdr:cNvSpPr>
      </xdr:nvSpPr>
      <xdr:spPr bwMode="auto">
        <a:xfrm>
          <a:off x="13411200" y="87995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21" name="AutoShape 853" descr="SOUTHKOREA2"/>
        <xdr:cNvSpPr>
          <a:spLocks noChangeAspect="1" noChangeArrowheads="1"/>
        </xdr:cNvSpPr>
      </xdr:nvSpPr>
      <xdr:spPr bwMode="auto">
        <a:xfrm>
          <a:off x="0" y="88171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122" name="AutoShape 854" descr="https://www.soccerstats.com/img/own/sshplogo.png">
          <a:hlinkClick xmlns:r="http://schemas.openxmlformats.org/officeDocument/2006/relationships" r:id="rId431"/>
        </xdr:cNvPr>
        <xdr:cNvSpPr>
          <a:spLocks noChangeAspect="1" noChangeArrowheads="1"/>
        </xdr:cNvSpPr>
      </xdr:nvSpPr>
      <xdr:spPr bwMode="auto">
        <a:xfrm>
          <a:off x="13411200" y="88171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23" name="AutoShape 855" descr="SOUTHKOREA2"/>
        <xdr:cNvSpPr>
          <a:spLocks noChangeAspect="1" noChangeArrowheads="1"/>
        </xdr:cNvSpPr>
      </xdr:nvSpPr>
      <xdr:spPr bwMode="auto">
        <a:xfrm>
          <a:off x="0" y="88346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124" name="AutoShape 856" descr="https://www.soccerstats.com/img/own/sshplogo.png">
          <a:hlinkClick xmlns:r="http://schemas.openxmlformats.org/officeDocument/2006/relationships" r:id="rId432"/>
        </xdr:cNvPr>
        <xdr:cNvSpPr>
          <a:spLocks noChangeAspect="1" noChangeArrowheads="1"/>
        </xdr:cNvSpPr>
      </xdr:nvSpPr>
      <xdr:spPr bwMode="auto">
        <a:xfrm>
          <a:off x="13411200" y="88346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25" name="AutoShape 857" descr="SOUTHKOREA4"/>
        <xdr:cNvSpPr>
          <a:spLocks noChangeAspect="1" noChangeArrowheads="1"/>
        </xdr:cNvSpPr>
      </xdr:nvSpPr>
      <xdr:spPr bwMode="auto">
        <a:xfrm>
          <a:off x="0" y="88597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126" name="AutoShape 858" descr="https://www.soccerstats.com/img/own/sshplogo.png">
          <a:hlinkClick xmlns:r="http://schemas.openxmlformats.org/officeDocument/2006/relationships" r:id="rId433"/>
        </xdr:cNvPr>
        <xdr:cNvSpPr>
          <a:spLocks noChangeAspect="1" noChangeArrowheads="1"/>
        </xdr:cNvSpPr>
      </xdr:nvSpPr>
      <xdr:spPr bwMode="auto">
        <a:xfrm>
          <a:off x="13411200" y="88597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27" name="AutoShape 859" descr="SOUTHKOREA4"/>
        <xdr:cNvSpPr>
          <a:spLocks noChangeAspect="1" noChangeArrowheads="1"/>
        </xdr:cNvSpPr>
      </xdr:nvSpPr>
      <xdr:spPr bwMode="auto">
        <a:xfrm>
          <a:off x="0" y="88849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128" name="AutoShape 860" descr="https://www.soccerstats.com/img/own/sshplogo.png">
          <a:hlinkClick xmlns:r="http://schemas.openxmlformats.org/officeDocument/2006/relationships" r:id="rId434"/>
        </xdr:cNvPr>
        <xdr:cNvSpPr>
          <a:spLocks noChangeAspect="1" noChangeArrowheads="1"/>
        </xdr:cNvSpPr>
      </xdr:nvSpPr>
      <xdr:spPr bwMode="auto">
        <a:xfrm>
          <a:off x="13411200" y="8884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29" name="AutoShape 861" descr="SWEDEN"/>
        <xdr:cNvSpPr>
          <a:spLocks noChangeAspect="1" noChangeArrowheads="1"/>
        </xdr:cNvSpPr>
      </xdr:nvSpPr>
      <xdr:spPr bwMode="auto">
        <a:xfrm>
          <a:off x="0" y="89024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130" name="AutoShape 862" descr="https://www.soccerstats.com/img/own/sshplogo.png">
          <a:hlinkClick xmlns:r="http://schemas.openxmlformats.org/officeDocument/2006/relationships" r:id="rId435"/>
        </xdr:cNvPr>
        <xdr:cNvSpPr>
          <a:spLocks noChangeAspect="1" noChangeArrowheads="1"/>
        </xdr:cNvSpPr>
      </xdr:nvSpPr>
      <xdr:spPr bwMode="auto">
        <a:xfrm>
          <a:off x="13411200" y="89024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31" name="AutoShape 863" descr="SWEDEN2"/>
        <xdr:cNvSpPr>
          <a:spLocks noChangeAspect="1" noChangeArrowheads="1"/>
        </xdr:cNvSpPr>
      </xdr:nvSpPr>
      <xdr:spPr bwMode="auto">
        <a:xfrm>
          <a:off x="0" y="89199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132" name="AutoShape 864" descr="https://www.soccerstats.com/img/own/sshplogo.png">
          <a:hlinkClick xmlns:r="http://schemas.openxmlformats.org/officeDocument/2006/relationships" r:id="rId436"/>
        </xdr:cNvPr>
        <xdr:cNvSpPr>
          <a:spLocks noChangeAspect="1" noChangeArrowheads="1"/>
        </xdr:cNvSpPr>
      </xdr:nvSpPr>
      <xdr:spPr bwMode="auto">
        <a:xfrm>
          <a:off x="13411200" y="89199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33" name="AutoShape 865" descr="SWEDEN2"/>
        <xdr:cNvSpPr>
          <a:spLocks noChangeAspect="1" noChangeArrowheads="1"/>
        </xdr:cNvSpPr>
      </xdr:nvSpPr>
      <xdr:spPr bwMode="auto">
        <a:xfrm>
          <a:off x="0" y="89374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134" name="AutoShape 866" descr="https://www.soccerstats.com/img/own/sshplogo.png">
          <a:hlinkClick xmlns:r="http://schemas.openxmlformats.org/officeDocument/2006/relationships" r:id="rId437"/>
        </xdr:cNvPr>
        <xdr:cNvSpPr>
          <a:spLocks noChangeAspect="1" noChangeArrowheads="1"/>
        </xdr:cNvSpPr>
      </xdr:nvSpPr>
      <xdr:spPr bwMode="auto">
        <a:xfrm>
          <a:off x="13411200" y="89374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35" name="AutoShape 867" descr="SWEDEN2"/>
        <xdr:cNvSpPr>
          <a:spLocks noChangeAspect="1" noChangeArrowheads="1"/>
        </xdr:cNvSpPr>
      </xdr:nvSpPr>
      <xdr:spPr bwMode="auto">
        <a:xfrm>
          <a:off x="0" y="89550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136" name="AutoShape 868" descr="https://www.soccerstats.com/img/own/sshplogo.png">
          <a:hlinkClick xmlns:r="http://schemas.openxmlformats.org/officeDocument/2006/relationships" r:id="rId438"/>
        </xdr:cNvPr>
        <xdr:cNvSpPr>
          <a:spLocks noChangeAspect="1" noChangeArrowheads="1"/>
        </xdr:cNvSpPr>
      </xdr:nvSpPr>
      <xdr:spPr bwMode="auto">
        <a:xfrm>
          <a:off x="13411200" y="89550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37" name="AutoShape 869" descr="SWEDEN2"/>
        <xdr:cNvSpPr>
          <a:spLocks noChangeAspect="1" noChangeArrowheads="1"/>
        </xdr:cNvSpPr>
      </xdr:nvSpPr>
      <xdr:spPr bwMode="auto">
        <a:xfrm>
          <a:off x="0" y="89801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138" name="AutoShape 870" descr="https://www.soccerstats.com/img/own/sshplogo.png">
          <a:hlinkClick xmlns:r="http://schemas.openxmlformats.org/officeDocument/2006/relationships" r:id="rId439"/>
        </xdr:cNvPr>
        <xdr:cNvSpPr>
          <a:spLocks noChangeAspect="1" noChangeArrowheads="1"/>
        </xdr:cNvSpPr>
      </xdr:nvSpPr>
      <xdr:spPr bwMode="auto">
        <a:xfrm>
          <a:off x="13411200" y="8980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39" name="AutoShape 871" descr="SWEDEN2"/>
        <xdr:cNvSpPr>
          <a:spLocks noChangeAspect="1" noChangeArrowheads="1"/>
        </xdr:cNvSpPr>
      </xdr:nvSpPr>
      <xdr:spPr bwMode="auto">
        <a:xfrm>
          <a:off x="0" y="89976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140" name="AutoShape 872" descr="https://www.soccerstats.com/img/own/sshplogo.png">
          <a:hlinkClick xmlns:r="http://schemas.openxmlformats.org/officeDocument/2006/relationships" r:id="rId440"/>
        </xdr:cNvPr>
        <xdr:cNvSpPr>
          <a:spLocks noChangeAspect="1" noChangeArrowheads="1"/>
        </xdr:cNvSpPr>
      </xdr:nvSpPr>
      <xdr:spPr bwMode="auto">
        <a:xfrm>
          <a:off x="13411200" y="89976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41" name="AutoShape 873" descr="SWEDEN3"/>
        <xdr:cNvSpPr>
          <a:spLocks noChangeAspect="1" noChangeArrowheads="1"/>
        </xdr:cNvSpPr>
      </xdr:nvSpPr>
      <xdr:spPr bwMode="auto">
        <a:xfrm>
          <a:off x="0" y="90152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142" name="AutoShape 874" descr="https://www.soccerstats.com/img/own/sshplogo.png">
          <a:hlinkClick xmlns:r="http://schemas.openxmlformats.org/officeDocument/2006/relationships" r:id="rId441"/>
        </xdr:cNvPr>
        <xdr:cNvSpPr>
          <a:spLocks noChangeAspect="1" noChangeArrowheads="1"/>
        </xdr:cNvSpPr>
      </xdr:nvSpPr>
      <xdr:spPr bwMode="auto">
        <a:xfrm>
          <a:off x="13411200" y="90152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43" name="AutoShape 875" descr="SWEDEN3"/>
        <xdr:cNvSpPr>
          <a:spLocks noChangeAspect="1" noChangeArrowheads="1"/>
        </xdr:cNvSpPr>
      </xdr:nvSpPr>
      <xdr:spPr bwMode="auto">
        <a:xfrm>
          <a:off x="0" y="90327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144" name="AutoShape 876" descr="https://www.soccerstats.com/img/own/sshplogo.png">
          <a:hlinkClick xmlns:r="http://schemas.openxmlformats.org/officeDocument/2006/relationships" r:id="rId442"/>
        </xdr:cNvPr>
        <xdr:cNvSpPr>
          <a:spLocks noChangeAspect="1" noChangeArrowheads="1"/>
        </xdr:cNvSpPr>
      </xdr:nvSpPr>
      <xdr:spPr bwMode="auto">
        <a:xfrm>
          <a:off x="13411200" y="90327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45" name="AutoShape 877" descr="SWEDEN3"/>
        <xdr:cNvSpPr>
          <a:spLocks noChangeAspect="1" noChangeArrowheads="1"/>
        </xdr:cNvSpPr>
      </xdr:nvSpPr>
      <xdr:spPr bwMode="auto">
        <a:xfrm>
          <a:off x="0" y="90502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146" name="AutoShape 878" descr="https://www.soccerstats.com/img/own/sshplogo.png">
          <a:hlinkClick xmlns:r="http://schemas.openxmlformats.org/officeDocument/2006/relationships" r:id="rId443"/>
        </xdr:cNvPr>
        <xdr:cNvSpPr>
          <a:spLocks noChangeAspect="1" noChangeArrowheads="1"/>
        </xdr:cNvSpPr>
      </xdr:nvSpPr>
      <xdr:spPr bwMode="auto">
        <a:xfrm>
          <a:off x="13411200" y="90502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47" name="AutoShape 879" descr="SWEDEN3"/>
        <xdr:cNvSpPr>
          <a:spLocks noChangeAspect="1" noChangeArrowheads="1"/>
        </xdr:cNvSpPr>
      </xdr:nvSpPr>
      <xdr:spPr bwMode="auto">
        <a:xfrm>
          <a:off x="0" y="90678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148" name="AutoShape 880" descr="https://www.soccerstats.com/img/own/sshplogo.png">
          <a:hlinkClick xmlns:r="http://schemas.openxmlformats.org/officeDocument/2006/relationships" r:id="rId444"/>
        </xdr:cNvPr>
        <xdr:cNvSpPr>
          <a:spLocks noChangeAspect="1" noChangeArrowheads="1"/>
        </xdr:cNvSpPr>
      </xdr:nvSpPr>
      <xdr:spPr bwMode="auto">
        <a:xfrm>
          <a:off x="13411200" y="9067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49" name="AutoShape 881" descr="SWEDEN4"/>
        <xdr:cNvSpPr>
          <a:spLocks noChangeAspect="1" noChangeArrowheads="1"/>
        </xdr:cNvSpPr>
      </xdr:nvSpPr>
      <xdr:spPr bwMode="auto">
        <a:xfrm>
          <a:off x="0" y="90853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150" name="AutoShape 882" descr="https://www.soccerstats.com/img/own/sshplogo.png">
          <a:hlinkClick xmlns:r="http://schemas.openxmlformats.org/officeDocument/2006/relationships" r:id="rId445"/>
        </xdr:cNvPr>
        <xdr:cNvSpPr>
          <a:spLocks noChangeAspect="1" noChangeArrowheads="1"/>
        </xdr:cNvSpPr>
      </xdr:nvSpPr>
      <xdr:spPr bwMode="auto">
        <a:xfrm>
          <a:off x="13411200" y="90853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51" name="AutoShape 883" descr="SWEDEN4"/>
        <xdr:cNvSpPr>
          <a:spLocks noChangeAspect="1" noChangeArrowheads="1"/>
        </xdr:cNvSpPr>
      </xdr:nvSpPr>
      <xdr:spPr bwMode="auto">
        <a:xfrm>
          <a:off x="0" y="91028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152" name="AutoShape 884" descr="https://www.soccerstats.com/img/own/sshplogo.png">
          <a:hlinkClick xmlns:r="http://schemas.openxmlformats.org/officeDocument/2006/relationships" r:id="rId446"/>
        </xdr:cNvPr>
        <xdr:cNvSpPr>
          <a:spLocks noChangeAspect="1" noChangeArrowheads="1"/>
        </xdr:cNvSpPr>
      </xdr:nvSpPr>
      <xdr:spPr bwMode="auto">
        <a:xfrm>
          <a:off x="13411200" y="91028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53" name="AutoShape 885" descr="SWEDEN4"/>
        <xdr:cNvSpPr>
          <a:spLocks noChangeAspect="1" noChangeArrowheads="1"/>
        </xdr:cNvSpPr>
      </xdr:nvSpPr>
      <xdr:spPr bwMode="auto">
        <a:xfrm>
          <a:off x="0" y="91203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154" name="AutoShape 886" descr="https://www.soccerstats.com/img/own/sshplogo.png">
          <a:hlinkClick xmlns:r="http://schemas.openxmlformats.org/officeDocument/2006/relationships" r:id="rId447"/>
        </xdr:cNvPr>
        <xdr:cNvSpPr>
          <a:spLocks noChangeAspect="1" noChangeArrowheads="1"/>
        </xdr:cNvSpPr>
      </xdr:nvSpPr>
      <xdr:spPr bwMode="auto">
        <a:xfrm>
          <a:off x="13411200" y="91203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55" name="AutoShape 887" descr="SWEDEN4"/>
        <xdr:cNvSpPr>
          <a:spLocks noChangeAspect="1" noChangeArrowheads="1"/>
        </xdr:cNvSpPr>
      </xdr:nvSpPr>
      <xdr:spPr bwMode="auto">
        <a:xfrm>
          <a:off x="0" y="91379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156" name="AutoShape 888" descr="https://www.soccerstats.com/img/own/sshplogo.png">
          <a:hlinkClick xmlns:r="http://schemas.openxmlformats.org/officeDocument/2006/relationships" r:id="rId448"/>
        </xdr:cNvPr>
        <xdr:cNvSpPr>
          <a:spLocks noChangeAspect="1" noChangeArrowheads="1"/>
        </xdr:cNvSpPr>
      </xdr:nvSpPr>
      <xdr:spPr bwMode="auto">
        <a:xfrm>
          <a:off x="13411200" y="91379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57" name="AutoShape 889" descr="SWEDEN11"/>
        <xdr:cNvSpPr>
          <a:spLocks noChangeAspect="1" noChangeArrowheads="1"/>
        </xdr:cNvSpPr>
      </xdr:nvSpPr>
      <xdr:spPr bwMode="auto">
        <a:xfrm>
          <a:off x="0" y="91554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158" name="AutoShape 890" descr="https://www.soccerstats.com/img/own/sshplogo.png">
          <a:hlinkClick xmlns:r="http://schemas.openxmlformats.org/officeDocument/2006/relationships" r:id="rId449"/>
        </xdr:cNvPr>
        <xdr:cNvSpPr>
          <a:spLocks noChangeAspect="1" noChangeArrowheads="1"/>
        </xdr:cNvSpPr>
      </xdr:nvSpPr>
      <xdr:spPr bwMode="auto">
        <a:xfrm>
          <a:off x="13411200" y="9155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59" name="AutoShape 891" descr="SWEDEN11"/>
        <xdr:cNvSpPr>
          <a:spLocks noChangeAspect="1" noChangeArrowheads="1"/>
        </xdr:cNvSpPr>
      </xdr:nvSpPr>
      <xdr:spPr bwMode="auto">
        <a:xfrm>
          <a:off x="0" y="91729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160" name="AutoShape 892" descr="https://www.soccerstats.com/img/own/sshplogo.png">
          <a:hlinkClick xmlns:r="http://schemas.openxmlformats.org/officeDocument/2006/relationships" r:id="rId450"/>
        </xdr:cNvPr>
        <xdr:cNvSpPr>
          <a:spLocks noChangeAspect="1" noChangeArrowheads="1"/>
        </xdr:cNvSpPr>
      </xdr:nvSpPr>
      <xdr:spPr bwMode="auto">
        <a:xfrm>
          <a:off x="13411200" y="91729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61" name="AutoShape 893" descr="SWEDEN11"/>
        <xdr:cNvSpPr>
          <a:spLocks noChangeAspect="1" noChangeArrowheads="1"/>
        </xdr:cNvSpPr>
      </xdr:nvSpPr>
      <xdr:spPr bwMode="auto">
        <a:xfrm>
          <a:off x="0" y="91904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162" name="AutoShape 894" descr="https://www.soccerstats.com/img/own/sshplogo.png">
          <a:hlinkClick xmlns:r="http://schemas.openxmlformats.org/officeDocument/2006/relationships" r:id="rId451"/>
        </xdr:cNvPr>
        <xdr:cNvSpPr>
          <a:spLocks noChangeAspect="1" noChangeArrowheads="1"/>
        </xdr:cNvSpPr>
      </xdr:nvSpPr>
      <xdr:spPr bwMode="auto">
        <a:xfrm>
          <a:off x="13411200" y="91904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63" name="AutoShape 895" descr="SWEDEN11"/>
        <xdr:cNvSpPr>
          <a:spLocks noChangeAspect="1" noChangeArrowheads="1"/>
        </xdr:cNvSpPr>
      </xdr:nvSpPr>
      <xdr:spPr bwMode="auto">
        <a:xfrm>
          <a:off x="0" y="92156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164" name="AutoShape 896" descr="https://www.soccerstats.com/img/own/sshplogo.png">
          <a:hlinkClick xmlns:r="http://schemas.openxmlformats.org/officeDocument/2006/relationships" r:id="rId452"/>
        </xdr:cNvPr>
        <xdr:cNvSpPr>
          <a:spLocks noChangeAspect="1" noChangeArrowheads="1"/>
        </xdr:cNvSpPr>
      </xdr:nvSpPr>
      <xdr:spPr bwMode="auto">
        <a:xfrm>
          <a:off x="13411200" y="92156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65" name="AutoShape 897" descr="SWEDEN11"/>
        <xdr:cNvSpPr>
          <a:spLocks noChangeAspect="1" noChangeArrowheads="1"/>
        </xdr:cNvSpPr>
      </xdr:nvSpPr>
      <xdr:spPr bwMode="auto">
        <a:xfrm>
          <a:off x="0" y="92407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166" name="AutoShape 898" descr="https://www.soccerstats.com/img/own/sshplogo.png">
          <a:hlinkClick xmlns:r="http://schemas.openxmlformats.org/officeDocument/2006/relationships" r:id="rId453"/>
        </xdr:cNvPr>
        <xdr:cNvSpPr>
          <a:spLocks noChangeAspect="1" noChangeArrowheads="1"/>
        </xdr:cNvSpPr>
      </xdr:nvSpPr>
      <xdr:spPr bwMode="auto">
        <a:xfrm>
          <a:off x="13411200" y="92407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67" name="AutoShape 899" descr="TURKEY"/>
        <xdr:cNvSpPr>
          <a:spLocks noChangeAspect="1" noChangeArrowheads="1"/>
        </xdr:cNvSpPr>
      </xdr:nvSpPr>
      <xdr:spPr bwMode="auto">
        <a:xfrm>
          <a:off x="0" y="92659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168" name="AutoShape 900" descr="https://www.soccerstats.com/img/own/sshplogo.png">
          <a:hlinkClick xmlns:r="http://schemas.openxmlformats.org/officeDocument/2006/relationships" r:id="rId454"/>
        </xdr:cNvPr>
        <xdr:cNvSpPr>
          <a:spLocks noChangeAspect="1" noChangeArrowheads="1"/>
        </xdr:cNvSpPr>
      </xdr:nvSpPr>
      <xdr:spPr bwMode="auto">
        <a:xfrm>
          <a:off x="13411200" y="9265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69" name="AutoShape 901" descr="TURKEY"/>
        <xdr:cNvSpPr>
          <a:spLocks noChangeAspect="1" noChangeArrowheads="1"/>
        </xdr:cNvSpPr>
      </xdr:nvSpPr>
      <xdr:spPr bwMode="auto">
        <a:xfrm>
          <a:off x="0" y="92834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170" name="AutoShape 902" descr="https://www.soccerstats.com/img/own/sshplogo.png">
          <a:hlinkClick xmlns:r="http://schemas.openxmlformats.org/officeDocument/2006/relationships" r:id="rId455"/>
        </xdr:cNvPr>
        <xdr:cNvSpPr>
          <a:spLocks noChangeAspect="1" noChangeArrowheads="1"/>
        </xdr:cNvSpPr>
      </xdr:nvSpPr>
      <xdr:spPr bwMode="auto">
        <a:xfrm>
          <a:off x="13411200" y="92834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71" name="AutoShape 903" descr="TURKEY"/>
        <xdr:cNvSpPr>
          <a:spLocks noChangeAspect="1" noChangeArrowheads="1"/>
        </xdr:cNvSpPr>
      </xdr:nvSpPr>
      <xdr:spPr bwMode="auto">
        <a:xfrm>
          <a:off x="0" y="93009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172" name="AutoShape 904" descr="https://www.soccerstats.com/img/own/sshplogo.png">
          <a:hlinkClick xmlns:r="http://schemas.openxmlformats.org/officeDocument/2006/relationships" r:id="rId456"/>
        </xdr:cNvPr>
        <xdr:cNvSpPr>
          <a:spLocks noChangeAspect="1" noChangeArrowheads="1"/>
        </xdr:cNvSpPr>
      </xdr:nvSpPr>
      <xdr:spPr bwMode="auto">
        <a:xfrm>
          <a:off x="13411200" y="93009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73" name="AutoShape 905" descr="TURKEY"/>
        <xdr:cNvSpPr>
          <a:spLocks noChangeAspect="1" noChangeArrowheads="1"/>
        </xdr:cNvSpPr>
      </xdr:nvSpPr>
      <xdr:spPr bwMode="auto">
        <a:xfrm>
          <a:off x="0" y="93184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174" name="AutoShape 906" descr="https://www.soccerstats.com/img/own/sshplogo.png">
          <a:hlinkClick xmlns:r="http://schemas.openxmlformats.org/officeDocument/2006/relationships" r:id="rId457"/>
        </xdr:cNvPr>
        <xdr:cNvSpPr>
          <a:spLocks noChangeAspect="1" noChangeArrowheads="1"/>
        </xdr:cNvSpPr>
      </xdr:nvSpPr>
      <xdr:spPr bwMode="auto">
        <a:xfrm>
          <a:off x="13411200" y="93184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75" name="AutoShape 907" descr="TURKEY2"/>
        <xdr:cNvSpPr>
          <a:spLocks noChangeAspect="1" noChangeArrowheads="1"/>
        </xdr:cNvSpPr>
      </xdr:nvSpPr>
      <xdr:spPr bwMode="auto">
        <a:xfrm>
          <a:off x="0" y="93360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176" name="AutoShape 908" descr="https://www.soccerstats.com/img/own/sshplogo.png">
          <a:hlinkClick xmlns:r="http://schemas.openxmlformats.org/officeDocument/2006/relationships" r:id="rId458"/>
        </xdr:cNvPr>
        <xdr:cNvSpPr>
          <a:spLocks noChangeAspect="1" noChangeArrowheads="1"/>
        </xdr:cNvSpPr>
      </xdr:nvSpPr>
      <xdr:spPr bwMode="auto">
        <a:xfrm>
          <a:off x="13411200" y="93360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77" name="AutoShape 909" descr="TURKEY2"/>
        <xdr:cNvSpPr>
          <a:spLocks noChangeAspect="1" noChangeArrowheads="1"/>
        </xdr:cNvSpPr>
      </xdr:nvSpPr>
      <xdr:spPr bwMode="auto">
        <a:xfrm>
          <a:off x="0" y="93611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178" name="AutoShape 910" descr="https://www.soccerstats.com/img/own/sshplogo.png">
          <a:hlinkClick xmlns:r="http://schemas.openxmlformats.org/officeDocument/2006/relationships" r:id="rId459"/>
        </xdr:cNvPr>
        <xdr:cNvSpPr>
          <a:spLocks noChangeAspect="1" noChangeArrowheads="1"/>
        </xdr:cNvSpPr>
      </xdr:nvSpPr>
      <xdr:spPr bwMode="auto">
        <a:xfrm>
          <a:off x="13411200" y="9361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79" name="AutoShape 911" descr="TURKEY2"/>
        <xdr:cNvSpPr>
          <a:spLocks noChangeAspect="1" noChangeArrowheads="1"/>
        </xdr:cNvSpPr>
      </xdr:nvSpPr>
      <xdr:spPr bwMode="auto">
        <a:xfrm>
          <a:off x="0" y="93786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180" name="AutoShape 912" descr="https://www.soccerstats.com/img/own/sshplogo.png">
          <a:hlinkClick xmlns:r="http://schemas.openxmlformats.org/officeDocument/2006/relationships" r:id="rId460"/>
        </xdr:cNvPr>
        <xdr:cNvSpPr>
          <a:spLocks noChangeAspect="1" noChangeArrowheads="1"/>
        </xdr:cNvSpPr>
      </xdr:nvSpPr>
      <xdr:spPr bwMode="auto">
        <a:xfrm>
          <a:off x="13411200" y="93786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81" name="AutoShape 913" descr="TURKEY2"/>
        <xdr:cNvSpPr>
          <a:spLocks noChangeAspect="1" noChangeArrowheads="1"/>
        </xdr:cNvSpPr>
      </xdr:nvSpPr>
      <xdr:spPr bwMode="auto">
        <a:xfrm>
          <a:off x="0" y="93962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182" name="AutoShape 914" descr="https://www.soccerstats.com/img/own/sshplogo.png">
          <a:hlinkClick xmlns:r="http://schemas.openxmlformats.org/officeDocument/2006/relationships" r:id="rId461"/>
        </xdr:cNvPr>
        <xdr:cNvSpPr>
          <a:spLocks noChangeAspect="1" noChangeArrowheads="1"/>
        </xdr:cNvSpPr>
      </xdr:nvSpPr>
      <xdr:spPr bwMode="auto">
        <a:xfrm>
          <a:off x="13411200" y="93962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83" name="AutoShape 915" descr="UKRAINE"/>
        <xdr:cNvSpPr>
          <a:spLocks noChangeAspect="1" noChangeArrowheads="1"/>
        </xdr:cNvSpPr>
      </xdr:nvSpPr>
      <xdr:spPr bwMode="auto">
        <a:xfrm>
          <a:off x="0" y="94137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184" name="AutoShape 916" descr="https://www.soccerstats.com/img/own/sshplogo.png">
          <a:hlinkClick xmlns:r="http://schemas.openxmlformats.org/officeDocument/2006/relationships" r:id="rId462"/>
        </xdr:cNvPr>
        <xdr:cNvSpPr>
          <a:spLocks noChangeAspect="1" noChangeArrowheads="1"/>
        </xdr:cNvSpPr>
      </xdr:nvSpPr>
      <xdr:spPr bwMode="auto">
        <a:xfrm>
          <a:off x="13411200" y="94137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85" name="AutoShape 917" descr="UKRAINE"/>
        <xdr:cNvSpPr>
          <a:spLocks noChangeAspect="1" noChangeArrowheads="1"/>
        </xdr:cNvSpPr>
      </xdr:nvSpPr>
      <xdr:spPr bwMode="auto">
        <a:xfrm>
          <a:off x="0" y="94312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186" name="AutoShape 918" descr="https://www.soccerstats.com/img/own/sshplogo.png">
          <a:hlinkClick xmlns:r="http://schemas.openxmlformats.org/officeDocument/2006/relationships" r:id="rId463"/>
        </xdr:cNvPr>
        <xdr:cNvSpPr>
          <a:spLocks noChangeAspect="1" noChangeArrowheads="1"/>
        </xdr:cNvSpPr>
      </xdr:nvSpPr>
      <xdr:spPr bwMode="auto">
        <a:xfrm>
          <a:off x="13411200" y="94312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87" name="AutoShape 919" descr="UKRAINE"/>
        <xdr:cNvSpPr>
          <a:spLocks noChangeAspect="1" noChangeArrowheads="1"/>
        </xdr:cNvSpPr>
      </xdr:nvSpPr>
      <xdr:spPr bwMode="auto">
        <a:xfrm>
          <a:off x="0" y="94488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188" name="AutoShape 920" descr="https://www.soccerstats.com/img/own/sshplogo.png">
          <a:hlinkClick xmlns:r="http://schemas.openxmlformats.org/officeDocument/2006/relationships" r:id="rId464"/>
        </xdr:cNvPr>
        <xdr:cNvSpPr>
          <a:spLocks noChangeAspect="1" noChangeArrowheads="1"/>
        </xdr:cNvSpPr>
      </xdr:nvSpPr>
      <xdr:spPr bwMode="auto">
        <a:xfrm>
          <a:off x="13411200" y="9448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89" name="AutoShape 921" descr="URUGUAY3"/>
        <xdr:cNvSpPr>
          <a:spLocks noChangeAspect="1" noChangeArrowheads="1"/>
        </xdr:cNvSpPr>
      </xdr:nvSpPr>
      <xdr:spPr bwMode="auto">
        <a:xfrm>
          <a:off x="0" y="94663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190" name="AutoShape 922" descr="https://www.soccerstats.com/img/own/sshplogo.png">
          <a:hlinkClick xmlns:r="http://schemas.openxmlformats.org/officeDocument/2006/relationships" r:id="rId465"/>
        </xdr:cNvPr>
        <xdr:cNvSpPr>
          <a:spLocks noChangeAspect="1" noChangeArrowheads="1"/>
        </xdr:cNvSpPr>
      </xdr:nvSpPr>
      <xdr:spPr bwMode="auto">
        <a:xfrm>
          <a:off x="13411200" y="94663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91" name="AutoShape 923" descr="URUGUAY3"/>
        <xdr:cNvSpPr>
          <a:spLocks noChangeAspect="1" noChangeArrowheads="1"/>
        </xdr:cNvSpPr>
      </xdr:nvSpPr>
      <xdr:spPr bwMode="auto">
        <a:xfrm>
          <a:off x="0" y="94914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192" name="AutoShape 924" descr="https://www.soccerstats.com/img/own/sshplogo.png">
          <a:hlinkClick xmlns:r="http://schemas.openxmlformats.org/officeDocument/2006/relationships" r:id="rId466"/>
        </xdr:cNvPr>
        <xdr:cNvSpPr>
          <a:spLocks noChangeAspect="1" noChangeArrowheads="1"/>
        </xdr:cNvSpPr>
      </xdr:nvSpPr>
      <xdr:spPr bwMode="auto">
        <a:xfrm>
          <a:off x="13411200" y="94914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93" name="AutoShape 925" descr="URUGUAY3"/>
        <xdr:cNvSpPr>
          <a:spLocks noChangeAspect="1" noChangeArrowheads="1"/>
        </xdr:cNvSpPr>
      </xdr:nvSpPr>
      <xdr:spPr bwMode="auto">
        <a:xfrm>
          <a:off x="0" y="95089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194" name="AutoShape 926" descr="https://www.soccerstats.com/img/own/sshplogo.png">
          <a:hlinkClick xmlns:r="http://schemas.openxmlformats.org/officeDocument/2006/relationships" r:id="rId467"/>
        </xdr:cNvPr>
        <xdr:cNvSpPr>
          <a:spLocks noChangeAspect="1" noChangeArrowheads="1"/>
        </xdr:cNvSpPr>
      </xdr:nvSpPr>
      <xdr:spPr bwMode="auto">
        <a:xfrm>
          <a:off x="13411200" y="95089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95" name="AutoShape 927" descr="USA"/>
        <xdr:cNvSpPr>
          <a:spLocks noChangeAspect="1" noChangeArrowheads="1"/>
        </xdr:cNvSpPr>
      </xdr:nvSpPr>
      <xdr:spPr bwMode="auto">
        <a:xfrm>
          <a:off x="0" y="95265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196" name="AutoShape 928" descr="https://www.soccerstats.com/img/own/sshplogo.png">
          <a:hlinkClick xmlns:r="http://schemas.openxmlformats.org/officeDocument/2006/relationships" r:id="rId468"/>
        </xdr:cNvPr>
        <xdr:cNvSpPr>
          <a:spLocks noChangeAspect="1" noChangeArrowheads="1"/>
        </xdr:cNvSpPr>
      </xdr:nvSpPr>
      <xdr:spPr bwMode="auto">
        <a:xfrm>
          <a:off x="13411200" y="95265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97" name="AutoShape 929" descr="USA"/>
        <xdr:cNvSpPr>
          <a:spLocks noChangeAspect="1" noChangeArrowheads="1"/>
        </xdr:cNvSpPr>
      </xdr:nvSpPr>
      <xdr:spPr bwMode="auto">
        <a:xfrm>
          <a:off x="0" y="95440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198" name="AutoShape 930" descr="https://www.soccerstats.com/img/own/sshplogo.png">
          <a:hlinkClick xmlns:r="http://schemas.openxmlformats.org/officeDocument/2006/relationships" r:id="rId469"/>
        </xdr:cNvPr>
        <xdr:cNvSpPr>
          <a:spLocks noChangeAspect="1" noChangeArrowheads="1"/>
        </xdr:cNvSpPr>
      </xdr:nvSpPr>
      <xdr:spPr bwMode="auto">
        <a:xfrm>
          <a:off x="13411200" y="9544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99" name="AutoShape 931" descr="USA"/>
        <xdr:cNvSpPr>
          <a:spLocks noChangeAspect="1" noChangeArrowheads="1"/>
        </xdr:cNvSpPr>
      </xdr:nvSpPr>
      <xdr:spPr bwMode="auto">
        <a:xfrm>
          <a:off x="0" y="95615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200" name="AutoShape 932" descr="https://www.soccerstats.com/img/own/sshplogo.png">
          <a:hlinkClick xmlns:r="http://schemas.openxmlformats.org/officeDocument/2006/relationships" r:id="rId470"/>
        </xdr:cNvPr>
        <xdr:cNvSpPr>
          <a:spLocks noChangeAspect="1" noChangeArrowheads="1"/>
        </xdr:cNvSpPr>
      </xdr:nvSpPr>
      <xdr:spPr bwMode="auto">
        <a:xfrm>
          <a:off x="13411200" y="95615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201" name="AutoShape 933" descr="USA"/>
        <xdr:cNvSpPr>
          <a:spLocks noChangeAspect="1" noChangeArrowheads="1"/>
        </xdr:cNvSpPr>
      </xdr:nvSpPr>
      <xdr:spPr bwMode="auto">
        <a:xfrm>
          <a:off x="0" y="95867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202" name="AutoShape 934" descr="https://www.soccerstats.com/img/own/sshplogo.png">
          <a:hlinkClick xmlns:r="http://schemas.openxmlformats.org/officeDocument/2006/relationships" r:id="rId471"/>
        </xdr:cNvPr>
        <xdr:cNvSpPr>
          <a:spLocks noChangeAspect="1" noChangeArrowheads="1"/>
        </xdr:cNvSpPr>
      </xdr:nvSpPr>
      <xdr:spPr bwMode="auto">
        <a:xfrm>
          <a:off x="13411200" y="95867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203" name="AutoShape 935" descr="USA"/>
        <xdr:cNvSpPr>
          <a:spLocks noChangeAspect="1" noChangeArrowheads="1"/>
        </xdr:cNvSpPr>
      </xdr:nvSpPr>
      <xdr:spPr bwMode="auto">
        <a:xfrm>
          <a:off x="0" y="96042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204" name="AutoShape 936" descr="https://www.soccerstats.com/img/own/sshplogo.png">
          <a:hlinkClick xmlns:r="http://schemas.openxmlformats.org/officeDocument/2006/relationships" r:id="rId472"/>
        </xdr:cNvPr>
        <xdr:cNvSpPr>
          <a:spLocks noChangeAspect="1" noChangeArrowheads="1"/>
        </xdr:cNvSpPr>
      </xdr:nvSpPr>
      <xdr:spPr bwMode="auto">
        <a:xfrm>
          <a:off x="13411200" y="96042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205" name="AutoShape 937" descr="USA2"/>
        <xdr:cNvSpPr>
          <a:spLocks noChangeAspect="1" noChangeArrowheads="1"/>
        </xdr:cNvSpPr>
      </xdr:nvSpPr>
      <xdr:spPr bwMode="auto">
        <a:xfrm>
          <a:off x="0" y="96217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206" name="AutoShape 938" descr="https://www.soccerstats.com/img/own/sshplogo.png">
          <a:hlinkClick xmlns:r="http://schemas.openxmlformats.org/officeDocument/2006/relationships" r:id="rId473"/>
        </xdr:cNvPr>
        <xdr:cNvSpPr>
          <a:spLocks noChangeAspect="1" noChangeArrowheads="1"/>
        </xdr:cNvSpPr>
      </xdr:nvSpPr>
      <xdr:spPr bwMode="auto">
        <a:xfrm>
          <a:off x="13411200" y="96217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207" name="AutoShape 939" descr="USA2"/>
        <xdr:cNvSpPr>
          <a:spLocks noChangeAspect="1" noChangeArrowheads="1"/>
        </xdr:cNvSpPr>
      </xdr:nvSpPr>
      <xdr:spPr bwMode="auto">
        <a:xfrm>
          <a:off x="0" y="96393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208" name="AutoShape 940" descr="https://www.soccerstats.com/img/own/sshplogo.png">
          <a:hlinkClick xmlns:r="http://schemas.openxmlformats.org/officeDocument/2006/relationships" r:id="rId474"/>
        </xdr:cNvPr>
        <xdr:cNvSpPr>
          <a:spLocks noChangeAspect="1" noChangeArrowheads="1"/>
        </xdr:cNvSpPr>
      </xdr:nvSpPr>
      <xdr:spPr bwMode="auto">
        <a:xfrm>
          <a:off x="13411200" y="9639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209" name="AutoShape 941" descr="USA2"/>
        <xdr:cNvSpPr>
          <a:spLocks noChangeAspect="1" noChangeArrowheads="1"/>
        </xdr:cNvSpPr>
      </xdr:nvSpPr>
      <xdr:spPr bwMode="auto">
        <a:xfrm>
          <a:off x="0" y="96568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210" name="AutoShape 942" descr="https://www.soccerstats.com/img/own/sshplogo.png">
          <a:hlinkClick xmlns:r="http://schemas.openxmlformats.org/officeDocument/2006/relationships" r:id="rId475"/>
        </xdr:cNvPr>
        <xdr:cNvSpPr>
          <a:spLocks noChangeAspect="1" noChangeArrowheads="1"/>
        </xdr:cNvSpPr>
      </xdr:nvSpPr>
      <xdr:spPr bwMode="auto">
        <a:xfrm>
          <a:off x="13411200" y="96568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211" name="AutoShape 943" descr="USA2"/>
        <xdr:cNvSpPr>
          <a:spLocks noChangeAspect="1" noChangeArrowheads="1"/>
        </xdr:cNvSpPr>
      </xdr:nvSpPr>
      <xdr:spPr bwMode="auto">
        <a:xfrm>
          <a:off x="0" y="96743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212" name="AutoShape 944" descr="https://www.soccerstats.com/img/own/sshplogo.png">
          <a:hlinkClick xmlns:r="http://schemas.openxmlformats.org/officeDocument/2006/relationships" r:id="rId476"/>
        </xdr:cNvPr>
        <xdr:cNvSpPr>
          <a:spLocks noChangeAspect="1" noChangeArrowheads="1"/>
        </xdr:cNvSpPr>
      </xdr:nvSpPr>
      <xdr:spPr bwMode="auto">
        <a:xfrm>
          <a:off x="13411200" y="96743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213" name="AutoShape 945" descr="USA2"/>
        <xdr:cNvSpPr>
          <a:spLocks noChangeAspect="1" noChangeArrowheads="1"/>
        </xdr:cNvSpPr>
      </xdr:nvSpPr>
      <xdr:spPr bwMode="auto">
        <a:xfrm>
          <a:off x="0" y="96918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214" name="AutoShape 946" descr="https://www.soccerstats.com/img/own/sshplogo.png">
          <a:hlinkClick xmlns:r="http://schemas.openxmlformats.org/officeDocument/2006/relationships" r:id="rId477"/>
        </xdr:cNvPr>
        <xdr:cNvSpPr>
          <a:spLocks noChangeAspect="1" noChangeArrowheads="1"/>
        </xdr:cNvSpPr>
      </xdr:nvSpPr>
      <xdr:spPr bwMode="auto">
        <a:xfrm>
          <a:off x="13411200" y="96918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215" name="AutoShape 947" descr="USA3"/>
        <xdr:cNvSpPr>
          <a:spLocks noChangeAspect="1" noChangeArrowheads="1"/>
        </xdr:cNvSpPr>
      </xdr:nvSpPr>
      <xdr:spPr bwMode="auto">
        <a:xfrm>
          <a:off x="0" y="97094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216" name="AutoShape 948" descr="https://www.soccerstats.com/img/own/sshplogo.png">
          <a:hlinkClick xmlns:r="http://schemas.openxmlformats.org/officeDocument/2006/relationships" r:id="rId478"/>
        </xdr:cNvPr>
        <xdr:cNvSpPr>
          <a:spLocks noChangeAspect="1" noChangeArrowheads="1"/>
        </xdr:cNvSpPr>
      </xdr:nvSpPr>
      <xdr:spPr bwMode="auto">
        <a:xfrm>
          <a:off x="13411200" y="97094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217" name="AutoShape 949" descr="USA3"/>
        <xdr:cNvSpPr>
          <a:spLocks noChangeAspect="1" noChangeArrowheads="1"/>
        </xdr:cNvSpPr>
      </xdr:nvSpPr>
      <xdr:spPr bwMode="auto">
        <a:xfrm>
          <a:off x="0" y="97269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218" name="AutoShape 950" descr="https://www.soccerstats.com/img/own/sshplogo.png">
          <a:hlinkClick xmlns:r="http://schemas.openxmlformats.org/officeDocument/2006/relationships" r:id="rId479"/>
        </xdr:cNvPr>
        <xdr:cNvSpPr>
          <a:spLocks noChangeAspect="1" noChangeArrowheads="1"/>
        </xdr:cNvSpPr>
      </xdr:nvSpPr>
      <xdr:spPr bwMode="auto">
        <a:xfrm>
          <a:off x="13411200" y="9726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219" name="AutoShape 951" descr="USA3"/>
        <xdr:cNvSpPr>
          <a:spLocks noChangeAspect="1" noChangeArrowheads="1"/>
        </xdr:cNvSpPr>
      </xdr:nvSpPr>
      <xdr:spPr bwMode="auto">
        <a:xfrm>
          <a:off x="0" y="97444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220" name="AutoShape 952" descr="https://www.soccerstats.com/img/own/sshplogo.png">
          <a:hlinkClick xmlns:r="http://schemas.openxmlformats.org/officeDocument/2006/relationships" r:id="rId480"/>
        </xdr:cNvPr>
        <xdr:cNvSpPr>
          <a:spLocks noChangeAspect="1" noChangeArrowheads="1"/>
        </xdr:cNvSpPr>
      </xdr:nvSpPr>
      <xdr:spPr bwMode="auto">
        <a:xfrm>
          <a:off x="13411200" y="97444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221" name="AutoShape 953" descr="USA3"/>
        <xdr:cNvSpPr>
          <a:spLocks noChangeAspect="1" noChangeArrowheads="1"/>
        </xdr:cNvSpPr>
      </xdr:nvSpPr>
      <xdr:spPr bwMode="auto">
        <a:xfrm>
          <a:off x="0" y="97619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222" name="AutoShape 954" descr="https://www.soccerstats.com/img/own/sshplogo.png">
          <a:hlinkClick xmlns:r="http://schemas.openxmlformats.org/officeDocument/2006/relationships" r:id="rId481"/>
        </xdr:cNvPr>
        <xdr:cNvSpPr>
          <a:spLocks noChangeAspect="1" noChangeArrowheads="1"/>
        </xdr:cNvSpPr>
      </xdr:nvSpPr>
      <xdr:spPr bwMode="auto">
        <a:xfrm>
          <a:off x="13411200" y="97619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223" name="AutoShape 955" descr="USA3"/>
        <xdr:cNvSpPr>
          <a:spLocks noChangeAspect="1" noChangeArrowheads="1"/>
        </xdr:cNvSpPr>
      </xdr:nvSpPr>
      <xdr:spPr bwMode="auto">
        <a:xfrm>
          <a:off x="0" y="97871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224" name="AutoShape 956" descr="https://www.soccerstats.com/img/own/sshplogo.png">
          <a:hlinkClick xmlns:r="http://schemas.openxmlformats.org/officeDocument/2006/relationships" r:id="rId482"/>
        </xdr:cNvPr>
        <xdr:cNvSpPr>
          <a:spLocks noChangeAspect="1" noChangeArrowheads="1"/>
        </xdr:cNvSpPr>
      </xdr:nvSpPr>
      <xdr:spPr bwMode="auto">
        <a:xfrm>
          <a:off x="13411200" y="97871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225" name="AutoShape 957" descr="USA6"/>
        <xdr:cNvSpPr>
          <a:spLocks noChangeAspect="1" noChangeArrowheads="1"/>
        </xdr:cNvSpPr>
      </xdr:nvSpPr>
      <xdr:spPr bwMode="auto">
        <a:xfrm>
          <a:off x="0" y="98122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226" name="AutoShape 958" descr="https://www.soccerstats.com/img/own/sshplogo.png">
          <a:hlinkClick xmlns:r="http://schemas.openxmlformats.org/officeDocument/2006/relationships" r:id="rId483"/>
        </xdr:cNvPr>
        <xdr:cNvSpPr>
          <a:spLocks noChangeAspect="1" noChangeArrowheads="1"/>
        </xdr:cNvSpPr>
      </xdr:nvSpPr>
      <xdr:spPr bwMode="auto">
        <a:xfrm>
          <a:off x="13411200" y="98122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227" name="AutoShape 959" descr="USA6"/>
        <xdr:cNvSpPr>
          <a:spLocks noChangeAspect="1" noChangeArrowheads="1"/>
        </xdr:cNvSpPr>
      </xdr:nvSpPr>
      <xdr:spPr bwMode="auto">
        <a:xfrm>
          <a:off x="0" y="98374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228" name="AutoShape 960" descr="https://www.soccerstats.com/img/own/sshplogo.png">
          <a:hlinkClick xmlns:r="http://schemas.openxmlformats.org/officeDocument/2006/relationships" r:id="rId484"/>
        </xdr:cNvPr>
        <xdr:cNvSpPr>
          <a:spLocks noChangeAspect="1" noChangeArrowheads="1"/>
        </xdr:cNvSpPr>
      </xdr:nvSpPr>
      <xdr:spPr bwMode="auto">
        <a:xfrm>
          <a:off x="13411200" y="98374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229" name="AutoShape 961" descr="USA6"/>
        <xdr:cNvSpPr>
          <a:spLocks noChangeAspect="1" noChangeArrowheads="1"/>
        </xdr:cNvSpPr>
      </xdr:nvSpPr>
      <xdr:spPr bwMode="auto">
        <a:xfrm>
          <a:off x="0" y="98625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230" name="AutoShape 962" descr="https://www.soccerstats.com/img/own/sshplogo.png">
          <a:hlinkClick xmlns:r="http://schemas.openxmlformats.org/officeDocument/2006/relationships" r:id="rId485"/>
        </xdr:cNvPr>
        <xdr:cNvSpPr>
          <a:spLocks noChangeAspect="1" noChangeArrowheads="1"/>
        </xdr:cNvSpPr>
      </xdr:nvSpPr>
      <xdr:spPr bwMode="auto">
        <a:xfrm>
          <a:off x="13411200" y="98625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231" name="AutoShape 963" descr="USA6"/>
        <xdr:cNvSpPr>
          <a:spLocks noChangeAspect="1" noChangeArrowheads="1"/>
        </xdr:cNvSpPr>
      </xdr:nvSpPr>
      <xdr:spPr bwMode="auto">
        <a:xfrm>
          <a:off x="0" y="98877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232" name="AutoShape 964" descr="https://www.soccerstats.com/img/own/sshplogo.png">
          <a:hlinkClick xmlns:r="http://schemas.openxmlformats.org/officeDocument/2006/relationships" r:id="rId486"/>
        </xdr:cNvPr>
        <xdr:cNvSpPr>
          <a:spLocks noChangeAspect="1" noChangeArrowheads="1"/>
        </xdr:cNvSpPr>
      </xdr:nvSpPr>
      <xdr:spPr bwMode="auto">
        <a:xfrm>
          <a:off x="13411200" y="98877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233" name="AutoShape 965" descr="USA6"/>
        <xdr:cNvSpPr>
          <a:spLocks noChangeAspect="1" noChangeArrowheads="1"/>
        </xdr:cNvSpPr>
      </xdr:nvSpPr>
      <xdr:spPr bwMode="auto">
        <a:xfrm>
          <a:off x="0" y="99128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234" name="AutoShape 966" descr="https://www.soccerstats.com/img/own/sshplogo.png">
          <a:hlinkClick xmlns:r="http://schemas.openxmlformats.org/officeDocument/2006/relationships" r:id="rId487"/>
        </xdr:cNvPr>
        <xdr:cNvSpPr>
          <a:spLocks noChangeAspect="1" noChangeArrowheads="1"/>
        </xdr:cNvSpPr>
      </xdr:nvSpPr>
      <xdr:spPr bwMode="auto">
        <a:xfrm>
          <a:off x="13411200" y="99128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235" name="AutoShape 967" descr="USA7"/>
        <xdr:cNvSpPr>
          <a:spLocks noChangeAspect="1" noChangeArrowheads="1"/>
        </xdr:cNvSpPr>
      </xdr:nvSpPr>
      <xdr:spPr bwMode="auto">
        <a:xfrm>
          <a:off x="0" y="99380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236" name="AutoShape 968" descr="https://www.soccerstats.com/img/own/sshplogo.png">
          <a:hlinkClick xmlns:r="http://schemas.openxmlformats.org/officeDocument/2006/relationships" r:id="rId488"/>
        </xdr:cNvPr>
        <xdr:cNvSpPr>
          <a:spLocks noChangeAspect="1" noChangeArrowheads="1"/>
        </xdr:cNvSpPr>
      </xdr:nvSpPr>
      <xdr:spPr bwMode="auto">
        <a:xfrm>
          <a:off x="13411200" y="99380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237" name="AutoShape 969" descr="USA7"/>
        <xdr:cNvSpPr>
          <a:spLocks noChangeAspect="1" noChangeArrowheads="1"/>
        </xdr:cNvSpPr>
      </xdr:nvSpPr>
      <xdr:spPr bwMode="auto">
        <a:xfrm>
          <a:off x="0" y="99555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238" name="AutoShape 970" descr="https://www.soccerstats.com/img/own/sshplogo.png">
          <a:hlinkClick xmlns:r="http://schemas.openxmlformats.org/officeDocument/2006/relationships" r:id="rId489"/>
        </xdr:cNvPr>
        <xdr:cNvSpPr>
          <a:spLocks noChangeAspect="1" noChangeArrowheads="1"/>
        </xdr:cNvSpPr>
      </xdr:nvSpPr>
      <xdr:spPr bwMode="auto">
        <a:xfrm>
          <a:off x="13411200" y="9955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239" name="AutoShape 971" descr="USA7"/>
        <xdr:cNvSpPr>
          <a:spLocks noChangeAspect="1" noChangeArrowheads="1"/>
        </xdr:cNvSpPr>
      </xdr:nvSpPr>
      <xdr:spPr bwMode="auto">
        <a:xfrm>
          <a:off x="0" y="99730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240" name="AutoShape 972" descr="https://www.soccerstats.com/img/own/sshplogo.png">
          <a:hlinkClick xmlns:r="http://schemas.openxmlformats.org/officeDocument/2006/relationships" r:id="rId490"/>
        </xdr:cNvPr>
        <xdr:cNvSpPr>
          <a:spLocks noChangeAspect="1" noChangeArrowheads="1"/>
        </xdr:cNvSpPr>
      </xdr:nvSpPr>
      <xdr:spPr bwMode="auto">
        <a:xfrm>
          <a:off x="13411200" y="99730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241" name="AutoShape 973" descr="WALES"/>
        <xdr:cNvSpPr>
          <a:spLocks noChangeAspect="1" noChangeArrowheads="1"/>
        </xdr:cNvSpPr>
      </xdr:nvSpPr>
      <xdr:spPr bwMode="auto">
        <a:xfrm>
          <a:off x="0" y="99982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242" name="AutoShape 974" descr="https://www.soccerstats.com/img/own/sshplogo.png">
          <a:hlinkClick xmlns:r="http://schemas.openxmlformats.org/officeDocument/2006/relationships" r:id="rId491"/>
        </xdr:cNvPr>
        <xdr:cNvSpPr>
          <a:spLocks noChangeAspect="1" noChangeArrowheads="1"/>
        </xdr:cNvSpPr>
      </xdr:nvSpPr>
      <xdr:spPr bwMode="auto">
        <a:xfrm>
          <a:off x="13411200" y="99982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243" name="AutoShape 975" descr="WALES"/>
        <xdr:cNvSpPr>
          <a:spLocks noChangeAspect="1" noChangeArrowheads="1"/>
        </xdr:cNvSpPr>
      </xdr:nvSpPr>
      <xdr:spPr bwMode="auto">
        <a:xfrm>
          <a:off x="0" y="100157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3244" name="AutoShape 976" descr="https://www.soccerstats.com/img/own/sshplogo.png">
          <a:hlinkClick xmlns:r="http://schemas.openxmlformats.org/officeDocument/2006/relationships" r:id="rId492"/>
        </xdr:cNvPr>
        <xdr:cNvSpPr>
          <a:spLocks noChangeAspect="1" noChangeArrowheads="1"/>
        </xdr:cNvSpPr>
      </xdr:nvSpPr>
      <xdr:spPr bwMode="auto">
        <a:xfrm>
          <a:off x="13411200" y="100157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245" name="AutoShape 977" descr="SPAIN"/>
        <xdr:cNvSpPr>
          <a:spLocks noChangeAspect="1" noChangeArrowheads="1"/>
        </xdr:cNvSpPr>
      </xdr:nvSpPr>
      <xdr:spPr bwMode="auto">
        <a:xfrm>
          <a:off x="0" y="175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246" name="AutoShape 978" descr="https://www.soccerstats.com/img/own/sshplogo.png">
          <a:hlinkClick xmlns:r="http://schemas.openxmlformats.org/officeDocument/2006/relationships" r:id="rId659"/>
        </xdr:cNvPr>
        <xdr:cNvSpPr>
          <a:spLocks noChangeAspect="1" noChangeArrowheads="1"/>
        </xdr:cNvSpPr>
      </xdr:nvSpPr>
      <xdr:spPr bwMode="auto">
        <a:xfrm>
          <a:off x="13411200" y="175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152400</xdr:colOff>
      <xdr:row>2</xdr:row>
      <xdr:rowOff>106680</xdr:rowOff>
    </xdr:to>
    <xdr:sp macro="" textlink="">
      <xdr:nvSpPr>
        <xdr:cNvPr id="3247" name="AutoShape 979" descr="SPAIN"/>
        <xdr:cNvSpPr>
          <a:spLocks noChangeAspect="1" noChangeArrowheads="1"/>
        </xdr:cNvSpPr>
      </xdr:nvSpPr>
      <xdr:spPr bwMode="auto">
        <a:xfrm>
          <a:off x="0" y="350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</xdr:row>
      <xdr:rowOff>0</xdr:rowOff>
    </xdr:from>
    <xdr:to>
      <xdr:col>22</xdr:col>
      <xdr:colOff>304800</xdr:colOff>
      <xdr:row>3</xdr:row>
      <xdr:rowOff>129540</xdr:rowOff>
    </xdr:to>
    <xdr:sp macro="" textlink="">
      <xdr:nvSpPr>
        <xdr:cNvPr id="3248" name="AutoShape 980" descr="https://www.soccerstats.com/img/own/sshplogo.png">
          <a:hlinkClick xmlns:r="http://schemas.openxmlformats.org/officeDocument/2006/relationships" r:id="rId660"/>
        </xdr:cNvPr>
        <xdr:cNvSpPr>
          <a:spLocks noChangeAspect="1" noChangeArrowheads="1"/>
        </xdr:cNvSpPr>
      </xdr:nvSpPr>
      <xdr:spPr bwMode="auto">
        <a:xfrm>
          <a:off x="13411200" y="350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152400</xdr:colOff>
      <xdr:row>3</xdr:row>
      <xdr:rowOff>106680</xdr:rowOff>
    </xdr:to>
    <xdr:sp macro="" textlink="">
      <xdr:nvSpPr>
        <xdr:cNvPr id="3249" name="AutoShape 981" descr="SPAIN"/>
        <xdr:cNvSpPr>
          <a:spLocks noChangeAspect="1" noChangeArrowheads="1"/>
        </xdr:cNvSpPr>
      </xdr:nvSpPr>
      <xdr:spPr bwMode="auto">
        <a:xfrm>
          <a:off x="0" y="525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</xdr:row>
      <xdr:rowOff>0</xdr:rowOff>
    </xdr:from>
    <xdr:to>
      <xdr:col>22</xdr:col>
      <xdr:colOff>304800</xdr:colOff>
      <xdr:row>4</xdr:row>
      <xdr:rowOff>53340</xdr:rowOff>
    </xdr:to>
    <xdr:sp macro="" textlink="">
      <xdr:nvSpPr>
        <xdr:cNvPr id="3250" name="AutoShape 982" descr="https://www.soccerstats.com/img/own/sshplogo.png">
          <a:hlinkClick xmlns:r="http://schemas.openxmlformats.org/officeDocument/2006/relationships" r:id="rId661"/>
        </xdr:cNvPr>
        <xdr:cNvSpPr>
          <a:spLocks noChangeAspect="1" noChangeArrowheads="1"/>
        </xdr:cNvSpPr>
      </xdr:nvSpPr>
      <xdr:spPr bwMode="auto">
        <a:xfrm>
          <a:off x="13411200" y="525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152400</xdr:colOff>
      <xdr:row>4</xdr:row>
      <xdr:rowOff>106680</xdr:rowOff>
    </xdr:to>
    <xdr:sp macro="" textlink="">
      <xdr:nvSpPr>
        <xdr:cNvPr id="3251" name="AutoShape 983" descr="NETHERLANDS"/>
        <xdr:cNvSpPr>
          <a:spLocks noChangeAspect="1" noChangeArrowheads="1"/>
        </xdr:cNvSpPr>
      </xdr:nvSpPr>
      <xdr:spPr bwMode="auto">
        <a:xfrm>
          <a:off x="0" y="701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</xdr:row>
      <xdr:rowOff>0</xdr:rowOff>
    </xdr:from>
    <xdr:to>
      <xdr:col>22</xdr:col>
      <xdr:colOff>304800</xdr:colOff>
      <xdr:row>5</xdr:row>
      <xdr:rowOff>53340</xdr:rowOff>
    </xdr:to>
    <xdr:sp macro="" textlink="">
      <xdr:nvSpPr>
        <xdr:cNvPr id="3252" name="AutoShape 984" descr="https://www.soccerstats.com/img/own/sshplogo.png">
          <a:hlinkClick xmlns:r="http://schemas.openxmlformats.org/officeDocument/2006/relationships" r:id="rId662"/>
        </xdr:cNvPr>
        <xdr:cNvSpPr>
          <a:spLocks noChangeAspect="1" noChangeArrowheads="1"/>
        </xdr:cNvSpPr>
      </xdr:nvSpPr>
      <xdr:spPr bwMode="auto">
        <a:xfrm>
          <a:off x="13411200" y="701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152400</xdr:colOff>
      <xdr:row>5</xdr:row>
      <xdr:rowOff>106680</xdr:rowOff>
    </xdr:to>
    <xdr:sp macro="" textlink="">
      <xdr:nvSpPr>
        <xdr:cNvPr id="3253" name="AutoShape 985" descr="NETHERLANDS"/>
        <xdr:cNvSpPr>
          <a:spLocks noChangeAspect="1" noChangeArrowheads="1"/>
        </xdr:cNvSpPr>
      </xdr:nvSpPr>
      <xdr:spPr bwMode="auto">
        <a:xfrm>
          <a:off x="0" y="952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</xdr:row>
      <xdr:rowOff>0</xdr:rowOff>
    </xdr:from>
    <xdr:to>
      <xdr:col>22</xdr:col>
      <xdr:colOff>304800</xdr:colOff>
      <xdr:row>6</xdr:row>
      <xdr:rowOff>53340</xdr:rowOff>
    </xdr:to>
    <xdr:sp macro="" textlink="">
      <xdr:nvSpPr>
        <xdr:cNvPr id="3254" name="AutoShape 986" descr="https://www.soccerstats.com/img/own/sshplogo.png">
          <a:hlinkClick xmlns:r="http://schemas.openxmlformats.org/officeDocument/2006/relationships" r:id="rId663"/>
        </xdr:cNvPr>
        <xdr:cNvSpPr>
          <a:spLocks noChangeAspect="1" noChangeArrowheads="1"/>
        </xdr:cNvSpPr>
      </xdr:nvSpPr>
      <xdr:spPr bwMode="auto">
        <a:xfrm>
          <a:off x="13411200" y="952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152400</xdr:colOff>
      <xdr:row>6</xdr:row>
      <xdr:rowOff>106680</xdr:rowOff>
    </xdr:to>
    <xdr:sp macro="" textlink="">
      <xdr:nvSpPr>
        <xdr:cNvPr id="3255" name="AutoShape 987" descr="NETHERLANDS"/>
        <xdr:cNvSpPr>
          <a:spLocks noChangeAspect="1" noChangeArrowheads="1"/>
        </xdr:cNvSpPr>
      </xdr:nvSpPr>
      <xdr:spPr bwMode="auto">
        <a:xfrm>
          <a:off x="0" y="1127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</xdr:row>
      <xdr:rowOff>0</xdr:rowOff>
    </xdr:from>
    <xdr:to>
      <xdr:col>22</xdr:col>
      <xdr:colOff>304800</xdr:colOff>
      <xdr:row>7</xdr:row>
      <xdr:rowOff>129540</xdr:rowOff>
    </xdr:to>
    <xdr:sp macro="" textlink="">
      <xdr:nvSpPr>
        <xdr:cNvPr id="3256" name="AutoShape 988" descr="https://www.soccerstats.com/img/own/sshplogo.png">
          <a:hlinkClick xmlns:r="http://schemas.openxmlformats.org/officeDocument/2006/relationships" r:id="rId664"/>
        </xdr:cNvPr>
        <xdr:cNvSpPr>
          <a:spLocks noChangeAspect="1" noChangeArrowheads="1"/>
        </xdr:cNvSpPr>
      </xdr:nvSpPr>
      <xdr:spPr bwMode="auto">
        <a:xfrm>
          <a:off x="13411200" y="1127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152400</xdr:colOff>
      <xdr:row>7</xdr:row>
      <xdr:rowOff>106680</xdr:rowOff>
    </xdr:to>
    <xdr:sp macro="" textlink="">
      <xdr:nvSpPr>
        <xdr:cNvPr id="3257" name="AutoShape 989" descr="NETHERLANDS"/>
        <xdr:cNvSpPr>
          <a:spLocks noChangeAspect="1" noChangeArrowheads="1"/>
        </xdr:cNvSpPr>
      </xdr:nvSpPr>
      <xdr:spPr bwMode="auto">
        <a:xfrm>
          <a:off x="0" y="1379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</xdr:row>
      <xdr:rowOff>0</xdr:rowOff>
    </xdr:from>
    <xdr:to>
      <xdr:col>22</xdr:col>
      <xdr:colOff>304800</xdr:colOff>
      <xdr:row>8</xdr:row>
      <xdr:rowOff>129540</xdr:rowOff>
    </xdr:to>
    <xdr:sp macro="" textlink="">
      <xdr:nvSpPr>
        <xdr:cNvPr id="3258" name="AutoShape 990" descr="https://www.soccerstats.com/img/own/sshplogo.png">
          <a:hlinkClick xmlns:r="http://schemas.openxmlformats.org/officeDocument/2006/relationships" r:id="rId665"/>
        </xdr:cNvPr>
        <xdr:cNvSpPr>
          <a:spLocks noChangeAspect="1" noChangeArrowheads="1"/>
        </xdr:cNvSpPr>
      </xdr:nvSpPr>
      <xdr:spPr bwMode="auto">
        <a:xfrm>
          <a:off x="13411200" y="1379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152400</xdr:colOff>
      <xdr:row>8</xdr:row>
      <xdr:rowOff>106680</xdr:rowOff>
    </xdr:to>
    <xdr:sp macro="" textlink="">
      <xdr:nvSpPr>
        <xdr:cNvPr id="3259" name="AutoShape 991" descr="PORTUGAL"/>
        <xdr:cNvSpPr>
          <a:spLocks noChangeAspect="1" noChangeArrowheads="1"/>
        </xdr:cNvSpPr>
      </xdr:nvSpPr>
      <xdr:spPr bwMode="auto">
        <a:xfrm>
          <a:off x="0" y="1630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</xdr:row>
      <xdr:rowOff>0</xdr:rowOff>
    </xdr:from>
    <xdr:to>
      <xdr:col>22</xdr:col>
      <xdr:colOff>304800</xdr:colOff>
      <xdr:row>9</xdr:row>
      <xdr:rowOff>129540</xdr:rowOff>
    </xdr:to>
    <xdr:sp macro="" textlink="">
      <xdr:nvSpPr>
        <xdr:cNvPr id="3260" name="AutoShape 992" descr="https://www.soccerstats.com/img/own/sshplogo.png">
          <a:hlinkClick xmlns:r="http://schemas.openxmlformats.org/officeDocument/2006/relationships" r:id="rId666"/>
        </xdr:cNvPr>
        <xdr:cNvSpPr>
          <a:spLocks noChangeAspect="1" noChangeArrowheads="1"/>
        </xdr:cNvSpPr>
      </xdr:nvSpPr>
      <xdr:spPr bwMode="auto">
        <a:xfrm>
          <a:off x="13411200" y="1630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152400</xdr:colOff>
      <xdr:row>9</xdr:row>
      <xdr:rowOff>106680</xdr:rowOff>
    </xdr:to>
    <xdr:sp macro="" textlink="">
      <xdr:nvSpPr>
        <xdr:cNvPr id="3261" name="AutoShape 993" descr="PORTUGAL"/>
        <xdr:cNvSpPr>
          <a:spLocks noChangeAspect="1" noChangeArrowheads="1"/>
        </xdr:cNvSpPr>
      </xdr:nvSpPr>
      <xdr:spPr bwMode="auto">
        <a:xfrm>
          <a:off x="0" y="1805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</xdr:row>
      <xdr:rowOff>0</xdr:rowOff>
    </xdr:from>
    <xdr:to>
      <xdr:col>22</xdr:col>
      <xdr:colOff>304800</xdr:colOff>
      <xdr:row>10</xdr:row>
      <xdr:rowOff>129540</xdr:rowOff>
    </xdr:to>
    <xdr:sp macro="" textlink="">
      <xdr:nvSpPr>
        <xdr:cNvPr id="3262" name="AutoShape 994" descr="https://www.soccerstats.com/img/own/sshplogo.png">
          <a:hlinkClick xmlns:r="http://schemas.openxmlformats.org/officeDocument/2006/relationships" r:id="rId667"/>
        </xdr:cNvPr>
        <xdr:cNvSpPr>
          <a:spLocks noChangeAspect="1" noChangeArrowheads="1"/>
        </xdr:cNvSpPr>
      </xdr:nvSpPr>
      <xdr:spPr bwMode="auto">
        <a:xfrm>
          <a:off x="13411200" y="1805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152400</xdr:colOff>
      <xdr:row>10</xdr:row>
      <xdr:rowOff>106680</xdr:rowOff>
    </xdr:to>
    <xdr:sp macro="" textlink="">
      <xdr:nvSpPr>
        <xdr:cNvPr id="3263" name="AutoShape 995" descr="PORTUGAL"/>
        <xdr:cNvSpPr>
          <a:spLocks noChangeAspect="1" noChangeArrowheads="1"/>
        </xdr:cNvSpPr>
      </xdr:nvSpPr>
      <xdr:spPr bwMode="auto">
        <a:xfrm>
          <a:off x="0" y="1981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</xdr:row>
      <xdr:rowOff>0</xdr:rowOff>
    </xdr:from>
    <xdr:to>
      <xdr:col>22</xdr:col>
      <xdr:colOff>304800</xdr:colOff>
      <xdr:row>11</xdr:row>
      <xdr:rowOff>129540</xdr:rowOff>
    </xdr:to>
    <xdr:sp macro="" textlink="">
      <xdr:nvSpPr>
        <xdr:cNvPr id="3264" name="AutoShape 996" descr="https://www.soccerstats.com/img/own/sshplogo.png">
          <a:hlinkClick xmlns:r="http://schemas.openxmlformats.org/officeDocument/2006/relationships" r:id="rId668"/>
        </xdr:cNvPr>
        <xdr:cNvSpPr>
          <a:spLocks noChangeAspect="1" noChangeArrowheads="1"/>
        </xdr:cNvSpPr>
      </xdr:nvSpPr>
      <xdr:spPr bwMode="auto">
        <a:xfrm>
          <a:off x="13411200" y="1981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152400</xdr:colOff>
      <xdr:row>11</xdr:row>
      <xdr:rowOff>106680</xdr:rowOff>
    </xdr:to>
    <xdr:sp macro="" textlink="">
      <xdr:nvSpPr>
        <xdr:cNvPr id="3265" name="AutoShape 997" descr="PORTUGAL"/>
        <xdr:cNvSpPr>
          <a:spLocks noChangeAspect="1" noChangeArrowheads="1"/>
        </xdr:cNvSpPr>
      </xdr:nvSpPr>
      <xdr:spPr bwMode="auto">
        <a:xfrm>
          <a:off x="0" y="2156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</xdr:row>
      <xdr:rowOff>0</xdr:rowOff>
    </xdr:from>
    <xdr:to>
      <xdr:col>22</xdr:col>
      <xdr:colOff>304800</xdr:colOff>
      <xdr:row>12</xdr:row>
      <xdr:rowOff>129540</xdr:rowOff>
    </xdr:to>
    <xdr:sp macro="" textlink="">
      <xdr:nvSpPr>
        <xdr:cNvPr id="3266" name="AutoShape 998" descr="https://www.soccerstats.com/img/own/sshplogo.png">
          <a:hlinkClick xmlns:r="http://schemas.openxmlformats.org/officeDocument/2006/relationships" r:id="rId669"/>
        </xdr:cNvPr>
        <xdr:cNvSpPr>
          <a:spLocks noChangeAspect="1" noChangeArrowheads="1"/>
        </xdr:cNvSpPr>
      </xdr:nvSpPr>
      <xdr:spPr bwMode="auto">
        <a:xfrm>
          <a:off x="13411200" y="2156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152400</xdr:colOff>
      <xdr:row>12</xdr:row>
      <xdr:rowOff>106680</xdr:rowOff>
    </xdr:to>
    <xdr:sp macro="" textlink="">
      <xdr:nvSpPr>
        <xdr:cNvPr id="3267" name="AutoShape 999" descr="ENGLAND2"/>
        <xdr:cNvSpPr>
          <a:spLocks noChangeAspect="1" noChangeArrowheads="1"/>
        </xdr:cNvSpPr>
      </xdr:nvSpPr>
      <xdr:spPr bwMode="auto">
        <a:xfrm>
          <a:off x="0" y="2407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</xdr:row>
      <xdr:rowOff>0</xdr:rowOff>
    </xdr:from>
    <xdr:to>
      <xdr:col>22</xdr:col>
      <xdr:colOff>304800</xdr:colOff>
      <xdr:row>13</xdr:row>
      <xdr:rowOff>53340</xdr:rowOff>
    </xdr:to>
    <xdr:sp macro="" textlink="">
      <xdr:nvSpPr>
        <xdr:cNvPr id="3268" name="AutoShape 1000" descr="https://www.soccerstats.com/img/own/sshplogo.png">
          <a:hlinkClick xmlns:r="http://schemas.openxmlformats.org/officeDocument/2006/relationships" r:id="rId670"/>
        </xdr:cNvPr>
        <xdr:cNvSpPr>
          <a:spLocks noChangeAspect="1" noChangeArrowheads="1"/>
        </xdr:cNvSpPr>
      </xdr:nvSpPr>
      <xdr:spPr bwMode="auto">
        <a:xfrm>
          <a:off x="13411200" y="2407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152400</xdr:colOff>
      <xdr:row>13</xdr:row>
      <xdr:rowOff>106680</xdr:rowOff>
    </xdr:to>
    <xdr:sp macro="" textlink="">
      <xdr:nvSpPr>
        <xdr:cNvPr id="3269" name="AutoShape 1001" descr="ENGLAND2"/>
        <xdr:cNvSpPr>
          <a:spLocks noChangeAspect="1" noChangeArrowheads="1"/>
        </xdr:cNvSpPr>
      </xdr:nvSpPr>
      <xdr:spPr bwMode="auto">
        <a:xfrm>
          <a:off x="0" y="2583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</xdr:row>
      <xdr:rowOff>0</xdr:rowOff>
    </xdr:from>
    <xdr:to>
      <xdr:col>22</xdr:col>
      <xdr:colOff>304800</xdr:colOff>
      <xdr:row>14</xdr:row>
      <xdr:rowOff>129540</xdr:rowOff>
    </xdr:to>
    <xdr:sp macro="" textlink="">
      <xdr:nvSpPr>
        <xdr:cNvPr id="3270" name="AutoShape 1002" descr="https://www.soccerstats.com/img/own/sshplogo.png">
          <a:hlinkClick xmlns:r="http://schemas.openxmlformats.org/officeDocument/2006/relationships" r:id="rId671"/>
        </xdr:cNvPr>
        <xdr:cNvSpPr>
          <a:spLocks noChangeAspect="1" noChangeArrowheads="1"/>
        </xdr:cNvSpPr>
      </xdr:nvSpPr>
      <xdr:spPr bwMode="auto">
        <a:xfrm>
          <a:off x="13411200" y="2583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152400</xdr:colOff>
      <xdr:row>14</xdr:row>
      <xdr:rowOff>106680</xdr:rowOff>
    </xdr:to>
    <xdr:sp macro="" textlink="">
      <xdr:nvSpPr>
        <xdr:cNvPr id="3271" name="AutoShape 1003" descr="SPAIN2"/>
        <xdr:cNvSpPr>
          <a:spLocks noChangeAspect="1" noChangeArrowheads="1"/>
        </xdr:cNvSpPr>
      </xdr:nvSpPr>
      <xdr:spPr bwMode="auto">
        <a:xfrm>
          <a:off x="0" y="2834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</xdr:row>
      <xdr:rowOff>0</xdr:rowOff>
    </xdr:from>
    <xdr:to>
      <xdr:col>22</xdr:col>
      <xdr:colOff>304800</xdr:colOff>
      <xdr:row>15</xdr:row>
      <xdr:rowOff>53340</xdr:rowOff>
    </xdr:to>
    <xdr:sp macro="" textlink="">
      <xdr:nvSpPr>
        <xdr:cNvPr id="3272" name="AutoShape 1004" descr="https://www.soccerstats.com/img/own/sshplogo.png">
          <a:hlinkClick xmlns:r="http://schemas.openxmlformats.org/officeDocument/2006/relationships" r:id="rId672"/>
        </xdr:cNvPr>
        <xdr:cNvSpPr>
          <a:spLocks noChangeAspect="1" noChangeArrowheads="1"/>
        </xdr:cNvSpPr>
      </xdr:nvSpPr>
      <xdr:spPr bwMode="auto">
        <a:xfrm>
          <a:off x="13411200" y="2834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152400</xdr:colOff>
      <xdr:row>15</xdr:row>
      <xdr:rowOff>106680</xdr:rowOff>
    </xdr:to>
    <xdr:sp macro="" textlink="">
      <xdr:nvSpPr>
        <xdr:cNvPr id="3273" name="AutoShape 1005" descr="SPAIN2"/>
        <xdr:cNvSpPr>
          <a:spLocks noChangeAspect="1" noChangeArrowheads="1"/>
        </xdr:cNvSpPr>
      </xdr:nvSpPr>
      <xdr:spPr bwMode="auto">
        <a:xfrm>
          <a:off x="0" y="3009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15</xdr:row>
      <xdr:rowOff>0</xdr:rowOff>
    </xdr:from>
    <xdr:to>
      <xdr:col>22</xdr:col>
      <xdr:colOff>304800</xdr:colOff>
      <xdr:row>16</xdr:row>
      <xdr:rowOff>129540</xdr:rowOff>
    </xdr:to>
    <xdr:sp macro="" textlink="">
      <xdr:nvSpPr>
        <xdr:cNvPr id="3274" name="AutoShape 1006" descr="https://www.soccerstats.com/img/own/sshplogo.png">
          <a:hlinkClick xmlns:r="http://schemas.openxmlformats.org/officeDocument/2006/relationships" r:id="rId673"/>
        </xdr:cNvPr>
        <xdr:cNvSpPr>
          <a:spLocks noChangeAspect="1" noChangeArrowheads="1"/>
        </xdr:cNvSpPr>
      </xdr:nvSpPr>
      <xdr:spPr bwMode="auto">
        <a:xfrm>
          <a:off x="13411200" y="3009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152400</xdr:colOff>
      <xdr:row>16</xdr:row>
      <xdr:rowOff>106680</xdr:rowOff>
    </xdr:to>
    <xdr:sp macro="" textlink="">
      <xdr:nvSpPr>
        <xdr:cNvPr id="3275" name="AutoShape 1007" descr="SPAIN2"/>
        <xdr:cNvSpPr>
          <a:spLocks noChangeAspect="1" noChangeArrowheads="1"/>
        </xdr:cNvSpPr>
      </xdr:nvSpPr>
      <xdr:spPr bwMode="auto">
        <a:xfrm>
          <a:off x="0" y="3185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16</xdr:row>
      <xdr:rowOff>0</xdr:rowOff>
    </xdr:from>
    <xdr:to>
      <xdr:col>22</xdr:col>
      <xdr:colOff>304800</xdr:colOff>
      <xdr:row>17</xdr:row>
      <xdr:rowOff>129540</xdr:rowOff>
    </xdr:to>
    <xdr:sp macro="" textlink="">
      <xdr:nvSpPr>
        <xdr:cNvPr id="3276" name="AutoShape 1008" descr="https://www.soccerstats.com/img/own/sshplogo.png">
          <a:hlinkClick xmlns:r="http://schemas.openxmlformats.org/officeDocument/2006/relationships" r:id="rId674"/>
        </xdr:cNvPr>
        <xdr:cNvSpPr>
          <a:spLocks noChangeAspect="1" noChangeArrowheads="1"/>
        </xdr:cNvSpPr>
      </xdr:nvSpPr>
      <xdr:spPr bwMode="auto">
        <a:xfrm>
          <a:off x="13411200" y="3185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152400</xdr:colOff>
      <xdr:row>17</xdr:row>
      <xdr:rowOff>106680</xdr:rowOff>
    </xdr:to>
    <xdr:sp macro="" textlink="">
      <xdr:nvSpPr>
        <xdr:cNvPr id="3277" name="AutoShape 1009" descr="SPAIN2"/>
        <xdr:cNvSpPr>
          <a:spLocks noChangeAspect="1" noChangeArrowheads="1"/>
        </xdr:cNvSpPr>
      </xdr:nvSpPr>
      <xdr:spPr bwMode="auto">
        <a:xfrm>
          <a:off x="0" y="3360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17</xdr:row>
      <xdr:rowOff>0</xdr:rowOff>
    </xdr:from>
    <xdr:to>
      <xdr:col>22</xdr:col>
      <xdr:colOff>304800</xdr:colOff>
      <xdr:row>18</xdr:row>
      <xdr:rowOff>53340</xdr:rowOff>
    </xdr:to>
    <xdr:sp macro="" textlink="">
      <xdr:nvSpPr>
        <xdr:cNvPr id="3278" name="AutoShape 1010" descr="https://www.soccerstats.com/img/own/sshplogo.png">
          <a:hlinkClick xmlns:r="http://schemas.openxmlformats.org/officeDocument/2006/relationships" r:id="rId675"/>
        </xdr:cNvPr>
        <xdr:cNvSpPr>
          <a:spLocks noChangeAspect="1" noChangeArrowheads="1"/>
        </xdr:cNvSpPr>
      </xdr:nvSpPr>
      <xdr:spPr bwMode="auto">
        <a:xfrm>
          <a:off x="13411200" y="3360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152400</xdr:colOff>
      <xdr:row>18</xdr:row>
      <xdr:rowOff>106680</xdr:rowOff>
    </xdr:to>
    <xdr:sp macro="" textlink="">
      <xdr:nvSpPr>
        <xdr:cNvPr id="3279" name="AutoShape 1011" descr="GERMANY2"/>
        <xdr:cNvSpPr>
          <a:spLocks noChangeAspect="1" noChangeArrowheads="1"/>
        </xdr:cNvSpPr>
      </xdr:nvSpPr>
      <xdr:spPr bwMode="auto">
        <a:xfrm>
          <a:off x="0" y="3535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18</xdr:row>
      <xdr:rowOff>0</xdr:rowOff>
    </xdr:from>
    <xdr:to>
      <xdr:col>22</xdr:col>
      <xdr:colOff>304800</xdr:colOff>
      <xdr:row>19</xdr:row>
      <xdr:rowOff>53340</xdr:rowOff>
    </xdr:to>
    <xdr:sp macro="" textlink="">
      <xdr:nvSpPr>
        <xdr:cNvPr id="3280" name="AutoShape 1012" descr="https://www.soccerstats.com/img/own/sshplogo.png">
          <a:hlinkClick xmlns:r="http://schemas.openxmlformats.org/officeDocument/2006/relationships" r:id="rId676"/>
        </xdr:cNvPr>
        <xdr:cNvSpPr>
          <a:spLocks noChangeAspect="1" noChangeArrowheads="1"/>
        </xdr:cNvSpPr>
      </xdr:nvSpPr>
      <xdr:spPr bwMode="auto">
        <a:xfrm>
          <a:off x="13411200" y="3535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152400</xdr:colOff>
      <xdr:row>19</xdr:row>
      <xdr:rowOff>106680</xdr:rowOff>
    </xdr:to>
    <xdr:sp macro="" textlink="">
      <xdr:nvSpPr>
        <xdr:cNvPr id="3281" name="AutoShape 1013" descr="GERMANY2"/>
        <xdr:cNvSpPr>
          <a:spLocks noChangeAspect="1" noChangeArrowheads="1"/>
        </xdr:cNvSpPr>
      </xdr:nvSpPr>
      <xdr:spPr bwMode="auto">
        <a:xfrm>
          <a:off x="0" y="3787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19</xdr:row>
      <xdr:rowOff>0</xdr:rowOff>
    </xdr:from>
    <xdr:to>
      <xdr:col>22</xdr:col>
      <xdr:colOff>304800</xdr:colOff>
      <xdr:row>20</xdr:row>
      <xdr:rowOff>129540</xdr:rowOff>
    </xdr:to>
    <xdr:sp macro="" textlink="">
      <xdr:nvSpPr>
        <xdr:cNvPr id="3282" name="AutoShape 1014" descr="https://www.soccerstats.com/img/own/sshplogo.png">
          <a:hlinkClick xmlns:r="http://schemas.openxmlformats.org/officeDocument/2006/relationships" r:id="rId677"/>
        </xdr:cNvPr>
        <xdr:cNvSpPr>
          <a:spLocks noChangeAspect="1" noChangeArrowheads="1"/>
        </xdr:cNvSpPr>
      </xdr:nvSpPr>
      <xdr:spPr bwMode="auto">
        <a:xfrm>
          <a:off x="13411200" y="3787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152400</xdr:colOff>
      <xdr:row>20</xdr:row>
      <xdr:rowOff>106680</xdr:rowOff>
    </xdr:to>
    <xdr:sp macro="" textlink="">
      <xdr:nvSpPr>
        <xdr:cNvPr id="3283" name="AutoShape 1015" descr="GERMANY2"/>
        <xdr:cNvSpPr>
          <a:spLocks noChangeAspect="1" noChangeArrowheads="1"/>
        </xdr:cNvSpPr>
      </xdr:nvSpPr>
      <xdr:spPr bwMode="auto">
        <a:xfrm>
          <a:off x="0" y="4038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20</xdr:row>
      <xdr:rowOff>0</xdr:rowOff>
    </xdr:from>
    <xdr:to>
      <xdr:col>22</xdr:col>
      <xdr:colOff>304800</xdr:colOff>
      <xdr:row>21</xdr:row>
      <xdr:rowOff>129540</xdr:rowOff>
    </xdr:to>
    <xdr:sp macro="" textlink="">
      <xdr:nvSpPr>
        <xdr:cNvPr id="3284" name="AutoShape 1016" descr="https://www.soccerstats.com/img/own/sshplogo.png">
          <a:hlinkClick xmlns:r="http://schemas.openxmlformats.org/officeDocument/2006/relationships" r:id="rId678"/>
        </xdr:cNvPr>
        <xdr:cNvSpPr>
          <a:spLocks noChangeAspect="1" noChangeArrowheads="1"/>
        </xdr:cNvSpPr>
      </xdr:nvSpPr>
      <xdr:spPr bwMode="auto">
        <a:xfrm>
          <a:off x="13411200" y="4038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152400</xdr:colOff>
      <xdr:row>21</xdr:row>
      <xdr:rowOff>106680</xdr:rowOff>
    </xdr:to>
    <xdr:sp macro="" textlink="">
      <xdr:nvSpPr>
        <xdr:cNvPr id="3285" name="AutoShape 1017" descr="ARGENTINA2"/>
        <xdr:cNvSpPr>
          <a:spLocks noChangeAspect="1" noChangeArrowheads="1"/>
        </xdr:cNvSpPr>
      </xdr:nvSpPr>
      <xdr:spPr bwMode="auto">
        <a:xfrm>
          <a:off x="0" y="4213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21</xdr:row>
      <xdr:rowOff>0</xdr:rowOff>
    </xdr:from>
    <xdr:to>
      <xdr:col>22</xdr:col>
      <xdr:colOff>304800</xdr:colOff>
      <xdr:row>22</xdr:row>
      <xdr:rowOff>53340</xdr:rowOff>
    </xdr:to>
    <xdr:sp macro="" textlink="">
      <xdr:nvSpPr>
        <xdr:cNvPr id="3286" name="AutoShape 1018" descr="https://www.soccerstats.com/img/own/sshplogo.png">
          <a:hlinkClick xmlns:r="http://schemas.openxmlformats.org/officeDocument/2006/relationships" r:id="rId679"/>
        </xdr:cNvPr>
        <xdr:cNvSpPr>
          <a:spLocks noChangeAspect="1" noChangeArrowheads="1"/>
        </xdr:cNvSpPr>
      </xdr:nvSpPr>
      <xdr:spPr bwMode="auto">
        <a:xfrm>
          <a:off x="13411200" y="4213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152400</xdr:colOff>
      <xdr:row>22</xdr:row>
      <xdr:rowOff>106680</xdr:rowOff>
    </xdr:to>
    <xdr:sp macro="" textlink="">
      <xdr:nvSpPr>
        <xdr:cNvPr id="3287" name="AutoShape 1019" descr="ARGENTINA2"/>
        <xdr:cNvSpPr>
          <a:spLocks noChangeAspect="1" noChangeArrowheads="1"/>
        </xdr:cNvSpPr>
      </xdr:nvSpPr>
      <xdr:spPr bwMode="auto">
        <a:xfrm>
          <a:off x="0" y="4389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22</xdr:row>
      <xdr:rowOff>0</xdr:rowOff>
    </xdr:from>
    <xdr:to>
      <xdr:col>22</xdr:col>
      <xdr:colOff>304800</xdr:colOff>
      <xdr:row>23</xdr:row>
      <xdr:rowOff>129540</xdr:rowOff>
    </xdr:to>
    <xdr:sp macro="" textlink="">
      <xdr:nvSpPr>
        <xdr:cNvPr id="3288" name="AutoShape 1020" descr="https://www.soccerstats.com/img/own/sshplogo.png">
          <a:hlinkClick xmlns:r="http://schemas.openxmlformats.org/officeDocument/2006/relationships" r:id="rId680"/>
        </xdr:cNvPr>
        <xdr:cNvSpPr>
          <a:spLocks noChangeAspect="1" noChangeArrowheads="1"/>
        </xdr:cNvSpPr>
      </xdr:nvSpPr>
      <xdr:spPr bwMode="auto">
        <a:xfrm>
          <a:off x="13411200" y="4389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152400</xdr:colOff>
      <xdr:row>23</xdr:row>
      <xdr:rowOff>106680</xdr:rowOff>
    </xdr:to>
    <xdr:sp macro="" textlink="">
      <xdr:nvSpPr>
        <xdr:cNvPr id="3289" name="AutoShape 1021" descr="ARGENTINA2"/>
        <xdr:cNvSpPr>
          <a:spLocks noChangeAspect="1" noChangeArrowheads="1"/>
        </xdr:cNvSpPr>
      </xdr:nvSpPr>
      <xdr:spPr bwMode="auto">
        <a:xfrm>
          <a:off x="0" y="4640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23</xdr:row>
      <xdr:rowOff>0</xdr:rowOff>
    </xdr:from>
    <xdr:to>
      <xdr:col>22</xdr:col>
      <xdr:colOff>304800</xdr:colOff>
      <xdr:row>24</xdr:row>
      <xdr:rowOff>129540</xdr:rowOff>
    </xdr:to>
    <xdr:sp macro="" textlink="">
      <xdr:nvSpPr>
        <xdr:cNvPr id="3290" name="AutoShape 1022" descr="https://www.soccerstats.com/img/own/sshplogo.png">
          <a:hlinkClick xmlns:r="http://schemas.openxmlformats.org/officeDocument/2006/relationships" r:id="rId681"/>
        </xdr:cNvPr>
        <xdr:cNvSpPr>
          <a:spLocks noChangeAspect="1" noChangeArrowheads="1"/>
        </xdr:cNvSpPr>
      </xdr:nvSpPr>
      <xdr:spPr bwMode="auto">
        <a:xfrm>
          <a:off x="13411200" y="4640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3291" name="AutoShape 1023" descr="ARGENTINA2"/>
        <xdr:cNvSpPr>
          <a:spLocks noChangeAspect="1" noChangeArrowheads="1"/>
        </xdr:cNvSpPr>
      </xdr:nvSpPr>
      <xdr:spPr bwMode="auto">
        <a:xfrm>
          <a:off x="0" y="4815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6144" name="AutoShape 1024" descr="https://www.soccerstats.com/img/own/sshplogo.png">
          <a:hlinkClick xmlns:r="http://schemas.openxmlformats.org/officeDocument/2006/relationships" r:id="rId682"/>
        </xdr:cNvPr>
        <xdr:cNvSpPr>
          <a:spLocks noChangeAspect="1" noChangeArrowheads="1"/>
        </xdr:cNvSpPr>
      </xdr:nvSpPr>
      <xdr:spPr bwMode="auto">
        <a:xfrm>
          <a:off x="13411200" y="4815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152400</xdr:colOff>
      <xdr:row>25</xdr:row>
      <xdr:rowOff>106680</xdr:rowOff>
    </xdr:to>
    <xdr:sp macro="" textlink="">
      <xdr:nvSpPr>
        <xdr:cNvPr id="6145" name="AutoShape 1025" descr="ARGENTINA2"/>
        <xdr:cNvSpPr>
          <a:spLocks noChangeAspect="1" noChangeArrowheads="1"/>
        </xdr:cNvSpPr>
      </xdr:nvSpPr>
      <xdr:spPr bwMode="auto">
        <a:xfrm>
          <a:off x="0" y="5067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25</xdr:row>
      <xdr:rowOff>0</xdr:rowOff>
    </xdr:from>
    <xdr:to>
      <xdr:col>22</xdr:col>
      <xdr:colOff>304800</xdr:colOff>
      <xdr:row>26</xdr:row>
      <xdr:rowOff>129540</xdr:rowOff>
    </xdr:to>
    <xdr:sp macro="" textlink="">
      <xdr:nvSpPr>
        <xdr:cNvPr id="6146" name="AutoShape 1026" descr="https://www.soccerstats.com/img/own/sshplogo.png">
          <a:hlinkClick xmlns:r="http://schemas.openxmlformats.org/officeDocument/2006/relationships" r:id="rId683"/>
        </xdr:cNvPr>
        <xdr:cNvSpPr>
          <a:spLocks noChangeAspect="1" noChangeArrowheads="1"/>
        </xdr:cNvSpPr>
      </xdr:nvSpPr>
      <xdr:spPr bwMode="auto">
        <a:xfrm>
          <a:off x="13411200" y="5067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152400</xdr:colOff>
      <xdr:row>26</xdr:row>
      <xdr:rowOff>106680</xdr:rowOff>
    </xdr:to>
    <xdr:sp macro="" textlink="">
      <xdr:nvSpPr>
        <xdr:cNvPr id="6147" name="AutoShape 1027" descr="ARGENTINA3"/>
        <xdr:cNvSpPr>
          <a:spLocks noChangeAspect="1" noChangeArrowheads="1"/>
        </xdr:cNvSpPr>
      </xdr:nvSpPr>
      <xdr:spPr bwMode="auto">
        <a:xfrm>
          <a:off x="0" y="5318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26</xdr:row>
      <xdr:rowOff>0</xdr:rowOff>
    </xdr:from>
    <xdr:to>
      <xdr:col>22</xdr:col>
      <xdr:colOff>304800</xdr:colOff>
      <xdr:row>27</xdr:row>
      <xdr:rowOff>53340</xdr:rowOff>
    </xdr:to>
    <xdr:sp macro="" textlink="">
      <xdr:nvSpPr>
        <xdr:cNvPr id="6148" name="AutoShape 1028" descr="https://www.soccerstats.com/img/own/sshplogo.png">
          <a:hlinkClick xmlns:r="http://schemas.openxmlformats.org/officeDocument/2006/relationships" r:id="rId684"/>
        </xdr:cNvPr>
        <xdr:cNvSpPr>
          <a:spLocks noChangeAspect="1" noChangeArrowheads="1"/>
        </xdr:cNvSpPr>
      </xdr:nvSpPr>
      <xdr:spPr bwMode="auto">
        <a:xfrm>
          <a:off x="13411200" y="5318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152400</xdr:colOff>
      <xdr:row>27</xdr:row>
      <xdr:rowOff>106680</xdr:rowOff>
    </xdr:to>
    <xdr:sp macro="" textlink="">
      <xdr:nvSpPr>
        <xdr:cNvPr id="6149" name="AutoShape 1029" descr="ARGENTINA3"/>
        <xdr:cNvSpPr>
          <a:spLocks noChangeAspect="1" noChangeArrowheads="1"/>
        </xdr:cNvSpPr>
      </xdr:nvSpPr>
      <xdr:spPr bwMode="auto">
        <a:xfrm>
          <a:off x="0" y="5570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27</xdr:row>
      <xdr:rowOff>0</xdr:rowOff>
    </xdr:from>
    <xdr:to>
      <xdr:col>22</xdr:col>
      <xdr:colOff>304800</xdr:colOff>
      <xdr:row>28</xdr:row>
      <xdr:rowOff>129540</xdr:rowOff>
    </xdr:to>
    <xdr:sp macro="" textlink="">
      <xdr:nvSpPr>
        <xdr:cNvPr id="6150" name="AutoShape 1030" descr="https://www.soccerstats.com/img/own/sshplogo.png">
          <a:hlinkClick xmlns:r="http://schemas.openxmlformats.org/officeDocument/2006/relationships" r:id="rId685"/>
        </xdr:cNvPr>
        <xdr:cNvSpPr>
          <a:spLocks noChangeAspect="1" noChangeArrowheads="1"/>
        </xdr:cNvSpPr>
      </xdr:nvSpPr>
      <xdr:spPr bwMode="auto">
        <a:xfrm>
          <a:off x="13411200" y="5570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152400</xdr:colOff>
      <xdr:row>28</xdr:row>
      <xdr:rowOff>106680</xdr:rowOff>
    </xdr:to>
    <xdr:sp macro="" textlink="">
      <xdr:nvSpPr>
        <xdr:cNvPr id="6151" name="AutoShape 1031" descr="ARGENTINA3"/>
        <xdr:cNvSpPr>
          <a:spLocks noChangeAspect="1" noChangeArrowheads="1"/>
        </xdr:cNvSpPr>
      </xdr:nvSpPr>
      <xdr:spPr bwMode="auto">
        <a:xfrm>
          <a:off x="0" y="5821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28</xdr:row>
      <xdr:rowOff>0</xdr:rowOff>
    </xdr:from>
    <xdr:to>
      <xdr:col>22</xdr:col>
      <xdr:colOff>304800</xdr:colOff>
      <xdr:row>29</xdr:row>
      <xdr:rowOff>129540</xdr:rowOff>
    </xdr:to>
    <xdr:sp macro="" textlink="">
      <xdr:nvSpPr>
        <xdr:cNvPr id="6152" name="AutoShape 1032" descr="https://www.soccerstats.com/img/own/sshplogo.png">
          <a:hlinkClick xmlns:r="http://schemas.openxmlformats.org/officeDocument/2006/relationships" r:id="rId686"/>
        </xdr:cNvPr>
        <xdr:cNvSpPr>
          <a:spLocks noChangeAspect="1" noChangeArrowheads="1"/>
        </xdr:cNvSpPr>
      </xdr:nvSpPr>
      <xdr:spPr bwMode="auto">
        <a:xfrm>
          <a:off x="13411200" y="5821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152400</xdr:colOff>
      <xdr:row>29</xdr:row>
      <xdr:rowOff>106680</xdr:rowOff>
    </xdr:to>
    <xdr:sp macro="" textlink="">
      <xdr:nvSpPr>
        <xdr:cNvPr id="6153" name="AutoShape 1033" descr="ARGENTINA3"/>
        <xdr:cNvSpPr>
          <a:spLocks noChangeAspect="1" noChangeArrowheads="1"/>
        </xdr:cNvSpPr>
      </xdr:nvSpPr>
      <xdr:spPr bwMode="auto">
        <a:xfrm>
          <a:off x="0" y="6073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29</xdr:row>
      <xdr:rowOff>0</xdr:rowOff>
    </xdr:from>
    <xdr:to>
      <xdr:col>22</xdr:col>
      <xdr:colOff>304800</xdr:colOff>
      <xdr:row>30</xdr:row>
      <xdr:rowOff>53340</xdr:rowOff>
    </xdr:to>
    <xdr:sp macro="" textlink="">
      <xdr:nvSpPr>
        <xdr:cNvPr id="6154" name="AutoShape 1034" descr="https://www.soccerstats.com/img/own/sshplogo.png">
          <a:hlinkClick xmlns:r="http://schemas.openxmlformats.org/officeDocument/2006/relationships" r:id="rId687"/>
        </xdr:cNvPr>
        <xdr:cNvSpPr>
          <a:spLocks noChangeAspect="1" noChangeArrowheads="1"/>
        </xdr:cNvSpPr>
      </xdr:nvSpPr>
      <xdr:spPr bwMode="auto">
        <a:xfrm>
          <a:off x="13411200" y="6073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152400</xdr:colOff>
      <xdr:row>30</xdr:row>
      <xdr:rowOff>106680</xdr:rowOff>
    </xdr:to>
    <xdr:sp macro="" textlink="">
      <xdr:nvSpPr>
        <xdr:cNvPr id="6155" name="AutoShape 1035" descr="ARGENTINA3"/>
        <xdr:cNvSpPr>
          <a:spLocks noChangeAspect="1" noChangeArrowheads="1"/>
        </xdr:cNvSpPr>
      </xdr:nvSpPr>
      <xdr:spPr bwMode="auto">
        <a:xfrm>
          <a:off x="0" y="6324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30</xdr:row>
      <xdr:rowOff>0</xdr:rowOff>
    </xdr:from>
    <xdr:to>
      <xdr:col>22</xdr:col>
      <xdr:colOff>304800</xdr:colOff>
      <xdr:row>31</xdr:row>
      <xdr:rowOff>53340</xdr:rowOff>
    </xdr:to>
    <xdr:sp macro="" textlink="">
      <xdr:nvSpPr>
        <xdr:cNvPr id="6156" name="AutoShape 1036" descr="https://www.soccerstats.com/img/own/sshplogo.png">
          <a:hlinkClick xmlns:r="http://schemas.openxmlformats.org/officeDocument/2006/relationships" r:id="rId688"/>
        </xdr:cNvPr>
        <xdr:cNvSpPr>
          <a:spLocks noChangeAspect="1" noChangeArrowheads="1"/>
        </xdr:cNvSpPr>
      </xdr:nvSpPr>
      <xdr:spPr bwMode="auto">
        <a:xfrm>
          <a:off x="13411200" y="6324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152400</xdr:colOff>
      <xdr:row>31</xdr:row>
      <xdr:rowOff>106680</xdr:rowOff>
    </xdr:to>
    <xdr:sp macro="" textlink="">
      <xdr:nvSpPr>
        <xdr:cNvPr id="6157" name="AutoShape 1037" descr="ARGENTINA3"/>
        <xdr:cNvSpPr>
          <a:spLocks noChangeAspect="1" noChangeArrowheads="1"/>
        </xdr:cNvSpPr>
      </xdr:nvSpPr>
      <xdr:spPr bwMode="auto">
        <a:xfrm>
          <a:off x="0" y="6576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31</xdr:row>
      <xdr:rowOff>0</xdr:rowOff>
    </xdr:from>
    <xdr:to>
      <xdr:col>22</xdr:col>
      <xdr:colOff>304800</xdr:colOff>
      <xdr:row>32</xdr:row>
      <xdr:rowOff>53340</xdr:rowOff>
    </xdr:to>
    <xdr:sp macro="" textlink="">
      <xdr:nvSpPr>
        <xdr:cNvPr id="6158" name="AutoShape 1038" descr="https://www.soccerstats.com/img/own/sshplogo.png">
          <a:hlinkClick xmlns:r="http://schemas.openxmlformats.org/officeDocument/2006/relationships" r:id="rId689"/>
        </xdr:cNvPr>
        <xdr:cNvSpPr>
          <a:spLocks noChangeAspect="1" noChangeArrowheads="1"/>
        </xdr:cNvSpPr>
      </xdr:nvSpPr>
      <xdr:spPr bwMode="auto">
        <a:xfrm>
          <a:off x="13411200" y="6576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152400</xdr:colOff>
      <xdr:row>32</xdr:row>
      <xdr:rowOff>106680</xdr:rowOff>
    </xdr:to>
    <xdr:sp macro="" textlink="">
      <xdr:nvSpPr>
        <xdr:cNvPr id="6159" name="AutoShape 1039" descr="ARGENTINA3"/>
        <xdr:cNvSpPr>
          <a:spLocks noChangeAspect="1" noChangeArrowheads="1"/>
        </xdr:cNvSpPr>
      </xdr:nvSpPr>
      <xdr:spPr bwMode="auto">
        <a:xfrm>
          <a:off x="0" y="6751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32</xdr:row>
      <xdr:rowOff>0</xdr:rowOff>
    </xdr:from>
    <xdr:to>
      <xdr:col>22</xdr:col>
      <xdr:colOff>304800</xdr:colOff>
      <xdr:row>33</xdr:row>
      <xdr:rowOff>129540</xdr:rowOff>
    </xdr:to>
    <xdr:sp macro="" textlink="">
      <xdr:nvSpPr>
        <xdr:cNvPr id="6160" name="AutoShape 1040" descr="https://www.soccerstats.com/img/own/sshplogo.png">
          <a:hlinkClick xmlns:r="http://schemas.openxmlformats.org/officeDocument/2006/relationships" r:id="rId690"/>
        </xdr:cNvPr>
        <xdr:cNvSpPr>
          <a:spLocks noChangeAspect="1" noChangeArrowheads="1"/>
        </xdr:cNvSpPr>
      </xdr:nvSpPr>
      <xdr:spPr bwMode="auto">
        <a:xfrm>
          <a:off x="13411200" y="6751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152400</xdr:colOff>
      <xdr:row>33</xdr:row>
      <xdr:rowOff>106680</xdr:rowOff>
    </xdr:to>
    <xdr:sp macro="" textlink="">
      <xdr:nvSpPr>
        <xdr:cNvPr id="6161" name="AutoShape 1041" descr="ARMENIA"/>
        <xdr:cNvSpPr>
          <a:spLocks noChangeAspect="1" noChangeArrowheads="1"/>
        </xdr:cNvSpPr>
      </xdr:nvSpPr>
      <xdr:spPr bwMode="auto">
        <a:xfrm>
          <a:off x="0" y="6926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33</xdr:row>
      <xdr:rowOff>0</xdr:rowOff>
    </xdr:from>
    <xdr:to>
      <xdr:col>22</xdr:col>
      <xdr:colOff>304800</xdr:colOff>
      <xdr:row>34</xdr:row>
      <xdr:rowOff>129540</xdr:rowOff>
    </xdr:to>
    <xdr:sp macro="" textlink="">
      <xdr:nvSpPr>
        <xdr:cNvPr id="6162" name="AutoShape 1042" descr="https://www.soccerstats.com/img/own/sshplogo.png">
          <a:hlinkClick xmlns:r="http://schemas.openxmlformats.org/officeDocument/2006/relationships" r:id="rId691"/>
        </xdr:cNvPr>
        <xdr:cNvSpPr>
          <a:spLocks noChangeAspect="1" noChangeArrowheads="1"/>
        </xdr:cNvSpPr>
      </xdr:nvSpPr>
      <xdr:spPr bwMode="auto">
        <a:xfrm>
          <a:off x="13411200" y="6926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152400</xdr:colOff>
      <xdr:row>34</xdr:row>
      <xdr:rowOff>106680</xdr:rowOff>
    </xdr:to>
    <xdr:sp macro="" textlink="">
      <xdr:nvSpPr>
        <xdr:cNvPr id="6163" name="AutoShape 1043" descr="AUSTRALIA3"/>
        <xdr:cNvSpPr>
          <a:spLocks noChangeAspect="1" noChangeArrowheads="1"/>
        </xdr:cNvSpPr>
      </xdr:nvSpPr>
      <xdr:spPr bwMode="auto">
        <a:xfrm>
          <a:off x="0" y="7101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34</xdr:row>
      <xdr:rowOff>0</xdr:rowOff>
    </xdr:from>
    <xdr:to>
      <xdr:col>22</xdr:col>
      <xdr:colOff>304800</xdr:colOff>
      <xdr:row>35</xdr:row>
      <xdr:rowOff>53340</xdr:rowOff>
    </xdr:to>
    <xdr:sp macro="" textlink="">
      <xdr:nvSpPr>
        <xdr:cNvPr id="6164" name="AutoShape 1044" descr="https://www.soccerstats.com/img/own/sshplogo.png">
          <a:hlinkClick xmlns:r="http://schemas.openxmlformats.org/officeDocument/2006/relationships" r:id="rId692"/>
        </xdr:cNvPr>
        <xdr:cNvSpPr>
          <a:spLocks noChangeAspect="1" noChangeArrowheads="1"/>
        </xdr:cNvSpPr>
      </xdr:nvSpPr>
      <xdr:spPr bwMode="auto">
        <a:xfrm>
          <a:off x="13411200" y="7101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152400</xdr:colOff>
      <xdr:row>35</xdr:row>
      <xdr:rowOff>106680</xdr:rowOff>
    </xdr:to>
    <xdr:sp macro="" textlink="">
      <xdr:nvSpPr>
        <xdr:cNvPr id="6165" name="AutoShape 1045" descr="AUSTRALIA7"/>
        <xdr:cNvSpPr>
          <a:spLocks noChangeAspect="1" noChangeArrowheads="1"/>
        </xdr:cNvSpPr>
      </xdr:nvSpPr>
      <xdr:spPr bwMode="auto">
        <a:xfrm>
          <a:off x="0" y="7353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35</xdr:row>
      <xdr:rowOff>0</xdr:rowOff>
    </xdr:from>
    <xdr:to>
      <xdr:col>22</xdr:col>
      <xdr:colOff>304800</xdr:colOff>
      <xdr:row>36</xdr:row>
      <xdr:rowOff>129540</xdr:rowOff>
    </xdr:to>
    <xdr:sp macro="" textlink="">
      <xdr:nvSpPr>
        <xdr:cNvPr id="6166" name="AutoShape 1046" descr="https://www.soccerstats.com/img/own/sshplogo.png">
          <a:hlinkClick xmlns:r="http://schemas.openxmlformats.org/officeDocument/2006/relationships" r:id="rId693"/>
        </xdr:cNvPr>
        <xdr:cNvSpPr>
          <a:spLocks noChangeAspect="1" noChangeArrowheads="1"/>
        </xdr:cNvSpPr>
      </xdr:nvSpPr>
      <xdr:spPr bwMode="auto">
        <a:xfrm>
          <a:off x="13411200" y="735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152400</xdr:colOff>
      <xdr:row>36</xdr:row>
      <xdr:rowOff>106680</xdr:rowOff>
    </xdr:to>
    <xdr:sp macro="" textlink="">
      <xdr:nvSpPr>
        <xdr:cNvPr id="6167" name="AutoShape 1047" descr="AUSTRALIA7"/>
        <xdr:cNvSpPr>
          <a:spLocks noChangeAspect="1" noChangeArrowheads="1"/>
        </xdr:cNvSpPr>
      </xdr:nvSpPr>
      <xdr:spPr bwMode="auto">
        <a:xfrm>
          <a:off x="0" y="7604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36</xdr:row>
      <xdr:rowOff>0</xdr:rowOff>
    </xdr:from>
    <xdr:to>
      <xdr:col>22</xdr:col>
      <xdr:colOff>304800</xdr:colOff>
      <xdr:row>37</xdr:row>
      <xdr:rowOff>53340</xdr:rowOff>
    </xdr:to>
    <xdr:sp macro="" textlink="">
      <xdr:nvSpPr>
        <xdr:cNvPr id="6168" name="AutoShape 1048" descr="https://www.soccerstats.com/img/own/sshplogo.png">
          <a:hlinkClick xmlns:r="http://schemas.openxmlformats.org/officeDocument/2006/relationships" r:id="rId694"/>
        </xdr:cNvPr>
        <xdr:cNvSpPr>
          <a:spLocks noChangeAspect="1" noChangeArrowheads="1"/>
        </xdr:cNvSpPr>
      </xdr:nvSpPr>
      <xdr:spPr bwMode="auto">
        <a:xfrm>
          <a:off x="13411200" y="7604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152400</xdr:colOff>
      <xdr:row>37</xdr:row>
      <xdr:rowOff>106680</xdr:rowOff>
    </xdr:to>
    <xdr:sp macro="" textlink="">
      <xdr:nvSpPr>
        <xdr:cNvPr id="6169" name="AutoShape 1049" descr="AUSTRALIA7"/>
        <xdr:cNvSpPr>
          <a:spLocks noChangeAspect="1" noChangeArrowheads="1"/>
        </xdr:cNvSpPr>
      </xdr:nvSpPr>
      <xdr:spPr bwMode="auto">
        <a:xfrm>
          <a:off x="0" y="7856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37</xdr:row>
      <xdr:rowOff>0</xdr:rowOff>
    </xdr:from>
    <xdr:to>
      <xdr:col>22</xdr:col>
      <xdr:colOff>304800</xdr:colOff>
      <xdr:row>38</xdr:row>
      <xdr:rowOff>129540</xdr:rowOff>
    </xdr:to>
    <xdr:sp macro="" textlink="">
      <xdr:nvSpPr>
        <xdr:cNvPr id="6170" name="AutoShape 1050" descr="https://www.soccerstats.com/img/own/sshplogo.png">
          <a:hlinkClick xmlns:r="http://schemas.openxmlformats.org/officeDocument/2006/relationships" r:id="rId695"/>
        </xdr:cNvPr>
        <xdr:cNvSpPr>
          <a:spLocks noChangeAspect="1" noChangeArrowheads="1"/>
        </xdr:cNvSpPr>
      </xdr:nvSpPr>
      <xdr:spPr bwMode="auto">
        <a:xfrm>
          <a:off x="13411200" y="7856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152400</xdr:colOff>
      <xdr:row>38</xdr:row>
      <xdr:rowOff>106680</xdr:rowOff>
    </xdr:to>
    <xdr:sp macro="" textlink="">
      <xdr:nvSpPr>
        <xdr:cNvPr id="6171" name="AutoShape 1051" descr="AUSTRALIA7"/>
        <xdr:cNvSpPr>
          <a:spLocks noChangeAspect="1" noChangeArrowheads="1"/>
        </xdr:cNvSpPr>
      </xdr:nvSpPr>
      <xdr:spPr bwMode="auto">
        <a:xfrm>
          <a:off x="0" y="8107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38</xdr:row>
      <xdr:rowOff>0</xdr:rowOff>
    </xdr:from>
    <xdr:to>
      <xdr:col>22</xdr:col>
      <xdr:colOff>304800</xdr:colOff>
      <xdr:row>39</xdr:row>
      <xdr:rowOff>129540</xdr:rowOff>
    </xdr:to>
    <xdr:sp macro="" textlink="">
      <xdr:nvSpPr>
        <xdr:cNvPr id="6172" name="AutoShape 1052" descr="https://www.soccerstats.com/img/own/sshplogo.png">
          <a:hlinkClick xmlns:r="http://schemas.openxmlformats.org/officeDocument/2006/relationships" r:id="rId696"/>
        </xdr:cNvPr>
        <xdr:cNvSpPr>
          <a:spLocks noChangeAspect="1" noChangeArrowheads="1"/>
        </xdr:cNvSpPr>
      </xdr:nvSpPr>
      <xdr:spPr bwMode="auto">
        <a:xfrm>
          <a:off x="13411200" y="8107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152400</xdr:colOff>
      <xdr:row>39</xdr:row>
      <xdr:rowOff>106680</xdr:rowOff>
    </xdr:to>
    <xdr:sp macro="" textlink="">
      <xdr:nvSpPr>
        <xdr:cNvPr id="6173" name="AutoShape 1053" descr="AUSTRALIA7"/>
        <xdr:cNvSpPr>
          <a:spLocks noChangeAspect="1" noChangeArrowheads="1"/>
        </xdr:cNvSpPr>
      </xdr:nvSpPr>
      <xdr:spPr bwMode="auto">
        <a:xfrm>
          <a:off x="0" y="8359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39</xdr:row>
      <xdr:rowOff>0</xdr:rowOff>
    </xdr:from>
    <xdr:to>
      <xdr:col>22</xdr:col>
      <xdr:colOff>304800</xdr:colOff>
      <xdr:row>40</xdr:row>
      <xdr:rowOff>129540</xdr:rowOff>
    </xdr:to>
    <xdr:sp macro="" textlink="">
      <xdr:nvSpPr>
        <xdr:cNvPr id="6174" name="AutoShape 1054" descr="https://www.soccerstats.com/img/own/sshplogo.png">
          <a:hlinkClick xmlns:r="http://schemas.openxmlformats.org/officeDocument/2006/relationships" r:id="rId697"/>
        </xdr:cNvPr>
        <xdr:cNvSpPr>
          <a:spLocks noChangeAspect="1" noChangeArrowheads="1"/>
        </xdr:cNvSpPr>
      </xdr:nvSpPr>
      <xdr:spPr bwMode="auto">
        <a:xfrm>
          <a:off x="13411200" y="8359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152400</xdr:colOff>
      <xdr:row>40</xdr:row>
      <xdr:rowOff>106680</xdr:rowOff>
    </xdr:to>
    <xdr:sp macro="" textlink="">
      <xdr:nvSpPr>
        <xdr:cNvPr id="6175" name="AutoShape 1055" descr="AUSTRALIA7"/>
        <xdr:cNvSpPr>
          <a:spLocks noChangeAspect="1" noChangeArrowheads="1"/>
        </xdr:cNvSpPr>
      </xdr:nvSpPr>
      <xdr:spPr bwMode="auto">
        <a:xfrm>
          <a:off x="0" y="8534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40</xdr:row>
      <xdr:rowOff>0</xdr:rowOff>
    </xdr:from>
    <xdr:to>
      <xdr:col>22</xdr:col>
      <xdr:colOff>304800</xdr:colOff>
      <xdr:row>41</xdr:row>
      <xdr:rowOff>129540</xdr:rowOff>
    </xdr:to>
    <xdr:sp macro="" textlink="">
      <xdr:nvSpPr>
        <xdr:cNvPr id="6176" name="AutoShape 1056" descr="https://www.soccerstats.com/img/own/sshplogo.png">
          <a:hlinkClick xmlns:r="http://schemas.openxmlformats.org/officeDocument/2006/relationships" r:id="rId698"/>
        </xdr:cNvPr>
        <xdr:cNvSpPr>
          <a:spLocks noChangeAspect="1" noChangeArrowheads="1"/>
        </xdr:cNvSpPr>
      </xdr:nvSpPr>
      <xdr:spPr bwMode="auto">
        <a:xfrm>
          <a:off x="13411200" y="8534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152400</xdr:colOff>
      <xdr:row>41</xdr:row>
      <xdr:rowOff>106680</xdr:rowOff>
    </xdr:to>
    <xdr:sp macro="" textlink="">
      <xdr:nvSpPr>
        <xdr:cNvPr id="6177" name="AutoShape 1057" descr="AUSTRALIA10"/>
        <xdr:cNvSpPr>
          <a:spLocks noChangeAspect="1" noChangeArrowheads="1"/>
        </xdr:cNvSpPr>
      </xdr:nvSpPr>
      <xdr:spPr bwMode="auto">
        <a:xfrm>
          <a:off x="0" y="8709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41</xdr:row>
      <xdr:rowOff>0</xdr:rowOff>
    </xdr:from>
    <xdr:to>
      <xdr:col>22</xdr:col>
      <xdr:colOff>304800</xdr:colOff>
      <xdr:row>42</xdr:row>
      <xdr:rowOff>129540</xdr:rowOff>
    </xdr:to>
    <xdr:sp macro="" textlink="">
      <xdr:nvSpPr>
        <xdr:cNvPr id="6178" name="AutoShape 1058" descr="https://www.soccerstats.com/img/own/sshplogo.png">
          <a:hlinkClick xmlns:r="http://schemas.openxmlformats.org/officeDocument/2006/relationships" r:id="rId699"/>
        </xdr:cNvPr>
        <xdr:cNvSpPr>
          <a:spLocks noChangeAspect="1" noChangeArrowheads="1"/>
        </xdr:cNvSpPr>
      </xdr:nvSpPr>
      <xdr:spPr bwMode="auto">
        <a:xfrm>
          <a:off x="13411200" y="8709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152400</xdr:colOff>
      <xdr:row>42</xdr:row>
      <xdr:rowOff>106680</xdr:rowOff>
    </xdr:to>
    <xdr:sp macro="" textlink="">
      <xdr:nvSpPr>
        <xdr:cNvPr id="6179" name="AutoShape 1059" descr="AUSTRALIA10"/>
        <xdr:cNvSpPr>
          <a:spLocks noChangeAspect="1" noChangeArrowheads="1"/>
        </xdr:cNvSpPr>
      </xdr:nvSpPr>
      <xdr:spPr bwMode="auto">
        <a:xfrm>
          <a:off x="0" y="8961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42</xdr:row>
      <xdr:rowOff>0</xdr:rowOff>
    </xdr:from>
    <xdr:to>
      <xdr:col>22</xdr:col>
      <xdr:colOff>304800</xdr:colOff>
      <xdr:row>43</xdr:row>
      <xdr:rowOff>129540</xdr:rowOff>
    </xdr:to>
    <xdr:sp macro="" textlink="">
      <xdr:nvSpPr>
        <xdr:cNvPr id="6180" name="AutoShape 1060" descr="https://www.soccerstats.com/img/own/sshplogo.png">
          <a:hlinkClick xmlns:r="http://schemas.openxmlformats.org/officeDocument/2006/relationships" r:id="rId700"/>
        </xdr:cNvPr>
        <xdr:cNvSpPr>
          <a:spLocks noChangeAspect="1" noChangeArrowheads="1"/>
        </xdr:cNvSpPr>
      </xdr:nvSpPr>
      <xdr:spPr bwMode="auto">
        <a:xfrm>
          <a:off x="13411200" y="8961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152400</xdr:colOff>
      <xdr:row>43</xdr:row>
      <xdr:rowOff>106680</xdr:rowOff>
    </xdr:to>
    <xdr:sp macro="" textlink="">
      <xdr:nvSpPr>
        <xdr:cNvPr id="6181" name="AutoShape 1061" descr="AUSTRALIA11"/>
        <xdr:cNvSpPr>
          <a:spLocks noChangeAspect="1" noChangeArrowheads="1"/>
        </xdr:cNvSpPr>
      </xdr:nvSpPr>
      <xdr:spPr bwMode="auto">
        <a:xfrm>
          <a:off x="0" y="9212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43</xdr:row>
      <xdr:rowOff>0</xdr:rowOff>
    </xdr:from>
    <xdr:to>
      <xdr:col>22</xdr:col>
      <xdr:colOff>304800</xdr:colOff>
      <xdr:row>44</xdr:row>
      <xdr:rowOff>53340</xdr:rowOff>
    </xdr:to>
    <xdr:sp macro="" textlink="">
      <xdr:nvSpPr>
        <xdr:cNvPr id="6182" name="AutoShape 1062" descr="https://www.soccerstats.com/img/own/sshplogo.png">
          <a:hlinkClick xmlns:r="http://schemas.openxmlformats.org/officeDocument/2006/relationships" r:id="rId701"/>
        </xdr:cNvPr>
        <xdr:cNvSpPr>
          <a:spLocks noChangeAspect="1" noChangeArrowheads="1"/>
        </xdr:cNvSpPr>
      </xdr:nvSpPr>
      <xdr:spPr bwMode="auto">
        <a:xfrm>
          <a:off x="13411200" y="9212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152400</xdr:colOff>
      <xdr:row>44</xdr:row>
      <xdr:rowOff>106680</xdr:rowOff>
    </xdr:to>
    <xdr:sp macro="" textlink="">
      <xdr:nvSpPr>
        <xdr:cNvPr id="6183" name="AutoShape 1063" descr="AUSTRALIA11"/>
        <xdr:cNvSpPr>
          <a:spLocks noChangeAspect="1" noChangeArrowheads="1"/>
        </xdr:cNvSpPr>
      </xdr:nvSpPr>
      <xdr:spPr bwMode="auto">
        <a:xfrm>
          <a:off x="0" y="9464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44</xdr:row>
      <xdr:rowOff>0</xdr:rowOff>
    </xdr:from>
    <xdr:to>
      <xdr:col>22</xdr:col>
      <xdr:colOff>304800</xdr:colOff>
      <xdr:row>45</xdr:row>
      <xdr:rowOff>53340</xdr:rowOff>
    </xdr:to>
    <xdr:sp macro="" textlink="">
      <xdr:nvSpPr>
        <xdr:cNvPr id="6184" name="AutoShape 1064" descr="https://www.soccerstats.com/img/own/sshplogo.png">
          <a:hlinkClick xmlns:r="http://schemas.openxmlformats.org/officeDocument/2006/relationships" r:id="rId702"/>
        </xdr:cNvPr>
        <xdr:cNvSpPr>
          <a:spLocks noChangeAspect="1" noChangeArrowheads="1"/>
        </xdr:cNvSpPr>
      </xdr:nvSpPr>
      <xdr:spPr bwMode="auto">
        <a:xfrm>
          <a:off x="13411200" y="9464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152400</xdr:colOff>
      <xdr:row>45</xdr:row>
      <xdr:rowOff>106680</xdr:rowOff>
    </xdr:to>
    <xdr:sp macro="" textlink="">
      <xdr:nvSpPr>
        <xdr:cNvPr id="6185" name="AutoShape 1065" descr="AUSTRALIA11"/>
        <xdr:cNvSpPr>
          <a:spLocks noChangeAspect="1" noChangeArrowheads="1"/>
        </xdr:cNvSpPr>
      </xdr:nvSpPr>
      <xdr:spPr bwMode="auto">
        <a:xfrm>
          <a:off x="0" y="9639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45</xdr:row>
      <xdr:rowOff>0</xdr:rowOff>
    </xdr:from>
    <xdr:to>
      <xdr:col>22</xdr:col>
      <xdr:colOff>304800</xdr:colOff>
      <xdr:row>46</xdr:row>
      <xdr:rowOff>129540</xdr:rowOff>
    </xdr:to>
    <xdr:sp macro="" textlink="">
      <xdr:nvSpPr>
        <xdr:cNvPr id="6186" name="AutoShape 1066" descr="https://www.soccerstats.com/img/own/sshplogo.png">
          <a:hlinkClick xmlns:r="http://schemas.openxmlformats.org/officeDocument/2006/relationships" r:id="rId703"/>
        </xdr:cNvPr>
        <xdr:cNvSpPr>
          <a:spLocks noChangeAspect="1" noChangeArrowheads="1"/>
        </xdr:cNvSpPr>
      </xdr:nvSpPr>
      <xdr:spPr bwMode="auto">
        <a:xfrm>
          <a:off x="13411200" y="963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152400</xdr:colOff>
      <xdr:row>46</xdr:row>
      <xdr:rowOff>106680</xdr:rowOff>
    </xdr:to>
    <xdr:sp macro="" textlink="">
      <xdr:nvSpPr>
        <xdr:cNvPr id="6187" name="AutoShape 1067" descr="AUSTRIA"/>
        <xdr:cNvSpPr>
          <a:spLocks noChangeAspect="1" noChangeArrowheads="1"/>
        </xdr:cNvSpPr>
      </xdr:nvSpPr>
      <xdr:spPr bwMode="auto">
        <a:xfrm>
          <a:off x="0" y="9890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46</xdr:row>
      <xdr:rowOff>0</xdr:rowOff>
    </xdr:from>
    <xdr:to>
      <xdr:col>22</xdr:col>
      <xdr:colOff>304800</xdr:colOff>
      <xdr:row>47</xdr:row>
      <xdr:rowOff>53340</xdr:rowOff>
    </xdr:to>
    <xdr:sp macro="" textlink="">
      <xdr:nvSpPr>
        <xdr:cNvPr id="6188" name="AutoShape 1068" descr="https://www.soccerstats.com/img/own/sshplogo.png">
          <a:hlinkClick xmlns:r="http://schemas.openxmlformats.org/officeDocument/2006/relationships" r:id="rId704"/>
        </xdr:cNvPr>
        <xdr:cNvSpPr>
          <a:spLocks noChangeAspect="1" noChangeArrowheads="1"/>
        </xdr:cNvSpPr>
      </xdr:nvSpPr>
      <xdr:spPr bwMode="auto">
        <a:xfrm>
          <a:off x="13411200" y="9890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152400</xdr:colOff>
      <xdr:row>47</xdr:row>
      <xdr:rowOff>106680</xdr:rowOff>
    </xdr:to>
    <xdr:sp macro="" textlink="">
      <xdr:nvSpPr>
        <xdr:cNvPr id="6189" name="AutoShape 1069" descr="AUSTRIA"/>
        <xdr:cNvSpPr>
          <a:spLocks noChangeAspect="1" noChangeArrowheads="1"/>
        </xdr:cNvSpPr>
      </xdr:nvSpPr>
      <xdr:spPr bwMode="auto">
        <a:xfrm>
          <a:off x="0" y="10066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47</xdr:row>
      <xdr:rowOff>0</xdr:rowOff>
    </xdr:from>
    <xdr:to>
      <xdr:col>22</xdr:col>
      <xdr:colOff>304800</xdr:colOff>
      <xdr:row>48</xdr:row>
      <xdr:rowOff>129540</xdr:rowOff>
    </xdr:to>
    <xdr:sp macro="" textlink="">
      <xdr:nvSpPr>
        <xdr:cNvPr id="6190" name="AutoShape 1070" descr="https://www.soccerstats.com/img/own/sshplogo.png">
          <a:hlinkClick xmlns:r="http://schemas.openxmlformats.org/officeDocument/2006/relationships" r:id="rId705"/>
        </xdr:cNvPr>
        <xdr:cNvSpPr>
          <a:spLocks noChangeAspect="1" noChangeArrowheads="1"/>
        </xdr:cNvSpPr>
      </xdr:nvSpPr>
      <xdr:spPr bwMode="auto">
        <a:xfrm>
          <a:off x="13411200" y="10066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152400</xdr:colOff>
      <xdr:row>48</xdr:row>
      <xdr:rowOff>106680</xdr:rowOff>
    </xdr:to>
    <xdr:sp macro="" textlink="">
      <xdr:nvSpPr>
        <xdr:cNvPr id="6191" name="AutoShape 1071" descr="AUSTRIA"/>
        <xdr:cNvSpPr>
          <a:spLocks noChangeAspect="1" noChangeArrowheads="1"/>
        </xdr:cNvSpPr>
      </xdr:nvSpPr>
      <xdr:spPr bwMode="auto">
        <a:xfrm>
          <a:off x="0" y="10241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48</xdr:row>
      <xdr:rowOff>0</xdr:rowOff>
    </xdr:from>
    <xdr:to>
      <xdr:col>22</xdr:col>
      <xdr:colOff>304800</xdr:colOff>
      <xdr:row>49</xdr:row>
      <xdr:rowOff>129540</xdr:rowOff>
    </xdr:to>
    <xdr:sp macro="" textlink="">
      <xdr:nvSpPr>
        <xdr:cNvPr id="6192" name="AutoShape 1072" descr="https://www.soccerstats.com/img/own/sshplogo.png">
          <a:hlinkClick xmlns:r="http://schemas.openxmlformats.org/officeDocument/2006/relationships" r:id="rId706"/>
        </xdr:cNvPr>
        <xdr:cNvSpPr>
          <a:spLocks noChangeAspect="1" noChangeArrowheads="1"/>
        </xdr:cNvSpPr>
      </xdr:nvSpPr>
      <xdr:spPr bwMode="auto">
        <a:xfrm>
          <a:off x="13411200" y="10241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152400</xdr:colOff>
      <xdr:row>49</xdr:row>
      <xdr:rowOff>106680</xdr:rowOff>
    </xdr:to>
    <xdr:sp macro="" textlink="">
      <xdr:nvSpPr>
        <xdr:cNvPr id="6193" name="AutoShape 1073" descr="AUSTRIA2"/>
        <xdr:cNvSpPr>
          <a:spLocks noChangeAspect="1" noChangeArrowheads="1"/>
        </xdr:cNvSpPr>
      </xdr:nvSpPr>
      <xdr:spPr bwMode="auto">
        <a:xfrm>
          <a:off x="0" y="10416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49</xdr:row>
      <xdr:rowOff>0</xdr:rowOff>
    </xdr:from>
    <xdr:to>
      <xdr:col>22</xdr:col>
      <xdr:colOff>304800</xdr:colOff>
      <xdr:row>50</xdr:row>
      <xdr:rowOff>129540</xdr:rowOff>
    </xdr:to>
    <xdr:sp macro="" textlink="">
      <xdr:nvSpPr>
        <xdr:cNvPr id="6194" name="AutoShape 1074" descr="https://www.soccerstats.com/img/own/sshplogo.png">
          <a:hlinkClick xmlns:r="http://schemas.openxmlformats.org/officeDocument/2006/relationships" r:id="rId707"/>
        </xdr:cNvPr>
        <xdr:cNvSpPr>
          <a:spLocks noChangeAspect="1" noChangeArrowheads="1"/>
        </xdr:cNvSpPr>
      </xdr:nvSpPr>
      <xdr:spPr bwMode="auto">
        <a:xfrm>
          <a:off x="13411200" y="10416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152400</xdr:colOff>
      <xdr:row>50</xdr:row>
      <xdr:rowOff>106680</xdr:rowOff>
    </xdr:to>
    <xdr:sp macro="" textlink="">
      <xdr:nvSpPr>
        <xdr:cNvPr id="6195" name="AutoShape 1075" descr="BELARUS"/>
        <xdr:cNvSpPr>
          <a:spLocks noChangeAspect="1" noChangeArrowheads="1"/>
        </xdr:cNvSpPr>
      </xdr:nvSpPr>
      <xdr:spPr bwMode="auto">
        <a:xfrm>
          <a:off x="0" y="10591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50</xdr:row>
      <xdr:rowOff>0</xdr:rowOff>
    </xdr:from>
    <xdr:to>
      <xdr:col>22</xdr:col>
      <xdr:colOff>304800</xdr:colOff>
      <xdr:row>51</xdr:row>
      <xdr:rowOff>129540</xdr:rowOff>
    </xdr:to>
    <xdr:sp macro="" textlink="">
      <xdr:nvSpPr>
        <xdr:cNvPr id="6196" name="AutoShape 1076" descr="https://www.soccerstats.com/img/own/sshplogo.png">
          <a:hlinkClick xmlns:r="http://schemas.openxmlformats.org/officeDocument/2006/relationships" r:id="rId708"/>
        </xdr:cNvPr>
        <xdr:cNvSpPr>
          <a:spLocks noChangeAspect="1" noChangeArrowheads="1"/>
        </xdr:cNvSpPr>
      </xdr:nvSpPr>
      <xdr:spPr bwMode="auto">
        <a:xfrm>
          <a:off x="13411200" y="1059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152400</xdr:colOff>
      <xdr:row>51</xdr:row>
      <xdr:rowOff>106680</xdr:rowOff>
    </xdr:to>
    <xdr:sp macro="" textlink="">
      <xdr:nvSpPr>
        <xdr:cNvPr id="6197" name="AutoShape 1077" descr="BELARUS"/>
        <xdr:cNvSpPr>
          <a:spLocks noChangeAspect="1" noChangeArrowheads="1"/>
        </xdr:cNvSpPr>
      </xdr:nvSpPr>
      <xdr:spPr bwMode="auto">
        <a:xfrm>
          <a:off x="0" y="10767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51</xdr:row>
      <xdr:rowOff>0</xdr:rowOff>
    </xdr:from>
    <xdr:to>
      <xdr:col>22</xdr:col>
      <xdr:colOff>304800</xdr:colOff>
      <xdr:row>52</xdr:row>
      <xdr:rowOff>53340</xdr:rowOff>
    </xdr:to>
    <xdr:sp macro="" textlink="">
      <xdr:nvSpPr>
        <xdr:cNvPr id="6198" name="AutoShape 1078" descr="https://www.soccerstats.com/img/own/sshplogo.png">
          <a:hlinkClick xmlns:r="http://schemas.openxmlformats.org/officeDocument/2006/relationships" r:id="rId709"/>
        </xdr:cNvPr>
        <xdr:cNvSpPr>
          <a:spLocks noChangeAspect="1" noChangeArrowheads="1"/>
        </xdr:cNvSpPr>
      </xdr:nvSpPr>
      <xdr:spPr bwMode="auto">
        <a:xfrm>
          <a:off x="13411200" y="10767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152400</xdr:colOff>
      <xdr:row>52</xdr:row>
      <xdr:rowOff>106680</xdr:rowOff>
    </xdr:to>
    <xdr:sp macro="" textlink="">
      <xdr:nvSpPr>
        <xdr:cNvPr id="6199" name="AutoShape 1079" descr="BELARUS"/>
        <xdr:cNvSpPr>
          <a:spLocks noChangeAspect="1" noChangeArrowheads="1"/>
        </xdr:cNvSpPr>
      </xdr:nvSpPr>
      <xdr:spPr bwMode="auto">
        <a:xfrm>
          <a:off x="0" y="11018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52</xdr:row>
      <xdr:rowOff>0</xdr:rowOff>
    </xdr:from>
    <xdr:to>
      <xdr:col>22</xdr:col>
      <xdr:colOff>304800</xdr:colOff>
      <xdr:row>53</xdr:row>
      <xdr:rowOff>129540</xdr:rowOff>
    </xdr:to>
    <xdr:sp macro="" textlink="">
      <xdr:nvSpPr>
        <xdr:cNvPr id="6200" name="AutoShape 1080" descr="https://www.soccerstats.com/img/own/sshplogo.png">
          <a:hlinkClick xmlns:r="http://schemas.openxmlformats.org/officeDocument/2006/relationships" r:id="rId710"/>
        </xdr:cNvPr>
        <xdr:cNvSpPr>
          <a:spLocks noChangeAspect="1" noChangeArrowheads="1"/>
        </xdr:cNvSpPr>
      </xdr:nvSpPr>
      <xdr:spPr bwMode="auto">
        <a:xfrm>
          <a:off x="13411200" y="11018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152400</xdr:colOff>
      <xdr:row>53</xdr:row>
      <xdr:rowOff>106680</xdr:rowOff>
    </xdr:to>
    <xdr:sp macro="" textlink="">
      <xdr:nvSpPr>
        <xdr:cNvPr id="6201" name="AutoShape 1081" descr="BELGIUM"/>
        <xdr:cNvSpPr>
          <a:spLocks noChangeAspect="1" noChangeArrowheads="1"/>
        </xdr:cNvSpPr>
      </xdr:nvSpPr>
      <xdr:spPr bwMode="auto">
        <a:xfrm>
          <a:off x="0" y="11193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53</xdr:row>
      <xdr:rowOff>0</xdr:rowOff>
    </xdr:from>
    <xdr:to>
      <xdr:col>22</xdr:col>
      <xdr:colOff>304800</xdr:colOff>
      <xdr:row>54</xdr:row>
      <xdr:rowOff>53340</xdr:rowOff>
    </xdr:to>
    <xdr:sp macro="" textlink="">
      <xdr:nvSpPr>
        <xdr:cNvPr id="6202" name="AutoShape 1082" descr="https://www.soccerstats.com/img/own/sshplogo.png">
          <a:hlinkClick xmlns:r="http://schemas.openxmlformats.org/officeDocument/2006/relationships" r:id="rId711"/>
        </xdr:cNvPr>
        <xdr:cNvSpPr>
          <a:spLocks noChangeAspect="1" noChangeArrowheads="1"/>
        </xdr:cNvSpPr>
      </xdr:nvSpPr>
      <xdr:spPr bwMode="auto">
        <a:xfrm>
          <a:off x="13411200" y="11193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152400</xdr:colOff>
      <xdr:row>54</xdr:row>
      <xdr:rowOff>106680</xdr:rowOff>
    </xdr:to>
    <xdr:sp macro="" textlink="">
      <xdr:nvSpPr>
        <xdr:cNvPr id="6203" name="AutoShape 1083" descr="BELGIUM"/>
        <xdr:cNvSpPr>
          <a:spLocks noChangeAspect="1" noChangeArrowheads="1"/>
        </xdr:cNvSpPr>
      </xdr:nvSpPr>
      <xdr:spPr bwMode="auto">
        <a:xfrm>
          <a:off x="0" y="11369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54</xdr:row>
      <xdr:rowOff>0</xdr:rowOff>
    </xdr:from>
    <xdr:to>
      <xdr:col>22</xdr:col>
      <xdr:colOff>304800</xdr:colOff>
      <xdr:row>55</xdr:row>
      <xdr:rowOff>53340</xdr:rowOff>
    </xdr:to>
    <xdr:sp macro="" textlink="">
      <xdr:nvSpPr>
        <xdr:cNvPr id="6204" name="AutoShape 1084" descr="https://www.soccerstats.com/img/own/sshplogo.png">
          <a:hlinkClick xmlns:r="http://schemas.openxmlformats.org/officeDocument/2006/relationships" r:id="rId712"/>
        </xdr:cNvPr>
        <xdr:cNvSpPr>
          <a:spLocks noChangeAspect="1" noChangeArrowheads="1"/>
        </xdr:cNvSpPr>
      </xdr:nvSpPr>
      <xdr:spPr bwMode="auto">
        <a:xfrm>
          <a:off x="13411200" y="11369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152400</xdr:colOff>
      <xdr:row>55</xdr:row>
      <xdr:rowOff>106680</xdr:rowOff>
    </xdr:to>
    <xdr:sp macro="" textlink="">
      <xdr:nvSpPr>
        <xdr:cNvPr id="6205" name="AutoShape 1085" descr="BELGIUM"/>
        <xdr:cNvSpPr>
          <a:spLocks noChangeAspect="1" noChangeArrowheads="1"/>
        </xdr:cNvSpPr>
      </xdr:nvSpPr>
      <xdr:spPr bwMode="auto">
        <a:xfrm>
          <a:off x="0" y="11544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55</xdr:row>
      <xdr:rowOff>0</xdr:rowOff>
    </xdr:from>
    <xdr:to>
      <xdr:col>22</xdr:col>
      <xdr:colOff>304800</xdr:colOff>
      <xdr:row>56</xdr:row>
      <xdr:rowOff>129540</xdr:rowOff>
    </xdr:to>
    <xdr:sp macro="" textlink="">
      <xdr:nvSpPr>
        <xdr:cNvPr id="6206" name="AutoShape 1086" descr="https://www.soccerstats.com/img/own/sshplogo.png">
          <a:hlinkClick xmlns:r="http://schemas.openxmlformats.org/officeDocument/2006/relationships" r:id="rId713"/>
        </xdr:cNvPr>
        <xdr:cNvSpPr>
          <a:spLocks noChangeAspect="1" noChangeArrowheads="1"/>
        </xdr:cNvSpPr>
      </xdr:nvSpPr>
      <xdr:spPr bwMode="auto">
        <a:xfrm>
          <a:off x="13411200" y="1154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152400</xdr:colOff>
      <xdr:row>56</xdr:row>
      <xdr:rowOff>106680</xdr:rowOff>
    </xdr:to>
    <xdr:sp macro="" textlink="">
      <xdr:nvSpPr>
        <xdr:cNvPr id="6207" name="AutoShape 1087" descr="BELGIUM"/>
        <xdr:cNvSpPr>
          <a:spLocks noChangeAspect="1" noChangeArrowheads="1"/>
        </xdr:cNvSpPr>
      </xdr:nvSpPr>
      <xdr:spPr bwMode="auto">
        <a:xfrm>
          <a:off x="0" y="11795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56</xdr:row>
      <xdr:rowOff>0</xdr:rowOff>
    </xdr:from>
    <xdr:to>
      <xdr:col>22</xdr:col>
      <xdr:colOff>304800</xdr:colOff>
      <xdr:row>57</xdr:row>
      <xdr:rowOff>53340</xdr:rowOff>
    </xdr:to>
    <xdr:sp macro="" textlink="">
      <xdr:nvSpPr>
        <xdr:cNvPr id="6208" name="AutoShape 1088" descr="https://www.soccerstats.com/img/own/sshplogo.png">
          <a:hlinkClick xmlns:r="http://schemas.openxmlformats.org/officeDocument/2006/relationships" r:id="rId714"/>
        </xdr:cNvPr>
        <xdr:cNvSpPr>
          <a:spLocks noChangeAspect="1" noChangeArrowheads="1"/>
        </xdr:cNvSpPr>
      </xdr:nvSpPr>
      <xdr:spPr bwMode="auto">
        <a:xfrm>
          <a:off x="13411200" y="11795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152400</xdr:colOff>
      <xdr:row>57</xdr:row>
      <xdr:rowOff>106680</xdr:rowOff>
    </xdr:to>
    <xdr:sp macro="" textlink="">
      <xdr:nvSpPr>
        <xdr:cNvPr id="6209" name="AutoShape 1089" descr="BELGIUM2"/>
        <xdr:cNvSpPr>
          <a:spLocks noChangeAspect="1" noChangeArrowheads="1"/>
        </xdr:cNvSpPr>
      </xdr:nvSpPr>
      <xdr:spPr bwMode="auto">
        <a:xfrm>
          <a:off x="0" y="11971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57</xdr:row>
      <xdr:rowOff>0</xdr:rowOff>
    </xdr:from>
    <xdr:to>
      <xdr:col>22</xdr:col>
      <xdr:colOff>304800</xdr:colOff>
      <xdr:row>58</xdr:row>
      <xdr:rowOff>53340</xdr:rowOff>
    </xdr:to>
    <xdr:sp macro="" textlink="">
      <xdr:nvSpPr>
        <xdr:cNvPr id="6210" name="AutoShape 1090" descr="https://www.soccerstats.com/img/own/sshplogo.png">
          <a:hlinkClick xmlns:r="http://schemas.openxmlformats.org/officeDocument/2006/relationships" r:id="rId715"/>
        </xdr:cNvPr>
        <xdr:cNvSpPr>
          <a:spLocks noChangeAspect="1" noChangeArrowheads="1"/>
        </xdr:cNvSpPr>
      </xdr:nvSpPr>
      <xdr:spPr bwMode="auto">
        <a:xfrm>
          <a:off x="13411200" y="11971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152400</xdr:colOff>
      <xdr:row>58</xdr:row>
      <xdr:rowOff>106680</xdr:rowOff>
    </xdr:to>
    <xdr:sp macro="" textlink="">
      <xdr:nvSpPr>
        <xdr:cNvPr id="6211" name="AutoShape 1091" descr="BRAZIL"/>
        <xdr:cNvSpPr>
          <a:spLocks noChangeAspect="1" noChangeArrowheads="1"/>
        </xdr:cNvSpPr>
      </xdr:nvSpPr>
      <xdr:spPr bwMode="auto">
        <a:xfrm>
          <a:off x="0" y="12146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58</xdr:row>
      <xdr:rowOff>0</xdr:rowOff>
    </xdr:from>
    <xdr:to>
      <xdr:col>22</xdr:col>
      <xdr:colOff>304800</xdr:colOff>
      <xdr:row>59</xdr:row>
      <xdr:rowOff>53340</xdr:rowOff>
    </xdr:to>
    <xdr:sp macro="" textlink="">
      <xdr:nvSpPr>
        <xdr:cNvPr id="6212" name="AutoShape 1092" descr="https://www.soccerstats.com/img/own/sshplogo.png">
          <a:hlinkClick xmlns:r="http://schemas.openxmlformats.org/officeDocument/2006/relationships" r:id="rId716"/>
        </xdr:cNvPr>
        <xdr:cNvSpPr>
          <a:spLocks noChangeAspect="1" noChangeArrowheads="1"/>
        </xdr:cNvSpPr>
      </xdr:nvSpPr>
      <xdr:spPr bwMode="auto">
        <a:xfrm>
          <a:off x="13411200" y="12146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152400</xdr:colOff>
      <xdr:row>59</xdr:row>
      <xdr:rowOff>106680</xdr:rowOff>
    </xdr:to>
    <xdr:sp macro="" textlink="">
      <xdr:nvSpPr>
        <xdr:cNvPr id="6213" name="AutoShape 1093" descr="BRAZIL"/>
        <xdr:cNvSpPr>
          <a:spLocks noChangeAspect="1" noChangeArrowheads="1"/>
        </xdr:cNvSpPr>
      </xdr:nvSpPr>
      <xdr:spPr bwMode="auto">
        <a:xfrm>
          <a:off x="0" y="12321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59</xdr:row>
      <xdr:rowOff>0</xdr:rowOff>
    </xdr:from>
    <xdr:to>
      <xdr:col>22</xdr:col>
      <xdr:colOff>304800</xdr:colOff>
      <xdr:row>60</xdr:row>
      <xdr:rowOff>53340</xdr:rowOff>
    </xdr:to>
    <xdr:sp macro="" textlink="">
      <xdr:nvSpPr>
        <xdr:cNvPr id="6214" name="AutoShape 1094" descr="https://www.soccerstats.com/img/own/sshplogo.png">
          <a:hlinkClick xmlns:r="http://schemas.openxmlformats.org/officeDocument/2006/relationships" r:id="rId717"/>
        </xdr:cNvPr>
        <xdr:cNvSpPr>
          <a:spLocks noChangeAspect="1" noChangeArrowheads="1"/>
        </xdr:cNvSpPr>
      </xdr:nvSpPr>
      <xdr:spPr bwMode="auto">
        <a:xfrm>
          <a:off x="13411200" y="12321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152400</xdr:colOff>
      <xdr:row>60</xdr:row>
      <xdr:rowOff>106680</xdr:rowOff>
    </xdr:to>
    <xdr:sp macro="" textlink="">
      <xdr:nvSpPr>
        <xdr:cNvPr id="6215" name="AutoShape 1095" descr="BRAZIL"/>
        <xdr:cNvSpPr>
          <a:spLocks noChangeAspect="1" noChangeArrowheads="1"/>
        </xdr:cNvSpPr>
      </xdr:nvSpPr>
      <xdr:spPr bwMode="auto">
        <a:xfrm>
          <a:off x="0" y="12496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60</xdr:row>
      <xdr:rowOff>0</xdr:rowOff>
    </xdr:from>
    <xdr:to>
      <xdr:col>22</xdr:col>
      <xdr:colOff>304800</xdr:colOff>
      <xdr:row>60</xdr:row>
      <xdr:rowOff>304800</xdr:rowOff>
    </xdr:to>
    <xdr:sp macro="" textlink="">
      <xdr:nvSpPr>
        <xdr:cNvPr id="6216" name="AutoShape 1096" descr="https://www.soccerstats.com/img/own/sshplogo.png">
          <a:hlinkClick xmlns:r="http://schemas.openxmlformats.org/officeDocument/2006/relationships" r:id="rId718"/>
        </xdr:cNvPr>
        <xdr:cNvSpPr>
          <a:spLocks noChangeAspect="1" noChangeArrowheads="1"/>
        </xdr:cNvSpPr>
      </xdr:nvSpPr>
      <xdr:spPr bwMode="auto">
        <a:xfrm>
          <a:off x="13411200" y="12496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152400</xdr:colOff>
      <xdr:row>61</xdr:row>
      <xdr:rowOff>106680</xdr:rowOff>
    </xdr:to>
    <xdr:sp macro="" textlink="">
      <xdr:nvSpPr>
        <xdr:cNvPr id="6217" name="AutoShape 1097" descr="BRAZIL"/>
        <xdr:cNvSpPr>
          <a:spLocks noChangeAspect="1" noChangeArrowheads="1"/>
        </xdr:cNvSpPr>
      </xdr:nvSpPr>
      <xdr:spPr bwMode="auto">
        <a:xfrm>
          <a:off x="0" y="12672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61</xdr:row>
      <xdr:rowOff>0</xdr:rowOff>
    </xdr:from>
    <xdr:to>
      <xdr:col>22</xdr:col>
      <xdr:colOff>304800</xdr:colOff>
      <xdr:row>62</xdr:row>
      <xdr:rowOff>53340</xdr:rowOff>
    </xdr:to>
    <xdr:sp macro="" textlink="">
      <xdr:nvSpPr>
        <xdr:cNvPr id="6218" name="AutoShape 1098" descr="https://www.soccerstats.com/img/own/sshplogo.png">
          <a:hlinkClick xmlns:r="http://schemas.openxmlformats.org/officeDocument/2006/relationships" r:id="rId719"/>
        </xdr:cNvPr>
        <xdr:cNvSpPr>
          <a:spLocks noChangeAspect="1" noChangeArrowheads="1"/>
        </xdr:cNvSpPr>
      </xdr:nvSpPr>
      <xdr:spPr bwMode="auto">
        <a:xfrm>
          <a:off x="13411200" y="12672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152400</xdr:colOff>
      <xdr:row>62</xdr:row>
      <xdr:rowOff>106680</xdr:rowOff>
    </xdr:to>
    <xdr:sp macro="" textlink="">
      <xdr:nvSpPr>
        <xdr:cNvPr id="6219" name="AutoShape 1099" descr="BRAZIL"/>
        <xdr:cNvSpPr>
          <a:spLocks noChangeAspect="1" noChangeArrowheads="1"/>
        </xdr:cNvSpPr>
      </xdr:nvSpPr>
      <xdr:spPr bwMode="auto">
        <a:xfrm>
          <a:off x="0" y="12923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62</xdr:row>
      <xdr:rowOff>0</xdr:rowOff>
    </xdr:from>
    <xdr:to>
      <xdr:col>22</xdr:col>
      <xdr:colOff>304800</xdr:colOff>
      <xdr:row>63</xdr:row>
      <xdr:rowOff>53340</xdr:rowOff>
    </xdr:to>
    <xdr:sp macro="" textlink="">
      <xdr:nvSpPr>
        <xdr:cNvPr id="6220" name="AutoShape 1100" descr="https://www.soccerstats.com/img/own/sshplogo.png">
          <a:hlinkClick xmlns:r="http://schemas.openxmlformats.org/officeDocument/2006/relationships" r:id="rId720"/>
        </xdr:cNvPr>
        <xdr:cNvSpPr>
          <a:spLocks noChangeAspect="1" noChangeArrowheads="1"/>
        </xdr:cNvSpPr>
      </xdr:nvSpPr>
      <xdr:spPr bwMode="auto">
        <a:xfrm>
          <a:off x="13411200" y="12923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152400</xdr:colOff>
      <xdr:row>63</xdr:row>
      <xdr:rowOff>106680</xdr:rowOff>
    </xdr:to>
    <xdr:sp macro="" textlink="">
      <xdr:nvSpPr>
        <xdr:cNvPr id="6221" name="AutoShape 1101" descr="BRAZIL"/>
        <xdr:cNvSpPr>
          <a:spLocks noChangeAspect="1" noChangeArrowheads="1"/>
        </xdr:cNvSpPr>
      </xdr:nvSpPr>
      <xdr:spPr bwMode="auto">
        <a:xfrm>
          <a:off x="0" y="13098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63</xdr:row>
      <xdr:rowOff>0</xdr:rowOff>
    </xdr:from>
    <xdr:to>
      <xdr:col>22</xdr:col>
      <xdr:colOff>304800</xdr:colOff>
      <xdr:row>64</xdr:row>
      <xdr:rowOff>53340</xdr:rowOff>
    </xdr:to>
    <xdr:sp macro="" textlink="">
      <xdr:nvSpPr>
        <xdr:cNvPr id="6222" name="AutoShape 1102" descr="https://www.soccerstats.com/img/own/sshplogo.png">
          <a:hlinkClick xmlns:r="http://schemas.openxmlformats.org/officeDocument/2006/relationships" r:id="rId721"/>
        </xdr:cNvPr>
        <xdr:cNvSpPr>
          <a:spLocks noChangeAspect="1" noChangeArrowheads="1"/>
        </xdr:cNvSpPr>
      </xdr:nvSpPr>
      <xdr:spPr bwMode="auto">
        <a:xfrm>
          <a:off x="13411200" y="13098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152400</xdr:colOff>
      <xdr:row>64</xdr:row>
      <xdr:rowOff>106680</xdr:rowOff>
    </xdr:to>
    <xdr:sp macro="" textlink="">
      <xdr:nvSpPr>
        <xdr:cNvPr id="6223" name="AutoShape 1103" descr="BRAZIL"/>
        <xdr:cNvSpPr>
          <a:spLocks noChangeAspect="1" noChangeArrowheads="1"/>
        </xdr:cNvSpPr>
      </xdr:nvSpPr>
      <xdr:spPr bwMode="auto">
        <a:xfrm>
          <a:off x="0" y="13274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64</xdr:row>
      <xdr:rowOff>0</xdr:rowOff>
    </xdr:from>
    <xdr:to>
      <xdr:col>22</xdr:col>
      <xdr:colOff>304800</xdr:colOff>
      <xdr:row>65</xdr:row>
      <xdr:rowOff>129540</xdr:rowOff>
    </xdr:to>
    <xdr:sp macro="" textlink="">
      <xdr:nvSpPr>
        <xdr:cNvPr id="6224" name="AutoShape 1104" descr="https://www.soccerstats.com/img/own/sshplogo.png">
          <a:hlinkClick xmlns:r="http://schemas.openxmlformats.org/officeDocument/2006/relationships" r:id="rId722"/>
        </xdr:cNvPr>
        <xdr:cNvSpPr>
          <a:spLocks noChangeAspect="1" noChangeArrowheads="1"/>
        </xdr:cNvSpPr>
      </xdr:nvSpPr>
      <xdr:spPr bwMode="auto">
        <a:xfrm>
          <a:off x="13411200" y="13274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152400</xdr:colOff>
      <xdr:row>65</xdr:row>
      <xdr:rowOff>106680</xdr:rowOff>
    </xdr:to>
    <xdr:sp macro="" textlink="">
      <xdr:nvSpPr>
        <xdr:cNvPr id="6225" name="AutoShape 1105" descr="BRAZIL2"/>
        <xdr:cNvSpPr>
          <a:spLocks noChangeAspect="1" noChangeArrowheads="1"/>
        </xdr:cNvSpPr>
      </xdr:nvSpPr>
      <xdr:spPr bwMode="auto">
        <a:xfrm>
          <a:off x="0" y="13449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65</xdr:row>
      <xdr:rowOff>0</xdr:rowOff>
    </xdr:from>
    <xdr:to>
      <xdr:col>22</xdr:col>
      <xdr:colOff>304800</xdr:colOff>
      <xdr:row>66</xdr:row>
      <xdr:rowOff>129540</xdr:rowOff>
    </xdr:to>
    <xdr:sp macro="" textlink="">
      <xdr:nvSpPr>
        <xdr:cNvPr id="6226" name="AutoShape 1106" descr="https://www.soccerstats.com/img/own/sshplogo.png">
          <a:hlinkClick xmlns:r="http://schemas.openxmlformats.org/officeDocument/2006/relationships" r:id="rId723"/>
        </xdr:cNvPr>
        <xdr:cNvSpPr>
          <a:spLocks noChangeAspect="1" noChangeArrowheads="1"/>
        </xdr:cNvSpPr>
      </xdr:nvSpPr>
      <xdr:spPr bwMode="auto">
        <a:xfrm>
          <a:off x="13411200" y="1344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152400</xdr:colOff>
      <xdr:row>66</xdr:row>
      <xdr:rowOff>106680</xdr:rowOff>
    </xdr:to>
    <xdr:sp macro="" textlink="">
      <xdr:nvSpPr>
        <xdr:cNvPr id="6227" name="AutoShape 1107" descr="BRAZIL2"/>
        <xdr:cNvSpPr>
          <a:spLocks noChangeAspect="1" noChangeArrowheads="1"/>
        </xdr:cNvSpPr>
      </xdr:nvSpPr>
      <xdr:spPr bwMode="auto">
        <a:xfrm>
          <a:off x="0" y="13624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66</xdr:row>
      <xdr:rowOff>0</xdr:rowOff>
    </xdr:from>
    <xdr:to>
      <xdr:col>22</xdr:col>
      <xdr:colOff>304800</xdr:colOff>
      <xdr:row>67</xdr:row>
      <xdr:rowOff>129540</xdr:rowOff>
    </xdr:to>
    <xdr:sp macro="" textlink="">
      <xdr:nvSpPr>
        <xdr:cNvPr id="6228" name="AutoShape 1108" descr="https://www.soccerstats.com/img/own/sshplogo.png">
          <a:hlinkClick xmlns:r="http://schemas.openxmlformats.org/officeDocument/2006/relationships" r:id="rId724"/>
        </xdr:cNvPr>
        <xdr:cNvSpPr>
          <a:spLocks noChangeAspect="1" noChangeArrowheads="1"/>
        </xdr:cNvSpPr>
      </xdr:nvSpPr>
      <xdr:spPr bwMode="auto">
        <a:xfrm>
          <a:off x="13411200" y="13624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152400</xdr:colOff>
      <xdr:row>67</xdr:row>
      <xdr:rowOff>106680</xdr:rowOff>
    </xdr:to>
    <xdr:sp macro="" textlink="">
      <xdr:nvSpPr>
        <xdr:cNvPr id="6229" name="AutoShape 1109" descr="BRAZIL2"/>
        <xdr:cNvSpPr>
          <a:spLocks noChangeAspect="1" noChangeArrowheads="1"/>
        </xdr:cNvSpPr>
      </xdr:nvSpPr>
      <xdr:spPr bwMode="auto">
        <a:xfrm>
          <a:off x="0" y="13799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67</xdr:row>
      <xdr:rowOff>0</xdr:rowOff>
    </xdr:from>
    <xdr:to>
      <xdr:col>22</xdr:col>
      <xdr:colOff>304800</xdr:colOff>
      <xdr:row>68</xdr:row>
      <xdr:rowOff>129540</xdr:rowOff>
    </xdr:to>
    <xdr:sp macro="" textlink="">
      <xdr:nvSpPr>
        <xdr:cNvPr id="6230" name="AutoShape 1110" descr="https://www.soccerstats.com/img/own/sshplogo.png">
          <a:hlinkClick xmlns:r="http://schemas.openxmlformats.org/officeDocument/2006/relationships" r:id="rId725"/>
        </xdr:cNvPr>
        <xdr:cNvSpPr>
          <a:spLocks noChangeAspect="1" noChangeArrowheads="1"/>
        </xdr:cNvSpPr>
      </xdr:nvSpPr>
      <xdr:spPr bwMode="auto">
        <a:xfrm>
          <a:off x="13411200" y="13799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152400</xdr:colOff>
      <xdr:row>68</xdr:row>
      <xdr:rowOff>106680</xdr:rowOff>
    </xdr:to>
    <xdr:sp macro="" textlink="">
      <xdr:nvSpPr>
        <xdr:cNvPr id="6231" name="AutoShape 1111" descr="BRAZIL3"/>
        <xdr:cNvSpPr>
          <a:spLocks noChangeAspect="1" noChangeArrowheads="1"/>
        </xdr:cNvSpPr>
      </xdr:nvSpPr>
      <xdr:spPr bwMode="auto">
        <a:xfrm>
          <a:off x="0" y="14051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68</xdr:row>
      <xdr:rowOff>0</xdr:rowOff>
    </xdr:from>
    <xdr:to>
      <xdr:col>22</xdr:col>
      <xdr:colOff>304800</xdr:colOff>
      <xdr:row>69</xdr:row>
      <xdr:rowOff>129540</xdr:rowOff>
    </xdr:to>
    <xdr:sp macro="" textlink="">
      <xdr:nvSpPr>
        <xdr:cNvPr id="6232" name="AutoShape 1112" descr="https://www.soccerstats.com/img/own/sshplogo.png">
          <a:hlinkClick xmlns:r="http://schemas.openxmlformats.org/officeDocument/2006/relationships" r:id="rId726"/>
        </xdr:cNvPr>
        <xdr:cNvSpPr>
          <a:spLocks noChangeAspect="1" noChangeArrowheads="1"/>
        </xdr:cNvSpPr>
      </xdr:nvSpPr>
      <xdr:spPr bwMode="auto">
        <a:xfrm>
          <a:off x="13411200" y="14051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152400</xdr:colOff>
      <xdr:row>69</xdr:row>
      <xdr:rowOff>106680</xdr:rowOff>
    </xdr:to>
    <xdr:sp macro="" textlink="">
      <xdr:nvSpPr>
        <xdr:cNvPr id="6233" name="AutoShape 1113" descr="BRAZIL3"/>
        <xdr:cNvSpPr>
          <a:spLocks noChangeAspect="1" noChangeArrowheads="1"/>
        </xdr:cNvSpPr>
      </xdr:nvSpPr>
      <xdr:spPr bwMode="auto">
        <a:xfrm>
          <a:off x="0" y="14226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69</xdr:row>
      <xdr:rowOff>0</xdr:rowOff>
    </xdr:from>
    <xdr:to>
      <xdr:col>22</xdr:col>
      <xdr:colOff>304800</xdr:colOff>
      <xdr:row>70</xdr:row>
      <xdr:rowOff>129540</xdr:rowOff>
    </xdr:to>
    <xdr:sp macro="" textlink="">
      <xdr:nvSpPr>
        <xdr:cNvPr id="6234" name="AutoShape 1114" descr="https://www.soccerstats.com/img/own/sshplogo.png">
          <a:hlinkClick xmlns:r="http://schemas.openxmlformats.org/officeDocument/2006/relationships" r:id="rId727"/>
        </xdr:cNvPr>
        <xdr:cNvSpPr>
          <a:spLocks noChangeAspect="1" noChangeArrowheads="1"/>
        </xdr:cNvSpPr>
      </xdr:nvSpPr>
      <xdr:spPr bwMode="auto">
        <a:xfrm>
          <a:off x="13411200" y="14226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152400</xdr:colOff>
      <xdr:row>70</xdr:row>
      <xdr:rowOff>106680</xdr:rowOff>
    </xdr:to>
    <xdr:sp macro="" textlink="">
      <xdr:nvSpPr>
        <xdr:cNvPr id="6235" name="AutoShape 1115" descr="BRAZIL3"/>
        <xdr:cNvSpPr>
          <a:spLocks noChangeAspect="1" noChangeArrowheads="1"/>
        </xdr:cNvSpPr>
      </xdr:nvSpPr>
      <xdr:spPr bwMode="auto">
        <a:xfrm>
          <a:off x="0" y="14401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70</xdr:row>
      <xdr:rowOff>0</xdr:rowOff>
    </xdr:from>
    <xdr:to>
      <xdr:col>22</xdr:col>
      <xdr:colOff>304800</xdr:colOff>
      <xdr:row>71</xdr:row>
      <xdr:rowOff>129540</xdr:rowOff>
    </xdr:to>
    <xdr:sp macro="" textlink="">
      <xdr:nvSpPr>
        <xdr:cNvPr id="6236" name="AutoShape 1116" descr="https://www.soccerstats.com/img/own/sshplogo.png">
          <a:hlinkClick xmlns:r="http://schemas.openxmlformats.org/officeDocument/2006/relationships" r:id="rId728"/>
        </xdr:cNvPr>
        <xdr:cNvSpPr>
          <a:spLocks noChangeAspect="1" noChangeArrowheads="1"/>
        </xdr:cNvSpPr>
      </xdr:nvSpPr>
      <xdr:spPr bwMode="auto">
        <a:xfrm>
          <a:off x="13411200" y="1440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152400</xdr:colOff>
      <xdr:row>71</xdr:row>
      <xdr:rowOff>106680</xdr:rowOff>
    </xdr:to>
    <xdr:sp macro="" textlink="">
      <xdr:nvSpPr>
        <xdr:cNvPr id="6237" name="AutoShape 1117" descr="BRAZIL3"/>
        <xdr:cNvSpPr>
          <a:spLocks noChangeAspect="1" noChangeArrowheads="1"/>
        </xdr:cNvSpPr>
      </xdr:nvSpPr>
      <xdr:spPr bwMode="auto">
        <a:xfrm>
          <a:off x="0" y="14577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71</xdr:row>
      <xdr:rowOff>0</xdr:rowOff>
    </xdr:from>
    <xdr:to>
      <xdr:col>22</xdr:col>
      <xdr:colOff>304800</xdr:colOff>
      <xdr:row>72</xdr:row>
      <xdr:rowOff>53340</xdr:rowOff>
    </xdr:to>
    <xdr:sp macro="" textlink="">
      <xdr:nvSpPr>
        <xdr:cNvPr id="6238" name="AutoShape 1118" descr="https://www.soccerstats.com/img/own/sshplogo.png">
          <a:hlinkClick xmlns:r="http://schemas.openxmlformats.org/officeDocument/2006/relationships" r:id="rId729"/>
        </xdr:cNvPr>
        <xdr:cNvSpPr>
          <a:spLocks noChangeAspect="1" noChangeArrowheads="1"/>
        </xdr:cNvSpPr>
      </xdr:nvSpPr>
      <xdr:spPr bwMode="auto">
        <a:xfrm>
          <a:off x="13411200" y="14577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152400</xdr:colOff>
      <xdr:row>72</xdr:row>
      <xdr:rowOff>106680</xdr:rowOff>
    </xdr:to>
    <xdr:sp macro="" textlink="">
      <xdr:nvSpPr>
        <xdr:cNvPr id="6239" name="AutoShape 1119" descr="BRAZIL5"/>
        <xdr:cNvSpPr>
          <a:spLocks noChangeAspect="1" noChangeArrowheads="1"/>
        </xdr:cNvSpPr>
      </xdr:nvSpPr>
      <xdr:spPr bwMode="auto">
        <a:xfrm>
          <a:off x="0" y="14752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72</xdr:row>
      <xdr:rowOff>0</xdr:rowOff>
    </xdr:from>
    <xdr:to>
      <xdr:col>22</xdr:col>
      <xdr:colOff>304800</xdr:colOff>
      <xdr:row>73</xdr:row>
      <xdr:rowOff>53340</xdr:rowOff>
    </xdr:to>
    <xdr:sp macro="" textlink="">
      <xdr:nvSpPr>
        <xdr:cNvPr id="6240" name="AutoShape 1120" descr="https://www.soccerstats.com/img/own/sshplogo.png">
          <a:hlinkClick xmlns:r="http://schemas.openxmlformats.org/officeDocument/2006/relationships" r:id="rId730"/>
        </xdr:cNvPr>
        <xdr:cNvSpPr>
          <a:spLocks noChangeAspect="1" noChangeArrowheads="1"/>
        </xdr:cNvSpPr>
      </xdr:nvSpPr>
      <xdr:spPr bwMode="auto">
        <a:xfrm>
          <a:off x="13411200" y="14752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152400</xdr:colOff>
      <xdr:row>73</xdr:row>
      <xdr:rowOff>106680</xdr:rowOff>
    </xdr:to>
    <xdr:sp macro="" textlink="">
      <xdr:nvSpPr>
        <xdr:cNvPr id="6241" name="AutoShape 1121" descr="BRAZIL5"/>
        <xdr:cNvSpPr>
          <a:spLocks noChangeAspect="1" noChangeArrowheads="1"/>
        </xdr:cNvSpPr>
      </xdr:nvSpPr>
      <xdr:spPr bwMode="auto">
        <a:xfrm>
          <a:off x="0" y="14927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73</xdr:row>
      <xdr:rowOff>0</xdr:rowOff>
    </xdr:from>
    <xdr:to>
      <xdr:col>22</xdr:col>
      <xdr:colOff>304800</xdr:colOff>
      <xdr:row>74</xdr:row>
      <xdr:rowOff>129540</xdr:rowOff>
    </xdr:to>
    <xdr:sp macro="" textlink="">
      <xdr:nvSpPr>
        <xdr:cNvPr id="6242" name="AutoShape 1122" descr="https://www.soccerstats.com/img/own/sshplogo.png">
          <a:hlinkClick xmlns:r="http://schemas.openxmlformats.org/officeDocument/2006/relationships" r:id="rId731"/>
        </xdr:cNvPr>
        <xdr:cNvSpPr>
          <a:spLocks noChangeAspect="1" noChangeArrowheads="1"/>
        </xdr:cNvSpPr>
      </xdr:nvSpPr>
      <xdr:spPr bwMode="auto">
        <a:xfrm>
          <a:off x="13411200" y="14927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152400</xdr:colOff>
      <xdr:row>74</xdr:row>
      <xdr:rowOff>106680</xdr:rowOff>
    </xdr:to>
    <xdr:sp macro="" textlink="">
      <xdr:nvSpPr>
        <xdr:cNvPr id="6243" name="AutoShape 1123" descr="BRAZIL5"/>
        <xdr:cNvSpPr>
          <a:spLocks noChangeAspect="1" noChangeArrowheads="1"/>
        </xdr:cNvSpPr>
      </xdr:nvSpPr>
      <xdr:spPr bwMode="auto">
        <a:xfrm>
          <a:off x="0" y="15102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74</xdr:row>
      <xdr:rowOff>0</xdr:rowOff>
    </xdr:from>
    <xdr:to>
      <xdr:col>22</xdr:col>
      <xdr:colOff>304800</xdr:colOff>
      <xdr:row>75</xdr:row>
      <xdr:rowOff>129540</xdr:rowOff>
    </xdr:to>
    <xdr:sp macro="" textlink="">
      <xdr:nvSpPr>
        <xdr:cNvPr id="6244" name="AutoShape 1124" descr="https://www.soccerstats.com/img/own/sshplogo.png">
          <a:hlinkClick xmlns:r="http://schemas.openxmlformats.org/officeDocument/2006/relationships" r:id="rId732"/>
        </xdr:cNvPr>
        <xdr:cNvSpPr>
          <a:spLocks noChangeAspect="1" noChangeArrowheads="1"/>
        </xdr:cNvSpPr>
      </xdr:nvSpPr>
      <xdr:spPr bwMode="auto">
        <a:xfrm>
          <a:off x="13411200" y="15102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152400</xdr:colOff>
      <xdr:row>75</xdr:row>
      <xdr:rowOff>106680</xdr:rowOff>
    </xdr:to>
    <xdr:sp macro="" textlink="">
      <xdr:nvSpPr>
        <xdr:cNvPr id="6245" name="AutoShape 1125" descr="BULGARIA"/>
        <xdr:cNvSpPr>
          <a:spLocks noChangeAspect="1" noChangeArrowheads="1"/>
        </xdr:cNvSpPr>
      </xdr:nvSpPr>
      <xdr:spPr bwMode="auto">
        <a:xfrm>
          <a:off x="0" y="15278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75</xdr:row>
      <xdr:rowOff>0</xdr:rowOff>
    </xdr:from>
    <xdr:to>
      <xdr:col>22</xdr:col>
      <xdr:colOff>304800</xdr:colOff>
      <xdr:row>76</xdr:row>
      <xdr:rowOff>129540</xdr:rowOff>
    </xdr:to>
    <xdr:sp macro="" textlink="">
      <xdr:nvSpPr>
        <xdr:cNvPr id="6246" name="AutoShape 1126" descr="https://www.soccerstats.com/img/own/sshplogo.png">
          <a:hlinkClick xmlns:r="http://schemas.openxmlformats.org/officeDocument/2006/relationships" r:id="rId733"/>
        </xdr:cNvPr>
        <xdr:cNvSpPr>
          <a:spLocks noChangeAspect="1" noChangeArrowheads="1"/>
        </xdr:cNvSpPr>
      </xdr:nvSpPr>
      <xdr:spPr bwMode="auto">
        <a:xfrm>
          <a:off x="13411200" y="15278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152400</xdr:colOff>
      <xdr:row>76</xdr:row>
      <xdr:rowOff>106680</xdr:rowOff>
    </xdr:to>
    <xdr:sp macro="" textlink="">
      <xdr:nvSpPr>
        <xdr:cNvPr id="6247" name="AutoShape 1127" descr="BULGARIA"/>
        <xdr:cNvSpPr>
          <a:spLocks noChangeAspect="1" noChangeArrowheads="1"/>
        </xdr:cNvSpPr>
      </xdr:nvSpPr>
      <xdr:spPr bwMode="auto">
        <a:xfrm>
          <a:off x="0" y="15453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76</xdr:row>
      <xdr:rowOff>0</xdr:rowOff>
    </xdr:from>
    <xdr:to>
      <xdr:col>22</xdr:col>
      <xdr:colOff>304800</xdr:colOff>
      <xdr:row>77</xdr:row>
      <xdr:rowOff>129540</xdr:rowOff>
    </xdr:to>
    <xdr:sp macro="" textlink="">
      <xdr:nvSpPr>
        <xdr:cNvPr id="6248" name="AutoShape 1128" descr="https://www.soccerstats.com/img/own/sshplogo.png">
          <a:hlinkClick xmlns:r="http://schemas.openxmlformats.org/officeDocument/2006/relationships" r:id="rId734"/>
        </xdr:cNvPr>
        <xdr:cNvSpPr>
          <a:spLocks noChangeAspect="1" noChangeArrowheads="1"/>
        </xdr:cNvSpPr>
      </xdr:nvSpPr>
      <xdr:spPr bwMode="auto">
        <a:xfrm>
          <a:off x="13411200" y="15453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152400</xdr:colOff>
      <xdr:row>77</xdr:row>
      <xdr:rowOff>106680</xdr:rowOff>
    </xdr:to>
    <xdr:sp macro="" textlink="">
      <xdr:nvSpPr>
        <xdr:cNvPr id="6249" name="AutoShape 1129" descr="BULGARIA2"/>
        <xdr:cNvSpPr>
          <a:spLocks noChangeAspect="1" noChangeArrowheads="1"/>
        </xdr:cNvSpPr>
      </xdr:nvSpPr>
      <xdr:spPr bwMode="auto">
        <a:xfrm>
          <a:off x="0" y="15628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77</xdr:row>
      <xdr:rowOff>0</xdr:rowOff>
    </xdr:from>
    <xdr:to>
      <xdr:col>22</xdr:col>
      <xdr:colOff>304800</xdr:colOff>
      <xdr:row>78</xdr:row>
      <xdr:rowOff>129540</xdr:rowOff>
    </xdr:to>
    <xdr:sp macro="" textlink="">
      <xdr:nvSpPr>
        <xdr:cNvPr id="6250" name="AutoShape 1130" descr="https://www.soccerstats.com/img/own/sshplogo.png">
          <a:hlinkClick xmlns:r="http://schemas.openxmlformats.org/officeDocument/2006/relationships" r:id="rId735"/>
        </xdr:cNvPr>
        <xdr:cNvSpPr>
          <a:spLocks noChangeAspect="1" noChangeArrowheads="1"/>
        </xdr:cNvSpPr>
      </xdr:nvSpPr>
      <xdr:spPr bwMode="auto">
        <a:xfrm>
          <a:off x="13411200" y="15628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152400</xdr:colOff>
      <xdr:row>78</xdr:row>
      <xdr:rowOff>106680</xdr:rowOff>
    </xdr:to>
    <xdr:sp macro="" textlink="">
      <xdr:nvSpPr>
        <xdr:cNvPr id="6251" name="AutoShape 1131" descr="BULGARIA2"/>
        <xdr:cNvSpPr>
          <a:spLocks noChangeAspect="1" noChangeArrowheads="1"/>
        </xdr:cNvSpPr>
      </xdr:nvSpPr>
      <xdr:spPr bwMode="auto">
        <a:xfrm>
          <a:off x="0" y="15880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78</xdr:row>
      <xdr:rowOff>0</xdr:rowOff>
    </xdr:from>
    <xdr:to>
      <xdr:col>22</xdr:col>
      <xdr:colOff>304800</xdr:colOff>
      <xdr:row>79</xdr:row>
      <xdr:rowOff>129540</xdr:rowOff>
    </xdr:to>
    <xdr:sp macro="" textlink="">
      <xdr:nvSpPr>
        <xdr:cNvPr id="6252" name="AutoShape 1132" descr="https://www.soccerstats.com/img/own/sshplogo.png">
          <a:hlinkClick xmlns:r="http://schemas.openxmlformats.org/officeDocument/2006/relationships" r:id="rId736"/>
        </xdr:cNvPr>
        <xdr:cNvSpPr>
          <a:spLocks noChangeAspect="1" noChangeArrowheads="1"/>
        </xdr:cNvSpPr>
      </xdr:nvSpPr>
      <xdr:spPr bwMode="auto">
        <a:xfrm>
          <a:off x="13411200" y="15880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152400</xdr:colOff>
      <xdr:row>79</xdr:row>
      <xdr:rowOff>106680</xdr:rowOff>
    </xdr:to>
    <xdr:sp macro="" textlink="">
      <xdr:nvSpPr>
        <xdr:cNvPr id="6253" name="AutoShape 1133" descr="BULGARIA2"/>
        <xdr:cNvSpPr>
          <a:spLocks noChangeAspect="1" noChangeArrowheads="1"/>
        </xdr:cNvSpPr>
      </xdr:nvSpPr>
      <xdr:spPr bwMode="auto">
        <a:xfrm>
          <a:off x="0" y="16131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79</xdr:row>
      <xdr:rowOff>0</xdr:rowOff>
    </xdr:from>
    <xdr:to>
      <xdr:col>22</xdr:col>
      <xdr:colOff>304800</xdr:colOff>
      <xdr:row>80</xdr:row>
      <xdr:rowOff>53340</xdr:rowOff>
    </xdr:to>
    <xdr:sp macro="" textlink="">
      <xdr:nvSpPr>
        <xdr:cNvPr id="6254" name="AutoShape 1134" descr="https://www.soccerstats.com/img/own/sshplogo.png">
          <a:hlinkClick xmlns:r="http://schemas.openxmlformats.org/officeDocument/2006/relationships" r:id="rId737"/>
        </xdr:cNvPr>
        <xdr:cNvSpPr>
          <a:spLocks noChangeAspect="1" noChangeArrowheads="1"/>
        </xdr:cNvSpPr>
      </xdr:nvSpPr>
      <xdr:spPr bwMode="auto">
        <a:xfrm>
          <a:off x="13411200" y="16131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152400</xdr:colOff>
      <xdr:row>80</xdr:row>
      <xdr:rowOff>106680</xdr:rowOff>
    </xdr:to>
    <xdr:sp macro="" textlink="">
      <xdr:nvSpPr>
        <xdr:cNvPr id="6255" name="AutoShape 1135" descr="BULGARIA2"/>
        <xdr:cNvSpPr>
          <a:spLocks noChangeAspect="1" noChangeArrowheads="1"/>
        </xdr:cNvSpPr>
      </xdr:nvSpPr>
      <xdr:spPr bwMode="auto">
        <a:xfrm>
          <a:off x="0" y="16306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80</xdr:row>
      <xdr:rowOff>0</xdr:rowOff>
    </xdr:from>
    <xdr:to>
      <xdr:col>22</xdr:col>
      <xdr:colOff>304800</xdr:colOff>
      <xdr:row>81</xdr:row>
      <xdr:rowOff>129540</xdr:rowOff>
    </xdr:to>
    <xdr:sp macro="" textlink="">
      <xdr:nvSpPr>
        <xdr:cNvPr id="6256" name="AutoShape 1136" descr="https://www.soccerstats.com/img/own/sshplogo.png">
          <a:hlinkClick xmlns:r="http://schemas.openxmlformats.org/officeDocument/2006/relationships" r:id="rId738"/>
        </xdr:cNvPr>
        <xdr:cNvSpPr>
          <a:spLocks noChangeAspect="1" noChangeArrowheads="1"/>
        </xdr:cNvSpPr>
      </xdr:nvSpPr>
      <xdr:spPr bwMode="auto">
        <a:xfrm>
          <a:off x="13411200" y="16306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152400</xdr:colOff>
      <xdr:row>81</xdr:row>
      <xdr:rowOff>106680</xdr:rowOff>
    </xdr:to>
    <xdr:sp macro="" textlink="">
      <xdr:nvSpPr>
        <xdr:cNvPr id="6257" name="AutoShape 1137" descr="BULGARIA2"/>
        <xdr:cNvSpPr>
          <a:spLocks noChangeAspect="1" noChangeArrowheads="1"/>
        </xdr:cNvSpPr>
      </xdr:nvSpPr>
      <xdr:spPr bwMode="auto">
        <a:xfrm>
          <a:off x="0" y="16482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81</xdr:row>
      <xdr:rowOff>0</xdr:rowOff>
    </xdr:from>
    <xdr:to>
      <xdr:col>22</xdr:col>
      <xdr:colOff>304800</xdr:colOff>
      <xdr:row>82</xdr:row>
      <xdr:rowOff>53340</xdr:rowOff>
    </xdr:to>
    <xdr:sp macro="" textlink="">
      <xdr:nvSpPr>
        <xdr:cNvPr id="6258" name="AutoShape 1138" descr="https://www.soccerstats.com/img/own/sshplogo.png">
          <a:hlinkClick xmlns:r="http://schemas.openxmlformats.org/officeDocument/2006/relationships" r:id="rId739"/>
        </xdr:cNvPr>
        <xdr:cNvSpPr>
          <a:spLocks noChangeAspect="1" noChangeArrowheads="1"/>
        </xdr:cNvSpPr>
      </xdr:nvSpPr>
      <xdr:spPr bwMode="auto">
        <a:xfrm>
          <a:off x="13411200" y="16482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152400</xdr:colOff>
      <xdr:row>82</xdr:row>
      <xdr:rowOff>106680</xdr:rowOff>
    </xdr:to>
    <xdr:sp macro="" textlink="">
      <xdr:nvSpPr>
        <xdr:cNvPr id="6259" name="AutoShape 1139" descr="CANADA"/>
        <xdr:cNvSpPr>
          <a:spLocks noChangeAspect="1" noChangeArrowheads="1"/>
        </xdr:cNvSpPr>
      </xdr:nvSpPr>
      <xdr:spPr bwMode="auto">
        <a:xfrm>
          <a:off x="0" y="16657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82</xdr:row>
      <xdr:rowOff>0</xdr:rowOff>
    </xdr:from>
    <xdr:to>
      <xdr:col>22</xdr:col>
      <xdr:colOff>304800</xdr:colOff>
      <xdr:row>83</xdr:row>
      <xdr:rowOff>129540</xdr:rowOff>
    </xdr:to>
    <xdr:sp macro="" textlink="">
      <xdr:nvSpPr>
        <xdr:cNvPr id="6260" name="AutoShape 1140" descr="https://www.soccerstats.com/img/own/sshplogo.png">
          <a:hlinkClick xmlns:r="http://schemas.openxmlformats.org/officeDocument/2006/relationships" r:id="rId740"/>
        </xdr:cNvPr>
        <xdr:cNvSpPr>
          <a:spLocks noChangeAspect="1" noChangeArrowheads="1"/>
        </xdr:cNvSpPr>
      </xdr:nvSpPr>
      <xdr:spPr bwMode="auto">
        <a:xfrm>
          <a:off x="13411200" y="16657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152400</xdr:colOff>
      <xdr:row>83</xdr:row>
      <xdr:rowOff>106680</xdr:rowOff>
    </xdr:to>
    <xdr:sp macro="" textlink="">
      <xdr:nvSpPr>
        <xdr:cNvPr id="6261" name="AutoShape 1141" descr="CANADA"/>
        <xdr:cNvSpPr>
          <a:spLocks noChangeAspect="1" noChangeArrowheads="1"/>
        </xdr:cNvSpPr>
      </xdr:nvSpPr>
      <xdr:spPr bwMode="auto">
        <a:xfrm>
          <a:off x="0" y="16908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83</xdr:row>
      <xdr:rowOff>0</xdr:rowOff>
    </xdr:from>
    <xdr:to>
      <xdr:col>22</xdr:col>
      <xdr:colOff>304800</xdr:colOff>
      <xdr:row>84</xdr:row>
      <xdr:rowOff>53340</xdr:rowOff>
    </xdr:to>
    <xdr:sp macro="" textlink="">
      <xdr:nvSpPr>
        <xdr:cNvPr id="6262" name="AutoShape 1142" descr="https://www.soccerstats.com/img/own/sshplogo.png">
          <a:hlinkClick xmlns:r="http://schemas.openxmlformats.org/officeDocument/2006/relationships" r:id="rId741"/>
        </xdr:cNvPr>
        <xdr:cNvSpPr>
          <a:spLocks noChangeAspect="1" noChangeArrowheads="1"/>
        </xdr:cNvSpPr>
      </xdr:nvSpPr>
      <xdr:spPr bwMode="auto">
        <a:xfrm>
          <a:off x="13411200" y="16908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152400</xdr:colOff>
      <xdr:row>84</xdr:row>
      <xdr:rowOff>106680</xdr:rowOff>
    </xdr:to>
    <xdr:sp macro="" textlink="">
      <xdr:nvSpPr>
        <xdr:cNvPr id="6263" name="AutoShape 1143" descr="CHILE"/>
        <xdr:cNvSpPr>
          <a:spLocks noChangeAspect="1" noChangeArrowheads="1"/>
        </xdr:cNvSpPr>
      </xdr:nvSpPr>
      <xdr:spPr bwMode="auto">
        <a:xfrm>
          <a:off x="0" y="17160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84</xdr:row>
      <xdr:rowOff>0</xdr:rowOff>
    </xdr:from>
    <xdr:to>
      <xdr:col>22</xdr:col>
      <xdr:colOff>304800</xdr:colOff>
      <xdr:row>85</xdr:row>
      <xdr:rowOff>129540</xdr:rowOff>
    </xdr:to>
    <xdr:sp macro="" textlink="">
      <xdr:nvSpPr>
        <xdr:cNvPr id="6264" name="AutoShape 1144" descr="https://www.soccerstats.com/img/own/sshplogo.png">
          <a:hlinkClick xmlns:r="http://schemas.openxmlformats.org/officeDocument/2006/relationships" r:id="rId742"/>
        </xdr:cNvPr>
        <xdr:cNvSpPr>
          <a:spLocks noChangeAspect="1" noChangeArrowheads="1"/>
        </xdr:cNvSpPr>
      </xdr:nvSpPr>
      <xdr:spPr bwMode="auto">
        <a:xfrm>
          <a:off x="13411200" y="17160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152400</xdr:colOff>
      <xdr:row>85</xdr:row>
      <xdr:rowOff>106680</xdr:rowOff>
    </xdr:to>
    <xdr:sp macro="" textlink="">
      <xdr:nvSpPr>
        <xdr:cNvPr id="6265" name="AutoShape 1145" descr="CHILE"/>
        <xdr:cNvSpPr>
          <a:spLocks noChangeAspect="1" noChangeArrowheads="1"/>
        </xdr:cNvSpPr>
      </xdr:nvSpPr>
      <xdr:spPr bwMode="auto">
        <a:xfrm>
          <a:off x="0" y="17411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85</xdr:row>
      <xdr:rowOff>0</xdr:rowOff>
    </xdr:from>
    <xdr:to>
      <xdr:col>22</xdr:col>
      <xdr:colOff>304800</xdr:colOff>
      <xdr:row>86</xdr:row>
      <xdr:rowOff>129540</xdr:rowOff>
    </xdr:to>
    <xdr:sp macro="" textlink="">
      <xdr:nvSpPr>
        <xdr:cNvPr id="6266" name="AutoShape 1146" descr="https://www.soccerstats.com/img/own/sshplogo.png">
          <a:hlinkClick xmlns:r="http://schemas.openxmlformats.org/officeDocument/2006/relationships" r:id="rId743"/>
        </xdr:cNvPr>
        <xdr:cNvSpPr>
          <a:spLocks noChangeAspect="1" noChangeArrowheads="1"/>
        </xdr:cNvSpPr>
      </xdr:nvSpPr>
      <xdr:spPr bwMode="auto">
        <a:xfrm>
          <a:off x="13411200" y="1741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152400</xdr:colOff>
      <xdr:row>86</xdr:row>
      <xdr:rowOff>106680</xdr:rowOff>
    </xdr:to>
    <xdr:sp macro="" textlink="">
      <xdr:nvSpPr>
        <xdr:cNvPr id="6267" name="AutoShape 1147" descr="CHILE"/>
        <xdr:cNvSpPr>
          <a:spLocks noChangeAspect="1" noChangeArrowheads="1"/>
        </xdr:cNvSpPr>
      </xdr:nvSpPr>
      <xdr:spPr bwMode="auto">
        <a:xfrm>
          <a:off x="0" y="17663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86</xdr:row>
      <xdr:rowOff>0</xdr:rowOff>
    </xdr:from>
    <xdr:to>
      <xdr:col>22</xdr:col>
      <xdr:colOff>304800</xdr:colOff>
      <xdr:row>87</xdr:row>
      <xdr:rowOff>53340</xdr:rowOff>
    </xdr:to>
    <xdr:sp macro="" textlink="">
      <xdr:nvSpPr>
        <xdr:cNvPr id="6268" name="AutoShape 1148" descr="https://www.soccerstats.com/img/own/sshplogo.png">
          <a:hlinkClick xmlns:r="http://schemas.openxmlformats.org/officeDocument/2006/relationships" r:id="rId744"/>
        </xdr:cNvPr>
        <xdr:cNvSpPr>
          <a:spLocks noChangeAspect="1" noChangeArrowheads="1"/>
        </xdr:cNvSpPr>
      </xdr:nvSpPr>
      <xdr:spPr bwMode="auto">
        <a:xfrm>
          <a:off x="13411200" y="17663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152400</xdr:colOff>
      <xdr:row>87</xdr:row>
      <xdr:rowOff>106680</xdr:rowOff>
    </xdr:to>
    <xdr:sp macro="" textlink="">
      <xdr:nvSpPr>
        <xdr:cNvPr id="6269" name="AutoShape 1149" descr="CHILE"/>
        <xdr:cNvSpPr>
          <a:spLocks noChangeAspect="1" noChangeArrowheads="1"/>
        </xdr:cNvSpPr>
      </xdr:nvSpPr>
      <xdr:spPr bwMode="auto">
        <a:xfrm>
          <a:off x="0" y="17838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87</xdr:row>
      <xdr:rowOff>0</xdr:rowOff>
    </xdr:from>
    <xdr:to>
      <xdr:col>22</xdr:col>
      <xdr:colOff>304800</xdr:colOff>
      <xdr:row>88</xdr:row>
      <xdr:rowOff>129540</xdr:rowOff>
    </xdr:to>
    <xdr:sp macro="" textlink="">
      <xdr:nvSpPr>
        <xdr:cNvPr id="6270" name="AutoShape 1150" descr="https://www.soccerstats.com/img/own/sshplogo.png">
          <a:hlinkClick xmlns:r="http://schemas.openxmlformats.org/officeDocument/2006/relationships" r:id="rId745"/>
        </xdr:cNvPr>
        <xdr:cNvSpPr>
          <a:spLocks noChangeAspect="1" noChangeArrowheads="1"/>
        </xdr:cNvSpPr>
      </xdr:nvSpPr>
      <xdr:spPr bwMode="auto">
        <a:xfrm>
          <a:off x="13411200" y="17838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152400</xdr:colOff>
      <xdr:row>88</xdr:row>
      <xdr:rowOff>106680</xdr:rowOff>
    </xdr:to>
    <xdr:sp macro="" textlink="">
      <xdr:nvSpPr>
        <xdr:cNvPr id="6271" name="AutoShape 1151" descr="CHILE2"/>
        <xdr:cNvSpPr>
          <a:spLocks noChangeAspect="1" noChangeArrowheads="1"/>
        </xdr:cNvSpPr>
      </xdr:nvSpPr>
      <xdr:spPr bwMode="auto">
        <a:xfrm>
          <a:off x="0" y="18013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88</xdr:row>
      <xdr:rowOff>0</xdr:rowOff>
    </xdr:from>
    <xdr:to>
      <xdr:col>22</xdr:col>
      <xdr:colOff>304800</xdr:colOff>
      <xdr:row>89</xdr:row>
      <xdr:rowOff>53340</xdr:rowOff>
    </xdr:to>
    <xdr:sp macro="" textlink="">
      <xdr:nvSpPr>
        <xdr:cNvPr id="6272" name="AutoShape 1152" descr="https://www.soccerstats.com/img/own/sshplogo.png">
          <a:hlinkClick xmlns:r="http://schemas.openxmlformats.org/officeDocument/2006/relationships" r:id="rId746"/>
        </xdr:cNvPr>
        <xdr:cNvSpPr>
          <a:spLocks noChangeAspect="1" noChangeArrowheads="1"/>
        </xdr:cNvSpPr>
      </xdr:nvSpPr>
      <xdr:spPr bwMode="auto">
        <a:xfrm>
          <a:off x="13411200" y="18013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152400</xdr:colOff>
      <xdr:row>89</xdr:row>
      <xdr:rowOff>106680</xdr:rowOff>
    </xdr:to>
    <xdr:sp macro="" textlink="">
      <xdr:nvSpPr>
        <xdr:cNvPr id="6273" name="AutoShape 1153" descr="CHILE2"/>
        <xdr:cNvSpPr>
          <a:spLocks noChangeAspect="1" noChangeArrowheads="1"/>
        </xdr:cNvSpPr>
      </xdr:nvSpPr>
      <xdr:spPr bwMode="auto">
        <a:xfrm>
          <a:off x="0" y="18265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89</xdr:row>
      <xdr:rowOff>0</xdr:rowOff>
    </xdr:from>
    <xdr:to>
      <xdr:col>22</xdr:col>
      <xdr:colOff>304800</xdr:colOff>
      <xdr:row>90</xdr:row>
      <xdr:rowOff>53340</xdr:rowOff>
    </xdr:to>
    <xdr:sp macro="" textlink="">
      <xdr:nvSpPr>
        <xdr:cNvPr id="6274" name="AutoShape 1154" descr="https://www.soccerstats.com/img/own/sshplogo.png">
          <a:hlinkClick xmlns:r="http://schemas.openxmlformats.org/officeDocument/2006/relationships" r:id="rId747"/>
        </xdr:cNvPr>
        <xdr:cNvSpPr>
          <a:spLocks noChangeAspect="1" noChangeArrowheads="1"/>
        </xdr:cNvSpPr>
      </xdr:nvSpPr>
      <xdr:spPr bwMode="auto">
        <a:xfrm>
          <a:off x="13411200" y="18265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152400</xdr:colOff>
      <xdr:row>90</xdr:row>
      <xdr:rowOff>106680</xdr:rowOff>
    </xdr:to>
    <xdr:sp macro="" textlink="">
      <xdr:nvSpPr>
        <xdr:cNvPr id="6275" name="AutoShape 1155" descr="CHILE2"/>
        <xdr:cNvSpPr>
          <a:spLocks noChangeAspect="1" noChangeArrowheads="1"/>
        </xdr:cNvSpPr>
      </xdr:nvSpPr>
      <xdr:spPr bwMode="auto">
        <a:xfrm>
          <a:off x="0" y="18440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90</xdr:row>
      <xdr:rowOff>0</xdr:rowOff>
    </xdr:from>
    <xdr:to>
      <xdr:col>22</xdr:col>
      <xdr:colOff>304800</xdr:colOff>
      <xdr:row>91</xdr:row>
      <xdr:rowOff>129540</xdr:rowOff>
    </xdr:to>
    <xdr:sp macro="" textlink="">
      <xdr:nvSpPr>
        <xdr:cNvPr id="6276" name="AutoShape 1156" descr="https://www.soccerstats.com/img/own/sshplogo.png">
          <a:hlinkClick xmlns:r="http://schemas.openxmlformats.org/officeDocument/2006/relationships" r:id="rId748"/>
        </xdr:cNvPr>
        <xdr:cNvSpPr>
          <a:spLocks noChangeAspect="1" noChangeArrowheads="1"/>
        </xdr:cNvSpPr>
      </xdr:nvSpPr>
      <xdr:spPr bwMode="auto">
        <a:xfrm>
          <a:off x="13411200" y="18440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152400</xdr:colOff>
      <xdr:row>91</xdr:row>
      <xdr:rowOff>106680</xdr:rowOff>
    </xdr:to>
    <xdr:sp macro="" textlink="">
      <xdr:nvSpPr>
        <xdr:cNvPr id="6277" name="AutoShape 1157" descr="CHINA2"/>
        <xdr:cNvSpPr>
          <a:spLocks noChangeAspect="1" noChangeArrowheads="1"/>
        </xdr:cNvSpPr>
      </xdr:nvSpPr>
      <xdr:spPr bwMode="auto">
        <a:xfrm>
          <a:off x="0" y="18615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91</xdr:row>
      <xdr:rowOff>0</xdr:rowOff>
    </xdr:from>
    <xdr:to>
      <xdr:col>22</xdr:col>
      <xdr:colOff>304800</xdr:colOff>
      <xdr:row>92</xdr:row>
      <xdr:rowOff>129540</xdr:rowOff>
    </xdr:to>
    <xdr:sp macro="" textlink="">
      <xdr:nvSpPr>
        <xdr:cNvPr id="6278" name="AutoShape 1158" descr="https://www.soccerstats.com/img/own/sshplogo.png">
          <a:hlinkClick xmlns:r="http://schemas.openxmlformats.org/officeDocument/2006/relationships" r:id="rId749"/>
        </xdr:cNvPr>
        <xdr:cNvSpPr>
          <a:spLocks noChangeAspect="1" noChangeArrowheads="1"/>
        </xdr:cNvSpPr>
      </xdr:nvSpPr>
      <xdr:spPr bwMode="auto">
        <a:xfrm>
          <a:off x="13411200" y="18615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152400</xdr:colOff>
      <xdr:row>92</xdr:row>
      <xdr:rowOff>106680</xdr:rowOff>
    </xdr:to>
    <xdr:sp macro="" textlink="">
      <xdr:nvSpPr>
        <xdr:cNvPr id="6279" name="AutoShape 1159" descr="CHINA2"/>
        <xdr:cNvSpPr>
          <a:spLocks noChangeAspect="1" noChangeArrowheads="1"/>
        </xdr:cNvSpPr>
      </xdr:nvSpPr>
      <xdr:spPr bwMode="auto">
        <a:xfrm>
          <a:off x="0" y="18867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92</xdr:row>
      <xdr:rowOff>0</xdr:rowOff>
    </xdr:from>
    <xdr:to>
      <xdr:col>22</xdr:col>
      <xdr:colOff>304800</xdr:colOff>
      <xdr:row>93</xdr:row>
      <xdr:rowOff>129540</xdr:rowOff>
    </xdr:to>
    <xdr:sp macro="" textlink="">
      <xdr:nvSpPr>
        <xdr:cNvPr id="6280" name="AutoShape 1160" descr="https://www.soccerstats.com/img/own/sshplogo.png">
          <a:hlinkClick xmlns:r="http://schemas.openxmlformats.org/officeDocument/2006/relationships" r:id="rId750"/>
        </xdr:cNvPr>
        <xdr:cNvSpPr>
          <a:spLocks noChangeAspect="1" noChangeArrowheads="1"/>
        </xdr:cNvSpPr>
      </xdr:nvSpPr>
      <xdr:spPr bwMode="auto">
        <a:xfrm>
          <a:off x="13411200" y="18867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152400</xdr:colOff>
      <xdr:row>93</xdr:row>
      <xdr:rowOff>106680</xdr:rowOff>
    </xdr:to>
    <xdr:sp macro="" textlink="">
      <xdr:nvSpPr>
        <xdr:cNvPr id="6281" name="AutoShape 1161" descr="CHINA2"/>
        <xdr:cNvSpPr>
          <a:spLocks noChangeAspect="1" noChangeArrowheads="1"/>
        </xdr:cNvSpPr>
      </xdr:nvSpPr>
      <xdr:spPr bwMode="auto">
        <a:xfrm>
          <a:off x="0" y="19118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93</xdr:row>
      <xdr:rowOff>0</xdr:rowOff>
    </xdr:from>
    <xdr:to>
      <xdr:col>22</xdr:col>
      <xdr:colOff>304800</xdr:colOff>
      <xdr:row>94</xdr:row>
      <xdr:rowOff>129540</xdr:rowOff>
    </xdr:to>
    <xdr:sp macro="" textlink="">
      <xdr:nvSpPr>
        <xdr:cNvPr id="6282" name="AutoShape 1162" descr="https://www.soccerstats.com/img/own/sshplogo.png">
          <a:hlinkClick xmlns:r="http://schemas.openxmlformats.org/officeDocument/2006/relationships" r:id="rId751"/>
        </xdr:cNvPr>
        <xdr:cNvSpPr>
          <a:spLocks noChangeAspect="1" noChangeArrowheads="1"/>
        </xdr:cNvSpPr>
      </xdr:nvSpPr>
      <xdr:spPr bwMode="auto">
        <a:xfrm>
          <a:off x="13411200" y="19118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152400</xdr:colOff>
      <xdr:row>94</xdr:row>
      <xdr:rowOff>106680</xdr:rowOff>
    </xdr:to>
    <xdr:sp macro="" textlink="">
      <xdr:nvSpPr>
        <xdr:cNvPr id="6283" name="AutoShape 1163" descr="CHINA2"/>
        <xdr:cNvSpPr>
          <a:spLocks noChangeAspect="1" noChangeArrowheads="1"/>
        </xdr:cNvSpPr>
      </xdr:nvSpPr>
      <xdr:spPr bwMode="auto">
        <a:xfrm>
          <a:off x="0" y="19370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94</xdr:row>
      <xdr:rowOff>0</xdr:rowOff>
    </xdr:from>
    <xdr:to>
      <xdr:col>22</xdr:col>
      <xdr:colOff>304800</xdr:colOff>
      <xdr:row>95</xdr:row>
      <xdr:rowOff>129540</xdr:rowOff>
    </xdr:to>
    <xdr:sp macro="" textlink="">
      <xdr:nvSpPr>
        <xdr:cNvPr id="6284" name="AutoShape 1164" descr="https://www.soccerstats.com/img/own/sshplogo.png">
          <a:hlinkClick xmlns:r="http://schemas.openxmlformats.org/officeDocument/2006/relationships" r:id="rId752"/>
        </xdr:cNvPr>
        <xdr:cNvSpPr>
          <a:spLocks noChangeAspect="1" noChangeArrowheads="1"/>
        </xdr:cNvSpPr>
      </xdr:nvSpPr>
      <xdr:spPr bwMode="auto">
        <a:xfrm>
          <a:off x="13411200" y="19370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152400</xdr:colOff>
      <xdr:row>95</xdr:row>
      <xdr:rowOff>106680</xdr:rowOff>
    </xdr:to>
    <xdr:sp macro="" textlink="">
      <xdr:nvSpPr>
        <xdr:cNvPr id="6285" name="AutoShape 1165" descr="COLOMBIA2"/>
        <xdr:cNvSpPr>
          <a:spLocks noChangeAspect="1" noChangeArrowheads="1"/>
        </xdr:cNvSpPr>
      </xdr:nvSpPr>
      <xdr:spPr bwMode="auto">
        <a:xfrm>
          <a:off x="0" y="19545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95</xdr:row>
      <xdr:rowOff>0</xdr:rowOff>
    </xdr:from>
    <xdr:to>
      <xdr:col>22</xdr:col>
      <xdr:colOff>304800</xdr:colOff>
      <xdr:row>96</xdr:row>
      <xdr:rowOff>53340</xdr:rowOff>
    </xdr:to>
    <xdr:sp macro="" textlink="">
      <xdr:nvSpPr>
        <xdr:cNvPr id="6286" name="AutoShape 1166" descr="https://www.soccerstats.com/img/own/sshplogo.png">
          <a:hlinkClick xmlns:r="http://schemas.openxmlformats.org/officeDocument/2006/relationships" r:id="rId753"/>
        </xdr:cNvPr>
        <xdr:cNvSpPr>
          <a:spLocks noChangeAspect="1" noChangeArrowheads="1"/>
        </xdr:cNvSpPr>
      </xdr:nvSpPr>
      <xdr:spPr bwMode="auto">
        <a:xfrm>
          <a:off x="13411200" y="1954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152400</xdr:colOff>
      <xdr:row>96</xdr:row>
      <xdr:rowOff>106680</xdr:rowOff>
    </xdr:to>
    <xdr:sp macro="" textlink="">
      <xdr:nvSpPr>
        <xdr:cNvPr id="6287" name="AutoShape 1167" descr="COLOMBIA2"/>
        <xdr:cNvSpPr>
          <a:spLocks noChangeAspect="1" noChangeArrowheads="1"/>
        </xdr:cNvSpPr>
      </xdr:nvSpPr>
      <xdr:spPr bwMode="auto">
        <a:xfrm>
          <a:off x="0" y="19720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96</xdr:row>
      <xdr:rowOff>0</xdr:rowOff>
    </xdr:from>
    <xdr:to>
      <xdr:col>22</xdr:col>
      <xdr:colOff>304800</xdr:colOff>
      <xdr:row>97</xdr:row>
      <xdr:rowOff>129540</xdr:rowOff>
    </xdr:to>
    <xdr:sp macro="" textlink="">
      <xdr:nvSpPr>
        <xdr:cNvPr id="6288" name="AutoShape 1168" descr="https://www.soccerstats.com/img/own/sshplogo.png">
          <a:hlinkClick xmlns:r="http://schemas.openxmlformats.org/officeDocument/2006/relationships" r:id="rId754"/>
        </xdr:cNvPr>
        <xdr:cNvSpPr>
          <a:spLocks noChangeAspect="1" noChangeArrowheads="1"/>
        </xdr:cNvSpPr>
      </xdr:nvSpPr>
      <xdr:spPr bwMode="auto">
        <a:xfrm>
          <a:off x="13411200" y="19720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152400</xdr:colOff>
      <xdr:row>97</xdr:row>
      <xdr:rowOff>106680</xdr:rowOff>
    </xdr:to>
    <xdr:sp macro="" textlink="">
      <xdr:nvSpPr>
        <xdr:cNvPr id="6289" name="AutoShape 1169" descr="COLOMBIA2"/>
        <xdr:cNvSpPr>
          <a:spLocks noChangeAspect="1" noChangeArrowheads="1"/>
        </xdr:cNvSpPr>
      </xdr:nvSpPr>
      <xdr:spPr bwMode="auto">
        <a:xfrm>
          <a:off x="0" y="19972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97</xdr:row>
      <xdr:rowOff>0</xdr:rowOff>
    </xdr:from>
    <xdr:to>
      <xdr:col>22</xdr:col>
      <xdr:colOff>304800</xdr:colOff>
      <xdr:row>98</xdr:row>
      <xdr:rowOff>129540</xdr:rowOff>
    </xdr:to>
    <xdr:sp macro="" textlink="">
      <xdr:nvSpPr>
        <xdr:cNvPr id="6290" name="AutoShape 1170" descr="https://www.soccerstats.com/img/own/sshplogo.png">
          <a:hlinkClick xmlns:r="http://schemas.openxmlformats.org/officeDocument/2006/relationships" r:id="rId755"/>
        </xdr:cNvPr>
        <xdr:cNvSpPr>
          <a:spLocks noChangeAspect="1" noChangeArrowheads="1"/>
        </xdr:cNvSpPr>
      </xdr:nvSpPr>
      <xdr:spPr bwMode="auto">
        <a:xfrm>
          <a:off x="13411200" y="19972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152400</xdr:colOff>
      <xdr:row>98</xdr:row>
      <xdr:rowOff>106680</xdr:rowOff>
    </xdr:to>
    <xdr:sp macro="" textlink="">
      <xdr:nvSpPr>
        <xdr:cNvPr id="6291" name="AutoShape 1171" descr="COSTARICA"/>
        <xdr:cNvSpPr>
          <a:spLocks noChangeAspect="1" noChangeArrowheads="1"/>
        </xdr:cNvSpPr>
      </xdr:nvSpPr>
      <xdr:spPr bwMode="auto">
        <a:xfrm>
          <a:off x="0" y="20223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98</xdr:row>
      <xdr:rowOff>0</xdr:rowOff>
    </xdr:from>
    <xdr:to>
      <xdr:col>22</xdr:col>
      <xdr:colOff>304800</xdr:colOff>
      <xdr:row>99</xdr:row>
      <xdr:rowOff>129540</xdr:rowOff>
    </xdr:to>
    <xdr:sp macro="" textlink="">
      <xdr:nvSpPr>
        <xdr:cNvPr id="6292" name="AutoShape 1172" descr="https://www.soccerstats.com/img/own/sshplogo.png">
          <a:hlinkClick xmlns:r="http://schemas.openxmlformats.org/officeDocument/2006/relationships" r:id="rId756"/>
        </xdr:cNvPr>
        <xdr:cNvSpPr>
          <a:spLocks noChangeAspect="1" noChangeArrowheads="1"/>
        </xdr:cNvSpPr>
      </xdr:nvSpPr>
      <xdr:spPr bwMode="auto">
        <a:xfrm>
          <a:off x="13411200" y="20223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152400</xdr:colOff>
      <xdr:row>99</xdr:row>
      <xdr:rowOff>106680</xdr:rowOff>
    </xdr:to>
    <xdr:sp macro="" textlink="">
      <xdr:nvSpPr>
        <xdr:cNvPr id="6293" name="AutoShape 1173" descr="COSTARICA"/>
        <xdr:cNvSpPr>
          <a:spLocks noChangeAspect="1" noChangeArrowheads="1"/>
        </xdr:cNvSpPr>
      </xdr:nvSpPr>
      <xdr:spPr bwMode="auto">
        <a:xfrm>
          <a:off x="0" y="20398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99</xdr:row>
      <xdr:rowOff>0</xdr:rowOff>
    </xdr:from>
    <xdr:to>
      <xdr:col>22</xdr:col>
      <xdr:colOff>304800</xdr:colOff>
      <xdr:row>100</xdr:row>
      <xdr:rowOff>129540</xdr:rowOff>
    </xdr:to>
    <xdr:sp macro="" textlink="">
      <xdr:nvSpPr>
        <xdr:cNvPr id="6294" name="AutoShape 1174" descr="https://www.soccerstats.com/img/own/sshplogo.png">
          <a:hlinkClick xmlns:r="http://schemas.openxmlformats.org/officeDocument/2006/relationships" r:id="rId757"/>
        </xdr:cNvPr>
        <xdr:cNvSpPr>
          <a:spLocks noChangeAspect="1" noChangeArrowheads="1"/>
        </xdr:cNvSpPr>
      </xdr:nvSpPr>
      <xdr:spPr bwMode="auto">
        <a:xfrm>
          <a:off x="13411200" y="20398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152400</xdr:colOff>
      <xdr:row>100</xdr:row>
      <xdr:rowOff>106680</xdr:rowOff>
    </xdr:to>
    <xdr:sp macro="" textlink="">
      <xdr:nvSpPr>
        <xdr:cNvPr id="6295" name="AutoShape 1175" descr="CROATIA"/>
        <xdr:cNvSpPr>
          <a:spLocks noChangeAspect="1" noChangeArrowheads="1"/>
        </xdr:cNvSpPr>
      </xdr:nvSpPr>
      <xdr:spPr bwMode="auto">
        <a:xfrm>
          <a:off x="0" y="20574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100</xdr:row>
      <xdr:rowOff>0</xdr:rowOff>
    </xdr:from>
    <xdr:to>
      <xdr:col>22</xdr:col>
      <xdr:colOff>304800</xdr:colOff>
      <xdr:row>101</xdr:row>
      <xdr:rowOff>129540</xdr:rowOff>
    </xdr:to>
    <xdr:sp macro="" textlink="">
      <xdr:nvSpPr>
        <xdr:cNvPr id="6296" name="AutoShape 1176" descr="https://www.soccerstats.com/img/own/sshplogo.png">
          <a:hlinkClick xmlns:r="http://schemas.openxmlformats.org/officeDocument/2006/relationships" r:id="rId758"/>
        </xdr:cNvPr>
        <xdr:cNvSpPr>
          <a:spLocks noChangeAspect="1" noChangeArrowheads="1"/>
        </xdr:cNvSpPr>
      </xdr:nvSpPr>
      <xdr:spPr bwMode="auto">
        <a:xfrm>
          <a:off x="13411200" y="2057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152400</xdr:colOff>
      <xdr:row>101</xdr:row>
      <xdr:rowOff>106680</xdr:rowOff>
    </xdr:to>
    <xdr:sp macro="" textlink="">
      <xdr:nvSpPr>
        <xdr:cNvPr id="6297" name="AutoShape 1177" descr="CROATIA"/>
        <xdr:cNvSpPr>
          <a:spLocks noChangeAspect="1" noChangeArrowheads="1"/>
        </xdr:cNvSpPr>
      </xdr:nvSpPr>
      <xdr:spPr bwMode="auto">
        <a:xfrm>
          <a:off x="0" y="20749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101</xdr:row>
      <xdr:rowOff>0</xdr:rowOff>
    </xdr:from>
    <xdr:to>
      <xdr:col>22</xdr:col>
      <xdr:colOff>304800</xdr:colOff>
      <xdr:row>102</xdr:row>
      <xdr:rowOff>129540</xdr:rowOff>
    </xdr:to>
    <xdr:sp macro="" textlink="">
      <xdr:nvSpPr>
        <xdr:cNvPr id="6298" name="AutoShape 1178" descr="https://www.soccerstats.com/img/own/sshplogo.png">
          <a:hlinkClick xmlns:r="http://schemas.openxmlformats.org/officeDocument/2006/relationships" r:id="rId759"/>
        </xdr:cNvPr>
        <xdr:cNvSpPr>
          <a:spLocks noChangeAspect="1" noChangeArrowheads="1"/>
        </xdr:cNvSpPr>
      </xdr:nvSpPr>
      <xdr:spPr bwMode="auto">
        <a:xfrm>
          <a:off x="13411200" y="20749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152400</xdr:colOff>
      <xdr:row>102</xdr:row>
      <xdr:rowOff>106680</xdr:rowOff>
    </xdr:to>
    <xdr:sp macro="" textlink="">
      <xdr:nvSpPr>
        <xdr:cNvPr id="6299" name="AutoShape 1179" descr="CZECHREPUBLIC2"/>
        <xdr:cNvSpPr>
          <a:spLocks noChangeAspect="1" noChangeArrowheads="1"/>
        </xdr:cNvSpPr>
      </xdr:nvSpPr>
      <xdr:spPr bwMode="auto">
        <a:xfrm>
          <a:off x="0" y="20924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102</xdr:row>
      <xdr:rowOff>0</xdr:rowOff>
    </xdr:from>
    <xdr:to>
      <xdr:col>22</xdr:col>
      <xdr:colOff>304800</xdr:colOff>
      <xdr:row>103</xdr:row>
      <xdr:rowOff>53340</xdr:rowOff>
    </xdr:to>
    <xdr:sp macro="" textlink="">
      <xdr:nvSpPr>
        <xdr:cNvPr id="6300" name="AutoShape 1180" descr="https://www.soccerstats.com/img/own/sshplogo.png">
          <a:hlinkClick xmlns:r="http://schemas.openxmlformats.org/officeDocument/2006/relationships" r:id="rId760"/>
        </xdr:cNvPr>
        <xdr:cNvSpPr>
          <a:spLocks noChangeAspect="1" noChangeArrowheads="1"/>
        </xdr:cNvSpPr>
      </xdr:nvSpPr>
      <xdr:spPr bwMode="auto">
        <a:xfrm>
          <a:off x="13411200" y="20924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152400</xdr:colOff>
      <xdr:row>103</xdr:row>
      <xdr:rowOff>106680</xdr:rowOff>
    </xdr:to>
    <xdr:sp macro="" textlink="">
      <xdr:nvSpPr>
        <xdr:cNvPr id="6301" name="AutoShape 1181" descr="DENMARK"/>
        <xdr:cNvSpPr>
          <a:spLocks noChangeAspect="1" noChangeArrowheads="1"/>
        </xdr:cNvSpPr>
      </xdr:nvSpPr>
      <xdr:spPr bwMode="auto">
        <a:xfrm>
          <a:off x="0" y="21175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103</xdr:row>
      <xdr:rowOff>0</xdr:rowOff>
    </xdr:from>
    <xdr:to>
      <xdr:col>22</xdr:col>
      <xdr:colOff>304800</xdr:colOff>
      <xdr:row>104</xdr:row>
      <xdr:rowOff>129540</xdr:rowOff>
    </xdr:to>
    <xdr:sp macro="" textlink="">
      <xdr:nvSpPr>
        <xdr:cNvPr id="6302" name="AutoShape 1182" descr="https://www.soccerstats.com/img/own/sshplogo.png">
          <a:hlinkClick xmlns:r="http://schemas.openxmlformats.org/officeDocument/2006/relationships" r:id="rId761"/>
        </xdr:cNvPr>
        <xdr:cNvSpPr>
          <a:spLocks noChangeAspect="1" noChangeArrowheads="1"/>
        </xdr:cNvSpPr>
      </xdr:nvSpPr>
      <xdr:spPr bwMode="auto">
        <a:xfrm>
          <a:off x="13411200" y="21175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152400</xdr:colOff>
      <xdr:row>104</xdr:row>
      <xdr:rowOff>106680</xdr:rowOff>
    </xdr:to>
    <xdr:sp macro="" textlink="">
      <xdr:nvSpPr>
        <xdr:cNvPr id="6303" name="AutoShape 1183" descr="DENMARK"/>
        <xdr:cNvSpPr>
          <a:spLocks noChangeAspect="1" noChangeArrowheads="1"/>
        </xdr:cNvSpPr>
      </xdr:nvSpPr>
      <xdr:spPr bwMode="auto">
        <a:xfrm>
          <a:off x="0" y="21351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104</xdr:row>
      <xdr:rowOff>0</xdr:rowOff>
    </xdr:from>
    <xdr:to>
      <xdr:col>22</xdr:col>
      <xdr:colOff>304800</xdr:colOff>
      <xdr:row>105</xdr:row>
      <xdr:rowOff>53340</xdr:rowOff>
    </xdr:to>
    <xdr:sp macro="" textlink="">
      <xdr:nvSpPr>
        <xdr:cNvPr id="6304" name="AutoShape 1184" descr="https://www.soccerstats.com/img/own/sshplogo.png">
          <a:hlinkClick xmlns:r="http://schemas.openxmlformats.org/officeDocument/2006/relationships" r:id="rId762"/>
        </xdr:cNvPr>
        <xdr:cNvSpPr>
          <a:spLocks noChangeAspect="1" noChangeArrowheads="1"/>
        </xdr:cNvSpPr>
      </xdr:nvSpPr>
      <xdr:spPr bwMode="auto">
        <a:xfrm>
          <a:off x="13411200" y="21351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152400</xdr:colOff>
      <xdr:row>105</xdr:row>
      <xdr:rowOff>106680</xdr:rowOff>
    </xdr:to>
    <xdr:sp macro="" textlink="">
      <xdr:nvSpPr>
        <xdr:cNvPr id="6305" name="AutoShape 1185" descr="DENMARK"/>
        <xdr:cNvSpPr>
          <a:spLocks noChangeAspect="1" noChangeArrowheads="1"/>
        </xdr:cNvSpPr>
      </xdr:nvSpPr>
      <xdr:spPr bwMode="auto">
        <a:xfrm>
          <a:off x="0" y="21526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105</xdr:row>
      <xdr:rowOff>0</xdr:rowOff>
    </xdr:from>
    <xdr:to>
      <xdr:col>22</xdr:col>
      <xdr:colOff>304800</xdr:colOff>
      <xdr:row>106</xdr:row>
      <xdr:rowOff>129540</xdr:rowOff>
    </xdr:to>
    <xdr:sp macro="" textlink="">
      <xdr:nvSpPr>
        <xdr:cNvPr id="6306" name="AutoShape 1186" descr="https://www.soccerstats.com/img/own/sshplogo.png">
          <a:hlinkClick xmlns:r="http://schemas.openxmlformats.org/officeDocument/2006/relationships" r:id="rId763"/>
        </xdr:cNvPr>
        <xdr:cNvSpPr>
          <a:spLocks noChangeAspect="1" noChangeArrowheads="1"/>
        </xdr:cNvSpPr>
      </xdr:nvSpPr>
      <xdr:spPr bwMode="auto">
        <a:xfrm>
          <a:off x="13411200" y="2152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152400</xdr:colOff>
      <xdr:row>106</xdr:row>
      <xdr:rowOff>106680</xdr:rowOff>
    </xdr:to>
    <xdr:sp macro="" textlink="">
      <xdr:nvSpPr>
        <xdr:cNvPr id="6307" name="AutoShape 1187" descr="DENMARK"/>
        <xdr:cNvSpPr>
          <a:spLocks noChangeAspect="1" noChangeArrowheads="1"/>
        </xdr:cNvSpPr>
      </xdr:nvSpPr>
      <xdr:spPr bwMode="auto">
        <a:xfrm>
          <a:off x="0" y="21777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106</xdr:row>
      <xdr:rowOff>0</xdr:rowOff>
    </xdr:from>
    <xdr:to>
      <xdr:col>22</xdr:col>
      <xdr:colOff>304800</xdr:colOff>
      <xdr:row>107</xdr:row>
      <xdr:rowOff>53340</xdr:rowOff>
    </xdr:to>
    <xdr:sp macro="" textlink="">
      <xdr:nvSpPr>
        <xdr:cNvPr id="6308" name="AutoShape 1188" descr="https://www.soccerstats.com/img/own/sshplogo.png">
          <a:hlinkClick xmlns:r="http://schemas.openxmlformats.org/officeDocument/2006/relationships" r:id="rId764"/>
        </xdr:cNvPr>
        <xdr:cNvSpPr>
          <a:spLocks noChangeAspect="1" noChangeArrowheads="1"/>
        </xdr:cNvSpPr>
      </xdr:nvSpPr>
      <xdr:spPr bwMode="auto">
        <a:xfrm>
          <a:off x="13411200" y="21777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152400</xdr:colOff>
      <xdr:row>107</xdr:row>
      <xdr:rowOff>106680</xdr:rowOff>
    </xdr:to>
    <xdr:sp macro="" textlink="">
      <xdr:nvSpPr>
        <xdr:cNvPr id="6309" name="AutoShape 1189" descr="DENMARK2"/>
        <xdr:cNvSpPr>
          <a:spLocks noChangeAspect="1" noChangeArrowheads="1"/>
        </xdr:cNvSpPr>
      </xdr:nvSpPr>
      <xdr:spPr bwMode="auto">
        <a:xfrm>
          <a:off x="0" y="22029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107</xdr:row>
      <xdr:rowOff>0</xdr:rowOff>
    </xdr:from>
    <xdr:to>
      <xdr:col>22</xdr:col>
      <xdr:colOff>304800</xdr:colOff>
      <xdr:row>108</xdr:row>
      <xdr:rowOff>53340</xdr:rowOff>
    </xdr:to>
    <xdr:sp macro="" textlink="">
      <xdr:nvSpPr>
        <xdr:cNvPr id="6310" name="AutoShape 1190" descr="https://www.soccerstats.com/img/own/sshplogo.png">
          <a:hlinkClick xmlns:r="http://schemas.openxmlformats.org/officeDocument/2006/relationships" r:id="rId765"/>
        </xdr:cNvPr>
        <xdr:cNvSpPr>
          <a:spLocks noChangeAspect="1" noChangeArrowheads="1"/>
        </xdr:cNvSpPr>
      </xdr:nvSpPr>
      <xdr:spPr bwMode="auto">
        <a:xfrm>
          <a:off x="13411200" y="22029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152400</xdr:colOff>
      <xdr:row>108</xdr:row>
      <xdr:rowOff>106680</xdr:rowOff>
    </xdr:to>
    <xdr:sp macro="" textlink="">
      <xdr:nvSpPr>
        <xdr:cNvPr id="6311" name="AutoShape 1191" descr="ECUADOR"/>
        <xdr:cNvSpPr>
          <a:spLocks noChangeAspect="1" noChangeArrowheads="1"/>
        </xdr:cNvSpPr>
      </xdr:nvSpPr>
      <xdr:spPr bwMode="auto">
        <a:xfrm>
          <a:off x="0" y="22280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108</xdr:row>
      <xdr:rowOff>0</xdr:rowOff>
    </xdr:from>
    <xdr:to>
      <xdr:col>22</xdr:col>
      <xdr:colOff>304800</xdr:colOff>
      <xdr:row>109</xdr:row>
      <xdr:rowOff>129540</xdr:rowOff>
    </xdr:to>
    <xdr:sp macro="" textlink="">
      <xdr:nvSpPr>
        <xdr:cNvPr id="6312" name="AutoShape 1192" descr="https://www.soccerstats.com/img/own/sshplogo.png">
          <a:hlinkClick xmlns:r="http://schemas.openxmlformats.org/officeDocument/2006/relationships" r:id="rId766"/>
        </xdr:cNvPr>
        <xdr:cNvSpPr>
          <a:spLocks noChangeAspect="1" noChangeArrowheads="1"/>
        </xdr:cNvSpPr>
      </xdr:nvSpPr>
      <xdr:spPr bwMode="auto">
        <a:xfrm>
          <a:off x="13411200" y="22280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152400</xdr:colOff>
      <xdr:row>109</xdr:row>
      <xdr:rowOff>106680</xdr:rowOff>
    </xdr:to>
    <xdr:sp macro="" textlink="">
      <xdr:nvSpPr>
        <xdr:cNvPr id="6313" name="AutoShape 1193" descr="ECUADOR"/>
        <xdr:cNvSpPr>
          <a:spLocks noChangeAspect="1" noChangeArrowheads="1"/>
        </xdr:cNvSpPr>
      </xdr:nvSpPr>
      <xdr:spPr bwMode="auto">
        <a:xfrm>
          <a:off x="0" y="22456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109</xdr:row>
      <xdr:rowOff>0</xdr:rowOff>
    </xdr:from>
    <xdr:to>
      <xdr:col>22</xdr:col>
      <xdr:colOff>304800</xdr:colOff>
      <xdr:row>110</xdr:row>
      <xdr:rowOff>53340</xdr:rowOff>
    </xdr:to>
    <xdr:sp macro="" textlink="">
      <xdr:nvSpPr>
        <xdr:cNvPr id="6314" name="AutoShape 1194" descr="https://www.soccerstats.com/img/own/sshplogo.png">
          <a:hlinkClick xmlns:r="http://schemas.openxmlformats.org/officeDocument/2006/relationships" r:id="rId767"/>
        </xdr:cNvPr>
        <xdr:cNvSpPr>
          <a:spLocks noChangeAspect="1" noChangeArrowheads="1"/>
        </xdr:cNvSpPr>
      </xdr:nvSpPr>
      <xdr:spPr bwMode="auto">
        <a:xfrm>
          <a:off x="13411200" y="22456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152400</xdr:colOff>
      <xdr:row>110</xdr:row>
      <xdr:rowOff>106680</xdr:rowOff>
    </xdr:to>
    <xdr:sp macro="" textlink="">
      <xdr:nvSpPr>
        <xdr:cNvPr id="6315" name="AutoShape 1195" descr="ECUADOR"/>
        <xdr:cNvSpPr>
          <a:spLocks noChangeAspect="1" noChangeArrowheads="1"/>
        </xdr:cNvSpPr>
      </xdr:nvSpPr>
      <xdr:spPr bwMode="auto">
        <a:xfrm>
          <a:off x="0" y="22631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110</xdr:row>
      <xdr:rowOff>0</xdr:rowOff>
    </xdr:from>
    <xdr:to>
      <xdr:col>22</xdr:col>
      <xdr:colOff>304800</xdr:colOff>
      <xdr:row>111</xdr:row>
      <xdr:rowOff>129540</xdr:rowOff>
    </xdr:to>
    <xdr:sp macro="" textlink="">
      <xdr:nvSpPr>
        <xdr:cNvPr id="6316" name="AutoShape 1196" descr="https://www.soccerstats.com/img/own/sshplogo.png">
          <a:hlinkClick xmlns:r="http://schemas.openxmlformats.org/officeDocument/2006/relationships" r:id="rId768"/>
        </xdr:cNvPr>
        <xdr:cNvSpPr>
          <a:spLocks noChangeAspect="1" noChangeArrowheads="1"/>
        </xdr:cNvSpPr>
      </xdr:nvSpPr>
      <xdr:spPr bwMode="auto">
        <a:xfrm>
          <a:off x="13411200" y="22631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152400</xdr:colOff>
      <xdr:row>111</xdr:row>
      <xdr:rowOff>106680</xdr:rowOff>
    </xdr:to>
    <xdr:sp macro="" textlink="">
      <xdr:nvSpPr>
        <xdr:cNvPr id="6317" name="AutoShape 1197" descr="ESTONIA"/>
        <xdr:cNvSpPr>
          <a:spLocks noChangeAspect="1" noChangeArrowheads="1"/>
        </xdr:cNvSpPr>
      </xdr:nvSpPr>
      <xdr:spPr bwMode="auto">
        <a:xfrm>
          <a:off x="0" y="22806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111</xdr:row>
      <xdr:rowOff>0</xdr:rowOff>
    </xdr:from>
    <xdr:to>
      <xdr:col>22</xdr:col>
      <xdr:colOff>304800</xdr:colOff>
      <xdr:row>112</xdr:row>
      <xdr:rowOff>53340</xdr:rowOff>
    </xdr:to>
    <xdr:sp macro="" textlink="">
      <xdr:nvSpPr>
        <xdr:cNvPr id="6318" name="AutoShape 1198" descr="https://www.soccerstats.com/img/own/sshplogo.png">
          <a:hlinkClick xmlns:r="http://schemas.openxmlformats.org/officeDocument/2006/relationships" r:id="rId769"/>
        </xdr:cNvPr>
        <xdr:cNvSpPr>
          <a:spLocks noChangeAspect="1" noChangeArrowheads="1"/>
        </xdr:cNvSpPr>
      </xdr:nvSpPr>
      <xdr:spPr bwMode="auto">
        <a:xfrm>
          <a:off x="13411200" y="22806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152400</xdr:colOff>
      <xdr:row>112</xdr:row>
      <xdr:rowOff>106680</xdr:rowOff>
    </xdr:to>
    <xdr:sp macro="" textlink="">
      <xdr:nvSpPr>
        <xdr:cNvPr id="6319" name="AutoShape 1199" descr="ESTONIA"/>
        <xdr:cNvSpPr>
          <a:spLocks noChangeAspect="1" noChangeArrowheads="1"/>
        </xdr:cNvSpPr>
      </xdr:nvSpPr>
      <xdr:spPr bwMode="auto">
        <a:xfrm>
          <a:off x="0" y="22981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112</xdr:row>
      <xdr:rowOff>0</xdr:rowOff>
    </xdr:from>
    <xdr:to>
      <xdr:col>22</xdr:col>
      <xdr:colOff>304800</xdr:colOff>
      <xdr:row>113</xdr:row>
      <xdr:rowOff>129540</xdr:rowOff>
    </xdr:to>
    <xdr:sp macro="" textlink="">
      <xdr:nvSpPr>
        <xdr:cNvPr id="6320" name="AutoShape 1200" descr="https://www.soccerstats.com/img/own/sshplogo.png">
          <a:hlinkClick xmlns:r="http://schemas.openxmlformats.org/officeDocument/2006/relationships" r:id="rId770"/>
        </xdr:cNvPr>
        <xdr:cNvSpPr>
          <a:spLocks noChangeAspect="1" noChangeArrowheads="1"/>
        </xdr:cNvSpPr>
      </xdr:nvSpPr>
      <xdr:spPr bwMode="auto">
        <a:xfrm>
          <a:off x="13411200" y="22981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113</xdr:row>
      <xdr:rowOff>0</xdr:rowOff>
    </xdr:from>
    <xdr:to>
      <xdr:col>0</xdr:col>
      <xdr:colOff>152400</xdr:colOff>
      <xdr:row>113</xdr:row>
      <xdr:rowOff>106680</xdr:rowOff>
    </xdr:to>
    <xdr:sp macro="" textlink="">
      <xdr:nvSpPr>
        <xdr:cNvPr id="6321" name="AutoShape 1201" descr="ESTONIA"/>
        <xdr:cNvSpPr>
          <a:spLocks noChangeAspect="1" noChangeArrowheads="1"/>
        </xdr:cNvSpPr>
      </xdr:nvSpPr>
      <xdr:spPr bwMode="auto">
        <a:xfrm>
          <a:off x="0" y="23157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113</xdr:row>
      <xdr:rowOff>0</xdr:rowOff>
    </xdr:from>
    <xdr:to>
      <xdr:col>22</xdr:col>
      <xdr:colOff>304800</xdr:colOff>
      <xdr:row>114</xdr:row>
      <xdr:rowOff>53340</xdr:rowOff>
    </xdr:to>
    <xdr:sp macro="" textlink="">
      <xdr:nvSpPr>
        <xdr:cNvPr id="6322" name="AutoShape 1202" descr="https://www.soccerstats.com/img/own/sshplogo.png">
          <a:hlinkClick xmlns:r="http://schemas.openxmlformats.org/officeDocument/2006/relationships" r:id="rId771"/>
        </xdr:cNvPr>
        <xdr:cNvSpPr>
          <a:spLocks noChangeAspect="1" noChangeArrowheads="1"/>
        </xdr:cNvSpPr>
      </xdr:nvSpPr>
      <xdr:spPr bwMode="auto">
        <a:xfrm>
          <a:off x="13411200" y="23157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114</xdr:row>
      <xdr:rowOff>0</xdr:rowOff>
    </xdr:from>
    <xdr:to>
      <xdr:col>0</xdr:col>
      <xdr:colOff>152400</xdr:colOff>
      <xdr:row>114</xdr:row>
      <xdr:rowOff>106680</xdr:rowOff>
    </xdr:to>
    <xdr:sp macro="" textlink="">
      <xdr:nvSpPr>
        <xdr:cNvPr id="6323" name="AutoShape 1203" descr="ESTONIA"/>
        <xdr:cNvSpPr>
          <a:spLocks noChangeAspect="1" noChangeArrowheads="1"/>
        </xdr:cNvSpPr>
      </xdr:nvSpPr>
      <xdr:spPr bwMode="auto">
        <a:xfrm>
          <a:off x="0" y="23332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114</xdr:row>
      <xdr:rowOff>0</xdr:rowOff>
    </xdr:from>
    <xdr:to>
      <xdr:col>22</xdr:col>
      <xdr:colOff>304800</xdr:colOff>
      <xdr:row>115</xdr:row>
      <xdr:rowOff>53340</xdr:rowOff>
    </xdr:to>
    <xdr:sp macro="" textlink="">
      <xdr:nvSpPr>
        <xdr:cNvPr id="6324" name="AutoShape 1204" descr="https://www.soccerstats.com/img/own/sshplogo.png">
          <a:hlinkClick xmlns:r="http://schemas.openxmlformats.org/officeDocument/2006/relationships" r:id="rId772"/>
        </xdr:cNvPr>
        <xdr:cNvSpPr>
          <a:spLocks noChangeAspect="1" noChangeArrowheads="1"/>
        </xdr:cNvSpPr>
      </xdr:nvSpPr>
      <xdr:spPr bwMode="auto">
        <a:xfrm>
          <a:off x="13411200" y="23332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115</xdr:row>
      <xdr:rowOff>0</xdr:rowOff>
    </xdr:from>
    <xdr:to>
      <xdr:col>0</xdr:col>
      <xdr:colOff>152400</xdr:colOff>
      <xdr:row>115</xdr:row>
      <xdr:rowOff>106680</xdr:rowOff>
    </xdr:to>
    <xdr:sp macro="" textlink="">
      <xdr:nvSpPr>
        <xdr:cNvPr id="6325" name="AutoShape 1205" descr="FAROEISLANDS"/>
        <xdr:cNvSpPr>
          <a:spLocks noChangeAspect="1" noChangeArrowheads="1"/>
        </xdr:cNvSpPr>
      </xdr:nvSpPr>
      <xdr:spPr bwMode="auto">
        <a:xfrm>
          <a:off x="0" y="23507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115</xdr:row>
      <xdr:rowOff>0</xdr:rowOff>
    </xdr:from>
    <xdr:to>
      <xdr:col>22</xdr:col>
      <xdr:colOff>304800</xdr:colOff>
      <xdr:row>116</xdr:row>
      <xdr:rowOff>129540</xdr:rowOff>
    </xdr:to>
    <xdr:sp macro="" textlink="">
      <xdr:nvSpPr>
        <xdr:cNvPr id="6326" name="AutoShape 1206" descr="https://www.soccerstats.com/img/own/sshplogo.png">
          <a:hlinkClick xmlns:r="http://schemas.openxmlformats.org/officeDocument/2006/relationships" r:id="rId773"/>
        </xdr:cNvPr>
        <xdr:cNvSpPr>
          <a:spLocks noChangeAspect="1" noChangeArrowheads="1"/>
        </xdr:cNvSpPr>
      </xdr:nvSpPr>
      <xdr:spPr bwMode="auto">
        <a:xfrm>
          <a:off x="13411200" y="2350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152400</xdr:colOff>
      <xdr:row>116</xdr:row>
      <xdr:rowOff>106680</xdr:rowOff>
    </xdr:to>
    <xdr:sp macro="" textlink="">
      <xdr:nvSpPr>
        <xdr:cNvPr id="6327" name="AutoShape 1207" descr="FAROEISLANDS"/>
        <xdr:cNvSpPr>
          <a:spLocks noChangeAspect="1" noChangeArrowheads="1"/>
        </xdr:cNvSpPr>
      </xdr:nvSpPr>
      <xdr:spPr bwMode="auto">
        <a:xfrm>
          <a:off x="0" y="23682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116</xdr:row>
      <xdr:rowOff>0</xdr:rowOff>
    </xdr:from>
    <xdr:to>
      <xdr:col>22</xdr:col>
      <xdr:colOff>304800</xdr:colOff>
      <xdr:row>117</xdr:row>
      <xdr:rowOff>129540</xdr:rowOff>
    </xdr:to>
    <xdr:sp macro="" textlink="">
      <xdr:nvSpPr>
        <xdr:cNvPr id="6328" name="AutoShape 1208" descr="https://www.soccerstats.com/img/own/sshplogo.png">
          <a:hlinkClick xmlns:r="http://schemas.openxmlformats.org/officeDocument/2006/relationships" r:id="rId774"/>
        </xdr:cNvPr>
        <xdr:cNvSpPr>
          <a:spLocks noChangeAspect="1" noChangeArrowheads="1"/>
        </xdr:cNvSpPr>
      </xdr:nvSpPr>
      <xdr:spPr bwMode="auto">
        <a:xfrm>
          <a:off x="13411200" y="23682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152400</xdr:colOff>
      <xdr:row>117</xdr:row>
      <xdr:rowOff>106680</xdr:rowOff>
    </xdr:to>
    <xdr:sp macro="" textlink="">
      <xdr:nvSpPr>
        <xdr:cNvPr id="6329" name="AutoShape 1209" descr="FAROEISLANDS"/>
        <xdr:cNvSpPr>
          <a:spLocks noChangeAspect="1" noChangeArrowheads="1"/>
        </xdr:cNvSpPr>
      </xdr:nvSpPr>
      <xdr:spPr bwMode="auto">
        <a:xfrm>
          <a:off x="0" y="23858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117</xdr:row>
      <xdr:rowOff>0</xdr:rowOff>
    </xdr:from>
    <xdr:to>
      <xdr:col>22</xdr:col>
      <xdr:colOff>304800</xdr:colOff>
      <xdr:row>118</xdr:row>
      <xdr:rowOff>53340</xdr:rowOff>
    </xdr:to>
    <xdr:sp macro="" textlink="">
      <xdr:nvSpPr>
        <xdr:cNvPr id="6330" name="AutoShape 1210" descr="https://www.soccerstats.com/img/own/sshplogo.png">
          <a:hlinkClick xmlns:r="http://schemas.openxmlformats.org/officeDocument/2006/relationships" r:id="rId775"/>
        </xdr:cNvPr>
        <xdr:cNvSpPr>
          <a:spLocks noChangeAspect="1" noChangeArrowheads="1"/>
        </xdr:cNvSpPr>
      </xdr:nvSpPr>
      <xdr:spPr bwMode="auto">
        <a:xfrm>
          <a:off x="13411200" y="23858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152400</xdr:colOff>
      <xdr:row>118</xdr:row>
      <xdr:rowOff>106680</xdr:rowOff>
    </xdr:to>
    <xdr:sp macro="" textlink="">
      <xdr:nvSpPr>
        <xdr:cNvPr id="6331" name="AutoShape 1211" descr="FAROEISLANDS"/>
        <xdr:cNvSpPr>
          <a:spLocks noChangeAspect="1" noChangeArrowheads="1"/>
        </xdr:cNvSpPr>
      </xdr:nvSpPr>
      <xdr:spPr bwMode="auto">
        <a:xfrm>
          <a:off x="0" y="24033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118</xdr:row>
      <xdr:rowOff>0</xdr:rowOff>
    </xdr:from>
    <xdr:to>
      <xdr:col>22</xdr:col>
      <xdr:colOff>304800</xdr:colOff>
      <xdr:row>119</xdr:row>
      <xdr:rowOff>53340</xdr:rowOff>
    </xdr:to>
    <xdr:sp macro="" textlink="">
      <xdr:nvSpPr>
        <xdr:cNvPr id="6332" name="AutoShape 1212" descr="https://www.soccerstats.com/img/own/sshplogo.png">
          <a:hlinkClick xmlns:r="http://schemas.openxmlformats.org/officeDocument/2006/relationships" r:id="rId776"/>
        </xdr:cNvPr>
        <xdr:cNvSpPr>
          <a:spLocks noChangeAspect="1" noChangeArrowheads="1"/>
        </xdr:cNvSpPr>
      </xdr:nvSpPr>
      <xdr:spPr bwMode="auto">
        <a:xfrm>
          <a:off x="13411200" y="24033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152400</xdr:colOff>
      <xdr:row>119</xdr:row>
      <xdr:rowOff>106680</xdr:rowOff>
    </xdr:to>
    <xdr:sp macro="" textlink="">
      <xdr:nvSpPr>
        <xdr:cNvPr id="6333" name="AutoShape 1213" descr="FAROEISLANDS"/>
        <xdr:cNvSpPr>
          <a:spLocks noChangeAspect="1" noChangeArrowheads="1"/>
        </xdr:cNvSpPr>
      </xdr:nvSpPr>
      <xdr:spPr bwMode="auto">
        <a:xfrm>
          <a:off x="0" y="24208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119</xdr:row>
      <xdr:rowOff>0</xdr:rowOff>
    </xdr:from>
    <xdr:to>
      <xdr:col>22</xdr:col>
      <xdr:colOff>304800</xdr:colOff>
      <xdr:row>120</xdr:row>
      <xdr:rowOff>129540</xdr:rowOff>
    </xdr:to>
    <xdr:sp macro="" textlink="">
      <xdr:nvSpPr>
        <xdr:cNvPr id="6334" name="AutoShape 1214" descr="https://www.soccerstats.com/img/own/sshplogo.png">
          <a:hlinkClick xmlns:r="http://schemas.openxmlformats.org/officeDocument/2006/relationships" r:id="rId777"/>
        </xdr:cNvPr>
        <xdr:cNvSpPr>
          <a:spLocks noChangeAspect="1" noChangeArrowheads="1"/>
        </xdr:cNvSpPr>
      </xdr:nvSpPr>
      <xdr:spPr bwMode="auto">
        <a:xfrm>
          <a:off x="13411200" y="24208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152400</xdr:colOff>
      <xdr:row>120</xdr:row>
      <xdr:rowOff>106680</xdr:rowOff>
    </xdr:to>
    <xdr:sp macro="" textlink="">
      <xdr:nvSpPr>
        <xdr:cNvPr id="6335" name="AutoShape 1215" descr="FINLAND"/>
        <xdr:cNvSpPr>
          <a:spLocks noChangeAspect="1" noChangeArrowheads="1"/>
        </xdr:cNvSpPr>
      </xdr:nvSpPr>
      <xdr:spPr bwMode="auto">
        <a:xfrm>
          <a:off x="0" y="24384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120</xdr:row>
      <xdr:rowOff>0</xdr:rowOff>
    </xdr:from>
    <xdr:to>
      <xdr:col>22</xdr:col>
      <xdr:colOff>304800</xdr:colOff>
      <xdr:row>121</xdr:row>
      <xdr:rowOff>129540</xdr:rowOff>
    </xdr:to>
    <xdr:sp macro="" textlink="">
      <xdr:nvSpPr>
        <xdr:cNvPr id="6336" name="AutoShape 1216" descr="https://www.soccerstats.com/img/own/sshplogo.png">
          <a:hlinkClick xmlns:r="http://schemas.openxmlformats.org/officeDocument/2006/relationships" r:id="rId778"/>
        </xdr:cNvPr>
        <xdr:cNvSpPr>
          <a:spLocks noChangeAspect="1" noChangeArrowheads="1"/>
        </xdr:cNvSpPr>
      </xdr:nvSpPr>
      <xdr:spPr bwMode="auto">
        <a:xfrm>
          <a:off x="13411200" y="2438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152400</xdr:colOff>
      <xdr:row>121</xdr:row>
      <xdr:rowOff>106680</xdr:rowOff>
    </xdr:to>
    <xdr:sp macro="" textlink="">
      <xdr:nvSpPr>
        <xdr:cNvPr id="6337" name="AutoShape 1217" descr="FINLAND"/>
        <xdr:cNvSpPr>
          <a:spLocks noChangeAspect="1" noChangeArrowheads="1"/>
        </xdr:cNvSpPr>
      </xdr:nvSpPr>
      <xdr:spPr bwMode="auto">
        <a:xfrm>
          <a:off x="0" y="24559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121</xdr:row>
      <xdr:rowOff>0</xdr:rowOff>
    </xdr:from>
    <xdr:to>
      <xdr:col>22</xdr:col>
      <xdr:colOff>304800</xdr:colOff>
      <xdr:row>122</xdr:row>
      <xdr:rowOff>129540</xdr:rowOff>
    </xdr:to>
    <xdr:sp macro="" textlink="">
      <xdr:nvSpPr>
        <xdr:cNvPr id="6338" name="AutoShape 1218" descr="https://www.soccerstats.com/img/own/sshplogo.png">
          <a:hlinkClick xmlns:r="http://schemas.openxmlformats.org/officeDocument/2006/relationships" r:id="rId779"/>
        </xdr:cNvPr>
        <xdr:cNvSpPr>
          <a:spLocks noChangeAspect="1" noChangeArrowheads="1"/>
        </xdr:cNvSpPr>
      </xdr:nvSpPr>
      <xdr:spPr bwMode="auto">
        <a:xfrm>
          <a:off x="13411200" y="24559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152400</xdr:colOff>
      <xdr:row>122</xdr:row>
      <xdr:rowOff>106680</xdr:rowOff>
    </xdr:to>
    <xdr:sp macro="" textlink="">
      <xdr:nvSpPr>
        <xdr:cNvPr id="6339" name="AutoShape 1219" descr="FINLAND"/>
        <xdr:cNvSpPr>
          <a:spLocks noChangeAspect="1" noChangeArrowheads="1"/>
        </xdr:cNvSpPr>
      </xdr:nvSpPr>
      <xdr:spPr bwMode="auto">
        <a:xfrm>
          <a:off x="0" y="24734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122</xdr:row>
      <xdr:rowOff>0</xdr:rowOff>
    </xdr:from>
    <xdr:to>
      <xdr:col>22</xdr:col>
      <xdr:colOff>304800</xdr:colOff>
      <xdr:row>123</xdr:row>
      <xdr:rowOff>129540</xdr:rowOff>
    </xdr:to>
    <xdr:sp macro="" textlink="">
      <xdr:nvSpPr>
        <xdr:cNvPr id="6340" name="AutoShape 1220" descr="https://www.soccerstats.com/img/own/sshplogo.png">
          <a:hlinkClick xmlns:r="http://schemas.openxmlformats.org/officeDocument/2006/relationships" r:id="rId780"/>
        </xdr:cNvPr>
        <xdr:cNvSpPr>
          <a:spLocks noChangeAspect="1" noChangeArrowheads="1"/>
        </xdr:cNvSpPr>
      </xdr:nvSpPr>
      <xdr:spPr bwMode="auto">
        <a:xfrm>
          <a:off x="13411200" y="24734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152400</xdr:colOff>
      <xdr:row>123</xdr:row>
      <xdr:rowOff>106680</xdr:rowOff>
    </xdr:to>
    <xdr:sp macro="" textlink="">
      <xdr:nvSpPr>
        <xdr:cNvPr id="6341" name="AutoShape 1221" descr="FINLAND2"/>
        <xdr:cNvSpPr>
          <a:spLocks noChangeAspect="1" noChangeArrowheads="1"/>
        </xdr:cNvSpPr>
      </xdr:nvSpPr>
      <xdr:spPr bwMode="auto">
        <a:xfrm>
          <a:off x="0" y="24909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123</xdr:row>
      <xdr:rowOff>0</xdr:rowOff>
    </xdr:from>
    <xdr:to>
      <xdr:col>22</xdr:col>
      <xdr:colOff>304800</xdr:colOff>
      <xdr:row>124</xdr:row>
      <xdr:rowOff>129540</xdr:rowOff>
    </xdr:to>
    <xdr:sp macro="" textlink="">
      <xdr:nvSpPr>
        <xdr:cNvPr id="6342" name="AutoShape 1222" descr="https://www.soccerstats.com/img/own/sshplogo.png">
          <a:hlinkClick xmlns:r="http://schemas.openxmlformats.org/officeDocument/2006/relationships" r:id="rId781"/>
        </xdr:cNvPr>
        <xdr:cNvSpPr>
          <a:spLocks noChangeAspect="1" noChangeArrowheads="1"/>
        </xdr:cNvSpPr>
      </xdr:nvSpPr>
      <xdr:spPr bwMode="auto">
        <a:xfrm>
          <a:off x="13411200" y="24909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152400</xdr:colOff>
      <xdr:row>124</xdr:row>
      <xdr:rowOff>106680</xdr:rowOff>
    </xdr:to>
    <xdr:sp macro="" textlink="">
      <xdr:nvSpPr>
        <xdr:cNvPr id="6343" name="AutoShape 1223" descr="FINLAND3"/>
        <xdr:cNvSpPr>
          <a:spLocks noChangeAspect="1" noChangeArrowheads="1"/>
        </xdr:cNvSpPr>
      </xdr:nvSpPr>
      <xdr:spPr bwMode="auto">
        <a:xfrm>
          <a:off x="0" y="25085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124</xdr:row>
      <xdr:rowOff>0</xdr:rowOff>
    </xdr:from>
    <xdr:to>
      <xdr:col>22</xdr:col>
      <xdr:colOff>304800</xdr:colOff>
      <xdr:row>125</xdr:row>
      <xdr:rowOff>53340</xdr:rowOff>
    </xdr:to>
    <xdr:sp macro="" textlink="">
      <xdr:nvSpPr>
        <xdr:cNvPr id="6344" name="AutoShape 1224" descr="https://www.soccerstats.com/img/own/sshplogo.png">
          <a:hlinkClick xmlns:r="http://schemas.openxmlformats.org/officeDocument/2006/relationships" r:id="rId782"/>
        </xdr:cNvPr>
        <xdr:cNvSpPr>
          <a:spLocks noChangeAspect="1" noChangeArrowheads="1"/>
        </xdr:cNvSpPr>
      </xdr:nvSpPr>
      <xdr:spPr bwMode="auto">
        <a:xfrm>
          <a:off x="13411200" y="25085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152400</xdr:colOff>
      <xdr:row>125</xdr:row>
      <xdr:rowOff>106680</xdr:rowOff>
    </xdr:to>
    <xdr:sp macro="" textlink="">
      <xdr:nvSpPr>
        <xdr:cNvPr id="6345" name="AutoShape 1225" descr="FINLAND3"/>
        <xdr:cNvSpPr>
          <a:spLocks noChangeAspect="1" noChangeArrowheads="1"/>
        </xdr:cNvSpPr>
      </xdr:nvSpPr>
      <xdr:spPr bwMode="auto">
        <a:xfrm>
          <a:off x="0" y="25260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125</xdr:row>
      <xdr:rowOff>0</xdr:rowOff>
    </xdr:from>
    <xdr:to>
      <xdr:col>22</xdr:col>
      <xdr:colOff>304800</xdr:colOff>
      <xdr:row>126</xdr:row>
      <xdr:rowOff>129540</xdr:rowOff>
    </xdr:to>
    <xdr:sp macro="" textlink="">
      <xdr:nvSpPr>
        <xdr:cNvPr id="6346" name="AutoShape 1226" descr="https://www.soccerstats.com/img/own/sshplogo.png">
          <a:hlinkClick xmlns:r="http://schemas.openxmlformats.org/officeDocument/2006/relationships" r:id="rId783"/>
        </xdr:cNvPr>
        <xdr:cNvSpPr>
          <a:spLocks noChangeAspect="1" noChangeArrowheads="1"/>
        </xdr:cNvSpPr>
      </xdr:nvSpPr>
      <xdr:spPr bwMode="auto">
        <a:xfrm>
          <a:off x="13411200" y="25260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126</xdr:row>
      <xdr:rowOff>0</xdr:rowOff>
    </xdr:from>
    <xdr:to>
      <xdr:col>0</xdr:col>
      <xdr:colOff>152400</xdr:colOff>
      <xdr:row>126</xdr:row>
      <xdr:rowOff>106680</xdr:rowOff>
    </xdr:to>
    <xdr:sp macro="" textlink="">
      <xdr:nvSpPr>
        <xdr:cNvPr id="6347" name="AutoShape 1227" descr="FINLAND3"/>
        <xdr:cNvSpPr>
          <a:spLocks noChangeAspect="1" noChangeArrowheads="1"/>
        </xdr:cNvSpPr>
      </xdr:nvSpPr>
      <xdr:spPr bwMode="auto">
        <a:xfrm>
          <a:off x="0" y="25435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126</xdr:row>
      <xdr:rowOff>0</xdr:rowOff>
    </xdr:from>
    <xdr:to>
      <xdr:col>22</xdr:col>
      <xdr:colOff>304800</xdr:colOff>
      <xdr:row>127</xdr:row>
      <xdr:rowOff>129540</xdr:rowOff>
    </xdr:to>
    <xdr:sp macro="" textlink="">
      <xdr:nvSpPr>
        <xdr:cNvPr id="6348" name="AutoShape 1228" descr="https://www.soccerstats.com/img/own/sshplogo.png">
          <a:hlinkClick xmlns:r="http://schemas.openxmlformats.org/officeDocument/2006/relationships" r:id="rId784"/>
        </xdr:cNvPr>
        <xdr:cNvSpPr>
          <a:spLocks noChangeAspect="1" noChangeArrowheads="1"/>
        </xdr:cNvSpPr>
      </xdr:nvSpPr>
      <xdr:spPr bwMode="auto">
        <a:xfrm>
          <a:off x="13411200" y="25435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152400</xdr:colOff>
      <xdr:row>127</xdr:row>
      <xdr:rowOff>106680</xdr:rowOff>
    </xdr:to>
    <xdr:sp macro="" textlink="">
      <xdr:nvSpPr>
        <xdr:cNvPr id="6349" name="AutoShape 1229" descr="FINLAND4"/>
        <xdr:cNvSpPr>
          <a:spLocks noChangeAspect="1" noChangeArrowheads="1"/>
        </xdr:cNvSpPr>
      </xdr:nvSpPr>
      <xdr:spPr bwMode="auto">
        <a:xfrm>
          <a:off x="0" y="25610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127</xdr:row>
      <xdr:rowOff>0</xdr:rowOff>
    </xdr:from>
    <xdr:to>
      <xdr:col>22</xdr:col>
      <xdr:colOff>304800</xdr:colOff>
      <xdr:row>128</xdr:row>
      <xdr:rowOff>129540</xdr:rowOff>
    </xdr:to>
    <xdr:sp macro="" textlink="">
      <xdr:nvSpPr>
        <xdr:cNvPr id="6350" name="AutoShape 1230" descr="https://www.soccerstats.com/img/own/sshplogo.png">
          <a:hlinkClick xmlns:r="http://schemas.openxmlformats.org/officeDocument/2006/relationships" r:id="rId785"/>
        </xdr:cNvPr>
        <xdr:cNvSpPr>
          <a:spLocks noChangeAspect="1" noChangeArrowheads="1"/>
        </xdr:cNvSpPr>
      </xdr:nvSpPr>
      <xdr:spPr bwMode="auto">
        <a:xfrm>
          <a:off x="13411200" y="25610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152400</xdr:colOff>
      <xdr:row>128</xdr:row>
      <xdr:rowOff>106680</xdr:rowOff>
    </xdr:to>
    <xdr:sp macro="" textlink="">
      <xdr:nvSpPr>
        <xdr:cNvPr id="6351" name="AutoShape 1231" descr="FINLAND6"/>
        <xdr:cNvSpPr>
          <a:spLocks noChangeAspect="1" noChangeArrowheads="1"/>
        </xdr:cNvSpPr>
      </xdr:nvSpPr>
      <xdr:spPr bwMode="auto">
        <a:xfrm>
          <a:off x="0" y="25786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128</xdr:row>
      <xdr:rowOff>0</xdr:rowOff>
    </xdr:from>
    <xdr:to>
      <xdr:col>22</xdr:col>
      <xdr:colOff>304800</xdr:colOff>
      <xdr:row>129</xdr:row>
      <xdr:rowOff>53340</xdr:rowOff>
    </xdr:to>
    <xdr:sp macro="" textlink="">
      <xdr:nvSpPr>
        <xdr:cNvPr id="6352" name="AutoShape 1232" descr="https://www.soccerstats.com/img/own/sshplogo.png">
          <a:hlinkClick xmlns:r="http://schemas.openxmlformats.org/officeDocument/2006/relationships" r:id="rId786"/>
        </xdr:cNvPr>
        <xdr:cNvSpPr>
          <a:spLocks noChangeAspect="1" noChangeArrowheads="1"/>
        </xdr:cNvSpPr>
      </xdr:nvSpPr>
      <xdr:spPr bwMode="auto">
        <a:xfrm>
          <a:off x="13411200" y="25786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152400</xdr:colOff>
      <xdr:row>129</xdr:row>
      <xdr:rowOff>106680</xdr:rowOff>
    </xdr:to>
    <xdr:sp macro="" textlink="">
      <xdr:nvSpPr>
        <xdr:cNvPr id="6353" name="AutoShape 1233" descr="FINLAND6"/>
        <xdr:cNvSpPr>
          <a:spLocks noChangeAspect="1" noChangeArrowheads="1"/>
        </xdr:cNvSpPr>
      </xdr:nvSpPr>
      <xdr:spPr bwMode="auto">
        <a:xfrm>
          <a:off x="0" y="25961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129</xdr:row>
      <xdr:rowOff>0</xdr:rowOff>
    </xdr:from>
    <xdr:to>
      <xdr:col>22</xdr:col>
      <xdr:colOff>304800</xdr:colOff>
      <xdr:row>130</xdr:row>
      <xdr:rowOff>53340</xdr:rowOff>
    </xdr:to>
    <xdr:sp macro="" textlink="">
      <xdr:nvSpPr>
        <xdr:cNvPr id="6354" name="AutoShape 1234" descr="https://www.soccerstats.com/img/own/sshplogo.png">
          <a:hlinkClick xmlns:r="http://schemas.openxmlformats.org/officeDocument/2006/relationships" r:id="rId787"/>
        </xdr:cNvPr>
        <xdr:cNvSpPr>
          <a:spLocks noChangeAspect="1" noChangeArrowheads="1"/>
        </xdr:cNvSpPr>
      </xdr:nvSpPr>
      <xdr:spPr bwMode="auto">
        <a:xfrm>
          <a:off x="13411200" y="25961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152400</xdr:colOff>
      <xdr:row>130</xdr:row>
      <xdr:rowOff>106680</xdr:rowOff>
    </xdr:to>
    <xdr:sp macro="" textlink="">
      <xdr:nvSpPr>
        <xdr:cNvPr id="6355" name="AutoShape 1235" descr="GEORGIA"/>
        <xdr:cNvSpPr>
          <a:spLocks noChangeAspect="1" noChangeArrowheads="1"/>
        </xdr:cNvSpPr>
      </xdr:nvSpPr>
      <xdr:spPr bwMode="auto">
        <a:xfrm>
          <a:off x="0" y="26212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130</xdr:row>
      <xdr:rowOff>0</xdr:rowOff>
    </xdr:from>
    <xdr:to>
      <xdr:col>22</xdr:col>
      <xdr:colOff>304800</xdr:colOff>
      <xdr:row>131</xdr:row>
      <xdr:rowOff>129540</xdr:rowOff>
    </xdr:to>
    <xdr:sp macro="" textlink="">
      <xdr:nvSpPr>
        <xdr:cNvPr id="6356" name="AutoShape 1236" descr="https://www.soccerstats.com/img/own/sshplogo.png">
          <a:hlinkClick xmlns:r="http://schemas.openxmlformats.org/officeDocument/2006/relationships" r:id="rId788"/>
        </xdr:cNvPr>
        <xdr:cNvSpPr>
          <a:spLocks noChangeAspect="1" noChangeArrowheads="1"/>
        </xdr:cNvSpPr>
      </xdr:nvSpPr>
      <xdr:spPr bwMode="auto">
        <a:xfrm>
          <a:off x="13411200" y="2621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152400</xdr:colOff>
      <xdr:row>131</xdr:row>
      <xdr:rowOff>106680</xdr:rowOff>
    </xdr:to>
    <xdr:sp macro="" textlink="">
      <xdr:nvSpPr>
        <xdr:cNvPr id="6357" name="AutoShape 1237" descr="GEORGIA"/>
        <xdr:cNvSpPr>
          <a:spLocks noChangeAspect="1" noChangeArrowheads="1"/>
        </xdr:cNvSpPr>
      </xdr:nvSpPr>
      <xdr:spPr bwMode="auto">
        <a:xfrm>
          <a:off x="0" y="26388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131</xdr:row>
      <xdr:rowOff>0</xdr:rowOff>
    </xdr:from>
    <xdr:to>
      <xdr:col>22</xdr:col>
      <xdr:colOff>304800</xdr:colOff>
      <xdr:row>132</xdr:row>
      <xdr:rowOff>129540</xdr:rowOff>
    </xdr:to>
    <xdr:sp macro="" textlink="">
      <xdr:nvSpPr>
        <xdr:cNvPr id="6358" name="AutoShape 1238" descr="https://www.soccerstats.com/img/own/sshplogo.png">
          <a:hlinkClick xmlns:r="http://schemas.openxmlformats.org/officeDocument/2006/relationships" r:id="rId789"/>
        </xdr:cNvPr>
        <xdr:cNvSpPr>
          <a:spLocks noChangeAspect="1" noChangeArrowheads="1"/>
        </xdr:cNvSpPr>
      </xdr:nvSpPr>
      <xdr:spPr bwMode="auto">
        <a:xfrm>
          <a:off x="13411200" y="26388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132</xdr:row>
      <xdr:rowOff>0</xdr:rowOff>
    </xdr:from>
    <xdr:to>
      <xdr:col>0</xdr:col>
      <xdr:colOff>152400</xdr:colOff>
      <xdr:row>132</xdr:row>
      <xdr:rowOff>106680</xdr:rowOff>
    </xdr:to>
    <xdr:sp macro="" textlink="">
      <xdr:nvSpPr>
        <xdr:cNvPr id="6359" name="AutoShape 1239" descr="GERMANY3"/>
        <xdr:cNvSpPr>
          <a:spLocks noChangeAspect="1" noChangeArrowheads="1"/>
        </xdr:cNvSpPr>
      </xdr:nvSpPr>
      <xdr:spPr bwMode="auto">
        <a:xfrm>
          <a:off x="0" y="26639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132</xdr:row>
      <xdr:rowOff>0</xdr:rowOff>
    </xdr:from>
    <xdr:to>
      <xdr:col>22</xdr:col>
      <xdr:colOff>304800</xdr:colOff>
      <xdr:row>133</xdr:row>
      <xdr:rowOff>129540</xdr:rowOff>
    </xdr:to>
    <xdr:sp macro="" textlink="">
      <xdr:nvSpPr>
        <xdr:cNvPr id="6360" name="AutoShape 1240" descr="https://www.soccerstats.com/img/own/sshplogo.png">
          <a:hlinkClick xmlns:r="http://schemas.openxmlformats.org/officeDocument/2006/relationships" r:id="rId790"/>
        </xdr:cNvPr>
        <xdr:cNvSpPr>
          <a:spLocks noChangeAspect="1" noChangeArrowheads="1"/>
        </xdr:cNvSpPr>
      </xdr:nvSpPr>
      <xdr:spPr bwMode="auto">
        <a:xfrm>
          <a:off x="13411200" y="26639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152400</xdr:colOff>
      <xdr:row>133</xdr:row>
      <xdr:rowOff>106680</xdr:rowOff>
    </xdr:to>
    <xdr:sp macro="" textlink="">
      <xdr:nvSpPr>
        <xdr:cNvPr id="6361" name="AutoShape 1241" descr="GERMANY3"/>
        <xdr:cNvSpPr>
          <a:spLocks noChangeAspect="1" noChangeArrowheads="1"/>
        </xdr:cNvSpPr>
      </xdr:nvSpPr>
      <xdr:spPr bwMode="auto">
        <a:xfrm>
          <a:off x="0" y="26890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133</xdr:row>
      <xdr:rowOff>0</xdr:rowOff>
    </xdr:from>
    <xdr:to>
      <xdr:col>22</xdr:col>
      <xdr:colOff>304800</xdr:colOff>
      <xdr:row>134</xdr:row>
      <xdr:rowOff>129540</xdr:rowOff>
    </xdr:to>
    <xdr:sp macro="" textlink="">
      <xdr:nvSpPr>
        <xdr:cNvPr id="6362" name="AutoShape 1242" descr="https://www.soccerstats.com/img/own/sshplogo.png">
          <a:hlinkClick xmlns:r="http://schemas.openxmlformats.org/officeDocument/2006/relationships" r:id="rId791"/>
        </xdr:cNvPr>
        <xdr:cNvSpPr>
          <a:spLocks noChangeAspect="1" noChangeArrowheads="1"/>
        </xdr:cNvSpPr>
      </xdr:nvSpPr>
      <xdr:spPr bwMode="auto">
        <a:xfrm>
          <a:off x="13411200" y="26890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152400</xdr:colOff>
      <xdr:row>134</xdr:row>
      <xdr:rowOff>106680</xdr:rowOff>
    </xdr:to>
    <xdr:sp macro="" textlink="">
      <xdr:nvSpPr>
        <xdr:cNvPr id="6363" name="AutoShape 1243" descr="GERMANY3"/>
        <xdr:cNvSpPr>
          <a:spLocks noChangeAspect="1" noChangeArrowheads="1"/>
        </xdr:cNvSpPr>
      </xdr:nvSpPr>
      <xdr:spPr bwMode="auto">
        <a:xfrm>
          <a:off x="0" y="27066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134</xdr:row>
      <xdr:rowOff>0</xdr:rowOff>
    </xdr:from>
    <xdr:to>
      <xdr:col>22</xdr:col>
      <xdr:colOff>304800</xdr:colOff>
      <xdr:row>135</xdr:row>
      <xdr:rowOff>129540</xdr:rowOff>
    </xdr:to>
    <xdr:sp macro="" textlink="">
      <xdr:nvSpPr>
        <xdr:cNvPr id="6364" name="AutoShape 1244" descr="https://www.soccerstats.com/img/own/sshplogo.png">
          <a:hlinkClick xmlns:r="http://schemas.openxmlformats.org/officeDocument/2006/relationships" r:id="rId792"/>
        </xdr:cNvPr>
        <xdr:cNvSpPr>
          <a:spLocks noChangeAspect="1" noChangeArrowheads="1"/>
        </xdr:cNvSpPr>
      </xdr:nvSpPr>
      <xdr:spPr bwMode="auto">
        <a:xfrm>
          <a:off x="13411200" y="27066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152400</xdr:colOff>
      <xdr:row>135</xdr:row>
      <xdr:rowOff>106680</xdr:rowOff>
    </xdr:to>
    <xdr:sp macro="" textlink="">
      <xdr:nvSpPr>
        <xdr:cNvPr id="6365" name="AutoShape 1245" descr="GERMANY4"/>
        <xdr:cNvSpPr>
          <a:spLocks noChangeAspect="1" noChangeArrowheads="1"/>
        </xdr:cNvSpPr>
      </xdr:nvSpPr>
      <xdr:spPr bwMode="auto">
        <a:xfrm>
          <a:off x="0" y="27317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135</xdr:row>
      <xdr:rowOff>0</xdr:rowOff>
    </xdr:from>
    <xdr:to>
      <xdr:col>22</xdr:col>
      <xdr:colOff>304800</xdr:colOff>
      <xdr:row>136</xdr:row>
      <xdr:rowOff>129540</xdr:rowOff>
    </xdr:to>
    <xdr:sp macro="" textlink="">
      <xdr:nvSpPr>
        <xdr:cNvPr id="6366" name="AutoShape 1246" descr="https://www.soccerstats.com/img/own/sshplogo.png">
          <a:hlinkClick xmlns:r="http://schemas.openxmlformats.org/officeDocument/2006/relationships" r:id="rId793"/>
        </xdr:cNvPr>
        <xdr:cNvSpPr>
          <a:spLocks noChangeAspect="1" noChangeArrowheads="1"/>
        </xdr:cNvSpPr>
      </xdr:nvSpPr>
      <xdr:spPr bwMode="auto">
        <a:xfrm>
          <a:off x="13411200" y="2731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152400</xdr:colOff>
      <xdr:row>136</xdr:row>
      <xdr:rowOff>106680</xdr:rowOff>
    </xdr:to>
    <xdr:sp macro="" textlink="">
      <xdr:nvSpPr>
        <xdr:cNvPr id="6367" name="AutoShape 1247" descr="GERMANY4"/>
        <xdr:cNvSpPr>
          <a:spLocks noChangeAspect="1" noChangeArrowheads="1"/>
        </xdr:cNvSpPr>
      </xdr:nvSpPr>
      <xdr:spPr bwMode="auto">
        <a:xfrm>
          <a:off x="0" y="27569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136</xdr:row>
      <xdr:rowOff>0</xdr:rowOff>
    </xdr:from>
    <xdr:to>
      <xdr:col>22</xdr:col>
      <xdr:colOff>304800</xdr:colOff>
      <xdr:row>137</xdr:row>
      <xdr:rowOff>53340</xdr:rowOff>
    </xdr:to>
    <xdr:sp macro="" textlink="">
      <xdr:nvSpPr>
        <xdr:cNvPr id="6368" name="AutoShape 1248" descr="https://www.soccerstats.com/img/own/sshplogo.png">
          <a:hlinkClick xmlns:r="http://schemas.openxmlformats.org/officeDocument/2006/relationships" r:id="rId794"/>
        </xdr:cNvPr>
        <xdr:cNvSpPr>
          <a:spLocks noChangeAspect="1" noChangeArrowheads="1"/>
        </xdr:cNvSpPr>
      </xdr:nvSpPr>
      <xdr:spPr bwMode="auto">
        <a:xfrm>
          <a:off x="13411200" y="27569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152400</xdr:colOff>
      <xdr:row>137</xdr:row>
      <xdr:rowOff>106680</xdr:rowOff>
    </xdr:to>
    <xdr:sp macro="" textlink="">
      <xdr:nvSpPr>
        <xdr:cNvPr id="6369" name="AutoShape 1249" descr="GERMANY4"/>
        <xdr:cNvSpPr>
          <a:spLocks noChangeAspect="1" noChangeArrowheads="1"/>
        </xdr:cNvSpPr>
      </xdr:nvSpPr>
      <xdr:spPr bwMode="auto">
        <a:xfrm>
          <a:off x="0" y="27820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137</xdr:row>
      <xdr:rowOff>0</xdr:rowOff>
    </xdr:from>
    <xdr:to>
      <xdr:col>22</xdr:col>
      <xdr:colOff>304800</xdr:colOff>
      <xdr:row>138</xdr:row>
      <xdr:rowOff>53340</xdr:rowOff>
    </xdr:to>
    <xdr:sp macro="" textlink="">
      <xdr:nvSpPr>
        <xdr:cNvPr id="6370" name="AutoShape 1250" descr="https://www.soccerstats.com/img/own/sshplogo.png">
          <a:hlinkClick xmlns:r="http://schemas.openxmlformats.org/officeDocument/2006/relationships" r:id="rId795"/>
        </xdr:cNvPr>
        <xdr:cNvSpPr>
          <a:spLocks noChangeAspect="1" noChangeArrowheads="1"/>
        </xdr:cNvSpPr>
      </xdr:nvSpPr>
      <xdr:spPr bwMode="auto">
        <a:xfrm>
          <a:off x="13411200" y="27820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138</xdr:row>
      <xdr:rowOff>0</xdr:rowOff>
    </xdr:from>
    <xdr:to>
      <xdr:col>0</xdr:col>
      <xdr:colOff>152400</xdr:colOff>
      <xdr:row>138</xdr:row>
      <xdr:rowOff>106680</xdr:rowOff>
    </xdr:to>
    <xdr:sp macro="" textlink="">
      <xdr:nvSpPr>
        <xdr:cNvPr id="6371" name="AutoShape 1251" descr="GERMANY4"/>
        <xdr:cNvSpPr>
          <a:spLocks noChangeAspect="1" noChangeArrowheads="1"/>
        </xdr:cNvSpPr>
      </xdr:nvSpPr>
      <xdr:spPr bwMode="auto">
        <a:xfrm>
          <a:off x="0" y="28072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138</xdr:row>
      <xdr:rowOff>0</xdr:rowOff>
    </xdr:from>
    <xdr:to>
      <xdr:col>22</xdr:col>
      <xdr:colOff>304800</xdr:colOff>
      <xdr:row>139</xdr:row>
      <xdr:rowOff>53340</xdr:rowOff>
    </xdr:to>
    <xdr:sp macro="" textlink="">
      <xdr:nvSpPr>
        <xdr:cNvPr id="6372" name="AutoShape 1252" descr="https://www.soccerstats.com/img/own/sshplogo.png">
          <a:hlinkClick xmlns:r="http://schemas.openxmlformats.org/officeDocument/2006/relationships" r:id="rId796"/>
        </xdr:cNvPr>
        <xdr:cNvSpPr>
          <a:spLocks noChangeAspect="1" noChangeArrowheads="1"/>
        </xdr:cNvSpPr>
      </xdr:nvSpPr>
      <xdr:spPr bwMode="auto">
        <a:xfrm>
          <a:off x="13411200" y="28072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152400</xdr:colOff>
      <xdr:row>139</xdr:row>
      <xdr:rowOff>106680</xdr:rowOff>
    </xdr:to>
    <xdr:sp macro="" textlink="">
      <xdr:nvSpPr>
        <xdr:cNvPr id="6373" name="AutoShape 1253" descr="GERMANY4"/>
        <xdr:cNvSpPr>
          <a:spLocks noChangeAspect="1" noChangeArrowheads="1"/>
        </xdr:cNvSpPr>
      </xdr:nvSpPr>
      <xdr:spPr bwMode="auto">
        <a:xfrm>
          <a:off x="0" y="28323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139</xdr:row>
      <xdr:rowOff>0</xdr:rowOff>
    </xdr:from>
    <xdr:to>
      <xdr:col>22</xdr:col>
      <xdr:colOff>304800</xdr:colOff>
      <xdr:row>140</xdr:row>
      <xdr:rowOff>129540</xdr:rowOff>
    </xdr:to>
    <xdr:sp macro="" textlink="">
      <xdr:nvSpPr>
        <xdr:cNvPr id="6374" name="AutoShape 1254" descr="https://www.soccerstats.com/img/own/sshplogo.png">
          <a:hlinkClick xmlns:r="http://schemas.openxmlformats.org/officeDocument/2006/relationships" r:id="rId797"/>
        </xdr:cNvPr>
        <xdr:cNvSpPr>
          <a:spLocks noChangeAspect="1" noChangeArrowheads="1"/>
        </xdr:cNvSpPr>
      </xdr:nvSpPr>
      <xdr:spPr bwMode="auto">
        <a:xfrm>
          <a:off x="13411200" y="28323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140</xdr:row>
      <xdr:rowOff>0</xdr:rowOff>
    </xdr:from>
    <xdr:to>
      <xdr:col>0</xdr:col>
      <xdr:colOff>152400</xdr:colOff>
      <xdr:row>140</xdr:row>
      <xdr:rowOff>106680</xdr:rowOff>
    </xdr:to>
    <xdr:sp macro="" textlink="">
      <xdr:nvSpPr>
        <xdr:cNvPr id="6375" name="AutoShape 1255" descr="GERMANY5"/>
        <xdr:cNvSpPr>
          <a:spLocks noChangeAspect="1" noChangeArrowheads="1"/>
        </xdr:cNvSpPr>
      </xdr:nvSpPr>
      <xdr:spPr bwMode="auto">
        <a:xfrm>
          <a:off x="0" y="28498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140</xdr:row>
      <xdr:rowOff>0</xdr:rowOff>
    </xdr:from>
    <xdr:to>
      <xdr:col>22</xdr:col>
      <xdr:colOff>304800</xdr:colOff>
      <xdr:row>141</xdr:row>
      <xdr:rowOff>53340</xdr:rowOff>
    </xdr:to>
    <xdr:sp macro="" textlink="">
      <xdr:nvSpPr>
        <xdr:cNvPr id="6376" name="AutoShape 1256" descr="https://www.soccerstats.com/img/own/sshplogo.png">
          <a:hlinkClick xmlns:r="http://schemas.openxmlformats.org/officeDocument/2006/relationships" r:id="rId798"/>
        </xdr:cNvPr>
        <xdr:cNvSpPr>
          <a:spLocks noChangeAspect="1" noChangeArrowheads="1"/>
        </xdr:cNvSpPr>
      </xdr:nvSpPr>
      <xdr:spPr bwMode="auto">
        <a:xfrm>
          <a:off x="13411200" y="2849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377" name="AutoShape 1257" descr="GERMANY5"/>
        <xdr:cNvSpPr>
          <a:spLocks noChangeAspect="1" noChangeArrowheads="1"/>
        </xdr:cNvSpPr>
      </xdr:nvSpPr>
      <xdr:spPr bwMode="auto">
        <a:xfrm>
          <a:off x="0" y="28674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378" name="AutoShape 1258" descr="https://www.soccerstats.com/img/own/sshplogo.png">
          <a:hlinkClick xmlns:r="http://schemas.openxmlformats.org/officeDocument/2006/relationships" r:id="rId799"/>
        </xdr:cNvPr>
        <xdr:cNvSpPr>
          <a:spLocks noChangeAspect="1" noChangeArrowheads="1"/>
        </xdr:cNvSpPr>
      </xdr:nvSpPr>
      <xdr:spPr bwMode="auto">
        <a:xfrm>
          <a:off x="13411200" y="28674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379" name="AutoShape 1259" descr="GERMANY6"/>
        <xdr:cNvSpPr>
          <a:spLocks noChangeAspect="1" noChangeArrowheads="1"/>
        </xdr:cNvSpPr>
      </xdr:nvSpPr>
      <xdr:spPr bwMode="auto">
        <a:xfrm>
          <a:off x="0" y="28925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380" name="AutoShape 1260" descr="https://www.soccerstats.com/img/own/sshplogo.png">
          <a:hlinkClick xmlns:r="http://schemas.openxmlformats.org/officeDocument/2006/relationships" r:id="rId800"/>
        </xdr:cNvPr>
        <xdr:cNvSpPr>
          <a:spLocks noChangeAspect="1" noChangeArrowheads="1"/>
        </xdr:cNvSpPr>
      </xdr:nvSpPr>
      <xdr:spPr bwMode="auto">
        <a:xfrm>
          <a:off x="13411200" y="28925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381" name="AutoShape 1261" descr="GERMANY7"/>
        <xdr:cNvSpPr>
          <a:spLocks noChangeAspect="1" noChangeArrowheads="1"/>
        </xdr:cNvSpPr>
      </xdr:nvSpPr>
      <xdr:spPr bwMode="auto">
        <a:xfrm>
          <a:off x="0" y="29100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382" name="AutoShape 1262" descr="https://www.soccerstats.com/img/own/sshplogo.png">
          <a:hlinkClick xmlns:r="http://schemas.openxmlformats.org/officeDocument/2006/relationships" r:id="rId801"/>
        </xdr:cNvPr>
        <xdr:cNvSpPr>
          <a:spLocks noChangeAspect="1" noChangeArrowheads="1"/>
        </xdr:cNvSpPr>
      </xdr:nvSpPr>
      <xdr:spPr bwMode="auto">
        <a:xfrm>
          <a:off x="13411200" y="29100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383" name="AutoShape 1263" descr="GERMANY7"/>
        <xdr:cNvSpPr>
          <a:spLocks noChangeAspect="1" noChangeArrowheads="1"/>
        </xdr:cNvSpPr>
      </xdr:nvSpPr>
      <xdr:spPr bwMode="auto">
        <a:xfrm>
          <a:off x="0" y="29276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384" name="AutoShape 1264" descr="https://www.soccerstats.com/img/own/sshplogo.png">
          <a:hlinkClick xmlns:r="http://schemas.openxmlformats.org/officeDocument/2006/relationships" r:id="rId802"/>
        </xdr:cNvPr>
        <xdr:cNvSpPr>
          <a:spLocks noChangeAspect="1" noChangeArrowheads="1"/>
        </xdr:cNvSpPr>
      </xdr:nvSpPr>
      <xdr:spPr bwMode="auto">
        <a:xfrm>
          <a:off x="13411200" y="29276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385" name="AutoShape 1265" descr="GERMANY7"/>
        <xdr:cNvSpPr>
          <a:spLocks noChangeAspect="1" noChangeArrowheads="1"/>
        </xdr:cNvSpPr>
      </xdr:nvSpPr>
      <xdr:spPr bwMode="auto">
        <a:xfrm>
          <a:off x="0" y="29451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386" name="AutoShape 1266" descr="https://www.soccerstats.com/img/own/sshplogo.png">
          <a:hlinkClick xmlns:r="http://schemas.openxmlformats.org/officeDocument/2006/relationships" r:id="rId803"/>
        </xdr:cNvPr>
        <xdr:cNvSpPr>
          <a:spLocks noChangeAspect="1" noChangeArrowheads="1"/>
        </xdr:cNvSpPr>
      </xdr:nvSpPr>
      <xdr:spPr bwMode="auto">
        <a:xfrm>
          <a:off x="13411200" y="29451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387" name="AutoShape 1267" descr="GUATEMALA"/>
        <xdr:cNvSpPr>
          <a:spLocks noChangeAspect="1" noChangeArrowheads="1"/>
        </xdr:cNvSpPr>
      </xdr:nvSpPr>
      <xdr:spPr bwMode="auto">
        <a:xfrm>
          <a:off x="0" y="29702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388" name="AutoShape 1268" descr="https://www.soccerstats.com/img/own/sshplogo.png">
          <a:hlinkClick xmlns:r="http://schemas.openxmlformats.org/officeDocument/2006/relationships" r:id="rId804"/>
        </xdr:cNvPr>
        <xdr:cNvSpPr>
          <a:spLocks noChangeAspect="1" noChangeArrowheads="1"/>
        </xdr:cNvSpPr>
      </xdr:nvSpPr>
      <xdr:spPr bwMode="auto">
        <a:xfrm>
          <a:off x="13411200" y="29702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389" name="AutoShape 1269" descr="GUATEMALA"/>
        <xdr:cNvSpPr>
          <a:spLocks noChangeAspect="1" noChangeArrowheads="1"/>
        </xdr:cNvSpPr>
      </xdr:nvSpPr>
      <xdr:spPr bwMode="auto">
        <a:xfrm>
          <a:off x="0" y="29954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390" name="AutoShape 1270" descr="https://www.soccerstats.com/img/own/sshplogo.png">
          <a:hlinkClick xmlns:r="http://schemas.openxmlformats.org/officeDocument/2006/relationships" r:id="rId805"/>
        </xdr:cNvPr>
        <xdr:cNvSpPr>
          <a:spLocks noChangeAspect="1" noChangeArrowheads="1"/>
        </xdr:cNvSpPr>
      </xdr:nvSpPr>
      <xdr:spPr bwMode="auto">
        <a:xfrm>
          <a:off x="13411200" y="29954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391" name="AutoShape 1271" descr="GUATEMALA"/>
        <xdr:cNvSpPr>
          <a:spLocks noChangeAspect="1" noChangeArrowheads="1"/>
        </xdr:cNvSpPr>
      </xdr:nvSpPr>
      <xdr:spPr bwMode="auto">
        <a:xfrm>
          <a:off x="0" y="30129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392" name="AutoShape 1272" descr="https://www.soccerstats.com/img/own/sshplogo.png">
          <a:hlinkClick xmlns:r="http://schemas.openxmlformats.org/officeDocument/2006/relationships" r:id="rId806"/>
        </xdr:cNvPr>
        <xdr:cNvSpPr>
          <a:spLocks noChangeAspect="1" noChangeArrowheads="1"/>
        </xdr:cNvSpPr>
      </xdr:nvSpPr>
      <xdr:spPr bwMode="auto">
        <a:xfrm>
          <a:off x="13411200" y="30129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393" name="AutoShape 1273" descr="HUNGARY"/>
        <xdr:cNvSpPr>
          <a:spLocks noChangeAspect="1" noChangeArrowheads="1"/>
        </xdr:cNvSpPr>
      </xdr:nvSpPr>
      <xdr:spPr bwMode="auto">
        <a:xfrm>
          <a:off x="0" y="30380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394" name="AutoShape 1274" descr="https://www.soccerstats.com/img/own/sshplogo.png">
          <a:hlinkClick xmlns:r="http://schemas.openxmlformats.org/officeDocument/2006/relationships" r:id="rId807"/>
        </xdr:cNvPr>
        <xdr:cNvSpPr>
          <a:spLocks noChangeAspect="1" noChangeArrowheads="1"/>
        </xdr:cNvSpPr>
      </xdr:nvSpPr>
      <xdr:spPr bwMode="auto">
        <a:xfrm>
          <a:off x="13411200" y="30380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395" name="AutoShape 1275" descr="HUNGARY"/>
        <xdr:cNvSpPr>
          <a:spLocks noChangeAspect="1" noChangeArrowheads="1"/>
        </xdr:cNvSpPr>
      </xdr:nvSpPr>
      <xdr:spPr bwMode="auto">
        <a:xfrm>
          <a:off x="0" y="30556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396" name="AutoShape 1276" descr="https://www.soccerstats.com/img/own/sshplogo.png">
          <a:hlinkClick xmlns:r="http://schemas.openxmlformats.org/officeDocument/2006/relationships" r:id="rId808"/>
        </xdr:cNvPr>
        <xdr:cNvSpPr>
          <a:spLocks noChangeAspect="1" noChangeArrowheads="1"/>
        </xdr:cNvSpPr>
      </xdr:nvSpPr>
      <xdr:spPr bwMode="auto">
        <a:xfrm>
          <a:off x="13411200" y="30556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397" name="AutoShape 1277" descr="HUNGARY2"/>
        <xdr:cNvSpPr>
          <a:spLocks noChangeAspect="1" noChangeArrowheads="1"/>
        </xdr:cNvSpPr>
      </xdr:nvSpPr>
      <xdr:spPr bwMode="auto">
        <a:xfrm>
          <a:off x="0" y="30731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398" name="AutoShape 1278" descr="https://www.soccerstats.com/img/own/sshplogo.png">
          <a:hlinkClick xmlns:r="http://schemas.openxmlformats.org/officeDocument/2006/relationships" r:id="rId809"/>
        </xdr:cNvPr>
        <xdr:cNvSpPr>
          <a:spLocks noChangeAspect="1" noChangeArrowheads="1"/>
        </xdr:cNvSpPr>
      </xdr:nvSpPr>
      <xdr:spPr bwMode="auto">
        <a:xfrm>
          <a:off x="13411200" y="30731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399" name="AutoShape 1279" descr="HUNGARY2"/>
        <xdr:cNvSpPr>
          <a:spLocks noChangeAspect="1" noChangeArrowheads="1"/>
        </xdr:cNvSpPr>
      </xdr:nvSpPr>
      <xdr:spPr bwMode="auto">
        <a:xfrm>
          <a:off x="0" y="30906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400" name="AutoShape 1280" descr="https://www.soccerstats.com/img/own/sshplogo.png">
          <a:hlinkClick xmlns:r="http://schemas.openxmlformats.org/officeDocument/2006/relationships" r:id="rId810"/>
        </xdr:cNvPr>
        <xdr:cNvSpPr>
          <a:spLocks noChangeAspect="1" noChangeArrowheads="1"/>
        </xdr:cNvSpPr>
      </xdr:nvSpPr>
      <xdr:spPr bwMode="auto">
        <a:xfrm>
          <a:off x="13411200" y="30906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01" name="AutoShape 1281" descr="ICELAND"/>
        <xdr:cNvSpPr>
          <a:spLocks noChangeAspect="1" noChangeArrowheads="1"/>
        </xdr:cNvSpPr>
      </xdr:nvSpPr>
      <xdr:spPr bwMode="auto">
        <a:xfrm>
          <a:off x="0" y="31081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402" name="AutoShape 1282" descr="https://www.soccerstats.com/img/own/sshplogo.png">
          <a:hlinkClick xmlns:r="http://schemas.openxmlformats.org/officeDocument/2006/relationships" r:id="rId811"/>
        </xdr:cNvPr>
        <xdr:cNvSpPr>
          <a:spLocks noChangeAspect="1" noChangeArrowheads="1"/>
        </xdr:cNvSpPr>
      </xdr:nvSpPr>
      <xdr:spPr bwMode="auto">
        <a:xfrm>
          <a:off x="13411200" y="31081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03" name="AutoShape 1283" descr="ICELAND"/>
        <xdr:cNvSpPr>
          <a:spLocks noChangeAspect="1" noChangeArrowheads="1"/>
        </xdr:cNvSpPr>
      </xdr:nvSpPr>
      <xdr:spPr bwMode="auto">
        <a:xfrm>
          <a:off x="0" y="31257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404" name="AutoShape 1284" descr="https://www.soccerstats.com/img/own/sshplogo.png">
          <a:hlinkClick xmlns:r="http://schemas.openxmlformats.org/officeDocument/2006/relationships" r:id="rId812"/>
        </xdr:cNvPr>
        <xdr:cNvSpPr>
          <a:spLocks noChangeAspect="1" noChangeArrowheads="1"/>
        </xdr:cNvSpPr>
      </xdr:nvSpPr>
      <xdr:spPr bwMode="auto">
        <a:xfrm>
          <a:off x="13411200" y="31257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05" name="AutoShape 1285" descr="ICELAND"/>
        <xdr:cNvSpPr>
          <a:spLocks noChangeAspect="1" noChangeArrowheads="1"/>
        </xdr:cNvSpPr>
      </xdr:nvSpPr>
      <xdr:spPr bwMode="auto">
        <a:xfrm>
          <a:off x="0" y="31432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406" name="AutoShape 1286" descr="https://www.soccerstats.com/img/own/sshplogo.png">
          <a:hlinkClick xmlns:r="http://schemas.openxmlformats.org/officeDocument/2006/relationships" r:id="rId813"/>
        </xdr:cNvPr>
        <xdr:cNvSpPr>
          <a:spLocks noChangeAspect="1" noChangeArrowheads="1"/>
        </xdr:cNvSpPr>
      </xdr:nvSpPr>
      <xdr:spPr bwMode="auto">
        <a:xfrm>
          <a:off x="13411200" y="31432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07" name="AutoShape 1287" descr="JAPAN2"/>
        <xdr:cNvSpPr>
          <a:spLocks noChangeAspect="1" noChangeArrowheads="1"/>
        </xdr:cNvSpPr>
      </xdr:nvSpPr>
      <xdr:spPr bwMode="auto">
        <a:xfrm>
          <a:off x="0" y="31607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408" name="AutoShape 1288" descr="https://www.soccerstats.com/img/own/sshplogo.png">
          <a:hlinkClick xmlns:r="http://schemas.openxmlformats.org/officeDocument/2006/relationships" r:id="rId814"/>
        </xdr:cNvPr>
        <xdr:cNvSpPr>
          <a:spLocks noChangeAspect="1" noChangeArrowheads="1"/>
        </xdr:cNvSpPr>
      </xdr:nvSpPr>
      <xdr:spPr bwMode="auto">
        <a:xfrm>
          <a:off x="13411200" y="31607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09" name="AutoShape 1289" descr="JAPAN2"/>
        <xdr:cNvSpPr>
          <a:spLocks noChangeAspect="1" noChangeArrowheads="1"/>
        </xdr:cNvSpPr>
      </xdr:nvSpPr>
      <xdr:spPr bwMode="auto">
        <a:xfrm>
          <a:off x="0" y="31859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410" name="AutoShape 1290" descr="https://www.soccerstats.com/img/own/sshplogo.png">
          <a:hlinkClick xmlns:r="http://schemas.openxmlformats.org/officeDocument/2006/relationships" r:id="rId815"/>
        </xdr:cNvPr>
        <xdr:cNvSpPr>
          <a:spLocks noChangeAspect="1" noChangeArrowheads="1"/>
        </xdr:cNvSpPr>
      </xdr:nvSpPr>
      <xdr:spPr bwMode="auto">
        <a:xfrm>
          <a:off x="13411200" y="31859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11" name="AutoShape 1291" descr="JAPAN3"/>
        <xdr:cNvSpPr>
          <a:spLocks noChangeAspect="1" noChangeArrowheads="1"/>
        </xdr:cNvSpPr>
      </xdr:nvSpPr>
      <xdr:spPr bwMode="auto">
        <a:xfrm>
          <a:off x="0" y="32034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412" name="AutoShape 1292" descr="https://www.soccerstats.com/img/own/sshplogo.png">
          <a:hlinkClick xmlns:r="http://schemas.openxmlformats.org/officeDocument/2006/relationships" r:id="rId816"/>
        </xdr:cNvPr>
        <xdr:cNvSpPr>
          <a:spLocks noChangeAspect="1" noChangeArrowheads="1"/>
        </xdr:cNvSpPr>
      </xdr:nvSpPr>
      <xdr:spPr bwMode="auto">
        <a:xfrm>
          <a:off x="13411200" y="32034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13" name="AutoShape 1293" descr="JAPAN3"/>
        <xdr:cNvSpPr>
          <a:spLocks noChangeAspect="1" noChangeArrowheads="1"/>
        </xdr:cNvSpPr>
      </xdr:nvSpPr>
      <xdr:spPr bwMode="auto">
        <a:xfrm>
          <a:off x="0" y="32285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414" name="AutoShape 1294" descr="https://www.soccerstats.com/img/own/sshplogo.png">
          <a:hlinkClick xmlns:r="http://schemas.openxmlformats.org/officeDocument/2006/relationships" r:id="rId817"/>
        </xdr:cNvPr>
        <xdr:cNvSpPr>
          <a:spLocks noChangeAspect="1" noChangeArrowheads="1"/>
        </xdr:cNvSpPr>
      </xdr:nvSpPr>
      <xdr:spPr bwMode="auto">
        <a:xfrm>
          <a:off x="13411200" y="32285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15" name="AutoShape 1295" descr="JAPAN3"/>
        <xdr:cNvSpPr>
          <a:spLocks noChangeAspect="1" noChangeArrowheads="1"/>
        </xdr:cNvSpPr>
      </xdr:nvSpPr>
      <xdr:spPr bwMode="auto">
        <a:xfrm>
          <a:off x="0" y="32537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416" name="AutoShape 1296" descr="https://www.soccerstats.com/img/own/sshplogo.png">
          <a:hlinkClick xmlns:r="http://schemas.openxmlformats.org/officeDocument/2006/relationships" r:id="rId818"/>
        </xdr:cNvPr>
        <xdr:cNvSpPr>
          <a:spLocks noChangeAspect="1" noChangeArrowheads="1"/>
        </xdr:cNvSpPr>
      </xdr:nvSpPr>
      <xdr:spPr bwMode="auto">
        <a:xfrm>
          <a:off x="13411200" y="32537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17" name="AutoShape 1297" descr="JAPAN3"/>
        <xdr:cNvSpPr>
          <a:spLocks noChangeAspect="1" noChangeArrowheads="1"/>
        </xdr:cNvSpPr>
      </xdr:nvSpPr>
      <xdr:spPr bwMode="auto">
        <a:xfrm>
          <a:off x="0" y="32788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418" name="AutoShape 1298" descr="https://www.soccerstats.com/img/own/sshplogo.png">
          <a:hlinkClick xmlns:r="http://schemas.openxmlformats.org/officeDocument/2006/relationships" r:id="rId819"/>
        </xdr:cNvPr>
        <xdr:cNvSpPr>
          <a:spLocks noChangeAspect="1" noChangeArrowheads="1"/>
        </xdr:cNvSpPr>
      </xdr:nvSpPr>
      <xdr:spPr bwMode="auto">
        <a:xfrm>
          <a:off x="13411200" y="32788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19" name="AutoShape 1299" descr="KAZAKHSTAN"/>
        <xdr:cNvSpPr>
          <a:spLocks noChangeAspect="1" noChangeArrowheads="1"/>
        </xdr:cNvSpPr>
      </xdr:nvSpPr>
      <xdr:spPr bwMode="auto">
        <a:xfrm>
          <a:off x="0" y="33040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420" name="AutoShape 1300" descr="https://www.soccerstats.com/img/own/sshplogo.png">
          <a:hlinkClick xmlns:r="http://schemas.openxmlformats.org/officeDocument/2006/relationships" r:id="rId820"/>
        </xdr:cNvPr>
        <xdr:cNvSpPr>
          <a:spLocks noChangeAspect="1" noChangeArrowheads="1"/>
        </xdr:cNvSpPr>
      </xdr:nvSpPr>
      <xdr:spPr bwMode="auto">
        <a:xfrm>
          <a:off x="13411200" y="33040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21" name="AutoShape 1301" descr="KAZAKHSTAN"/>
        <xdr:cNvSpPr>
          <a:spLocks noChangeAspect="1" noChangeArrowheads="1"/>
        </xdr:cNvSpPr>
      </xdr:nvSpPr>
      <xdr:spPr bwMode="auto">
        <a:xfrm>
          <a:off x="0" y="33215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422" name="AutoShape 1302" descr="https://www.soccerstats.com/img/own/sshplogo.png">
          <a:hlinkClick xmlns:r="http://schemas.openxmlformats.org/officeDocument/2006/relationships" r:id="rId821"/>
        </xdr:cNvPr>
        <xdr:cNvSpPr>
          <a:spLocks noChangeAspect="1" noChangeArrowheads="1"/>
        </xdr:cNvSpPr>
      </xdr:nvSpPr>
      <xdr:spPr bwMode="auto">
        <a:xfrm>
          <a:off x="13411200" y="33215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23" name="AutoShape 1303" descr="KAZAKHSTAN"/>
        <xdr:cNvSpPr>
          <a:spLocks noChangeAspect="1" noChangeArrowheads="1"/>
        </xdr:cNvSpPr>
      </xdr:nvSpPr>
      <xdr:spPr bwMode="auto">
        <a:xfrm>
          <a:off x="0" y="33390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424" name="AutoShape 1304" descr="https://www.soccerstats.com/img/own/sshplogo.png">
          <a:hlinkClick xmlns:r="http://schemas.openxmlformats.org/officeDocument/2006/relationships" r:id="rId822"/>
        </xdr:cNvPr>
        <xdr:cNvSpPr>
          <a:spLocks noChangeAspect="1" noChangeArrowheads="1"/>
        </xdr:cNvSpPr>
      </xdr:nvSpPr>
      <xdr:spPr bwMode="auto">
        <a:xfrm>
          <a:off x="13411200" y="33390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25" name="AutoShape 1305" descr="KAZAKHSTAN"/>
        <xdr:cNvSpPr>
          <a:spLocks noChangeAspect="1" noChangeArrowheads="1"/>
        </xdr:cNvSpPr>
      </xdr:nvSpPr>
      <xdr:spPr bwMode="auto">
        <a:xfrm>
          <a:off x="0" y="33566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426" name="AutoShape 1306" descr="https://www.soccerstats.com/img/own/sshplogo.png">
          <a:hlinkClick xmlns:r="http://schemas.openxmlformats.org/officeDocument/2006/relationships" r:id="rId823"/>
        </xdr:cNvPr>
        <xdr:cNvSpPr>
          <a:spLocks noChangeAspect="1" noChangeArrowheads="1"/>
        </xdr:cNvSpPr>
      </xdr:nvSpPr>
      <xdr:spPr bwMode="auto">
        <a:xfrm>
          <a:off x="13411200" y="33566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27" name="AutoShape 1307" descr="LITHUANIA"/>
        <xdr:cNvSpPr>
          <a:spLocks noChangeAspect="1" noChangeArrowheads="1"/>
        </xdr:cNvSpPr>
      </xdr:nvSpPr>
      <xdr:spPr bwMode="auto">
        <a:xfrm>
          <a:off x="0" y="33817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428" name="AutoShape 1308" descr="https://www.soccerstats.com/img/own/sshplogo.png">
          <a:hlinkClick xmlns:r="http://schemas.openxmlformats.org/officeDocument/2006/relationships" r:id="rId824"/>
        </xdr:cNvPr>
        <xdr:cNvSpPr>
          <a:spLocks noChangeAspect="1" noChangeArrowheads="1"/>
        </xdr:cNvSpPr>
      </xdr:nvSpPr>
      <xdr:spPr bwMode="auto">
        <a:xfrm>
          <a:off x="13411200" y="33817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29" name="AutoShape 1309" descr="LITHUANIA"/>
        <xdr:cNvSpPr>
          <a:spLocks noChangeAspect="1" noChangeArrowheads="1"/>
        </xdr:cNvSpPr>
      </xdr:nvSpPr>
      <xdr:spPr bwMode="auto">
        <a:xfrm>
          <a:off x="0" y="34069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430" name="AutoShape 1310" descr="https://www.soccerstats.com/img/own/sshplogo.png">
          <a:hlinkClick xmlns:r="http://schemas.openxmlformats.org/officeDocument/2006/relationships" r:id="rId825"/>
        </xdr:cNvPr>
        <xdr:cNvSpPr>
          <a:spLocks noChangeAspect="1" noChangeArrowheads="1"/>
        </xdr:cNvSpPr>
      </xdr:nvSpPr>
      <xdr:spPr bwMode="auto">
        <a:xfrm>
          <a:off x="13411200" y="34069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31" name="AutoShape 1311" descr="MEXICO"/>
        <xdr:cNvSpPr>
          <a:spLocks noChangeAspect="1" noChangeArrowheads="1"/>
        </xdr:cNvSpPr>
      </xdr:nvSpPr>
      <xdr:spPr bwMode="auto">
        <a:xfrm>
          <a:off x="0" y="34244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432" name="AutoShape 1312" descr="https://www.soccerstats.com/img/own/sshplogo.png">
          <a:hlinkClick xmlns:r="http://schemas.openxmlformats.org/officeDocument/2006/relationships" r:id="rId826"/>
        </xdr:cNvPr>
        <xdr:cNvSpPr>
          <a:spLocks noChangeAspect="1" noChangeArrowheads="1"/>
        </xdr:cNvSpPr>
      </xdr:nvSpPr>
      <xdr:spPr bwMode="auto">
        <a:xfrm>
          <a:off x="13411200" y="34244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33" name="AutoShape 1313" descr="MEXICO"/>
        <xdr:cNvSpPr>
          <a:spLocks noChangeAspect="1" noChangeArrowheads="1"/>
        </xdr:cNvSpPr>
      </xdr:nvSpPr>
      <xdr:spPr bwMode="auto">
        <a:xfrm>
          <a:off x="0" y="34419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434" name="AutoShape 1314" descr="https://www.soccerstats.com/img/own/sshplogo.png">
          <a:hlinkClick xmlns:r="http://schemas.openxmlformats.org/officeDocument/2006/relationships" r:id="rId827"/>
        </xdr:cNvPr>
        <xdr:cNvSpPr>
          <a:spLocks noChangeAspect="1" noChangeArrowheads="1"/>
        </xdr:cNvSpPr>
      </xdr:nvSpPr>
      <xdr:spPr bwMode="auto">
        <a:xfrm>
          <a:off x="13411200" y="34419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35" name="AutoShape 1315" descr="MEXICO"/>
        <xdr:cNvSpPr>
          <a:spLocks noChangeAspect="1" noChangeArrowheads="1"/>
        </xdr:cNvSpPr>
      </xdr:nvSpPr>
      <xdr:spPr bwMode="auto">
        <a:xfrm>
          <a:off x="0" y="34594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436" name="AutoShape 1316" descr="https://www.soccerstats.com/img/own/sshplogo.png">
          <a:hlinkClick xmlns:r="http://schemas.openxmlformats.org/officeDocument/2006/relationships" r:id="rId828"/>
        </xdr:cNvPr>
        <xdr:cNvSpPr>
          <a:spLocks noChangeAspect="1" noChangeArrowheads="1"/>
        </xdr:cNvSpPr>
      </xdr:nvSpPr>
      <xdr:spPr bwMode="auto">
        <a:xfrm>
          <a:off x="13411200" y="3459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37" name="AutoShape 1317" descr="MEXICO"/>
        <xdr:cNvSpPr>
          <a:spLocks noChangeAspect="1" noChangeArrowheads="1"/>
        </xdr:cNvSpPr>
      </xdr:nvSpPr>
      <xdr:spPr bwMode="auto">
        <a:xfrm>
          <a:off x="0" y="34846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438" name="AutoShape 1318" descr="https://www.soccerstats.com/img/own/sshplogo.png">
          <a:hlinkClick xmlns:r="http://schemas.openxmlformats.org/officeDocument/2006/relationships" r:id="rId829"/>
        </xdr:cNvPr>
        <xdr:cNvSpPr>
          <a:spLocks noChangeAspect="1" noChangeArrowheads="1"/>
        </xdr:cNvSpPr>
      </xdr:nvSpPr>
      <xdr:spPr bwMode="auto">
        <a:xfrm>
          <a:off x="13411200" y="34846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39" name="AutoShape 1319" descr="MOLDOVA"/>
        <xdr:cNvSpPr>
          <a:spLocks noChangeAspect="1" noChangeArrowheads="1"/>
        </xdr:cNvSpPr>
      </xdr:nvSpPr>
      <xdr:spPr bwMode="auto">
        <a:xfrm>
          <a:off x="0" y="35021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440" name="AutoShape 1320" descr="https://www.soccerstats.com/img/own/sshplogo.png">
          <a:hlinkClick xmlns:r="http://schemas.openxmlformats.org/officeDocument/2006/relationships" r:id="rId830"/>
        </xdr:cNvPr>
        <xdr:cNvSpPr>
          <a:spLocks noChangeAspect="1" noChangeArrowheads="1"/>
        </xdr:cNvSpPr>
      </xdr:nvSpPr>
      <xdr:spPr bwMode="auto">
        <a:xfrm>
          <a:off x="13411200" y="35021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41" name="AutoShape 1321" descr="MOLDOVA"/>
        <xdr:cNvSpPr>
          <a:spLocks noChangeAspect="1" noChangeArrowheads="1"/>
        </xdr:cNvSpPr>
      </xdr:nvSpPr>
      <xdr:spPr bwMode="auto">
        <a:xfrm>
          <a:off x="0" y="35196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442" name="AutoShape 1322" descr="https://www.soccerstats.com/img/own/sshplogo.png">
          <a:hlinkClick xmlns:r="http://schemas.openxmlformats.org/officeDocument/2006/relationships" r:id="rId831"/>
        </xdr:cNvPr>
        <xdr:cNvSpPr>
          <a:spLocks noChangeAspect="1" noChangeArrowheads="1"/>
        </xdr:cNvSpPr>
      </xdr:nvSpPr>
      <xdr:spPr bwMode="auto">
        <a:xfrm>
          <a:off x="13411200" y="35196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43" name="AutoShape 1323" descr="MONTENEGRO"/>
        <xdr:cNvSpPr>
          <a:spLocks noChangeAspect="1" noChangeArrowheads="1"/>
        </xdr:cNvSpPr>
      </xdr:nvSpPr>
      <xdr:spPr bwMode="auto">
        <a:xfrm>
          <a:off x="0" y="35448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444" name="AutoShape 1324" descr="https://www.soccerstats.com/img/own/sshplogo.png">
          <a:hlinkClick xmlns:r="http://schemas.openxmlformats.org/officeDocument/2006/relationships" r:id="rId832"/>
        </xdr:cNvPr>
        <xdr:cNvSpPr>
          <a:spLocks noChangeAspect="1" noChangeArrowheads="1"/>
        </xdr:cNvSpPr>
      </xdr:nvSpPr>
      <xdr:spPr bwMode="auto">
        <a:xfrm>
          <a:off x="13411200" y="35448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45" name="AutoShape 1325" descr="MONTENEGRO"/>
        <xdr:cNvSpPr>
          <a:spLocks noChangeAspect="1" noChangeArrowheads="1"/>
        </xdr:cNvSpPr>
      </xdr:nvSpPr>
      <xdr:spPr bwMode="auto">
        <a:xfrm>
          <a:off x="0" y="35623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446" name="AutoShape 1326" descr="https://www.soccerstats.com/img/own/sshplogo.png">
          <a:hlinkClick xmlns:r="http://schemas.openxmlformats.org/officeDocument/2006/relationships" r:id="rId833"/>
        </xdr:cNvPr>
        <xdr:cNvSpPr>
          <a:spLocks noChangeAspect="1" noChangeArrowheads="1"/>
        </xdr:cNvSpPr>
      </xdr:nvSpPr>
      <xdr:spPr bwMode="auto">
        <a:xfrm>
          <a:off x="13411200" y="3562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47" name="AutoShape 1327" descr="MONTENEGRO"/>
        <xdr:cNvSpPr>
          <a:spLocks noChangeAspect="1" noChangeArrowheads="1"/>
        </xdr:cNvSpPr>
      </xdr:nvSpPr>
      <xdr:spPr bwMode="auto">
        <a:xfrm>
          <a:off x="0" y="35798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448" name="AutoShape 1328" descr="https://www.soccerstats.com/img/own/sshplogo.png">
          <a:hlinkClick xmlns:r="http://schemas.openxmlformats.org/officeDocument/2006/relationships" r:id="rId834"/>
        </xdr:cNvPr>
        <xdr:cNvSpPr>
          <a:spLocks noChangeAspect="1" noChangeArrowheads="1"/>
        </xdr:cNvSpPr>
      </xdr:nvSpPr>
      <xdr:spPr bwMode="auto">
        <a:xfrm>
          <a:off x="13411200" y="35798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49" name="AutoShape 1329" descr="NORWAY"/>
        <xdr:cNvSpPr>
          <a:spLocks noChangeAspect="1" noChangeArrowheads="1"/>
        </xdr:cNvSpPr>
      </xdr:nvSpPr>
      <xdr:spPr bwMode="auto">
        <a:xfrm>
          <a:off x="0" y="35974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450" name="AutoShape 1330" descr="https://www.soccerstats.com/img/own/sshplogo.png">
          <a:hlinkClick xmlns:r="http://schemas.openxmlformats.org/officeDocument/2006/relationships" r:id="rId835"/>
        </xdr:cNvPr>
        <xdr:cNvSpPr>
          <a:spLocks noChangeAspect="1" noChangeArrowheads="1"/>
        </xdr:cNvSpPr>
      </xdr:nvSpPr>
      <xdr:spPr bwMode="auto">
        <a:xfrm>
          <a:off x="13411200" y="35974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51" name="AutoShape 1331" descr="NORWAY"/>
        <xdr:cNvSpPr>
          <a:spLocks noChangeAspect="1" noChangeArrowheads="1"/>
        </xdr:cNvSpPr>
      </xdr:nvSpPr>
      <xdr:spPr bwMode="auto">
        <a:xfrm>
          <a:off x="0" y="36149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452" name="AutoShape 1332" descr="https://www.soccerstats.com/img/own/sshplogo.png">
          <a:hlinkClick xmlns:r="http://schemas.openxmlformats.org/officeDocument/2006/relationships" r:id="rId836"/>
        </xdr:cNvPr>
        <xdr:cNvSpPr>
          <a:spLocks noChangeAspect="1" noChangeArrowheads="1"/>
        </xdr:cNvSpPr>
      </xdr:nvSpPr>
      <xdr:spPr bwMode="auto">
        <a:xfrm>
          <a:off x="13411200" y="36149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53" name="AutoShape 1333" descr="NORWAY"/>
        <xdr:cNvSpPr>
          <a:spLocks noChangeAspect="1" noChangeArrowheads="1"/>
        </xdr:cNvSpPr>
      </xdr:nvSpPr>
      <xdr:spPr bwMode="auto">
        <a:xfrm>
          <a:off x="0" y="36324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454" name="AutoShape 1334" descr="https://www.soccerstats.com/img/own/sshplogo.png">
          <a:hlinkClick xmlns:r="http://schemas.openxmlformats.org/officeDocument/2006/relationships" r:id="rId837"/>
        </xdr:cNvPr>
        <xdr:cNvSpPr>
          <a:spLocks noChangeAspect="1" noChangeArrowheads="1"/>
        </xdr:cNvSpPr>
      </xdr:nvSpPr>
      <xdr:spPr bwMode="auto">
        <a:xfrm>
          <a:off x="13411200" y="36324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55" name="AutoShape 1335" descr="NORWAY"/>
        <xdr:cNvSpPr>
          <a:spLocks noChangeAspect="1" noChangeArrowheads="1"/>
        </xdr:cNvSpPr>
      </xdr:nvSpPr>
      <xdr:spPr bwMode="auto">
        <a:xfrm>
          <a:off x="0" y="36499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456" name="AutoShape 1336" descr="https://www.soccerstats.com/img/own/sshplogo.png">
          <a:hlinkClick xmlns:r="http://schemas.openxmlformats.org/officeDocument/2006/relationships" r:id="rId838"/>
        </xdr:cNvPr>
        <xdr:cNvSpPr>
          <a:spLocks noChangeAspect="1" noChangeArrowheads="1"/>
        </xdr:cNvSpPr>
      </xdr:nvSpPr>
      <xdr:spPr bwMode="auto">
        <a:xfrm>
          <a:off x="13411200" y="36499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57" name="AutoShape 1337" descr="NORWAY"/>
        <xdr:cNvSpPr>
          <a:spLocks noChangeAspect="1" noChangeArrowheads="1"/>
        </xdr:cNvSpPr>
      </xdr:nvSpPr>
      <xdr:spPr bwMode="auto">
        <a:xfrm>
          <a:off x="0" y="36675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458" name="AutoShape 1338" descr="https://www.soccerstats.com/img/own/sshplogo.png">
          <a:hlinkClick xmlns:r="http://schemas.openxmlformats.org/officeDocument/2006/relationships" r:id="rId839"/>
        </xdr:cNvPr>
        <xdr:cNvSpPr>
          <a:spLocks noChangeAspect="1" noChangeArrowheads="1"/>
        </xdr:cNvSpPr>
      </xdr:nvSpPr>
      <xdr:spPr bwMode="auto">
        <a:xfrm>
          <a:off x="13411200" y="36675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59" name="AutoShape 1339" descr="NORWAY2"/>
        <xdr:cNvSpPr>
          <a:spLocks noChangeAspect="1" noChangeArrowheads="1"/>
        </xdr:cNvSpPr>
      </xdr:nvSpPr>
      <xdr:spPr bwMode="auto">
        <a:xfrm>
          <a:off x="0" y="36850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460" name="AutoShape 1340" descr="https://www.soccerstats.com/img/own/sshplogo.png">
          <a:hlinkClick xmlns:r="http://schemas.openxmlformats.org/officeDocument/2006/relationships" r:id="rId840"/>
        </xdr:cNvPr>
        <xdr:cNvSpPr>
          <a:spLocks noChangeAspect="1" noChangeArrowheads="1"/>
        </xdr:cNvSpPr>
      </xdr:nvSpPr>
      <xdr:spPr bwMode="auto">
        <a:xfrm>
          <a:off x="13411200" y="36850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61" name="AutoShape 1341" descr="NORWAY2"/>
        <xdr:cNvSpPr>
          <a:spLocks noChangeAspect="1" noChangeArrowheads="1"/>
        </xdr:cNvSpPr>
      </xdr:nvSpPr>
      <xdr:spPr bwMode="auto">
        <a:xfrm>
          <a:off x="0" y="37025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462" name="AutoShape 1342" descr="https://www.soccerstats.com/img/own/sshplogo.png">
          <a:hlinkClick xmlns:r="http://schemas.openxmlformats.org/officeDocument/2006/relationships" r:id="rId841"/>
        </xdr:cNvPr>
        <xdr:cNvSpPr>
          <a:spLocks noChangeAspect="1" noChangeArrowheads="1"/>
        </xdr:cNvSpPr>
      </xdr:nvSpPr>
      <xdr:spPr bwMode="auto">
        <a:xfrm>
          <a:off x="13411200" y="37025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63" name="AutoShape 1343" descr="NORWAY2"/>
        <xdr:cNvSpPr>
          <a:spLocks noChangeAspect="1" noChangeArrowheads="1"/>
        </xdr:cNvSpPr>
      </xdr:nvSpPr>
      <xdr:spPr bwMode="auto">
        <a:xfrm>
          <a:off x="0" y="37200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464" name="AutoShape 1344" descr="https://www.soccerstats.com/img/own/sshplogo.png">
          <a:hlinkClick xmlns:r="http://schemas.openxmlformats.org/officeDocument/2006/relationships" r:id="rId842"/>
        </xdr:cNvPr>
        <xdr:cNvSpPr>
          <a:spLocks noChangeAspect="1" noChangeArrowheads="1"/>
        </xdr:cNvSpPr>
      </xdr:nvSpPr>
      <xdr:spPr bwMode="auto">
        <a:xfrm>
          <a:off x="13411200" y="37200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65" name="AutoShape 1345" descr="NORWAY2"/>
        <xdr:cNvSpPr>
          <a:spLocks noChangeAspect="1" noChangeArrowheads="1"/>
        </xdr:cNvSpPr>
      </xdr:nvSpPr>
      <xdr:spPr bwMode="auto">
        <a:xfrm>
          <a:off x="0" y="37376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466" name="AutoShape 1346" descr="https://www.soccerstats.com/img/own/sshplogo.png">
          <a:hlinkClick xmlns:r="http://schemas.openxmlformats.org/officeDocument/2006/relationships" r:id="rId843"/>
        </xdr:cNvPr>
        <xdr:cNvSpPr>
          <a:spLocks noChangeAspect="1" noChangeArrowheads="1"/>
        </xdr:cNvSpPr>
      </xdr:nvSpPr>
      <xdr:spPr bwMode="auto">
        <a:xfrm>
          <a:off x="13411200" y="37376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67" name="AutoShape 1347" descr="NORWAY2"/>
        <xdr:cNvSpPr>
          <a:spLocks noChangeAspect="1" noChangeArrowheads="1"/>
        </xdr:cNvSpPr>
      </xdr:nvSpPr>
      <xdr:spPr bwMode="auto">
        <a:xfrm>
          <a:off x="0" y="37551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468" name="AutoShape 1348" descr="https://www.soccerstats.com/img/own/sshplogo.png">
          <a:hlinkClick xmlns:r="http://schemas.openxmlformats.org/officeDocument/2006/relationships" r:id="rId844"/>
        </xdr:cNvPr>
        <xdr:cNvSpPr>
          <a:spLocks noChangeAspect="1" noChangeArrowheads="1"/>
        </xdr:cNvSpPr>
      </xdr:nvSpPr>
      <xdr:spPr bwMode="auto">
        <a:xfrm>
          <a:off x="13411200" y="37551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69" name="AutoShape 1349" descr="NORWAY3"/>
        <xdr:cNvSpPr>
          <a:spLocks noChangeAspect="1" noChangeArrowheads="1"/>
        </xdr:cNvSpPr>
      </xdr:nvSpPr>
      <xdr:spPr bwMode="auto">
        <a:xfrm>
          <a:off x="0" y="37726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470" name="AutoShape 1350" descr="https://www.soccerstats.com/img/own/sshplogo.png">
          <a:hlinkClick xmlns:r="http://schemas.openxmlformats.org/officeDocument/2006/relationships" r:id="rId845"/>
        </xdr:cNvPr>
        <xdr:cNvSpPr>
          <a:spLocks noChangeAspect="1" noChangeArrowheads="1"/>
        </xdr:cNvSpPr>
      </xdr:nvSpPr>
      <xdr:spPr bwMode="auto">
        <a:xfrm>
          <a:off x="13411200" y="37726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71" name="AutoShape 1351" descr="NORWAY3"/>
        <xdr:cNvSpPr>
          <a:spLocks noChangeAspect="1" noChangeArrowheads="1"/>
        </xdr:cNvSpPr>
      </xdr:nvSpPr>
      <xdr:spPr bwMode="auto">
        <a:xfrm>
          <a:off x="0" y="37901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472" name="AutoShape 1352" descr="https://www.soccerstats.com/img/own/sshplogo.png">
          <a:hlinkClick xmlns:r="http://schemas.openxmlformats.org/officeDocument/2006/relationships" r:id="rId846"/>
        </xdr:cNvPr>
        <xdr:cNvSpPr>
          <a:spLocks noChangeAspect="1" noChangeArrowheads="1"/>
        </xdr:cNvSpPr>
      </xdr:nvSpPr>
      <xdr:spPr bwMode="auto">
        <a:xfrm>
          <a:off x="13411200" y="37901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73" name="AutoShape 1353" descr="NORWAY3"/>
        <xdr:cNvSpPr>
          <a:spLocks noChangeAspect="1" noChangeArrowheads="1"/>
        </xdr:cNvSpPr>
      </xdr:nvSpPr>
      <xdr:spPr bwMode="auto">
        <a:xfrm>
          <a:off x="0" y="38153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474" name="AutoShape 1354" descr="https://www.soccerstats.com/img/own/sshplogo.png">
          <a:hlinkClick xmlns:r="http://schemas.openxmlformats.org/officeDocument/2006/relationships" r:id="rId847"/>
        </xdr:cNvPr>
        <xdr:cNvSpPr>
          <a:spLocks noChangeAspect="1" noChangeArrowheads="1"/>
        </xdr:cNvSpPr>
      </xdr:nvSpPr>
      <xdr:spPr bwMode="auto">
        <a:xfrm>
          <a:off x="13411200" y="38153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75" name="AutoShape 1355" descr="NORWAY4"/>
        <xdr:cNvSpPr>
          <a:spLocks noChangeAspect="1" noChangeArrowheads="1"/>
        </xdr:cNvSpPr>
      </xdr:nvSpPr>
      <xdr:spPr bwMode="auto">
        <a:xfrm>
          <a:off x="0" y="38328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476" name="AutoShape 1356" descr="https://www.soccerstats.com/img/own/sshplogo.png">
          <a:hlinkClick xmlns:r="http://schemas.openxmlformats.org/officeDocument/2006/relationships" r:id="rId848"/>
        </xdr:cNvPr>
        <xdr:cNvSpPr>
          <a:spLocks noChangeAspect="1" noChangeArrowheads="1"/>
        </xdr:cNvSpPr>
      </xdr:nvSpPr>
      <xdr:spPr bwMode="auto">
        <a:xfrm>
          <a:off x="13411200" y="38328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77" name="AutoShape 1357" descr="NORWAY4"/>
        <xdr:cNvSpPr>
          <a:spLocks noChangeAspect="1" noChangeArrowheads="1"/>
        </xdr:cNvSpPr>
      </xdr:nvSpPr>
      <xdr:spPr bwMode="auto">
        <a:xfrm>
          <a:off x="0" y="38503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478" name="AutoShape 1358" descr="https://www.soccerstats.com/img/own/sshplogo.png">
          <a:hlinkClick xmlns:r="http://schemas.openxmlformats.org/officeDocument/2006/relationships" r:id="rId849"/>
        </xdr:cNvPr>
        <xdr:cNvSpPr>
          <a:spLocks noChangeAspect="1" noChangeArrowheads="1"/>
        </xdr:cNvSpPr>
      </xdr:nvSpPr>
      <xdr:spPr bwMode="auto">
        <a:xfrm>
          <a:off x="13411200" y="38503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79" name="AutoShape 1359" descr="NORWAY4"/>
        <xdr:cNvSpPr>
          <a:spLocks noChangeAspect="1" noChangeArrowheads="1"/>
        </xdr:cNvSpPr>
      </xdr:nvSpPr>
      <xdr:spPr bwMode="auto">
        <a:xfrm>
          <a:off x="0" y="38679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480" name="AutoShape 1360" descr="https://www.soccerstats.com/img/own/sshplogo.png">
          <a:hlinkClick xmlns:r="http://schemas.openxmlformats.org/officeDocument/2006/relationships" r:id="rId850"/>
        </xdr:cNvPr>
        <xdr:cNvSpPr>
          <a:spLocks noChangeAspect="1" noChangeArrowheads="1"/>
        </xdr:cNvSpPr>
      </xdr:nvSpPr>
      <xdr:spPr bwMode="auto">
        <a:xfrm>
          <a:off x="13411200" y="38679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81" name="AutoShape 1361" descr="NORWAY4"/>
        <xdr:cNvSpPr>
          <a:spLocks noChangeAspect="1" noChangeArrowheads="1"/>
        </xdr:cNvSpPr>
      </xdr:nvSpPr>
      <xdr:spPr bwMode="auto">
        <a:xfrm>
          <a:off x="0" y="38854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482" name="AutoShape 1362" descr="https://www.soccerstats.com/img/own/sshplogo.png">
          <a:hlinkClick xmlns:r="http://schemas.openxmlformats.org/officeDocument/2006/relationships" r:id="rId851"/>
        </xdr:cNvPr>
        <xdr:cNvSpPr>
          <a:spLocks noChangeAspect="1" noChangeArrowheads="1"/>
        </xdr:cNvSpPr>
      </xdr:nvSpPr>
      <xdr:spPr bwMode="auto">
        <a:xfrm>
          <a:off x="13411200" y="38854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83" name="AutoShape 1363" descr="NORWAY4"/>
        <xdr:cNvSpPr>
          <a:spLocks noChangeAspect="1" noChangeArrowheads="1"/>
        </xdr:cNvSpPr>
      </xdr:nvSpPr>
      <xdr:spPr bwMode="auto">
        <a:xfrm>
          <a:off x="0" y="39105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484" name="AutoShape 1364" descr="https://www.soccerstats.com/img/own/sshplogo.png">
          <a:hlinkClick xmlns:r="http://schemas.openxmlformats.org/officeDocument/2006/relationships" r:id="rId852"/>
        </xdr:cNvPr>
        <xdr:cNvSpPr>
          <a:spLocks noChangeAspect="1" noChangeArrowheads="1"/>
        </xdr:cNvSpPr>
      </xdr:nvSpPr>
      <xdr:spPr bwMode="auto">
        <a:xfrm>
          <a:off x="13411200" y="39105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85" name="AutoShape 1365" descr="NORWAY4"/>
        <xdr:cNvSpPr>
          <a:spLocks noChangeAspect="1" noChangeArrowheads="1"/>
        </xdr:cNvSpPr>
      </xdr:nvSpPr>
      <xdr:spPr bwMode="auto">
        <a:xfrm>
          <a:off x="0" y="39281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486" name="AutoShape 1366" descr="https://www.soccerstats.com/img/own/sshplogo.png">
          <a:hlinkClick xmlns:r="http://schemas.openxmlformats.org/officeDocument/2006/relationships" r:id="rId853"/>
        </xdr:cNvPr>
        <xdr:cNvSpPr>
          <a:spLocks noChangeAspect="1" noChangeArrowheads="1"/>
        </xdr:cNvSpPr>
      </xdr:nvSpPr>
      <xdr:spPr bwMode="auto">
        <a:xfrm>
          <a:off x="13411200" y="39281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87" name="AutoShape 1367" descr="PARAGUAY2"/>
        <xdr:cNvSpPr>
          <a:spLocks noChangeAspect="1" noChangeArrowheads="1"/>
        </xdr:cNvSpPr>
      </xdr:nvSpPr>
      <xdr:spPr bwMode="auto">
        <a:xfrm>
          <a:off x="0" y="39456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488" name="AutoShape 1368" descr="https://www.soccerstats.com/img/own/sshplogo.png">
          <a:hlinkClick xmlns:r="http://schemas.openxmlformats.org/officeDocument/2006/relationships" r:id="rId854"/>
        </xdr:cNvPr>
        <xdr:cNvSpPr>
          <a:spLocks noChangeAspect="1" noChangeArrowheads="1"/>
        </xdr:cNvSpPr>
      </xdr:nvSpPr>
      <xdr:spPr bwMode="auto">
        <a:xfrm>
          <a:off x="13411200" y="39456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89" name="AutoShape 1369" descr="PARAGUAY2"/>
        <xdr:cNvSpPr>
          <a:spLocks noChangeAspect="1" noChangeArrowheads="1"/>
        </xdr:cNvSpPr>
      </xdr:nvSpPr>
      <xdr:spPr bwMode="auto">
        <a:xfrm>
          <a:off x="0" y="39707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490" name="AutoShape 1370" descr="https://www.soccerstats.com/img/own/sshplogo.png">
          <a:hlinkClick xmlns:r="http://schemas.openxmlformats.org/officeDocument/2006/relationships" r:id="rId855"/>
        </xdr:cNvPr>
        <xdr:cNvSpPr>
          <a:spLocks noChangeAspect="1" noChangeArrowheads="1"/>
        </xdr:cNvSpPr>
      </xdr:nvSpPr>
      <xdr:spPr bwMode="auto">
        <a:xfrm>
          <a:off x="13411200" y="39707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91" name="AutoShape 1371" descr="PARAGUAY2"/>
        <xdr:cNvSpPr>
          <a:spLocks noChangeAspect="1" noChangeArrowheads="1"/>
        </xdr:cNvSpPr>
      </xdr:nvSpPr>
      <xdr:spPr bwMode="auto">
        <a:xfrm>
          <a:off x="0" y="39883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492" name="AutoShape 1372" descr="https://www.soccerstats.com/img/own/sshplogo.png">
          <a:hlinkClick xmlns:r="http://schemas.openxmlformats.org/officeDocument/2006/relationships" r:id="rId856"/>
        </xdr:cNvPr>
        <xdr:cNvSpPr>
          <a:spLocks noChangeAspect="1" noChangeArrowheads="1"/>
        </xdr:cNvSpPr>
      </xdr:nvSpPr>
      <xdr:spPr bwMode="auto">
        <a:xfrm>
          <a:off x="13411200" y="39883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93" name="AutoShape 1373" descr="POLAND"/>
        <xdr:cNvSpPr>
          <a:spLocks noChangeAspect="1" noChangeArrowheads="1"/>
        </xdr:cNvSpPr>
      </xdr:nvSpPr>
      <xdr:spPr bwMode="auto">
        <a:xfrm>
          <a:off x="0" y="40058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494" name="AutoShape 1374" descr="https://www.soccerstats.com/img/own/sshplogo.png">
          <a:hlinkClick xmlns:r="http://schemas.openxmlformats.org/officeDocument/2006/relationships" r:id="rId857"/>
        </xdr:cNvPr>
        <xdr:cNvSpPr>
          <a:spLocks noChangeAspect="1" noChangeArrowheads="1"/>
        </xdr:cNvSpPr>
      </xdr:nvSpPr>
      <xdr:spPr bwMode="auto">
        <a:xfrm>
          <a:off x="13411200" y="4005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95" name="AutoShape 1375" descr="POLAND"/>
        <xdr:cNvSpPr>
          <a:spLocks noChangeAspect="1" noChangeArrowheads="1"/>
        </xdr:cNvSpPr>
      </xdr:nvSpPr>
      <xdr:spPr bwMode="auto">
        <a:xfrm>
          <a:off x="0" y="40233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496" name="AutoShape 1376" descr="https://www.soccerstats.com/img/own/sshplogo.png">
          <a:hlinkClick xmlns:r="http://schemas.openxmlformats.org/officeDocument/2006/relationships" r:id="rId858"/>
        </xdr:cNvPr>
        <xdr:cNvSpPr>
          <a:spLocks noChangeAspect="1" noChangeArrowheads="1"/>
        </xdr:cNvSpPr>
      </xdr:nvSpPr>
      <xdr:spPr bwMode="auto">
        <a:xfrm>
          <a:off x="13411200" y="40233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97" name="AutoShape 1377" descr="POLAND"/>
        <xdr:cNvSpPr>
          <a:spLocks noChangeAspect="1" noChangeArrowheads="1"/>
        </xdr:cNvSpPr>
      </xdr:nvSpPr>
      <xdr:spPr bwMode="auto">
        <a:xfrm>
          <a:off x="0" y="40485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498" name="AutoShape 1378" descr="https://www.soccerstats.com/img/own/sshplogo.png">
          <a:hlinkClick xmlns:r="http://schemas.openxmlformats.org/officeDocument/2006/relationships" r:id="rId859"/>
        </xdr:cNvPr>
        <xdr:cNvSpPr>
          <a:spLocks noChangeAspect="1" noChangeArrowheads="1"/>
        </xdr:cNvSpPr>
      </xdr:nvSpPr>
      <xdr:spPr bwMode="auto">
        <a:xfrm>
          <a:off x="13411200" y="40485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99" name="AutoShape 1379" descr="POLAND"/>
        <xdr:cNvSpPr>
          <a:spLocks noChangeAspect="1" noChangeArrowheads="1"/>
        </xdr:cNvSpPr>
      </xdr:nvSpPr>
      <xdr:spPr bwMode="auto">
        <a:xfrm>
          <a:off x="0" y="40660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500" name="AutoShape 1380" descr="https://www.soccerstats.com/img/own/sshplogo.png">
          <a:hlinkClick xmlns:r="http://schemas.openxmlformats.org/officeDocument/2006/relationships" r:id="rId860"/>
        </xdr:cNvPr>
        <xdr:cNvSpPr>
          <a:spLocks noChangeAspect="1" noChangeArrowheads="1"/>
        </xdr:cNvSpPr>
      </xdr:nvSpPr>
      <xdr:spPr bwMode="auto">
        <a:xfrm>
          <a:off x="13411200" y="40660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01" name="AutoShape 1381" descr="POLAND2"/>
        <xdr:cNvSpPr>
          <a:spLocks noChangeAspect="1" noChangeArrowheads="1"/>
        </xdr:cNvSpPr>
      </xdr:nvSpPr>
      <xdr:spPr bwMode="auto">
        <a:xfrm>
          <a:off x="0" y="40835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502" name="AutoShape 1382" descr="https://www.soccerstats.com/img/own/sshplogo.png">
          <a:hlinkClick xmlns:r="http://schemas.openxmlformats.org/officeDocument/2006/relationships" r:id="rId861"/>
        </xdr:cNvPr>
        <xdr:cNvSpPr>
          <a:spLocks noChangeAspect="1" noChangeArrowheads="1"/>
        </xdr:cNvSpPr>
      </xdr:nvSpPr>
      <xdr:spPr bwMode="auto">
        <a:xfrm>
          <a:off x="13411200" y="40835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03" name="AutoShape 1383" descr="POLAND2"/>
        <xdr:cNvSpPr>
          <a:spLocks noChangeAspect="1" noChangeArrowheads="1"/>
        </xdr:cNvSpPr>
      </xdr:nvSpPr>
      <xdr:spPr bwMode="auto">
        <a:xfrm>
          <a:off x="0" y="41010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504" name="AutoShape 1384" descr="https://www.soccerstats.com/img/own/sshplogo.png">
          <a:hlinkClick xmlns:r="http://schemas.openxmlformats.org/officeDocument/2006/relationships" r:id="rId862"/>
        </xdr:cNvPr>
        <xdr:cNvSpPr>
          <a:spLocks noChangeAspect="1" noChangeArrowheads="1"/>
        </xdr:cNvSpPr>
      </xdr:nvSpPr>
      <xdr:spPr bwMode="auto">
        <a:xfrm>
          <a:off x="13411200" y="41010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05" name="AutoShape 1385" descr="POLAND2"/>
        <xdr:cNvSpPr>
          <a:spLocks noChangeAspect="1" noChangeArrowheads="1"/>
        </xdr:cNvSpPr>
      </xdr:nvSpPr>
      <xdr:spPr bwMode="auto">
        <a:xfrm>
          <a:off x="0" y="41262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506" name="AutoShape 1386" descr="https://www.soccerstats.com/img/own/sshplogo.png">
          <a:hlinkClick xmlns:r="http://schemas.openxmlformats.org/officeDocument/2006/relationships" r:id="rId863"/>
        </xdr:cNvPr>
        <xdr:cNvSpPr>
          <a:spLocks noChangeAspect="1" noChangeArrowheads="1"/>
        </xdr:cNvSpPr>
      </xdr:nvSpPr>
      <xdr:spPr bwMode="auto">
        <a:xfrm>
          <a:off x="13411200" y="41262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07" name="AutoShape 1387" descr="POLAND3"/>
        <xdr:cNvSpPr>
          <a:spLocks noChangeAspect="1" noChangeArrowheads="1"/>
        </xdr:cNvSpPr>
      </xdr:nvSpPr>
      <xdr:spPr bwMode="auto">
        <a:xfrm>
          <a:off x="0" y="41513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508" name="AutoShape 1388" descr="https://www.soccerstats.com/img/own/sshplogo.png">
          <a:hlinkClick xmlns:r="http://schemas.openxmlformats.org/officeDocument/2006/relationships" r:id="rId864"/>
        </xdr:cNvPr>
        <xdr:cNvSpPr>
          <a:spLocks noChangeAspect="1" noChangeArrowheads="1"/>
        </xdr:cNvSpPr>
      </xdr:nvSpPr>
      <xdr:spPr bwMode="auto">
        <a:xfrm>
          <a:off x="13411200" y="41513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09" name="AutoShape 1389" descr="POLAND3"/>
        <xdr:cNvSpPr>
          <a:spLocks noChangeAspect="1" noChangeArrowheads="1"/>
        </xdr:cNvSpPr>
      </xdr:nvSpPr>
      <xdr:spPr bwMode="auto">
        <a:xfrm>
          <a:off x="0" y="41765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510" name="AutoShape 1390" descr="https://www.soccerstats.com/img/own/sshplogo.png">
          <a:hlinkClick xmlns:r="http://schemas.openxmlformats.org/officeDocument/2006/relationships" r:id="rId865"/>
        </xdr:cNvPr>
        <xdr:cNvSpPr>
          <a:spLocks noChangeAspect="1" noChangeArrowheads="1"/>
        </xdr:cNvSpPr>
      </xdr:nvSpPr>
      <xdr:spPr bwMode="auto">
        <a:xfrm>
          <a:off x="13411200" y="41765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11" name="AutoShape 1391" descr="POLAND3"/>
        <xdr:cNvSpPr>
          <a:spLocks noChangeAspect="1" noChangeArrowheads="1"/>
        </xdr:cNvSpPr>
      </xdr:nvSpPr>
      <xdr:spPr bwMode="auto">
        <a:xfrm>
          <a:off x="0" y="42016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512" name="AutoShape 1392" descr="https://www.soccerstats.com/img/own/sshplogo.png">
          <a:hlinkClick xmlns:r="http://schemas.openxmlformats.org/officeDocument/2006/relationships" r:id="rId866"/>
        </xdr:cNvPr>
        <xdr:cNvSpPr>
          <a:spLocks noChangeAspect="1" noChangeArrowheads="1"/>
        </xdr:cNvSpPr>
      </xdr:nvSpPr>
      <xdr:spPr bwMode="auto">
        <a:xfrm>
          <a:off x="13411200" y="42016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13" name="AutoShape 1393" descr="POLAND3"/>
        <xdr:cNvSpPr>
          <a:spLocks noChangeAspect="1" noChangeArrowheads="1"/>
        </xdr:cNvSpPr>
      </xdr:nvSpPr>
      <xdr:spPr bwMode="auto">
        <a:xfrm>
          <a:off x="0" y="42268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514" name="AutoShape 1394" descr="https://www.soccerstats.com/img/own/sshplogo.png">
          <a:hlinkClick xmlns:r="http://schemas.openxmlformats.org/officeDocument/2006/relationships" r:id="rId867"/>
        </xdr:cNvPr>
        <xdr:cNvSpPr>
          <a:spLocks noChangeAspect="1" noChangeArrowheads="1"/>
        </xdr:cNvSpPr>
      </xdr:nvSpPr>
      <xdr:spPr bwMode="auto">
        <a:xfrm>
          <a:off x="13411200" y="42268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15" name="AutoShape 1395" descr="PORTUGAL2"/>
        <xdr:cNvSpPr>
          <a:spLocks noChangeAspect="1" noChangeArrowheads="1"/>
        </xdr:cNvSpPr>
      </xdr:nvSpPr>
      <xdr:spPr bwMode="auto">
        <a:xfrm>
          <a:off x="0" y="42443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516" name="AutoShape 1396" descr="https://www.soccerstats.com/img/own/sshplogo.png">
          <a:hlinkClick xmlns:r="http://schemas.openxmlformats.org/officeDocument/2006/relationships" r:id="rId868"/>
        </xdr:cNvPr>
        <xdr:cNvSpPr>
          <a:spLocks noChangeAspect="1" noChangeArrowheads="1"/>
        </xdr:cNvSpPr>
      </xdr:nvSpPr>
      <xdr:spPr bwMode="auto">
        <a:xfrm>
          <a:off x="13411200" y="42443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17" name="AutoShape 1397" descr="PORTUGAL2"/>
        <xdr:cNvSpPr>
          <a:spLocks noChangeAspect="1" noChangeArrowheads="1"/>
        </xdr:cNvSpPr>
      </xdr:nvSpPr>
      <xdr:spPr bwMode="auto">
        <a:xfrm>
          <a:off x="0" y="42694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518" name="AutoShape 1398" descr="https://www.soccerstats.com/img/own/sshplogo.png">
          <a:hlinkClick xmlns:r="http://schemas.openxmlformats.org/officeDocument/2006/relationships" r:id="rId869"/>
        </xdr:cNvPr>
        <xdr:cNvSpPr>
          <a:spLocks noChangeAspect="1" noChangeArrowheads="1"/>
        </xdr:cNvSpPr>
      </xdr:nvSpPr>
      <xdr:spPr bwMode="auto">
        <a:xfrm>
          <a:off x="13411200" y="42694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19" name="AutoShape 1399" descr="PORTUGAL2"/>
        <xdr:cNvSpPr>
          <a:spLocks noChangeAspect="1" noChangeArrowheads="1"/>
        </xdr:cNvSpPr>
      </xdr:nvSpPr>
      <xdr:spPr bwMode="auto">
        <a:xfrm>
          <a:off x="0" y="42870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520" name="AutoShape 1400" descr="https://www.soccerstats.com/img/own/sshplogo.png">
          <a:hlinkClick xmlns:r="http://schemas.openxmlformats.org/officeDocument/2006/relationships" r:id="rId870"/>
        </xdr:cNvPr>
        <xdr:cNvSpPr>
          <a:spLocks noChangeAspect="1" noChangeArrowheads="1"/>
        </xdr:cNvSpPr>
      </xdr:nvSpPr>
      <xdr:spPr bwMode="auto">
        <a:xfrm>
          <a:off x="13411200" y="42870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21" name="AutoShape 1401" descr="PORTUGAL2"/>
        <xdr:cNvSpPr>
          <a:spLocks noChangeAspect="1" noChangeArrowheads="1"/>
        </xdr:cNvSpPr>
      </xdr:nvSpPr>
      <xdr:spPr bwMode="auto">
        <a:xfrm>
          <a:off x="0" y="43045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522" name="AutoShape 1402" descr="https://www.soccerstats.com/img/own/sshplogo.png">
          <a:hlinkClick xmlns:r="http://schemas.openxmlformats.org/officeDocument/2006/relationships" r:id="rId871"/>
        </xdr:cNvPr>
        <xdr:cNvSpPr>
          <a:spLocks noChangeAspect="1" noChangeArrowheads="1"/>
        </xdr:cNvSpPr>
      </xdr:nvSpPr>
      <xdr:spPr bwMode="auto">
        <a:xfrm>
          <a:off x="13411200" y="43045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23" name="AutoShape 1403" descr="ROMANIA"/>
        <xdr:cNvSpPr>
          <a:spLocks noChangeAspect="1" noChangeArrowheads="1"/>
        </xdr:cNvSpPr>
      </xdr:nvSpPr>
      <xdr:spPr bwMode="auto">
        <a:xfrm>
          <a:off x="0" y="43220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524" name="AutoShape 1404" descr="https://www.soccerstats.com/img/own/sshplogo.png">
          <a:hlinkClick xmlns:r="http://schemas.openxmlformats.org/officeDocument/2006/relationships" r:id="rId872"/>
        </xdr:cNvPr>
        <xdr:cNvSpPr>
          <a:spLocks noChangeAspect="1" noChangeArrowheads="1"/>
        </xdr:cNvSpPr>
      </xdr:nvSpPr>
      <xdr:spPr bwMode="auto">
        <a:xfrm>
          <a:off x="13411200" y="43220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25" name="AutoShape 1405" descr="ROMANIA"/>
        <xdr:cNvSpPr>
          <a:spLocks noChangeAspect="1" noChangeArrowheads="1"/>
        </xdr:cNvSpPr>
      </xdr:nvSpPr>
      <xdr:spPr bwMode="auto">
        <a:xfrm>
          <a:off x="0" y="43395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526" name="AutoShape 1406" descr="https://www.soccerstats.com/img/own/sshplogo.png">
          <a:hlinkClick xmlns:r="http://schemas.openxmlformats.org/officeDocument/2006/relationships" r:id="rId873"/>
        </xdr:cNvPr>
        <xdr:cNvSpPr>
          <a:spLocks noChangeAspect="1" noChangeArrowheads="1"/>
        </xdr:cNvSpPr>
      </xdr:nvSpPr>
      <xdr:spPr bwMode="auto">
        <a:xfrm>
          <a:off x="13411200" y="43395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27" name="AutoShape 1407" descr="RUSSIA"/>
        <xdr:cNvSpPr>
          <a:spLocks noChangeAspect="1" noChangeArrowheads="1"/>
        </xdr:cNvSpPr>
      </xdr:nvSpPr>
      <xdr:spPr bwMode="auto">
        <a:xfrm>
          <a:off x="0" y="43571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528" name="AutoShape 1408" descr="https://www.soccerstats.com/img/own/sshplogo.png">
          <a:hlinkClick xmlns:r="http://schemas.openxmlformats.org/officeDocument/2006/relationships" r:id="rId874"/>
        </xdr:cNvPr>
        <xdr:cNvSpPr>
          <a:spLocks noChangeAspect="1" noChangeArrowheads="1"/>
        </xdr:cNvSpPr>
      </xdr:nvSpPr>
      <xdr:spPr bwMode="auto">
        <a:xfrm>
          <a:off x="13411200" y="43571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29" name="AutoShape 1409" descr="RUSSIA"/>
        <xdr:cNvSpPr>
          <a:spLocks noChangeAspect="1" noChangeArrowheads="1"/>
        </xdr:cNvSpPr>
      </xdr:nvSpPr>
      <xdr:spPr bwMode="auto">
        <a:xfrm>
          <a:off x="0" y="43822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530" name="AutoShape 1410" descr="https://www.soccerstats.com/img/own/sshplogo.png">
          <a:hlinkClick xmlns:r="http://schemas.openxmlformats.org/officeDocument/2006/relationships" r:id="rId875"/>
        </xdr:cNvPr>
        <xdr:cNvSpPr>
          <a:spLocks noChangeAspect="1" noChangeArrowheads="1"/>
        </xdr:cNvSpPr>
      </xdr:nvSpPr>
      <xdr:spPr bwMode="auto">
        <a:xfrm>
          <a:off x="13411200" y="43822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31" name="AutoShape 1411" descr="RUSSIA"/>
        <xdr:cNvSpPr>
          <a:spLocks noChangeAspect="1" noChangeArrowheads="1"/>
        </xdr:cNvSpPr>
      </xdr:nvSpPr>
      <xdr:spPr bwMode="auto">
        <a:xfrm>
          <a:off x="0" y="44074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532" name="AutoShape 1412" descr="https://www.soccerstats.com/img/own/sshplogo.png">
          <a:hlinkClick xmlns:r="http://schemas.openxmlformats.org/officeDocument/2006/relationships" r:id="rId876"/>
        </xdr:cNvPr>
        <xdr:cNvSpPr>
          <a:spLocks noChangeAspect="1" noChangeArrowheads="1"/>
        </xdr:cNvSpPr>
      </xdr:nvSpPr>
      <xdr:spPr bwMode="auto">
        <a:xfrm>
          <a:off x="13411200" y="44074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33" name="AutoShape 1413" descr="SERBIA"/>
        <xdr:cNvSpPr>
          <a:spLocks noChangeAspect="1" noChangeArrowheads="1"/>
        </xdr:cNvSpPr>
      </xdr:nvSpPr>
      <xdr:spPr bwMode="auto">
        <a:xfrm>
          <a:off x="0" y="44325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534" name="AutoShape 1414" descr="https://www.soccerstats.com/img/own/sshplogo.png">
          <a:hlinkClick xmlns:r="http://schemas.openxmlformats.org/officeDocument/2006/relationships" r:id="rId409"/>
        </xdr:cNvPr>
        <xdr:cNvSpPr>
          <a:spLocks noChangeAspect="1" noChangeArrowheads="1"/>
        </xdr:cNvSpPr>
      </xdr:nvSpPr>
      <xdr:spPr bwMode="auto">
        <a:xfrm>
          <a:off x="13411200" y="44325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35" name="AutoShape 1415" descr="SERBIA"/>
        <xdr:cNvSpPr>
          <a:spLocks noChangeAspect="1" noChangeArrowheads="1"/>
        </xdr:cNvSpPr>
      </xdr:nvSpPr>
      <xdr:spPr bwMode="auto">
        <a:xfrm>
          <a:off x="0" y="44577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536" name="AutoShape 1416" descr="https://www.soccerstats.com/img/own/sshplogo.png">
          <a:hlinkClick xmlns:r="http://schemas.openxmlformats.org/officeDocument/2006/relationships" r:id="rId411"/>
        </xdr:cNvPr>
        <xdr:cNvSpPr>
          <a:spLocks noChangeAspect="1" noChangeArrowheads="1"/>
        </xdr:cNvSpPr>
      </xdr:nvSpPr>
      <xdr:spPr bwMode="auto">
        <a:xfrm>
          <a:off x="13411200" y="44577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37" name="AutoShape 1417" descr="SERBIA"/>
        <xdr:cNvSpPr>
          <a:spLocks noChangeAspect="1" noChangeArrowheads="1"/>
        </xdr:cNvSpPr>
      </xdr:nvSpPr>
      <xdr:spPr bwMode="auto">
        <a:xfrm>
          <a:off x="0" y="44752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538" name="AutoShape 1418" descr="https://www.soccerstats.com/img/own/sshplogo.png">
          <a:hlinkClick xmlns:r="http://schemas.openxmlformats.org/officeDocument/2006/relationships" r:id="rId414"/>
        </xdr:cNvPr>
        <xdr:cNvSpPr>
          <a:spLocks noChangeAspect="1" noChangeArrowheads="1"/>
        </xdr:cNvSpPr>
      </xdr:nvSpPr>
      <xdr:spPr bwMode="auto">
        <a:xfrm>
          <a:off x="13411200" y="44752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39" name="AutoShape 1419" descr="SLOVAKIA"/>
        <xdr:cNvSpPr>
          <a:spLocks noChangeAspect="1" noChangeArrowheads="1"/>
        </xdr:cNvSpPr>
      </xdr:nvSpPr>
      <xdr:spPr bwMode="auto">
        <a:xfrm>
          <a:off x="0" y="45003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540" name="AutoShape 1420" descr="https://www.soccerstats.com/img/own/sshplogo.png">
          <a:hlinkClick xmlns:r="http://schemas.openxmlformats.org/officeDocument/2006/relationships" r:id="rId877"/>
        </xdr:cNvPr>
        <xdr:cNvSpPr>
          <a:spLocks noChangeAspect="1" noChangeArrowheads="1"/>
        </xdr:cNvSpPr>
      </xdr:nvSpPr>
      <xdr:spPr bwMode="auto">
        <a:xfrm>
          <a:off x="13411200" y="45003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41" name="AutoShape 1421" descr="SLOVAKIA"/>
        <xdr:cNvSpPr>
          <a:spLocks noChangeAspect="1" noChangeArrowheads="1"/>
        </xdr:cNvSpPr>
      </xdr:nvSpPr>
      <xdr:spPr bwMode="auto">
        <a:xfrm>
          <a:off x="0" y="45255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542" name="AutoShape 1422" descr="https://www.soccerstats.com/img/own/sshplogo.png">
          <a:hlinkClick xmlns:r="http://schemas.openxmlformats.org/officeDocument/2006/relationships" r:id="rId878"/>
        </xdr:cNvPr>
        <xdr:cNvSpPr>
          <a:spLocks noChangeAspect="1" noChangeArrowheads="1"/>
        </xdr:cNvSpPr>
      </xdr:nvSpPr>
      <xdr:spPr bwMode="auto">
        <a:xfrm>
          <a:off x="13411200" y="45255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43" name="AutoShape 1423" descr="SLOVENIA"/>
        <xdr:cNvSpPr>
          <a:spLocks noChangeAspect="1" noChangeArrowheads="1"/>
        </xdr:cNvSpPr>
      </xdr:nvSpPr>
      <xdr:spPr bwMode="auto">
        <a:xfrm>
          <a:off x="0" y="45430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544" name="AutoShape 1424" descr="https://www.soccerstats.com/img/own/sshplogo.png">
          <a:hlinkClick xmlns:r="http://schemas.openxmlformats.org/officeDocument/2006/relationships" r:id="rId879"/>
        </xdr:cNvPr>
        <xdr:cNvSpPr>
          <a:spLocks noChangeAspect="1" noChangeArrowheads="1"/>
        </xdr:cNvSpPr>
      </xdr:nvSpPr>
      <xdr:spPr bwMode="auto">
        <a:xfrm>
          <a:off x="13411200" y="45430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45" name="AutoShape 1425" descr="SLOVENIA"/>
        <xdr:cNvSpPr>
          <a:spLocks noChangeAspect="1" noChangeArrowheads="1"/>
        </xdr:cNvSpPr>
      </xdr:nvSpPr>
      <xdr:spPr bwMode="auto">
        <a:xfrm>
          <a:off x="0" y="45605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546" name="AutoShape 1426" descr="https://www.soccerstats.com/img/own/sshplogo.png">
          <a:hlinkClick xmlns:r="http://schemas.openxmlformats.org/officeDocument/2006/relationships" r:id="rId880"/>
        </xdr:cNvPr>
        <xdr:cNvSpPr>
          <a:spLocks noChangeAspect="1" noChangeArrowheads="1"/>
        </xdr:cNvSpPr>
      </xdr:nvSpPr>
      <xdr:spPr bwMode="auto">
        <a:xfrm>
          <a:off x="13411200" y="45605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47" name="AutoShape 1427" descr="SLOVENIA"/>
        <xdr:cNvSpPr>
          <a:spLocks noChangeAspect="1" noChangeArrowheads="1"/>
        </xdr:cNvSpPr>
      </xdr:nvSpPr>
      <xdr:spPr bwMode="auto">
        <a:xfrm>
          <a:off x="0" y="45780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548" name="AutoShape 1428" descr="https://www.soccerstats.com/img/own/sshplogo.png">
          <a:hlinkClick xmlns:r="http://schemas.openxmlformats.org/officeDocument/2006/relationships" r:id="rId881"/>
        </xdr:cNvPr>
        <xdr:cNvSpPr>
          <a:spLocks noChangeAspect="1" noChangeArrowheads="1"/>
        </xdr:cNvSpPr>
      </xdr:nvSpPr>
      <xdr:spPr bwMode="auto">
        <a:xfrm>
          <a:off x="13411200" y="45780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49" name="AutoShape 1429" descr="SOUTHAFRICA"/>
        <xdr:cNvSpPr>
          <a:spLocks noChangeAspect="1" noChangeArrowheads="1"/>
        </xdr:cNvSpPr>
      </xdr:nvSpPr>
      <xdr:spPr bwMode="auto">
        <a:xfrm>
          <a:off x="0" y="45956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550" name="AutoShape 1430" descr="https://www.soccerstats.com/img/own/sshplogo.png">
          <a:hlinkClick xmlns:r="http://schemas.openxmlformats.org/officeDocument/2006/relationships" r:id="rId882"/>
        </xdr:cNvPr>
        <xdr:cNvSpPr>
          <a:spLocks noChangeAspect="1" noChangeArrowheads="1"/>
        </xdr:cNvSpPr>
      </xdr:nvSpPr>
      <xdr:spPr bwMode="auto">
        <a:xfrm>
          <a:off x="13411200" y="45956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51" name="AutoShape 1431" descr="SOUTHAFRICA"/>
        <xdr:cNvSpPr>
          <a:spLocks noChangeAspect="1" noChangeArrowheads="1"/>
        </xdr:cNvSpPr>
      </xdr:nvSpPr>
      <xdr:spPr bwMode="auto">
        <a:xfrm>
          <a:off x="0" y="46207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552" name="AutoShape 1432" descr="https://www.soccerstats.com/img/own/sshplogo.png">
          <a:hlinkClick xmlns:r="http://schemas.openxmlformats.org/officeDocument/2006/relationships" r:id="rId883"/>
        </xdr:cNvPr>
        <xdr:cNvSpPr>
          <a:spLocks noChangeAspect="1" noChangeArrowheads="1"/>
        </xdr:cNvSpPr>
      </xdr:nvSpPr>
      <xdr:spPr bwMode="auto">
        <a:xfrm>
          <a:off x="13411200" y="46207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53" name="AutoShape 1433" descr="SOUTHKOREA"/>
        <xdr:cNvSpPr>
          <a:spLocks noChangeAspect="1" noChangeArrowheads="1"/>
        </xdr:cNvSpPr>
      </xdr:nvSpPr>
      <xdr:spPr bwMode="auto">
        <a:xfrm>
          <a:off x="0" y="46459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554" name="AutoShape 1434" descr="https://www.soccerstats.com/img/own/sshplogo.png">
          <a:hlinkClick xmlns:r="http://schemas.openxmlformats.org/officeDocument/2006/relationships" r:id="rId884"/>
        </xdr:cNvPr>
        <xdr:cNvSpPr>
          <a:spLocks noChangeAspect="1" noChangeArrowheads="1"/>
        </xdr:cNvSpPr>
      </xdr:nvSpPr>
      <xdr:spPr bwMode="auto">
        <a:xfrm>
          <a:off x="13411200" y="46459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55" name="AutoShape 1435" descr="SOUTHKOREA"/>
        <xdr:cNvSpPr>
          <a:spLocks noChangeAspect="1" noChangeArrowheads="1"/>
        </xdr:cNvSpPr>
      </xdr:nvSpPr>
      <xdr:spPr bwMode="auto">
        <a:xfrm>
          <a:off x="0" y="46634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556" name="AutoShape 1436" descr="https://www.soccerstats.com/img/own/sshplogo.png">
          <a:hlinkClick xmlns:r="http://schemas.openxmlformats.org/officeDocument/2006/relationships" r:id="rId885"/>
        </xdr:cNvPr>
        <xdr:cNvSpPr>
          <a:spLocks noChangeAspect="1" noChangeArrowheads="1"/>
        </xdr:cNvSpPr>
      </xdr:nvSpPr>
      <xdr:spPr bwMode="auto">
        <a:xfrm>
          <a:off x="13411200" y="46634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57" name="AutoShape 1437" descr="SOUTHKOREA"/>
        <xdr:cNvSpPr>
          <a:spLocks noChangeAspect="1" noChangeArrowheads="1"/>
        </xdr:cNvSpPr>
      </xdr:nvSpPr>
      <xdr:spPr bwMode="auto">
        <a:xfrm>
          <a:off x="0" y="46885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558" name="AutoShape 1438" descr="https://www.soccerstats.com/img/own/sshplogo.png">
          <a:hlinkClick xmlns:r="http://schemas.openxmlformats.org/officeDocument/2006/relationships" r:id="rId886"/>
        </xdr:cNvPr>
        <xdr:cNvSpPr>
          <a:spLocks noChangeAspect="1" noChangeArrowheads="1"/>
        </xdr:cNvSpPr>
      </xdr:nvSpPr>
      <xdr:spPr bwMode="auto">
        <a:xfrm>
          <a:off x="13411200" y="46885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59" name="AutoShape 1439" descr="SOUTHKOREA2"/>
        <xdr:cNvSpPr>
          <a:spLocks noChangeAspect="1" noChangeArrowheads="1"/>
        </xdr:cNvSpPr>
      </xdr:nvSpPr>
      <xdr:spPr bwMode="auto">
        <a:xfrm>
          <a:off x="0" y="47061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560" name="AutoShape 1440" descr="https://www.soccerstats.com/img/own/sshplogo.png">
          <a:hlinkClick xmlns:r="http://schemas.openxmlformats.org/officeDocument/2006/relationships" r:id="rId887"/>
        </xdr:cNvPr>
        <xdr:cNvSpPr>
          <a:spLocks noChangeAspect="1" noChangeArrowheads="1"/>
        </xdr:cNvSpPr>
      </xdr:nvSpPr>
      <xdr:spPr bwMode="auto">
        <a:xfrm>
          <a:off x="13411200" y="47061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61" name="AutoShape 1441" descr="SOUTHKOREA2"/>
        <xdr:cNvSpPr>
          <a:spLocks noChangeAspect="1" noChangeArrowheads="1"/>
        </xdr:cNvSpPr>
      </xdr:nvSpPr>
      <xdr:spPr bwMode="auto">
        <a:xfrm>
          <a:off x="0" y="47236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562" name="AutoShape 1442" descr="https://www.soccerstats.com/img/own/sshplogo.png">
          <a:hlinkClick xmlns:r="http://schemas.openxmlformats.org/officeDocument/2006/relationships" r:id="rId888"/>
        </xdr:cNvPr>
        <xdr:cNvSpPr>
          <a:spLocks noChangeAspect="1" noChangeArrowheads="1"/>
        </xdr:cNvSpPr>
      </xdr:nvSpPr>
      <xdr:spPr bwMode="auto">
        <a:xfrm>
          <a:off x="13411200" y="47236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63" name="AutoShape 1443" descr="SOUTHKOREA2"/>
        <xdr:cNvSpPr>
          <a:spLocks noChangeAspect="1" noChangeArrowheads="1"/>
        </xdr:cNvSpPr>
      </xdr:nvSpPr>
      <xdr:spPr bwMode="auto">
        <a:xfrm>
          <a:off x="0" y="47411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564" name="AutoShape 1444" descr="https://www.soccerstats.com/img/own/sshplogo.png">
          <a:hlinkClick xmlns:r="http://schemas.openxmlformats.org/officeDocument/2006/relationships" r:id="rId889"/>
        </xdr:cNvPr>
        <xdr:cNvSpPr>
          <a:spLocks noChangeAspect="1" noChangeArrowheads="1"/>
        </xdr:cNvSpPr>
      </xdr:nvSpPr>
      <xdr:spPr bwMode="auto">
        <a:xfrm>
          <a:off x="13411200" y="47411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65" name="AutoShape 1445" descr="SOUTHKOREA2"/>
        <xdr:cNvSpPr>
          <a:spLocks noChangeAspect="1" noChangeArrowheads="1"/>
        </xdr:cNvSpPr>
      </xdr:nvSpPr>
      <xdr:spPr bwMode="auto">
        <a:xfrm>
          <a:off x="0" y="47586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566" name="AutoShape 1446" descr="https://www.soccerstats.com/img/own/sshplogo.png">
          <a:hlinkClick xmlns:r="http://schemas.openxmlformats.org/officeDocument/2006/relationships" r:id="rId890"/>
        </xdr:cNvPr>
        <xdr:cNvSpPr>
          <a:spLocks noChangeAspect="1" noChangeArrowheads="1"/>
        </xdr:cNvSpPr>
      </xdr:nvSpPr>
      <xdr:spPr bwMode="auto">
        <a:xfrm>
          <a:off x="13411200" y="47586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67" name="AutoShape 1447" descr="SWEDEN"/>
        <xdr:cNvSpPr>
          <a:spLocks noChangeAspect="1" noChangeArrowheads="1"/>
        </xdr:cNvSpPr>
      </xdr:nvSpPr>
      <xdr:spPr bwMode="auto">
        <a:xfrm>
          <a:off x="0" y="47838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568" name="AutoShape 1448" descr="https://www.soccerstats.com/img/own/sshplogo.png">
          <a:hlinkClick xmlns:r="http://schemas.openxmlformats.org/officeDocument/2006/relationships" r:id="rId891"/>
        </xdr:cNvPr>
        <xdr:cNvSpPr>
          <a:spLocks noChangeAspect="1" noChangeArrowheads="1"/>
        </xdr:cNvSpPr>
      </xdr:nvSpPr>
      <xdr:spPr bwMode="auto">
        <a:xfrm>
          <a:off x="13411200" y="47838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69" name="AutoShape 1449" descr="SWEDEN"/>
        <xdr:cNvSpPr>
          <a:spLocks noChangeAspect="1" noChangeArrowheads="1"/>
        </xdr:cNvSpPr>
      </xdr:nvSpPr>
      <xdr:spPr bwMode="auto">
        <a:xfrm>
          <a:off x="0" y="48089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570" name="AutoShape 1450" descr="https://www.soccerstats.com/img/own/sshplogo.png">
          <a:hlinkClick xmlns:r="http://schemas.openxmlformats.org/officeDocument/2006/relationships" r:id="rId892"/>
        </xdr:cNvPr>
        <xdr:cNvSpPr>
          <a:spLocks noChangeAspect="1" noChangeArrowheads="1"/>
        </xdr:cNvSpPr>
      </xdr:nvSpPr>
      <xdr:spPr bwMode="auto">
        <a:xfrm>
          <a:off x="13411200" y="48089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71" name="AutoShape 1451" descr="SWEDEN"/>
        <xdr:cNvSpPr>
          <a:spLocks noChangeAspect="1" noChangeArrowheads="1"/>
        </xdr:cNvSpPr>
      </xdr:nvSpPr>
      <xdr:spPr bwMode="auto">
        <a:xfrm>
          <a:off x="0" y="48265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572" name="AutoShape 1452" descr="https://www.soccerstats.com/img/own/sshplogo.png">
          <a:hlinkClick xmlns:r="http://schemas.openxmlformats.org/officeDocument/2006/relationships" r:id="rId893"/>
        </xdr:cNvPr>
        <xdr:cNvSpPr>
          <a:spLocks noChangeAspect="1" noChangeArrowheads="1"/>
        </xdr:cNvSpPr>
      </xdr:nvSpPr>
      <xdr:spPr bwMode="auto">
        <a:xfrm>
          <a:off x="13411200" y="48265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73" name="AutoShape 1453" descr="SWEDEN"/>
        <xdr:cNvSpPr>
          <a:spLocks noChangeAspect="1" noChangeArrowheads="1"/>
        </xdr:cNvSpPr>
      </xdr:nvSpPr>
      <xdr:spPr bwMode="auto">
        <a:xfrm>
          <a:off x="0" y="48440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574" name="AutoShape 1454" descr="https://www.soccerstats.com/img/own/sshplogo.png">
          <a:hlinkClick xmlns:r="http://schemas.openxmlformats.org/officeDocument/2006/relationships" r:id="rId894"/>
        </xdr:cNvPr>
        <xdr:cNvSpPr>
          <a:spLocks noChangeAspect="1" noChangeArrowheads="1"/>
        </xdr:cNvSpPr>
      </xdr:nvSpPr>
      <xdr:spPr bwMode="auto">
        <a:xfrm>
          <a:off x="13411200" y="48440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75" name="AutoShape 1455" descr="SWEDEN"/>
        <xdr:cNvSpPr>
          <a:spLocks noChangeAspect="1" noChangeArrowheads="1"/>
        </xdr:cNvSpPr>
      </xdr:nvSpPr>
      <xdr:spPr bwMode="auto">
        <a:xfrm>
          <a:off x="0" y="48615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576" name="AutoShape 1456" descr="https://www.soccerstats.com/img/own/sshplogo.png">
          <a:hlinkClick xmlns:r="http://schemas.openxmlformats.org/officeDocument/2006/relationships" r:id="rId895"/>
        </xdr:cNvPr>
        <xdr:cNvSpPr>
          <a:spLocks noChangeAspect="1" noChangeArrowheads="1"/>
        </xdr:cNvSpPr>
      </xdr:nvSpPr>
      <xdr:spPr bwMode="auto">
        <a:xfrm>
          <a:off x="13411200" y="48615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77" name="AutoShape 1457" descr="SWEDEN2"/>
        <xdr:cNvSpPr>
          <a:spLocks noChangeAspect="1" noChangeArrowheads="1"/>
        </xdr:cNvSpPr>
      </xdr:nvSpPr>
      <xdr:spPr bwMode="auto">
        <a:xfrm>
          <a:off x="0" y="48790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578" name="AutoShape 1458" descr="https://www.soccerstats.com/img/own/sshplogo.png">
          <a:hlinkClick xmlns:r="http://schemas.openxmlformats.org/officeDocument/2006/relationships" r:id="rId896"/>
        </xdr:cNvPr>
        <xdr:cNvSpPr>
          <a:spLocks noChangeAspect="1" noChangeArrowheads="1"/>
        </xdr:cNvSpPr>
      </xdr:nvSpPr>
      <xdr:spPr bwMode="auto">
        <a:xfrm>
          <a:off x="13411200" y="48790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79" name="AutoShape 1459" descr="SWEDEN3"/>
        <xdr:cNvSpPr>
          <a:spLocks noChangeAspect="1" noChangeArrowheads="1"/>
        </xdr:cNvSpPr>
      </xdr:nvSpPr>
      <xdr:spPr bwMode="auto">
        <a:xfrm>
          <a:off x="0" y="48966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580" name="AutoShape 1460" descr="https://www.soccerstats.com/img/own/sshplogo.png">
          <a:hlinkClick xmlns:r="http://schemas.openxmlformats.org/officeDocument/2006/relationships" r:id="rId897"/>
        </xdr:cNvPr>
        <xdr:cNvSpPr>
          <a:spLocks noChangeAspect="1" noChangeArrowheads="1"/>
        </xdr:cNvSpPr>
      </xdr:nvSpPr>
      <xdr:spPr bwMode="auto">
        <a:xfrm>
          <a:off x="13411200" y="48966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81" name="AutoShape 1461" descr="SWEDEN3"/>
        <xdr:cNvSpPr>
          <a:spLocks noChangeAspect="1" noChangeArrowheads="1"/>
        </xdr:cNvSpPr>
      </xdr:nvSpPr>
      <xdr:spPr bwMode="auto">
        <a:xfrm>
          <a:off x="0" y="49141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582" name="AutoShape 1462" descr="https://www.soccerstats.com/img/own/sshplogo.png">
          <a:hlinkClick xmlns:r="http://schemas.openxmlformats.org/officeDocument/2006/relationships" r:id="rId898"/>
        </xdr:cNvPr>
        <xdr:cNvSpPr>
          <a:spLocks noChangeAspect="1" noChangeArrowheads="1"/>
        </xdr:cNvSpPr>
      </xdr:nvSpPr>
      <xdr:spPr bwMode="auto">
        <a:xfrm>
          <a:off x="13411200" y="49141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83" name="AutoShape 1463" descr="SWEDEN3"/>
        <xdr:cNvSpPr>
          <a:spLocks noChangeAspect="1" noChangeArrowheads="1"/>
        </xdr:cNvSpPr>
      </xdr:nvSpPr>
      <xdr:spPr bwMode="auto">
        <a:xfrm>
          <a:off x="0" y="49392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584" name="AutoShape 1464" descr="https://www.soccerstats.com/img/own/sshplogo.png">
          <a:hlinkClick xmlns:r="http://schemas.openxmlformats.org/officeDocument/2006/relationships" r:id="rId899"/>
        </xdr:cNvPr>
        <xdr:cNvSpPr>
          <a:spLocks noChangeAspect="1" noChangeArrowheads="1"/>
        </xdr:cNvSpPr>
      </xdr:nvSpPr>
      <xdr:spPr bwMode="auto">
        <a:xfrm>
          <a:off x="13411200" y="49392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85" name="AutoShape 1465" descr="SWEDEN4"/>
        <xdr:cNvSpPr>
          <a:spLocks noChangeAspect="1" noChangeArrowheads="1"/>
        </xdr:cNvSpPr>
      </xdr:nvSpPr>
      <xdr:spPr bwMode="auto">
        <a:xfrm>
          <a:off x="0" y="49568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586" name="AutoShape 1466" descr="https://www.soccerstats.com/img/own/sshplogo.png">
          <a:hlinkClick xmlns:r="http://schemas.openxmlformats.org/officeDocument/2006/relationships" r:id="rId900"/>
        </xdr:cNvPr>
        <xdr:cNvSpPr>
          <a:spLocks noChangeAspect="1" noChangeArrowheads="1"/>
        </xdr:cNvSpPr>
      </xdr:nvSpPr>
      <xdr:spPr bwMode="auto">
        <a:xfrm>
          <a:off x="13411200" y="49568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87" name="AutoShape 1467" descr="SWEDEN4"/>
        <xdr:cNvSpPr>
          <a:spLocks noChangeAspect="1" noChangeArrowheads="1"/>
        </xdr:cNvSpPr>
      </xdr:nvSpPr>
      <xdr:spPr bwMode="auto">
        <a:xfrm>
          <a:off x="0" y="49743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588" name="AutoShape 1468" descr="https://www.soccerstats.com/img/own/sshplogo.png">
          <a:hlinkClick xmlns:r="http://schemas.openxmlformats.org/officeDocument/2006/relationships" r:id="rId901"/>
        </xdr:cNvPr>
        <xdr:cNvSpPr>
          <a:spLocks noChangeAspect="1" noChangeArrowheads="1"/>
        </xdr:cNvSpPr>
      </xdr:nvSpPr>
      <xdr:spPr bwMode="auto">
        <a:xfrm>
          <a:off x="13411200" y="49743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89" name="AutoShape 1469" descr="SWEDEN4"/>
        <xdr:cNvSpPr>
          <a:spLocks noChangeAspect="1" noChangeArrowheads="1"/>
        </xdr:cNvSpPr>
      </xdr:nvSpPr>
      <xdr:spPr bwMode="auto">
        <a:xfrm>
          <a:off x="0" y="49918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590" name="AutoShape 1470" descr="https://www.soccerstats.com/img/own/sshplogo.png">
          <a:hlinkClick xmlns:r="http://schemas.openxmlformats.org/officeDocument/2006/relationships" r:id="rId902"/>
        </xdr:cNvPr>
        <xdr:cNvSpPr>
          <a:spLocks noChangeAspect="1" noChangeArrowheads="1"/>
        </xdr:cNvSpPr>
      </xdr:nvSpPr>
      <xdr:spPr bwMode="auto">
        <a:xfrm>
          <a:off x="13411200" y="49918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91" name="AutoShape 1471" descr="SWEDEN11"/>
        <xdr:cNvSpPr>
          <a:spLocks noChangeAspect="1" noChangeArrowheads="1"/>
        </xdr:cNvSpPr>
      </xdr:nvSpPr>
      <xdr:spPr bwMode="auto">
        <a:xfrm>
          <a:off x="0" y="50093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592" name="AutoShape 1472" descr="https://www.soccerstats.com/img/own/sshplogo.png">
          <a:hlinkClick xmlns:r="http://schemas.openxmlformats.org/officeDocument/2006/relationships" r:id="rId903"/>
        </xdr:cNvPr>
        <xdr:cNvSpPr>
          <a:spLocks noChangeAspect="1" noChangeArrowheads="1"/>
        </xdr:cNvSpPr>
      </xdr:nvSpPr>
      <xdr:spPr bwMode="auto">
        <a:xfrm>
          <a:off x="13411200" y="50093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93" name="AutoShape 1473" descr="TURKEY"/>
        <xdr:cNvSpPr>
          <a:spLocks noChangeAspect="1" noChangeArrowheads="1"/>
        </xdr:cNvSpPr>
      </xdr:nvSpPr>
      <xdr:spPr bwMode="auto">
        <a:xfrm>
          <a:off x="0" y="50345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594" name="AutoShape 1474" descr="https://www.soccerstats.com/img/own/sshplogo.png">
          <a:hlinkClick xmlns:r="http://schemas.openxmlformats.org/officeDocument/2006/relationships" r:id="rId904"/>
        </xdr:cNvPr>
        <xdr:cNvSpPr>
          <a:spLocks noChangeAspect="1" noChangeArrowheads="1"/>
        </xdr:cNvSpPr>
      </xdr:nvSpPr>
      <xdr:spPr bwMode="auto">
        <a:xfrm>
          <a:off x="13411200" y="50345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95" name="AutoShape 1475" descr="TURKEY"/>
        <xdr:cNvSpPr>
          <a:spLocks noChangeAspect="1" noChangeArrowheads="1"/>
        </xdr:cNvSpPr>
      </xdr:nvSpPr>
      <xdr:spPr bwMode="auto">
        <a:xfrm>
          <a:off x="0" y="50520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596" name="AutoShape 1476" descr="https://www.soccerstats.com/img/own/sshplogo.png">
          <a:hlinkClick xmlns:r="http://schemas.openxmlformats.org/officeDocument/2006/relationships" r:id="rId905"/>
        </xdr:cNvPr>
        <xdr:cNvSpPr>
          <a:spLocks noChangeAspect="1" noChangeArrowheads="1"/>
        </xdr:cNvSpPr>
      </xdr:nvSpPr>
      <xdr:spPr bwMode="auto">
        <a:xfrm>
          <a:off x="13411200" y="5052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97" name="AutoShape 1477" descr="TURKEY"/>
        <xdr:cNvSpPr>
          <a:spLocks noChangeAspect="1" noChangeArrowheads="1"/>
        </xdr:cNvSpPr>
      </xdr:nvSpPr>
      <xdr:spPr bwMode="auto">
        <a:xfrm>
          <a:off x="0" y="50695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598" name="AutoShape 1478" descr="https://www.soccerstats.com/img/own/sshplogo.png">
          <a:hlinkClick xmlns:r="http://schemas.openxmlformats.org/officeDocument/2006/relationships" r:id="rId906"/>
        </xdr:cNvPr>
        <xdr:cNvSpPr>
          <a:spLocks noChangeAspect="1" noChangeArrowheads="1"/>
        </xdr:cNvSpPr>
      </xdr:nvSpPr>
      <xdr:spPr bwMode="auto">
        <a:xfrm>
          <a:off x="13411200" y="50695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99" name="AutoShape 1479" descr="TURKEY2"/>
        <xdr:cNvSpPr>
          <a:spLocks noChangeAspect="1" noChangeArrowheads="1"/>
        </xdr:cNvSpPr>
      </xdr:nvSpPr>
      <xdr:spPr bwMode="auto">
        <a:xfrm>
          <a:off x="0" y="50871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600" name="AutoShape 1480" descr="https://www.soccerstats.com/img/own/sshplogo.png">
          <a:hlinkClick xmlns:r="http://schemas.openxmlformats.org/officeDocument/2006/relationships" r:id="rId907"/>
        </xdr:cNvPr>
        <xdr:cNvSpPr>
          <a:spLocks noChangeAspect="1" noChangeArrowheads="1"/>
        </xdr:cNvSpPr>
      </xdr:nvSpPr>
      <xdr:spPr bwMode="auto">
        <a:xfrm>
          <a:off x="13411200" y="50871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601" name="AutoShape 1481" descr="TURKEY2"/>
        <xdr:cNvSpPr>
          <a:spLocks noChangeAspect="1" noChangeArrowheads="1"/>
        </xdr:cNvSpPr>
      </xdr:nvSpPr>
      <xdr:spPr bwMode="auto">
        <a:xfrm>
          <a:off x="0" y="51046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602" name="AutoShape 1482" descr="https://www.soccerstats.com/img/own/sshplogo.png">
          <a:hlinkClick xmlns:r="http://schemas.openxmlformats.org/officeDocument/2006/relationships" r:id="rId908"/>
        </xdr:cNvPr>
        <xdr:cNvSpPr>
          <a:spLocks noChangeAspect="1" noChangeArrowheads="1"/>
        </xdr:cNvSpPr>
      </xdr:nvSpPr>
      <xdr:spPr bwMode="auto">
        <a:xfrm>
          <a:off x="13411200" y="51046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603" name="AutoShape 1483" descr="TURKEY2"/>
        <xdr:cNvSpPr>
          <a:spLocks noChangeAspect="1" noChangeArrowheads="1"/>
        </xdr:cNvSpPr>
      </xdr:nvSpPr>
      <xdr:spPr bwMode="auto">
        <a:xfrm>
          <a:off x="0" y="51221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604" name="AutoShape 1484" descr="https://www.soccerstats.com/img/own/sshplogo.png">
          <a:hlinkClick xmlns:r="http://schemas.openxmlformats.org/officeDocument/2006/relationships" r:id="rId909"/>
        </xdr:cNvPr>
        <xdr:cNvSpPr>
          <a:spLocks noChangeAspect="1" noChangeArrowheads="1"/>
        </xdr:cNvSpPr>
      </xdr:nvSpPr>
      <xdr:spPr bwMode="auto">
        <a:xfrm>
          <a:off x="13411200" y="51221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605" name="AutoShape 1485" descr="TURKEY2"/>
        <xdr:cNvSpPr>
          <a:spLocks noChangeAspect="1" noChangeArrowheads="1"/>
        </xdr:cNvSpPr>
      </xdr:nvSpPr>
      <xdr:spPr bwMode="auto">
        <a:xfrm>
          <a:off x="0" y="51396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606" name="AutoShape 1486" descr="https://www.soccerstats.com/img/own/sshplogo.png">
          <a:hlinkClick xmlns:r="http://schemas.openxmlformats.org/officeDocument/2006/relationships" r:id="rId910"/>
        </xdr:cNvPr>
        <xdr:cNvSpPr>
          <a:spLocks noChangeAspect="1" noChangeArrowheads="1"/>
        </xdr:cNvSpPr>
      </xdr:nvSpPr>
      <xdr:spPr bwMode="auto">
        <a:xfrm>
          <a:off x="13411200" y="51396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607" name="AutoShape 1487" descr="UKRAINE"/>
        <xdr:cNvSpPr>
          <a:spLocks noChangeAspect="1" noChangeArrowheads="1"/>
        </xdr:cNvSpPr>
      </xdr:nvSpPr>
      <xdr:spPr bwMode="auto">
        <a:xfrm>
          <a:off x="0" y="51648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608" name="AutoShape 1488" descr="https://www.soccerstats.com/img/own/sshplogo.png">
          <a:hlinkClick xmlns:r="http://schemas.openxmlformats.org/officeDocument/2006/relationships" r:id="rId911"/>
        </xdr:cNvPr>
        <xdr:cNvSpPr>
          <a:spLocks noChangeAspect="1" noChangeArrowheads="1"/>
        </xdr:cNvSpPr>
      </xdr:nvSpPr>
      <xdr:spPr bwMode="auto">
        <a:xfrm>
          <a:off x="13411200" y="51648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609" name="AutoShape 1489" descr="UKRAINE"/>
        <xdr:cNvSpPr>
          <a:spLocks noChangeAspect="1" noChangeArrowheads="1"/>
        </xdr:cNvSpPr>
      </xdr:nvSpPr>
      <xdr:spPr bwMode="auto">
        <a:xfrm>
          <a:off x="0" y="51899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610" name="AutoShape 1490" descr="https://www.soccerstats.com/img/own/sshplogo.png">
          <a:hlinkClick xmlns:r="http://schemas.openxmlformats.org/officeDocument/2006/relationships" r:id="rId912"/>
        </xdr:cNvPr>
        <xdr:cNvSpPr>
          <a:spLocks noChangeAspect="1" noChangeArrowheads="1"/>
        </xdr:cNvSpPr>
      </xdr:nvSpPr>
      <xdr:spPr bwMode="auto">
        <a:xfrm>
          <a:off x="13411200" y="51899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611" name="AutoShape 1491" descr="UKRAINE"/>
        <xdr:cNvSpPr>
          <a:spLocks noChangeAspect="1" noChangeArrowheads="1"/>
        </xdr:cNvSpPr>
      </xdr:nvSpPr>
      <xdr:spPr bwMode="auto">
        <a:xfrm>
          <a:off x="0" y="52075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612" name="AutoShape 1492" descr="https://www.soccerstats.com/img/own/sshplogo.png">
          <a:hlinkClick xmlns:r="http://schemas.openxmlformats.org/officeDocument/2006/relationships" r:id="rId913"/>
        </xdr:cNvPr>
        <xdr:cNvSpPr>
          <a:spLocks noChangeAspect="1" noChangeArrowheads="1"/>
        </xdr:cNvSpPr>
      </xdr:nvSpPr>
      <xdr:spPr bwMode="auto">
        <a:xfrm>
          <a:off x="13411200" y="52075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613" name="AutoShape 1493" descr="URUGUAY3"/>
        <xdr:cNvSpPr>
          <a:spLocks noChangeAspect="1" noChangeArrowheads="1"/>
        </xdr:cNvSpPr>
      </xdr:nvSpPr>
      <xdr:spPr bwMode="auto">
        <a:xfrm>
          <a:off x="0" y="52326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614" name="AutoShape 1494" descr="https://www.soccerstats.com/img/own/sshplogo.png">
          <a:hlinkClick xmlns:r="http://schemas.openxmlformats.org/officeDocument/2006/relationships" r:id="rId914"/>
        </xdr:cNvPr>
        <xdr:cNvSpPr>
          <a:spLocks noChangeAspect="1" noChangeArrowheads="1"/>
        </xdr:cNvSpPr>
      </xdr:nvSpPr>
      <xdr:spPr bwMode="auto">
        <a:xfrm>
          <a:off x="13411200" y="52326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615" name="AutoShape 1495" descr="URUGUAY3"/>
        <xdr:cNvSpPr>
          <a:spLocks noChangeAspect="1" noChangeArrowheads="1"/>
        </xdr:cNvSpPr>
      </xdr:nvSpPr>
      <xdr:spPr bwMode="auto">
        <a:xfrm>
          <a:off x="0" y="52578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616" name="AutoShape 1496" descr="https://www.soccerstats.com/img/own/sshplogo.png">
          <a:hlinkClick xmlns:r="http://schemas.openxmlformats.org/officeDocument/2006/relationships" r:id="rId915"/>
        </xdr:cNvPr>
        <xdr:cNvSpPr>
          <a:spLocks noChangeAspect="1" noChangeArrowheads="1"/>
        </xdr:cNvSpPr>
      </xdr:nvSpPr>
      <xdr:spPr bwMode="auto">
        <a:xfrm>
          <a:off x="13411200" y="5257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617" name="AutoShape 1497" descr="URUGUAY3"/>
        <xdr:cNvSpPr>
          <a:spLocks noChangeAspect="1" noChangeArrowheads="1"/>
        </xdr:cNvSpPr>
      </xdr:nvSpPr>
      <xdr:spPr bwMode="auto">
        <a:xfrm>
          <a:off x="0" y="52753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618" name="AutoShape 1498" descr="https://www.soccerstats.com/img/own/sshplogo.png">
          <a:hlinkClick xmlns:r="http://schemas.openxmlformats.org/officeDocument/2006/relationships" r:id="rId916"/>
        </xdr:cNvPr>
        <xdr:cNvSpPr>
          <a:spLocks noChangeAspect="1" noChangeArrowheads="1"/>
        </xdr:cNvSpPr>
      </xdr:nvSpPr>
      <xdr:spPr bwMode="auto">
        <a:xfrm>
          <a:off x="13411200" y="52753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619" name="AutoShape 1499" descr="USA"/>
        <xdr:cNvSpPr>
          <a:spLocks noChangeAspect="1" noChangeArrowheads="1"/>
        </xdr:cNvSpPr>
      </xdr:nvSpPr>
      <xdr:spPr bwMode="auto">
        <a:xfrm>
          <a:off x="0" y="53004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620" name="AutoShape 1500" descr="https://www.soccerstats.com/img/own/sshplogo.png">
          <a:hlinkClick xmlns:r="http://schemas.openxmlformats.org/officeDocument/2006/relationships" r:id="rId917"/>
        </xdr:cNvPr>
        <xdr:cNvSpPr>
          <a:spLocks noChangeAspect="1" noChangeArrowheads="1"/>
        </xdr:cNvSpPr>
      </xdr:nvSpPr>
      <xdr:spPr bwMode="auto">
        <a:xfrm>
          <a:off x="13411200" y="53004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621" name="AutoShape 1501" descr="USA"/>
        <xdr:cNvSpPr>
          <a:spLocks noChangeAspect="1" noChangeArrowheads="1"/>
        </xdr:cNvSpPr>
      </xdr:nvSpPr>
      <xdr:spPr bwMode="auto">
        <a:xfrm>
          <a:off x="0" y="53256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622" name="AutoShape 1502" descr="https://www.soccerstats.com/img/own/sshplogo.png">
          <a:hlinkClick xmlns:r="http://schemas.openxmlformats.org/officeDocument/2006/relationships" r:id="rId918"/>
        </xdr:cNvPr>
        <xdr:cNvSpPr>
          <a:spLocks noChangeAspect="1" noChangeArrowheads="1"/>
        </xdr:cNvSpPr>
      </xdr:nvSpPr>
      <xdr:spPr bwMode="auto">
        <a:xfrm>
          <a:off x="13411200" y="53256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623" name="AutoShape 1503" descr="USA"/>
        <xdr:cNvSpPr>
          <a:spLocks noChangeAspect="1" noChangeArrowheads="1"/>
        </xdr:cNvSpPr>
      </xdr:nvSpPr>
      <xdr:spPr bwMode="auto">
        <a:xfrm>
          <a:off x="0" y="53431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624" name="AutoShape 1504" descr="https://www.soccerstats.com/img/own/sshplogo.png">
          <a:hlinkClick xmlns:r="http://schemas.openxmlformats.org/officeDocument/2006/relationships" r:id="rId919"/>
        </xdr:cNvPr>
        <xdr:cNvSpPr>
          <a:spLocks noChangeAspect="1" noChangeArrowheads="1"/>
        </xdr:cNvSpPr>
      </xdr:nvSpPr>
      <xdr:spPr bwMode="auto">
        <a:xfrm>
          <a:off x="13411200" y="53431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625" name="AutoShape 1505" descr="USA"/>
        <xdr:cNvSpPr>
          <a:spLocks noChangeAspect="1" noChangeArrowheads="1"/>
        </xdr:cNvSpPr>
      </xdr:nvSpPr>
      <xdr:spPr bwMode="auto">
        <a:xfrm>
          <a:off x="0" y="53682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626" name="AutoShape 1506" descr="https://www.soccerstats.com/img/own/sshplogo.png">
          <a:hlinkClick xmlns:r="http://schemas.openxmlformats.org/officeDocument/2006/relationships" r:id="rId920"/>
        </xdr:cNvPr>
        <xdr:cNvSpPr>
          <a:spLocks noChangeAspect="1" noChangeArrowheads="1"/>
        </xdr:cNvSpPr>
      </xdr:nvSpPr>
      <xdr:spPr bwMode="auto">
        <a:xfrm>
          <a:off x="13411200" y="53682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627" name="AutoShape 1507" descr="USA"/>
        <xdr:cNvSpPr>
          <a:spLocks noChangeAspect="1" noChangeArrowheads="1"/>
        </xdr:cNvSpPr>
      </xdr:nvSpPr>
      <xdr:spPr bwMode="auto">
        <a:xfrm>
          <a:off x="0" y="53934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628" name="AutoShape 1508" descr="https://www.soccerstats.com/img/own/sshplogo.png">
          <a:hlinkClick xmlns:r="http://schemas.openxmlformats.org/officeDocument/2006/relationships" r:id="rId921"/>
        </xdr:cNvPr>
        <xdr:cNvSpPr>
          <a:spLocks noChangeAspect="1" noChangeArrowheads="1"/>
        </xdr:cNvSpPr>
      </xdr:nvSpPr>
      <xdr:spPr bwMode="auto">
        <a:xfrm>
          <a:off x="13411200" y="53934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629" name="AutoShape 1509" descr="USA"/>
        <xdr:cNvSpPr>
          <a:spLocks noChangeAspect="1" noChangeArrowheads="1"/>
        </xdr:cNvSpPr>
      </xdr:nvSpPr>
      <xdr:spPr bwMode="auto">
        <a:xfrm>
          <a:off x="0" y="54185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630" name="AutoShape 1510" descr="https://www.soccerstats.com/img/own/sshplogo.png">
          <a:hlinkClick xmlns:r="http://schemas.openxmlformats.org/officeDocument/2006/relationships" r:id="rId922"/>
        </xdr:cNvPr>
        <xdr:cNvSpPr>
          <a:spLocks noChangeAspect="1" noChangeArrowheads="1"/>
        </xdr:cNvSpPr>
      </xdr:nvSpPr>
      <xdr:spPr bwMode="auto">
        <a:xfrm>
          <a:off x="13411200" y="54185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631" name="AutoShape 1511" descr="USA"/>
        <xdr:cNvSpPr>
          <a:spLocks noChangeAspect="1" noChangeArrowheads="1"/>
        </xdr:cNvSpPr>
      </xdr:nvSpPr>
      <xdr:spPr bwMode="auto">
        <a:xfrm>
          <a:off x="0" y="54437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632" name="AutoShape 1512" descr="https://www.soccerstats.com/img/own/sshplogo.png">
          <a:hlinkClick xmlns:r="http://schemas.openxmlformats.org/officeDocument/2006/relationships" r:id="rId923"/>
        </xdr:cNvPr>
        <xdr:cNvSpPr>
          <a:spLocks noChangeAspect="1" noChangeArrowheads="1"/>
        </xdr:cNvSpPr>
      </xdr:nvSpPr>
      <xdr:spPr bwMode="auto">
        <a:xfrm>
          <a:off x="13411200" y="54437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633" name="AutoShape 1513" descr="USA"/>
        <xdr:cNvSpPr>
          <a:spLocks noChangeAspect="1" noChangeArrowheads="1"/>
        </xdr:cNvSpPr>
      </xdr:nvSpPr>
      <xdr:spPr bwMode="auto">
        <a:xfrm>
          <a:off x="0" y="54612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634" name="AutoShape 1514" descr="https://www.soccerstats.com/img/own/sshplogo.png">
          <a:hlinkClick xmlns:r="http://schemas.openxmlformats.org/officeDocument/2006/relationships" r:id="rId924"/>
        </xdr:cNvPr>
        <xdr:cNvSpPr>
          <a:spLocks noChangeAspect="1" noChangeArrowheads="1"/>
        </xdr:cNvSpPr>
      </xdr:nvSpPr>
      <xdr:spPr bwMode="auto">
        <a:xfrm>
          <a:off x="13411200" y="54612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635" name="AutoShape 1515" descr="USA2"/>
        <xdr:cNvSpPr>
          <a:spLocks noChangeAspect="1" noChangeArrowheads="1"/>
        </xdr:cNvSpPr>
      </xdr:nvSpPr>
      <xdr:spPr bwMode="auto">
        <a:xfrm>
          <a:off x="0" y="54864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636" name="AutoShape 1516" descr="https://www.soccerstats.com/img/own/sshplogo.png">
          <a:hlinkClick xmlns:r="http://schemas.openxmlformats.org/officeDocument/2006/relationships" r:id="rId925"/>
        </xdr:cNvPr>
        <xdr:cNvSpPr>
          <a:spLocks noChangeAspect="1" noChangeArrowheads="1"/>
        </xdr:cNvSpPr>
      </xdr:nvSpPr>
      <xdr:spPr bwMode="auto">
        <a:xfrm>
          <a:off x="13411200" y="5486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637" name="AutoShape 1517" descr="USA2"/>
        <xdr:cNvSpPr>
          <a:spLocks noChangeAspect="1" noChangeArrowheads="1"/>
        </xdr:cNvSpPr>
      </xdr:nvSpPr>
      <xdr:spPr bwMode="auto">
        <a:xfrm>
          <a:off x="0" y="55115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638" name="AutoShape 1518" descr="https://www.soccerstats.com/img/own/sshplogo.png">
          <a:hlinkClick xmlns:r="http://schemas.openxmlformats.org/officeDocument/2006/relationships" r:id="rId926"/>
        </xdr:cNvPr>
        <xdr:cNvSpPr>
          <a:spLocks noChangeAspect="1" noChangeArrowheads="1"/>
        </xdr:cNvSpPr>
      </xdr:nvSpPr>
      <xdr:spPr bwMode="auto">
        <a:xfrm>
          <a:off x="13411200" y="55115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639" name="AutoShape 1519" descr="USA2"/>
        <xdr:cNvSpPr>
          <a:spLocks noChangeAspect="1" noChangeArrowheads="1"/>
        </xdr:cNvSpPr>
      </xdr:nvSpPr>
      <xdr:spPr bwMode="auto">
        <a:xfrm>
          <a:off x="0" y="55290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640" name="AutoShape 1520" descr="https://www.soccerstats.com/img/own/sshplogo.png">
          <a:hlinkClick xmlns:r="http://schemas.openxmlformats.org/officeDocument/2006/relationships" r:id="rId927"/>
        </xdr:cNvPr>
        <xdr:cNvSpPr>
          <a:spLocks noChangeAspect="1" noChangeArrowheads="1"/>
        </xdr:cNvSpPr>
      </xdr:nvSpPr>
      <xdr:spPr bwMode="auto">
        <a:xfrm>
          <a:off x="13411200" y="55290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641" name="AutoShape 1521" descr="USA2"/>
        <xdr:cNvSpPr>
          <a:spLocks noChangeAspect="1" noChangeArrowheads="1"/>
        </xdr:cNvSpPr>
      </xdr:nvSpPr>
      <xdr:spPr bwMode="auto">
        <a:xfrm>
          <a:off x="0" y="55465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642" name="AutoShape 1522" descr="https://www.soccerstats.com/img/own/sshplogo.png">
          <a:hlinkClick xmlns:r="http://schemas.openxmlformats.org/officeDocument/2006/relationships" r:id="rId928"/>
        </xdr:cNvPr>
        <xdr:cNvSpPr>
          <a:spLocks noChangeAspect="1" noChangeArrowheads="1"/>
        </xdr:cNvSpPr>
      </xdr:nvSpPr>
      <xdr:spPr bwMode="auto">
        <a:xfrm>
          <a:off x="13411200" y="55465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643" name="AutoShape 1523" descr="USA2"/>
        <xdr:cNvSpPr>
          <a:spLocks noChangeAspect="1" noChangeArrowheads="1"/>
        </xdr:cNvSpPr>
      </xdr:nvSpPr>
      <xdr:spPr bwMode="auto">
        <a:xfrm>
          <a:off x="0" y="55717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644" name="AutoShape 1524" descr="https://www.soccerstats.com/img/own/sshplogo.png">
          <a:hlinkClick xmlns:r="http://schemas.openxmlformats.org/officeDocument/2006/relationships" r:id="rId929"/>
        </xdr:cNvPr>
        <xdr:cNvSpPr>
          <a:spLocks noChangeAspect="1" noChangeArrowheads="1"/>
        </xdr:cNvSpPr>
      </xdr:nvSpPr>
      <xdr:spPr bwMode="auto">
        <a:xfrm>
          <a:off x="13411200" y="55717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645" name="AutoShape 1525" descr="USA2"/>
        <xdr:cNvSpPr>
          <a:spLocks noChangeAspect="1" noChangeArrowheads="1"/>
        </xdr:cNvSpPr>
      </xdr:nvSpPr>
      <xdr:spPr bwMode="auto">
        <a:xfrm>
          <a:off x="0" y="55968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646" name="AutoShape 1526" descr="https://www.soccerstats.com/img/own/sshplogo.png">
          <a:hlinkClick xmlns:r="http://schemas.openxmlformats.org/officeDocument/2006/relationships" r:id="rId930"/>
        </xdr:cNvPr>
        <xdr:cNvSpPr>
          <a:spLocks noChangeAspect="1" noChangeArrowheads="1"/>
        </xdr:cNvSpPr>
      </xdr:nvSpPr>
      <xdr:spPr bwMode="auto">
        <a:xfrm>
          <a:off x="13411200" y="5596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647" name="AutoShape 1527" descr="USA2"/>
        <xdr:cNvSpPr>
          <a:spLocks noChangeAspect="1" noChangeArrowheads="1"/>
        </xdr:cNvSpPr>
      </xdr:nvSpPr>
      <xdr:spPr bwMode="auto">
        <a:xfrm>
          <a:off x="0" y="56144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648" name="AutoShape 1528" descr="https://www.soccerstats.com/img/own/sshplogo.png">
          <a:hlinkClick xmlns:r="http://schemas.openxmlformats.org/officeDocument/2006/relationships" r:id="rId931"/>
        </xdr:cNvPr>
        <xdr:cNvSpPr>
          <a:spLocks noChangeAspect="1" noChangeArrowheads="1"/>
        </xdr:cNvSpPr>
      </xdr:nvSpPr>
      <xdr:spPr bwMode="auto">
        <a:xfrm>
          <a:off x="13411200" y="56144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649" name="AutoShape 1529" descr="USA3"/>
        <xdr:cNvSpPr>
          <a:spLocks noChangeAspect="1" noChangeArrowheads="1"/>
        </xdr:cNvSpPr>
      </xdr:nvSpPr>
      <xdr:spPr bwMode="auto">
        <a:xfrm>
          <a:off x="0" y="56395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650" name="AutoShape 1530" descr="https://www.soccerstats.com/img/own/sshplogo.png">
          <a:hlinkClick xmlns:r="http://schemas.openxmlformats.org/officeDocument/2006/relationships" r:id="rId932"/>
        </xdr:cNvPr>
        <xdr:cNvSpPr>
          <a:spLocks noChangeAspect="1" noChangeArrowheads="1"/>
        </xdr:cNvSpPr>
      </xdr:nvSpPr>
      <xdr:spPr bwMode="auto">
        <a:xfrm>
          <a:off x="13411200" y="56395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651" name="AutoShape 1531" descr="USA3"/>
        <xdr:cNvSpPr>
          <a:spLocks noChangeAspect="1" noChangeArrowheads="1"/>
        </xdr:cNvSpPr>
      </xdr:nvSpPr>
      <xdr:spPr bwMode="auto">
        <a:xfrm>
          <a:off x="0" y="56647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652" name="AutoShape 1532" descr="https://www.soccerstats.com/img/own/sshplogo.png">
          <a:hlinkClick xmlns:r="http://schemas.openxmlformats.org/officeDocument/2006/relationships" r:id="rId933"/>
        </xdr:cNvPr>
        <xdr:cNvSpPr>
          <a:spLocks noChangeAspect="1" noChangeArrowheads="1"/>
        </xdr:cNvSpPr>
      </xdr:nvSpPr>
      <xdr:spPr bwMode="auto">
        <a:xfrm>
          <a:off x="13411200" y="56647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653" name="AutoShape 1533" descr="USA3"/>
        <xdr:cNvSpPr>
          <a:spLocks noChangeAspect="1" noChangeArrowheads="1"/>
        </xdr:cNvSpPr>
      </xdr:nvSpPr>
      <xdr:spPr bwMode="auto">
        <a:xfrm>
          <a:off x="0" y="56898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654" name="AutoShape 1534" descr="https://www.soccerstats.com/img/own/sshplogo.png">
          <a:hlinkClick xmlns:r="http://schemas.openxmlformats.org/officeDocument/2006/relationships" r:id="rId934"/>
        </xdr:cNvPr>
        <xdr:cNvSpPr>
          <a:spLocks noChangeAspect="1" noChangeArrowheads="1"/>
        </xdr:cNvSpPr>
      </xdr:nvSpPr>
      <xdr:spPr bwMode="auto">
        <a:xfrm>
          <a:off x="13411200" y="56898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655" name="AutoShape 1535" descr="USA6"/>
        <xdr:cNvSpPr>
          <a:spLocks noChangeAspect="1" noChangeArrowheads="1"/>
        </xdr:cNvSpPr>
      </xdr:nvSpPr>
      <xdr:spPr bwMode="auto">
        <a:xfrm>
          <a:off x="0" y="57150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656" name="AutoShape 1536" descr="https://www.soccerstats.com/img/own/sshplogo.png">
          <a:hlinkClick xmlns:r="http://schemas.openxmlformats.org/officeDocument/2006/relationships" r:id="rId935"/>
        </xdr:cNvPr>
        <xdr:cNvSpPr>
          <a:spLocks noChangeAspect="1" noChangeArrowheads="1"/>
        </xdr:cNvSpPr>
      </xdr:nvSpPr>
      <xdr:spPr bwMode="auto">
        <a:xfrm>
          <a:off x="13411200" y="571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657" name="AutoShape 1537" descr="USA6"/>
        <xdr:cNvSpPr>
          <a:spLocks noChangeAspect="1" noChangeArrowheads="1"/>
        </xdr:cNvSpPr>
      </xdr:nvSpPr>
      <xdr:spPr bwMode="auto">
        <a:xfrm>
          <a:off x="0" y="57401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658" name="AutoShape 1538" descr="https://www.soccerstats.com/img/own/sshplogo.png">
          <a:hlinkClick xmlns:r="http://schemas.openxmlformats.org/officeDocument/2006/relationships" r:id="rId936"/>
        </xdr:cNvPr>
        <xdr:cNvSpPr>
          <a:spLocks noChangeAspect="1" noChangeArrowheads="1"/>
        </xdr:cNvSpPr>
      </xdr:nvSpPr>
      <xdr:spPr bwMode="auto">
        <a:xfrm>
          <a:off x="13411200" y="57401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659" name="AutoShape 1539" descr="USA7"/>
        <xdr:cNvSpPr>
          <a:spLocks noChangeAspect="1" noChangeArrowheads="1"/>
        </xdr:cNvSpPr>
      </xdr:nvSpPr>
      <xdr:spPr bwMode="auto">
        <a:xfrm>
          <a:off x="0" y="57652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660" name="AutoShape 1540" descr="https://www.soccerstats.com/img/own/sshplogo.png">
          <a:hlinkClick xmlns:r="http://schemas.openxmlformats.org/officeDocument/2006/relationships" r:id="rId937"/>
        </xdr:cNvPr>
        <xdr:cNvSpPr>
          <a:spLocks noChangeAspect="1" noChangeArrowheads="1"/>
        </xdr:cNvSpPr>
      </xdr:nvSpPr>
      <xdr:spPr bwMode="auto">
        <a:xfrm>
          <a:off x="13411200" y="57652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661" name="AutoShape 1541" descr="SPAIN"/>
        <xdr:cNvSpPr>
          <a:spLocks noChangeAspect="1" noChangeArrowheads="1"/>
        </xdr:cNvSpPr>
      </xdr:nvSpPr>
      <xdr:spPr bwMode="auto">
        <a:xfrm>
          <a:off x="0" y="175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662" name="AutoShape 1542" descr="https://www.soccerstats.com/img/own/sshplogo.png">
          <a:hlinkClick xmlns:r="http://schemas.openxmlformats.org/officeDocument/2006/relationships" r:id="rId659"/>
        </xdr:cNvPr>
        <xdr:cNvSpPr>
          <a:spLocks noChangeAspect="1" noChangeArrowheads="1"/>
        </xdr:cNvSpPr>
      </xdr:nvSpPr>
      <xdr:spPr bwMode="auto">
        <a:xfrm>
          <a:off x="13411200" y="175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152400</xdr:colOff>
      <xdr:row>2</xdr:row>
      <xdr:rowOff>106680</xdr:rowOff>
    </xdr:to>
    <xdr:sp macro="" textlink="">
      <xdr:nvSpPr>
        <xdr:cNvPr id="6663" name="AutoShape 1543" descr="SPAIN"/>
        <xdr:cNvSpPr>
          <a:spLocks noChangeAspect="1" noChangeArrowheads="1"/>
        </xdr:cNvSpPr>
      </xdr:nvSpPr>
      <xdr:spPr bwMode="auto">
        <a:xfrm>
          <a:off x="0" y="350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</xdr:row>
      <xdr:rowOff>0</xdr:rowOff>
    </xdr:from>
    <xdr:to>
      <xdr:col>22</xdr:col>
      <xdr:colOff>304800</xdr:colOff>
      <xdr:row>3</xdr:row>
      <xdr:rowOff>129540</xdr:rowOff>
    </xdr:to>
    <xdr:sp macro="" textlink="">
      <xdr:nvSpPr>
        <xdr:cNvPr id="6664" name="AutoShape 1544" descr="https://www.soccerstats.com/img/own/sshplogo.png">
          <a:hlinkClick xmlns:r="http://schemas.openxmlformats.org/officeDocument/2006/relationships" r:id="rId660"/>
        </xdr:cNvPr>
        <xdr:cNvSpPr>
          <a:spLocks noChangeAspect="1" noChangeArrowheads="1"/>
        </xdr:cNvSpPr>
      </xdr:nvSpPr>
      <xdr:spPr bwMode="auto">
        <a:xfrm>
          <a:off x="13411200" y="350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152400</xdr:colOff>
      <xdr:row>3</xdr:row>
      <xdr:rowOff>106680</xdr:rowOff>
    </xdr:to>
    <xdr:sp macro="" textlink="">
      <xdr:nvSpPr>
        <xdr:cNvPr id="6665" name="AutoShape 1545" descr="SPAIN"/>
        <xdr:cNvSpPr>
          <a:spLocks noChangeAspect="1" noChangeArrowheads="1"/>
        </xdr:cNvSpPr>
      </xdr:nvSpPr>
      <xdr:spPr bwMode="auto">
        <a:xfrm>
          <a:off x="0" y="525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</xdr:row>
      <xdr:rowOff>0</xdr:rowOff>
    </xdr:from>
    <xdr:to>
      <xdr:col>22</xdr:col>
      <xdr:colOff>304800</xdr:colOff>
      <xdr:row>4</xdr:row>
      <xdr:rowOff>53340</xdr:rowOff>
    </xdr:to>
    <xdr:sp macro="" textlink="">
      <xdr:nvSpPr>
        <xdr:cNvPr id="6666" name="AutoShape 1546" descr="https://www.soccerstats.com/img/own/sshplogo.png">
          <a:hlinkClick xmlns:r="http://schemas.openxmlformats.org/officeDocument/2006/relationships" r:id="rId661"/>
        </xdr:cNvPr>
        <xdr:cNvSpPr>
          <a:spLocks noChangeAspect="1" noChangeArrowheads="1"/>
        </xdr:cNvSpPr>
      </xdr:nvSpPr>
      <xdr:spPr bwMode="auto">
        <a:xfrm>
          <a:off x="13411200" y="525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152400</xdr:colOff>
      <xdr:row>4</xdr:row>
      <xdr:rowOff>106680</xdr:rowOff>
    </xdr:to>
    <xdr:sp macro="" textlink="">
      <xdr:nvSpPr>
        <xdr:cNvPr id="6667" name="AutoShape 1547" descr="NETHERLANDS"/>
        <xdr:cNvSpPr>
          <a:spLocks noChangeAspect="1" noChangeArrowheads="1"/>
        </xdr:cNvSpPr>
      </xdr:nvSpPr>
      <xdr:spPr bwMode="auto">
        <a:xfrm>
          <a:off x="0" y="701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</xdr:row>
      <xdr:rowOff>0</xdr:rowOff>
    </xdr:from>
    <xdr:to>
      <xdr:col>22</xdr:col>
      <xdr:colOff>304800</xdr:colOff>
      <xdr:row>5</xdr:row>
      <xdr:rowOff>53340</xdr:rowOff>
    </xdr:to>
    <xdr:sp macro="" textlink="">
      <xdr:nvSpPr>
        <xdr:cNvPr id="6668" name="AutoShape 1548" descr="https://www.soccerstats.com/img/own/sshplogo.png">
          <a:hlinkClick xmlns:r="http://schemas.openxmlformats.org/officeDocument/2006/relationships" r:id="rId662"/>
        </xdr:cNvPr>
        <xdr:cNvSpPr>
          <a:spLocks noChangeAspect="1" noChangeArrowheads="1"/>
        </xdr:cNvSpPr>
      </xdr:nvSpPr>
      <xdr:spPr bwMode="auto">
        <a:xfrm>
          <a:off x="13411200" y="701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152400</xdr:colOff>
      <xdr:row>5</xdr:row>
      <xdr:rowOff>106680</xdr:rowOff>
    </xdr:to>
    <xdr:sp macro="" textlink="">
      <xdr:nvSpPr>
        <xdr:cNvPr id="6669" name="AutoShape 1549" descr="NETHERLANDS"/>
        <xdr:cNvSpPr>
          <a:spLocks noChangeAspect="1" noChangeArrowheads="1"/>
        </xdr:cNvSpPr>
      </xdr:nvSpPr>
      <xdr:spPr bwMode="auto">
        <a:xfrm>
          <a:off x="0" y="952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</xdr:row>
      <xdr:rowOff>0</xdr:rowOff>
    </xdr:from>
    <xdr:to>
      <xdr:col>22</xdr:col>
      <xdr:colOff>304800</xdr:colOff>
      <xdr:row>6</xdr:row>
      <xdr:rowOff>53340</xdr:rowOff>
    </xdr:to>
    <xdr:sp macro="" textlink="">
      <xdr:nvSpPr>
        <xdr:cNvPr id="6670" name="AutoShape 1550" descr="https://www.soccerstats.com/img/own/sshplogo.png">
          <a:hlinkClick xmlns:r="http://schemas.openxmlformats.org/officeDocument/2006/relationships" r:id="rId663"/>
        </xdr:cNvPr>
        <xdr:cNvSpPr>
          <a:spLocks noChangeAspect="1" noChangeArrowheads="1"/>
        </xdr:cNvSpPr>
      </xdr:nvSpPr>
      <xdr:spPr bwMode="auto">
        <a:xfrm>
          <a:off x="13411200" y="952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152400</xdr:colOff>
      <xdr:row>6</xdr:row>
      <xdr:rowOff>106680</xdr:rowOff>
    </xdr:to>
    <xdr:sp macro="" textlink="">
      <xdr:nvSpPr>
        <xdr:cNvPr id="6671" name="AutoShape 1551" descr="NETHERLANDS"/>
        <xdr:cNvSpPr>
          <a:spLocks noChangeAspect="1" noChangeArrowheads="1"/>
        </xdr:cNvSpPr>
      </xdr:nvSpPr>
      <xdr:spPr bwMode="auto">
        <a:xfrm>
          <a:off x="0" y="1127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</xdr:row>
      <xdr:rowOff>0</xdr:rowOff>
    </xdr:from>
    <xdr:to>
      <xdr:col>22</xdr:col>
      <xdr:colOff>304800</xdr:colOff>
      <xdr:row>7</xdr:row>
      <xdr:rowOff>129540</xdr:rowOff>
    </xdr:to>
    <xdr:sp macro="" textlink="">
      <xdr:nvSpPr>
        <xdr:cNvPr id="6672" name="AutoShape 1552" descr="https://www.soccerstats.com/img/own/sshplogo.png">
          <a:hlinkClick xmlns:r="http://schemas.openxmlformats.org/officeDocument/2006/relationships" r:id="rId664"/>
        </xdr:cNvPr>
        <xdr:cNvSpPr>
          <a:spLocks noChangeAspect="1" noChangeArrowheads="1"/>
        </xdr:cNvSpPr>
      </xdr:nvSpPr>
      <xdr:spPr bwMode="auto">
        <a:xfrm>
          <a:off x="13411200" y="1127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152400</xdr:colOff>
      <xdr:row>7</xdr:row>
      <xdr:rowOff>106680</xdr:rowOff>
    </xdr:to>
    <xdr:sp macro="" textlink="">
      <xdr:nvSpPr>
        <xdr:cNvPr id="6673" name="AutoShape 1553" descr="NETHERLANDS"/>
        <xdr:cNvSpPr>
          <a:spLocks noChangeAspect="1" noChangeArrowheads="1"/>
        </xdr:cNvSpPr>
      </xdr:nvSpPr>
      <xdr:spPr bwMode="auto">
        <a:xfrm>
          <a:off x="0" y="1379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</xdr:row>
      <xdr:rowOff>0</xdr:rowOff>
    </xdr:from>
    <xdr:to>
      <xdr:col>22</xdr:col>
      <xdr:colOff>304800</xdr:colOff>
      <xdr:row>8</xdr:row>
      <xdr:rowOff>129540</xdr:rowOff>
    </xdr:to>
    <xdr:sp macro="" textlink="">
      <xdr:nvSpPr>
        <xdr:cNvPr id="6674" name="AutoShape 1554" descr="https://www.soccerstats.com/img/own/sshplogo.png">
          <a:hlinkClick xmlns:r="http://schemas.openxmlformats.org/officeDocument/2006/relationships" r:id="rId665"/>
        </xdr:cNvPr>
        <xdr:cNvSpPr>
          <a:spLocks noChangeAspect="1" noChangeArrowheads="1"/>
        </xdr:cNvSpPr>
      </xdr:nvSpPr>
      <xdr:spPr bwMode="auto">
        <a:xfrm>
          <a:off x="13411200" y="1379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152400</xdr:colOff>
      <xdr:row>8</xdr:row>
      <xdr:rowOff>106680</xdr:rowOff>
    </xdr:to>
    <xdr:sp macro="" textlink="">
      <xdr:nvSpPr>
        <xdr:cNvPr id="6675" name="AutoShape 1555" descr="PORTUGAL"/>
        <xdr:cNvSpPr>
          <a:spLocks noChangeAspect="1" noChangeArrowheads="1"/>
        </xdr:cNvSpPr>
      </xdr:nvSpPr>
      <xdr:spPr bwMode="auto">
        <a:xfrm>
          <a:off x="0" y="1630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</xdr:row>
      <xdr:rowOff>0</xdr:rowOff>
    </xdr:from>
    <xdr:to>
      <xdr:col>22</xdr:col>
      <xdr:colOff>304800</xdr:colOff>
      <xdr:row>9</xdr:row>
      <xdr:rowOff>129540</xdr:rowOff>
    </xdr:to>
    <xdr:sp macro="" textlink="">
      <xdr:nvSpPr>
        <xdr:cNvPr id="6676" name="AutoShape 1556" descr="https://www.soccerstats.com/img/own/sshplogo.png">
          <a:hlinkClick xmlns:r="http://schemas.openxmlformats.org/officeDocument/2006/relationships" r:id="rId666"/>
        </xdr:cNvPr>
        <xdr:cNvSpPr>
          <a:spLocks noChangeAspect="1" noChangeArrowheads="1"/>
        </xdr:cNvSpPr>
      </xdr:nvSpPr>
      <xdr:spPr bwMode="auto">
        <a:xfrm>
          <a:off x="13411200" y="1630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152400</xdr:colOff>
      <xdr:row>9</xdr:row>
      <xdr:rowOff>106680</xdr:rowOff>
    </xdr:to>
    <xdr:sp macro="" textlink="">
      <xdr:nvSpPr>
        <xdr:cNvPr id="6677" name="AutoShape 1557" descr="PORTUGAL"/>
        <xdr:cNvSpPr>
          <a:spLocks noChangeAspect="1" noChangeArrowheads="1"/>
        </xdr:cNvSpPr>
      </xdr:nvSpPr>
      <xdr:spPr bwMode="auto">
        <a:xfrm>
          <a:off x="0" y="1805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</xdr:row>
      <xdr:rowOff>0</xdr:rowOff>
    </xdr:from>
    <xdr:to>
      <xdr:col>22</xdr:col>
      <xdr:colOff>304800</xdr:colOff>
      <xdr:row>10</xdr:row>
      <xdr:rowOff>129540</xdr:rowOff>
    </xdr:to>
    <xdr:sp macro="" textlink="">
      <xdr:nvSpPr>
        <xdr:cNvPr id="6678" name="AutoShape 1558" descr="https://www.soccerstats.com/img/own/sshplogo.png">
          <a:hlinkClick xmlns:r="http://schemas.openxmlformats.org/officeDocument/2006/relationships" r:id="rId667"/>
        </xdr:cNvPr>
        <xdr:cNvSpPr>
          <a:spLocks noChangeAspect="1" noChangeArrowheads="1"/>
        </xdr:cNvSpPr>
      </xdr:nvSpPr>
      <xdr:spPr bwMode="auto">
        <a:xfrm>
          <a:off x="13411200" y="1805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152400</xdr:colOff>
      <xdr:row>10</xdr:row>
      <xdr:rowOff>106680</xdr:rowOff>
    </xdr:to>
    <xdr:sp macro="" textlink="">
      <xdr:nvSpPr>
        <xdr:cNvPr id="6679" name="AutoShape 1559" descr="PORTUGAL"/>
        <xdr:cNvSpPr>
          <a:spLocks noChangeAspect="1" noChangeArrowheads="1"/>
        </xdr:cNvSpPr>
      </xdr:nvSpPr>
      <xdr:spPr bwMode="auto">
        <a:xfrm>
          <a:off x="0" y="1981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</xdr:row>
      <xdr:rowOff>0</xdr:rowOff>
    </xdr:from>
    <xdr:to>
      <xdr:col>22</xdr:col>
      <xdr:colOff>304800</xdr:colOff>
      <xdr:row>11</xdr:row>
      <xdr:rowOff>129540</xdr:rowOff>
    </xdr:to>
    <xdr:sp macro="" textlink="">
      <xdr:nvSpPr>
        <xdr:cNvPr id="6680" name="AutoShape 1560" descr="https://www.soccerstats.com/img/own/sshplogo.png">
          <a:hlinkClick xmlns:r="http://schemas.openxmlformats.org/officeDocument/2006/relationships" r:id="rId668"/>
        </xdr:cNvPr>
        <xdr:cNvSpPr>
          <a:spLocks noChangeAspect="1" noChangeArrowheads="1"/>
        </xdr:cNvSpPr>
      </xdr:nvSpPr>
      <xdr:spPr bwMode="auto">
        <a:xfrm>
          <a:off x="13411200" y="1981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152400</xdr:colOff>
      <xdr:row>11</xdr:row>
      <xdr:rowOff>106680</xdr:rowOff>
    </xdr:to>
    <xdr:sp macro="" textlink="">
      <xdr:nvSpPr>
        <xdr:cNvPr id="6681" name="AutoShape 1561" descr="PORTUGAL"/>
        <xdr:cNvSpPr>
          <a:spLocks noChangeAspect="1" noChangeArrowheads="1"/>
        </xdr:cNvSpPr>
      </xdr:nvSpPr>
      <xdr:spPr bwMode="auto">
        <a:xfrm>
          <a:off x="0" y="2156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</xdr:row>
      <xdr:rowOff>0</xdr:rowOff>
    </xdr:from>
    <xdr:to>
      <xdr:col>22</xdr:col>
      <xdr:colOff>304800</xdr:colOff>
      <xdr:row>12</xdr:row>
      <xdr:rowOff>129540</xdr:rowOff>
    </xdr:to>
    <xdr:sp macro="" textlink="">
      <xdr:nvSpPr>
        <xdr:cNvPr id="6682" name="AutoShape 1562" descr="https://www.soccerstats.com/img/own/sshplogo.png">
          <a:hlinkClick xmlns:r="http://schemas.openxmlformats.org/officeDocument/2006/relationships" r:id="rId669"/>
        </xdr:cNvPr>
        <xdr:cNvSpPr>
          <a:spLocks noChangeAspect="1" noChangeArrowheads="1"/>
        </xdr:cNvSpPr>
      </xdr:nvSpPr>
      <xdr:spPr bwMode="auto">
        <a:xfrm>
          <a:off x="13411200" y="2156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152400</xdr:colOff>
      <xdr:row>12</xdr:row>
      <xdr:rowOff>106680</xdr:rowOff>
    </xdr:to>
    <xdr:sp macro="" textlink="">
      <xdr:nvSpPr>
        <xdr:cNvPr id="6683" name="AutoShape 1563" descr="ENGLAND2"/>
        <xdr:cNvSpPr>
          <a:spLocks noChangeAspect="1" noChangeArrowheads="1"/>
        </xdr:cNvSpPr>
      </xdr:nvSpPr>
      <xdr:spPr bwMode="auto">
        <a:xfrm>
          <a:off x="0" y="2407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</xdr:row>
      <xdr:rowOff>0</xdr:rowOff>
    </xdr:from>
    <xdr:to>
      <xdr:col>22</xdr:col>
      <xdr:colOff>304800</xdr:colOff>
      <xdr:row>13</xdr:row>
      <xdr:rowOff>53340</xdr:rowOff>
    </xdr:to>
    <xdr:sp macro="" textlink="">
      <xdr:nvSpPr>
        <xdr:cNvPr id="6684" name="AutoShape 1564" descr="https://www.soccerstats.com/img/own/sshplogo.png">
          <a:hlinkClick xmlns:r="http://schemas.openxmlformats.org/officeDocument/2006/relationships" r:id="rId670"/>
        </xdr:cNvPr>
        <xdr:cNvSpPr>
          <a:spLocks noChangeAspect="1" noChangeArrowheads="1"/>
        </xdr:cNvSpPr>
      </xdr:nvSpPr>
      <xdr:spPr bwMode="auto">
        <a:xfrm>
          <a:off x="13411200" y="2407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152400</xdr:colOff>
      <xdr:row>13</xdr:row>
      <xdr:rowOff>106680</xdr:rowOff>
    </xdr:to>
    <xdr:sp macro="" textlink="">
      <xdr:nvSpPr>
        <xdr:cNvPr id="6685" name="AutoShape 1565" descr="ENGLAND2"/>
        <xdr:cNvSpPr>
          <a:spLocks noChangeAspect="1" noChangeArrowheads="1"/>
        </xdr:cNvSpPr>
      </xdr:nvSpPr>
      <xdr:spPr bwMode="auto">
        <a:xfrm>
          <a:off x="0" y="2583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</xdr:row>
      <xdr:rowOff>0</xdr:rowOff>
    </xdr:from>
    <xdr:to>
      <xdr:col>22</xdr:col>
      <xdr:colOff>304800</xdr:colOff>
      <xdr:row>14</xdr:row>
      <xdr:rowOff>129540</xdr:rowOff>
    </xdr:to>
    <xdr:sp macro="" textlink="">
      <xdr:nvSpPr>
        <xdr:cNvPr id="6686" name="AutoShape 1566" descr="https://www.soccerstats.com/img/own/sshplogo.png">
          <a:hlinkClick xmlns:r="http://schemas.openxmlformats.org/officeDocument/2006/relationships" r:id="rId671"/>
        </xdr:cNvPr>
        <xdr:cNvSpPr>
          <a:spLocks noChangeAspect="1" noChangeArrowheads="1"/>
        </xdr:cNvSpPr>
      </xdr:nvSpPr>
      <xdr:spPr bwMode="auto">
        <a:xfrm>
          <a:off x="13411200" y="2583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152400</xdr:colOff>
      <xdr:row>14</xdr:row>
      <xdr:rowOff>106680</xdr:rowOff>
    </xdr:to>
    <xdr:sp macro="" textlink="">
      <xdr:nvSpPr>
        <xdr:cNvPr id="6687" name="AutoShape 1567" descr="SPAIN2"/>
        <xdr:cNvSpPr>
          <a:spLocks noChangeAspect="1" noChangeArrowheads="1"/>
        </xdr:cNvSpPr>
      </xdr:nvSpPr>
      <xdr:spPr bwMode="auto">
        <a:xfrm>
          <a:off x="0" y="2834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</xdr:row>
      <xdr:rowOff>0</xdr:rowOff>
    </xdr:from>
    <xdr:to>
      <xdr:col>22</xdr:col>
      <xdr:colOff>304800</xdr:colOff>
      <xdr:row>15</xdr:row>
      <xdr:rowOff>53340</xdr:rowOff>
    </xdr:to>
    <xdr:sp macro="" textlink="">
      <xdr:nvSpPr>
        <xdr:cNvPr id="6688" name="AutoShape 1568" descr="https://www.soccerstats.com/img/own/sshplogo.png">
          <a:hlinkClick xmlns:r="http://schemas.openxmlformats.org/officeDocument/2006/relationships" r:id="rId672"/>
        </xdr:cNvPr>
        <xdr:cNvSpPr>
          <a:spLocks noChangeAspect="1" noChangeArrowheads="1"/>
        </xdr:cNvSpPr>
      </xdr:nvSpPr>
      <xdr:spPr bwMode="auto">
        <a:xfrm>
          <a:off x="13411200" y="2834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152400</xdr:colOff>
      <xdr:row>15</xdr:row>
      <xdr:rowOff>106680</xdr:rowOff>
    </xdr:to>
    <xdr:sp macro="" textlink="">
      <xdr:nvSpPr>
        <xdr:cNvPr id="6689" name="AutoShape 1569" descr="SPAIN2"/>
        <xdr:cNvSpPr>
          <a:spLocks noChangeAspect="1" noChangeArrowheads="1"/>
        </xdr:cNvSpPr>
      </xdr:nvSpPr>
      <xdr:spPr bwMode="auto">
        <a:xfrm>
          <a:off x="0" y="3009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15</xdr:row>
      <xdr:rowOff>0</xdr:rowOff>
    </xdr:from>
    <xdr:to>
      <xdr:col>22</xdr:col>
      <xdr:colOff>304800</xdr:colOff>
      <xdr:row>16</xdr:row>
      <xdr:rowOff>129540</xdr:rowOff>
    </xdr:to>
    <xdr:sp macro="" textlink="">
      <xdr:nvSpPr>
        <xdr:cNvPr id="6690" name="AutoShape 1570" descr="https://www.soccerstats.com/img/own/sshplogo.png">
          <a:hlinkClick xmlns:r="http://schemas.openxmlformats.org/officeDocument/2006/relationships" r:id="rId673"/>
        </xdr:cNvPr>
        <xdr:cNvSpPr>
          <a:spLocks noChangeAspect="1" noChangeArrowheads="1"/>
        </xdr:cNvSpPr>
      </xdr:nvSpPr>
      <xdr:spPr bwMode="auto">
        <a:xfrm>
          <a:off x="13411200" y="3009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152400</xdr:colOff>
      <xdr:row>16</xdr:row>
      <xdr:rowOff>106680</xdr:rowOff>
    </xdr:to>
    <xdr:sp macro="" textlink="">
      <xdr:nvSpPr>
        <xdr:cNvPr id="6691" name="AutoShape 1571" descr="SPAIN2"/>
        <xdr:cNvSpPr>
          <a:spLocks noChangeAspect="1" noChangeArrowheads="1"/>
        </xdr:cNvSpPr>
      </xdr:nvSpPr>
      <xdr:spPr bwMode="auto">
        <a:xfrm>
          <a:off x="0" y="3185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16</xdr:row>
      <xdr:rowOff>0</xdr:rowOff>
    </xdr:from>
    <xdr:to>
      <xdr:col>22</xdr:col>
      <xdr:colOff>304800</xdr:colOff>
      <xdr:row>17</xdr:row>
      <xdr:rowOff>129540</xdr:rowOff>
    </xdr:to>
    <xdr:sp macro="" textlink="">
      <xdr:nvSpPr>
        <xdr:cNvPr id="6692" name="AutoShape 1572" descr="https://www.soccerstats.com/img/own/sshplogo.png">
          <a:hlinkClick xmlns:r="http://schemas.openxmlformats.org/officeDocument/2006/relationships" r:id="rId674"/>
        </xdr:cNvPr>
        <xdr:cNvSpPr>
          <a:spLocks noChangeAspect="1" noChangeArrowheads="1"/>
        </xdr:cNvSpPr>
      </xdr:nvSpPr>
      <xdr:spPr bwMode="auto">
        <a:xfrm>
          <a:off x="13411200" y="3185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152400</xdr:colOff>
      <xdr:row>17</xdr:row>
      <xdr:rowOff>106680</xdr:rowOff>
    </xdr:to>
    <xdr:sp macro="" textlink="">
      <xdr:nvSpPr>
        <xdr:cNvPr id="6693" name="AutoShape 1573" descr="SPAIN2"/>
        <xdr:cNvSpPr>
          <a:spLocks noChangeAspect="1" noChangeArrowheads="1"/>
        </xdr:cNvSpPr>
      </xdr:nvSpPr>
      <xdr:spPr bwMode="auto">
        <a:xfrm>
          <a:off x="0" y="3360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17</xdr:row>
      <xdr:rowOff>0</xdr:rowOff>
    </xdr:from>
    <xdr:to>
      <xdr:col>22</xdr:col>
      <xdr:colOff>304800</xdr:colOff>
      <xdr:row>18</xdr:row>
      <xdr:rowOff>53340</xdr:rowOff>
    </xdr:to>
    <xdr:sp macro="" textlink="">
      <xdr:nvSpPr>
        <xdr:cNvPr id="6694" name="AutoShape 1574" descr="https://www.soccerstats.com/img/own/sshplogo.png">
          <a:hlinkClick xmlns:r="http://schemas.openxmlformats.org/officeDocument/2006/relationships" r:id="rId675"/>
        </xdr:cNvPr>
        <xdr:cNvSpPr>
          <a:spLocks noChangeAspect="1" noChangeArrowheads="1"/>
        </xdr:cNvSpPr>
      </xdr:nvSpPr>
      <xdr:spPr bwMode="auto">
        <a:xfrm>
          <a:off x="13411200" y="3360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152400</xdr:colOff>
      <xdr:row>18</xdr:row>
      <xdr:rowOff>106680</xdr:rowOff>
    </xdr:to>
    <xdr:sp macro="" textlink="">
      <xdr:nvSpPr>
        <xdr:cNvPr id="6695" name="AutoShape 1575" descr="GERMANY2"/>
        <xdr:cNvSpPr>
          <a:spLocks noChangeAspect="1" noChangeArrowheads="1"/>
        </xdr:cNvSpPr>
      </xdr:nvSpPr>
      <xdr:spPr bwMode="auto">
        <a:xfrm>
          <a:off x="0" y="3535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18</xdr:row>
      <xdr:rowOff>0</xdr:rowOff>
    </xdr:from>
    <xdr:to>
      <xdr:col>22</xdr:col>
      <xdr:colOff>304800</xdr:colOff>
      <xdr:row>19</xdr:row>
      <xdr:rowOff>53340</xdr:rowOff>
    </xdr:to>
    <xdr:sp macro="" textlink="">
      <xdr:nvSpPr>
        <xdr:cNvPr id="6696" name="AutoShape 1576" descr="https://www.soccerstats.com/img/own/sshplogo.png">
          <a:hlinkClick xmlns:r="http://schemas.openxmlformats.org/officeDocument/2006/relationships" r:id="rId676"/>
        </xdr:cNvPr>
        <xdr:cNvSpPr>
          <a:spLocks noChangeAspect="1" noChangeArrowheads="1"/>
        </xdr:cNvSpPr>
      </xdr:nvSpPr>
      <xdr:spPr bwMode="auto">
        <a:xfrm>
          <a:off x="13411200" y="3535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152400</xdr:colOff>
      <xdr:row>19</xdr:row>
      <xdr:rowOff>106680</xdr:rowOff>
    </xdr:to>
    <xdr:sp macro="" textlink="">
      <xdr:nvSpPr>
        <xdr:cNvPr id="6697" name="AutoShape 1577" descr="GERMANY2"/>
        <xdr:cNvSpPr>
          <a:spLocks noChangeAspect="1" noChangeArrowheads="1"/>
        </xdr:cNvSpPr>
      </xdr:nvSpPr>
      <xdr:spPr bwMode="auto">
        <a:xfrm>
          <a:off x="0" y="3787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19</xdr:row>
      <xdr:rowOff>0</xdr:rowOff>
    </xdr:from>
    <xdr:to>
      <xdr:col>22</xdr:col>
      <xdr:colOff>304800</xdr:colOff>
      <xdr:row>20</xdr:row>
      <xdr:rowOff>129540</xdr:rowOff>
    </xdr:to>
    <xdr:sp macro="" textlink="">
      <xdr:nvSpPr>
        <xdr:cNvPr id="6698" name="AutoShape 1578" descr="https://www.soccerstats.com/img/own/sshplogo.png">
          <a:hlinkClick xmlns:r="http://schemas.openxmlformats.org/officeDocument/2006/relationships" r:id="rId677"/>
        </xdr:cNvPr>
        <xdr:cNvSpPr>
          <a:spLocks noChangeAspect="1" noChangeArrowheads="1"/>
        </xdr:cNvSpPr>
      </xdr:nvSpPr>
      <xdr:spPr bwMode="auto">
        <a:xfrm>
          <a:off x="13411200" y="3787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152400</xdr:colOff>
      <xdr:row>20</xdr:row>
      <xdr:rowOff>106680</xdr:rowOff>
    </xdr:to>
    <xdr:sp macro="" textlink="">
      <xdr:nvSpPr>
        <xdr:cNvPr id="6699" name="AutoShape 1579" descr="GERMANY2"/>
        <xdr:cNvSpPr>
          <a:spLocks noChangeAspect="1" noChangeArrowheads="1"/>
        </xdr:cNvSpPr>
      </xdr:nvSpPr>
      <xdr:spPr bwMode="auto">
        <a:xfrm>
          <a:off x="0" y="4038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20</xdr:row>
      <xdr:rowOff>0</xdr:rowOff>
    </xdr:from>
    <xdr:to>
      <xdr:col>22</xdr:col>
      <xdr:colOff>304800</xdr:colOff>
      <xdr:row>21</xdr:row>
      <xdr:rowOff>129540</xdr:rowOff>
    </xdr:to>
    <xdr:sp macro="" textlink="">
      <xdr:nvSpPr>
        <xdr:cNvPr id="6700" name="AutoShape 1580" descr="https://www.soccerstats.com/img/own/sshplogo.png">
          <a:hlinkClick xmlns:r="http://schemas.openxmlformats.org/officeDocument/2006/relationships" r:id="rId678"/>
        </xdr:cNvPr>
        <xdr:cNvSpPr>
          <a:spLocks noChangeAspect="1" noChangeArrowheads="1"/>
        </xdr:cNvSpPr>
      </xdr:nvSpPr>
      <xdr:spPr bwMode="auto">
        <a:xfrm>
          <a:off x="13411200" y="4038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152400</xdr:colOff>
      <xdr:row>21</xdr:row>
      <xdr:rowOff>106680</xdr:rowOff>
    </xdr:to>
    <xdr:sp macro="" textlink="">
      <xdr:nvSpPr>
        <xdr:cNvPr id="6701" name="AutoShape 1581" descr="ARGENTINA2"/>
        <xdr:cNvSpPr>
          <a:spLocks noChangeAspect="1" noChangeArrowheads="1"/>
        </xdr:cNvSpPr>
      </xdr:nvSpPr>
      <xdr:spPr bwMode="auto">
        <a:xfrm>
          <a:off x="0" y="4213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21</xdr:row>
      <xdr:rowOff>0</xdr:rowOff>
    </xdr:from>
    <xdr:to>
      <xdr:col>22</xdr:col>
      <xdr:colOff>304800</xdr:colOff>
      <xdr:row>22</xdr:row>
      <xdr:rowOff>53340</xdr:rowOff>
    </xdr:to>
    <xdr:sp macro="" textlink="">
      <xdr:nvSpPr>
        <xdr:cNvPr id="6702" name="AutoShape 1582" descr="https://www.soccerstats.com/img/own/sshplogo.png">
          <a:hlinkClick xmlns:r="http://schemas.openxmlformats.org/officeDocument/2006/relationships" r:id="rId679"/>
        </xdr:cNvPr>
        <xdr:cNvSpPr>
          <a:spLocks noChangeAspect="1" noChangeArrowheads="1"/>
        </xdr:cNvSpPr>
      </xdr:nvSpPr>
      <xdr:spPr bwMode="auto">
        <a:xfrm>
          <a:off x="13411200" y="4213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152400</xdr:colOff>
      <xdr:row>22</xdr:row>
      <xdr:rowOff>106680</xdr:rowOff>
    </xdr:to>
    <xdr:sp macro="" textlink="">
      <xdr:nvSpPr>
        <xdr:cNvPr id="6703" name="AutoShape 1583" descr="ARGENTINA2"/>
        <xdr:cNvSpPr>
          <a:spLocks noChangeAspect="1" noChangeArrowheads="1"/>
        </xdr:cNvSpPr>
      </xdr:nvSpPr>
      <xdr:spPr bwMode="auto">
        <a:xfrm>
          <a:off x="0" y="4389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22</xdr:row>
      <xdr:rowOff>0</xdr:rowOff>
    </xdr:from>
    <xdr:to>
      <xdr:col>22</xdr:col>
      <xdr:colOff>304800</xdr:colOff>
      <xdr:row>23</xdr:row>
      <xdr:rowOff>129540</xdr:rowOff>
    </xdr:to>
    <xdr:sp macro="" textlink="">
      <xdr:nvSpPr>
        <xdr:cNvPr id="6704" name="AutoShape 1584" descr="https://www.soccerstats.com/img/own/sshplogo.png">
          <a:hlinkClick xmlns:r="http://schemas.openxmlformats.org/officeDocument/2006/relationships" r:id="rId680"/>
        </xdr:cNvPr>
        <xdr:cNvSpPr>
          <a:spLocks noChangeAspect="1" noChangeArrowheads="1"/>
        </xdr:cNvSpPr>
      </xdr:nvSpPr>
      <xdr:spPr bwMode="auto">
        <a:xfrm>
          <a:off x="13411200" y="4389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152400</xdr:colOff>
      <xdr:row>23</xdr:row>
      <xdr:rowOff>106680</xdr:rowOff>
    </xdr:to>
    <xdr:sp macro="" textlink="">
      <xdr:nvSpPr>
        <xdr:cNvPr id="6705" name="AutoShape 1585" descr="ARGENTINA2"/>
        <xdr:cNvSpPr>
          <a:spLocks noChangeAspect="1" noChangeArrowheads="1"/>
        </xdr:cNvSpPr>
      </xdr:nvSpPr>
      <xdr:spPr bwMode="auto">
        <a:xfrm>
          <a:off x="0" y="4640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23</xdr:row>
      <xdr:rowOff>0</xdr:rowOff>
    </xdr:from>
    <xdr:to>
      <xdr:col>22</xdr:col>
      <xdr:colOff>304800</xdr:colOff>
      <xdr:row>24</xdr:row>
      <xdr:rowOff>129540</xdr:rowOff>
    </xdr:to>
    <xdr:sp macro="" textlink="">
      <xdr:nvSpPr>
        <xdr:cNvPr id="6706" name="AutoShape 1586" descr="https://www.soccerstats.com/img/own/sshplogo.png">
          <a:hlinkClick xmlns:r="http://schemas.openxmlformats.org/officeDocument/2006/relationships" r:id="rId681"/>
        </xdr:cNvPr>
        <xdr:cNvSpPr>
          <a:spLocks noChangeAspect="1" noChangeArrowheads="1"/>
        </xdr:cNvSpPr>
      </xdr:nvSpPr>
      <xdr:spPr bwMode="auto">
        <a:xfrm>
          <a:off x="13411200" y="4640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6707" name="AutoShape 1587" descr="ARGENTINA2"/>
        <xdr:cNvSpPr>
          <a:spLocks noChangeAspect="1" noChangeArrowheads="1"/>
        </xdr:cNvSpPr>
      </xdr:nvSpPr>
      <xdr:spPr bwMode="auto">
        <a:xfrm>
          <a:off x="0" y="4815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6708" name="AutoShape 1588" descr="https://www.soccerstats.com/img/own/sshplogo.png">
          <a:hlinkClick xmlns:r="http://schemas.openxmlformats.org/officeDocument/2006/relationships" r:id="rId682"/>
        </xdr:cNvPr>
        <xdr:cNvSpPr>
          <a:spLocks noChangeAspect="1" noChangeArrowheads="1"/>
        </xdr:cNvSpPr>
      </xdr:nvSpPr>
      <xdr:spPr bwMode="auto">
        <a:xfrm>
          <a:off x="13411200" y="4815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152400</xdr:colOff>
      <xdr:row>25</xdr:row>
      <xdr:rowOff>106680</xdr:rowOff>
    </xdr:to>
    <xdr:sp macro="" textlink="">
      <xdr:nvSpPr>
        <xdr:cNvPr id="6709" name="AutoShape 1589" descr="ARGENTINA2"/>
        <xdr:cNvSpPr>
          <a:spLocks noChangeAspect="1" noChangeArrowheads="1"/>
        </xdr:cNvSpPr>
      </xdr:nvSpPr>
      <xdr:spPr bwMode="auto">
        <a:xfrm>
          <a:off x="0" y="5067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25</xdr:row>
      <xdr:rowOff>0</xdr:rowOff>
    </xdr:from>
    <xdr:to>
      <xdr:col>22</xdr:col>
      <xdr:colOff>304800</xdr:colOff>
      <xdr:row>26</xdr:row>
      <xdr:rowOff>129540</xdr:rowOff>
    </xdr:to>
    <xdr:sp macro="" textlink="">
      <xdr:nvSpPr>
        <xdr:cNvPr id="6710" name="AutoShape 1590" descr="https://www.soccerstats.com/img/own/sshplogo.png">
          <a:hlinkClick xmlns:r="http://schemas.openxmlformats.org/officeDocument/2006/relationships" r:id="rId683"/>
        </xdr:cNvPr>
        <xdr:cNvSpPr>
          <a:spLocks noChangeAspect="1" noChangeArrowheads="1"/>
        </xdr:cNvSpPr>
      </xdr:nvSpPr>
      <xdr:spPr bwMode="auto">
        <a:xfrm>
          <a:off x="13411200" y="5067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152400</xdr:colOff>
      <xdr:row>26</xdr:row>
      <xdr:rowOff>106680</xdr:rowOff>
    </xdr:to>
    <xdr:sp macro="" textlink="">
      <xdr:nvSpPr>
        <xdr:cNvPr id="6711" name="AutoShape 1591" descr="ARGENTINA3"/>
        <xdr:cNvSpPr>
          <a:spLocks noChangeAspect="1" noChangeArrowheads="1"/>
        </xdr:cNvSpPr>
      </xdr:nvSpPr>
      <xdr:spPr bwMode="auto">
        <a:xfrm>
          <a:off x="0" y="5318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26</xdr:row>
      <xdr:rowOff>0</xdr:rowOff>
    </xdr:from>
    <xdr:to>
      <xdr:col>22</xdr:col>
      <xdr:colOff>304800</xdr:colOff>
      <xdr:row>27</xdr:row>
      <xdr:rowOff>53340</xdr:rowOff>
    </xdr:to>
    <xdr:sp macro="" textlink="">
      <xdr:nvSpPr>
        <xdr:cNvPr id="6712" name="AutoShape 1592" descr="https://www.soccerstats.com/img/own/sshplogo.png">
          <a:hlinkClick xmlns:r="http://schemas.openxmlformats.org/officeDocument/2006/relationships" r:id="rId684"/>
        </xdr:cNvPr>
        <xdr:cNvSpPr>
          <a:spLocks noChangeAspect="1" noChangeArrowheads="1"/>
        </xdr:cNvSpPr>
      </xdr:nvSpPr>
      <xdr:spPr bwMode="auto">
        <a:xfrm>
          <a:off x="13411200" y="5318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152400</xdr:colOff>
      <xdr:row>27</xdr:row>
      <xdr:rowOff>106680</xdr:rowOff>
    </xdr:to>
    <xdr:sp macro="" textlink="">
      <xdr:nvSpPr>
        <xdr:cNvPr id="6713" name="AutoShape 1593" descr="ARGENTINA3"/>
        <xdr:cNvSpPr>
          <a:spLocks noChangeAspect="1" noChangeArrowheads="1"/>
        </xdr:cNvSpPr>
      </xdr:nvSpPr>
      <xdr:spPr bwMode="auto">
        <a:xfrm>
          <a:off x="0" y="5570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27</xdr:row>
      <xdr:rowOff>0</xdr:rowOff>
    </xdr:from>
    <xdr:to>
      <xdr:col>22</xdr:col>
      <xdr:colOff>304800</xdr:colOff>
      <xdr:row>28</xdr:row>
      <xdr:rowOff>129540</xdr:rowOff>
    </xdr:to>
    <xdr:sp macro="" textlink="">
      <xdr:nvSpPr>
        <xdr:cNvPr id="6714" name="AutoShape 1594" descr="https://www.soccerstats.com/img/own/sshplogo.png">
          <a:hlinkClick xmlns:r="http://schemas.openxmlformats.org/officeDocument/2006/relationships" r:id="rId685"/>
        </xdr:cNvPr>
        <xdr:cNvSpPr>
          <a:spLocks noChangeAspect="1" noChangeArrowheads="1"/>
        </xdr:cNvSpPr>
      </xdr:nvSpPr>
      <xdr:spPr bwMode="auto">
        <a:xfrm>
          <a:off x="13411200" y="5570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152400</xdr:colOff>
      <xdr:row>28</xdr:row>
      <xdr:rowOff>106680</xdr:rowOff>
    </xdr:to>
    <xdr:sp macro="" textlink="">
      <xdr:nvSpPr>
        <xdr:cNvPr id="6715" name="AutoShape 1595" descr="ARGENTINA3"/>
        <xdr:cNvSpPr>
          <a:spLocks noChangeAspect="1" noChangeArrowheads="1"/>
        </xdr:cNvSpPr>
      </xdr:nvSpPr>
      <xdr:spPr bwMode="auto">
        <a:xfrm>
          <a:off x="0" y="5821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28</xdr:row>
      <xdr:rowOff>0</xdr:rowOff>
    </xdr:from>
    <xdr:to>
      <xdr:col>22</xdr:col>
      <xdr:colOff>304800</xdr:colOff>
      <xdr:row>29</xdr:row>
      <xdr:rowOff>129540</xdr:rowOff>
    </xdr:to>
    <xdr:sp macro="" textlink="">
      <xdr:nvSpPr>
        <xdr:cNvPr id="6716" name="AutoShape 1596" descr="https://www.soccerstats.com/img/own/sshplogo.png">
          <a:hlinkClick xmlns:r="http://schemas.openxmlformats.org/officeDocument/2006/relationships" r:id="rId686"/>
        </xdr:cNvPr>
        <xdr:cNvSpPr>
          <a:spLocks noChangeAspect="1" noChangeArrowheads="1"/>
        </xdr:cNvSpPr>
      </xdr:nvSpPr>
      <xdr:spPr bwMode="auto">
        <a:xfrm>
          <a:off x="13411200" y="5821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152400</xdr:colOff>
      <xdr:row>29</xdr:row>
      <xdr:rowOff>106680</xdr:rowOff>
    </xdr:to>
    <xdr:sp macro="" textlink="">
      <xdr:nvSpPr>
        <xdr:cNvPr id="6717" name="AutoShape 1597" descr="ARGENTINA3"/>
        <xdr:cNvSpPr>
          <a:spLocks noChangeAspect="1" noChangeArrowheads="1"/>
        </xdr:cNvSpPr>
      </xdr:nvSpPr>
      <xdr:spPr bwMode="auto">
        <a:xfrm>
          <a:off x="0" y="6073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29</xdr:row>
      <xdr:rowOff>0</xdr:rowOff>
    </xdr:from>
    <xdr:to>
      <xdr:col>22</xdr:col>
      <xdr:colOff>304800</xdr:colOff>
      <xdr:row>30</xdr:row>
      <xdr:rowOff>53340</xdr:rowOff>
    </xdr:to>
    <xdr:sp macro="" textlink="">
      <xdr:nvSpPr>
        <xdr:cNvPr id="6718" name="AutoShape 1598" descr="https://www.soccerstats.com/img/own/sshplogo.png">
          <a:hlinkClick xmlns:r="http://schemas.openxmlformats.org/officeDocument/2006/relationships" r:id="rId687"/>
        </xdr:cNvPr>
        <xdr:cNvSpPr>
          <a:spLocks noChangeAspect="1" noChangeArrowheads="1"/>
        </xdr:cNvSpPr>
      </xdr:nvSpPr>
      <xdr:spPr bwMode="auto">
        <a:xfrm>
          <a:off x="13411200" y="6073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152400</xdr:colOff>
      <xdr:row>30</xdr:row>
      <xdr:rowOff>106680</xdr:rowOff>
    </xdr:to>
    <xdr:sp macro="" textlink="">
      <xdr:nvSpPr>
        <xdr:cNvPr id="6719" name="AutoShape 1599" descr="ARGENTINA3"/>
        <xdr:cNvSpPr>
          <a:spLocks noChangeAspect="1" noChangeArrowheads="1"/>
        </xdr:cNvSpPr>
      </xdr:nvSpPr>
      <xdr:spPr bwMode="auto">
        <a:xfrm>
          <a:off x="0" y="6324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30</xdr:row>
      <xdr:rowOff>0</xdr:rowOff>
    </xdr:from>
    <xdr:to>
      <xdr:col>22</xdr:col>
      <xdr:colOff>304800</xdr:colOff>
      <xdr:row>31</xdr:row>
      <xdr:rowOff>53340</xdr:rowOff>
    </xdr:to>
    <xdr:sp macro="" textlink="">
      <xdr:nvSpPr>
        <xdr:cNvPr id="6720" name="AutoShape 1600" descr="https://www.soccerstats.com/img/own/sshplogo.png">
          <a:hlinkClick xmlns:r="http://schemas.openxmlformats.org/officeDocument/2006/relationships" r:id="rId688"/>
        </xdr:cNvPr>
        <xdr:cNvSpPr>
          <a:spLocks noChangeAspect="1" noChangeArrowheads="1"/>
        </xdr:cNvSpPr>
      </xdr:nvSpPr>
      <xdr:spPr bwMode="auto">
        <a:xfrm>
          <a:off x="13411200" y="6324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152400</xdr:colOff>
      <xdr:row>31</xdr:row>
      <xdr:rowOff>106680</xdr:rowOff>
    </xdr:to>
    <xdr:sp macro="" textlink="">
      <xdr:nvSpPr>
        <xdr:cNvPr id="6721" name="AutoShape 1601" descr="ARGENTINA3"/>
        <xdr:cNvSpPr>
          <a:spLocks noChangeAspect="1" noChangeArrowheads="1"/>
        </xdr:cNvSpPr>
      </xdr:nvSpPr>
      <xdr:spPr bwMode="auto">
        <a:xfrm>
          <a:off x="0" y="6576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31</xdr:row>
      <xdr:rowOff>0</xdr:rowOff>
    </xdr:from>
    <xdr:to>
      <xdr:col>22</xdr:col>
      <xdr:colOff>304800</xdr:colOff>
      <xdr:row>32</xdr:row>
      <xdr:rowOff>53340</xdr:rowOff>
    </xdr:to>
    <xdr:sp macro="" textlink="">
      <xdr:nvSpPr>
        <xdr:cNvPr id="6722" name="AutoShape 1602" descr="https://www.soccerstats.com/img/own/sshplogo.png">
          <a:hlinkClick xmlns:r="http://schemas.openxmlformats.org/officeDocument/2006/relationships" r:id="rId689"/>
        </xdr:cNvPr>
        <xdr:cNvSpPr>
          <a:spLocks noChangeAspect="1" noChangeArrowheads="1"/>
        </xdr:cNvSpPr>
      </xdr:nvSpPr>
      <xdr:spPr bwMode="auto">
        <a:xfrm>
          <a:off x="13411200" y="6576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152400</xdr:colOff>
      <xdr:row>32</xdr:row>
      <xdr:rowOff>106680</xdr:rowOff>
    </xdr:to>
    <xdr:sp macro="" textlink="">
      <xdr:nvSpPr>
        <xdr:cNvPr id="6723" name="AutoShape 1603" descr="ARGENTINA3"/>
        <xdr:cNvSpPr>
          <a:spLocks noChangeAspect="1" noChangeArrowheads="1"/>
        </xdr:cNvSpPr>
      </xdr:nvSpPr>
      <xdr:spPr bwMode="auto">
        <a:xfrm>
          <a:off x="0" y="6751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32</xdr:row>
      <xdr:rowOff>0</xdr:rowOff>
    </xdr:from>
    <xdr:to>
      <xdr:col>22</xdr:col>
      <xdr:colOff>304800</xdr:colOff>
      <xdr:row>33</xdr:row>
      <xdr:rowOff>129540</xdr:rowOff>
    </xdr:to>
    <xdr:sp macro="" textlink="">
      <xdr:nvSpPr>
        <xdr:cNvPr id="6724" name="AutoShape 1604" descr="https://www.soccerstats.com/img/own/sshplogo.png">
          <a:hlinkClick xmlns:r="http://schemas.openxmlformats.org/officeDocument/2006/relationships" r:id="rId690"/>
        </xdr:cNvPr>
        <xdr:cNvSpPr>
          <a:spLocks noChangeAspect="1" noChangeArrowheads="1"/>
        </xdr:cNvSpPr>
      </xdr:nvSpPr>
      <xdr:spPr bwMode="auto">
        <a:xfrm>
          <a:off x="13411200" y="6751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152400</xdr:colOff>
      <xdr:row>33</xdr:row>
      <xdr:rowOff>106680</xdr:rowOff>
    </xdr:to>
    <xdr:sp macro="" textlink="">
      <xdr:nvSpPr>
        <xdr:cNvPr id="6725" name="AutoShape 1605" descr="ARMENIA"/>
        <xdr:cNvSpPr>
          <a:spLocks noChangeAspect="1" noChangeArrowheads="1"/>
        </xdr:cNvSpPr>
      </xdr:nvSpPr>
      <xdr:spPr bwMode="auto">
        <a:xfrm>
          <a:off x="0" y="6926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33</xdr:row>
      <xdr:rowOff>0</xdr:rowOff>
    </xdr:from>
    <xdr:to>
      <xdr:col>22</xdr:col>
      <xdr:colOff>304800</xdr:colOff>
      <xdr:row>34</xdr:row>
      <xdr:rowOff>129540</xdr:rowOff>
    </xdr:to>
    <xdr:sp macro="" textlink="">
      <xdr:nvSpPr>
        <xdr:cNvPr id="6726" name="AutoShape 1606" descr="https://www.soccerstats.com/img/own/sshplogo.png">
          <a:hlinkClick xmlns:r="http://schemas.openxmlformats.org/officeDocument/2006/relationships" r:id="rId691"/>
        </xdr:cNvPr>
        <xdr:cNvSpPr>
          <a:spLocks noChangeAspect="1" noChangeArrowheads="1"/>
        </xdr:cNvSpPr>
      </xdr:nvSpPr>
      <xdr:spPr bwMode="auto">
        <a:xfrm>
          <a:off x="13411200" y="6926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152400</xdr:colOff>
      <xdr:row>34</xdr:row>
      <xdr:rowOff>106680</xdr:rowOff>
    </xdr:to>
    <xdr:sp macro="" textlink="">
      <xdr:nvSpPr>
        <xdr:cNvPr id="6727" name="AutoShape 1607" descr="AUSTRALIA3"/>
        <xdr:cNvSpPr>
          <a:spLocks noChangeAspect="1" noChangeArrowheads="1"/>
        </xdr:cNvSpPr>
      </xdr:nvSpPr>
      <xdr:spPr bwMode="auto">
        <a:xfrm>
          <a:off x="0" y="7101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34</xdr:row>
      <xdr:rowOff>0</xdr:rowOff>
    </xdr:from>
    <xdr:to>
      <xdr:col>22</xdr:col>
      <xdr:colOff>304800</xdr:colOff>
      <xdr:row>35</xdr:row>
      <xdr:rowOff>53340</xdr:rowOff>
    </xdr:to>
    <xdr:sp macro="" textlink="">
      <xdr:nvSpPr>
        <xdr:cNvPr id="6728" name="AutoShape 1608" descr="https://www.soccerstats.com/img/own/sshplogo.png">
          <a:hlinkClick xmlns:r="http://schemas.openxmlformats.org/officeDocument/2006/relationships" r:id="rId692"/>
        </xdr:cNvPr>
        <xdr:cNvSpPr>
          <a:spLocks noChangeAspect="1" noChangeArrowheads="1"/>
        </xdr:cNvSpPr>
      </xdr:nvSpPr>
      <xdr:spPr bwMode="auto">
        <a:xfrm>
          <a:off x="13411200" y="7101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152400</xdr:colOff>
      <xdr:row>35</xdr:row>
      <xdr:rowOff>106680</xdr:rowOff>
    </xdr:to>
    <xdr:sp macro="" textlink="">
      <xdr:nvSpPr>
        <xdr:cNvPr id="6729" name="AutoShape 1609" descr="AUSTRALIA7"/>
        <xdr:cNvSpPr>
          <a:spLocks noChangeAspect="1" noChangeArrowheads="1"/>
        </xdr:cNvSpPr>
      </xdr:nvSpPr>
      <xdr:spPr bwMode="auto">
        <a:xfrm>
          <a:off x="0" y="7353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35</xdr:row>
      <xdr:rowOff>0</xdr:rowOff>
    </xdr:from>
    <xdr:to>
      <xdr:col>22</xdr:col>
      <xdr:colOff>304800</xdr:colOff>
      <xdr:row>36</xdr:row>
      <xdr:rowOff>129540</xdr:rowOff>
    </xdr:to>
    <xdr:sp macro="" textlink="">
      <xdr:nvSpPr>
        <xdr:cNvPr id="6730" name="AutoShape 1610" descr="https://www.soccerstats.com/img/own/sshplogo.png">
          <a:hlinkClick xmlns:r="http://schemas.openxmlformats.org/officeDocument/2006/relationships" r:id="rId693"/>
        </xdr:cNvPr>
        <xdr:cNvSpPr>
          <a:spLocks noChangeAspect="1" noChangeArrowheads="1"/>
        </xdr:cNvSpPr>
      </xdr:nvSpPr>
      <xdr:spPr bwMode="auto">
        <a:xfrm>
          <a:off x="13411200" y="735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152400</xdr:colOff>
      <xdr:row>36</xdr:row>
      <xdr:rowOff>106680</xdr:rowOff>
    </xdr:to>
    <xdr:sp macro="" textlink="">
      <xdr:nvSpPr>
        <xdr:cNvPr id="6731" name="AutoShape 1611" descr="AUSTRALIA7"/>
        <xdr:cNvSpPr>
          <a:spLocks noChangeAspect="1" noChangeArrowheads="1"/>
        </xdr:cNvSpPr>
      </xdr:nvSpPr>
      <xdr:spPr bwMode="auto">
        <a:xfrm>
          <a:off x="0" y="7604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36</xdr:row>
      <xdr:rowOff>0</xdr:rowOff>
    </xdr:from>
    <xdr:to>
      <xdr:col>22</xdr:col>
      <xdr:colOff>304800</xdr:colOff>
      <xdr:row>37</xdr:row>
      <xdr:rowOff>53340</xdr:rowOff>
    </xdr:to>
    <xdr:sp macro="" textlink="">
      <xdr:nvSpPr>
        <xdr:cNvPr id="6732" name="AutoShape 1612" descr="https://www.soccerstats.com/img/own/sshplogo.png">
          <a:hlinkClick xmlns:r="http://schemas.openxmlformats.org/officeDocument/2006/relationships" r:id="rId694"/>
        </xdr:cNvPr>
        <xdr:cNvSpPr>
          <a:spLocks noChangeAspect="1" noChangeArrowheads="1"/>
        </xdr:cNvSpPr>
      </xdr:nvSpPr>
      <xdr:spPr bwMode="auto">
        <a:xfrm>
          <a:off x="13411200" y="7604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152400</xdr:colOff>
      <xdr:row>37</xdr:row>
      <xdr:rowOff>106680</xdr:rowOff>
    </xdr:to>
    <xdr:sp macro="" textlink="">
      <xdr:nvSpPr>
        <xdr:cNvPr id="6733" name="AutoShape 1613" descr="AUSTRALIA7"/>
        <xdr:cNvSpPr>
          <a:spLocks noChangeAspect="1" noChangeArrowheads="1"/>
        </xdr:cNvSpPr>
      </xdr:nvSpPr>
      <xdr:spPr bwMode="auto">
        <a:xfrm>
          <a:off x="0" y="7856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37</xdr:row>
      <xdr:rowOff>0</xdr:rowOff>
    </xdr:from>
    <xdr:to>
      <xdr:col>22</xdr:col>
      <xdr:colOff>304800</xdr:colOff>
      <xdr:row>38</xdr:row>
      <xdr:rowOff>129540</xdr:rowOff>
    </xdr:to>
    <xdr:sp macro="" textlink="">
      <xdr:nvSpPr>
        <xdr:cNvPr id="6734" name="AutoShape 1614" descr="https://www.soccerstats.com/img/own/sshplogo.png">
          <a:hlinkClick xmlns:r="http://schemas.openxmlformats.org/officeDocument/2006/relationships" r:id="rId695"/>
        </xdr:cNvPr>
        <xdr:cNvSpPr>
          <a:spLocks noChangeAspect="1" noChangeArrowheads="1"/>
        </xdr:cNvSpPr>
      </xdr:nvSpPr>
      <xdr:spPr bwMode="auto">
        <a:xfrm>
          <a:off x="13411200" y="7856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152400</xdr:colOff>
      <xdr:row>38</xdr:row>
      <xdr:rowOff>106680</xdr:rowOff>
    </xdr:to>
    <xdr:sp macro="" textlink="">
      <xdr:nvSpPr>
        <xdr:cNvPr id="6735" name="AutoShape 1615" descr="AUSTRALIA7"/>
        <xdr:cNvSpPr>
          <a:spLocks noChangeAspect="1" noChangeArrowheads="1"/>
        </xdr:cNvSpPr>
      </xdr:nvSpPr>
      <xdr:spPr bwMode="auto">
        <a:xfrm>
          <a:off x="0" y="8107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38</xdr:row>
      <xdr:rowOff>0</xdr:rowOff>
    </xdr:from>
    <xdr:to>
      <xdr:col>22</xdr:col>
      <xdr:colOff>304800</xdr:colOff>
      <xdr:row>39</xdr:row>
      <xdr:rowOff>129540</xdr:rowOff>
    </xdr:to>
    <xdr:sp macro="" textlink="">
      <xdr:nvSpPr>
        <xdr:cNvPr id="6736" name="AutoShape 1616" descr="https://www.soccerstats.com/img/own/sshplogo.png">
          <a:hlinkClick xmlns:r="http://schemas.openxmlformats.org/officeDocument/2006/relationships" r:id="rId696"/>
        </xdr:cNvPr>
        <xdr:cNvSpPr>
          <a:spLocks noChangeAspect="1" noChangeArrowheads="1"/>
        </xdr:cNvSpPr>
      </xdr:nvSpPr>
      <xdr:spPr bwMode="auto">
        <a:xfrm>
          <a:off x="13411200" y="8107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152400</xdr:colOff>
      <xdr:row>39</xdr:row>
      <xdr:rowOff>106680</xdr:rowOff>
    </xdr:to>
    <xdr:sp macro="" textlink="">
      <xdr:nvSpPr>
        <xdr:cNvPr id="6737" name="AutoShape 1617" descr="AUSTRALIA7"/>
        <xdr:cNvSpPr>
          <a:spLocks noChangeAspect="1" noChangeArrowheads="1"/>
        </xdr:cNvSpPr>
      </xdr:nvSpPr>
      <xdr:spPr bwMode="auto">
        <a:xfrm>
          <a:off x="0" y="8359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39</xdr:row>
      <xdr:rowOff>0</xdr:rowOff>
    </xdr:from>
    <xdr:to>
      <xdr:col>22</xdr:col>
      <xdr:colOff>304800</xdr:colOff>
      <xdr:row>40</xdr:row>
      <xdr:rowOff>129540</xdr:rowOff>
    </xdr:to>
    <xdr:sp macro="" textlink="">
      <xdr:nvSpPr>
        <xdr:cNvPr id="6738" name="AutoShape 1618" descr="https://www.soccerstats.com/img/own/sshplogo.png">
          <a:hlinkClick xmlns:r="http://schemas.openxmlformats.org/officeDocument/2006/relationships" r:id="rId697"/>
        </xdr:cNvPr>
        <xdr:cNvSpPr>
          <a:spLocks noChangeAspect="1" noChangeArrowheads="1"/>
        </xdr:cNvSpPr>
      </xdr:nvSpPr>
      <xdr:spPr bwMode="auto">
        <a:xfrm>
          <a:off x="13411200" y="8359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152400</xdr:colOff>
      <xdr:row>40</xdr:row>
      <xdr:rowOff>106680</xdr:rowOff>
    </xdr:to>
    <xdr:sp macro="" textlink="">
      <xdr:nvSpPr>
        <xdr:cNvPr id="6739" name="AutoShape 1619" descr="AUSTRALIA7"/>
        <xdr:cNvSpPr>
          <a:spLocks noChangeAspect="1" noChangeArrowheads="1"/>
        </xdr:cNvSpPr>
      </xdr:nvSpPr>
      <xdr:spPr bwMode="auto">
        <a:xfrm>
          <a:off x="0" y="8534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40</xdr:row>
      <xdr:rowOff>0</xdr:rowOff>
    </xdr:from>
    <xdr:to>
      <xdr:col>22</xdr:col>
      <xdr:colOff>304800</xdr:colOff>
      <xdr:row>41</xdr:row>
      <xdr:rowOff>129540</xdr:rowOff>
    </xdr:to>
    <xdr:sp macro="" textlink="">
      <xdr:nvSpPr>
        <xdr:cNvPr id="6740" name="AutoShape 1620" descr="https://www.soccerstats.com/img/own/sshplogo.png">
          <a:hlinkClick xmlns:r="http://schemas.openxmlformats.org/officeDocument/2006/relationships" r:id="rId698"/>
        </xdr:cNvPr>
        <xdr:cNvSpPr>
          <a:spLocks noChangeAspect="1" noChangeArrowheads="1"/>
        </xdr:cNvSpPr>
      </xdr:nvSpPr>
      <xdr:spPr bwMode="auto">
        <a:xfrm>
          <a:off x="13411200" y="8534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152400</xdr:colOff>
      <xdr:row>41</xdr:row>
      <xdr:rowOff>106680</xdr:rowOff>
    </xdr:to>
    <xdr:sp macro="" textlink="">
      <xdr:nvSpPr>
        <xdr:cNvPr id="6741" name="AutoShape 1621" descr="AUSTRALIA10"/>
        <xdr:cNvSpPr>
          <a:spLocks noChangeAspect="1" noChangeArrowheads="1"/>
        </xdr:cNvSpPr>
      </xdr:nvSpPr>
      <xdr:spPr bwMode="auto">
        <a:xfrm>
          <a:off x="0" y="8709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41</xdr:row>
      <xdr:rowOff>0</xdr:rowOff>
    </xdr:from>
    <xdr:to>
      <xdr:col>22</xdr:col>
      <xdr:colOff>304800</xdr:colOff>
      <xdr:row>42</xdr:row>
      <xdr:rowOff>129540</xdr:rowOff>
    </xdr:to>
    <xdr:sp macro="" textlink="">
      <xdr:nvSpPr>
        <xdr:cNvPr id="6742" name="AutoShape 1622" descr="https://www.soccerstats.com/img/own/sshplogo.png">
          <a:hlinkClick xmlns:r="http://schemas.openxmlformats.org/officeDocument/2006/relationships" r:id="rId699"/>
        </xdr:cNvPr>
        <xdr:cNvSpPr>
          <a:spLocks noChangeAspect="1" noChangeArrowheads="1"/>
        </xdr:cNvSpPr>
      </xdr:nvSpPr>
      <xdr:spPr bwMode="auto">
        <a:xfrm>
          <a:off x="13411200" y="8709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152400</xdr:colOff>
      <xdr:row>42</xdr:row>
      <xdr:rowOff>106680</xdr:rowOff>
    </xdr:to>
    <xdr:sp macro="" textlink="">
      <xdr:nvSpPr>
        <xdr:cNvPr id="6743" name="AutoShape 1623" descr="AUSTRALIA10"/>
        <xdr:cNvSpPr>
          <a:spLocks noChangeAspect="1" noChangeArrowheads="1"/>
        </xdr:cNvSpPr>
      </xdr:nvSpPr>
      <xdr:spPr bwMode="auto">
        <a:xfrm>
          <a:off x="0" y="8961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42</xdr:row>
      <xdr:rowOff>0</xdr:rowOff>
    </xdr:from>
    <xdr:to>
      <xdr:col>22</xdr:col>
      <xdr:colOff>304800</xdr:colOff>
      <xdr:row>43</xdr:row>
      <xdr:rowOff>129540</xdr:rowOff>
    </xdr:to>
    <xdr:sp macro="" textlink="">
      <xdr:nvSpPr>
        <xdr:cNvPr id="6744" name="AutoShape 1624" descr="https://www.soccerstats.com/img/own/sshplogo.png">
          <a:hlinkClick xmlns:r="http://schemas.openxmlformats.org/officeDocument/2006/relationships" r:id="rId700"/>
        </xdr:cNvPr>
        <xdr:cNvSpPr>
          <a:spLocks noChangeAspect="1" noChangeArrowheads="1"/>
        </xdr:cNvSpPr>
      </xdr:nvSpPr>
      <xdr:spPr bwMode="auto">
        <a:xfrm>
          <a:off x="13411200" y="8961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152400</xdr:colOff>
      <xdr:row>43</xdr:row>
      <xdr:rowOff>106680</xdr:rowOff>
    </xdr:to>
    <xdr:sp macro="" textlink="">
      <xdr:nvSpPr>
        <xdr:cNvPr id="6745" name="AutoShape 1625" descr="AUSTRALIA11"/>
        <xdr:cNvSpPr>
          <a:spLocks noChangeAspect="1" noChangeArrowheads="1"/>
        </xdr:cNvSpPr>
      </xdr:nvSpPr>
      <xdr:spPr bwMode="auto">
        <a:xfrm>
          <a:off x="0" y="9212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43</xdr:row>
      <xdr:rowOff>0</xdr:rowOff>
    </xdr:from>
    <xdr:to>
      <xdr:col>22</xdr:col>
      <xdr:colOff>304800</xdr:colOff>
      <xdr:row>44</xdr:row>
      <xdr:rowOff>53340</xdr:rowOff>
    </xdr:to>
    <xdr:sp macro="" textlink="">
      <xdr:nvSpPr>
        <xdr:cNvPr id="6746" name="AutoShape 1626" descr="https://www.soccerstats.com/img/own/sshplogo.png">
          <a:hlinkClick xmlns:r="http://schemas.openxmlformats.org/officeDocument/2006/relationships" r:id="rId701"/>
        </xdr:cNvPr>
        <xdr:cNvSpPr>
          <a:spLocks noChangeAspect="1" noChangeArrowheads="1"/>
        </xdr:cNvSpPr>
      </xdr:nvSpPr>
      <xdr:spPr bwMode="auto">
        <a:xfrm>
          <a:off x="13411200" y="9212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152400</xdr:colOff>
      <xdr:row>44</xdr:row>
      <xdr:rowOff>106680</xdr:rowOff>
    </xdr:to>
    <xdr:sp macro="" textlink="">
      <xdr:nvSpPr>
        <xdr:cNvPr id="6747" name="AutoShape 1627" descr="AUSTRALIA11"/>
        <xdr:cNvSpPr>
          <a:spLocks noChangeAspect="1" noChangeArrowheads="1"/>
        </xdr:cNvSpPr>
      </xdr:nvSpPr>
      <xdr:spPr bwMode="auto">
        <a:xfrm>
          <a:off x="0" y="9464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44</xdr:row>
      <xdr:rowOff>0</xdr:rowOff>
    </xdr:from>
    <xdr:to>
      <xdr:col>22</xdr:col>
      <xdr:colOff>304800</xdr:colOff>
      <xdr:row>45</xdr:row>
      <xdr:rowOff>53340</xdr:rowOff>
    </xdr:to>
    <xdr:sp macro="" textlink="">
      <xdr:nvSpPr>
        <xdr:cNvPr id="6748" name="AutoShape 1628" descr="https://www.soccerstats.com/img/own/sshplogo.png">
          <a:hlinkClick xmlns:r="http://schemas.openxmlformats.org/officeDocument/2006/relationships" r:id="rId702"/>
        </xdr:cNvPr>
        <xdr:cNvSpPr>
          <a:spLocks noChangeAspect="1" noChangeArrowheads="1"/>
        </xdr:cNvSpPr>
      </xdr:nvSpPr>
      <xdr:spPr bwMode="auto">
        <a:xfrm>
          <a:off x="13411200" y="9464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152400</xdr:colOff>
      <xdr:row>45</xdr:row>
      <xdr:rowOff>106680</xdr:rowOff>
    </xdr:to>
    <xdr:sp macro="" textlink="">
      <xdr:nvSpPr>
        <xdr:cNvPr id="6749" name="AutoShape 1629" descr="AUSTRALIA11"/>
        <xdr:cNvSpPr>
          <a:spLocks noChangeAspect="1" noChangeArrowheads="1"/>
        </xdr:cNvSpPr>
      </xdr:nvSpPr>
      <xdr:spPr bwMode="auto">
        <a:xfrm>
          <a:off x="0" y="9639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45</xdr:row>
      <xdr:rowOff>0</xdr:rowOff>
    </xdr:from>
    <xdr:to>
      <xdr:col>22</xdr:col>
      <xdr:colOff>304800</xdr:colOff>
      <xdr:row>46</xdr:row>
      <xdr:rowOff>129540</xdr:rowOff>
    </xdr:to>
    <xdr:sp macro="" textlink="">
      <xdr:nvSpPr>
        <xdr:cNvPr id="6750" name="AutoShape 1630" descr="https://www.soccerstats.com/img/own/sshplogo.png">
          <a:hlinkClick xmlns:r="http://schemas.openxmlformats.org/officeDocument/2006/relationships" r:id="rId703"/>
        </xdr:cNvPr>
        <xdr:cNvSpPr>
          <a:spLocks noChangeAspect="1" noChangeArrowheads="1"/>
        </xdr:cNvSpPr>
      </xdr:nvSpPr>
      <xdr:spPr bwMode="auto">
        <a:xfrm>
          <a:off x="13411200" y="963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152400</xdr:colOff>
      <xdr:row>46</xdr:row>
      <xdr:rowOff>106680</xdr:rowOff>
    </xdr:to>
    <xdr:sp macro="" textlink="">
      <xdr:nvSpPr>
        <xdr:cNvPr id="6751" name="AutoShape 1631" descr="AUSTRIA"/>
        <xdr:cNvSpPr>
          <a:spLocks noChangeAspect="1" noChangeArrowheads="1"/>
        </xdr:cNvSpPr>
      </xdr:nvSpPr>
      <xdr:spPr bwMode="auto">
        <a:xfrm>
          <a:off x="0" y="9890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46</xdr:row>
      <xdr:rowOff>0</xdr:rowOff>
    </xdr:from>
    <xdr:to>
      <xdr:col>22</xdr:col>
      <xdr:colOff>304800</xdr:colOff>
      <xdr:row>47</xdr:row>
      <xdr:rowOff>53340</xdr:rowOff>
    </xdr:to>
    <xdr:sp macro="" textlink="">
      <xdr:nvSpPr>
        <xdr:cNvPr id="6752" name="AutoShape 1632" descr="https://www.soccerstats.com/img/own/sshplogo.png">
          <a:hlinkClick xmlns:r="http://schemas.openxmlformats.org/officeDocument/2006/relationships" r:id="rId704"/>
        </xdr:cNvPr>
        <xdr:cNvSpPr>
          <a:spLocks noChangeAspect="1" noChangeArrowheads="1"/>
        </xdr:cNvSpPr>
      </xdr:nvSpPr>
      <xdr:spPr bwMode="auto">
        <a:xfrm>
          <a:off x="13411200" y="9890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152400</xdr:colOff>
      <xdr:row>47</xdr:row>
      <xdr:rowOff>106680</xdr:rowOff>
    </xdr:to>
    <xdr:sp macro="" textlink="">
      <xdr:nvSpPr>
        <xdr:cNvPr id="6753" name="AutoShape 1633" descr="AUSTRIA"/>
        <xdr:cNvSpPr>
          <a:spLocks noChangeAspect="1" noChangeArrowheads="1"/>
        </xdr:cNvSpPr>
      </xdr:nvSpPr>
      <xdr:spPr bwMode="auto">
        <a:xfrm>
          <a:off x="0" y="10066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47</xdr:row>
      <xdr:rowOff>0</xdr:rowOff>
    </xdr:from>
    <xdr:to>
      <xdr:col>22</xdr:col>
      <xdr:colOff>304800</xdr:colOff>
      <xdr:row>48</xdr:row>
      <xdr:rowOff>129540</xdr:rowOff>
    </xdr:to>
    <xdr:sp macro="" textlink="">
      <xdr:nvSpPr>
        <xdr:cNvPr id="6754" name="AutoShape 1634" descr="https://www.soccerstats.com/img/own/sshplogo.png">
          <a:hlinkClick xmlns:r="http://schemas.openxmlformats.org/officeDocument/2006/relationships" r:id="rId705"/>
        </xdr:cNvPr>
        <xdr:cNvSpPr>
          <a:spLocks noChangeAspect="1" noChangeArrowheads="1"/>
        </xdr:cNvSpPr>
      </xdr:nvSpPr>
      <xdr:spPr bwMode="auto">
        <a:xfrm>
          <a:off x="13411200" y="10066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152400</xdr:colOff>
      <xdr:row>48</xdr:row>
      <xdr:rowOff>106680</xdr:rowOff>
    </xdr:to>
    <xdr:sp macro="" textlink="">
      <xdr:nvSpPr>
        <xdr:cNvPr id="6755" name="AutoShape 1635" descr="AUSTRIA"/>
        <xdr:cNvSpPr>
          <a:spLocks noChangeAspect="1" noChangeArrowheads="1"/>
        </xdr:cNvSpPr>
      </xdr:nvSpPr>
      <xdr:spPr bwMode="auto">
        <a:xfrm>
          <a:off x="0" y="10241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48</xdr:row>
      <xdr:rowOff>0</xdr:rowOff>
    </xdr:from>
    <xdr:to>
      <xdr:col>22</xdr:col>
      <xdr:colOff>304800</xdr:colOff>
      <xdr:row>49</xdr:row>
      <xdr:rowOff>129540</xdr:rowOff>
    </xdr:to>
    <xdr:sp macro="" textlink="">
      <xdr:nvSpPr>
        <xdr:cNvPr id="6756" name="AutoShape 1636" descr="https://www.soccerstats.com/img/own/sshplogo.png">
          <a:hlinkClick xmlns:r="http://schemas.openxmlformats.org/officeDocument/2006/relationships" r:id="rId706"/>
        </xdr:cNvPr>
        <xdr:cNvSpPr>
          <a:spLocks noChangeAspect="1" noChangeArrowheads="1"/>
        </xdr:cNvSpPr>
      </xdr:nvSpPr>
      <xdr:spPr bwMode="auto">
        <a:xfrm>
          <a:off x="13411200" y="10241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152400</xdr:colOff>
      <xdr:row>49</xdr:row>
      <xdr:rowOff>106680</xdr:rowOff>
    </xdr:to>
    <xdr:sp macro="" textlink="">
      <xdr:nvSpPr>
        <xdr:cNvPr id="6757" name="AutoShape 1637" descr="AUSTRIA2"/>
        <xdr:cNvSpPr>
          <a:spLocks noChangeAspect="1" noChangeArrowheads="1"/>
        </xdr:cNvSpPr>
      </xdr:nvSpPr>
      <xdr:spPr bwMode="auto">
        <a:xfrm>
          <a:off x="0" y="10416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49</xdr:row>
      <xdr:rowOff>0</xdr:rowOff>
    </xdr:from>
    <xdr:to>
      <xdr:col>22</xdr:col>
      <xdr:colOff>304800</xdr:colOff>
      <xdr:row>50</xdr:row>
      <xdr:rowOff>129540</xdr:rowOff>
    </xdr:to>
    <xdr:sp macro="" textlink="">
      <xdr:nvSpPr>
        <xdr:cNvPr id="6758" name="AutoShape 1638" descr="https://www.soccerstats.com/img/own/sshplogo.png">
          <a:hlinkClick xmlns:r="http://schemas.openxmlformats.org/officeDocument/2006/relationships" r:id="rId707"/>
        </xdr:cNvPr>
        <xdr:cNvSpPr>
          <a:spLocks noChangeAspect="1" noChangeArrowheads="1"/>
        </xdr:cNvSpPr>
      </xdr:nvSpPr>
      <xdr:spPr bwMode="auto">
        <a:xfrm>
          <a:off x="13411200" y="10416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152400</xdr:colOff>
      <xdr:row>50</xdr:row>
      <xdr:rowOff>106680</xdr:rowOff>
    </xdr:to>
    <xdr:sp macro="" textlink="">
      <xdr:nvSpPr>
        <xdr:cNvPr id="6759" name="AutoShape 1639" descr="BELARUS"/>
        <xdr:cNvSpPr>
          <a:spLocks noChangeAspect="1" noChangeArrowheads="1"/>
        </xdr:cNvSpPr>
      </xdr:nvSpPr>
      <xdr:spPr bwMode="auto">
        <a:xfrm>
          <a:off x="0" y="10591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50</xdr:row>
      <xdr:rowOff>0</xdr:rowOff>
    </xdr:from>
    <xdr:to>
      <xdr:col>22</xdr:col>
      <xdr:colOff>304800</xdr:colOff>
      <xdr:row>51</xdr:row>
      <xdr:rowOff>129540</xdr:rowOff>
    </xdr:to>
    <xdr:sp macro="" textlink="">
      <xdr:nvSpPr>
        <xdr:cNvPr id="6760" name="AutoShape 1640" descr="https://www.soccerstats.com/img/own/sshplogo.png">
          <a:hlinkClick xmlns:r="http://schemas.openxmlformats.org/officeDocument/2006/relationships" r:id="rId708"/>
        </xdr:cNvPr>
        <xdr:cNvSpPr>
          <a:spLocks noChangeAspect="1" noChangeArrowheads="1"/>
        </xdr:cNvSpPr>
      </xdr:nvSpPr>
      <xdr:spPr bwMode="auto">
        <a:xfrm>
          <a:off x="13411200" y="1059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152400</xdr:colOff>
      <xdr:row>51</xdr:row>
      <xdr:rowOff>106680</xdr:rowOff>
    </xdr:to>
    <xdr:sp macro="" textlink="">
      <xdr:nvSpPr>
        <xdr:cNvPr id="6761" name="AutoShape 1641" descr="BELARUS"/>
        <xdr:cNvSpPr>
          <a:spLocks noChangeAspect="1" noChangeArrowheads="1"/>
        </xdr:cNvSpPr>
      </xdr:nvSpPr>
      <xdr:spPr bwMode="auto">
        <a:xfrm>
          <a:off x="0" y="10767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51</xdr:row>
      <xdr:rowOff>0</xdr:rowOff>
    </xdr:from>
    <xdr:to>
      <xdr:col>22</xdr:col>
      <xdr:colOff>304800</xdr:colOff>
      <xdr:row>52</xdr:row>
      <xdr:rowOff>53340</xdr:rowOff>
    </xdr:to>
    <xdr:sp macro="" textlink="">
      <xdr:nvSpPr>
        <xdr:cNvPr id="6762" name="AutoShape 1642" descr="https://www.soccerstats.com/img/own/sshplogo.png">
          <a:hlinkClick xmlns:r="http://schemas.openxmlformats.org/officeDocument/2006/relationships" r:id="rId709"/>
        </xdr:cNvPr>
        <xdr:cNvSpPr>
          <a:spLocks noChangeAspect="1" noChangeArrowheads="1"/>
        </xdr:cNvSpPr>
      </xdr:nvSpPr>
      <xdr:spPr bwMode="auto">
        <a:xfrm>
          <a:off x="13411200" y="10767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152400</xdr:colOff>
      <xdr:row>52</xdr:row>
      <xdr:rowOff>106680</xdr:rowOff>
    </xdr:to>
    <xdr:sp macro="" textlink="">
      <xdr:nvSpPr>
        <xdr:cNvPr id="6763" name="AutoShape 1643" descr="BELARUS"/>
        <xdr:cNvSpPr>
          <a:spLocks noChangeAspect="1" noChangeArrowheads="1"/>
        </xdr:cNvSpPr>
      </xdr:nvSpPr>
      <xdr:spPr bwMode="auto">
        <a:xfrm>
          <a:off x="0" y="11018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52</xdr:row>
      <xdr:rowOff>0</xdr:rowOff>
    </xdr:from>
    <xdr:to>
      <xdr:col>22</xdr:col>
      <xdr:colOff>304800</xdr:colOff>
      <xdr:row>53</xdr:row>
      <xdr:rowOff>129540</xdr:rowOff>
    </xdr:to>
    <xdr:sp macro="" textlink="">
      <xdr:nvSpPr>
        <xdr:cNvPr id="6764" name="AutoShape 1644" descr="https://www.soccerstats.com/img/own/sshplogo.png">
          <a:hlinkClick xmlns:r="http://schemas.openxmlformats.org/officeDocument/2006/relationships" r:id="rId710"/>
        </xdr:cNvPr>
        <xdr:cNvSpPr>
          <a:spLocks noChangeAspect="1" noChangeArrowheads="1"/>
        </xdr:cNvSpPr>
      </xdr:nvSpPr>
      <xdr:spPr bwMode="auto">
        <a:xfrm>
          <a:off x="13411200" y="11018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152400</xdr:colOff>
      <xdr:row>53</xdr:row>
      <xdr:rowOff>106680</xdr:rowOff>
    </xdr:to>
    <xdr:sp macro="" textlink="">
      <xdr:nvSpPr>
        <xdr:cNvPr id="6765" name="AutoShape 1645" descr="BELGIUM"/>
        <xdr:cNvSpPr>
          <a:spLocks noChangeAspect="1" noChangeArrowheads="1"/>
        </xdr:cNvSpPr>
      </xdr:nvSpPr>
      <xdr:spPr bwMode="auto">
        <a:xfrm>
          <a:off x="0" y="11193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53</xdr:row>
      <xdr:rowOff>0</xdr:rowOff>
    </xdr:from>
    <xdr:to>
      <xdr:col>22</xdr:col>
      <xdr:colOff>304800</xdr:colOff>
      <xdr:row>54</xdr:row>
      <xdr:rowOff>53340</xdr:rowOff>
    </xdr:to>
    <xdr:sp macro="" textlink="">
      <xdr:nvSpPr>
        <xdr:cNvPr id="6766" name="AutoShape 1646" descr="https://www.soccerstats.com/img/own/sshplogo.png">
          <a:hlinkClick xmlns:r="http://schemas.openxmlformats.org/officeDocument/2006/relationships" r:id="rId711"/>
        </xdr:cNvPr>
        <xdr:cNvSpPr>
          <a:spLocks noChangeAspect="1" noChangeArrowheads="1"/>
        </xdr:cNvSpPr>
      </xdr:nvSpPr>
      <xdr:spPr bwMode="auto">
        <a:xfrm>
          <a:off x="13411200" y="11193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152400</xdr:colOff>
      <xdr:row>54</xdr:row>
      <xdr:rowOff>106680</xdr:rowOff>
    </xdr:to>
    <xdr:sp macro="" textlink="">
      <xdr:nvSpPr>
        <xdr:cNvPr id="6767" name="AutoShape 1647" descr="BELGIUM"/>
        <xdr:cNvSpPr>
          <a:spLocks noChangeAspect="1" noChangeArrowheads="1"/>
        </xdr:cNvSpPr>
      </xdr:nvSpPr>
      <xdr:spPr bwMode="auto">
        <a:xfrm>
          <a:off x="0" y="11369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54</xdr:row>
      <xdr:rowOff>0</xdr:rowOff>
    </xdr:from>
    <xdr:to>
      <xdr:col>22</xdr:col>
      <xdr:colOff>304800</xdr:colOff>
      <xdr:row>55</xdr:row>
      <xdr:rowOff>53340</xdr:rowOff>
    </xdr:to>
    <xdr:sp macro="" textlink="">
      <xdr:nvSpPr>
        <xdr:cNvPr id="6768" name="AutoShape 1648" descr="https://www.soccerstats.com/img/own/sshplogo.png">
          <a:hlinkClick xmlns:r="http://schemas.openxmlformats.org/officeDocument/2006/relationships" r:id="rId712"/>
        </xdr:cNvPr>
        <xdr:cNvSpPr>
          <a:spLocks noChangeAspect="1" noChangeArrowheads="1"/>
        </xdr:cNvSpPr>
      </xdr:nvSpPr>
      <xdr:spPr bwMode="auto">
        <a:xfrm>
          <a:off x="13411200" y="11369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152400</xdr:colOff>
      <xdr:row>55</xdr:row>
      <xdr:rowOff>106680</xdr:rowOff>
    </xdr:to>
    <xdr:sp macro="" textlink="">
      <xdr:nvSpPr>
        <xdr:cNvPr id="6769" name="AutoShape 1649" descr="BELGIUM"/>
        <xdr:cNvSpPr>
          <a:spLocks noChangeAspect="1" noChangeArrowheads="1"/>
        </xdr:cNvSpPr>
      </xdr:nvSpPr>
      <xdr:spPr bwMode="auto">
        <a:xfrm>
          <a:off x="0" y="11544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55</xdr:row>
      <xdr:rowOff>0</xdr:rowOff>
    </xdr:from>
    <xdr:to>
      <xdr:col>22</xdr:col>
      <xdr:colOff>304800</xdr:colOff>
      <xdr:row>56</xdr:row>
      <xdr:rowOff>129540</xdr:rowOff>
    </xdr:to>
    <xdr:sp macro="" textlink="">
      <xdr:nvSpPr>
        <xdr:cNvPr id="6770" name="AutoShape 1650" descr="https://www.soccerstats.com/img/own/sshplogo.png">
          <a:hlinkClick xmlns:r="http://schemas.openxmlformats.org/officeDocument/2006/relationships" r:id="rId713"/>
        </xdr:cNvPr>
        <xdr:cNvSpPr>
          <a:spLocks noChangeAspect="1" noChangeArrowheads="1"/>
        </xdr:cNvSpPr>
      </xdr:nvSpPr>
      <xdr:spPr bwMode="auto">
        <a:xfrm>
          <a:off x="13411200" y="1154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152400</xdr:colOff>
      <xdr:row>56</xdr:row>
      <xdr:rowOff>106680</xdr:rowOff>
    </xdr:to>
    <xdr:sp macro="" textlink="">
      <xdr:nvSpPr>
        <xdr:cNvPr id="6771" name="AutoShape 1651" descr="BELGIUM"/>
        <xdr:cNvSpPr>
          <a:spLocks noChangeAspect="1" noChangeArrowheads="1"/>
        </xdr:cNvSpPr>
      </xdr:nvSpPr>
      <xdr:spPr bwMode="auto">
        <a:xfrm>
          <a:off x="0" y="11795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56</xdr:row>
      <xdr:rowOff>0</xdr:rowOff>
    </xdr:from>
    <xdr:to>
      <xdr:col>22</xdr:col>
      <xdr:colOff>304800</xdr:colOff>
      <xdr:row>57</xdr:row>
      <xdr:rowOff>53340</xdr:rowOff>
    </xdr:to>
    <xdr:sp macro="" textlink="">
      <xdr:nvSpPr>
        <xdr:cNvPr id="6772" name="AutoShape 1652" descr="https://www.soccerstats.com/img/own/sshplogo.png">
          <a:hlinkClick xmlns:r="http://schemas.openxmlformats.org/officeDocument/2006/relationships" r:id="rId714"/>
        </xdr:cNvPr>
        <xdr:cNvSpPr>
          <a:spLocks noChangeAspect="1" noChangeArrowheads="1"/>
        </xdr:cNvSpPr>
      </xdr:nvSpPr>
      <xdr:spPr bwMode="auto">
        <a:xfrm>
          <a:off x="13411200" y="11795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152400</xdr:colOff>
      <xdr:row>57</xdr:row>
      <xdr:rowOff>106680</xdr:rowOff>
    </xdr:to>
    <xdr:sp macro="" textlink="">
      <xdr:nvSpPr>
        <xdr:cNvPr id="6773" name="AutoShape 1653" descr="BELGIUM2"/>
        <xdr:cNvSpPr>
          <a:spLocks noChangeAspect="1" noChangeArrowheads="1"/>
        </xdr:cNvSpPr>
      </xdr:nvSpPr>
      <xdr:spPr bwMode="auto">
        <a:xfrm>
          <a:off x="0" y="11971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57</xdr:row>
      <xdr:rowOff>0</xdr:rowOff>
    </xdr:from>
    <xdr:to>
      <xdr:col>22</xdr:col>
      <xdr:colOff>304800</xdr:colOff>
      <xdr:row>58</xdr:row>
      <xdr:rowOff>53340</xdr:rowOff>
    </xdr:to>
    <xdr:sp macro="" textlink="">
      <xdr:nvSpPr>
        <xdr:cNvPr id="6774" name="AutoShape 1654" descr="https://www.soccerstats.com/img/own/sshplogo.png">
          <a:hlinkClick xmlns:r="http://schemas.openxmlformats.org/officeDocument/2006/relationships" r:id="rId715"/>
        </xdr:cNvPr>
        <xdr:cNvSpPr>
          <a:spLocks noChangeAspect="1" noChangeArrowheads="1"/>
        </xdr:cNvSpPr>
      </xdr:nvSpPr>
      <xdr:spPr bwMode="auto">
        <a:xfrm>
          <a:off x="13411200" y="11971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152400</xdr:colOff>
      <xdr:row>58</xdr:row>
      <xdr:rowOff>106680</xdr:rowOff>
    </xdr:to>
    <xdr:sp macro="" textlink="">
      <xdr:nvSpPr>
        <xdr:cNvPr id="6775" name="AutoShape 1655" descr="BRAZIL"/>
        <xdr:cNvSpPr>
          <a:spLocks noChangeAspect="1" noChangeArrowheads="1"/>
        </xdr:cNvSpPr>
      </xdr:nvSpPr>
      <xdr:spPr bwMode="auto">
        <a:xfrm>
          <a:off x="0" y="12146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58</xdr:row>
      <xdr:rowOff>0</xdr:rowOff>
    </xdr:from>
    <xdr:to>
      <xdr:col>22</xdr:col>
      <xdr:colOff>304800</xdr:colOff>
      <xdr:row>59</xdr:row>
      <xdr:rowOff>53340</xdr:rowOff>
    </xdr:to>
    <xdr:sp macro="" textlink="">
      <xdr:nvSpPr>
        <xdr:cNvPr id="6776" name="AutoShape 1656" descr="https://www.soccerstats.com/img/own/sshplogo.png">
          <a:hlinkClick xmlns:r="http://schemas.openxmlformats.org/officeDocument/2006/relationships" r:id="rId716"/>
        </xdr:cNvPr>
        <xdr:cNvSpPr>
          <a:spLocks noChangeAspect="1" noChangeArrowheads="1"/>
        </xdr:cNvSpPr>
      </xdr:nvSpPr>
      <xdr:spPr bwMode="auto">
        <a:xfrm>
          <a:off x="13411200" y="12146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152400</xdr:colOff>
      <xdr:row>59</xdr:row>
      <xdr:rowOff>106680</xdr:rowOff>
    </xdr:to>
    <xdr:sp macro="" textlink="">
      <xdr:nvSpPr>
        <xdr:cNvPr id="6777" name="AutoShape 1657" descr="BRAZIL"/>
        <xdr:cNvSpPr>
          <a:spLocks noChangeAspect="1" noChangeArrowheads="1"/>
        </xdr:cNvSpPr>
      </xdr:nvSpPr>
      <xdr:spPr bwMode="auto">
        <a:xfrm>
          <a:off x="0" y="12321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59</xdr:row>
      <xdr:rowOff>0</xdr:rowOff>
    </xdr:from>
    <xdr:to>
      <xdr:col>22</xdr:col>
      <xdr:colOff>304800</xdr:colOff>
      <xdr:row>60</xdr:row>
      <xdr:rowOff>53340</xdr:rowOff>
    </xdr:to>
    <xdr:sp macro="" textlink="">
      <xdr:nvSpPr>
        <xdr:cNvPr id="6778" name="AutoShape 1658" descr="https://www.soccerstats.com/img/own/sshplogo.png">
          <a:hlinkClick xmlns:r="http://schemas.openxmlformats.org/officeDocument/2006/relationships" r:id="rId717"/>
        </xdr:cNvPr>
        <xdr:cNvSpPr>
          <a:spLocks noChangeAspect="1" noChangeArrowheads="1"/>
        </xdr:cNvSpPr>
      </xdr:nvSpPr>
      <xdr:spPr bwMode="auto">
        <a:xfrm>
          <a:off x="13411200" y="12321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152400</xdr:colOff>
      <xdr:row>60</xdr:row>
      <xdr:rowOff>106680</xdr:rowOff>
    </xdr:to>
    <xdr:sp macro="" textlink="">
      <xdr:nvSpPr>
        <xdr:cNvPr id="6779" name="AutoShape 1659" descr="BRAZIL"/>
        <xdr:cNvSpPr>
          <a:spLocks noChangeAspect="1" noChangeArrowheads="1"/>
        </xdr:cNvSpPr>
      </xdr:nvSpPr>
      <xdr:spPr bwMode="auto">
        <a:xfrm>
          <a:off x="0" y="12496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60</xdr:row>
      <xdr:rowOff>0</xdr:rowOff>
    </xdr:from>
    <xdr:to>
      <xdr:col>22</xdr:col>
      <xdr:colOff>304800</xdr:colOff>
      <xdr:row>60</xdr:row>
      <xdr:rowOff>304800</xdr:rowOff>
    </xdr:to>
    <xdr:sp macro="" textlink="">
      <xdr:nvSpPr>
        <xdr:cNvPr id="6780" name="AutoShape 1660" descr="https://www.soccerstats.com/img/own/sshplogo.png">
          <a:hlinkClick xmlns:r="http://schemas.openxmlformats.org/officeDocument/2006/relationships" r:id="rId718"/>
        </xdr:cNvPr>
        <xdr:cNvSpPr>
          <a:spLocks noChangeAspect="1" noChangeArrowheads="1"/>
        </xdr:cNvSpPr>
      </xdr:nvSpPr>
      <xdr:spPr bwMode="auto">
        <a:xfrm>
          <a:off x="13411200" y="12496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152400</xdr:colOff>
      <xdr:row>61</xdr:row>
      <xdr:rowOff>106680</xdr:rowOff>
    </xdr:to>
    <xdr:sp macro="" textlink="">
      <xdr:nvSpPr>
        <xdr:cNvPr id="6781" name="AutoShape 1661" descr="BRAZIL"/>
        <xdr:cNvSpPr>
          <a:spLocks noChangeAspect="1" noChangeArrowheads="1"/>
        </xdr:cNvSpPr>
      </xdr:nvSpPr>
      <xdr:spPr bwMode="auto">
        <a:xfrm>
          <a:off x="0" y="12672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61</xdr:row>
      <xdr:rowOff>0</xdr:rowOff>
    </xdr:from>
    <xdr:to>
      <xdr:col>22</xdr:col>
      <xdr:colOff>304800</xdr:colOff>
      <xdr:row>62</xdr:row>
      <xdr:rowOff>53340</xdr:rowOff>
    </xdr:to>
    <xdr:sp macro="" textlink="">
      <xdr:nvSpPr>
        <xdr:cNvPr id="6782" name="AutoShape 1662" descr="https://www.soccerstats.com/img/own/sshplogo.png">
          <a:hlinkClick xmlns:r="http://schemas.openxmlformats.org/officeDocument/2006/relationships" r:id="rId719"/>
        </xdr:cNvPr>
        <xdr:cNvSpPr>
          <a:spLocks noChangeAspect="1" noChangeArrowheads="1"/>
        </xdr:cNvSpPr>
      </xdr:nvSpPr>
      <xdr:spPr bwMode="auto">
        <a:xfrm>
          <a:off x="13411200" y="12672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152400</xdr:colOff>
      <xdr:row>62</xdr:row>
      <xdr:rowOff>106680</xdr:rowOff>
    </xdr:to>
    <xdr:sp macro="" textlink="">
      <xdr:nvSpPr>
        <xdr:cNvPr id="6783" name="AutoShape 1663" descr="BRAZIL"/>
        <xdr:cNvSpPr>
          <a:spLocks noChangeAspect="1" noChangeArrowheads="1"/>
        </xdr:cNvSpPr>
      </xdr:nvSpPr>
      <xdr:spPr bwMode="auto">
        <a:xfrm>
          <a:off x="0" y="12923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62</xdr:row>
      <xdr:rowOff>0</xdr:rowOff>
    </xdr:from>
    <xdr:to>
      <xdr:col>22</xdr:col>
      <xdr:colOff>304800</xdr:colOff>
      <xdr:row>63</xdr:row>
      <xdr:rowOff>53340</xdr:rowOff>
    </xdr:to>
    <xdr:sp macro="" textlink="">
      <xdr:nvSpPr>
        <xdr:cNvPr id="6784" name="AutoShape 1664" descr="https://www.soccerstats.com/img/own/sshplogo.png">
          <a:hlinkClick xmlns:r="http://schemas.openxmlformats.org/officeDocument/2006/relationships" r:id="rId720"/>
        </xdr:cNvPr>
        <xdr:cNvSpPr>
          <a:spLocks noChangeAspect="1" noChangeArrowheads="1"/>
        </xdr:cNvSpPr>
      </xdr:nvSpPr>
      <xdr:spPr bwMode="auto">
        <a:xfrm>
          <a:off x="13411200" y="12923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152400</xdr:colOff>
      <xdr:row>63</xdr:row>
      <xdr:rowOff>106680</xdr:rowOff>
    </xdr:to>
    <xdr:sp macro="" textlink="">
      <xdr:nvSpPr>
        <xdr:cNvPr id="6785" name="AutoShape 1665" descr="BRAZIL"/>
        <xdr:cNvSpPr>
          <a:spLocks noChangeAspect="1" noChangeArrowheads="1"/>
        </xdr:cNvSpPr>
      </xdr:nvSpPr>
      <xdr:spPr bwMode="auto">
        <a:xfrm>
          <a:off x="0" y="13098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63</xdr:row>
      <xdr:rowOff>0</xdr:rowOff>
    </xdr:from>
    <xdr:to>
      <xdr:col>22</xdr:col>
      <xdr:colOff>304800</xdr:colOff>
      <xdr:row>64</xdr:row>
      <xdr:rowOff>53340</xdr:rowOff>
    </xdr:to>
    <xdr:sp macro="" textlink="">
      <xdr:nvSpPr>
        <xdr:cNvPr id="6786" name="AutoShape 1666" descr="https://www.soccerstats.com/img/own/sshplogo.png">
          <a:hlinkClick xmlns:r="http://schemas.openxmlformats.org/officeDocument/2006/relationships" r:id="rId721"/>
        </xdr:cNvPr>
        <xdr:cNvSpPr>
          <a:spLocks noChangeAspect="1" noChangeArrowheads="1"/>
        </xdr:cNvSpPr>
      </xdr:nvSpPr>
      <xdr:spPr bwMode="auto">
        <a:xfrm>
          <a:off x="13411200" y="13098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152400</xdr:colOff>
      <xdr:row>64</xdr:row>
      <xdr:rowOff>106680</xdr:rowOff>
    </xdr:to>
    <xdr:sp macro="" textlink="">
      <xdr:nvSpPr>
        <xdr:cNvPr id="6787" name="AutoShape 1667" descr="BRAZIL"/>
        <xdr:cNvSpPr>
          <a:spLocks noChangeAspect="1" noChangeArrowheads="1"/>
        </xdr:cNvSpPr>
      </xdr:nvSpPr>
      <xdr:spPr bwMode="auto">
        <a:xfrm>
          <a:off x="0" y="13274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64</xdr:row>
      <xdr:rowOff>0</xdr:rowOff>
    </xdr:from>
    <xdr:to>
      <xdr:col>22</xdr:col>
      <xdr:colOff>304800</xdr:colOff>
      <xdr:row>65</xdr:row>
      <xdr:rowOff>129540</xdr:rowOff>
    </xdr:to>
    <xdr:sp macro="" textlink="">
      <xdr:nvSpPr>
        <xdr:cNvPr id="6788" name="AutoShape 1668" descr="https://www.soccerstats.com/img/own/sshplogo.png">
          <a:hlinkClick xmlns:r="http://schemas.openxmlformats.org/officeDocument/2006/relationships" r:id="rId722"/>
        </xdr:cNvPr>
        <xdr:cNvSpPr>
          <a:spLocks noChangeAspect="1" noChangeArrowheads="1"/>
        </xdr:cNvSpPr>
      </xdr:nvSpPr>
      <xdr:spPr bwMode="auto">
        <a:xfrm>
          <a:off x="13411200" y="13274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152400</xdr:colOff>
      <xdr:row>65</xdr:row>
      <xdr:rowOff>106680</xdr:rowOff>
    </xdr:to>
    <xdr:sp macro="" textlink="">
      <xdr:nvSpPr>
        <xdr:cNvPr id="6789" name="AutoShape 1669" descr="BRAZIL2"/>
        <xdr:cNvSpPr>
          <a:spLocks noChangeAspect="1" noChangeArrowheads="1"/>
        </xdr:cNvSpPr>
      </xdr:nvSpPr>
      <xdr:spPr bwMode="auto">
        <a:xfrm>
          <a:off x="0" y="13449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65</xdr:row>
      <xdr:rowOff>0</xdr:rowOff>
    </xdr:from>
    <xdr:to>
      <xdr:col>22</xdr:col>
      <xdr:colOff>304800</xdr:colOff>
      <xdr:row>66</xdr:row>
      <xdr:rowOff>129540</xdr:rowOff>
    </xdr:to>
    <xdr:sp macro="" textlink="">
      <xdr:nvSpPr>
        <xdr:cNvPr id="6790" name="AutoShape 1670" descr="https://www.soccerstats.com/img/own/sshplogo.png">
          <a:hlinkClick xmlns:r="http://schemas.openxmlformats.org/officeDocument/2006/relationships" r:id="rId723"/>
        </xdr:cNvPr>
        <xdr:cNvSpPr>
          <a:spLocks noChangeAspect="1" noChangeArrowheads="1"/>
        </xdr:cNvSpPr>
      </xdr:nvSpPr>
      <xdr:spPr bwMode="auto">
        <a:xfrm>
          <a:off x="13411200" y="1344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152400</xdr:colOff>
      <xdr:row>66</xdr:row>
      <xdr:rowOff>106680</xdr:rowOff>
    </xdr:to>
    <xdr:sp macro="" textlink="">
      <xdr:nvSpPr>
        <xdr:cNvPr id="6791" name="AutoShape 1671" descr="BRAZIL2"/>
        <xdr:cNvSpPr>
          <a:spLocks noChangeAspect="1" noChangeArrowheads="1"/>
        </xdr:cNvSpPr>
      </xdr:nvSpPr>
      <xdr:spPr bwMode="auto">
        <a:xfrm>
          <a:off x="0" y="13624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66</xdr:row>
      <xdr:rowOff>0</xdr:rowOff>
    </xdr:from>
    <xdr:to>
      <xdr:col>22</xdr:col>
      <xdr:colOff>304800</xdr:colOff>
      <xdr:row>67</xdr:row>
      <xdr:rowOff>129540</xdr:rowOff>
    </xdr:to>
    <xdr:sp macro="" textlink="">
      <xdr:nvSpPr>
        <xdr:cNvPr id="6792" name="AutoShape 1672" descr="https://www.soccerstats.com/img/own/sshplogo.png">
          <a:hlinkClick xmlns:r="http://schemas.openxmlformats.org/officeDocument/2006/relationships" r:id="rId724"/>
        </xdr:cNvPr>
        <xdr:cNvSpPr>
          <a:spLocks noChangeAspect="1" noChangeArrowheads="1"/>
        </xdr:cNvSpPr>
      </xdr:nvSpPr>
      <xdr:spPr bwMode="auto">
        <a:xfrm>
          <a:off x="13411200" y="13624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152400</xdr:colOff>
      <xdr:row>67</xdr:row>
      <xdr:rowOff>106680</xdr:rowOff>
    </xdr:to>
    <xdr:sp macro="" textlink="">
      <xdr:nvSpPr>
        <xdr:cNvPr id="6793" name="AutoShape 1673" descr="BRAZIL2"/>
        <xdr:cNvSpPr>
          <a:spLocks noChangeAspect="1" noChangeArrowheads="1"/>
        </xdr:cNvSpPr>
      </xdr:nvSpPr>
      <xdr:spPr bwMode="auto">
        <a:xfrm>
          <a:off x="0" y="13799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67</xdr:row>
      <xdr:rowOff>0</xdr:rowOff>
    </xdr:from>
    <xdr:to>
      <xdr:col>22</xdr:col>
      <xdr:colOff>304800</xdr:colOff>
      <xdr:row>68</xdr:row>
      <xdr:rowOff>129540</xdr:rowOff>
    </xdr:to>
    <xdr:sp macro="" textlink="">
      <xdr:nvSpPr>
        <xdr:cNvPr id="6794" name="AutoShape 1674" descr="https://www.soccerstats.com/img/own/sshplogo.png">
          <a:hlinkClick xmlns:r="http://schemas.openxmlformats.org/officeDocument/2006/relationships" r:id="rId725"/>
        </xdr:cNvPr>
        <xdr:cNvSpPr>
          <a:spLocks noChangeAspect="1" noChangeArrowheads="1"/>
        </xdr:cNvSpPr>
      </xdr:nvSpPr>
      <xdr:spPr bwMode="auto">
        <a:xfrm>
          <a:off x="13411200" y="13799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152400</xdr:colOff>
      <xdr:row>68</xdr:row>
      <xdr:rowOff>106680</xdr:rowOff>
    </xdr:to>
    <xdr:sp macro="" textlink="">
      <xdr:nvSpPr>
        <xdr:cNvPr id="6795" name="AutoShape 1675" descr="BRAZIL3"/>
        <xdr:cNvSpPr>
          <a:spLocks noChangeAspect="1" noChangeArrowheads="1"/>
        </xdr:cNvSpPr>
      </xdr:nvSpPr>
      <xdr:spPr bwMode="auto">
        <a:xfrm>
          <a:off x="0" y="14051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68</xdr:row>
      <xdr:rowOff>0</xdr:rowOff>
    </xdr:from>
    <xdr:to>
      <xdr:col>22</xdr:col>
      <xdr:colOff>304800</xdr:colOff>
      <xdr:row>69</xdr:row>
      <xdr:rowOff>129540</xdr:rowOff>
    </xdr:to>
    <xdr:sp macro="" textlink="">
      <xdr:nvSpPr>
        <xdr:cNvPr id="6796" name="AutoShape 1676" descr="https://www.soccerstats.com/img/own/sshplogo.png">
          <a:hlinkClick xmlns:r="http://schemas.openxmlformats.org/officeDocument/2006/relationships" r:id="rId726"/>
        </xdr:cNvPr>
        <xdr:cNvSpPr>
          <a:spLocks noChangeAspect="1" noChangeArrowheads="1"/>
        </xdr:cNvSpPr>
      </xdr:nvSpPr>
      <xdr:spPr bwMode="auto">
        <a:xfrm>
          <a:off x="13411200" y="14051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152400</xdr:colOff>
      <xdr:row>69</xdr:row>
      <xdr:rowOff>106680</xdr:rowOff>
    </xdr:to>
    <xdr:sp macro="" textlink="">
      <xdr:nvSpPr>
        <xdr:cNvPr id="6797" name="AutoShape 1677" descr="BRAZIL3"/>
        <xdr:cNvSpPr>
          <a:spLocks noChangeAspect="1" noChangeArrowheads="1"/>
        </xdr:cNvSpPr>
      </xdr:nvSpPr>
      <xdr:spPr bwMode="auto">
        <a:xfrm>
          <a:off x="0" y="14226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69</xdr:row>
      <xdr:rowOff>0</xdr:rowOff>
    </xdr:from>
    <xdr:to>
      <xdr:col>22</xdr:col>
      <xdr:colOff>304800</xdr:colOff>
      <xdr:row>70</xdr:row>
      <xdr:rowOff>129540</xdr:rowOff>
    </xdr:to>
    <xdr:sp macro="" textlink="">
      <xdr:nvSpPr>
        <xdr:cNvPr id="6798" name="AutoShape 1678" descr="https://www.soccerstats.com/img/own/sshplogo.png">
          <a:hlinkClick xmlns:r="http://schemas.openxmlformats.org/officeDocument/2006/relationships" r:id="rId727"/>
        </xdr:cNvPr>
        <xdr:cNvSpPr>
          <a:spLocks noChangeAspect="1" noChangeArrowheads="1"/>
        </xdr:cNvSpPr>
      </xdr:nvSpPr>
      <xdr:spPr bwMode="auto">
        <a:xfrm>
          <a:off x="13411200" y="14226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152400</xdr:colOff>
      <xdr:row>70</xdr:row>
      <xdr:rowOff>106680</xdr:rowOff>
    </xdr:to>
    <xdr:sp macro="" textlink="">
      <xdr:nvSpPr>
        <xdr:cNvPr id="6799" name="AutoShape 1679" descr="BRAZIL3"/>
        <xdr:cNvSpPr>
          <a:spLocks noChangeAspect="1" noChangeArrowheads="1"/>
        </xdr:cNvSpPr>
      </xdr:nvSpPr>
      <xdr:spPr bwMode="auto">
        <a:xfrm>
          <a:off x="0" y="14401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70</xdr:row>
      <xdr:rowOff>0</xdr:rowOff>
    </xdr:from>
    <xdr:to>
      <xdr:col>22</xdr:col>
      <xdr:colOff>304800</xdr:colOff>
      <xdr:row>71</xdr:row>
      <xdr:rowOff>129540</xdr:rowOff>
    </xdr:to>
    <xdr:sp macro="" textlink="">
      <xdr:nvSpPr>
        <xdr:cNvPr id="6800" name="AutoShape 1680" descr="https://www.soccerstats.com/img/own/sshplogo.png">
          <a:hlinkClick xmlns:r="http://schemas.openxmlformats.org/officeDocument/2006/relationships" r:id="rId728"/>
        </xdr:cNvPr>
        <xdr:cNvSpPr>
          <a:spLocks noChangeAspect="1" noChangeArrowheads="1"/>
        </xdr:cNvSpPr>
      </xdr:nvSpPr>
      <xdr:spPr bwMode="auto">
        <a:xfrm>
          <a:off x="13411200" y="1440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152400</xdr:colOff>
      <xdr:row>71</xdr:row>
      <xdr:rowOff>106680</xdr:rowOff>
    </xdr:to>
    <xdr:sp macro="" textlink="">
      <xdr:nvSpPr>
        <xdr:cNvPr id="6801" name="AutoShape 1681" descr="BRAZIL3"/>
        <xdr:cNvSpPr>
          <a:spLocks noChangeAspect="1" noChangeArrowheads="1"/>
        </xdr:cNvSpPr>
      </xdr:nvSpPr>
      <xdr:spPr bwMode="auto">
        <a:xfrm>
          <a:off x="0" y="14577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71</xdr:row>
      <xdr:rowOff>0</xdr:rowOff>
    </xdr:from>
    <xdr:to>
      <xdr:col>22</xdr:col>
      <xdr:colOff>304800</xdr:colOff>
      <xdr:row>72</xdr:row>
      <xdr:rowOff>53340</xdr:rowOff>
    </xdr:to>
    <xdr:sp macro="" textlink="">
      <xdr:nvSpPr>
        <xdr:cNvPr id="6802" name="AutoShape 1682" descr="https://www.soccerstats.com/img/own/sshplogo.png">
          <a:hlinkClick xmlns:r="http://schemas.openxmlformats.org/officeDocument/2006/relationships" r:id="rId729"/>
        </xdr:cNvPr>
        <xdr:cNvSpPr>
          <a:spLocks noChangeAspect="1" noChangeArrowheads="1"/>
        </xdr:cNvSpPr>
      </xdr:nvSpPr>
      <xdr:spPr bwMode="auto">
        <a:xfrm>
          <a:off x="13411200" y="14577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152400</xdr:colOff>
      <xdr:row>72</xdr:row>
      <xdr:rowOff>106680</xdr:rowOff>
    </xdr:to>
    <xdr:sp macro="" textlink="">
      <xdr:nvSpPr>
        <xdr:cNvPr id="6803" name="AutoShape 1683" descr="BRAZIL5"/>
        <xdr:cNvSpPr>
          <a:spLocks noChangeAspect="1" noChangeArrowheads="1"/>
        </xdr:cNvSpPr>
      </xdr:nvSpPr>
      <xdr:spPr bwMode="auto">
        <a:xfrm>
          <a:off x="0" y="14752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72</xdr:row>
      <xdr:rowOff>0</xdr:rowOff>
    </xdr:from>
    <xdr:to>
      <xdr:col>22</xdr:col>
      <xdr:colOff>304800</xdr:colOff>
      <xdr:row>73</xdr:row>
      <xdr:rowOff>53340</xdr:rowOff>
    </xdr:to>
    <xdr:sp macro="" textlink="">
      <xdr:nvSpPr>
        <xdr:cNvPr id="6804" name="AutoShape 1684" descr="https://www.soccerstats.com/img/own/sshplogo.png">
          <a:hlinkClick xmlns:r="http://schemas.openxmlformats.org/officeDocument/2006/relationships" r:id="rId730"/>
        </xdr:cNvPr>
        <xdr:cNvSpPr>
          <a:spLocks noChangeAspect="1" noChangeArrowheads="1"/>
        </xdr:cNvSpPr>
      </xdr:nvSpPr>
      <xdr:spPr bwMode="auto">
        <a:xfrm>
          <a:off x="13411200" y="14752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152400</xdr:colOff>
      <xdr:row>73</xdr:row>
      <xdr:rowOff>106680</xdr:rowOff>
    </xdr:to>
    <xdr:sp macro="" textlink="">
      <xdr:nvSpPr>
        <xdr:cNvPr id="6805" name="AutoShape 1685" descr="BRAZIL5"/>
        <xdr:cNvSpPr>
          <a:spLocks noChangeAspect="1" noChangeArrowheads="1"/>
        </xdr:cNvSpPr>
      </xdr:nvSpPr>
      <xdr:spPr bwMode="auto">
        <a:xfrm>
          <a:off x="0" y="14927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73</xdr:row>
      <xdr:rowOff>0</xdr:rowOff>
    </xdr:from>
    <xdr:to>
      <xdr:col>22</xdr:col>
      <xdr:colOff>304800</xdr:colOff>
      <xdr:row>74</xdr:row>
      <xdr:rowOff>129540</xdr:rowOff>
    </xdr:to>
    <xdr:sp macro="" textlink="">
      <xdr:nvSpPr>
        <xdr:cNvPr id="6806" name="AutoShape 1686" descr="https://www.soccerstats.com/img/own/sshplogo.png">
          <a:hlinkClick xmlns:r="http://schemas.openxmlformats.org/officeDocument/2006/relationships" r:id="rId731"/>
        </xdr:cNvPr>
        <xdr:cNvSpPr>
          <a:spLocks noChangeAspect="1" noChangeArrowheads="1"/>
        </xdr:cNvSpPr>
      </xdr:nvSpPr>
      <xdr:spPr bwMode="auto">
        <a:xfrm>
          <a:off x="13411200" y="14927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152400</xdr:colOff>
      <xdr:row>74</xdr:row>
      <xdr:rowOff>106680</xdr:rowOff>
    </xdr:to>
    <xdr:sp macro="" textlink="">
      <xdr:nvSpPr>
        <xdr:cNvPr id="6807" name="AutoShape 1687" descr="BRAZIL5"/>
        <xdr:cNvSpPr>
          <a:spLocks noChangeAspect="1" noChangeArrowheads="1"/>
        </xdr:cNvSpPr>
      </xdr:nvSpPr>
      <xdr:spPr bwMode="auto">
        <a:xfrm>
          <a:off x="0" y="15102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74</xdr:row>
      <xdr:rowOff>0</xdr:rowOff>
    </xdr:from>
    <xdr:to>
      <xdr:col>22</xdr:col>
      <xdr:colOff>304800</xdr:colOff>
      <xdr:row>75</xdr:row>
      <xdr:rowOff>129540</xdr:rowOff>
    </xdr:to>
    <xdr:sp macro="" textlink="">
      <xdr:nvSpPr>
        <xdr:cNvPr id="6808" name="AutoShape 1688" descr="https://www.soccerstats.com/img/own/sshplogo.png">
          <a:hlinkClick xmlns:r="http://schemas.openxmlformats.org/officeDocument/2006/relationships" r:id="rId732"/>
        </xdr:cNvPr>
        <xdr:cNvSpPr>
          <a:spLocks noChangeAspect="1" noChangeArrowheads="1"/>
        </xdr:cNvSpPr>
      </xdr:nvSpPr>
      <xdr:spPr bwMode="auto">
        <a:xfrm>
          <a:off x="13411200" y="15102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152400</xdr:colOff>
      <xdr:row>75</xdr:row>
      <xdr:rowOff>106680</xdr:rowOff>
    </xdr:to>
    <xdr:sp macro="" textlink="">
      <xdr:nvSpPr>
        <xdr:cNvPr id="6809" name="AutoShape 1689" descr="BULGARIA"/>
        <xdr:cNvSpPr>
          <a:spLocks noChangeAspect="1" noChangeArrowheads="1"/>
        </xdr:cNvSpPr>
      </xdr:nvSpPr>
      <xdr:spPr bwMode="auto">
        <a:xfrm>
          <a:off x="0" y="15278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75</xdr:row>
      <xdr:rowOff>0</xdr:rowOff>
    </xdr:from>
    <xdr:to>
      <xdr:col>22</xdr:col>
      <xdr:colOff>304800</xdr:colOff>
      <xdr:row>76</xdr:row>
      <xdr:rowOff>129540</xdr:rowOff>
    </xdr:to>
    <xdr:sp macro="" textlink="">
      <xdr:nvSpPr>
        <xdr:cNvPr id="6810" name="AutoShape 1690" descr="https://www.soccerstats.com/img/own/sshplogo.png">
          <a:hlinkClick xmlns:r="http://schemas.openxmlformats.org/officeDocument/2006/relationships" r:id="rId733"/>
        </xdr:cNvPr>
        <xdr:cNvSpPr>
          <a:spLocks noChangeAspect="1" noChangeArrowheads="1"/>
        </xdr:cNvSpPr>
      </xdr:nvSpPr>
      <xdr:spPr bwMode="auto">
        <a:xfrm>
          <a:off x="13411200" y="15278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152400</xdr:colOff>
      <xdr:row>76</xdr:row>
      <xdr:rowOff>106680</xdr:rowOff>
    </xdr:to>
    <xdr:sp macro="" textlink="">
      <xdr:nvSpPr>
        <xdr:cNvPr id="6811" name="AutoShape 1691" descr="BULGARIA"/>
        <xdr:cNvSpPr>
          <a:spLocks noChangeAspect="1" noChangeArrowheads="1"/>
        </xdr:cNvSpPr>
      </xdr:nvSpPr>
      <xdr:spPr bwMode="auto">
        <a:xfrm>
          <a:off x="0" y="15453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76</xdr:row>
      <xdr:rowOff>0</xdr:rowOff>
    </xdr:from>
    <xdr:to>
      <xdr:col>22</xdr:col>
      <xdr:colOff>304800</xdr:colOff>
      <xdr:row>77</xdr:row>
      <xdr:rowOff>129540</xdr:rowOff>
    </xdr:to>
    <xdr:sp macro="" textlink="">
      <xdr:nvSpPr>
        <xdr:cNvPr id="6812" name="AutoShape 1692" descr="https://www.soccerstats.com/img/own/sshplogo.png">
          <a:hlinkClick xmlns:r="http://schemas.openxmlformats.org/officeDocument/2006/relationships" r:id="rId734"/>
        </xdr:cNvPr>
        <xdr:cNvSpPr>
          <a:spLocks noChangeAspect="1" noChangeArrowheads="1"/>
        </xdr:cNvSpPr>
      </xdr:nvSpPr>
      <xdr:spPr bwMode="auto">
        <a:xfrm>
          <a:off x="13411200" y="15453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152400</xdr:colOff>
      <xdr:row>77</xdr:row>
      <xdr:rowOff>106680</xdr:rowOff>
    </xdr:to>
    <xdr:sp macro="" textlink="">
      <xdr:nvSpPr>
        <xdr:cNvPr id="6813" name="AutoShape 1693" descr="BULGARIA2"/>
        <xdr:cNvSpPr>
          <a:spLocks noChangeAspect="1" noChangeArrowheads="1"/>
        </xdr:cNvSpPr>
      </xdr:nvSpPr>
      <xdr:spPr bwMode="auto">
        <a:xfrm>
          <a:off x="0" y="15628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77</xdr:row>
      <xdr:rowOff>0</xdr:rowOff>
    </xdr:from>
    <xdr:to>
      <xdr:col>22</xdr:col>
      <xdr:colOff>304800</xdr:colOff>
      <xdr:row>78</xdr:row>
      <xdr:rowOff>129540</xdr:rowOff>
    </xdr:to>
    <xdr:sp macro="" textlink="">
      <xdr:nvSpPr>
        <xdr:cNvPr id="6814" name="AutoShape 1694" descr="https://www.soccerstats.com/img/own/sshplogo.png">
          <a:hlinkClick xmlns:r="http://schemas.openxmlformats.org/officeDocument/2006/relationships" r:id="rId735"/>
        </xdr:cNvPr>
        <xdr:cNvSpPr>
          <a:spLocks noChangeAspect="1" noChangeArrowheads="1"/>
        </xdr:cNvSpPr>
      </xdr:nvSpPr>
      <xdr:spPr bwMode="auto">
        <a:xfrm>
          <a:off x="13411200" y="15628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152400</xdr:colOff>
      <xdr:row>78</xdr:row>
      <xdr:rowOff>106680</xdr:rowOff>
    </xdr:to>
    <xdr:sp macro="" textlink="">
      <xdr:nvSpPr>
        <xdr:cNvPr id="6815" name="AutoShape 1695" descr="BULGARIA2"/>
        <xdr:cNvSpPr>
          <a:spLocks noChangeAspect="1" noChangeArrowheads="1"/>
        </xdr:cNvSpPr>
      </xdr:nvSpPr>
      <xdr:spPr bwMode="auto">
        <a:xfrm>
          <a:off x="0" y="15880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78</xdr:row>
      <xdr:rowOff>0</xdr:rowOff>
    </xdr:from>
    <xdr:to>
      <xdr:col>22</xdr:col>
      <xdr:colOff>304800</xdr:colOff>
      <xdr:row>79</xdr:row>
      <xdr:rowOff>129540</xdr:rowOff>
    </xdr:to>
    <xdr:sp macro="" textlink="">
      <xdr:nvSpPr>
        <xdr:cNvPr id="6816" name="AutoShape 1696" descr="https://www.soccerstats.com/img/own/sshplogo.png">
          <a:hlinkClick xmlns:r="http://schemas.openxmlformats.org/officeDocument/2006/relationships" r:id="rId736"/>
        </xdr:cNvPr>
        <xdr:cNvSpPr>
          <a:spLocks noChangeAspect="1" noChangeArrowheads="1"/>
        </xdr:cNvSpPr>
      </xdr:nvSpPr>
      <xdr:spPr bwMode="auto">
        <a:xfrm>
          <a:off x="13411200" y="15880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152400</xdr:colOff>
      <xdr:row>79</xdr:row>
      <xdr:rowOff>106680</xdr:rowOff>
    </xdr:to>
    <xdr:sp macro="" textlink="">
      <xdr:nvSpPr>
        <xdr:cNvPr id="6817" name="AutoShape 1697" descr="BULGARIA2"/>
        <xdr:cNvSpPr>
          <a:spLocks noChangeAspect="1" noChangeArrowheads="1"/>
        </xdr:cNvSpPr>
      </xdr:nvSpPr>
      <xdr:spPr bwMode="auto">
        <a:xfrm>
          <a:off x="0" y="16131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79</xdr:row>
      <xdr:rowOff>0</xdr:rowOff>
    </xdr:from>
    <xdr:to>
      <xdr:col>22</xdr:col>
      <xdr:colOff>304800</xdr:colOff>
      <xdr:row>80</xdr:row>
      <xdr:rowOff>53340</xdr:rowOff>
    </xdr:to>
    <xdr:sp macro="" textlink="">
      <xdr:nvSpPr>
        <xdr:cNvPr id="6818" name="AutoShape 1698" descr="https://www.soccerstats.com/img/own/sshplogo.png">
          <a:hlinkClick xmlns:r="http://schemas.openxmlformats.org/officeDocument/2006/relationships" r:id="rId737"/>
        </xdr:cNvPr>
        <xdr:cNvSpPr>
          <a:spLocks noChangeAspect="1" noChangeArrowheads="1"/>
        </xdr:cNvSpPr>
      </xdr:nvSpPr>
      <xdr:spPr bwMode="auto">
        <a:xfrm>
          <a:off x="13411200" y="16131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152400</xdr:colOff>
      <xdr:row>80</xdr:row>
      <xdr:rowOff>106680</xdr:rowOff>
    </xdr:to>
    <xdr:sp macro="" textlink="">
      <xdr:nvSpPr>
        <xdr:cNvPr id="6819" name="AutoShape 1699" descr="BULGARIA2"/>
        <xdr:cNvSpPr>
          <a:spLocks noChangeAspect="1" noChangeArrowheads="1"/>
        </xdr:cNvSpPr>
      </xdr:nvSpPr>
      <xdr:spPr bwMode="auto">
        <a:xfrm>
          <a:off x="0" y="16306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80</xdr:row>
      <xdr:rowOff>0</xdr:rowOff>
    </xdr:from>
    <xdr:to>
      <xdr:col>22</xdr:col>
      <xdr:colOff>304800</xdr:colOff>
      <xdr:row>81</xdr:row>
      <xdr:rowOff>129540</xdr:rowOff>
    </xdr:to>
    <xdr:sp macro="" textlink="">
      <xdr:nvSpPr>
        <xdr:cNvPr id="6820" name="AutoShape 1700" descr="https://www.soccerstats.com/img/own/sshplogo.png">
          <a:hlinkClick xmlns:r="http://schemas.openxmlformats.org/officeDocument/2006/relationships" r:id="rId738"/>
        </xdr:cNvPr>
        <xdr:cNvSpPr>
          <a:spLocks noChangeAspect="1" noChangeArrowheads="1"/>
        </xdr:cNvSpPr>
      </xdr:nvSpPr>
      <xdr:spPr bwMode="auto">
        <a:xfrm>
          <a:off x="13411200" y="16306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152400</xdr:colOff>
      <xdr:row>81</xdr:row>
      <xdr:rowOff>106680</xdr:rowOff>
    </xdr:to>
    <xdr:sp macro="" textlink="">
      <xdr:nvSpPr>
        <xdr:cNvPr id="6821" name="AutoShape 1701" descr="BULGARIA2"/>
        <xdr:cNvSpPr>
          <a:spLocks noChangeAspect="1" noChangeArrowheads="1"/>
        </xdr:cNvSpPr>
      </xdr:nvSpPr>
      <xdr:spPr bwMode="auto">
        <a:xfrm>
          <a:off x="0" y="16482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81</xdr:row>
      <xdr:rowOff>0</xdr:rowOff>
    </xdr:from>
    <xdr:to>
      <xdr:col>22</xdr:col>
      <xdr:colOff>304800</xdr:colOff>
      <xdr:row>82</xdr:row>
      <xdr:rowOff>53340</xdr:rowOff>
    </xdr:to>
    <xdr:sp macro="" textlink="">
      <xdr:nvSpPr>
        <xdr:cNvPr id="6822" name="AutoShape 1702" descr="https://www.soccerstats.com/img/own/sshplogo.png">
          <a:hlinkClick xmlns:r="http://schemas.openxmlformats.org/officeDocument/2006/relationships" r:id="rId739"/>
        </xdr:cNvPr>
        <xdr:cNvSpPr>
          <a:spLocks noChangeAspect="1" noChangeArrowheads="1"/>
        </xdr:cNvSpPr>
      </xdr:nvSpPr>
      <xdr:spPr bwMode="auto">
        <a:xfrm>
          <a:off x="13411200" y="16482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152400</xdr:colOff>
      <xdr:row>82</xdr:row>
      <xdr:rowOff>106680</xdr:rowOff>
    </xdr:to>
    <xdr:sp macro="" textlink="">
      <xdr:nvSpPr>
        <xdr:cNvPr id="6823" name="AutoShape 1703" descr="CANADA"/>
        <xdr:cNvSpPr>
          <a:spLocks noChangeAspect="1" noChangeArrowheads="1"/>
        </xdr:cNvSpPr>
      </xdr:nvSpPr>
      <xdr:spPr bwMode="auto">
        <a:xfrm>
          <a:off x="0" y="16657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82</xdr:row>
      <xdr:rowOff>0</xdr:rowOff>
    </xdr:from>
    <xdr:to>
      <xdr:col>22</xdr:col>
      <xdr:colOff>304800</xdr:colOff>
      <xdr:row>83</xdr:row>
      <xdr:rowOff>129540</xdr:rowOff>
    </xdr:to>
    <xdr:sp macro="" textlink="">
      <xdr:nvSpPr>
        <xdr:cNvPr id="6824" name="AutoShape 1704" descr="https://www.soccerstats.com/img/own/sshplogo.png">
          <a:hlinkClick xmlns:r="http://schemas.openxmlformats.org/officeDocument/2006/relationships" r:id="rId740"/>
        </xdr:cNvPr>
        <xdr:cNvSpPr>
          <a:spLocks noChangeAspect="1" noChangeArrowheads="1"/>
        </xdr:cNvSpPr>
      </xdr:nvSpPr>
      <xdr:spPr bwMode="auto">
        <a:xfrm>
          <a:off x="13411200" y="16657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152400</xdr:colOff>
      <xdr:row>83</xdr:row>
      <xdr:rowOff>106680</xdr:rowOff>
    </xdr:to>
    <xdr:sp macro="" textlink="">
      <xdr:nvSpPr>
        <xdr:cNvPr id="6825" name="AutoShape 1705" descr="CANADA"/>
        <xdr:cNvSpPr>
          <a:spLocks noChangeAspect="1" noChangeArrowheads="1"/>
        </xdr:cNvSpPr>
      </xdr:nvSpPr>
      <xdr:spPr bwMode="auto">
        <a:xfrm>
          <a:off x="0" y="16908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83</xdr:row>
      <xdr:rowOff>0</xdr:rowOff>
    </xdr:from>
    <xdr:to>
      <xdr:col>22</xdr:col>
      <xdr:colOff>304800</xdr:colOff>
      <xdr:row>84</xdr:row>
      <xdr:rowOff>53340</xdr:rowOff>
    </xdr:to>
    <xdr:sp macro="" textlink="">
      <xdr:nvSpPr>
        <xdr:cNvPr id="6826" name="AutoShape 1706" descr="https://www.soccerstats.com/img/own/sshplogo.png">
          <a:hlinkClick xmlns:r="http://schemas.openxmlformats.org/officeDocument/2006/relationships" r:id="rId741"/>
        </xdr:cNvPr>
        <xdr:cNvSpPr>
          <a:spLocks noChangeAspect="1" noChangeArrowheads="1"/>
        </xdr:cNvSpPr>
      </xdr:nvSpPr>
      <xdr:spPr bwMode="auto">
        <a:xfrm>
          <a:off x="13411200" y="16908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152400</xdr:colOff>
      <xdr:row>84</xdr:row>
      <xdr:rowOff>106680</xdr:rowOff>
    </xdr:to>
    <xdr:sp macro="" textlink="">
      <xdr:nvSpPr>
        <xdr:cNvPr id="6827" name="AutoShape 1707" descr="CHILE"/>
        <xdr:cNvSpPr>
          <a:spLocks noChangeAspect="1" noChangeArrowheads="1"/>
        </xdr:cNvSpPr>
      </xdr:nvSpPr>
      <xdr:spPr bwMode="auto">
        <a:xfrm>
          <a:off x="0" y="17160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84</xdr:row>
      <xdr:rowOff>0</xdr:rowOff>
    </xdr:from>
    <xdr:to>
      <xdr:col>22</xdr:col>
      <xdr:colOff>304800</xdr:colOff>
      <xdr:row>85</xdr:row>
      <xdr:rowOff>129540</xdr:rowOff>
    </xdr:to>
    <xdr:sp macro="" textlink="">
      <xdr:nvSpPr>
        <xdr:cNvPr id="6828" name="AutoShape 1708" descr="https://www.soccerstats.com/img/own/sshplogo.png">
          <a:hlinkClick xmlns:r="http://schemas.openxmlformats.org/officeDocument/2006/relationships" r:id="rId742"/>
        </xdr:cNvPr>
        <xdr:cNvSpPr>
          <a:spLocks noChangeAspect="1" noChangeArrowheads="1"/>
        </xdr:cNvSpPr>
      </xdr:nvSpPr>
      <xdr:spPr bwMode="auto">
        <a:xfrm>
          <a:off x="13411200" y="17160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152400</xdr:colOff>
      <xdr:row>85</xdr:row>
      <xdr:rowOff>106680</xdr:rowOff>
    </xdr:to>
    <xdr:sp macro="" textlink="">
      <xdr:nvSpPr>
        <xdr:cNvPr id="6829" name="AutoShape 1709" descr="CHILE"/>
        <xdr:cNvSpPr>
          <a:spLocks noChangeAspect="1" noChangeArrowheads="1"/>
        </xdr:cNvSpPr>
      </xdr:nvSpPr>
      <xdr:spPr bwMode="auto">
        <a:xfrm>
          <a:off x="0" y="17411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85</xdr:row>
      <xdr:rowOff>0</xdr:rowOff>
    </xdr:from>
    <xdr:to>
      <xdr:col>22</xdr:col>
      <xdr:colOff>304800</xdr:colOff>
      <xdr:row>86</xdr:row>
      <xdr:rowOff>129540</xdr:rowOff>
    </xdr:to>
    <xdr:sp macro="" textlink="">
      <xdr:nvSpPr>
        <xdr:cNvPr id="6830" name="AutoShape 1710" descr="https://www.soccerstats.com/img/own/sshplogo.png">
          <a:hlinkClick xmlns:r="http://schemas.openxmlformats.org/officeDocument/2006/relationships" r:id="rId743"/>
        </xdr:cNvPr>
        <xdr:cNvSpPr>
          <a:spLocks noChangeAspect="1" noChangeArrowheads="1"/>
        </xdr:cNvSpPr>
      </xdr:nvSpPr>
      <xdr:spPr bwMode="auto">
        <a:xfrm>
          <a:off x="13411200" y="1741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152400</xdr:colOff>
      <xdr:row>86</xdr:row>
      <xdr:rowOff>106680</xdr:rowOff>
    </xdr:to>
    <xdr:sp macro="" textlink="">
      <xdr:nvSpPr>
        <xdr:cNvPr id="6831" name="AutoShape 1711" descr="CHILE"/>
        <xdr:cNvSpPr>
          <a:spLocks noChangeAspect="1" noChangeArrowheads="1"/>
        </xdr:cNvSpPr>
      </xdr:nvSpPr>
      <xdr:spPr bwMode="auto">
        <a:xfrm>
          <a:off x="0" y="17663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86</xdr:row>
      <xdr:rowOff>0</xdr:rowOff>
    </xdr:from>
    <xdr:to>
      <xdr:col>22</xdr:col>
      <xdr:colOff>304800</xdr:colOff>
      <xdr:row>87</xdr:row>
      <xdr:rowOff>53340</xdr:rowOff>
    </xdr:to>
    <xdr:sp macro="" textlink="">
      <xdr:nvSpPr>
        <xdr:cNvPr id="6832" name="AutoShape 1712" descr="https://www.soccerstats.com/img/own/sshplogo.png">
          <a:hlinkClick xmlns:r="http://schemas.openxmlformats.org/officeDocument/2006/relationships" r:id="rId744"/>
        </xdr:cNvPr>
        <xdr:cNvSpPr>
          <a:spLocks noChangeAspect="1" noChangeArrowheads="1"/>
        </xdr:cNvSpPr>
      </xdr:nvSpPr>
      <xdr:spPr bwMode="auto">
        <a:xfrm>
          <a:off x="13411200" y="17663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152400</xdr:colOff>
      <xdr:row>87</xdr:row>
      <xdr:rowOff>106680</xdr:rowOff>
    </xdr:to>
    <xdr:sp macro="" textlink="">
      <xdr:nvSpPr>
        <xdr:cNvPr id="6833" name="AutoShape 1713" descr="CHILE"/>
        <xdr:cNvSpPr>
          <a:spLocks noChangeAspect="1" noChangeArrowheads="1"/>
        </xdr:cNvSpPr>
      </xdr:nvSpPr>
      <xdr:spPr bwMode="auto">
        <a:xfrm>
          <a:off x="0" y="17838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87</xdr:row>
      <xdr:rowOff>0</xdr:rowOff>
    </xdr:from>
    <xdr:to>
      <xdr:col>22</xdr:col>
      <xdr:colOff>304800</xdr:colOff>
      <xdr:row>88</xdr:row>
      <xdr:rowOff>129540</xdr:rowOff>
    </xdr:to>
    <xdr:sp macro="" textlink="">
      <xdr:nvSpPr>
        <xdr:cNvPr id="6834" name="AutoShape 1714" descr="https://www.soccerstats.com/img/own/sshplogo.png">
          <a:hlinkClick xmlns:r="http://schemas.openxmlformats.org/officeDocument/2006/relationships" r:id="rId745"/>
        </xdr:cNvPr>
        <xdr:cNvSpPr>
          <a:spLocks noChangeAspect="1" noChangeArrowheads="1"/>
        </xdr:cNvSpPr>
      </xdr:nvSpPr>
      <xdr:spPr bwMode="auto">
        <a:xfrm>
          <a:off x="13411200" y="17838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152400</xdr:colOff>
      <xdr:row>88</xdr:row>
      <xdr:rowOff>106680</xdr:rowOff>
    </xdr:to>
    <xdr:sp macro="" textlink="">
      <xdr:nvSpPr>
        <xdr:cNvPr id="6835" name="AutoShape 1715" descr="CHILE2"/>
        <xdr:cNvSpPr>
          <a:spLocks noChangeAspect="1" noChangeArrowheads="1"/>
        </xdr:cNvSpPr>
      </xdr:nvSpPr>
      <xdr:spPr bwMode="auto">
        <a:xfrm>
          <a:off x="0" y="18013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88</xdr:row>
      <xdr:rowOff>0</xdr:rowOff>
    </xdr:from>
    <xdr:to>
      <xdr:col>22</xdr:col>
      <xdr:colOff>304800</xdr:colOff>
      <xdr:row>89</xdr:row>
      <xdr:rowOff>53340</xdr:rowOff>
    </xdr:to>
    <xdr:sp macro="" textlink="">
      <xdr:nvSpPr>
        <xdr:cNvPr id="6836" name="AutoShape 1716" descr="https://www.soccerstats.com/img/own/sshplogo.png">
          <a:hlinkClick xmlns:r="http://schemas.openxmlformats.org/officeDocument/2006/relationships" r:id="rId746"/>
        </xdr:cNvPr>
        <xdr:cNvSpPr>
          <a:spLocks noChangeAspect="1" noChangeArrowheads="1"/>
        </xdr:cNvSpPr>
      </xdr:nvSpPr>
      <xdr:spPr bwMode="auto">
        <a:xfrm>
          <a:off x="13411200" y="18013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152400</xdr:colOff>
      <xdr:row>89</xdr:row>
      <xdr:rowOff>106680</xdr:rowOff>
    </xdr:to>
    <xdr:sp macro="" textlink="">
      <xdr:nvSpPr>
        <xdr:cNvPr id="6837" name="AutoShape 1717" descr="CHILE2"/>
        <xdr:cNvSpPr>
          <a:spLocks noChangeAspect="1" noChangeArrowheads="1"/>
        </xdr:cNvSpPr>
      </xdr:nvSpPr>
      <xdr:spPr bwMode="auto">
        <a:xfrm>
          <a:off x="0" y="18265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89</xdr:row>
      <xdr:rowOff>0</xdr:rowOff>
    </xdr:from>
    <xdr:to>
      <xdr:col>22</xdr:col>
      <xdr:colOff>304800</xdr:colOff>
      <xdr:row>90</xdr:row>
      <xdr:rowOff>53340</xdr:rowOff>
    </xdr:to>
    <xdr:sp macro="" textlink="">
      <xdr:nvSpPr>
        <xdr:cNvPr id="6838" name="AutoShape 1718" descr="https://www.soccerstats.com/img/own/sshplogo.png">
          <a:hlinkClick xmlns:r="http://schemas.openxmlformats.org/officeDocument/2006/relationships" r:id="rId747"/>
        </xdr:cNvPr>
        <xdr:cNvSpPr>
          <a:spLocks noChangeAspect="1" noChangeArrowheads="1"/>
        </xdr:cNvSpPr>
      </xdr:nvSpPr>
      <xdr:spPr bwMode="auto">
        <a:xfrm>
          <a:off x="13411200" y="18265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152400</xdr:colOff>
      <xdr:row>90</xdr:row>
      <xdr:rowOff>106680</xdr:rowOff>
    </xdr:to>
    <xdr:sp macro="" textlink="">
      <xdr:nvSpPr>
        <xdr:cNvPr id="6839" name="AutoShape 1719" descr="CHILE2"/>
        <xdr:cNvSpPr>
          <a:spLocks noChangeAspect="1" noChangeArrowheads="1"/>
        </xdr:cNvSpPr>
      </xdr:nvSpPr>
      <xdr:spPr bwMode="auto">
        <a:xfrm>
          <a:off x="0" y="18440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90</xdr:row>
      <xdr:rowOff>0</xdr:rowOff>
    </xdr:from>
    <xdr:to>
      <xdr:col>22</xdr:col>
      <xdr:colOff>304800</xdr:colOff>
      <xdr:row>91</xdr:row>
      <xdr:rowOff>129540</xdr:rowOff>
    </xdr:to>
    <xdr:sp macro="" textlink="">
      <xdr:nvSpPr>
        <xdr:cNvPr id="6840" name="AutoShape 1720" descr="https://www.soccerstats.com/img/own/sshplogo.png">
          <a:hlinkClick xmlns:r="http://schemas.openxmlformats.org/officeDocument/2006/relationships" r:id="rId748"/>
        </xdr:cNvPr>
        <xdr:cNvSpPr>
          <a:spLocks noChangeAspect="1" noChangeArrowheads="1"/>
        </xdr:cNvSpPr>
      </xdr:nvSpPr>
      <xdr:spPr bwMode="auto">
        <a:xfrm>
          <a:off x="13411200" y="18440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152400</xdr:colOff>
      <xdr:row>91</xdr:row>
      <xdr:rowOff>106680</xdr:rowOff>
    </xdr:to>
    <xdr:sp macro="" textlink="">
      <xdr:nvSpPr>
        <xdr:cNvPr id="6841" name="AutoShape 1721" descr="CHINA2"/>
        <xdr:cNvSpPr>
          <a:spLocks noChangeAspect="1" noChangeArrowheads="1"/>
        </xdr:cNvSpPr>
      </xdr:nvSpPr>
      <xdr:spPr bwMode="auto">
        <a:xfrm>
          <a:off x="0" y="18615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91</xdr:row>
      <xdr:rowOff>0</xdr:rowOff>
    </xdr:from>
    <xdr:to>
      <xdr:col>22</xdr:col>
      <xdr:colOff>304800</xdr:colOff>
      <xdr:row>92</xdr:row>
      <xdr:rowOff>129540</xdr:rowOff>
    </xdr:to>
    <xdr:sp macro="" textlink="">
      <xdr:nvSpPr>
        <xdr:cNvPr id="6842" name="AutoShape 1722" descr="https://www.soccerstats.com/img/own/sshplogo.png">
          <a:hlinkClick xmlns:r="http://schemas.openxmlformats.org/officeDocument/2006/relationships" r:id="rId749"/>
        </xdr:cNvPr>
        <xdr:cNvSpPr>
          <a:spLocks noChangeAspect="1" noChangeArrowheads="1"/>
        </xdr:cNvSpPr>
      </xdr:nvSpPr>
      <xdr:spPr bwMode="auto">
        <a:xfrm>
          <a:off x="13411200" y="18615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152400</xdr:colOff>
      <xdr:row>92</xdr:row>
      <xdr:rowOff>106680</xdr:rowOff>
    </xdr:to>
    <xdr:sp macro="" textlink="">
      <xdr:nvSpPr>
        <xdr:cNvPr id="6843" name="AutoShape 1723" descr="CHINA2"/>
        <xdr:cNvSpPr>
          <a:spLocks noChangeAspect="1" noChangeArrowheads="1"/>
        </xdr:cNvSpPr>
      </xdr:nvSpPr>
      <xdr:spPr bwMode="auto">
        <a:xfrm>
          <a:off x="0" y="18867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92</xdr:row>
      <xdr:rowOff>0</xdr:rowOff>
    </xdr:from>
    <xdr:to>
      <xdr:col>22</xdr:col>
      <xdr:colOff>304800</xdr:colOff>
      <xdr:row>93</xdr:row>
      <xdr:rowOff>129540</xdr:rowOff>
    </xdr:to>
    <xdr:sp macro="" textlink="">
      <xdr:nvSpPr>
        <xdr:cNvPr id="6844" name="AutoShape 1724" descr="https://www.soccerstats.com/img/own/sshplogo.png">
          <a:hlinkClick xmlns:r="http://schemas.openxmlformats.org/officeDocument/2006/relationships" r:id="rId750"/>
        </xdr:cNvPr>
        <xdr:cNvSpPr>
          <a:spLocks noChangeAspect="1" noChangeArrowheads="1"/>
        </xdr:cNvSpPr>
      </xdr:nvSpPr>
      <xdr:spPr bwMode="auto">
        <a:xfrm>
          <a:off x="13411200" y="18867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152400</xdr:colOff>
      <xdr:row>93</xdr:row>
      <xdr:rowOff>106680</xdr:rowOff>
    </xdr:to>
    <xdr:sp macro="" textlink="">
      <xdr:nvSpPr>
        <xdr:cNvPr id="6845" name="AutoShape 1725" descr="CHINA2"/>
        <xdr:cNvSpPr>
          <a:spLocks noChangeAspect="1" noChangeArrowheads="1"/>
        </xdr:cNvSpPr>
      </xdr:nvSpPr>
      <xdr:spPr bwMode="auto">
        <a:xfrm>
          <a:off x="0" y="19118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93</xdr:row>
      <xdr:rowOff>0</xdr:rowOff>
    </xdr:from>
    <xdr:to>
      <xdr:col>22</xdr:col>
      <xdr:colOff>304800</xdr:colOff>
      <xdr:row>94</xdr:row>
      <xdr:rowOff>129540</xdr:rowOff>
    </xdr:to>
    <xdr:sp macro="" textlink="">
      <xdr:nvSpPr>
        <xdr:cNvPr id="6846" name="AutoShape 1726" descr="https://www.soccerstats.com/img/own/sshplogo.png">
          <a:hlinkClick xmlns:r="http://schemas.openxmlformats.org/officeDocument/2006/relationships" r:id="rId751"/>
        </xdr:cNvPr>
        <xdr:cNvSpPr>
          <a:spLocks noChangeAspect="1" noChangeArrowheads="1"/>
        </xdr:cNvSpPr>
      </xdr:nvSpPr>
      <xdr:spPr bwMode="auto">
        <a:xfrm>
          <a:off x="13411200" y="19118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152400</xdr:colOff>
      <xdr:row>94</xdr:row>
      <xdr:rowOff>106680</xdr:rowOff>
    </xdr:to>
    <xdr:sp macro="" textlink="">
      <xdr:nvSpPr>
        <xdr:cNvPr id="6847" name="AutoShape 1727" descr="CHINA2"/>
        <xdr:cNvSpPr>
          <a:spLocks noChangeAspect="1" noChangeArrowheads="1"/>
        </xdr:cNvSpPr>
      </xdr:nvSpPr>
      <xdr:spPr bwMode="auto">
        <a:xfrm>
          <a:off x="0" y="19370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94</xdr:row>
      <xdr:rowOff>0</xdr:rowOff>
    </xdr:from>
    <xdr:to>
      <xdr:col>22</xdr:col>
      <xdr:colOff>304800</xdr:colOff>
      <xdr:row>95</xdr:row>
      <xdr:rowOff>129540</xdr:rowOff>
    </xdr:to>
    <xdr:sp macro="" textlink="">
      <xdr:nvSpPr>
        <xdr:cNvPr id="6848" name="AutoShape 1728" descr="https://www.soccerstats.com/img/own/sshplogo.png">
          <a:hlinkClick xmlns:r="http://schemas.openxmlformats.org/officeDocument/2006/relationships" r:id="rId752"/>
        </xdr:cNvPr>
        <xdr:cNvSpPr>
          <a:spLocks noChangeAspect="1" noChangeArrowheads="1"/>
        </xdr:cNvSpPr>
      </xdr:nvSpPr>
      <xdr:spPr bwMode="auto">
        <a:xfrm>
          <a:off x="13411200" y="19370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152400</xdr:colOff>
      <xdr:row>95</xdr:row>
      <xdr:rowOff>106680</xdr:rowOff>
    </xdr:to>
    <xdr:sp macro="" textlink="">
      <xdr:nvSpPr>
        <xdr:cNvPr id="6849" name="AutoShape 1729" descr="COLOMBIA2"/>
        <xdr:cNvSpPr>
          <a:spLocks noChangeAspect="1" noChangeArrowheads="1"/>
        </xdr:cNvSpPr>
      </xdr:nvSpPr>
      <xdr:spPr bwMode="auto">
        <a:xfrm>
          <a:off x="0" y="19545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95</xdr:row>
      <xdr:rowOff>0</xdr:rowOff>
    </xdr:from>
    <xdr:to>
      <xdr:col>22</xdr:col>
      <xdr:colOff>304800</xdr:colOff>
      <xdr:row>96</xdr:row>
      <xdr:rowOff>53340</xdr:rowOff>
    </xdr:to>
    <xdr:sp macro="" textlink="">
      <xdr:nvSpPr>
        <xdr:cNvPr id="6850" name="AutoShape 1730" descr="https://www.soccerstats.com/img/own/sshplogo.png">
          <a:hlinkClick xmlns:r="http://schemas.openxmlformats.org/officeDocument/2006/relationships" r:id="rId753"/>
        </xdr:cNvPr>
        <xdr:cNvSpPr>
          <a:spLocks noChangeAspect="1" noChangeArrowheads="1"/>
        </xdr:cNvSpPr>
      </xdr:nvSpPr>
      <xdr:spPr bwMode="auto">
        <a:xfrm>
          <a:off x="13411200" y="1954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152400</xdr:colOff>
      <xdr:row>96</xdr:row>
      <xdr:rowOff>106680</xdr:rowOff>
    </xdr:to>
    <xdr:sp macro="" textlink="">
      <xdr:nvSpPr>
        <xdr:cNvPr id="6851" name="AutoShape 1731" descr="COLOMBIA2"/>
        <xdr:cNvSpPr>
          <a:spLocks noChangeAspect="1" noChangeArrowheads="1"/>
        </xdr:cNvSpPr>
      </xdr:nvSpPr>
      <xdr:spPr bwMode="auto">
        <a:xfrm>
          <a:off x="0" y="19720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96</xdr:row>
      <xdr:rowOff>0</xdr:rowOff>
    </xdr:from>
    <xdr:to>
      <xdr:col>22</xdr:col>
      <xdr:colOff>304800</xdr:colOff>
      <xdr:row>97</xdr:row>
      <xdr:rowOff>129540</xdr:rowOff>
    </xdr:to>
    <xdr:sp macro="" textlink="">
      <xdr:nvSpPr>
        <xdr:cNvPr id="6852" name="AutoShape 1732" descr="https://www.soccerstats.com/img/own/sshplogo.png">
          <a:hlinkClick xmlns:r="http://schemas.openxmlformats.org/officeDocument/2006/relationships" r:id="rId754"/>
        </xdr:cNvPr>
        <xdr:cNvSpPr>
          <a:spLocks noChangeAspect="1" noChangeArrowheads="1"/>
        </xdr:cNvSpPr>
      </xdr:nvSpPr>
      <xdr:spPr bwMode="auto">
        <a:xfrm>
          <a:off x="13411200" y="19720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152400</xdr:colOff>
      <xdr:row>97</xdr:row>
      <xdr:rowOff>106680</xdr:rowOff>
    </xdr:to>
    <xdr:sp macro="" textlink="">
      <xdr:nvSpPr>
        <xdr:cNvPr id="6853" name="AutoShape 1733" descr="COLOMBIA2"/>
        <xdr:cNvSpPr>
          <a:spLocks noChangeAspect="1" noChangeArrowheads="1"/>
        </xdr:cNvSpPr>
      </xdr:nvSpPr>
      <xdr:spPr bwMode="auto">
        <a:xfrm>
          <a:off x="0" y="19972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97</xdr:row>
      <xdr:rowOff>0</xdr:rowOff>
    </xdr:from>
    <xdr:to>
      <xdr:col>22</xdr:col>
      <xdr:colOff>304800</xdr:colOff>
      <xdr:row>98</xdr:row>
      <xdr:rowOff>129540</xdr:rowOff>
    </xdr:to>
    <xdr:sp macro="" textlink="">
      <xdr:nvSpPr>
        <xdr:cNvPr id="6854" name="AutoShape 1734" descr="https://www.soccerstats.com/img/own/sshplogo.png">
          <a:hlinkClick xmlns:r="http://schemas.openxmlformats.org/officeDocument/2006/relationships" r:id="rId755"/>
        </xdr:cNvPr>
        <xdr:cNvSpPr>
          <a:spLocks noChangeAspect="1" noChangeArrowheads="1"/>
        </xdr:cNvSpPr>
      </xdr:nvSpPr>
      <xdr:spPr bwMode="auto">
        <a:xfrm>
          <a:off x="13411200" y="19972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152400</xdr:colOff>
      <xdr:row>98</xdr:row>
      <xdr:rowOff>106680</xdr:rowOff>
    </xdr:to>
    <xdr:sp macro="" textlink="">
      <xdr:nvSpPr>
        <xdr:cNvPr id="6855" name="AutoShape 1735" descr="COSTARICA"/>
        <xdr:cNvSpPr>
          <a:spLocks noChangeAspect="1" noChangeArrowheads="1"/>
        </xdr:cNvSpPr>
      </xdr:nvSpPr>
      <xdr:spPr bwMode="auto">
        <a:xfrm>
          <a:off x="0" y="20223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98</xdr:row>
      <xdr:rowOff>0</xdr:rowOff>
    </xdr:from>
    <xdr:to>
      <xdr:col>22</xdr:col>
      <xdr:colOff>304800</xdr:colOff>
      <xdr:row>99</xdr:row>
      <xdr:rowOff>129540</xdr:rowOff>
    </xdr:to>
    <xdr:sp macro="" textlink="">
      <xdr:nvSpPr>
        <xdr:cNvPr id="6856" name="AutoShape 1736" descr="https://www.soccerstats.com/img/own/sshplogo.png">
          <a:hlinkClick xmlns:r="http://schemas.openxmlformats.org/officeDocument/2006/relationships" r:id="rId756"/>
        </xdr:cNvPr>
        <xdr:cNvSpPr>
          <a:spLocks noChangeAspect="1" noChangeArrowheads="1"/>
        </xdr:cNvSpPr>
      </xdr:nvSpPr>
      <xdr:spPr bwMode="auto">
        <a:xfrm>
          <a:off x="13411200" y="20223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152400</xdr:colOff>
      <xdr:row>99</xdr:row>
      <xdr:rowOff>106680</xdr:rowOff>
    </xdr:to>
    <xdr:sp macro="" textlink="">
      <xdr:nvSpPr>
        <xdr:cNvPr id="6857" name="AutoShape 1737" descr="COSTARICA"/>
        <xdr:cNvSpPr>
          <a:spLocks noChangeAspect="1" noChangeArrowheads="1"/>
        </xdr:cNvSpPr>
      </xdr:nvSpPr>
      <xdr:spPr bwMode="auto">
        <a:xfrm>
          <a:off x="0" y="20398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99</xdr:row>
      <xdr:rowOff>0</xdr:rowOff>
    </xdr:from>
    <xdr:to>
      <xdr:col>22</xdr:col>
      <xdr:colOff>304800</xdr:colOff>
      <xdr:row>100</xdr:row>
      <xdr:rowOff>129540</xdr:rowOff>
    </xdr:to>
    <xdr:sp macro="" textlink="">
      <xdr:nvSpPr>
        <xdr:cNvPr id="6858" name="AutoShape 1738" descr="https://www.soccerstats.com/img/own/sshplogo.png">
          <a:hlinkClick xmlns:r="http://schemas.openxmlformats.org/officeDocument/2006/relationships" r:id="rId757"/>
        </xdr:cNvPr>
        <xdr:cNvSpPr>
          <a:spLocks noChangeAspect="1" noChangeArrowheads="1"/>
        </xdr:cNvSpPr>
      </xdr:nvSpPr>
      <xdr:spPr bwMode="auto">
        <a:xfrm>
          <a:off x="13411200" y="20398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152400</xdr:colOff>
      <xdr:row>100</xdr:row>
      <xdr:rowOff>106680</xdr:rowOff>
    </xdr:to>
    <xdr:sp macro="" textlink="">
      <xdr:nvSpPr>
        <xdr:cNvPr id="6859" name="AutoShape 1739" descr="CROATIA"/>
        <xdr:cNvSpPr>
          <a:spLocks noChangeAspect="1" noChangeArrowheads="1"/>
        </xdr:cNvSpPr>
      </xdr:nvSpPr>
      <xdr:spPr bwMode="auto">
        <a:xfrm>
          <a:off x="0" y="20574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100</xdr:row>
      <xdr:rowOff>0</xdr:rowOff>
    </xdr:from>
    <xdr:to>
      <xdr:col>22</xdr:col>
      <xdr:colOff>304800</xdr:colOff>
      <xdr:row>101</xdr:row>
      <xdr:rowOff>129540</xdr:rowOff>
    </xdr:to>
    <xdr:sp macro="" textlink="">
      <xdr:nvSpPr>
        <xdr:cNvPr id="6860" name="AutoShape 1740" descr="https://www.soccerstats.com/img/own/sshplogo.png">
          <a:hlinkClick xmlns:r="http://schemas.openxmlformats.org/officeDocument/2006/relationships" r:id="rId758"/>
        </xdr:cNvPr>
        <xdr:cNvSpPr>
          <a:spLocks noChangeAspect="1" noChangeArrowheads="1"/>
        </xdr:cNvSpPr>
      </xdr:nvSpPr>
      <xdr:spPr bwMode="auto">
        <a:xfrm>
          <a:off x="13411200" y="2057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152400</xdr:colOff>
      <xdr:row>101</xdr:row>
      <xdr:rowOff>106680</xdr:rowOff>
    </xdr:to>
    <xdr:sp macro="" textlink="">
      <xdr:nvSpPr>
        <xdr:cNvPr id="6861" name="AutoShape 1741" descr="CROATIA"/>
        <xdr:cNvSpPr>
          <a:spLocks noChangeAspect="1" noChangeArrowheads="1"/>
        </xdr:cNvSpPr>
      </xdr:nvSpPr>
      <xdr:spPr bwMode="auto">
        <a:xfrm>
          <a:off x="0" y="20749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101</xdr:row>
      <xdr:rowOff>0</xdr:rowOff>
    </xdr:from>
    <xdr:to>
      <xdr:col>22</xdr:col>
      <xdr:colOff>304800</xdr:colOff>
      <xdr:row>102</xdr:row>
      <xdr:rowOff>129540</xdr:rowOff>
    </xdr:to>
    <xdr:sp macro="" textlink="">
      <xdr:nvSpPr>
        <xdr:cNvPr id="6862" name="AutoShape 1742" descr="https://www.soccerstats.com/img/own/sshplogo.png">
          <a:hlinkClick xmlns:r="http://schemas.openxmlformats.org/officeDocument/2006/relationships" r:id="rId759"/>
        </xdr:cNvPr>
        <xdr:cNvSpPr>
          <a:spLocks noChangeAspect="1" noChangeArrowheads="1"/>
        </xdr:cNvSpPr>
      </xdr:nvSpPr>
      <xdr:spPr bwMode="auto">
        <a:xfrm>
          <a:off x="13411200" y="20749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152400</xdr:colOff>
      <xdr:row>102</xdr:row>
      <xdr:rowOff>106680</xdr:rowOff>
    </xdr:to>
    <xdr:sp macro="" textlink="">
      <xdr:nvSpPr>
        <xdr:cNvPr id="6863" name="AutoShape 1743" descr="CZECHREPUBLIC2"/>
        <xdr:cNvSpPr>
          <a:spLocks noChangeAspect="1" noChangeArrowheads="1"/>
        </xdr:cNvSpPr>
      </xdr:nvSpPr>
      <xdr:spPr bwMode="auto">
        <a:xfrm>
          <a:off x="0" y="20924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102</xdr:row>
      <xdr:rowOff>0</xdr:rowOff>
    </xdr:from>
    <xdr:to>
      <xdr:col>22</xdr:col>
      <xdr:colOff>304800</xdr:colOff>
      <xdr:row>103</xdr:row>
      <xdr:rowOff>53340</xdr:rowOff>
    </xdr:to>
    <xdr:sp macro="" textlink="">
      <xdr:nvSpPr>
        <xdr:cNvPr id="6864" name="AutoShape 1744" descr="https://www.soccerstats.com/img/own/sshplogo.png">
          <a:hlinkClick xmlns:r="http://schemas.openxmlformats.org/officeDocument/2006/relationships" r:id="rId760"/>
        </xdr:cNvPr>
        <xdr:cNvSpPr>
          <a:spLocks noChangeAspect="1" noChangeArrowheads="1"/>
        </xdr:cNvSpPr>
      </xdr:nvSpPr>
      <xdr:spPr bwMode="auto">
        <a:xfrm>
          <a:off x="13411200" y="20924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152400</xdr:colOff>
      <xdr:row>103</xdr:row>
      <xdr:rowOff>106680</xdr:rowOff>
    </xdr:to>
    <xdr:sp macro="" textlink="">
      <xdr:nvSpPr>
        <xdr:cNvPr id="6865" name="AutoShape 1745" descr="DENMARK"/>
        <xdr:cNvSpPr>
          <a:spLocks noChangeAspect="1" noChangeArrowheads="1"/>
        </xdr:cNvSpPr>
      </xdr:nvSpPr>
      <xdr:spPr bwMode="auto">
        <a:xfrm>
          <a:off x="0" y="21175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103</xdr:row>
      <xdr:rowOff>0</xdr:rowOff>
    </xdr:from>
    <xdr:to>
      <xdr:col>22</xdr:col>
      <xdr:colOff>304800</xdr:colOff>
      <xdr:row>104</xdr:row>
      <xdr:rowOff>129540</xdr:rowOff>
    </xdr:to>
    <xdr:sp macro="" textlink="">
      <xdr:nvSpPr>
        <xdr:cNvPr id="6866" name="AutoShape 1746" descr="https://www.soccerstats.com/img/own/sshplogo.png">
          <a:hlinkClick xmlns:r="http://schemas.openxmlformats.org/officeDocument/2006/relationships" r:id="rId761"/>
        </xdr:cNvPr>
        <xdr:cNvSpPr>
          <a:spLocks noChangeAspect="1" noChangeArrowheads="1"/>
        </xdr:cNvSpPr>
      </xdr:nvSpPr>
      <xdr:spPr bwMode="auto">
        <a:xfrm>
          <a:off x="13411200" y="21175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152400</xdr:colOff>
      <xdr:row>104</xdr:row>
      <xdr:rowOff>106680</xdr:rowOff>
    </xdr:to>
    <xdr:sp macro="" textlink="">
      <xdr:nvSpPr>
        <xdr:cNvPr id="6867" name="AutoShape 1747" descr="DENMARK"/>
        <xdr:cNvSpPr>
          <a:spLocks noChangeAspect="1" noChangeArrowheads="1"/>
        </xdr:cNvSpPr>
      </xdr:nvSpPr>
      <xdr:spPr bwMode="auto">
        <a:xfrm>
          <a:off x="0" y="21351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104</xdr:row>
      <xdr:rowOff>0</xdr:rowOff>
    </xdr:from>
    <xdr:to>
      <xdr:col>22</xdr:col>
      <xdr:colOff>304800</xdr:colOff>
      <xdr:row>105</xdr:row>
      <xdr:rowOff>53340</xdr:rowOff>
    </xdr:to>
    <xdr:sp macro="" textlink="">
      <xdr:nvSpPr>
        <xdr:cNvPr id="6868" name="AutoShape 1748" descr="https://www.soccerstats.com/img/own/sshplogo.png">
          <a:hlinkClick xmlns:r="http://schemas.openxmlformats.org/officeDocument/2006/relationships" r:id="rId762"/>
        </xdr:cNvPr>
        <xdr:cNvSpPr>
          <a:spLocks noChangeAspect="1" noChangeArrowheads="1"/>
        </xdr:cNvSpPr>
      </xdr:nvSpPr>
      <xdr:spPr bwMode="auto">
        <a:xfrm>
          <a:off x="13411200" y="21351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152400</xdr:colOff>
      <xdr:row>105</xdr:row>
      <xdr:rowOff>106680</xdr:rowOff>
    </xdr:to>
    <xdr:sp macro="" textlink="">
      <xdr:nvSpPr>
        <xdr:cNvPr id="6869" name="AutoShape 1749" descr="DENMARK"/>
        <xdr:cNvSpPr>
          <a:spLocks noChangeAspect="1" noChangeArrowheads="1"/>
        </xdr:cNvSpPr>
      </xdr:nvSpPr>
      <xdr:spPr bwMode="auto">
        <a:xfrm>
          <a:off x="0" y="21526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105</xdr:row>
      <xdr:rowOff>0</xdr:rowOff>
    </xdr:from>
    <xdr:to>
      <xdr:col>22</xdr:col>
      <xdr:colOff>304800</xdr:colOff>
      <xdr:row>106</xdr:row>
      <xdr:rowOff>129540</xdr:rowOff>
    </xdr:to>
    <xdr:sp macro="" textlink="">
      <xdr:nvSpPr>
        <xdr:cNvPr id="6870" name="AutoShape 1750" descr="https://www.soccerstats.com/img/own/sshplogo.png">
          <a:hlinkClick xmlns:r="http://schemas.openxmlformats.org/officeDocument/2006/relationships" r:id="rId763"/>
        </xdr:cNvPr>
        <xdr:cNvSpPr>
          <a:spLocks noChangeAspect="1" noChangeArrowheads="1"/>
        </xdr:cNvSpPr>
      </xdr:nvSpPr>
      <xdr:spPr bwMode="auto">
        <a:xfrm>
          <a:off x="13411200" y="2152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152400</xdr:colOff>
      <xdr:row>106</xdr:row>
      <xdr:rowOff>106680</xdr:rowOff>
    </xdr:to>
    <xdr:sp macro="" textlink="">
      <xdr:nvSpPr>
        <xdr:cNvPr id="6871" name="AutoShape 1751" descr="DENMARK"/>
        <xdr:cNvSpPr>
          <a:spLocks noChangeAspect="1" noChangeArrowheads="1"/>
        </xdr:cNvSpPr>
      </xdr:nvSpPr>
      <xdr:spPr bwMode="auto">
        <a:xfrm>
          <a:off x="0" y="21777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106</xdr:row>
      <xdr:rowOff>0</xdr:rowOff>
    </xdr:from>
    <xdr:to>
      <xdr:col>22</xdr:col>
      <xdr:colOff>304800</xdr:colOff>
      <xdr:row>107</xdr:row>
      <xdr:rowOff>53340</xdr:rowOff>
    </xdr:to>
    <xdr:sp macro="" textlink="">
      <xdr:nvSpPr>
        <xdr:cNvPr id="6872" name="AutoShape 1752" descr="https://www.soccerstats.com/img/own/sshplogo.png">
          <a:hlinkClick xmlns:r="http://schemas.openxmlformats.org/officeDocument/2006/relationships" r:id="rId764"/>
        </xdr:cNvPr>
        <xdr:cNvSpPr>
          <a:spLocks noChangeAspect="1" noChangeArrowheads="1"/>
        </xdr:cNvSpPr>
      </xdr:nvSpPr>
      <xdr:spPr bwMode="auto">
        <a:xfrm>
          <a:off x="13411200" y="21777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152400</xdr:colOff>
      <xdr:row>107</xdr:row>
      <xdr:rowOff>106680</xdr:rowOff>
    </xdr:to>
    <xdr:sp macro="" textlink="">
      <xdr:nvSpPr>
        <xdr:cNvPr id="6873" name="AutoShape 1753" descr="DENMARK2"/>
        <xdr:cNvSpPr>
          <a:spLocks noChangeAspect="1" noChangeArrowheads="1"/>
        </xdr:cNvSpPr>
      </xdr:nvSpPr>
      <xdr:spPr bwMode="auto">
        <a:xfrm>
          <a:off x="0" y="22029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107</xdr:row>
      <xdr:rowOff>0</xdr:rowOff>
    </xdr:from>
    <xdr:to>
      <xdr:col>22</xdr:col>
      <xdr:colOff>304800</xdr:colOff>
      <xdr:row>108</xdr:row>
      <xdr:rowOff>53340</xdr:rowOff>
    </xdr:to>
    <xdr:sp macro="" textlink="">
      <xdr:nvSpPr>
        <xdr:cNvPr id="6874" name="AutoShape 1754" descr="https://www.soccerstats.com/img/own/sshplogo.png">
          <a:hlinkClick xmlns:r="http://schemas.openxmlformats.org/officeDocument/2006/relationships" r:id="rId765"/>
        </xdr:cNvPr>
        <xdr:cNvSpPr>
          <a:spLocks noChangeAspect="1" noChangeArrowheads="1"/>
        </xdr:cNvSpPr>
      </xdr:nvSpPr>
      <xdr:spPr bwMode="auto">
        <a:xfrm>
          <a:off x="13411200" y="22029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152400</xdr:colOff>
      <xdr:row>108</xdr:row>
      <xdr:rowOff>106680</xdr:rowOff>
    </xdr:to>
    <xdr:sp macro="" textlink="">
      <xdr:nvSpPr>
        <xdr:cNvPr id="6875" name="AutoShape 1755" descr="ECUADOR"/>
        <xdr:cNvSpPr>
          <a:spLocks noChangeAspect="1" noChangeArrowheads="1"/>
        </xdr:cNvSpPr>
      </xdr:nvSpPr>
      <xdr:spPr bwMode="auto">
        <a:xfrm>
          <a:off x="0" y="22280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108</xdr:row>
      <xdr:rowOff>0</xdr:rowOff>
    </xdr:from>
    <xdr:to>
      <xdr:col>22</xdr:col>
      <xdr:colOff>304800</xdr:colOff>
      <xdr:row>109</xdr:row>
      <xdr:rowOff>129540</xdr:rowOff>
    </xdr:to>
    <xdr:sp macro="" textlink="">
      <xdr:nvSpPr>
        <xdr:cNvPr id="6876" name="AutoShape 1756" descr="https://www.soccerstats.com/img/own/sshplogo.png">
          <a:hlinkClick xmlns:r="http://schemas.openxmlformats.org/officeDocument/2006/relationships" r:id="rId766"/>
        </xdr:cNvPr>
        <xdr:cNvSpPr>
          <a:spLocks noChangeAspect="1" noChangeArrowheads="1"/>
        </xdr:cNvSpPr>
      </xdr:nvSpPr>
      <xdr:spPr bwMode="auto">
        <a:xfrm>
          <a:off x="13411200" y="22280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152400</xdr:colOff>
      <xdr:row>109</xdr:row>
      <xdr:rowOff>106680</xdr:rowOff>
    </xdr:to>
    <xdr:sp macro="" textlink="">
      <xdr:nvSpPr>
        <xdr:cNvPr id="6877" name="AutoShape 1757" descr="ECUADOR"/>
        <xdr:cNvSpPr>
          <a:spLocks noChangeAspect="1" noChangeArrowheads="1"/>
        </xdr:cNvSpPr>
      </xdr:nvSpPr>
      <xdr:spPr bwMode="auto">
        <a:xfrm>
          <a:off x="0" y="22456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109</xdr:row>
      <xdr:rowOff>0</xdr:rowOff>
    </xdr:from>
    <xdr:to>
      <xdr:col>22</xdr:col>
      <xdr:colOff>304800</xdr:colOff>
      <xdr:row>110</xdr:row>
      <xdr:rowOff>53340</xdr:rowOff>
    </xdr:to>
    <xdr:sp macro="" textlink="">
      <xdr:nvSpPr>
        <xdr:cNvPr id="6878" name="AutoShape 1758" descr="https://www.soccerstats.com/img/own/sshplogo.png">
          <a:hlinkClick xmlns:r="http://schemas.openxmlformats.org/officeDocument/2006/relationships" r:id="rId767"/>
        </xdr:cNvPr>
        <xdr:cNvSpPr>
          <a:spLocks noChangeAspect="1" noChangeArrowheads="1"/>
        </xdr:cNvSpPr>
      </xdr:nvSpPr>
      <xdr:spPr bwMode="auto">
        <a:xfrm>
          <a:off x="13411200" y="22456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152400</xdr:colOff>
      <xdr:row>110</xdr:row>
      <xdr:rowOff>106680</xdr:rowOff>
    </xdr:to>
    <xdr:sp macro="" textlink="">
      <xdr:nvSpPr>
        <xdr:cNvPr id="6879" name="AutoShape 1759" descr="ECUADOR"/>
        <xdr:cNvSpPr>
          <a:spLocks noChangeAspect="1" noChangeArrowheads="1"/>
        </xdr:cNvSpPr>
      </xdr:nvSpPr>
      <xdr:spPr bwMode="auto">
        <a:xfrm>
          <a:off x="0" y="22631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110</xdr:row>
      <xdr:rowOff>0</xdr:rowOff>
    </xdr:from>
    <xdr:to>
      <xdr:col>22</xdr:col>
      <xdr:colOff>304800</xdr:colOff>
      <xdr:row>111</xdr:row>
      <xdr:rowOff>129540</xdr:rowOff>
    </xdr:to>
    <xdr:sp macro="" textlink="">
      <xdr:nvSpPr>
        <xdr:cNvPr id="6880" name="AutoShape 1760" descr="https://www.soccerstats.com/img/own/sshplogo.png">
          <a:hlinkClick xmlns:r="http://schemas.openxmlformats.org/officeDocument/2006/relationships" r:id="rId768"/>
        </xdr:cNvPr>
        <xdr:cNvSpPr>
          <a:spLocks noChangeAspect="1" noChangeArrowheads="1"/>
        </xdr:cNvSpPr>
      </xdr:nvSpPr>
      <xdr:spPr bwMode="auto">
        <a:xfrm>
          <a:off x="13411200" y="22631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152400</xdr:colOff>
      <xdr:row>111</xdr:row>
      <xdr:rowOff>106680</xdr:rowOff>
    </xdr:to>
    <xdr:sp macro="" textlink="">
      <xdr:nvSpPr>
        <xdr:cNvPr id="6881" name="AutoShape 1761" descr="ESTONIA"/>
        <xdr:cNvSpPr>
          <a:spLocks noChangeAspect="1" noChangeArrowheads="1"/>
        </xdr:cNvSpPr>
      </xdr:nvSpPr>
      <xdr:spPr bwMode="auto">
        <a:xfrm>
          <a:off x="0" y="22806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111</xdr:row>
      <xdr:rowOff>0</xdr:rowOff>
    </xdr:from>
    <xdr:to>
      <xdr:col>22</xdr:col>
      <xdr:colOff>304800</xdr:colOff>
      <xdr:row>112</xdr:row>
      <xdr:rowOff>53340</xdr:rowOff>
    </xdr:to>
    <xdr:sp macro="" textlink="">
      <xdr:nvSpPr>
        <xdr:cNvPr id="6882" name="AutoShape 1762" descr="https://www.soccerstats.com/img/own/sshplogo.png">
          <a:hlinkClick xmlns:r="http://schemas.openxmlformats.org/officeDocument/2006/relationships" r:id="rId769"/>
        </xdr:cNvPr>
        <xdr:cNvSpPr>
          <a:spLocks noChangeAspect="1" noChangeArrowheads="1"/>
        </xdr:cNvSpPr>
      </xdr:nvSpPr>
      <xdr:spPr bwMode="auto">
        <a:xfrm>
          <a:off x="13411200" y="22806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152400</xdr:colOff>
      <xdr:row>112</xdr:row>
      <xdr:rowOff>106680</xdr:rowOff>
    </xdr:to>
    <xdr:sp macro="" textlink="">
      <xdr:nvSpPr>
        <xdr:cNvPr id="6883" name="AutoShape 1763" descr="ESTONIA"/>
        <xdr:cNvSpPr>
          <a:spLocks noChangeAspect="1" noChangeArrowheads="1"/>
        </xdr:cNvSpPr>
      </xdr:nvSpPr>
      <xdr:spPr bwMode="auto">
        <a:xfrm>
          <a:off x="0" y="22981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112</xdr:row>
      <xdr:rowOff>0</xdr:rowOff>
    </xdr:from>
    <xdr:to>
      <xdr:col>22</xdr:col>
      <xdr:colOff>304800</xdr:colOff>
      <xdr:row>113</xdr:row>
      <xdr:rowOff>129540</xdr:rowOff>
    </xdr:to>
    <xdr:sp macro="" textlink="">
      <xdr:nvSpPr>
        <xdr:cNvPr id="6884" name="AutoShape 1764" descr="https://www.soccerstats.com/img/own/sshplogo.png">
          <a:hlinkClick xmlns:r="http://schemas.openxmlformats.org/officeDocument/2006/relationships" r:id="rId770"/>
        </xdr:cNvPr>
        <xdr:cNvSpPr>
          <a:spLocks noChangeAspect="1" noChangeArrowheads="1"/>
        </xdr:cNvSpPr>
      </xdr:nvSpPr>
      <xdr:spPr bwMode="auto">
        <a:xfrm>
          <a:off x="13411200" y="22981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113</xdr:row>
      <xdr:rowOff>0</xdr:rowOff>
    </xdr:from>
    <xdr:to>
      <xdr:col>0</xdr:col>
      <xdr:colOff>152400</xdr:colOff>
      <xdr:row>113</xdr:row>
      <xdr:rowOff>106680</xdr:rowOff>
    </xdr:to>
    <xdr:sp macro="" textlink="">
      <xdr:nvSpPr>
        <xdr:cNvPr id="6885" name="AutoShape 1765" descr="ESTONIA"/>
        <xdr:cNvSpPr>
          <a:spLocks noChangeAspect="1" noChangeArrowheads="1"/>
        </xdr:cNvSpPr>
      </xdr:nvSpPr>
      <xdr:spPr bwMode="auto">
        <a:xfrm>
          <a:off x="0" y="23157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113</xdr:row>
      <xdr:rowOff>0</xdr:rowOff>
    </xdr:from>
    <xdr:to>
      <xdr:col>22</xdr:col>
      <xdr:colOff>304800</xdr:colOff>
      <xdr:row>114</xdr:row>
      <xdr:rowOff>53340</xdr:rowOff>
    </xdr:to>
    <xdr:sp macro="" textlink="">
      <xdr:nvSpPr>
        <xdr:cNvPr id="6886" name="AutoShape 1766" descr="https://www.soccerstats.com/img/own/sshplogo.png">
          <a:hlinkClick xmlns:r="http://schemas.openxmlformats.org/officeDocument/2006/relationships" r:id="rId771"/>
        </xdr:cNvPr>
        <xdr:cNvSpPr>
          <a:spLocks noChangeAspect="1" noChangeArrowheads="1"/>
        </xdr:cNvSpPr>
      </xdr:nvSpPr>
      <xdr:spPr bwMode="auto">
        <a:xfrm>
          <a:off x="13411200" y="23157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114</xdr:row>
      <xdr:rowOff>0</xdr:rowOff>
    </xdr:from>
    <xdr:to>
      <xdr:col>0</xdr:col>
      <xdr:colOff>152400</xdr:colOff>
      <xdr:row>114</xdr:row>
      <xdr:rowOff>106680</xdr:rowOff>
    </xdr:to>
    <xdr:sp macro="" textlink="">
      <xdr:nvSpPr>
        <xdr:cNvPr id="6887" name="AutoShape 1767" descr="ESTONIA"/>
        <xdr:cNvSpPr>
          <a:spLocks noChangeAspect="1" noChangeArrowheads="1"/>
        </xdr:cNvSpPr>
      </xdr:nvSpPr>
      <xdr:spPr bwMode="auto">
        <a:xfrm>
          <a:off x="0" y="23332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114</xdr:row>
      <xdr:rowOff>0</xdr:rowOff>
    </xdr:from>
    <xdr:to>
      <xdr:col>22</xdr:col>
      <xdr:colOff>304800</xdr:colOff>
      <xdr:row>115</xdr:row>
      <xdr:rowOff>53340</xdr:rowOff>
    </xdr:to>
    <xdr:sp macro="" textlink="">
      <xdr:nvSpPr>
        <xdr:cNvPr id="6888" name="AutoShape 1768" descr="https://www.soccerstats.com/img/own/sshplogo.png">
          <a:hlinkClick xmlns:r="http://schemas.openxmlformats.org/officeDocument/2006/relationships" r:id="rId772"/>
        </xdr:cNvPr>
        <xdr:cNvSpPr>
          <a:spLocks noChangeAspect="1" noChangeArrowheads="1"/>
        </xdr:cNvSpPr>
      </xdr:nvSpPr>
      <xdr:spPr bwMode="auto">
        <a:xfrm>
          <a:off x="13411200" y="23332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115</xdr:row>
      <xdr:rowOff>0</xdr:rowOff>
    </xdr:from>
    <xdr:to>
      <xdr:col>0</xdr:col>
      <xdr:colOff>152400</xdr:colOff>
      <xdr:row>115</xdr:row>
      <xdr:rowOff>106680</xdr:rowOff>
    </xdr:to>
    <xdr:sp macro="" textlink="">
      <xdr:nvSpPr>
        <xdr:cNvPr id="6889" name="AutoShape 1769" descr="FAROEISLANDS"/>
        <xdr:cNvSpPr>
          <a:spLocks noChangeAspect="1" noChangeArrowheads="1"/>
        </xdr:cNvSpPr>
      </xdr:nvSpPr>
      <xdr:spPr bwMode="auto">
        <a:xfrm>
          <a:off x="0" y="23507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115</xdr:row>
      <xdr:rowOff>0</xdr:rowOff>
    </xdr:from>
    <xdr:to>
      <xdr:col>22</xdr:col>
      <xdr:colOff>304800</xdr:colOff>
      <xdr:row>116</xdr:row>
      <xdr:rowOff>129540</xdr:rowOff>
    </xdr:to>
    <xdr:sp macro="" textlink="">
      <xdr:nvSpPr>
        <xdr:cNvPr id="6890" name="AutoShape 1770" descr="https://www.soccerstats.com/img/own/sshplogo.png">
          <a:hlinkClick xmlns:r="http://schemas.openxmlformats.org/officeDocument/2006/relationships" r:id="rId773"/>
        </xdr:cNvPr>
        <xdr:cNvSpPr>
          <a:spLocks noChangeAspect="1" noChangeArrowheads="1"/>
        </xdr:cNvSpPr>
      </xdr:nvSpPr>
      <xdr:spPr bwMode="auto">
        <a:xfrm>
          <a:off x="13411200" y="2350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152400</xdr:colOff>
      <xdr:row>116</xdr:row>
      <xdr:rowOff>106680</xdr:rowOff>
    </xdr:to>
    <xdr:sp macro="" textlink="">
      <xdr:nvSpPr>
        <xdr:cNvPr id="6891" name="AutoShape 1771" descr="FAROEISLANDS"/>
        <xdr:cNvSpPr>
          <a:spLocks noChangeAspect="1" noChangeArrowheads="1"/>
        </xdr:cNvSpPr>
      </xdr:nvSpPr>
      <xdr:spPr bwMode="auto">
        <a:xfrm>
          <a:off x="0" y="23682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116</xdr:row>
      <xdr:rowOff>0</xdr:rowOff>
    </xdr:from>
    <xdr:to>
      <xdr:col>22</xdr:col>
      <xdr:colOff>304800</xdr:colOff>
      <xdr:row>117</xdr:row>
      <xdr:rowOff>129540</xdr:rowOff>
    </xdr:to>
    <xdr:sp macro="" textlink="">
      <xdr:nvSpPr>
        <xdr:cNvPr id="6892" name="AutoShape 1772" descr="https://www.soccerstats.com/img/own/sshplogo.png">
          <a:hlinkClick xmlns:r="http://schemas.openxmlformats.org/officeDocument/2006/relationships" r:id="rId774"/>
        </xdr:cNvPr>
        <xdr:cNvSpPr>
          <a:spLocks noChangeAspect="1" noChangeArrowheads="1"/>
        </xdr:cNvSpPr>
      </xdr:nvSpPr>
      <xdr:spPr bwMode="auto">
        <a:xfrm>
          <a:off x="13411200" y="23682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152400</xdr:colOff>
      <xdr:row>117</xdr:row>
      <xdr:rowOff>106680</xdr:rowOff>
    </xdr:to>
    <xdr:sp macro="" textlink="">
      <xdr:nvSpPr>
        <xdr:cNvPr id="6893" name="AutoShape 1773" descr="FAROEISLANDS"/>
        <xdr:cNvSpPr>
          <a:spLocks noChangeAspect="1" noChangeArrowheads="1"/>
        </xdr:cNvSpPr>
      </xdr:nvSpPr>
      <xdr:spPr bwMode="auto">
        <a:xfrm>
          <a:off x="0" y="23858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117</xdr:row>
      <xdr:rowOff>0</xdr:rowOff>
    </xdr:from>
    <xdr:to>
      <xdr:col>22</xdr:col>
      <xdr:colOff>304800</xdr:colOff>
      <xdr:row>118</xdr:row>
      <xdr:rowOff>53340</xdr:rowOff>
    </xdr:to>
    <xdr:sp macro="" textlink="">
      <xdr:nvSpPr>
        <xdr:cNvPr id="6894" name="AutoShape 1774" descr="https://www.soccerstats.com/img/own/sshplogo.png">
          <a:hlinkClick xmlns:r="http://schemas.openxmlformats.org/officeDocument/2006/relationships" r:id="rId775"/>
        </xdr:cNvPr>
        <xdr:cNvSpPr>
          <a:spLocks noChangeAspect="1" noChangeArrowheads="1"/>
        </xdr:cNvSpPr>
      </xdr:nvSpPr>
      <xdr:spPr bwMode="auto">
        <a:xfrm>
          <a:off x="13411200" y="23858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152400</xdr:colOff>
      <xdr:row>118</xdr:row>
      <xdr:rowOff>106680</xdr:rowOff>
    </xdr:to>
    <xdr:sp macro="" textlink="">
      <xdr:nvSpPr>
        <xdr:cNvPr id="6895" name="AutoShape 1775" descr="FAROEISLANDS"/>
        <xdr:cNvSpPr>
          <a:spLocks noChangeAspect="1" noChangeArrowheads="1"/>
        </xdr:cNvSpPr>
      </xdr:nvSpPr>
      <xdr:spPr bwMode="auto">
        <a:xfrm>
          <a:off x="0" y="24033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118</xdr:row>
      <xdr:rowOff>0</xdr:rowOff>
    </xdr:from>
    <xdr:to>
      <xdr:col>22</xdr:col>
      <xdr:colOff>304800</xdr:colOff>
      <xdr:row>119</xdr:row>
      <xdr:rowOff>53340</xdr:rowOff>
    </xdr:to>
    <xdr:sp macro="" textlink="">
      <xdr:nvSpPr>
        <xdr:cNvPr id="6896" name="AutoShape 1776" descr="https://www.soccerstats.com/img/own/sshplogo.png">
          <a:hlinkClick xmlns:r="http://schemas.openxmlformats.org/officeDocument/2006/relationships" r:id="rId776"/>
        </xdr:cNvPr>
        <xdr:cNvSpPr>
          <a:spLocks noChangeAspect="1" noChangeArrowheads="1"/>
        </xdr:cNvSpPr>
      </xdr:nvSpPr>
      <xdr:spPr bwMode="auto">
        <a:xfrm>
          <a:off x="13411200" y="24033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152400</xdr:colOff>
      <xdr:row>119</xdr:row>
      <xdr:rowOff>106680</xdr:rowOff>
    </xdr:to>
    <xdr:sp macro="" textlink="">
      <xdr:nvSpPr>
        <xdr:cNvPr id="6897" name="AutoShape 1777" descr="FAROEISLANDS"/>
        <xdr:cNvSpPr>
          <a:spLocks noChangeAspect="1" noChangeArrowheads="1"/>
        </xdr:cNvSpPr>
      </xdr:nvSpPr>
      <xdr:spPr bwMode="auto">
        <a:xfrm>
          <a:off x="0" y="24208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119</xdr:row>
      <xdr:rowOff>0</xdr:rowOff>
    </xdr:from>
    <xdr:to>
      <xdr:col>22</xdr:col>
      <xdr:colOff>304800</xdr:colOff>
      <xdr:row>120</xdr:row>
      <xdr:rowOff>129540</xdr:rowOff>
    </xdr:to>
    <xdr:sp macro="" textlink="">
      <xdr:nvSpPr>
        <xdr:cNvPr id="6898" name="AutoShape 1778" descr="https://www.soccerstats.com/img/own/sshplogo.png">
          <a:hlinkClick xmlns:r="http://schemas.openxmlformats.org/officeDocument/2006/relationships" r:id="rId777"/>
        </xdr:cNvPr>
        <xdr:cNvSpPr>
          <a:spLocks noChangeAspect="1" noChangeArrowheads="1"/>
        </xdr:cNvSpPr>
      </xdr:nvSpPr>
      <xdr:spPr bwMode="auto">
        <a:xfrm>
          <a:off x="13411200" y="24208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152400</xdr:colOff>
      <xdr:row>120</xdr:row>
      <xdr:rowOff>106680</xdr:rowOff>
    </xdr:to>
    <xdr:sp macro="" textlink="">
      <xdr:nvSpPr>
        <xdr:cNvPr id="6899" name="AutoShape 1779" descr="FINLAND"/>
        <xdr:cNvSpPr>
          <a:spLocks noChangeAspect="1" noChangeArrowheads="1"/>
        </xdr:cNvSpPr>
      </xdr:nvSpPr>
      <xdr:spPr bwMode="auto">
        <a:xfrm>
          <a:off x="0" y="24384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120</xdr:row>
      <xdr:rowOff>0</xdr:rowOff>
    </xdr:from>
    <xdr:to>
      <xdr:col>22</xdr:col>
      <xdr:colOff>304800</xdr:colOff>
      <xdr:row>121</xdr:row>
      <xdr:rowOff>129540</xdr:rowOff>
    </xdr:to>
    <xdr:sp macro="" textlink="">
      <xdr:nvSpPr>
        <xdr:cNvPr id="6900" name="AutoShape 1780" descr="https://www.soccerstats.com/img/own/sshplogo.png">
          <a:hlinkClick xmlns:r="http://schemas.openxmlformats.org/officeDocument/2006/relationships" r:id="rId778"/>
        </xdr:cNvPr>
        <xdr:cNvSpPr>
          <a:spLocks noChangeAspect="1" noChangeArrowheads="1"/>
        </xdr:cNvSpPr>
      </xdr:nvSpPr>
      <xdr:spPr bwMode="auto">
        <a:xfrm>
          <a:off x="13411200" y="2438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152400</xdr:colOff>
      <xdr:row>121</xdr:row>
      <xdr:rowOff>106680</xdr:rowOff>
    </xdr:to>
    <xdr:sp macro="" textlink="">
      <xdr:nvSpPr>
        <xdr:cNvPr id="6901" name="AutoShape 1781" descr="FINLAND"/>
        <xdr:cNvSpPr>
          <a:spLocks noChangeAspect="1" noChangeArrowheads="1"/>
        </xdr:cNvSpPr>
      </xdr:nvSpPr>
      <xdr:spPr bwMode="auto">
        <a:xfrm>
          <a:off x="0" y="24559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121</xdr:row>
      <xdr:rowOff>0</xdr:rowOff>
    </xdr:from>
    <xdr:to>
      <xdr:col>22</xdr:col>
      <xdr:colOff>304800</xdr:colOff>
      <xdr:row>122</xdr:row>
      <xdr:rowOff>129540</xdr:rowOff>
    </xdr:to>
    <xdr:sp macro="" textlink="">
      <xdr:nvSpPr>
        <xdr:cNvPr id="6902" name="AutoShape 1782" descr="https://www.soccerstats.com/img/own/sshplogo.png">
          <a:hlinkClick xmlns:r="http://schemas.openxmlformats.org/officeDocument/2006/relationships" r:id="rId779"/>
        </xdr:cNvPr>
        <xdr:cNvSpPr>
          <a:spLocks noChangeAspect="1" noChangeArrowheads="1"/>
        </xdr:cNvSpPr>
      </xdr:nvSpPr>
      <xdr:spPr bwMode="auto">
        <a:xfrm>
          <a:off x="13411200" y="24559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152400</xdr:colOff>
      <xdr:row>122</xdr:row>
      <xdr:rowOff>106680</xdr:rowOff>
    </xdr:to>
    <xdr:sp macro="" textlink="">
      <xdr:nvSpPr>
        <xdr:cNvPr id="6903" name="AutoShape 1783" descr="FINLAND"/>
        <xdr:cNvSpPr>
          <a:spLocks noChangeAspect="1" noChangeArrowheads="1"/>
        </xdr:cNvSpPr>
      </xdr:nvSpPr>
      <xdr:spPr bwMode="auto">
        <a:xfrm>
          <a:off x="0" y="24734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122</xdr:row>
      <xdr:rowOff>0</xdr:rowOff>
    </xdr:from>
    <xdr:to>
      <xdr:col>22</xdr:col>
      <xdr:colOff>304800</xdr:colOff>
      <xdr:row>123</xdr:row>
      <xdr:rowOff>129540</xdr:rowOff>
    </xdr:to>
    <xdr:sp macro="" textlink="">
      <xdr:nvSpPr>
        <xdr:cNvPr id="6904" name="AutoShape 1784" descr="https://www.soccerstats.com/img/own/sshplogo.png">
          <a:hlinkClick xmlns:r="http://schemas.openxmlformats.org/officeDocument/2006/relationships" r:id="rId780"/>
        </xdr:cNvPr>
        <xdr:cNvSpPr>
          <a:spLocks noChangeAspect="1" noChangeArrowheads="1"/>
        </xdr:cNvSpPr>
      </xdr:nvSpPr>
      <xdr:spPr bwMode="auto">
        <a:xfrm>
          <a:off x="13411200" y="24734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152400</xdr:colOff>
      <xdr:row>123</xdr:row>
      <xdr:rowOff>106680</xdr:rowOff>
    </xdr:to>
    <xdr:sp macro="" textlink="">
      <xdr:nvSpPr>
        <xdr:cNvPr id="6905" name="AutoShape 1785" descr="FINLAND2"/>
        <xdr:cNvSpPr>
          <a:spLocks noChangeAspect="1" noChangeArrowheads="1"/>
        </xdr:cNvSpPr>
      </xdr:nvSpPr>
      <xdr:spPr bwMode="auto">
        <a:xfrm>
          <a:off x="0" y="24909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123</xdr:row>
      <xdr:rowOff>0</xdr:rowOff>
    </xdr:from>
    <xdr:to>
      <xdr:col>22</xdr:col>
      <xdr:colOff>304800</xdr:colOff>
      <xdr:row>124</xdr:row>
      <xdr:rowOff>129540</xdr:rowOff>
    </xdr:to>
    <xdr:sp macro="" textlink="">
      <xdr:nvSpPr>
        <xdr:cNvPr id="6906" name="AutoShape 1786" descr="https://www.soccerstats.com/img/own/sshplogo.png">
          <a:hlinkClick xmlns:r="http://schemas.openxmlformats.org/officeDocument/2006/relationships" r:id="rId781"/>
        </xdr:cNvPr>
        <xdr:cNvSpPr>
          <a:spLocks noChangeAspect="1" noChangeArrowheads="1"/>
        </xdr:cNvSpPr>
      </xdr:nvSpPr>
      <xdr:spPr bwMode="auto">
        <a:xfrm>
          <a:off x="13411200" y="24909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152400</xdr:colOff>
      <xdr:row>124</xdr:row>
      <xdr:rowOff>106680</xdr:rowOff>
    </xdr:to>
    <xdr:sp macro="" textlink="">
      <xdr:nvSpPr>
        <xdr:cNvPr id="6907" name="AutoShape 1787" descr="FINLAND3"/>
        <xdr:cNvSpPr>
          <a:spLocks noChangeAspect="1" noChangeArrowheads="1"/>
        </xdr:cNvSpPr>
      </xdr:nvSpPr>
      <xdr:spPr bwMode="auto">
        <a:xfrm>
          <a:off x="0" y="25085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124</xdr:row>
      <xdr:rowOff>0</xdr:rowOff>
    </xdr:from>
    <xdr:to>
      <xdr:col>22</xdr:col>
      <xdr:colOff>304800</xdr:colOff>
      <xdr:row>125</xdr:row>
      <xdr:rowOff>53340</xdr:rowOff>
    </xdr:to>
    <xdr:sp macro="" textlink="">
      <xdr:nvSpPr>
        <xdr:cNvPr id="6908" name="AutoShape 1788" descr="https://www.soccerstats.com/img/own/sshplogo.png">
          <a:hlinkClick xmlns:r="http://schemas.openxmlformats.org/officeDocument/2006/relationships" r:id="rId782"/>
        </xdr:cNvPr>
        <xdr:cNvSpPr>
          <a:spLocks noChangeAspect="1" noChangeArrowheads="1"/>
        </xdr:cNvSpPr>
      </xdr:nvSpPr>
      <xdr:spPr bwMode="auto">
        <a:xfrm>
          <a:off x="13411200" y="25085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152400</xdr:colOff>
      <xdr:row>125</xdr:row>
      <xdr:rowOff>106680</xdr:rowOff>
    </xdr:to>
    <xdr:sp macro="" textlink="">
      <xdr:nvSpPr>
        <xdr:cNvPr id="6909" name="AutoShape 1789" descr="FINLAND3"/>
        <xdr:cNvSpPr>
          <a:spLocks noChangeAspect="1" noChangeArrowheads="1"/>
        </xdr:cNvSpPr>
      </xdr:nvSpPr>
      <xdr:spPr bwMode="auto">
        <a:xfrm>
          <a:off x="0" y="25260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125</xdr:row>
      <xdr:rowOff>0</xdr:rowOff>
    </xdr:from>
    <xdr:to>
      <xdr:col>22</xdr:col>
      <xdr:colOff>304800</xdr:colOff>
      <xdr:row>126</xdr:row>
      <xdr:rowOff>129540</xdr:rowOff>
    </xdr:to>
    <xdr:sp macro="" textlink="">
      <xdr:nvSpPr>
        <xdr:cNvPr id="6910" name="AutoShape 1790" descr="https://www.soccerstats.com/img/own/sshplogo.png">
          <a:hlinkClick xmlns:r="http://schemas.openxmlformats.org/officeDocument/2006/relationships" r:id="rId783"/>
        </xdr:cNvPr>
        <xdr:cNvSpPr>
          <a:spLocks noChangeAspect="1" noChangeArrowheads="1"/>
        </xdr:cNvSpPr>
      </xdr:nvSpPr>
      <xdr:spPr bwMode="auto">
        <a:xfrm>
          <a:off x="13411200" y="25260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126</xdr:row>
      <xdr:rowOff>0</xdr:rowOff>
    </xdr:from>
    <xdr:to>
      <xdr:col>0</xdr:col>
      <xdr:colOff>152400</xdr:colOff>
      <xdr:row>126</xdr:row>
      <xdr:rowOff>106680</xdr:rowOff>
    </xdr:to>
    <xdr:sp macro="" textlink="">
      <xdr:nvSpPr>
        <xdr:cNvPr id="6911" name="AutoShape 1791" descr="FINLAND3"/>
        <xdr:cNvSpPr>
          <a:spLocks noChangeAspect="1" noChangeArrowheads="1"/>
        </xdr:cNvSpPr>
      </xdr:nvSpPr>
      <xdr:spPr bwMode="auto">
        <a:xfrm>
          <a:off x="0" y="25435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126</xdr:row>
      <xdr:rowOff>0</xdr:rowOff>
    </xdr:from>
    <xdr:to>
      <xdr:col>22</xdr:col>
      <xdr:colOff>304800</xdr:colOff>
      <xdr:row>127</xdr:row>
      <xdr:rowOff>129540</xdr:rowOff>
    </xdr:to>
    <xdr:sp macro="" textlink="">
      <xdr:nvSpPr>
        <xdr:cNvPr id="6912" name="AutoShape 1792" descr="https://www.soccerstats.com/img/own/sshplogo.png">
          <a:hlinkClick xmlns:r="http://schemas.openxmlformats.org/officeDocument/2006/relationships" r:id="rId784"/>
        </xdr:cNvPr>
        <xdr:cNvSpPr>
          <a:spLocks noChangeAspect="1" noChangeArrowheads="1"/>
        </xdr:cNvSpPr>
      </xdr:nvSpPr>
      <xdr:spPr bwMode="auto">
        <a:xfrm>
          <a:off x="13411200" y="25435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152400</xdr:colOff>
      <xdr:row>127</xdr:row>
      <xdr:rowOff>106680</xdr:rowOff>
    </xdr:to>
    <xdr:sp macro="" textlink="">
      <xdr:nvSpPr>
        <xdr:cNvPr id="6913" name="AutoShape 1793" descr="FINLAND4"/>
        <xdr:cNvSpPr>
          <a:spLocks noChangeAspect="1" noChangeArrowheads="1"/>
        </xdr:cNvSpPr>
      </xdr:nvSpPr>
      <xdr:spPr bwMode="auto">
        <a:xfrm>
          <a:off x="0" y="25610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127</xdr:row>
      <xdr:rowOff>0</xdr:rowOff>
    </xdr:from>
    <xdr:to>
      <xdr:col>22</xdr:col>
      <xdr:colOff>304800</xdr:colOff>
      <xdr:row>128</xdr:row>
      <xdr:rowOff>129540</xdr:rowOff>
    </xdr:to>
    <xdr:sp macro="" textlink="">
      <xdr:nvSpPr>
        <xdr:cNvPr id="6914" name="AutoShape 1794" descr="https://www.soccerstats.com/img/own/sshplogo.png">
          <a:hlinkClick xmlns:r="http://schemas.openxmlformats.org/officeDocument/2006/relationships" r:id="rId785"/>
        </xdr:cNvPr>
        <xdr:cNvSpPr>
          <a:spLocks noChangeAspect="1" noChangeArrowheads="1"/>
        </xdr:cNvSpPr>
      </xdr:nvSpPr>
      <xdr:spPr bwMode="auto">
        <a:xfrm>
          <a:off x="13411200" y="25610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152400</xdr:colOff>
      <xdr:row>128</xdr:row>
      <xdr:rowOff>106680</xdr:rowOff>
    </xdr:to>
    <xdr:sp macro="" textlink="">
      <xdr:nvSpPr>
        <xdr:cNvPr id="6915" name="AutoShape 1795" descr="FINLAND6"/>
        <xdr:cNvSpPr>
          <a:spLocks noChangeAspect="1" noChangeArrowheads="1"/>
        </xdr:cNvSpPr>
      </xdr:nvSpPr>
      <xdr:spPr bwMode="auto">
        <a:xfrm>
          <a:off x="0" y="25786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128</xdr:row>
      <xdr:rowOff>0</xdr:rowOff>
    </xdr:from>
    <xdr:to>
      <xdr:col>22</xdr:col>
      <xdr:colOff>304800</xdr:colOff>
      <xdr:row>129</xdr:row>
      <xdr:rowOff>53340</xdr:rowOff>
    </xdr:to>
    <xdr:sp macro="" textlink="">
      <xdr:nvSpPr>
        <xdr:cNvPr id="6916" name="AutoShape 1796" descr="https://www.soccerstats.com/img/own/sshplogo.png">
          <a:hlinkClick xmlns:r="http://schemas.openxmlformats.org/officeDocument/2006/relationships" r:id="rId786"/>
        </xdr:cNvPr>
        <xdr:cNvSpPr>
          <a:spLocks noChangeAspect="1" noChangeArrowheads="1"/>
        </xdr:cNvSpPr>
      </xdr:nvSpPr>
      <xdr:spPr bwMode="auto">
        <a:xfrm>
          <a:off x="13411200" y="25786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152400</xdr:colOff>
      <xdr:row>129</xdr:row>
      <xdr:rowOff>106680</xdr:rowOff>
    </xdr:to>
    <xdr:sp macro="" textlink="">
      <xdr:nvSpPr>
        <xdr:cNvPr id="6917" name="AutoShape 1797" descr="FINLAND6"/>
        <xdr:cNvSpPr>
          <a:spLocks noChangeAspect="1" noChangeArrowheads="1"/>
        </xdr:cNvSpPr>
      </xdr:nvSpPr>
      <xdr:spPr bwMode="auto">
        <a:xfrm>
          <a:off x="0" y="25961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129</xdr:row>
      <xdr:rowOff>0</xdr:rowOff>
    </xdr:from>
    <xdr:to>
      <xdr:col>22</xdr:col>
      <xdr:colOff>304800</xdr:colOff>
      <xdr:row>130</xdr:row>
      <xdr:rowOff>53340</xdr:rowOff>
    </xdr:to>
    <xdr:sp macro="" textlink="">
      <xdr:nvSpPr>
        <xdr:cNvPr id="6918" name="AutoShape 1798" descr="https://www.soccerstats.com/img/own/sshplogo.png">
          <a:hlinkClick xmlns:r="http://schemas.openxmlformats.org/officeDocument/2006/relationships" r:id="rId787"/>
        </xdr:cNvPr>
        <xdr:cNvSpPr>
          <a:spLocks noChangeAspect="1" noChangeArrowheads="1"/>
        </xdr:cNvSpPr>
      </xdr:nvSpPr>
      <xdr:spPr bwMode="auto">
        <a:xfrm>
          <a:off x="13411200" y="25961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152400</xdr:colOff>
      <xdr:row>130</xdr:row>
      <xdr:rowOff>106680</xdr:rowOff>
    </xdr:to>
    <xdr:sp macro="" textlink="">
      <xdr:nvSpPr>
        <xdr:cNvPr id="6919" name="AutoShape 1799" descr="GEORGIA"/>
        <xdr:cNvSpPr>
          <a:spLocks noChangeAspect="1" noChangeArrowheads="1"/>
        </xdr:cNvSpPr>
      </xdr:nvSpPr>
      <xdr:spPr bwMode="auto">
        <a:xfrm>
          <a:off x="0" y="26212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130</xdr:row>
      <xdr:rowOff>0</xdr:rowOff>
    </xdr:from>
    <xdr:to>
      <xdr:col>22</xdr:col>
      <xdr:colOff>304800</xdr:colOff>
      <xdr:row>131</xdr:row>
      <xdr:rowOff>129540</xdr:rowOff>
    </xdr:to>
    <xdr:sp macro="" textlink="">
      <xdr:nvSpPr>
        <xdr:cNvPr id="6920" name="AutoShape 1800" descr="https://www.soccerstats.com/img/own/sshplogo.png">
          <a:hlinkClick xmlns:r="http://schemas.openxmlformats.org/officeDocument/2006/relationships" r:id="rId788"/>
        </xdr:cNvPr>
        <xdr:cNvSpPr>
          <a:spLocks noChangeAspect="1" noChangeArrowheads="1"/>
        </xdr:cNvSpPr>
      </xdr:nvSpPr>
      <xdr:spPr bwMode="auto">
        <a:xfrm>
          <a:off x="13411200" y="2621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152400</xdr:colOff>
      <xdr:row>131</xdr:row>
      <xdr:rowOff>106680</xdr:rowOff>
    </xdr:to>
    <xdr:sp macro="" textlink="">
      <xdr:nvSpPr>
        <xdr:cNvPr id="6921" name="AutoShape 1801" descr="GEORGIA"/>
        <xdr:cNvSpPr>
          <a:spLocks noChangeAspect="1" noChangeArrowheads="1"/>
        </xdr:cNvSpPr>
      </xdr:nvSpPr>
      <xdr:spPr bwMode="auto">
        <a:xfrm>
          <a:off x="0" y="26388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131</xdr:row>
      <xdr:rowOff>0</xdr:rowOff>
    </xdr:from>
    <xdr:to>
      <xdr:col>22</xdr:col>
      <xdr:colOff>304800</xdr:colOff>
      <xdr:row>132</xdr:row>
      <xdr:rowOff>129540</xdr:rowOff>
    </xdr:to>
    <xdr:sp macro="" textlink="">
      <xdr:nvSpPr>
        <xdr:cNvPr id="6922" name="AutoShape 1802" descr="https://www.soccerstats.com/img/own/sshplogo.png">
          <a:hlinkClick xmlns:r="http://schemas.openxmlformats.org/officeDocument/2006/relationships" r:id="rId789"/>
        </xdr:cNvPr>
        <xdr:cNvSpPr>
          <a:spLocks noChangeAspect="1" noChangeArrowheads="1"/>
        </xdr:cNvSpPr>
      </xdr:nvSpPr>
      <xdr:spPr bwMode="auto">
        <a:xfrm>
          <a:off x="13411200" y="26388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132</xdr:row>
      <xdr:rowOff>0</xdr:rowOff>
    </xdr:from>
    <xdr:to>
      <xdr:col>0</xdr:col>
      <xdr:colOff>152400</xdr:colOff>
      <xdr:row>132</xdr:row>
      <xdr:rowOff>106680</xdr:rowOff>
    </xdr:to>
    <xdr:sp macro="" textlink="">
      <xdr:nvSpPr>
        <xdr:cNvPr id="6923" name="AutoShape 1803" descr="GERMANY3"/>
        <xdr:cNvSpPr>
          <a:spLocks noChangeAspect="1" noChangeArrowheads="1"/>
        </xdr:cNvSpPr>
      </xdr:nvSpPr>
      <xdr:spPr bwMode="auto">
        <a:xfrm>
          <a:off x="0" y="26639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132</xdr:row>
      <xdr:rowOff>0</xdr:rowOff>
    </xdr:from>
    <xdr:to>
      <xdr:col>22</xdr:col>
      <xdr:colOff>304800</xdr:colOff>
      <xdr:row>133</xdr:row>
      <xdr:rowOff>129540</xdr:rowOff>
    </xdr:to>
    <xdr:sp macro="" textlink="">
      <xdr:nvSpPr>
        <xdr:cNvPr id="6924" name="AutoShape 1804" descr="https://www.soccerstats.com/img/own/sshplogo.png">
          <a:hlinkClick xmlns:r="http://schemas.openxmlformats.org/officeDocument/2006/relationships" r:id="rId790"/>
        </xdr:cNvPr>
        <xdr:cNvSpPr>
          <a:spLocks noChangeAspect="1" noChangeArrowheads="1"/>
        </xdr:cNvSpPr>
      </xdr:nvSpPr>
      <xdr:spPr bwMode="auto">
        <a:xfrm>
          <a:off x="13411200" y="26639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152400</xdr:colOff>
      <xdr:row>133</xdr:row>
      <xdr:rowOff>106680</xdr:rowOff>
    </xdr:to>
    <xdr:sp macro="" textlink="">
      <xdr:nvSpPr>
        <xdr:cNvPr id="6925" name="AutoShape 1805" descr="GERMANY3"/>
        <xdr:cNvSpPr>
          <a:spLocks noChangeAspect="1" noChangeArrowheads="1"/>
        </xdr:cNvSpPr>
      </xdr:nvSpPr>
      <xdr:spPr bwMode="auto">
        <a:xfrm>
          <a:off x="0" y="26890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133</xdr:row>
      <xdr:rowOff>0</xdr:rowOff>
    </xdr:from>
    <xdr:to>
      <xdr:col>22</xdr:col>
      <xdr:colOff>304800</xdr:colOff>
      <xdr:row>134</xdr:row>
      <xdr:rowOff>129540</xdr:rowOff>
    </xdr:to>
    <xdr:sp macro="" textlink="">
      <xdr:nvSpPr>
        <xdr:cNvPr id="6926" name="AutoShape 1806" descr="https://www.soccerstats.com/img/own/sshplogo.png">
          <a:hlinkClick xmlns:r="http://schemas.openxmlformats.org/officeDocument/2006/relationships" r:id="rId791"/>
        </xdr:cNvPr>
        <xdr:cNvSpPr>
          <a:spLocks noChangeAspect="1" noChangeArrowheads="1"/>
        </xdr:cNvSpPr>
      </xdr:nvSpPr>
      <xdr:spPr bwMode="auto">
        <a:xfrm>
          <a:off x="13411200" y="26890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152400</xdr:colOff>
      <xdr:row>134</xdr:row>
      <xdr:rowOff>106680</xdr:rowOff>
    </xdr:to>
    <xdr:sp macro="" textlink="">
      <xdr:nvSpPr>
        <xdr:cNvPr id="6927" name="AutoShape 1807" descr="GERMANY3"/>
        <xdr:cNvSpPr>
          <a:spLocks noChangeAspect="1" noChangeArrowheads="1"/>
        </xdr:cNvSpPr>
      </xdr:nvSpPr>
      <xdr:spPr bwMode="auto">
        <a:xfrm>
          <a:off x="0" y="27066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134</xdr:row>
      <xdr:rowOff>0</xdr:rowOff>
    </xdr:from>
    <xdr:to>
      <xdr:col>22</xdr:col>
      <xdr:colOff>304800</xdr:colOff>
      <xdr:row>135</xdr:row>
      <xdr:rowOff>129540</xdr:rowOff>
    </xdr:to>
    <xdr:sp macro="" textlink="">
      <xdr:nvSpPr>
        <xdr:cNvPr id="6928" name="AutoShape 1808" descr="https://www.soccerstats.com/img/own/sshplogo.png">
          <a:hlinkClick xmlns:r="http://schemas.openxmlformats.org/officeDocument/2006/relationships" r:id="rId792"/>
        </xdr:cNvPr>
        <xdr:cNvSpPr>
          <a:spLocks noChangeAspect="1" noChangeArrowheads="1"/>
        </xdr:cNvSpPr>
      </xdr:nvSpPr>
      <xdr:spPr bwMode="auto">
        <a:xfrm>
          <a:off x="13411200" y="27066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152400</xdr:colOff>
      <xdr:row>135</xdr:row>
      <xdr:rowOff>106680</xdr:rowOff>
    </xdr:to>
    <xdr:sp macro="" textlink="">
      <xdr:nvSpPr>
        <xdr:cNvPr id="6929" name="AutoShape 1809" descr="GERMANY4"/>
        <xdr:cNvSpPr>
          <a:spLocks noChangeAspect="1" noChangeArrowheads="1"/>
        </xdr:cNvSpPr>
      </xdr:nvSpPr>
      <xdr:spPr bwMode="auto">
        <a:xfrm>
          <a:off x="0" y="27317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135</xdr:row>
      <xdr:rowOff>0</xdr:rowOff>
    </xdr:from>
    <xdr:to>
      <xdr:col>22</xdr:col>
      <xdr:colOff>304800</xdr:colOff>
      <xdr:row>136</xdr:row>
      <xdr:rowOff>129540</xdr:rowOff>
    </xdr:to>
    <xdr:sp macro="" textlink="">
      <xdr:nvSpPr>
        <xdr:cNvPr id="6930" name="AutoShape 1810" descr="https://www.soccerstats.com/img/own/sshplogo.png">
          <a:hlinkClick xmlns:r="http://schemas.openxmlformats.org/officeDocument/2006/relationships" r:id="rId793"/>
        </xdr:cNvPr>
        <xdr:cNvSpPr>
          <a:spLocks noChangeAspect="1" noChangeArrowheads="1"/>
        </xdr:cNvSpPr>
      </xdr:nvSpPr>
      <xdr:spPr bwMode="auto">
        <a:xfrm>
          <a:off x="13411200" y="2731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152400</xdr:colOff>
      <xdr:row>136</xdr:row>
      <xdr:rowOff>106680</xdr:rowOff>
    </xdr:to>
    <xdr:sp macro="" textlink="">
      <xdr:nvSpPr>
        <xdr:cNvPr id="6931" name="AutoShape 1811" descr="GERMANY4"/>
        <xdr:cNvSpPr>
          <a:spLocks noChangeAspect="1" noChangeArrowheads="1"/>
        </xdr:cNvSpPr>
      </xdr:nvSpPr>
      <xdr:spPr bwMode="auto">
        <a:xfrm>
          <a:off x="0" y="27569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136</xdr:row>
      <xdr:rowOff>0</xdr:rowOff>
    </xdr:from>
    <xdr:to>
      <xdr:col>22</xdr:col>
      <xdr:colOff>304800</xdr:colOff>
      <xdr:row>137</xdr:row>
      <xdr:rowOff>53340</xdr:rowOff>
    </xdr:to>
    <xdr:sp macro="" textlink="">
      <xdr:nvSpPr>
        <xdr:cNvPr id="6932" name="AutoShape 1812" descr="https://www.soccerstats.com/img/own/sshplogo.png">
          <a:hlinkClick xmlns:r="http://schemas.openxmlformats.org/officeDocument/2006/relationships" r:id="rId794"/>
        </xdr:cNvPr>
        <xdr:cNvSpPr>
          <a:spLocks noChangeAspect="1" noChangeArrowheads="1"/>
        </xdr:cNvSpPr>
      </xdr:nvSpPr>
      <xdr:spPr bwMode="auto">
        <a:xfrm>
          <a:off x="13411200" y="27569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152400</xdr:colOff>
      <xdr:row>137</xdr:row>
      <xdr:rowOff>106680</xdr:rowOff>
    </xdr:to>
    <xdr:sp macro="" textlink="">
      <xdr:nvSpPr>
        <xdr:cNvPr id="6933" name="AutoShape 1813" descr="GERMANY4"/>
        <xdr:cNvSpPr>
          <a:spLocks noChangeAspect="1" noChangeArrowheads="1"/>
        </xdr:cNvSpPr>
      </xdr:nvSpPr>
      <xdr:spPr bwMode="auto">
        <a:xfrm>
          <a:off x="0" y="27820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137</xdr:row>
      <xdr:rowOff>0</xdr:rowOff>
    </xdr:from>
    <xdr:to>
      <xdr:col>22</xdr:col>
      <xdr:colOff>304800</xdr:colOff>
      <xdr:row>138</xdr:row>
      <xdr:rowOff>53340</xdr:rowOff>
    </xdr:to>
    <xdr:sp macro="" textlink="">
      <xdr:nvSpPr>
        <xdr:cNvPr id="6934" name="AutoShape 1814" descr="https://www.soccerstats.com/img/own/sshplogo.png">
          <a:hlinkClick xmlns:r="http://schemas.openxmlformats.org/officeDocument/2006/relationships" r:id="rId795"/>
        </xdr:cNvPr>
        <xdr:cNvSpPr>
          <a:spLocks noChangeAspect="1" noChangeArrowheads="1"/>
        </xdr:cNvSpPr>
      </xdr:nvSpPr>
      <xdr:spPr bwMode="auto">
        <a:xfrm>
          <a:off x="13411200" y="27820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138</xdr:row>
      <xdr:rowOff>0</xdr:rowOff>
    </xdr:from>
    <xdr:to>
      <xdr:col>0</xdr:col>
      <xdr:colOff>152400</xdr:colOff>
      <xdr:row>138</xdr:row>
      <xdr:rowOff>106680</xdr:rowOff>
    </xdr:to>
    <xdr:sp macro="" textlink="">
      <xdr:nvSpPr>
        <xdr:cNvPr id="6935" name="AutoShape 1815" descr="GERMANY4"/>
        <xdr:cNvSpPr>
          <a:spLocks noChangeAspect="1" noChangeArrowheads="1"/>
        </xdr:cNvSpPr>
      </xdr:nvSpPr>
      <xdr:spPr bwMode="auto">
        <a:xfrm>
          <a:off x="0" y="28072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138</xdr:row>
      <xdr:rowOff>0</xdr:rowOff>
    </xdr:from>
    <xdr:to>
      <xdr:col>22</xdr:col>
      <xdr:colOff>304800</xdr:colOff>
      <xdr:row>139</xdr:row>
      <xdr:rowOff>53340</xdr:rowOff>
    </xdr:to>
    <xdr:sp macro="" textlink="">
      <xdr:nvSpPr>
        <xdr:cNvPr id="6936" name="AutoShape 1816" descr="https://www.soccerstats.com/img/own/sshplogo.png">
          <a:hlinkClick xmlns:r="http://schemas.openxmlformats.org/officeDocument/2006/relationships" r:id="rId796"/>
        </xdr:cNvPr>
        <xdr:cNvSpPr>
          <a:spLocks noChangeAspect="1" noChangeArrowheads="1"/>
        </xdr:cNvSpPr>
      </xdr:nvSpPr>
      <xdr:spPr bwMode="auto">
        <a:xfrm>
          <a:off x="13411200" y="28072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152400</xdr:colOff>
      <xdr:row>139</xdr:row>
      <xdr:rowOff>106680</xdr:rowOff>
    </xdr:to>
    <xdr:sp macro="" textlink="">
      <xdr:nvSpPr>
        <xdr:cNvPr id="6937" name="AutoShape 1817" descr="GERMANY4"/>
        <xdr:cNvSpPr>
          <a:spLocks noChangeAspect="1" noChangeArrowheads="1"/>
        </xdr:cNvSpPr>
      </xdr:nvSpPr>
      <xdr:spPr bwMode="auto">
        <a:xfrm>
          <a:off x="0" y="28323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139</xdr:row>
      <xdr:rowOff>0</xdr:rowOff>
    </xdr:from>
    <xdr:to>
      <xdr:col>22</xdr:col>
      <xdr:colOff>304800</xdr:colOff>
      <xdr:row>140</xdr:row>
      <xdr:rowOff>129540</xdr:rowOff>
    </xdr:to>
    <xdr:sp macro="" textlink="">
      <xdr:nvSpPr>
        <xdr:cNvPr id="6938" name="AutoShape 1818" descr="https://www.soccerstats.com/img/own/sshplogo.png">
          <a:hlinkClick xmlns:r="http://schemas.openxmlformats.org/officeDocument/2006/relationships" r:id="rId797"/>
        </xdr:cNvPr>
        <xdr:cNvSpPr>
          <a:spLocks noChangeAspect="1" noChangeArrowheads="1"/>
        </xdr:cNvSpPr>
      </xdr:nvSpPr>
      <xdr:spPr bwMode="auto">
        <a:xfrm>
          <a:off x="13411200" y="28323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140</xdr:row>
      <xdr:rowOff>0</xdr:rowOff>
    </xdr:from>
    <xdr:to>
      <xdr:col>0</xdr:col>
      <xdr:colOff>152400</xdr:colOff>
      <xdr:row>140</xdr:row>
      <xdr:rowOff>106680</xdr:rowOff>
    </xdr:to>
    <xdr:sp macro="" textlink="">
      <xdr:nvSpPr>
        <xdr:cNvPr id="6939" name="AutoShape 1819" descr="GERMANY5"/>
        <xdr:cNvSpPr>
          <a:spLocks noChangeAspect="1" noChangeArrowheads="1"/>
        </xdr:cNvSpPr>
      </xdr:nvSpPr>
      <xdr:spPr bwMode="auto">
        <a:xfrm>
          <a:off x="0" y="28498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140</xdr:row>
      <xdr:rowOff>0</xdr:rowOff>
    </xdr:from>
    <xdr:to>
      <xdr:col>22</xdr:col>
      <xdr:colOff>304800</xdr:colOff>
      <xdr:row>141</xdr:row>
      <xdr:rowOff>53340</xdr:rowOff>
    </xdr:to>
    <xdr:sp macro="" textlink="">
      <xdr:nvSpPr>
        <xdr:cNvPr id="6940" name="AutoShape 1820" descr="https://www.soccerstats.com/img/own/sshplogo.png">
          <a:hlinkClick xmlns:r="http://schemas.openxmlformats.org/officeDocument/2006/relationships" r:id="rId798"/>
        </xdr:cNvPr>
        <xdr:cNvSpPr>
          <a:spLocks noChangeAspect="1" noChangeArrowheads="1"/>
        </xdr:cNvSpPr>
      </xdr:nvSpPr>
      <xdr:spPr bwMode="auto">
        <a:xfrm>
          <a:off x="13411200" y="2849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941" name="AutoShape 1821" descr="GERMANY5"/>
        <xdr:cNvSpPr>
          <a:spLocks noChangeAspect="1" noChangeArrowheads="1"/>
        </xdr:cNvSpPr>
      </xdr:nvSpPr>
      <xdr:spPr bwMode="auto">
        <a:xfrm>
          <a:off x="0" y="28674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942" name="AutoShape 1822" descr="https://www.soccerstats.com/img/own/sshplogo.png">
          <a:hlinkClick xmlns:r="http://schemas.openxmlformats.org/officeDocument/2006/relationships" r:id="rId799"/>
        </xdr:cNvPr>
        <xdr:cNvSpPr>
          <a:spLocks noChangeAspect="1" noChangeArrowheads="1"/>
        </xdr:cNvSpPr>
      </xdr:nvSpPr>
      <xdr:spPr bwMode="auto">
        <a:xfrm>
          <a:off x="13411200" y="28674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943" name="AutoShape 1823" descr="GERMANY6"/>
        <xdr:cNvSpPr>
          <a:spLocks noChangeAspect="1" noChangeArrowheads="1"/>
        </xdr:cNvSpPr>
      </xdr:nvSpPr>
      <xdr:spPr bwMode="auto">
        <a:xfrm>
          <a:off x="0" y="28925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944" name="AutoShape 1824" descr="https://www.soccerstats.com/img/own/sshplogo.png">
          <a:hlinkClick xmlns:r="http://schemas.openxmlformats.org/officeDocument/2006/relationships" r:id="rId800"/>
        </xdr:cNvPr>
        <xdr:cNvSpPr>
          <a:spLocks noChangeAspect="1" noChangeArrowheads="1"/>
        </xdr:cNvSpPr>
      </xdr:nvSpPr>
      <xdr:spPr bwMode="auto">
        <a:xfrm>
          <a:off x="13411200" y="28925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945" name="AutoShape 1825" descr="GERMANY7"/>
        <xdr:cNvSpPr>
          <a:spLocks noChangeAspect="1" noChangeArrowheads="1"/>
        </xdr:cNvSpPr>
      </xdr:nvSpPr>
      <xdr:spPr bwMode="auto">
        <a:xfrm>
          <a:off x="0" y="29100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946" name="AutoShape 1826" descr="https://www.soccerstats.com/img/own/sshplogo.png">
          <a:hlinkClick xmlns:r="http://schemas.openxmlformats.org/officeDocument/2006/relationships" r:id="rId801"/>
        </xdr:cNvPr>
        <xdr:cNvSpPr>
          <a:spLocks noChangeAspect="1" noChangeArrowheads="1"/>
        </xdr:cNvSpPr>
      </xdr:nvSpPr>
      <xdr:spPr bwMode="auto">
        <a:xfrm>
          <a:off x="13411200" y="29100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947" name="AutoShape 1827" descr="GERMANY7"/>
        <xdr:cNvSpPr>
          <a:spLocks noChangeAspect="1" noChangeArrowheads="1"/>
        </xdr:cNvSpPr>
      </xdr:nvSpPr>
      <xdr:spPr bwMode="auto">
        <a:xfrm>
          <a:off x="0" y="29276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948" name="AutoShape 1828" descr="https://www.soccerstats.com/img/own/sshplogo.png">
          <a:hlinkClick xmlns:r="http://schemas.openxmlformats.org/officeDocument/2006/relationships" r:id="rId802"/>
        </xdr:cNvPr>
        <xdr:cNvSpPr>
          <a:spLocks noChangeAspect="1" noChangeArrowheads="1"/>
        </xdr:cNvSpPr>
      </xdr:nvSpPr>
      <xdr:spPr bwMode="auto">
        <a:xfrm>
          <a:off x="13411200" y="29276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949" name="AutoShape 1829" descr="GERMANY7"/>
        <xdr:cNvSpPr>
          <a:spLocks noChangeAspect="1" noChangeArrowheads="1"/>
        </xdr:cNvSpPr>
      </xdr:nvSpPr>
      <xdr:spPr bwMode="auto">
        <a:xfrm>
          <a:off x="0" y="29451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950" name="AutoShape 1830" descr="https://www.soccerstats.com/img/own/sshplogo.png">
          <a:hlinkClick xmlns:r="http://schemas.openxmlformats.org/officeDocument/2006/relationships" r:id="rId803"/>
        </xdr:cNvPr>
        <xdr:cNvSpPr>
          <a:spLocks noChangeAspect="1" noChangeArrowheads="1"/>
        </xdr:cNvSpPr>
      </xdr:nvSpPr>
      <xdr:spPr bwMode="auto">
        <a:xfrm>
          <a:off x="13411200" y="29451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951" name="AutoShape 1831" descr="GUATEMALA"/>
        <xdr:cNvSpPr>
          <a:spLocks noChangeAspect="1" noChangeArrowheads="1"/>
        </xdr:cNvSpPr>
      </xdr:nvSpPr>
      <xdr:spPr bwMode="auto">
        <a:xfrm>
          <a:off x="0" y="29702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952" name="AutoShape 1832" descr="https://www.soccerstats.com/img/own/sshplogo.png">
          <a:hlinkClick xmlns:r="http://schemas.openxmlformats.org/officeDocument/2006/relationships" r:id="rId804"/>
        </xdr:cNvPr>
        <xdr:cNvSpPr>
          <a:spLocks noChangeAspect="1" noChangeArrowheads="1"/>
        </xdr:cNvSpPr>
      </xdr:nvSpPr>
      <xdr:spPr bwMode="auto">
        <a:xfrm>
          <a:off x="13411200" y="29702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953" name="AutoShape 1833" descr="GUATEMALA"/>
        <xdr:cNvSpPr>
          <a:spLocks noChangeAspect="1" noChangeArrowheads="1"/>
        </xdr:cNvSpPr>
      </xdr:nvSpPr>
      <xdr:spPr bwMode="auto">
        <a:xfrm>
          <a:off x="0" y="29954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954" name="AutoShape 1834" descr="https://www.soccerstats.com/img/own/sshplogo.png">
          <a:hlinkClick xmlns:r="http://schemas.openxmlformats.org/officeDocument/2006/relationships" r:id="rId805"/>
        </xdr:cNvPr>
        <xdr:cNvSpPr>
          <a:spLocks noChangeAspect="1" noChangeArrowheads="1"/>
        </xdr:cNvSpPr>
      </xdr:nvSpPr>
      <xdr:spPr bwMode="auto">
        <a:xfrm>
          <a:off x="13411200" y="29954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955" name="AutoShape 1835" descr="GUATEMALA"/>
        <xdr:cNvSpPr>
          <a:spLocks noChangeAspect="1" noChangeArrowheads="1"/>
        </xdr:cNvSpPr>
      </xdr:nvSpPr>
      <xdr:spPr bwMode="auto">
        <a:xfrm>
          <a:off x="0" y="30129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956" name="AutoShape 1836" descr="https://www.soccerstats.com/img/own/sshplogo.png">
          <a:hlinkClick xmlns:r="http://schemas.openxmlformats.org/officeDocument/2006/relationships" r:id="rId806"/>
        </xdr:cNvPr>
        <xdr:cNvSpPr>
          <a:spLocks noChangeAspect="1" noChangeArrowheads="1"/>
        </xdr:cNvSpPr>
      </xdr:nvSpPr>
      <xdr:spPr bwMode="auto">
        <a:xfrm>
          <a:off x="13411200" y="30129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957" name="AutoShape 1837" descr="HUNGARY"/>
        <xdr:cNvSpPr>
          <a:spLocks noChangeAspect="1" noChangeArrowheads="1"/>
        </xdr:cNvSpPr>
      </xdr:nvSpPr>
      <xdr:spPr bwMode="auto">
        <a:xfrm>
          <a:off x="0" y="30380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958" name="AutoShape 1838" descr="https://www.soccerstats.com/img/own/sshplogo.png">
          <a:hlinkClick xmlns:r="http://schemas.openxmlformats.org/officeDocument/2006/relationships" r:id="rId807"/>
        </xdr:cNvPr>
        <xdr:cNvSpPr>
          <a:spLocks noChangeAspect="1" noChangeArrowheads="1"/>
        </xdr:cNvSpPr>
      </xdr:nvSpPr>
      <xdr:spPr bwMode="auto">
        <a:xfrm>
          <a:off x="13411200" y="30380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959" name="AutoShape 1839" descr="HUNGARY"/>
        <xdr:cNvSpPr>
          <a:spLocks noChangeAspect="1" noChangeArrowheads="1"/>
        </xdr:cNvSpPr>
      </xdr:nvSpPr>
      <xdr:spPr bwMode="auto">
        <a:xfrm>
          <a:off x="0" y="30556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960" name="AutoShape 1840" descr="https://www.soccerstats.com/img/own/sshplogo.png">
          <a:hlinkClick xmlns:r="http://schemas.openxmlformats.org/officeDocument/2006/relationships" r:id="rId808"/>
        </xdr:cNvPr>
        <xdr:cNvSpPr>
          <a:spLocks noChangeAspect="1" noChangeArrowheads="1"/>
        </xdr:cNvSpPr>
      </xdr:nvSpPr>
      <xdr:spPr bwMode="auto">
        <a:xfrm>
          <a:off x="13411200" y="30556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961" name="AutoShape 1841" descr="HUNGARY2"/>
        <xdr:cNvSpPr>
          <a:spLocks noChangeAspect="1" noChangeArrowheads="1"/>
        </xdr:cNvSpPr>
      </xdr:nvSpPr>
      <xdr:spPr bwMode="auto">
        <a:xfrm>
          <a:off x="0" y="30731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962" name="AutoShape 1842" descr="https://www.soccerstats.com/img/own/sshplogo.png">
          <a:hlinkClick xmlns:r="http://schemas.openxmlformats.org/officeDocument/2006/relationships" r:id="rId809"/>
        </xdr:cNvPr>
        <xdr:cNvSpPr>
          <a:spLocks noChangeAspect="1" noChangeArrowheads="1"/>
        </xdr:cNvSpPr>
      </xdr:nvSpPr>
      <xdr:spPr bwMode="auto">
        <a:xfrm>
          <a:off x="13411200" y="30731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963" name="AutoShape 1843" descr="HUNGARY2"/>
        <xdr:cNvSpPr>
          <a:spLocks noChangeAspect="1" noChangeArrowheads="1"/>
        </xdr:cNvSpPr>
      </xdr:nvSpPr>
      <xdr:spPr bwMode="auto">
        <a:xfrm>
          <a:off x="0" y="30906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964" name="AutoShape 1844" descr="https://www.soccerstats.com/img/own/sshplogo.png">
          <a:hlinkClick xmlns:r="http://schemas.openxmlformats.org/officeDocument/2006/relationships" r:id="rId810"/>
        </xdr:cNvPr>
        <xdr:cNvSpPr>
          <a:spLocks noChangeAspect="1" noChangeArrowheads="1"/>
        </xdr:cNvSpPr>
      </xdr:nvSpPr>
      <xdr:spPr bwMode="auto">
        <a:xfrm>
          <a:off x="13411200" y="30906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965" name="AutoShape 1845" descr="ICELAND"/>
        <xdr:cNvSpPr>
          <a:spLocks noChangeAspect="1" noChangeArrowheads="1"/>
        </xdr:cNvSpPr>
      </xdr:nvSpPr>
      <xdr:spPr bwMode="auto">
        <a:xfrm>
          <a:off x="0" y="31081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966" name="AutoShape 1846" descr="https://www.soccerstats.com/img/own/sshplogo.png">
          <a:hlinkClick xmlns:r="http://schemas.openxmlformats.org/officeDocument/2006/relationships" r:id="rId811"/>
        </xdr:cNvPr>
        <xdr:cNvSpPr>
          <a:spLocks noChangeAspect="1" noChangeArrowheads="1"/>
        </xdr:cNvSpPr>
      </xdr:nvSpPr>
      <xdr:spPr bwMode="auto">
        <a:xfrm>
          <a:off x="13411200" y="31081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967" name="AutoShape 1847" descr="ICELAND"/>
        <xdr:cNvSpPr>
          <a:spLocks noChangeAspect="1" noChangeArrowheads="1"/>
        </xdr:cNvSpPr>
      </xdr:nvSpPr>
      <xdr:spPr bwMode="auto">
        <a:xfrm>
          <a:off x="0" y="31257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968" name="AutoShape 1848" descr="https://www.soccerstats.com/img/own/sshplogo.png">
          <a:hlinkClick xmlns:r="http://schemas.openxmlformats.org/officeDocument/2006/relationships" r:id="rId812"/>
        </xdr:cNvPr>
        <xdr:cNvSpPr>
          <a:spLocks noChangeAspect="1" noChangeArrowheads="1"/>
        </xdr:cNvSpPr>
      </xdr:nvSpPr>
      <xdr:spPr bwMode="auto">
        <a:xfrm>
          <a:off x="13411200" y="31257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969" name="AutoShape 1849" descr="ICELAND"/>
        <xdr:cNvSpPr>
          <a:spLocks noChangeAspect="1" noChangeArrowheads="1"/>
        </xdr:cNvSpPr>
      </xdr:nvSpPr>
      <xdr:spPr bwMode="auto">
        <a:xfrm>
          <a:off x="0" y="31432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970" name="AutoShape 1850" descr="https://www.soccerstats.com/img/own/sshplogo.png">
          <a:hlinkClick xmlns:r="http://schemas.openxmlformats.org/officeDocument/2006/relationships" r:id="rId813"/>
        </xdr:cNvPr>
        <xdr:cNvSpPr>
          <a:spLocks noChangeAspect="1" noChangeArrowheads="1"/>
        </xdr:cNvSpPr>
      </xdr:nvSpPr>
      <xdr:spPr bwMode="auto">
        <a:xfrm>
          <a:off x="13411200" y="31432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971" name="AutoShape 1851" descr="JAPAN2"/>
        <xdr:cNvSpPr>
          <a:spLocks noChangeAspect="1" noChangeArrowheads="1"/>
        </xdr:cNvSpPr>
      </xdr:nvSpPr>
      <xdr:spPr bwMode="auto">
        <a:xfrm>
          <a:off x="0" y="31607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972" name="AutoShape 1852" descr="https://www.soccerstats.com/img/own/sshplogo.png">
          <a:hlinkClick xmlns:r="http://schemas.openxmlformats.org/officeDocument/2006/relationships" r:id="rId814"/>
        </xdr:cNvPr>
        <xdr:cNvSpPr>
          <a:spLocks noChangeAspect="1" noChangeArrowheads="1"/>
        </xdr:cNvSpPr>
      </xdr:nvSpPr>
      <xdr:spPr bwMode="auto">
        <a:xfrm>
          <a:off x="13411200" y="31607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973" name="AutoShape 1853" descr="JAPAN2"/>
        <xdr:cNvSpPr>
          <a:spLocks noChangeAspect="1" noChangeArrowheads="1"/>
        </xdr:cNvSpPr>
      </xdr:nvSpPr>
      <xdr:spPr bwMode="auto">
        <a:xfrm>
          <a:off x="0" y="31859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974" name="AutoShape 1854" descr="https://www.soccerstats.com/img/own/sshplogo.png">
          <a:hlinkClick xmlns:r="http://schemas.openxmlformats.org/officeDocument/2006/relationships" r:id="rId815"/>
        </xdr:cNvPr>
        <xdr:cNvSpPr>
          <a:spLocks noChangeAspect="1" noChangeArrowheads="1"/>
        </xdr:cNvSpPr>
      </xdr:nvSpPr>
      <xdr:spPr bwMode="auto">
        <a:xfrm>
          <a:off x="13411200" y="31859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975" name="AutoShape 1855" descr="JAPAN3"/>
        <xdr:cNvSpPr>
          <a:spLocks noChangeAspect="1" noChangeArrowheads="1"/>
        </xdr:cNvSpPr>
      </xdr:nvSpPr>
      <xdr:spPr bwMode="auto">
        <a:xfrm>
          <a:off x="0" y="32034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976" name="AutoShape 1856" descr="https://www.soccerstats.com/img/own/sshplogo.png">
          <a:hlinkClick xmlns:r="http://schemas.openxmlformats.org/officeDocument/2006/relationships" r:id="rId816"/>
        </xdr:cNvPr>
        <xdr:cNvSpPr>
          <a:spLocks noChangeAspect="1" noChangeArrowheads="1"/>
        </xdr:cNvSpPr>
      </xdr:nvSpPr>
      <xdr:spPr bwMode="auto">
        <a:xfrm>
          <a:off x="13411200" y="32034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977" name="AutoShape 1857" descr="JAPAN3"/>
        <xdr:cNvSpPr>
          <a:spLocks noChangeAspect="1" noChangeArrowheads="1"/>
        </xdr:cNvSpPr>
      </xdr:nvSpPr>
      <xdr:spPr bwMode="auto">
        <a:xfrm>
          <a:off x="0" y="32285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978" name="AutoShape 1858" descr="https://www.soccerstats.com/img/own/sshplogo.png">
          <a:hlinkClick xmlns:r="http://schemas.openxmlformats.org/officeDocument/2006/relationships" r:id="rId817"/>
        </xdr:cNvPr>
        <xdr:cNvSpPr>
          <a:spLocks noChangeAspect="1" noChangeArrowheads="1"/>
        </xdr:cNvSpPr>
      </xdr:nvSpPr>
      <xdr:spPr bwMode="auto">
        <a:xfrm>
          <a:off x="13411200" y="32285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979" name="AutoShape 1859" descr="JAPAN3"/>
        <xdr:cNvSpPr>
          <a:spLocks noChangeAspect="1" noChangeArrowheads="1"/>
        </xdr:cNvSpPr>
      </xdr:nvSpPr>
      <xdr:spPr bwMode="auto">
        <a:xfrm>
          <a:off x="0" y="32537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980" name="AutoShape 1860" descr="https://www.soccerstats.com/img/own/sshplogo.png">
          <a:hlinkClick xmlns:r="http://schemas.openxmlformats.org/officeDocument/2006/relationships" r:id="rId818"/>
        </xdr:cNvPr>
        <xdr:cNvSpPr>
          <a:spLocks noChangeAspect="1" noChangeArrowheads="1"/>
        </xdr:cNvSpPr>
      </xdr:nvSpPr>
      <xdr:spPr bwMode="auto">
        <a:xfrm>
          <a:off x="13411200" y="32537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981" name="AutoShape 1861" descr="JAPAN3"/>
        <xdr:cNvSpPr>
          <a:spLocks noChangeAspect="1" noChangeArrowheads="1"/>
        </xdr:cNvSpPr>
      </xdr:nvSpPr>
      <xdr:spPr bwMode="auto">
        <a:xfrm>
          <a:off x="0" y="32788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982" name="AutoShape 1862" descr="https://www.soccerstats.com/img/own/sshplogo.png">
          <a:hlinkClick xmlns:r="http://schemas.openxmlformats.org/officeDocument/2006/relationships" r:id="rId819"/>
        </xdr:cNvPr>
        <xdr:cNvSpPr>
          <a:spLocks noChangeAspect="1" noChangeArrowheads="1"/>
        </xdr:cNvSpPr>
      </xdr:nvSpPr>
      <xdr:spPr bwMode="auto">
        <a:xfrm>
          <a:off x="13411200" y="32788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983" name="AutoShape 1863" descr="KAZAKHSTAN"/>
        <xdr:cNvSpPr>
          <a:spLocks noChangeAspect="1" noChangeArrowheads="1"/>
        </xdr:cNvSpPr>
      </xdr:nvSpPr>
      <xdr:spPr bwMode="auto">
        <a:xfrm>
          <a:off x="0" y="33040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984" name="AutoShape 1864" descr="https://www.soccerstats.com/img/own/sshplogo.png">
          <a:hlinkClick xmlns:r="http://schemas.openxmlformats.org/officeDocument/2006/relationships" r:id="rId820"/>
        </xdr:cNvPr>
        <xdr:cNvSpPr>
          <a:spLocks noChangeAspect="1" noChangeArrowheads="1"/>
        </xdr:cNvSpPr>
      </xdr:nvSpPr>
      <xdr:spPr bwMode="auto">
        <a:xfrm>
          <a:off x="13411200" y="33040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985" name="AutoShape 1865" descr="KAZAKHSTAN"/>
        <xdr:cNvSpPr>
          <a:spLocks noChangeAspect="1" noChangeArrowheads="1"/>
        </xdr:cNvSpPr>
      </xdr:nvSpPr>
      <xdr:spPr bwMode="auto">
        <a:xfrm>
          <a:off x="0" y="33215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986" name="AutoShape 1866" descr="https://www.soccerstats.com/img/own/sshplogo.png">
          <a:hlinkClick xmlns:r="http://schemas.openxmlformats.org/officeDocument/2006/relationships" r:id="rId821"/>
        </xdr:cNvPr>
        <xdr:cNvSpPr>
          <a:spLocks noChangeAspect="1" noChangeArrowheads="1"/>
        </xdr:cNvSpPr>
      </xdr:nvSpPr>
      <xdr:spPr bwMode="auto">
        <a:xfrm>
          <a:off x="13411200" y="33215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987" name="AutoShape 1867" descr="KAZAKHSTAN"/>
        <xdr:cNvSpPr>
          <a:spLocks noChangeAspect="1" noChangeArrowheads="1"/>
        </xdr:cNvSpPr>
      </xdr:nvSpPr>
      <xdr:spPr bwMode="auto">
        <a:xfrm>
          <a:off x="0" y="33390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988" name="AutoShape 1868" descr="https://www.soccerstats.com/img/own/sshplogo.png">
          <a:hlinkClick xmlns:r="http://schemas.openxmlformats.org/officeDocument/2006/relationships" r:id="rId822"/>
        </xdr:cNvPr>
        <xdr:cNvSpPr>
          <a:spLocks noChangeAspect="1" noChangeArrowheads="1"/>
        </xdr:cNvSpPr>
      </xdr:nvSpPr>
      <xdr:spPr bwMode="auto">
        <a:xfrm>
          <a:off x="13411200" y="33390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989" name="AutoShape 1869" descr="KAZAKHSTAN"/>
        <xdr:cNvSpPr>
          <a:spLocks noChangeAspect="1" noChangeArrowheads="1"/>
        </xdr:cNvSpPr>
      </xdr:nvSpPr>
      <xdr:spPr bwMode="auto">
        <a:xfrm>
          <a:off x="0" y="33566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990" name="AutoShape 1870" descr="https://www.soccerstats.com/img/own/sshplogo.png">
          <a:hlinkClick xmlns:r="http://schemas.openxmlformats.org/officeDocument/2006/relationships" r:id="rId823"/>
        </xdr:cNvPr>
        <xdr:cNvSpPr>
          <a:spLocks noChangeAspect="1" noChangeArrowheads="1"/>
        </xdr:cNvSpPr>
      </xdr:nvSpPr>
      <xdr:spPr bwMode="auto">
        <a:xfrm>
          <a:off x="13411200" y="33566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991" name="AutoShape 1871" descr="LITHUANIA"/>
        <xdr:cNvSpPr>
          <a:spLocks noChangeAspect="1" noChangeArrowheads="1"/>
        </xdr:cNvSpPr>
      </xdr:nvSpPr>
      <xdr:spPr bwMode="auto">
        <a:xfrm>
          <a:off x="0" y="33817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992" name="AutoShape 1872" descr="https://www.soccerstats.com/img/own/sshplogo.png">
          <a:hlinkClick xmlns:r="http://schemas.openxmlformats.org/officeDocument/2006/relationships" r:id="rId824"/>
        </xdr:cNvPr>
        <xdr:cNvSpPr>
          <a:spLocks noChangeAspect="1" noChangeArrowheads="1"/>
        </xdr:cNvSpPr>
      </xdr:nvSpPr>
      <xdr:spPr bwMode="auto">
        <a:xfrm>
          <a:off x="13411200" y="33817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993" name="AutoShape 1873" descr="LITHUANIA"/>
        <xdr:cNvSpPr>
          <a:spLocks noChangeAspect="1" noChangeArrowheads="1"/>
        </xdr:cNvSpPr>
      </xdr:nvSpPr>
      <xdr:spPr bwMode="auto">
        <a:xfrm>
          <a:off x="0" y="34069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994" name="AutoShape 1874" descr="https://www.soccerstats.com/img/own/sshplogo.png">
          <a:hlinkClick xmlns:r="http://schemas.openxmlformats.org/officeDocument/2006/relationships" r:id="rId825"/>
        </xdr:cNvPr>
        <xdr:cNvSpPr>
          <a:spLocks noChangeAspect="1" noChangeArrowheads="1"/>
        </xdr:cNvSpPr>
      </xdr:nvSpPr>
      <xdr:spPr bwMode="auto">
        <a:xfrm>
          <a:off x="13411200" y="34069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995" name="AutoShape 1875" descr="MEXICO"/>
        <xdr:cNvSpPr>
          <a:spLocks noChangeAspect="1" noChangeArrowheads="1"/>
        </xdr:cNvSpPr>
      </xdr:nvSpPr>
      <xdr:spPr bwMode="auto">
        <a:xfrm>
          <a:off x="0" y="34244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996" name="AutoShape 1876" descr="https://www.soccerstats.com/img/own/sshplogo.png">
          <a:hlinkClick xmlns:r="http://schemas.openxmlformats.org/officeDocument/2006/relationships" r:id="rId826"/>
        </xdr:cNvPr>
        <xdr:cNvSpPr>
          <a:spLocks noChangeAspect="1" noChangeArrowheads="1"/>
        </xdr:cNvSpPr>
      </xdr:nvSpPr>
      <xdr:spPr bwMode="auto">
        <a:xfrm>
          <a:off x="13411200" y="34244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997" name="AutoShape 1877" descr="MEXICO"/>
        <xdr:cNvSpPr>
          <a:spLocks noChangeAspect="1" noChangeArrowheads="1"/>
        </xdr:cNvSpPr>
      </xdr:nvSpPr>
      <xdr:spPr bwMode="auto">
        <a:xfrm>
          <a:off x="0" y="34419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6998" name="AutoShape 1878" descr="https://www.soccerstats.com/img/own/sshplogo.png">
          <a:hlinkClick xmlns:r="http://schemas.openxmlformats.org/officeDocument/2006/relationships" r:id="rId827"/>
        </xdr:cNvPr>
        <xdr:cNvSpPr>
          <a:spLocks noChangeAspect="1" noChangeArrowheads="1"/>
        </xdr:cNvSpPr>
      </xdr:nvSpPr>
      <xdr:spPr bwMode="auto">
        <a:xfrm>
          <a:off x="13411200" y="34419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999" name="AutoShape 1879" descr="MEXICO"/>
        <xdr:cNvSpPr>
          <a:spLocks noChangeAspect="1" noChangeArrowheads="1"/>
        </xdr:cNvSpPr>
      </xdr:nvSpPr>
      <xdr:spPr bwMode="auto">
        <a:xfrm>
          <a:off x="0" y="34594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000" name="AutoShape 1880" descr="https://www.soccerstats.com/img/own/sshplogo.png">
          <a:hlinkClick xmlns:r="http://schemas.openxmlformats.org/officeDocument/2006/relationships" r:id="rId828"/>
        </xdr:cNvPr>
        <xdr:cNvSpPr>
          <a:spLocks noChangeAspect="1" noChangeArrowheads="1"/>
        </xdr:cNvSpPr>
      </xdr:nvSpPr>
      <xdr:spPr bwMode="auto">
        <a:xfrm>
          <a:off x="13411200" y="3459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01" name="AutoShape 1881" descr="MEXICO"/>
        <xdr:cNvSpPr>
          <a:spLocks noChangeAspect="1" noChangeArrowheads="1"/>
        </xdr:cNvSpPr>
      </xdr:nvSpPr>
      <xdr:spPr bwMode="auto">
        <a:xfrm>
          <a:off x="0" y="34846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002" name="AutoShape 1882" descr="https://www.soccerstats.com/img/own/sshplogo.png">
          <a:hlinkClick xmlns:r="http://schemas.openxmlformats.org/officeDocument/2006/relationships" r:id="rId829"/>
        </xdr:cNvPr>
        <xdr:cNvSpPr>
          <a:spLocks noChangeAspect="1" noChangeArrowheads="1"/>
        </xdr:cNvSpPr>
      </xdr:nvSpPr>
      <xdr:spPr bwMode="auto">
        <a:xfrm>
          <a:off x="13411200" y="34846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03" name="AutoShape 1883" descr="MOLDOVA"/>
        <xdr:cNvSpPr>
          <a:spLocks noChangeAspect="1" noChangeArrowheads="1"/>
        </xdr:cNvSpPr>
      </xdr:nvSpPr>
      <xdr:spPr bwMode="auto">
        <a:xfrm>
          <a:off x="0" y="35021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004" name="AutoShape 1884" descr="https://www.soccerstats.com/img/own/sshplogo.png">
          <a:hlinkClick xmlns:r="http://schemas.openxmlformats.org/officeDocument/2006/relationships" r:id="rId830"/>
        </xdr:cNvPr>
        <xdr:cNvSpPr>
          <a:spLocks noChangeAspect="1" noChangeArrowheads="1"/>
        </xdr:cNvSpPr>
      </xdr:nvSpPr>
      <xdr:spPr bwMode="auto">
        <a:xfrm>
          <a:off x="13411200" y="35021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05" name="AutoShape 1885" descr="MOLDOVA"/>
        <xdr:cNvSpPr>
          <a:spLocks noChangeAspect="1" noChangeArrowheads="1"/>
        </xdr:cNvSpPr>
      </xdr:nvSpPr>
      <xdr:spPr bwMode="auto">
        <a:xfrm>
          <a:off x="0" y="35196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006" name="AutoShape 1886" descr="https://www.soccerstats.com/img/own/sshplogo.png">
          <a:hlinkClick xmlns:r="http://schemas.openxmlformats.org/officeDocument/2006/relationships" r:id="rId831"/>
        </xdr:cNvPr>
        <xdr:cNvSpPr>
          <a:spLocks noChangeAspect="1" noChangeArrowheads="1"/>
        </xdr:cNvSpPr>
      </xdr:nvSpPr>
      <xdr:spPr bwMode="auto">
        <a:xfrm>
          <a:off x="13411200" y="35196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07" name="AutoShape 1887" descr="MONTENEGRO"/>
        <xdr:cNvSpPr>
          <a:spLocks noChangeAspect="1" noChangeArrowheads="1"/>
        </xdr:cNvSpPr>
      </xdr:nvSpPr>
      <xdr:spPr bwMode="auto">
        <a:xfrm>
          <a:off x="0" y="35448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008" name="AutoShape 1888" descr="https://www.soccerstats.com/img/own/sshplogo.png">
          <a:hlinkClick xmlns:r="http://schemas.openxmlformats.org/officeDocument/2006/relationships" r:id="rId832"/>
        </xdr:cNvPr>
        <xdr:cNvSpPr>
          <a:spLocks noChangeAspect="1" noChangeArrowheads="1"/>
        </xdr:cNvSpPr>
      </xdr:nvSpPr>
      <xdr:spPr bwMode="auto">
        <a:xfrm>
          <a:off x="13411200" y="35448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09" name="AutoShape 1889" descr="MONTENEGRO"/>
        <xdr:cNvSpPr>
          <a:spLocks noChangeAspect="1" noChangeArrowheads="1"/>
        </xdr:cNvSpPr>
      </xdr:nvSpPr>
      <xdr:spPr bwMode="auto">
        <a:xfrm>
          <a:off x="0" y="35623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010" name="AutoShape 1890" descr="https://www.soccerstats.com/img/own/sshplogo.png">
          <a:hlinkClick xmlns:r="http://schemas.openxmlformats.org/officeDocument/2006/relationships" r:id="rId833"/>
        </xdr:cNvPr>
        <xdr:cNvSpPr>
          <a:spLocks noChangeAspect="1" noChangeArrowheads="1"/>
        </xdr:cNvSpPr>
      </xdr:nvSpPr>
      <xdr:spPr bwMode="auto">
        <a:xfrm>
          <a:off x="13411200" y="3562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11" name="AutoShape 1891" descr="MONTENEGRO"/>
        <xdr:cNvSpPr>
          <a:spLocks noChangeAspect="1" noChangeArrowheads="1"/>
        </xdr:cNvSpPr>
      </xdr:nvSpPr>
      <xdr:spPr bwMode="auto">
        <a:xfrm>
          <a:off x="0" y="35798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012" name="AutoShape 1892" descr="https://www.soccerstats.com/img/own/sshplogo.png">
          <a:hlinkClick xmlns:r="http://schemas.openxmlformats.org/officeDocument/2006/relationships" r:id="rId834"/>
        </xdr:cNvPr>
        <xdr:cNvSpPr>
          <a:spLocks noChangeAspect="1" noChangeArrowheads="1"/>
        </xdr:cNvSpPr>
      </xdr:nvSpPr>
      <xdr:spPr bwMode="auto">
        <a:xfrm>
          <a:off x="13411200" y="35798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13" name="AutoShape 1893" descr="NORWAY"/>
        <xdr:cNvSpPr>
          <a:spLocks noChangeAspect="1" noChangeArrowheads="1"/>
        </xdr:cNvSpPr>
      </xdr:nvSpPr>
      <xdr:spPr bwMode="auto">
        <a:xfrm>
          <a:off x="0" y="35974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014" name="AutoShape 1894" descr="https://www.soccerstats.com/img/own/sshplogo.png">
          <a:hlinkClick xmlns:r="http://schemas.openxmlformats.org/officeDocument/2006/relationships" r:id="rId835"/>
        </xdr:cNvPr>
        <xdr:cNvSpPr>
          <a:spLocks noChangeAspect="1" noChangeArrowheads="1"/>
        </xdr:cNvSpPr>
      </xdr:nvSpPr>
      <xdr:spPr bwMode="auto">
        <a:xfrm>
          <a:off x="13411200" y="35974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15" name="AutoShape 1895" descr="NORWAY"/>
        <xdr:cNvSpPr>
          <a:spLocks noChangeAspect="1" noChangeArrowheads="1"/>
        </xdr:cNvSpPr>
      </xdr:nvSpPr>
      <xdr:spPr bwMode="auto">
        <a:xfrm>
          <a:off x="0" y="36149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016" name="AutoShape 1896" descr="https://www.soccerstats.com/img/own/sshplogo.png">
          <a:hlinkClick xmlns:r="http://schemas.openxmlformats.org/officeDocument/2006/relationships" r:id="rId836"/>
        </xdr:cNvPr>
        <xdr:cNvSpPr>
          <a:spLocks noChangeAspect="1" noChangeArrowheads="1"/>
        </xdr:cNvSpPr>
      </xdr:nvSpPr>
      <xdr:spPr bwMode="auto">
        <a:xfrm>
          <a:off x="13411200" y="36149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17" name="AutoShape 1897" descr="NORWAY"/>
        <xdr:cNvSpPr>
          <a:spLocks noChangeAspect="1" noChangeArrowheads="1"/>
        </xdr:cNvSpPr>
      </xdr:nvSpPr>
      <xdr:spPr bwMode="auto">
        <a:xfrm>
          <a:off x="0" y="36324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018" name="AutoShape 1898" descr="https://www.soccerstats.com/img/own/sshplogo.png">
          <a:hlinkClick xmlns:r="http://schemas.openxmlformats.org/officeDocument/2006/relationships" r:id="rId837"/>
        </xdr:cNvPr>
        <xdr:cNvSpPr>
          <a:spLocks noChangeAspect="1" noChangeArrowheads="1"/>
        </xdr:cNvSpPr>
      </xdr:nvSpPr>
      <xdr:spPr bwMode="auto">
        <a:xfrm>
          <a:off x="13411200" y="36324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19" name="AutoShape 1899" descr="NORWAY"/>
        <xdr:cNvSpPr>
          <a:spLocks noChangeAspect="1" noChangeArrowheads="1"/>
        </xdr:cNvSpPr>
      </xdr:nvSpPr>
      <xdr:spPr bwMode="auto">
        <a:xfrm>
          <a:off x="0" y="36499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020" name="AutoShape 1900" descr="https://www.soccerstats.com/img/own/sshplogo.png">
          <a:hlinkClick xmlns:r="http://schemas.openxmlformats.org/officeDocument/2006/relationships" r:id="rId838"/>
        </xdr:cNvPr>
        <xdr:cNvSpPr>
          <a:spLocks noChangeAspect="1" noChangeArrowheads="1"/>
        </xdr:cNvSpPr>
      </xdr:nvSpPr>
      <xdr:spPr bwMode="auto">
        <a:xfrm>
          <a:off x="13411200" y="36499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21" name="AutoShape 1901" descr="NORWAY"/>
        <xdr:cNvSpPr>
          <a:spLocks noChangeAspect="1" noChangeArrowheads="1"/>
        </xdr:cNvSpPr>
      </xdr:nvSpPr>
      <xdr:spPr bwMode="auto">
        <a:xfrm>
          <a:off x="0" y="36675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022" name="AutoShape 1902" descr="https://www.soccerstats.com/img/own/sshplogo.png">
          <a:hlinkClick xmlns:r="http://schemas.openxmlformats.org/officeDocument/2006/relationships" r:id="rId839"/>
        </xdr:cNvPr>
        <xdr:cNvSpPr>
          <a:spLocks noChangeAspect="1" noChangeArrowheads="1"/>
        </xdr:cNvSpPr>
      </xdr:nvSpPr>
      <xdr:spPr bwMode="auto">
        <a:xfrm>
          <a:off x="13411200" y="36675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23" name="AutoShape 1903" descr="NORWAY2"/>
        <xdr:cNvSpPr>
          <a:spLocks noChangeAspect="1" noChangeArrowheads="1"/>
        </xdr:cNvSpPr>
      </xdr:nvSpPr>
      <xdr:spPr bwMode="auto">
        <a:xfrm>
          <a:off x="0" y="36850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024" name="AutoShape 1904" descr="https://www.soccerstats.com/img/own/sshplogo.png">
          <a:hlinkClick xmlns:r="http://schemas.openxmlformats.org/officeDocument/2006/relationships" r:id="rId840"/>
        </xdr:cNvPr>
        <xdr:cNvSpPr>
          <a:spLocks noChangeAspect="1" noChangeArrowheads="1"/>
        </xdr:cNvSpPr>
      </xdr:nvSpPr>
      <xdr:spPr bwMode="auto">
        <a:xfrm>
          <a:off x="13411200" y="36850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25" name="AutoShape 1905" descr="NORWAY2"/>
        <xdr:cNvSpPr>
          <a:spLocks noChangeAspect="1" noChangeArrowheads="1"/>
        </xdr:cNvSpPr>
      </xdr:nvSpPr>
      <xdr:spPr bwMode="auto">
        <a:xfrm>
          <a:off x="0" y="37025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026" name="AutoShape 1906" descr="https://www.soccerstats.com/img/own/sshplogo.png">
          <a:hlinkClick xmlns:r="http://schemas.openxmlformats.org/officeDocument/2006/relationships" r:id="rId841"/>
        </xdr:cNvPr>
        <xdr:cNvSpPr>
          <a:spLocks noChangeAspect="1" noChangeArrowheads="1"/>
        </xdr:cNvSpPr>
      </xdr:nvSpPr>
      <xdr:spPr bwMode="auto">
        <a:xfrm>
          <a:off x="13411200" y="37025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27" name="AutoShape 1907" descr="NORWAY2"/>
        <xdr:cNvSpPr>
          <a:spLocks noChangeAspect="1" noChangeArrowheads="1"/>
        </xdr:cNvSpPr>
      </xdr:nvSpPr>
      <xdr:spPr bwMode="auto">
        <a:xfrm>
          <a:off x="0" y="37200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028" name="AutoShape 1908" descr="https://www.soccerstats.com/img/own/sshplogo.png">
          <a:hlinkClick xmlns:r="http://schemas.openxmlformats.org/officeDocument/2006/relationships" r:id="rId842"/>
        </xdr:cNvPr>
        <xdr:cNvSpPr>
          <a:spLocks noChangeAspect="1" noChangeArrowheads="1"/>
        </xdr:cNvSpPr>
      </xdr:nvSpPr>
      <xdr:spPr bwMode="auto">
        <a:xfrm>
          <a:off x="13411200" y="37200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29" name="AutoShape 1909" descr="NORWAY2"/>
        <xdr:cNvSpPr>
          <a:spLocks noChangeAspect="1" noChangeArrowheads="1"/>
        </xdr:cNvSpPr>
      </xdr:nvSpPr>
      <xdr:spPr bwMode="auto">
        <a:xfrm>
          <a:off x="0" y="37376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030" name="AutoShape 1910" descr="https://www.soccerstats.com/img/own/sshplogo.png">
          <a:hlinkClick xmlns:r="http://schemas.openxmlformats.org/officeDocument/2006/relationships" r:id="rId843"/>
        </xdr:cNvPr>
        <xdr:cNvSpPr>
          <a:spLocks noChangeAspect="1" noChangeArrowheads="1"/>
        </xdr:cNvSpPr>
      </xdr:nvSpPr>
      <xdr:spPr bwMode="auto">
        <a:xfrm>
          <a:off x="13411200" y="37376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31" name="AutoShape 1911" descr="NORWAY2"/>
        <xdr:cNvSpPr>
          <a:spLocks noChangeAspect="1" noChangeArrowheads="1"/>
        </xdr:cNvSpPr>
      </xdr:nvSpPr>
      <xdr:spPr bwMode="auto">
        <a:xfrm>
          <a:off x="0" y="37551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032" name="AutoShape 1912" descr="https://www.soccerstats.com/img/own/sshplogo.png">
          <a:hlinkClick xmlns:r="http://schemas.openxmlformats.org/officeDocument/2006/relationships" r:id="rId844"/>
        </xdr:cNvPr>
        <xdr:cNvSpPr>
          <a:spLocks noChangeAspect="1" noChangeArrowheads="1"/>
        </xdr:cNvSpPr>
      </xdr:nvSpPr>
      <xdr:spPr bwMode="auto">
        <a:xfrm>
          <a:off x="13411200" y="37551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33" name="AutoShape 1913" descr="NORWAY3"/>
        <xdr:cNvSpPr>
          <a:spLocks noChangeAspect="1" noChangeArrowheads="1"/>
        </xdr:cNvSpPr>
      </xdr:nvSpPr>
      <xdr:spPr bwMode="auto">
        <a:xfrm>
          <a:off x="0" y="37726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034" name="AutoShape 1914" descr="https://www.soccerstats.com/img/own/sshplogo.png">
          <a:hlinkClick xmlns:r="http://schemas.openxmlformats.org/officeDocument/2006/relationships" r:id="rId845"/>
        </xdr:cNvPr>
        <xdr:cNvSpPr>
          <a:spLocks noChangeAspect="1" noChangeArrowheads="1"/>
        </xdr:cNvSpPr>
      </xdr:nvSpPr>
      <xdr:spPr bwMode="auto">
        <a:xfrm>
          <a:off x="13411200" y="37726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35" name="AutoShape 1915" descr="NORWAY3"/>
        <xdr:cNvSpPr>
          <a:spLocks noChangeAspect="1" noChangeArrowheads="1"/>
        </xdr:cNvSpPr>
      </xdr:nvSpPr>
      <xdr:spPr bwMode="auto">
        <a:xfrm>
          <a:off x="0" y="37901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036" name="AutoShape 1916" descr="https://www.soccerstats.com/img/own/sshplogo.png">
          <a:hlinkClick xmlns:r="http://schemas.openxmlformats.org/officeDocument/2006/relationships" r:id="rId846"/>
        </xdr:cNvPr>
        <xdr:cNvSpPr>
          <a:spLocks noChangeAspect="1" noChangeArrowheads="1"/>
        </xdr:cNvSpPr>
      </xdr:nvSpPr>
      <xdr:spPr bwMode="auto">
        <a:xfrm>
          <a:off x="13411200" y="37901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37" name="AutoShape 1917" descr="NORWAY3"/>
        <xdr:cNvSpPr>
          <a:spLocks noChangeAspect="1" noChangeArrowheads="1"/>
        </xdr:cNvSpPr>
      </xdr:nvSpPr>
      <xdr:spPr bwMode="auto">
        <a:xfrm>
          <a:off x="0" y="38153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038" name="AutoShape 1918" descr="https://www.soccerstats.com/img/own/sshplogo.png">
          <a:hlinkClick xmlns:r="http://schemas.openxmlformats.org/officeDocument/2006/relationships" r:id="rId847"/>
        </xdr:cNvPr>
        <xdr:cNvSpPr>
          <a:spLocks noChangeAspect="1" noChangeArrowheads="1"/>
        </xdr:cNvSpPr>
      </xdr:nvSpPr>
      <xdr:spPr bwMode="auto">
        <a:xfrm>
          <a:off x="13411200" y="38153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39" name="AutoShape 1919" descr="NORWAY4"/>
        <xdr:cNvSpPr>
          <a:spLocks noChangeAspect="1" noChangeArrowheads="1"/>
        </xdr:cNvSpPr>
      </xdr:nvSpPr>
      <xdr:spPr bwMode="auto">
        <a:xfrm>
          <a:off x="0" y="38328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040" name="AutoShape 1920" descr="https://www.soccerstats.com/img/own/sshplogo.png">
          <a:hlinkClick xmlns:r="http://schemas.openxmlformats.org/officeDocument/2006/relationships" r:id="rId848"/>
        </xdr:cNvPr>
        <xdr:cNvSpPr>
          <a:spLocks noChangeAspect="1" noChangeArrowheads="1"/>
        </xdr:cNvSpPr>
      </xdr:nvSpPr>
      <xdr:spPr bwMode="auto">
        <a:xfrm>
          <a:off x="13411200" y="38328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41" name="AutoShape 1921" descr="NORWAY4"/>
        <xdr:cNvSpPr>
          <a:spLocks noChangeAspect="1" noChangeArrowheads="1"/>
        </xdr:cNvSpPr>
      </xdr:nvSpPr>
      <xdr:spPr bwMode="auto">
        <a:xfrm>
          <a:off x="0" y="38503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042" name="AutoShape 1922" descr="https://www.soccerstats.com/img/own/sshplogo.png">
          <a:hlinkClick xmlns:r="http://schemas.openxmlformats.org/officeDocument/2006/relationships" r:id="rId849"/>
        </xdr:cNvPr>
        <xdr:cNvSpPr>
          <a:spLocks noChangeAspect="1" noChangeArrowheads="1"/>
        </xdr:cNvSpPr>
      </xdr:nvSpPr>
      <xdr:spPr bwMode="auto">
        <a:xfrm>
          <a:off x="13411200" y="38503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43" name="AutoShape 1923" descr="NORWAY4"/>
        <xdr:cNvSpPr>
          <a:spLocks noChangeAspect="1" noChangeArrowheads="1"/>
        </xdr:cNvSpPr>
      </xdr:nvSpPr>
      <xdr:spPr bwMode="auto">
        <a:xfrm>
          <a:off x="0" y="38679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044" name="AutoShape 1924" descr="https://www.soccerstats.com/img/own/sshplogo.png">
          <a:hlinkClick xmlns:r="http://schemas.openxmlformats.org/officeDocument/2006/relationships" r:id="rId850"/>
        </xdr:cNvPr>
        <xdr:cNvSpPr>
          <a:spLocks noChangeAspect="1" noChangeArrowheads="1"/>
        </xdr:cNvSpPr>
      </xdr:nvSpPr>
      <xdr:spPr bwMode="auto">
        <a:xfrm>
          <a:off x="13411200" y="38679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45" name="AutoShape 1925" descr="NORWAY4"/>
        <xdr:cNvSpPr>
          <a:spLocks noChangeAspect="1" noChangeArrowheads="1"/>
        </xdr:cNvSpPr>
      </xdr:nvSpPr>
      <xdr:spPr bwMode="auto">
        <a:xfrm>
          <a:off x="0" y="38854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046" name="AutoShape 1926" descr="https://www.soccerstats.com/img/own/sshplogo.png">
          <a:hlinkClick xmlns:r="http://schemas.openxmlformats.org/officeDocument/2006/relationships" r:id="rId851"/>
        </xdr:cNvPr>
        <xdr:cNvSpPr>
          <a:spLocks noChangeAspect="1" noChangeArrowheads="1"/>
        </xdr:cNvSpPr>
      </xdr:nvSpPr>
      <xdr:spPr bwMode="auto">
        <a:xfrm>
          <a:off x="13411200" y="38854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47" name="AutoShape 1927" descr="NORWAY4"/>
        <xdr:cNvSpPr>
          <a:spLocks noChangeAspect="1" noChangeArrowheads="1"/>
        </xdr:cNvSpPr>
      </xdr:nvSpPr>
      <xdr:spPr bwMode="auto">
        <a:xfrm>
          <a:off x="0" y="39105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048" name="AutoShape 1928" descr="https://www.soccerstats.com/img/own/sshplogo.png">
          <a:hlinkClick xmlns:r="http://schemas.openxmlformats.org/officeDocument/2006/relationships" r:id="rId852"/>
        </xdr:cNvPr>
        <xdr:cNvSpPr>
          <a:spLocks noChangeAspect="1" noChangeArrowheads="1"/>
        </xdr:cNvSpPr>
      </xdr:nvSpPr>
      <xdr:spPr bwMode="auto">
        <a:xfrm>
          <a:off x="13411200" y="39105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49" name="AutoShape 1929" descr="NORWAY4"/>
        <xdr:cNvSpPr>
          <a:spLocks noChangeAspect="1" noChangeArrowheads="1"/>
        </xdr:cNvSpPr>
      </xdr:nvSpPr>
      <xdr:spPr bwMode="auto">
        <a:xfrm>
          <a:off x="0" y="39281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050" name="AutoShape 1930" descr="https://www.soccerstats.com/img/own/sshplogo.png">
          <a:hlinkClick xmlns:r="http://schemas.openxmlformats.org/officeDocument/2006/relationships" r:id="rId853"/>
        </xdr:cNvPr>
        <xdr:cNvSpPr>
          <a:spLocks noChangeAspect="1" noChangeArrowheads="1"/>
        </xdr:cNvSpPr>
      </xdr:nvSpPr>
      <xdr:spPr bwMode="auto">
        <a:xfrm>
          <a:off x="13411200" y="39281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51" name="AutoShape 1931" descr="PARAGUAY2"/>
        <xdr:cNvSpPr>
          <a:spLocks noChangeAspect="1" noChangeArrowheads="1"/>
        </xdr:cNvSpPr>
      </xdr:nvSpPr>
      <xdr:spPr bwMode="auto">
        <a:xfrm>
          <a:off x="0" y="39456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052" name="AutoShape 1932" descr="https://www.soccerstats.com/img/own/sshplogo.png">
          <a:hlinkClick xmlns:r="http://schemas.openxmlformats.org/officeDocument/2006/relationships" r:id="rId854"/>
        </xdr:cNvPr>
        <xdr:cNvSpPr>
          <a:spLocks noChangeAspect="1" noChangeArrowheads="1"/>
        </xdr:cNvSpPr>
      </xdr:nvSpPr>
      <xdr:spPr bwMode="auto">
        <a:xfrm>
          <a:off x="13411200" y="39456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53" name="AutoShape 1933" descr="PARAGUAY2"/>
        <xdr:cNvSpPr>
          <a:spLocks noChangeAspect="1" noChangeArrowheads="1"/>
        </xdr:cNvSpPr>
      </xdr:nvSpPr>
      <xdr:spPr bwMode="auto">
        <a:xfrm>
          <a:off x="0" y="39707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054" name="AutoShape 1934" descr="https://www.soccerstats.com/img/own/sshplogo.png">
          <a:hlinkClick xmlns:r="http://schemas.openxmlformats.org/officeDocument/2006/relationships" r:id="rId855"/>
        </xdr:cNvPr>
        <xdr:cNvSpPr>
          <a:spLocks noChangeAspect="1" noChangeArrowheads="1"/>
        </xdr:cNvSpPr>
      </xdr:nvSpPr>
      <xdr:spPr bwMode="auto">
        <a:xfrm>
          <a:off x="13411200" y="39707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55" name="AutoShape 1935" descr="PARAGUAY2"/>
        <xdr:cNvSpPr>
          <a:spLocks noChangeAspect="1" noChangeArrowheads="1"/>
        </xdr:cNvSpPr>
      </xdr:nvSpPr>
      <xdr:spPr bwMode="auto">
        <a:xfrm>
          <a:off x="0" y="39883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056" name="AutoShape 1936" descr="https://www.soccerstats.com/img/own/sshplogo.png">
          <a:hlinkClick xmlns:r="http://schemas.openxmlformats.org/officeDocument/2006/relationships" r:id="rId856"/>
        </xdr:cNvPr>
        <xdr:cNvSpPr>
          <a:spLocks noChangeAspect="1" noChangeArrowheads="1"/>
        </xdr:cNvSpPr>
      </xdr:nvSpPr>
      <xdr:spPr bwMode="auto">
        <a:xfrm>
          <a:off x="13411200" y="39883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57" name="AutoShape 1937" descr="POLAND"/>
        <xdr:cNvSpPr>
          <a:spLocks noChangeAspect="1" noChangeArrowheads="1"/>
        </xdr:cNvSpPr>
      </xdr:nvSpPr>
      <xdr:spPr bwMode="auto">
        <a:xfrm>
          <a:off x="0" y="40058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058" name="AutoShape 1938" descr="https://www.soccerstats.com/img/own/sshplogo.png">
          <a:hlinkClick xmlns:r="http://schemas.openxmlformats.org/officeDocument/2006/relationships" r:id="rId857"/>
        </xdr:cNvPr>
        <xdr:cNvSpPr>
          <a:spLocks noChangeAspect="1" noChangeArrowheads="1"/>
        </xdr:cNvSpPr>
      </xdr:nvSpPr>
      <xdr:spPr bwMode="auto">
        <a:xfrm>
          <a:off x="13411200" y="4005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59" name="AutoShape 1939" descr="POLAND"/>
        <xdr:cNvSpPr>
          <a:spLocks noChangeAspect="1" noChangeArrowheads="1"/>
        </xdr:cNvSpPr>
      </xdr:nvSpPr>
      <xdr:spPr bwMode="auto">
        <a:xfrm>
          <a:off x="0" y="40233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060" name="AutoShape 1940" descr="https://www.soccerstats.com/img/own/sshplogo.png">
          <a:hlinkClick xmlns:r="http://schemas.openxmlformats.org/officeDocument/2006/relationships" r:id="rId858"/>
        </xdr:cNvPr>
        <xdr:cNvSpPr>
          <a:spLocks noChangeAspect="1" noChangeArrowheads="1"/>
        </xdr:cNvSpPr>
      </xdr:nvSpPr>
      <xdr:spPr bwMode="auto">
        <a:xfrm>
          <a:off x="13411200" y="40233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61" name="AutoShape 1941" descr="POLAND"/>
        <xdr:cNvSpPr>
          <a:spLocks noChangeAspect="1" noChangeArrowheads="1"/>
        </xdr:cNvSpPr>
      </xdr:nvSpPr>
      <xdr:spPr bwMode="auto">
        <a:xfrm>
          <a:off x="0" y="40485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062" name="AutoShape 1942" descr="https://www.soccerstats.com/img/own/sshplogo.png">
          <a:hlinkClick xmlns:r="http://schemas.openxmlformats.org/officeDocument/2006/relationships" r:id="rId859"/>
        </xdr:cNvPr>
        <xdr:cNvSpPr>
          <a:spLocks noChangeAspect="1" noChangeArrowheads="1"/>
        </xdr:cNvSpPr>
      </xdr:nvSpPr>
      <xdr:spPr bwMode="auto">
        <a:xfrm>
          <a:off x="13411200" y="40485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63" name="AutoShape 1943" descr="POLAND"/>
        <xdr:cNvSpPr>
          <a:spLocks noChangeAspect="1" noChangeArrowheads="1"/>
        </xdr:cNvSpPr>
      </xdr:nvSpPr>
      <xdr:spPr bwMode="auto">
        <a:xfrm>
          <a:off x="0" y="40660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064" name="AutoShape 1944" descr="https://www.soccerstats.com/img/own/sshplogo.png">
          <a:hlinkClick xmlns:r="http://schemas.openxmlformats.org/officeDocument/2006/relationships" r:id="rId860"/>
        </xdr:cNvPr>
        <xdr:cNvSpPr>
          <a:spLocks noChangeAspect="1" noChangeArrowheads="1"/>
        </xdr:cNvSpPr>
      </xdr:nvSpPr>
      <xdr:spPr bwMode="auto">
        <a:xfrm>
          <a:off x="13411200" y="40660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65" name="AutoShape 1945" descr="POLAND2"/>
        <xdr:cNvSpPr>
          <a:spLocks noChangeAspect="1" noChangeArrowheads="1"/>
        </xdr:cNvSpPr>
      </xdr:nvSpPr>
      <xdr:spPr bwMode="auto">
        <a:xfrm>
          <a:off x="0" y="40835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066" name="AutoShape 1946" descr="https://www.soccerstats.com/img/own/sshplogo.png">
          <a:hlinkClick xmlns:r="http://schemas.openxmlformats.org/officeDocument/2006/relationships" r:id="rId861"/>
        </xdr:cNvPr>
        <xdr:cNvSpPr>
          <a:spLocks noChangeAspect="1" noChangeArrowheads="1"/>
        </xdr:cNvSpPr>
      </xdr:nvSpPr>
      <xdr:spPr bwMode="auto">
        <a:xfrm>
          <a:off x="13411200" y="40835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67" name="AutoShape 1947" descr="POLAND2"/>
        <xdr:cNvSpPr>
          <a:spLocks noChangeAspect="1" noChangeArrowheads="1"/>
        </xdr:cNvSpPr>
      </xdr:nvSpPr>
      <xdr:spPr bwMode="auto">
        <a:xfrm>
          <a:off x="0" y="41010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068" name="AutoShape 1948" descr="https://www.soccerstats.com/img/own/sshplogo.png">
          <a:hlinkClick xmlns:r="http://schemas.openxmlformats.org/officeDocument/2006/relationships" r:id="rId862"/>
        </xdr:cNvPr>
        <xdr:cNvSpPr>
          <a:spLocks noChangeAspect="1" noChangeArrowheads="1"/>
        </xdr:cNvSpPr>
      </xdr:nvSpPr>
      <xdr:spPr bwMode="auto">
        <a:xfrm>
          <a:off x="13411200" y="41010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69" name="AutoShape 1949" descr="POLAND2"/>
        <xdr:cNvSpPr>
          <a:spLocks noChangeAspect="1" noChangeArrowheads="1"/>
        </xdr:cNvSpPr>
      </xdr:nvSpPr>
      <xdr:spPr bwMode="auto">
        <a:xfrm>
          <a:off x="0" y="41262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070" name="AutoShape 1950" descr="https://www.soccerstats.com/img/own/sshplogo.png">
          <a:hlinkClick xmlns:r="http://schemas.openxmlformats.org/officeDocument/2006/relationships" r:id="rId863"/>
        </xdr:cNvPr>
        <xdr:cNvSpPr>
          <a:spLocks noChangeAspect="1" noChangeArrowheads="1"/>
        </xdr:cNvSpPr>
      </xdr:nvSpPr>
      <xdr:spPr bwMode="auto">
        <a:xfrm>
          <a:off x="13411200" y="41262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71" name="AutoShape 1951" descr="POLAND3"/>
        <xdr:cNvSpPr>
          <a:spLocks noChangeAspect="1" noChangeArrowheads="1"/>
        </xdr:cNvSpPr>
      </xdr:nvSpPr>
      <xdr:spPr bwMode="auto">
        <a:xfrm>
          <a:off x="0" y="41513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072" name="AutoShape 1952" descr="https://www.soccerstats.com/img/own/sshplogo.png">
          <a:hlinkClick xmlns:r="http://schemas.openxmlformats.org/officeDocument/2006/relationships" r:id="rId864"/>
        </xdr:cNvPr>
        <xdr:cNvSpPr>
          <a:spLocks noChangeAspect="1" noChangeArrowheads="1"/>
        </xdr:cNvSpPr>
      </xdr:nvSpPr>
      <xdr:spPr bwMode="auto">
        <a:xfrm>
          <a:off x="13411200" y="41513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73" name="AutoShape 1953" descr="POLAND3"/>
        <xdr:cNvSpPr>
          <a:spLocks noChangeAspect="1" noChangeArrowheads="1"/>
        </xdr:cNvSpPr>
      </xdr:nvSpPr>
      <xdr:spPr bwMode="auto">
        <a:xfrm>
          <a:off x="0" y="41765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074" name="AutoShape 1954" descr="https://www.soccerstats.com/img/own/sshplogo.png">
          <a:hlinkClick xmlns:r="http://schemas.openxmlformats.org/officeDocument/2006/relationships" r:id="rId865"/>
        </xdr:cNvPr>
        <xdr:cNvSpPr>
          <a:spLocks noChangeAspect="1" noChangeArrowheads="1"/>
        </xdr:cNvSpPr>
      </xdr:nvSpPr>
      <xdr:spPr bwMode="auto">
        <a:xfrm>
          <a:off x="13411200" y="41765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75" name="AutoShape 1955" descr="POLAND3"/>
        <xdr:cNvSpPr>
          <a:spLocks noChangeAspect="1" noChangeArrowheads="1"/>
        </xdr:cNvSpPr>
      </xdr:nvSpPr>
      <xdr:spPr bwMode="auto">
        <a:xfrm>
          <a:off x="0" y="42016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076" name="AutoShape 1956" descr="https://www.soccerstats.com/img/own/sshplogo.png">
          <a:hlinkClick xmlns:r="http://schemas.openxmlformats.org/officeDocument/2006/relationships" r:id="rId866"/>
        </xdr:cNvPr>
        <xdr:cNvSpPr>
          <a:spLocks noChangeAspect="1" noChangeArrowheads="1"/>
        </xdr:cNvSpPr>
      </xdr:nvSpPr>
      <xdr:spPr bwMode="auto">
        <a:xfrm>
          <a:off x="13411200" y="42016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77" name="AutoShape 1957" descr="POLAND3"/>
        <xdr:cNvSpPr>
          <a:spLocks noChangeAspect="1" noChangeArrowheads="1"/>
        </xdr:cNvSpPr>
      </xdr:nvSpPr>
      <xdr:spPr bwMode="auto">
        <a:xfrm>
          <a:off x="0" y="42268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078" name="AutoShape 1958" descr="https://www.soccerstats.com/img/own/sshplogo.png">
          <a:hlinkClick xmlns:r="http://schemas.openxmlformats.org/officeDocument/2006/relationships" r:id="rId867"/>
        </xdr:cNvPr>
        <xdr:cNvSpPr>
          <a:spLocks noChangeAspect="1" noChangeArrowheads="1"/>
        </xdr:cNvSpPr>
      </xdr:nvSpPr>
      <xdr:spPr bwMode="auto">
        <a:xfrm>
          <a:off x="13411200" y="42268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79" name="AutoShape 1959" descr="PORTUGAL2"/>
        <xdr:cNvSpPr>
          <a:spLocks noChangeAspect="1" noChangeArrowheads="1"/>
        </xdr:cNvSpPr>
      </xdr:nvSpPr>
      <xdr:spPr bwMode="auto">
        <a:xfrm>
          <a:off x="0" y="42443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080" name="AutoShape 1960" descr="https://www.soccerstats.com/img/own/sshplogo.png">
          <a:hlinkClick xmlns:r="http://schemas.openxmlformats.org/officeDocument/2006/relationships" r:id="rId868"/>
        </xdr:cNvPr>
        <xdr:cNvSpPr>
          <a:spLocks noChangeAspect="1" noChangeArrowheads="1"/>
        </xdr:cNvSpPr>
      </xdr:nvSpPr>
      <xdr:spPr bwMode="auto">
        <a:xfrm>
          <a:off x="13411200" y="42443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81" name="AutoShape 1961" descr="PORTUGAL2"/>
        <xdr:cNvSpPr>
          <a:spLocks noChangeAspect="1" noChangeArrowheads="1"/>
        </xdr:cNvSpPr>
      </xdr:nvSpPr>
      <xdr:spPr bwMode="auto">
        <a:xfrm>
          <a:off x="0" y="42694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082" name="AutoShape 1962" descr="https://www.soccerstats.com/img/own/sshplogo.png">
          <a:hlinkClick xmlns:r="http://schemas.openxmlformats.org/officeDocument/2006/relationships" r:id="rId869"/>
        </xdr:cNvPr>
        <xdr:cNvSpPr>
          <a:spLocks noChangeAspect="1" noChangeArrowheads="1"/>
        </xdr:cNvSpPr>
      </xdr:nvSpPr>
      <xdr:spPr bwMode="auto">
        <a:xfrm>
          <a:off x="13411200" y="42694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83" name="AutoShape 1963" descr="PORTUGAL2"/>
        <xdr:cNvSpPr>
          <a:spLocks noChangeAspect="1" noChangeArrowheads="1"/>
        </xdr:cNvSpPr>
      </xdr:nvSpPr>
      <xdr:spPr bwMode="auto">
        <a:xfrm>
          <a:off x="0" y="42870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084" name="AutoShape 1964" descr="https://www.soccerstats.com/img/own/sshplogo.png">
          <a:hlinkClick xmlns:r="http://schemas.openxmlformats.org/officeDocument/2006/relationships" r:id="rId870"/>
        </xdr:cNvPr>
        <xdr:cNvSpPr>
          <a:spLocks noChangeAspect="1" noChangeArrowheads="1"/>
        </xdr:cNvSpPr>
      </xdr:nvSpPr>
      <xdr:spPr bwMode="auto">
        <a:xfrm>
          <a:off x="13411200" y="42870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85" name="AutoShape 1965" descr="PORTUGAL2"/>
        <xdr:cNvSpPr>
          <a:spLocks noChangeAspect="1" noChangeArrowheads="1"/>
        </xdr:cNvSpPr>
      </xdr:nvSpPr>
      <xdr:spPr bwMode="auto">
        <a:xfrm>
          <a:off x="0" y="43045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086" name="AutoShape 1966" descr="https://www.soccerstats.com/img/own/sshplogo.png">
          <a:hlinkClick xmlns:r="http://schemas.openxmlformats.org/officeDocument/2006/relationships" r:id="rId871"/>
        </xdr:cNvPr>
        <xdr:cNvSpPr>
          <a:spLocks noChangeAspect="1" noChangeArrowheads="1"/>
        </xdr:cNvSpPr>
      </xdr:nvSpPr>
      <xdr:spPr bwMode="auto">
        <a:xfrm>
          <a:off x="13411200" y="43045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87" name="AutoShape 1967" descr="ROMANIA"/>
        <xdr:cNvSpPr>
          <a:spLocks noChangeAspect="1" noChangeArrowheads="1"/>
        </xdr:cNvSpPr>
      </xdr:nvSpPr>
      <xdr:spPr bwMode="auto">
        <a:xfrm>
          <a:off x="0" y="43220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088" name="AutoShape 1968" descr="https://www.soccerstats.com/img/own/sshplogo.png">
          <a:hlinkClick xmlns:r="http://schemas.openxmlformats.org/officeDocument/2006/relationships" r:id="rId872"/>
        </xdr:cNvPr>
        <xdr:cNvSpPr>
          <a:spLocks noChangeAspect="1" noChangeArrowheads="1"/>
        </xdr:cNvSpPr>
      </xdr:nvSpPr>
      <xdr:spPr bwMode="auto">
        <a:xfrm>
          <a:off x="13411200" y="43220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89" name="AutoShape 1969" descr="ROMANIA"/>
        <xdr:cNvSpPr>
          <a:spLocks noChangeAspect="1" noChangeArrowheads="1"/>
        </xdr:cNvSpPr>
      </xdr:nvSpPr>
      <xdr:spPr bwMode="auto">
        <a:xfrm>
          <a:off x="0" y="43395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090" name="AutoShape 1970" descr="https://www.soccerstats.com/img/own/sshplogo.png">
          <a:hlinkClick xmlns:r="http://schemas.openxmlformats.org/officeDocument/2006/relationships" r:id="rId873"/>
        </xdr:cNvPr>
        <xdr:cNvSpPr>
          <a:spLocks noChangeAspect="1" noChangeArrowheads="1"/>
        </xdr:cNvSpPr>
      </xdr:nvSpPr>
      <xdr:spPr bwMode="auto">
        <a:xfrm>
          <a:off x="13411200" y="43395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91" name="AutoShape 1971" descr="RUSSIA"/>
        <xdr:cNvSpPr>
          <a:spLocks noChangeAspect="1" noChangeArrowheads="1"/>
        </xdr:cNvSpPr>
      </xdr:nvSpPr>
      <xdr:spPr bwMode="auto">
        <a:xfrm>
          <a:off x="0" y="43571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092" name="AutoShape 1972" descr="https://www.soccerstats.com/img/own/sshplogo.png">
          <a:hlinkClick xmlns:r="http://schemas.openxmlformats.org/officeDocument/2006/relationships" r:id="rId874"/>
        </xdr:cNvPr>
        <xdr:cNvSpPr>
          <a:spLocks noChangeAspect="1" noChangeArrowheads="1"/>
        </xdr:cNvSpPr>
      </xdr:nvSpPr>
      <xdr:spPr bwMode="auto">
        <a:xfrm>
          <a:off x="13411200" y="43571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93" name="AutoShape 1973" descr="RUSSIA"/>
        <xdr:cNvSpPr>
          <a:spLocks noChangeAspect="1" noChangeArrowheads="1"/>
        </xdr:cNvSpPr>
      </xdr:nvSpPr>
      <xdr:spPr bwMode="auto">
        <a:xfrm>
          <a:off x="0" y="43822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094" name="AutoShape 1974" descr="https://www.soccerstats.com/img/own/sshplogo.png">
          <a:hlinkClick xmlns:r="http://schemas.openxmlformats.org/officeDocument/2006/relationships" r:id="rId875"/>
        </xdr:cNvPr>
        <xdr:cNvSpPr>
          <a:spLocks noChangeAspect="1" noChangeArrowheads="1"/>
        </xdr:cNvSpPr>
      </xdr:nvSpPr>
      <xdr:spPr bwMode="auto">
        <a:xfrm>
          <a:off x="13411200" y="43822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95" name="AutoShape 1975" descr="RUSSIA"/>
        <xdr:cNvSpPr>
          <a:spLocks noChangeAspect="1" noChangeArrowheads="1"/>
        </xdr:cNvSpPr>
      </xdr:nvSpPr>
      <xdr:spPr bwMode="auto">
        <a:xfrm>
          <a:off x="0" y="44074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096" name="AutoShape 1976" descr="https://www.soccerstats.com/img/own/sshplogo.png">
          <a:hlinkClick xmlns:r="http://schemas.openxmlformats.org/officeDocument/2006/relationships" r:id="rId876"/>
        </xdr:cNvPr>
        <xdr:cNvSpPr>
          <a:spLocks noChangeAspect="1" noChangeArrowheads="1"/>
        </xdr:cNvSpPr>
      </xdr:nvSpPr>
      <xdr:spPr bwMode="auto">
        <a:xfrm>
          <a:off x="13411200" y="44074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97" name="AutoShape 1977" descr="SERBIA"/>
        <xdr:cNvSpPr>
          <a:spLocks noChangeAspect="1" noChangeArrowheads="1"/>
        </xdr:cNvSpPr>
      </xdr:nvSpPr>
      <xdr:spPr bwMode="auto">
        <a:xfrm>
          <a:off x="0" y="44325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098" name="AutoShape 1978" descr="https://www.soccerstats.com/img/own/sshplogo.png">
          <a:hlinkClick xmlns:r="http://schemas.openxmlformats.org/officeDocument/2006/relationships" r:id="rId409"/>
        </xdr:cNvPr>
        <xdr:cNvSpPr>
          <a:spLocks noChangeAspect="1" noChangeArrowheads="1"/>
        </xdr:cNvSpPr>
      </xdr:nvSpPr>
      <xdr:spPr bwMode="auto">
        <a:xfrm>
          <a:off x="13411200" y="44325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99" name="AutoShape 1979" descr="SERBIA"/>
        <xdr:cNvSpPr>
          <a:spLocks noChangeAspect="1" noChangeArrowheads="1"/>
        </xdr:cNvSpPr>
      </xdr:nvSpPr>
      <xdr:spPr bwMode="auto">
        <a:xfrm>
          <a:off x="0" y="44577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100" name="AutoShape 1980" descr="https://www.soccerstats.com/img/own/sshplogo.png">
          <a:hlinkClick xmlns:r="http://schemas.openxmlformats.org/officeDocument/2006/relationships" r:id="rId411"/>
        </xdr:cNvPr>
        <xdr:cNvSpPr>
          <a:spLocks noChangeAspect="1" noChangeArrowheads="1"/>
        </xdr:cNvSpPr>
      </xdr:nvSpPr>
      <xdr:spPr bwMode="auto">
        <a:xfrm>
          <a:off x="13411200" y="44577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01" name="AutoShape 1981" descr="SERBIA"/>
        <xdr:cNvSpPr>
          <a:spLocks noChangeAspect="1" noChangeArrowheads="1"/>
        </xdr:cNvSpPr>
      </xdr:nvSpPr>
      <xdr:spPr bwMode="auto">
        <a:xfrm>
          <a:off x="0" y="44752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102" name="AutoShape 1982" descr="https://www.soccerstats.com/img/own/sshplogo.png">
          <a:hlinkClick xmlns:r="http://schemas.openxmlformats.org/officeDocument/2006/relationships" r:id="rId414"/>
        </xdr:cNvPr>
        <xdr:cNvSpPr>
          <a:spLocks noChangeAspect="1" noChangeArrowheads="1"/>
        </xdr:cNvSpPr>
      </xdr:nvSpPr>
      <xdr:spPr bwMode="auto">
        <a:xfrm>
          <a:off x="13411200" y="44752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03" name="AutoShape 1983" descr="SLOVAKIA"/>
        <xdr:cNvSpPr>
          <a:spLocks noChangeAspect="1" noChangeArrowheads="1"/>
        </xdr:cNvSpPr>
      </xdr:nvSpPr>
      <xdr:spPr bwMode="auto">
        <a:xfrm>
          <a:off x="0" y="45003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104" name="AutoShape 1984" descr="https://www.soccerstats.com/img/own/sshplogo.png">
          <a:hlinkClick xmlns:r="http://schemas.openxmlformats.org/officeDocument/2006/relationships" r:id="rId877"/>
        </xdr:cNvPr>
        <xdr:cNvSpPr>
          <a:spLocks noChangeAspect="1" noChangeArrowheads="1"/>
        </xdr:cNvSpPr>
      </xdr:nvSpPr>
      <xdr:spPr bwMode="auto">
        <a:xfrm>
          <a:off x="13411200" y="45003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05" name="AutoShape 1985" descr="SLOVAKIA"/>
        <xdr:cNvSpPr>
          <a:spLocks noChangeAspect="1" noChangeArrowheads="1"/>
        </xdr:cNvSpPr>
      </xdr:nvSpPr>
      <xdr:spPr bwMode="auto">
        <a:xfrm>
          <a:off x="0" y="45255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106" name="AutoShape 1986" descr="https://www.soccerstats.com/img/own/sshplogo.png">
          <a:hlinkClick xmlns:r="http://schemas.openxmlformats.org/officeDocument/2006/relationships" r:id="rId878"/>
        </xdr:cNvPr>
        <xdr:cNvSpPr>
          <a:spLocks noChangeAspect="1" noChangeArrowheads="1"/>
        </xdr:cNvSpPr>
      </xdr:nvSpPr>
      <xdr:spPr bwMode="auto">
        <a:xfrm>
          <a:off x="13411200" y="45255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07" name="AutoShape 1987" descr="SLOVENIA"/>
        <xdr:cNvSpPr>
          <a:spLocks noChangeAspect="1" noChangeArrowheads="1"/>
        </xdr:cNvSpPr>
      </xdr:nvSpPr>
      <xdr:spPr bwMode="auto">
        <a:xfrm>
          <a:off x="0" y="45430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108" name="AutoShape 1988" descr="https://www.soccerstats.com/img/own/sshplogo.png">
          <a:hlinkClick xmlns:r="http://schemas.openxmlformats.org/officeDocument/2006/relationships" r:id="rId879"/>
        </xdr:cNvPr>
        <xdr:cNvSpPr>
          <a:spLocks noChangeAspect="1" noChangeArrowheads="1"/>
        </xdr:cNvSpPr>
      </xdr:nvSpPr>
      <xdr:spPr bwMode="auto">
        <a:xfrm>
          <a:off x="13411200" y="45430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09" name="AutoShape 1989" descr="SLOVENIA"/>
        <xdr:cNvSpPr>
          <a:spLocks noChangeAspect="1" noChangeArrowheads="1"/>
        </xdr:cNvSpPr>
      </xdr:nvSpPr>
      <xdr:spPr bwMode="auto">
        <a:xfrm>
          <a:off x="0" y="45605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110" name="AutoShape 1990" descr="https://www.soccerstats.com/img/own/sshplogo.png">
          <a:hlinkClick xmlns:r="http://schemas.openxmlformats.org/officeDocument/2006/relationships" r:id="rId880"/>
        </xdr:cNvPr>
        <xdr:cNvSpPr>
          <a:spLocks noChangeAspect="1" noChangeArrowheads="1"/>
        </xdr:cNvSpPr>
      </xdr:nvSpPr>
      <xdr:spPr bwMode="auto">
        <a:xfrm>
          <a:off x="13411200" y="45605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11" name="AutoShape 1991" descr="SLOVENIA"/>
        <xdr:cNvSpPr>
          <a:spLocks noChangeAspect="1" noChangeArrowheads="1"/>
        </xdr:cNvSpPr>
      </xdr:nvSpPr>
      <xdr:spPr bwMode="auto">
        <a:xfrm>
          <a:off x="0" y="45780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112" name="AutoShape 1992" descr="https://www.soccerstats.com/img/own/sshplogo.png">
          <a:hlinkClick xmlns:r="http://schemas.openxmlformats.org/officeDocument/2006/relationships" r:id="rId881"/>
        </xdr:cNvPr>
        <xdr:cNvSpPr>
          <a:spLocks noChangeAspect="1" noChangeArrowheads="1"/>
        </xdr:cNvSpPr>
      </xdr:nvSpPr>
      <xdr:spPr bwMode="auto">
        <a:xfrm>
          <a:off x="13411200" y="45780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13" name="AutoShape 1993" descr="SOUTHAFRICA"/>
        <xdr:cNvSpPr>
          <a:spLocks noChangeAspect="1" noChangeArrowheads="1"/>
        </xdr:cNvSpPr>
      </xdr:nvSpPr>
      <xdr:spPr bwMode="auto">
        <a:xfrm>
          <a:off x="0" y="45956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114" name="AutoShape 1994" descr="https://www.soccerstats.com/img/own/sshplogo.png">
          <a:hlinkClick xmlns:r="http://schemas.openxmlformats.org/officeDocument/2006/relationships" r:id="rId882"/>
        </xdr:cNvPr>
        <xdr:cNvSpPr>
          <a:spLocks noChangeAspect="1" noChangeArrowheads="1"/>
        </xdr:cNvSpPr>
      </xdr:nvSpPr>
      <xdr:spPr bwMode="auto">
        <a:xfrm>
          <a:off x="13411200" y="45956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15" name="AutoShape 1995" descr="SOUTHAFRICA"/>
        <xdr:cNvSpPr>
          <a:spLocks noChangeAspect="1" noChangeArrowheads="1"/>
        </xdr:cNvSpPr>
      </xdr:nvSpPr>
      <xdr:spPr bwMode="auto">
        <a:xfrm>
          <a:off x="0" y="46207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116" name="AutoShape 1996" descr="https://www.soccerstats.com/img/own/sshplogo.png">
          <a:hlinkClick xmlns:r="http://schemas.openxmlformats.org/officeDocument/2006/relationships" r:id="rId883"/>
        </xdr:cNvPr>
        <xdr:cNvSpPr>
          <a:spLocks noChangeAspect="1" noChangeArrowheads="1"/>
        </xdr:cNvSpPr>
      </xdr:nvSpPr>
      <xdr:spPr bwMode="auto">
        <a:xfrm>
          <a:off x="13411200" y="46207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17" name="AutoShape 1997" descr="SOUTHKOREA"/>
        <xdr:cNvSpPr>
          <a:spLocks noChangeAspect="1" noChangeArrowheads="1"/>
        </xdr:cNvSpPr>
      </xdr:nvSpPr>
      <xdr:spPr bwMode="auto">
        <a:xfrm>
          <a:off x="0" y="46459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118" name="AutoShape 1998" descr="https://www.soccerstats.com/img/own/sshplogo.png">
          <a:hlinkClick xmlns:r="http://schemas.openxmlformats.org/officeDocument/2006/relationships" r:id="rId884"/>
        </xdr:cNvPr>
        <xdr:cNvSpPr>
          <a:spLocks noChangeAspect="1" noChangeArrowheads="1"/>
        </xdr:cNvSpPr>
      </xdr:nvSpPr>
      <xdr:spPr bwMode="auto">
        <a:xfrm>
          <a:off x="13411200" y="46459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19" name="AutoShape 1999" descr="SOUTHKOREA"/>
        <xdr:cNvSpPr>
          <a:spLocks noChangeAspect="1" noChangeArrowheads="1"/>
        </xdr:cNvSpPr>
      </xdr:nvSpPr>
      <xdr:spPr bwMode="auto">
        <a:xfrm>
          <a:off x="0" y="46634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120" name="AutoShape 2000" descr="https://www.soccerstats.com/img/own/sshplogo.png">
          <a:hlinkClick xmlns:r="http://schemas.openxmlformats.org/officeDocument/2006/relationships" r:id="rId885"/>
        </xdr:cNvPr>
        <xdr:cNvSpPr>
          <a:spLocks noChangeAspect="1" noChangeArrowheads="1"/>
        </xdr:cNvSpPr>
      </xdr:nvSpPr>
      <xdr:spPr bwMode="auto">
        <a:xfrm>
          <a:off x="13411200" y="46634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21" name="AutoShape 2001" descr="SOUTHKOREA"/>
        <xdr:cNvSpPr>
          <a:spLocks noChangeAspect="1" noChangeArrowheads="1"/>
        </xdr:cNvSpPr>
      </xdr:nvSpPr>
      <xdr:spPr bwMode="auto">
        <a:xfrm>
          <a:off x="0" y="46885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122" name="AutoShape 2002" descr="https://www.soccerstats.com/img/own/sshplogo.png">
          <a:hlinkClick xmlns:r="http://schemas.openxmlformats.org/officeDocument/2006/relationships" r:id="rId886"/>
        </xdr:cNvPr>
        <xdr:cNvSpPr>
          <a:spLocks noChangeAspect="1" noChangeArrowheads="1"/>
        </xdr:cNvSpPr>
      </xdr:nvSpPr>
      <xdr:spPr bwMode="auto">
        <a:xfrm>
          <a:off x="13411200" y="46885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23" name="AutoShape 2003" descr="SOUTHKOREA2"/>
        <xdr:cNvSpPr>
          <a:spLocks noChangeAspect="1" noChangeArrowheads="1"/>
        </xdr:cNvSpPr>
      </xdr:nvSpPr>
      <xdr:spPr bwMode="auto">
        <a:xfrm>
          <a:off x="0" y="47061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124" name="AutoShape 2004" descr="https://www.soccerstats.com/img/own/sshplogo.png">
          <a:hlinkClick xmlns:r="http://schemas.openxmlformats.org/officeDocument/2006/relationships" r:id="rId887"/>
        </xdr:cNvPr>
        <xdr:cNvSpPr>
          <a:spLocks noChangeAspect="1" noChangeArrowheads="1"/>
        </xdr:cNvSpPr>
      </xdr:nvSpPr>
      <xdr:spPr bwMode="auto">
        <a:xfrm>
          <a:off x="13411200" y="47061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25" name="AutoShape 2005" descr="SOUTHKOREA2"/>
        <xdr:cNvSpPr>
          <a:spLocks noChangeAspect="1" noChangeArrowheads="1"/>
        </xdr:cNvSpPr>
      </xdr:nvSpPr>
      <xdr:spPr bwMode="auto">
        <a:xfrm>
          <a:off x="0" y="47236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126" name="AutoShape 2006" descr="https://www.soccerstats.com/img/own/sshplogo.png">
          <a:hlinkClick xmlns:r="http://schemas.openxmlformats.org/officeDocument/2006/relationships" r:id="rId888"/>
        </xdr:cNvPr>
        <xdr:cNvSpPr>
          <a:spLocks noChangeAspect="1" noChangeArrowheads="1"/>
        </xdr:cNvSpPr>
      </xdr:nvSpPr>
      <xdr:spPr bwMode="auto">
        <a:xfrm>
          <a:off x="13411200" y="47236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27" name="AutoShape 2007" descr="SOUTHKOREA2"/>
        <xdr:cNvSpPr>
          <a:spLocks noChangeAspect="1" noChangeArrowheads="1"/>
        </xdr:cNvSpPr>
      </xdr:nvSpPr>
      <xdr:spPr bwMode="auto">
        <a:xfrm>
          <a:off x="0" y="47411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128" name="AutoShape 2008" descr="https://www.soccerstats.com/img/own/sshplogo.png">
          <a:hlinkClick xmlns:r="http://schemas.openxmlformats.org/officeDocument/2006/relationships" r:id="rId889"/>
        </xdr:cNvPr>
        <xdr:cNvSpPr>
          <a:spLocks noChangeAspect="1" noChangeArrowheads="1"/>
        </xdr:cNvSpPr>
      </xdr:nvSpPr>
      <xdr:spPr bwMode="auto">
        <a:xfrm>
          <a:off x="13411200" y="47411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29" name="AutoShape 2009" descr="SOUTHKOREA2"/>
        <xdr:cNvSpPr>
          <a:spLocks noChangeAspect="1" noChangeArrowheads="1"/>
        </xdr:cNvSpPr>
      </xdr:nvSpPr>
      <xdr:spPr bwMode="auto">
        <a:xfrm>
          <a:off x="0" y="47586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130" name="AutoShape 2010" descr="https://www.soccerstats.com/img/own/sshplogo.png">
          <a:hlinkClick xmlns:r="http://schemas.openxmlformats.org/officeDocument/2006/relationships" r:id="rId890"/>
        </xdr:cNvPr>
        <xdr:cNvSpPr>
          <a:spLocks noChangeAspect="1" noChangeArrowheads="1"/>
        </xdr:cNvSpPr>
      </xdr:nvSpPr>
      <xdr:spPr bwMode="auto">
        <a:xfrm>
          <a:off x="13411200" y="47586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31" name="AutoShape 2011" descr="SWEDEN"/>
        <xdr:cNvSpPr>
          <a:spLocks noChangeAspect="1" noChangeArrowheads="1"/>
        </xdr:cNvSpPr>
      </xdr:nvSpPr>
      <xdr:spPr bwMode="auto">
        <a:xfrm>
          <a:off x="0" y="47838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132" name="AutoShape 2012" descr="https://www.soccerstats.com/img/own/sshplogo.png">
          <a:hlinkClick xmlns:r="http://schemas.openxmlformats.org/officeDocument/2006/relationships" r:id="rId891"/>
        </xdr:cNvPr>
        <xdr:cNvSpPr>
          <a:spLocks noChangeAspect="1" noChangeArrowheads="1"/>
        </xdr:cNvSpPr>
      </xdr:nvSpPr>
      <xdr:spPr bwMode="auto">
        <a:xfrm>
          <a:off x="13411200" y="47838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33" name="AutoShape 2013" descr="SWEDEN"/>
        <xdr:cNvSpPr>
          <a:spLocks noChangeAspect="1" noChangeArrowheads="1"/>
        </xdr:cNvSpPr>
      </xdr:nvSpPr>
      <xdr:spPr bwMode="auto">
        <a:xfrm>
          <a:off x="0" y="48089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134" name="AutoShape 2014" descr="https://www.soccerstats.com/img/own/sshplogo.png">
          <a:hlinkClick xmlns:r="http://schemas.openxmlformats.org/officeDocument/2006/relationships" r:id="rId892"/>
        </xdr:cNvPr>
        <xdr:cNvSpPr>
          <a:spLocks noChangeAspect="1" noChangeArrowheads="1"/>
        </xdr:cNvSpPr>
      </xdr:nvSpPr>
      <xdr:spPr bwMode="auto">
        <a:xfrm>
          <a:off x="13411200" y="48089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35" name="AutoShape 2015" descr="SWEDEN"/>
        <xdr:cNvSpPr>
          <a:spLocks noChangeAspect="1" noChangeArrowheads="1"/>
        </xdr:cNvSpPr>
      </xdr:nvSpPr>
      <xdr:spPr bwMode="auto">
        <a:xfrm>
          <a:off x="0" y="48265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136" name="AutoShape 2016" descr="https://www.soccerstats.com/img/own/sshplogo.png">
          <a:hlinkClick xmlns:r="http://schemas.openxmlformats.org/officeDocument/2006/relationships" r:id="rId893"/>
        </xdr:cNvPr>
        <xdr:cNvSpPr>
          <a:spLocks noChangeAspect="1" noChangeArrowheads="1"/>
        </xdr:cNvSpPr>
      </xdr:nvSpPr>
      <xdr:spPr bwMode="auto">
        <a:xfrm>
          <a:off x="13411200" y="48265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37" name="AutoShape 2017" descr="SWEDEN"/>
        <xdr:cNvSpPr>
          <a:spLocks noChangeAspect="1" noChangeArrowheads="1"/>
        </xdr:cNvSpPr>
      </xdr:nvSpPr>
      <xdr:spPr bwMode="auto">
        <a:xfrm>
          <a:off x="0" y="48440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138" name="AutoShape 2018" descr="https://www.soccerstats.com/img/own/sshplogo.png">
          <a:hlinkClick xmlns:r="http://schemas.openxmlformats.org/officeDocument/2006/relationships" r:id="rId894"/>
        </xdr:cNvPr>
        <xdr:cNvSpPr>
          <a:spLocks noChangeAspect="1" noChangeArrowheads="1"/>
        </xdr:cNvSpPr>
      </xdr:nvSpPr>
      <xdr:spPr bwMode="auto">
        <a:xfrm>
          <a:off x="13411200" y="48440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39" name="AutoShape 2019" descr="SWEDEN"/>
        <xdr:cNvSpPr>
          <a:spLocks noChangeAspect="1" noChangeArrowheads="1"/>
        </xdr:cNvSpPr>
      </xdr:nvSpPr>
      <xdr:spPr bwMode="auto">
        <a:xfrm>
          <a:off x="0" y="48615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140" name="AutoShape 2020" descr="https://www.soccerstats.com/img/own/sshplogo.png">
          <a:hlinkClick xmlns:r="http://schemas.openxmlformats.org/officeDocument/2006/relationships" r:id="rId895"/>
        </xdr:cNvPr>
        <xdr:cNvSpPr>
          <a:spLocks noChangeAspect="1" noChangeArrowheads="1"/>
        </xdr:cNvSpPr>
      </xdr:nvSpPr>
      <xdr:spPr bwMode="auto">
        <a:xfrm>
          <a:off x="13411200" y="48615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41" name="AutoShape 2021" descr="SWEDEN2"/>
        <xdr:cNvSpPr>
          <a:spLocks noChangeAspect="1" noChangeArrowheads="1"/>
        </xdr:cNvSpPr>
      </xdr:nvSpPr>
      <xdr:spPr bwMode="auto">
        <a:xfrm>
          <a:off x="0" y="48790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142" name="AutoShape 2022" descr="https://www.soccerstats.com/img/own/sshplogo.png">
          <a:hlinkClick xmlns:r="http://schemas.openxmlformats.org/officeDocument/2006/relationships" r:id="rId896"/>
        </xdr:cNvPr>
        <xdr:cNvSpPr>
          <a:spLocks noChangeAspect="1" noChangeArrowheads="1"/>
        </xdr:cNvSpPr>
      </xdr:nvSpPr>
      <xdr:spPr bwMode="auto">
        <a:xfrm>
          <a:off x="13411200" y="48790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43" name="AutoShape 2023" descr="SWEDEN3"/>
        <xdr:cNvSpPr>
          <a:spLocks noChangeAspect="1" noChangeArrowheads="1"/>
        </xdr:cNvSpPr>
      </xdr:nvSpPr>
      <xdr:spPr bwMode="auto">
        <a:xfrm>
          <a:off x="0" y="48966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144" name="AutoShape 2024" descr="https://www.soccerstats.com/img/own/sshplogo.png">
          <a:hlinkClick xmlns:r="http://schemas.openxmlformats.org/officeDocument/2006/relationships" r:id="rId897"/>
        </xdr:cNvPr>
        <xdr:cNvSpPr>
          <a:spLocks noChangeAspect="1" noChangeArrowheads="1"/>
        </xdr:cNvSpPr>
      </xdr:nvSpPr>
      <xdr:spPr bwMode="auto">
        <a:xfrm>
          <a:off x="13411200" y="48966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45" name="AutoShape 2025" descr="SWEDEN3"/>
        <xdr:cNvSpPr>
          <a:spLocks noChangeAspect="1" noChangeArrowheads="1"/>
        </xdr:cNvSpPr>
      </xdr:nvSpPr>
      <xdr:spPr bwMode="auto">
        <a:xfrm>
          <a:off x="0" y="49141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146" name="AutoShape 2026" descr="https://www.soccerstats.com/img/own/sshplogo.png">
          <a:hlinkClick xmlns:r="http://schemas.openxmlformats.org/officeDocument/2006/relationships" r:id="rId898"/>
        </xdr:cNvPr>
        <xdr:cNvSpPr>
          <a:spLocks noChangeAspect="1" noChangeArrowheads="1"/>
        </xdr:cNvSpPr>
      </xdr:nvSpPr>
      <xdr:spPr bwMode="auto">
        <a:xfrm>
          <a:off x="13411200" y="49141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47" name="AutoShape 2027" descr="SWEDEN3"/>
        <xdr:cNvSpPr>
          <a:spLocks noChangeAspect="1" noChangeArrowheads="1"/>
        </xdr:cNvSpPr>
      </xdr:nvSpPr>
      <xdr:spPr bwMode="auto">
        <a:xfrm>
          <a:off x="0" y="49392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148" name="AutoShape 2028" descr="https://www.soccerstats.com/img/own/sshplogo.png">
          <a:hlinkClick xmlns:r="http://schemas.openxmlformats.org/officeDocument/2006/relationships" r:id="rId899"/>
        </xdr:cNvPr>
        <xdr:cNvSpPr>
          <a:spLocks noChangeAspect="1" noChangeArrowheads="1"/>
        </xdr:cNvSpPr>
      </xdr:nvSpPr>
      <xdr:spPr bwMode="auto">
        <a:xfrm>
          <a:off x="13411200" y="49392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49" name="AutoShape 2029" descr="SWEDEN4"/>
        <xdr:cNvSpPr>
          <a:spLocks noChangeAspect="1" noChangeArrowheads="1"/>
        </xdr:cNvSpPr>
      </xdr:nvSpPr>
      <xdr:spPr bwMode="auto">
        <a:xfrm>
          <a:off x="0" y="49568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150" name="AutoShape 2030" descr="https://www.soccerstats.com/img/own/sshplogo.png">
          <a:hlinkClick xmlns:r="http://schemas.openxmlformats.org/officeDocument/2006/relationships" r:id="rId900"/>
        </xdr:cNvPr>
        <xdr:cNvSpPr>
          <a:spLocks noChangeAspect="1" noChangeArrowheads="1"/>
        </xdr:cNvSpPr>
      </xdr:nvSpPr>
      <xdr:spPr bwMode="auto">
        <a:xfrm>
          <a:off x="13411200" y="49568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51" name="AutoShape 2031" descr="SWEDEN4"/>
        <xdr:cNvSpPr>
          <a:spLocks noChangeAspect="1" noChangeArrowheads="1"/>
        </xdr:cNvSpPr>
      </xdr:nvSpPr>
      <xdr:spPr bwMode="auto">
        <a:xfrm>
          <a:off x="0" y="49743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152" name="AutoShape 2032" descr="https://www.soccerstats.com/img/own/sshplogo.png">
          <a:hlinkClick xmlns:r="http://schemas.openxmlformats.org/officeDocument/2006/relationships" r:id="rId901"/>
        </xdr:cNvPr>
        <xdr:cNvSpPr>
          <a:spLocks noChangeAspect="1" noChangeArrowheads="1"/>
        </xdr:cNvSpPr>
      </xdr:nvSpPr>
      <xdr:spPr bwMode="auto">
        <a:xfrm>
          <a:off x="13411200" y="49743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53" name="AutoShape 2033" descr="SWEDEN4"/>
        <xdr:cNvSpPr>
          <a:spLocks noChangeAspect="1" noChangeArrowheads="1"/>
        </xdr:cNvSpPr>
      </xdr:nvSpPr>
      <xdr:spPr bwMode="auto">
        <a:xfrm>
          <a:off x="0" y="49918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154" name="AutoShape 2034" descr="https://www.soccerstats.com/img/own/sshplogo.png">
          <a:hlinkClick xmlns:r="http://schemas.openxmlformats.org/officeDocument/2006/relationships" r:id="rId902"/>
        </xdr:cNvPr>
        <xdr:cNvSpPr>
          <a:spLocks noChangeAspect="1" noChangeArrowheads="1"/>
        </xdr:cNvSpPr>
      </xdr:nvSpPr>
      <xdr:spPr bwMode="auto">
        <a:xfrm>
          <a:off x="13411200" y="49918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55" name="AutoShape 2035" descr="SWEDEN11"/>
        <xdr:cNvSpPr>
          <a:spLocks noChangeAspect="1" noChangeArrowheads="1"/>
        </xdr:cNvSpPr>
      </xdr:nvSpPr>
      <xdr:spPr bwMode="auto">
        <a:xfrm>
          <a:off x="0" y="50093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156" name="AutoShape 2036" descr="https://www.soccerstats.com/img/own/sshplogo.png">
          <a:hlinkClick xmlns:r="http://schemas.openxmlformats.org/officeDocument/2006/relationships" r:id="rId903"/>
        </xdr:cNvPr>
        <xdr:cNvSpPr>
          <a:spLocks noChangeAspect="1" noChangeArrowheads="1"/>
        </xdr:cNvSpPr>
      </xdr:nvSpPr>
      <xdr:spPr bwMode="auto">
        <a:xfrm>
          <a:off x="13411200" y="50093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57" name="AutoShape 2037" descr="TURKEY"/>
        <xdr:cNvSpPr>
          <a:spLocks noChangeAspect="1" noChangeArrowheads="1"/>
        </xdr:cNvSpPr>
      </xdr:nvSpPr>
      <xdr:spPr bwMode="auto">
        <a:xfrm>
          <a:off x="0" y="50345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158" name="AutoShape 2038" descr="https://www.soccerstats.com/img/own/sshplogo.png">
          <a:hlinkClick xmlns:r="http://schemas.openxmlformats.org/officeDocument/2006/relationships" r:id="rId904"/>
        </xdr:cNvPr>
        <xdr:cNvSpPr>
          <a:spLocks noChangeAspect="1" noChangeArrowheads="1"/>
        </xdr:cNvSpPr>
      </xdr:nvSpPr>
      <xdr:spPr bwMode="auto">
        <a:xfrm>
          <a:off x="13411200" y="50345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59" name="AutoShape 2039" descr="TURKEY"/>
        <xdr:cNvSpPr>
          <a:spLocks noChangeAspect="1" noChangeArrowheads="1"/>
        </xdr:cNvSpPr>
      </xdr:nvSpPr>
      <xdr:spPr bwMode="auto">
        <a:xfrm>
          <a:off x="0" y="50520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160" name="AutoShape 2040" descr="https://www.soccerstats.com/img/own/sshplogo.png">
          <a:hlinkClick xmlns:r="http://schemas.openxmlformats.org/officeDocument/2006/relationships" r:id="rId905"/>
        </xdr:cNvPr>
        <xdr:cNvSpPr>
          <a:spLocks noChangeAspect="1" noChangeArrowheads="1"/>
        </xdr:cNvSpPr>
      </xdr:nvSpPr>
      <xdr:spPr bwMode="auto">
        <a:xfrm>
          <a:off x="13411200" y="5052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61" name="AutoShape 2041" descr="TURKEY"/>
        <xdr:cNvSpPr>
          <a:spLocks noChangeAspect="1" noChangeArrowheads="1"/>
        </xdr:cNvSpPr>
      </xdr:nvSpPr>
      <xdr:spPr bwMode="auto">
        <a:xfrm>
          <a:off x="0" y="50695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162" name="AutoShape 2042" descr="https://www.soccerstats.com/img/own/sshplogo.png">
          <a:hlinkClick xmlns:r="http://schemas.openxmlformats.org/officeDocument/2006/relationships" r:id="rId906"/>
        </xdr:cNvPr>
        <xdr:cNvSpPr>
          <a:spLocks noChangeAspect="1" noChangeArrowheads="1"/>
        </xdr:cNvSpPr>
      </xdr:nvSpPr>
      <xdr:spPr bwMode="auto">
        <a:xfrm>
          <a:off x="13411200" y="50695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63" name="AutoShape 2043" descr="TURKEY2"/>
        <xdr:cNvSpPr>
          <a:spLocks noChangeAspect="1" noChangeArrowheads="1"/>
        </xdr:cNvSpPr>
      </xdr:nvSpPr>
      <xdr:spPr bwMode="auto">
        <a:xfrm>
          <a:off x="0" y="50871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164" name="AutoShape 2044" descr="https://www.soccerstats.com/img/own/sshplogo.png">
          <a:hlinkClick xmlns:r="http://schemas.openxmlformats.org/officeDocument/2006/relationships" r:id="rId907"/>
        </xdr:cNvPr>
        <xdr:cNvSpPr>
          <a:spLocks noChangeAspect="1" noChangeArrowheads="1"/>
        </xdr:cNvSpPr>
      </xdr:nvSpPr>
      <xdr:spPr bwMode="auto">
        <a:xfrm>
          <a:off x="13411200" y="50871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65" name="AutoShape 2045" descr="TURKEY2"/>
        <xdr:cNvSpPr>
          <a:spLocks noChangeAspect="1" noChangeArrowheads="1"/>
        </xdr:cNvSpPr>
      </xdr:nvSpPr>
      <xdr:spPr bwMode="auto">
        <a:xfrm>
          <a:off x="0" y="51046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166" name="AutoShape 2046" descr="https://www.soccerstats.com/img/own/sshplogo.png">
          <a:hlinkClick xmlns:r="http://schemas.openxmlformats.org/officeDocument/2006/relationships" r:id="rId908"/>
        </xdr:cNvPr>
        <xdr:cNvSpPr>
          <a:spLocks noChangeAspect="1" noChangeArrowheads="1"/>
        </xdr:cNvSpPr>
      </xdr:nvSpPr>
      <xdr:spPr bwMode="auto">
        <a:xfrm>
          <a:off x="13411200" y="51046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67" name="AutoShape 2047" descr="TURKEY2"/>
        <xdr:cNvSpPr>
          <a:spLocks noChangeAspect="1" noChangeArrowheads="1"/>
        </xdr:cNvSpPr>
      </xdr:nvSpPr>
      <xdr:spPr bwMode="auto">
        <a:xfrm>
          <a:off x="0" y="51221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168" name="AutoShape 2048" descr="https://www.soccerstats.com/img/own/sshplogo.png">
          <a:hlinkClick xmlns:r="http://schemas.openxmlformats.org/officeDocument/2006/relationships" r:id="rId909"/>
        </xdr:cNvPr>
        <xdr:cNvSpPr>
          <a:spLocks noChangeAspect="1" noChangeArrowheads="1"/>
        </xdr:cNvSpPr>
      </xdr:nvSpPr>
      <xdr:spPr bwMode="auto">
        <a:xfrm>
          <a:off x="13411200" y="51221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69" name="AutoShape 2049" descr="TURKEY2"/>
        <xdr:cNvSpPr>
          <a:spLocks noChangeAspect="1" noChangeArrowheads="1"/>
        </xdr:cNvSpPr>
      </xdr:nvSpPr>
      <xdr:spPr bwMode="auto">
        <a:xfrm>
          <a:off x="0" y="51396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170" name="AutoShape 2050" descr="https://www.soccerstats.com/img/own/sshplogo.png">
          <a:hlinkClick xmlns:r="http://schemas.openxmlformats.org/officeDocument/2006/relationships" r:id="rId910"/>
        </xdr:cNvPr>
        <xdr:cNvSpPr>
          <a:spLocks noChangeAspect="1" noChangeArrowheads="1"/>
        </xdr:cNvSpPr>
      </xdr:nvSpPr>
      <xdr:spPr bwMode="auto">
        <a:xfrm>
          <a:off x="13411200" y="51396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71" name="AutoShape 2051" descr="UKRAINE"/>
        <xdr:cNvSpPr>
          <a:spLocks noChangeAspect="1" noChangeArrowheads="1"/>
        </xdr:cNvSpPr>
      </xdr:nvSpPr>
      <xdr:spPr bwMode="auto">
        <a:xfrm>
          <a:off x="0" y="51648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172" name="AutoShape 2052" descr="https://www.soccerstats.com/img/own/sshplogo.png">
          <a:hlinkClick xmlns:r="http://schemas.openxmlformats.org/officeDocument/2006/relationships" r:id="rId911"/>
        </xdr:cNvPr>
        <xdr:cNvSpPr>
          <a:spLocks noChangeAspect="1" noChangeArrowheads="1"/>
        </xdr:cNvSpPr>
      </xdr:nvSpPr>
      <xdr:spPr bwMode="auto">
        <a:xfrm>
          <a:off x="13411200" y="51648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73" name="AutoShape 2053" descr="UKRAINE"/>
        <xdr:cNvSpPr>
          <a:spLocks noChangeAspect="1" noChangeArrowheads="1"/>
        </xdr:cNvSpPr>
      </xdr:nvSpPr>
      <xdr:spPr bwMode="auto">
        <a:xfrm>
          <a:off x="0" y="51899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174" name="AutoShape 2054" descr="https://www.soccerstats.com/img/own/sshplogo.png">
          <a:hlinkClick xmlns:r="http://schemas.openxmlformats.org/officeDocument/2006/relationships" r:id="rId912"/>
        </xdr:cNvPr>
        <xdr:cNvSpPr>
          <a:spLocks noChangeAspect="1" noChangeArrowheads="1"/>
        </xdr:cNvSpPr>
      </xdr:nvSpPr>
      <xdr:spPr bwMode="auto">
        <a:xfrm>
          <a:off x="13411200" y="51899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75" name="AutoShape 2055" descr="UKRAINE"/>
        <xdr:cNvSpPr>
          <a:spLocks noChangeAspect="1" noChangeArrowheads="1"/>
        </xdr:cNvSpPr>
      </xdr:nvSpPr>
      <xdr:spPr bwMode="auto">
        <a:xfrm>
          <a:off x="0" y="52075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176" name="AutoShape 2056" descr="https://www.soccerstats.com/img/own/sshplogo.png">
          <a:hlinkClick xmlns:r="http://schemas.openxmlformats.org/officeDocument/2006/relationships" r:id="rId913"/>
        </xdr:cNvPr>
        <xdr:cNvSpPr>
          <a:spLocks noChangeAspect="1" noChangeArrowheads="1"/>
        </xdr:cNvSpPr>
      </xdr:nvSpPr>
      <xdr:spPr bwMode="auto">
        <a:xfrm>
          <a:off x="13411200" y="52075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77" name="AutoShape 2057" descr="URUGUAY3"/>
        <xdr:cNvSpPr>
          <a:spLocks noChangeAspect="1" noChangeArrowheads="1"/>
        </xdr:cNvSpPr>
      </xdr:nvSpPr>
      <xdr:spPr bwMode="auto">
        <a:xfrm>
          <a:off x="0" y="52326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178" name="AutoShape 2058" descr="https://www.soccerstats.com/img/own/sshplogo.png">
          <a:hlinkClick xmlns:r="http://schemas.openxmlformats.org/officeDocument/2006/relationships" r:id="rId914"/>
        </xdr:cNvPr>
        <xdr:cNvSpPr>
          <a:spLocks noChangeAspect="1" noChangeArrowheads="1"/>
        </xdr:cNvSpPr>
      </xdr:nvSpPr>
      <xdr:spPr bwMode="auto">
        <a:xfrm>
          <a:off x="13411200" y="52326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79" name="AutoShape 2059" descr="URUGUAY3"/>
        <xdr:cNvSpPr>
          <a:spLocks noChangeAspect="1" noChangeArrowheads="1"/>
        </xdr:cNvSpPr>
      </xdr:nvSpPr>
      <xdr:spPr bwMode="auto">
        <a:xfrm>
          <a:off x="0" y="52578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180" name="AutoShape 2060" descr="https://www.soccerstats.com/img/own/sshplogo.png">
          <a:hlinkClick xmlns:r="http://schemas.openxmlformats.org/officeDocument/2006/relationships" r:id="rId915"/>
        </xdr:cNvPr>
        <xdr:cNvSpPr>
          <a:spLocks noChangeAspect="1" noChangeArrowheads="1"/>
        </xdr:cNvSpPr>
      </xdr:nvSpPr>
      <xdr:spPr bwMode="auto">
        <a:xfrm>
          <a:off x="13411200" y="5257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81" name="AutoShape 2061" descr="URUGUAY3"/>
        <xdr:cNvSpPr>
          <a:spLocks noChangeAspect="1" noChangeArrowheads="1"/>
        </xdr:cNvSpPr>
      </xdr:nvSpPr>
      <xdr:spPr bwMode="auto">
        <a:xfrm>
          <a:off x="0" y="52753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182" name="AutoShape 2062" descr="https://www.soccerstats.com/img/own/sshplogo.png">
          <a:hlinkClick xmlns:r="http://schemas.openxmlformats.org/officeDocument/2006/relationships" r:id="rId916"/>
        </xdr:cNvPr>
        <xdr:cNvSpPr>
          <a:spLocks noChangeAspect="1" noChangeArrowheads="1"/>
        </xdr:cNvSpPr>
      </xdr:nvSpPr>
      <xdr:spPr bwMode="auto">
        <a:xfrm>
          <a:off x="13411200" y="52753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83" name="AutoShape 2063" descr="USA"/>
        <xdr:cNvSpPr>
          <a:spLocks noChangeAspect="1" noChangeArrowheads="1"/>
        </xdr:cNvSpPr>
      </xdr:nvSpPr>
      <xdr:spPr bwMode="auto">
        <a:xfrm>
          <a:off x="0" y="53004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184" name="AutoShape 2064" descr="https://www.soccerstats.com/img/own/sshplogo.png">
          <a:hlinkClick xmlns:r="http://schemas.openxmlformats.org/officeDocument/2006/relationships" r:id="rId917"/>
        </xdr:cNvPr>
        <xdr:cNvSpPr>
          <a:spLocks noChangeAspect="1" noChangeArrowheads="1"/>
        </xdr:cNvSpPr>
      </xdr:nvSpPr>
      <xdr:spPr bwMode="auto">
        <a:xfrm>
          <a:off x="13411200" y="53004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85" name="AutoShape 2065" descr="USA"/>
        <xdr:cNvSpPr>
          <a:spLocks noChangeAspect="1" noChangeArrowheads="1"/>
        </xdr:cNvSpPr>
      </xdr:nvSpPr>
      <xdr:spPr bwMode="auto">
        <a:xfrm>
          <a:off x="0" y="53256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186" name="AutoShape 2066" descr="https://www.soccerstats.com/img/own/sshplogo.png">
          <a:hlinkClick xmlns:r="http://schemas.openxmlformats.org/officeDocument/2006/relationships" r:id="rId918"/>
        </xdr:cNvPr>
        <xdr:cNvSpPr>
          <a:spLocks noChangeAspect="1" noChangeArrowheads="1"/>
        </xdr:cNvSpPr>
      </xdr:nvSpPr>
      <xdr:spPr bwMode="auto">
        <a:xfrm>
          <a:off x="13411200" y="53256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87" name="AutoShape 2067" descr="USA"/>
        <xdr:cNvSpPr>
          <a:spLocks noChangeAspect="1" noChangeArrowheads="1"/>
        </xdr:cNvSpPr>
      </xdr:nvSpPr>
      <xdr:spPr bwMode="auto">
        <a:xfrm>
          <a:off x="0" y="53431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188" name="AutoShape 2068" descr="https://www.soccerstats.com/img/own/sshplogo.png">
          <a:hlinkClick xmlns:r="http://schemas.openxmlformats.org/officeDocument/2006/relationships" r:id="rId919"/>
        </xdr:cNvPr>
        <xdr:cNvSpPr>
          <a:spLocks noChangeAspect="1" noChangeArrowheads="1"/>
        </xdr:cNvSpPr>
      </xdr:nvSpPr>
      <xdr:spPr bwMode="auto">
        <a:xfrm>
          <a:off x="13411200" y="53431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89" name="AutoShape 2069" descr="USA"/>
        <xdr:cNvSpPr>
          <a:spLocks noChangeAspect="1" noChangeArrowheads="1"/>
        </xdr:cNvSpPr>
      </xdr:nvSpPr>
      <xdr:spPr bwMode="auto">
        <a:xfrm>
          <a:off x="0" y="53682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190" name="AutoShape 2070" descr="https://www.soccerstats.com/img/own/sshplogo.png">
          <a:hlinkClick xmlns:r="http://schemas.openxmlformats.org/officeDocument/2006/relationships" r:id="rId920"/>
        </xdr:cNvPr>
        <xdr:cNvSpPr>
          <a:spLocks noChangeAspect="1" noChangeArrowheads="1"/>
        </xdr:cNvSpPr>
      </xdr:nvSpPr>
      <xdr:spPr bwMode="auto">
        <a:xfrm>
          <a:off x="13411200" y="53682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91" name="AutoShape 2071" descr="USA"/>
        <xdr:cNvSpPr>
          <a:spLocks noChangeAspect="1" noChangeArrowheads="1"/>
        </xdr:cNvSpPr>
      </xdr:nvSpPr>
      <xdr:spPr bwMode="auto">
        <a:xfrm>
          <a:off x="0" y="53934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192" name="AutoShape 2072" descr="https://www.soccerstats.com/img/own/sshplogo.png">
          <a:hlinkClick xmlns:r="http://schemas.openxmlformats.org/officeDocument/2006/relationships" r:id="rId921"/>
        </xdr:cNvPr>
        <xdr:cNvSpPr>
          <a:spLocks noChangeAspect="1" noChangeArrowheads="1"/>
        </xdr:cNvSpPr>
      </xdr:nvSpPr>
      <xdr:spPr bwMode="auto">
        <a:xfrm>
          <a:off x="13411200" y="53934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93" name="AutoShape 2073" descr="USA"/>
        <xdr:cNvSpPr>
          <a:spLocks noChangeAspect="1" noChangeArrowheads="1"/>
        </xdr:cNvSpPr>
      </xdr:nvSpPr>
      <xdr:spPr bwMode="auto">
        <a:xfrm>
          <a:off x="0" y="54185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194" name="AutoShape 2074" descr="https://www.soccerstats.com/img/own/sshplogo.png">
          <a:hlinkClick xmlns:r="http://schemas.openxmlformats.org/officeDocument/2006/relationships" r:id="rId922"/>
        </xdr:cNvPr>
        <xdr:cNvSpPr>
          <a:spLocks noChangeAspect="1" noChangeArrowheads="1"/>
        </xdr:cNvSpPr>
      </xdr:nvSpPr>
      <xdr:spPr bwMode="auto">
        <a:xfrm>
          <a:off x="13411200" y="54185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95" name="AutoShape 2075" descr="USA"/>
        <xdr:cNvSpPr>
          <a:spLocks noChangeAspect="1" noChangeArrowheads="1"/>
        </xdr:cNvSpPr>
      </xdr:nvSpPr>
      <xdr:spPr bwMode="auto">
        <a:xfrm>
          <a:off x="0" y="54437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196" name="AutoShape 2076" descr="https://www.soccerstats.com/img/own/sshplogo.png">
          <a:hlinkClick xmlns:r="http://schemas.openxmlformats.org/officeDocument/2006/relationships" r:id="rId923"/>
        </xdr:cNvPr>
        <xdr:cNvSpPr>
          <a:spLocks noChangeAspect="1" noChangeArrowheads="1"/>
        </xdr:cNvSpPr>
      </xdr:nvSpPr>
      <xdr:spPr bwMode="auto">
        <a:xfrm>
          <a:off x="13411200" y="54437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97" name="AutoShape 2077" descr="USA"/>
        <xdr:cNvSpPr>
          <a:spLocks noChangeAspect="1" noChangeArrowheads="1"/>
        </xdr:cNvSpPr>
      </xdr:nvSpPr>
      <xdr:spPr bwMode="auto">
        <a:xfrm>
          <a:off x="0" y="54612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198" name="AutoShape 2078" descr="https://www.soccerstats.com/img/own/sshplogo.png">
          <a:hlinkClick xmlns:r="http://schemas.openxmlformats.org/officeDocument/2006/relationships" r:id="rId924"/>
        </xdr:cNvPr>
        <xdr:cNvSpPr>
          <a:spLocks noChangeAspect="1" noChangeArrowheads="1"/>
        </xdr:cNvSpPr>
      </xdr:nvSpPr>
      <xdr:spPr bwMode="auto">
        <a:xfrm>
          <a:off x="13411200" y="54612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99" name="AutoShape 2079" descr="USA2"/>
        <xdr:cNvSpPr>
          <a:spLocks noChangeAspect="1" noChangeArrowheads="1"/>
        </xdr:cNvSpPr>
      </xdr:nvSpPr>
      <xdr:spPr bwMode="auto">
        <a:xfrm>
          <a:off x="0" y="54864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200" name="AutoShape 2080" descr="https://www.soccerstats.com/img/own/sshplogo.png">
          <a:hlinkClick xmlns:r="http://schemas.openxmlformats.org/officeDocument/2006/relationships" r:id="rId925"/>
        </xdr:cNvPr>
        <xdr:cNvSpPr>
          <a:spLocks noChangeAspect="1" noChangeArrowheads="1"/>
        </xdr:cNvSpPr>
      </xdr:nvSpPr>
      <xdr:spPr bwMode="auto">
        <a:xfrm>
          <a:off x="13411200" y="5486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201" name="AutoShape 2081" descr="USA2"/>
        <xdr:cNvSpPr>
          <a:spLocks noChangeAspect="1" noChangeArrowheads="1"/>
        </xdr:cNvSpPr>
      </xdr:nvSpPr>
      <xdr:spPr bwMode="auto">
        <a:xfrm>
          <a:off x="0" y="55115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202" name="AutoShape 2082" descr="https://www.soccerstats.com/img/own/sshplogo.png">
          <a:hlinkClick xmlns:r="http://schemas.openxmlformats.org/officeDocument/2006/relationships" r:id="rId926"/>
        </xdr:cNvPr>
        <xdr:cNvSpPr>
          <a:spLocks noChangeAspect="1" noChangeArrowheads="1"/>
        </xdr:cNvSpPr>
      </xdr:nvSpPr>
      <xdr:spPr bwMode="auto">
        <a:xfrm>
          <a:off x="13411200" y="55115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203" name="AutoShape 2083" descr="USA2"/>
        <xdr:cNvSpPr>
          <a:spLocks noChangeAspect="1" noChangeArrowheads="1"/>
        </xdr:cNvSpPr>
      </xdr:nvSpPr>
      <xdr:spPr bwMode="auto">
        <a:xfrm>
          <a:off x="0" y="55290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204" name="AutoShape 2084" descr="https://www.soccerstats.com/img/own/sshplogo.png">
          <a:hlinkClick xmlns:r="http://schemas.openxmlformats.org/officeDocument/2006/relationships" r:id="rId927"/>
        </xdr:cNvPr>
        <xdr:cNvSpPr>
          <a:spLocks noChangeAspect="1" noChangeArrowheads="1"/>
        </xdr:cNvSpPr>
      </xdr:nvSpPr>
      <xdr:spPr bwMode="auto">
        <a:xfrm>
          <a:off x="13411200" y="55290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205" name="AutoShape 2085" descr="USA2"/>
        <xdr:cNvSpPr>
          <a:spLocks noChangeAspect="1" noChangeArrowheads="1"/>
        </xdr:cNvSpPr>
      </xdr:nvSpPr>
      <xdr:spPr bwMode="auto">
        <a:xfrm>
          <a:off x="0" y="55465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206" name="AutoShape 2086" descr="https://www.soccerstats.com/img/own/sshplogo.png">
          <a:hlinkClick xmlns:r="http://schemas.openxmlformats.org/officeDocument/2006/relationships" r:id="rId928"/>
        </xdr:cNvPr>
        <xdr:cNvSpPr>
          <a:spLocks noChangeAspect="1" noChangeArrowheads="1"/>
        </xdr:cNvSpPr>
      </xdr:nvSpPr>
      <xdr:spPr bwMode="auto">
        <a:xfrm>
          <a:off x="13411200" y="55465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207" name="AutoShape 2087" descr="USA2"/>
        <xdr:cNvSpPr>
          <a:spLocks noChangeAspect="1" noChangeArrowheads="1"/>
        </xdr:cNvSpPr>
      </xdr:nvSpPr>
      <xdr:spPr bwMode="auto">
        <a:xfrm>
          <a:off x="0" y="55717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208" name="AutoShape 2088" descr="https://www.soccerstats.com/img/own/sshplogo.png">
          <a:hlinkClick xmlns:r="http://schemas.openxmlformats.org/officeDocument/2006/relationships" r:id="rId929"/>
        </xdr:cNvPr>
        <xdr:cNvSpPr>
          <a:spLocks noChangeAspect="1" noChangeArrowheads="1"/>
        </xdr:cNvSpPr>
      </xdr:nvSpPr>
      <xdr:spPr bwMode="auto">
        <a:xfrm>
          <a:off x="13411200" y="55717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209" name="AutoShape 2089" descr="USA2"/>
        <xdr:cNvSpPr>
          <a:spLocks noChangeAspect="1" noChangeArrowheads="1"/>
        </xdr:cNvSpPr>
      </xdr:nvSpPr>
      <xdr:spPr bwMode="auto">
        <a:xfrm>
          <a:off x="0" y="55968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210" name="AutoShape 2090" descr="https://www.soccerstats.com/img/own/sshplogo.png">
          <a:hlinkClick xmlns:r="http://schemas.openxmlformats.org/officeDocument/2006/relationships" r:id="rId930"/>
        </xdr:cNvPr>
        <xdr:cNvSpPr>
          <a:spLocks noChangeAspect="1" noChangeArrowheads="1"/>
        </xdr:cNvSpPr>
      </xdr:nvSpPr>
      <xdr:spPr bwMode="auto">
        <a:xfrm>
          <a:off x="13411200" y="5596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211" name="AutoShape 2091" descr="USA2"/>
        <xdr:cNvSpPr>
          <a:spLocks noChangeAspect="1" noChangeArrowheads="1"/>
        </xdr:cNvSpPr>
      </xdr:nvSpPr>
      <xdr:spPr bwMode="auto">
        <a:xfrm>
          <a:off x="0" y="56144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212" name="AutoShape 2092" descr="https://www.soccerstats.com/img/own/sshplogo.png">
          <a:hlinkClick xmlns:r="http://schemas.openxmlformats.org/officeDocument/2006/relationships" r:id="rId931"/>
        </xdr:cNvPr>
        <xdr:cNvSpPr>
          <a:spLocks noChangeAspect="1" noChangeArrowheads="1"/>
        </xdr:cNvSpPr>
      </xdr:nvSpPr>
      <xdr:spPr bwMode="auto">
        <a:xfrm>
          <a:off x="13411200" y="56144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213" name="AutoShape 2093" descr="USA3"/>
        <xdr:cNvSpPr>
          <a:spLocks noChangeAspect="1" noChangeArrowheads="1"/>
        </xdr:cNvSpPr>
      </xdr:nvSpPr>
      <xdr:spPr bwMode="auto">
        <a:xfrm>
          <a:off x="0" y="56395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214" name="AutoShape 2094" descr="https://www.soccerstats.com/img/own/sshplogo.png">
          <a:hlinkClick xmlns:r="http://schemas.openxmlformats.org/officeDocument/2006/relationships" r:id="rId932"/>
        </xdr:cNvPr>
        <xdr:cNvSpPr>
          <a:spLocks noChangeAspect="1" noChangeArrowheads="1"/>
        </xdr:cNvSpPr>
      </xdr:nvSpPr>
      <xdr:spPr bwMode="auto">
        <a:xfrm>
          <a:off x="13411200" y="56395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215" name="AutoShape 2095" descr="USA3"/>
        <xdr:cNvSpPr>
          <a:spLocks noChangeAspect="1" noChangeArrowheads="1"/>
        </xdr:cNvSpPr>
      </xdr:nvSpPr>
      <xdr:spPr bwMode="auto">
        <a:xfrm>
          <a:off x="0" y="56647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216" name="AutoShape 2096" descr="https://www.soccerstats.com/img/own/sshplogo.png">
          <a:hlinkClick xmlns:r="http://schemas.openxmlformats.org/officeDocument/2006/relationships" r:id="rId933"/>
        </xdr:cNvPr>
        <xdr:cNvSpPr>
          <a:spLocks noChangeAspect="1" noChangeArrowheads="1"/>
        </xdr:cNvSpPr>
      </xdr:nvSpPr>
      <xdr:spPr bwMode="auto">
        <a:xfrm>
          <a:off x="13411200" y="56647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217" name="AutoShape 2097" descr="USA3"/>
        <xdr:cNvSpPr>
          <a:spLocks noChangeAspect="1" noChangeArrowheads="1"/>
        </xdr:cNvSpPr>
      </xdr:nvSpPr>
      <xdr:spPr bwMode="auto">
        <a:xfrm>
          <a:off x="0" y="56898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218" name="AutoShape 2098" descr="https://www.soccerstats.com/img/own/sshplogo.png">
          <a:hlinkClick xmlns:r="http://schemas.openxmlformats.org/officeDocument/2006/relationships" r:id="rId934"/>
        </xdr:cNvPr>
        <xdr:cNvSpPr>
          <a:spLocks noChangeAspect="1" noChangeArrowheads="1"/>
        </xdr:cNvSpPr>
      </xdr:nvSpPr>
      <xdr:spPr bwMode="auto">
        <a:xfrm>
          <a:off x="13411200" y="56898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219" name="AutoShape 2099" descr="USA6"/>
        <xdr:cNvSpPr>
          <a:spLocks noChangeAspect="1" noChangeArrowheads="1"/>
        </xdr:cNvSpPr>
      </xdr:nvSpPr>
      <xdr:spPr bwMode="auto">
        <a:xfrm>
          <a:off x="0" y="57150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220" name="AutoShape 2100" descr="https://www.soccerstats.com/img/own/sshplogo.png">
          <a:hlinkClick xmlns:r="http://schemas.openxmlformats.org/officeDocument/2006/relationships" r:id="rId935"/>
        </xdr:cNvPr>
        <xdr:cNvSpPr>
          <a:spLocks noChangeAspect="1" noChangeArrowheads="1"/>
        </xdr:cNvSpPr>
      </xdr:nvSpPr>
      <xdr:spPr bwMode="auto">
        <a:xfrm>
          <a:off x="13411200" y="571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221" name="AutoShape 2101" descr="USA6"/>
        <xdr:cNvSpPr>
          <a:spLocks noChangeAspect="1" noChangeArrowheads="1"/>
        </xdr:cNvSpPr>
      </xdr:nvSpPr>
      <xdr:spPr bwMode="auto">
        <a:xfrm>
          <a:off x="0" y="57401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222" name="AutoShape 2102" descr="https://www.soccerstats.com/img/own/sshplogo.png">
          <a:hlinkClick xmlns:r="http://schemas.openxmlformats.org/officeDocument/2006/relationships" r:id="rId936"/>
        </xdr:cNvPr>
        <xdr:cNvSpPr>
          <a:spLocks noChangeAspect="1" noChangeArrowheads="1"/>
        </xdr:cNvSpPr>
      </xdr:nvSpPr>
      <xdr:spPr bwMode="auto">
        <a:xfrm>
          <a:off x="13411200" y="57401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223" name="AutoShape 2103" descr="USA7"/>
        <xdr:cNvSpPr>
          <a:spLocks noChangeAspect="1" noChangeArrowheads="1"/>
        </xdr:cNvSpPr>
      </xdr:nvSpPr>
      <xdr:spPr bwMode="auto">
        <a:xfrm>
          <a:off x="0" y="57652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137160</xdr:rowOff>
    </xdr:to>
    <xdr:sp macro="" textlink="">
      <xdr:nvSpPr>
        <xdr:cNvPr id="7224" name="AutoShape 2104" descr="https://www.soccerstats.com/img/own/sshplogo.png">
          <a:hlinkClick xmlns:r="http://schemas.openxmlformats.org/officeDocument/2006/relationships" r:id="rId937"/>
        </xdr:cNvPr>
        <xdr:cNvSpPr>
          <a:spLocks noChangeAspect="1" noChangeArrowheads="1"/>
        </xdr:cNvSpPr>
      </xdr:nvSpPr>
      <xdr:spPr bwMode="auto">
        <a:xfrm>
          <a:off x="13411200" y="57652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292" name="AutoShape 1" descr="NETHERLANDS"/>
        <xdr:cNvSpPr>
          <a:spLocks noChangeAspect="1" noChangeArrowheads="1"/>
        </xdr:cNvSpPr>
      </xdr:nvSpPr>
      <xdr:spPr bwMode="auto">
        <a:xfrm>
          <a:off x="0" y="175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293" name="AutoShape 2" descr="https://www.soccerstats.com/img/own/sshplogo.png">
          <a:hlinkClick xmlns:r="http://schemas.openxmlformats.org/officeDocument/2006/relationships" r:id="rId516"/>
        </xdr:cNvPr>
        <xdr:cNvSpPr>
          <a:spLocks noChangeAspect="1" noChangeArrowheads="1"/>
        </xdr:cNvSpPr>
      </xdr:nvSpPr>
      <xdr:spPr bwMode="auto">
        <a:xfrm>
          <a:off x="13411200" y="175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152400</xdr:colOff>
      <xdr:row>2</xdr:row>
      <xdr:rowOff>106680</xdr:rowOff>
    </xdr:to>
    <xdr:sp macro="" textlink="">
      <xdr:nvSpPr>
        <xdr:cNvPr id="3294" name="AutoShape 3" descr="PORTUGAL"/>
        <xdr:cNvSpPr>
          <a:spLocks noChangeAspect="1" noChangeArrowheads="1"/>
        </xdr:cNvSpPr>
      </xdr:nvSpPr>
      <xdr:spPr bwMode="auto">
        <a:xfrm>
          <a:off x="0" y="350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</xdr:row>
      <xdr:rowOff>0</xdr:rowOff>
    </xdr:from>
    <xdr:to>
      <xdr:col>22</xdr:col>
      <xdr:colOff>304800</xdr:colOff>
      <xdr:row>3</xdr:row>
      <xdr:rowOff>129540</xdr:rowOff>
    </xdr:to>
    <xdr:sp macro="" textlink="">
      <xdr:nvSpPr>
        <xdr:cNvPr id="3295" name="AutoShape 4" descr="https://www.soccerstats.com/img/own/sshplogo.png">
          <a:hlinkClick xmlns:r="http://schemas.openxmlformats.org/officeDocument/2006/relationships" r:id="rId517"/>
        </xdr:cNvPr>
        <xdr:cNvSpPr>
          <a:spLocks noChangeAspect="1" noChangeArrowheads="1"/>
        </xdr:cNvSpPr>
      </xdr:nvSpPr>
      <xdr:spPr bwMode="auto">
        <a:xfrm>
          <a:off x="13411200" y="350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152400</xdr:colOff>
      <xdr:row>3</xdr:row>
      <xdr:rowOff>106680</xdr:rowOff>
    </xdr:to>
    <xdr:sp macro="" textlink="">
      <xdr:nvSpPr>
        <xdr:cNvPr id="3296" name="AutoShape 5" descr="ENGLAND2"/>
        <xdr:cNvSpPr>
          <a:spLocks noChangeAspect="1" noChangeArrowheads="1"/>
        </xdr:cNvSpPr>
      </xdr:nvSpPr>
      <xdr:spPr bwMode="auto">
        <a:xfrm>
          <a:off x="0" y="525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</xdr:row>
      <xdr:rowOff>0</xdr:rowOff>
    </xdr:from>
    <xdr:to>
      <xdr:col>22</xdr:col>
      <xdr:colOff>304800</xdr:colOff>
      <xdr:row>4</xdr:row>
      <xdr:rowOff>53340</xdr:rowOff>
    </xdr:to>
    <xdr:sp macro="" textlink="">
      <xdr:nvSpPr>
        <xdr:cNvPr id="3297" name="AutoShape 6" descr="https://www.soccerstats.com/img/own/sshplogo.png">
          <a:hlinkClick xmlns:r="http://schemas.openxmlformats.org/officeDocument/2006/relationships" r:id="rId518"/>
        </xdr:cNvPr>
        <xdr:cNvSpPr>
          <a:spLocks noChangeAspect="1" noChangeArrowheads="1"/>
        </xdr:cNvSpPr>
      </xdr:nvSpPr>
      <xdr:spPr bwMode="auto">
        <a:xfrm>
          <a:off x="13411200" y="525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152400</xdr:colOff>
      <xdr:row>4</xdr:row>
      <xdr:rowOff>106680</xdr:rowOff>
    </xdr:to>
    <xdr:sp macro="" textlink="">
      <xdr:nvSpPr>
        <xdr:cNvPr id="3298" name="AutoShape 7" descr="SPAIN2"/>
        <xdr:cNvSpPr>
          <a:spLocks noChangeAspect="1" noChangeArrowheads="1"/>
        </xdr:cNvSpPr>
      </xdr:nvSpPr>
      <xdr:spPr bwMode="auto">
        <a:xfrm>
          <a:off x="0" y="777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</xdr:row>
      <xdr:rowOff>0</xdr:rowOff>
    </xdr:from>
    <xdr:to>
      <xdr:col>22</xdr:col>
      <xdr:colOff>304800</xdr:colOff>
      <xdr:row>5</xdr:row>
      <xdr:rowOff>53340</xdr:rowOff>
    </xdr:to>
    <xdr:sp macro="" textlink="">
      <xdr:nvSpPr>
        <xdr:cNvPr id="3299" name="AutoShape 8" descr="https://www.soccerstats.com/img/own/sshplogo.png">
          <a:hlinkClick xmlns:r="http://schemas.openxmlformats.org/officeDocument/2006/relationships" r:id="rId519"/>
        </xdr:cNvPr>
        <xdr:cNvSpPr>
          <a:spLocks noChangeAspect="1" noChangeArrowheads="1"/>
        </xdr:cNvSpPr>
      </xdr:nvSpPr>
      <xdr:spPr bwMode="auto">
        <a:xfrm>
          <a:off x="13411200" y="777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152400</xdr:colOff>
      <xdr:row>5</xdr:row>
      <xdr:rowOff>106680</xdr:rowOff>
    </xdr:to>
    <xdr:sp macro="" textlink="">
      <xdr:nvSpPr>
        <xdr:cNvPr id="3300" name="AutoShape 9" descr="FRANCE2"/>
        <xdr:cNvSpPr>
          <a:spLocks noChangeAspect="1" noChangeArrowheads="1"/>
        </xdr:cNvSpPr>
      </xdr:nvSpPr>
      <xdr:spPr bwMode="auto">
        <a:xfrm>
          <a:off x="0" y="1028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</xdr:row>
      <xdr:rowOff>0</xdr:rowOff>
    </xdr:from>
    <xdr:to>
      <xdr:col>22</xdr:col>
      <xdr:colOff>304800</xdr:colOff>
      <xdr:row>6</xdr:row>
      <xdr:rowOff>53340</xdr:rowOff>
    </xdr:to>
    <xdr:sp macro="" textlink="">
      <xdr:nvSpPr>
        <xdr:cNvPr id="3301" name="AutoShape 10" descr="https://www.soccerstats.com/img/own/sshplogo.png">
          <a:hlinkClick xmlns:r="http://schemas.openxmlformats.org/officeDocument/2006/relationships" r:id="rId520"/>
        </xdr:cNvPr>
        <xdr:cNvSpPr>
          <a:spLocks noChangeAspect="1" noChangeArrowheads="1"/>
        </xdr:cNvSpPr>
      </xdr:nvSpPr>
      <xdr:spPr bwMode="auto">
        <a:xfrm>
          <a:off x="134112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152400</xdr:colOff>
      <xdr:row>6</xdr:row>
      <xdr:rowOff>106680</xdr:rowOff>
    </xdr:to>
    <xdr:sp macro="" textlink="">
      <xdr:nvSpPr>
        <xdr:cNvPr id="3302" name="AutoShape 11" descr="FRANCE2"/>
        <xdr:cNvSpPr>
          <a:spLocks noChangeAspect="1" noChangeArrowheads="1"/>
        </xdr:cNvSpPr>
      </xdr:nvSpPr>
      <xdr:spPr bwMode="auto">
        <a:xfrm>
          <a:off x="0" y="1280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</xdr:row>
      <xdr:rowOff>0</xdr:rowOff>
    </xdr:from>
    <xdr:to>
      <xdr:col>22</xdr:col>
      <xdr:colOff>304800</xdr:colOff>
      <xdr:row>7</xdr:row>
      <xdr:rowOff>129540</xdr:rowOff>
    </xdr:to>
    <xdr:sp macro="" textlink="">
      <xdr:nvSpPr>
        <xdr:cNvPr id="3303" name="AutoShape 12" descr="https://www.soccerstats.com/img/own/sshplogo.png">
          <a:hlinkClick xmlns:r="http://schemas.openxmlformats.org/officeDocument/2006/relationships" r:id="rId521"/>
        </xdr:cNvPr>
        <xdr:cNvSpPr>
          <a:spLocks noChangeAspect="1" noChangeArrowheads="1"/>
        </xdr:cNvSpPr>
      </xdr:nvSpPr>
      <xdr:spPr bwMode="auto">
        <a:xfrm>
          <a:off x="13411200" y="1280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152400</xdr:colOff>
      <xdr:row>7</xdr:row>
      <xdr:rowOff>106680</xdr:rowOff>
    </xdr:to>
    <xdr:sp macro="" textlink="">
      <xdr:nvSpPr>
        <xdr:cNvPr id="3304" name="AutoShape 13" descr="FRANCE2"/>
        <xdr:cNvSpPr>
          <a:spLocks noChangeAspect="1" noChangeArrowheads="1"/>
        </xdr:cNvSpPr>
      </xdr:nvSpPr>
      <xdr:spPr bwMode="auto">
        <a:xfrm>
          <a:off x="0" y="1455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</xdr:row>
      <xdr:rowOff>0</xdr:rowOff>
    </xdr:from>
    <xdr:to>
      <xdr:col>22</xdr:col>
      <xdr:colOff>304800</xdr:colOff>
      <xdr:row>8</xdr:row>
      <xdr:rowOff>129540</xdr:rowOff>
    </xdr:to>
    <xdr:sp macro="" textlink="">
      <xdr:nvSpPr>
        <xdr:cNvPr id="3305" name="AutoShape 14" descr="https://www.soccerstats.com/img/own/sshplogo.png">
          <a:hlinkClick xmlns:r="http://schemas.openxmlformats.org/officeDocument/2006/relationships" r:id="rId522"/>
        </xdr:cNvPr>
        <xdr:cNvSpPr>
          <a:spLocks noChangeAspect="1" noChangeArrowheads="1"/>
        </xdr:cNvSpPr>
      </xdr:nvSpPr>
      <xdr:spPr bwMode="auto">
        <a:xfrm>
          <a:off x="13411200" y="1455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152400</xdr:colOff>
      <xdr:row>8</xdr:row>
      <xdr:rowOff>106680</xdr:rowOff>
    </xdr:to>
    <xdr:sp macro="" textlink="">
      <xdr:nvSpPr>
        <xdr:cNvPr id="3306" name="AutoShape 15" descr="FRANCE2"/>
        <xdr:cNvSpPr>
          <a:spLocks noChangeAspect="1" noChangeArrowheads="1"/>
        </xdr:cNvSpPr>
      </xdr:nvSpPr>
      <xdr:spPr bwMode="auto">
        <a:xfrm>
          <a:off x="0" y="1630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</xdr:row>
      <xdr:rowOff>0</xdr:rowOff>
    </xdr:from>
    <xdr:to>
      <xdr:col>22</xdr:col>
      <xdr:colOff>304800</xdr:colOff>
      <xdr:row>9</xdr:row>
      <xdr:rowOff>129540</xdr:rowOff>
    </xdr:to>
    <xdr:sp macro="" textlink="">
      <xdr:nvSpPr>
        <xdr:cNvPr id="3307" name="AutoShape 16" descr="https://www.soccerstats.com/img/own/sshplogo.png">
          <a:hlinkClick xmlns:r="http://schemas.openxmlformats.org/officeDocument/2006/relationships" r:id="rId523"/>
        </xdr:cNvPr>
        <xdr:cNvSpPr>
          <a:spLocks noChangeAspect="1" noChangeArrowheads="1"/>
        </xdr:cNvSpPr>
      </xdr:nvSpPr>
      <xdr:spPr bwMode="auto">
        <a:xfrm>
          <a:off x="13411200" y="1630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152400</xdr:colOff>
      <xdr:row>9</xdr:row>
      <xdr:rowOff>106680</xdr:rowOff>
    </xdr:to>
    <xdr:sp macro="" textlink="">
      <xdr:nvSpPr>
        <xdr:cNvPr id="3308" name="AutoShape 17" descr="FRANCE2"/>
        <xdr:cNvSpPr>
          <a:spLocks noChangeAspect="1" noChangeArrowheads="1"/>
        </xdr:cNvSpPr>
      </xdr:nvSpPr>
      <xdr:spPr bwMode="auto">
        <a:xfrm>
          <a:off x="0" y="1805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</xdr:row>
      <xdr:rowOff>0</xdr:rowOff>
    </xdr:from>
    <xdr:to>
      <xdr:col>22</xdr:col>
      <xdr:colOff>304800</xdr:colOff>
      <xdr:row>10</xdr:row>
      <xdr:rowOff>129540</xdr:rowOff>
    </xdr:to>
    <xdr:sp macro="" textlink="">
      <xdr:nvSpPr>
        <xdr:cNvPr id="3309" name="AutoShape 18" descr="https://www.soccerstats.com/img/own/sshplogo.png">
          <a:hlinkClick xmlns:r="http://schemas.openxmlformats.org/officeDocument/2006/relationships" r:id="rId524"/>
        </xdr:cNvPr>
        <xdr:cNvSpPr>
          <a:spLocks noChangeAspect="1" noChangeArrowheads="1"/>
        </xdr:cNvSpPr>
      </xdr:nvSpPr>
      <xdr:spPr bwMode="auto">
        <a:xfrm>
          <a:off x="13411200" y="1805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152400</xdr:colOff>
      <xdr:row>10</xdr:row>
      <xdr:rowOff>106680</xdr:rowOff>
    </xdr:to>
    <xdr:sp macro="" textlink="">
      <xdr:nvSpPr>
        <xdr:cNvPr id="3310" name="AutoShape 19" descr="FRANCE2"/>
        <xdr:cNvSpPr>
          <a:spLocks noChangeAspect="1" noChangeArrowheads="1"/>
        </xdr:cNvSpPr>
      </xdr:nvSpPr>
      <xdr:spPr bwMode="auto">
        <a:xfrm>
          <a:off x="0" y="1981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</xdr:row>
      <xdr:rowOff>0</xdr:rowOff>
    </xdr:from>
    <xdr:to>
      <xdr:col>22</xdr:col>
      <xdr:colOff>304800</xdr:colOff>
      <xdr:row>11</xdr:row>
      <xdr:rowOff>129540</xdr:rowOff>
    </xdr:to>
    <xdr:sp macro="" textlink="">
      <xdr:nvSpPr>
        <xdr:cNvPr id="3311" name="AutoShape 20" descr="https://www.soccerstats.com/img/own/sshplogo.png">
          <a:hlinkClick xmlns:r="http://schemas.openxmlformats.org/officeDocument/2006/relationships" r:id="rId525"/>
        </xdr:cNvPr>
        <xdr:cNvSpPr>
          <a:spLocks noChangeAspect="1" noChangeArrowheads="1"/>
        </xdr:cNvSpPr>
      </xdr:nvSpPr>
      <xdr:spPr bwMode="auto">
        <a:xfrm>
          <a:off x="13411200" y="1981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152400</xdr:colOff>
      <xdr:row>11</xdr:row>
      <xdr:rowOff>106680</xdr:rowOff>
    </xdr:to>
    <xdr:sp macro="" textlink="">
      <xdr:nvSpPr>
        <xdr:cNvPr id="3312" name="AutoShape 21" descr="FRANCE2"/>
        <xdr:cNvSpPr>
          <a:spLocks noChangeAspect="1" noChangeArrowheads="1"/>
        </xdr:cNvSpPr>
      </xdr:nvSpPr>
      <xdr:spPr bwMode="auto">
        <a:xfrm>
          <a:off x="0" y="2156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</xdr:row>
      <xdr:rowOff>0</xdr:rowOff>
    </xdr:from>
    <xdr:to>
      <xdr:col>22</xdr:col>
      <xdr:colOff>304800</xdr:colOff>
      <xdr:row>12</xdr:row>
      <xdr:rowOff>129540</xdr:rowOff>
    </xdr:to>
    <xdr:sp macro="" textlink="">
      <xdr:nvSpPr>
        <xdr:cNvPr id="3313" name="AutoShape 22" descr="https://www.soccerstats.com/img/own/sshplogo.png">
          <a:hlinkClick xmlns:r="http://schemas.openxmlformats.org/officeDocument/2006/relationships" r:id="rId526"/>
        </xdr:cNvPr>
        <xdr:cNvSpPr>
          <a:spLocks noChangeAspect="1" noChangeArrowheads="1"/>
        </xdr:cNvSpPr>
      </xdr:nvSpPr>
      <xdr:spPr bwMode="auto">
        <a:xfrm>
          <a:off x="13411200" y="2156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152400</xdr:colOff>
      <xdr:row>12</xdr:row>
      <xdr:rowOff>106680</xdr:rowOff>
    </xdr:to>
    <xdr:sp macro="" textlink="">
      <xdr:nvSpPr>
        <xdr:cNvPr id="3314" name="AutoShape 23" descr="FRANCE2"/>
        <xdr:cNvSpPr>
          <a:spLocks noChangeAspect="1" noChangeArrowheads="1"/>
        </xdr:cNvSpPr>
      </xdr:nvSpPr>
      <xdr:spPr bwMode="auto">
        <a:xfrm>
          <a:off x="0" y="2331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</xdr:row>
      <xdr:rowOff>0</xdr:rowOff>
    </xdr:from>
    <xdr:to>
      <xdr:col>22</xdr:col>
      <xdr:colOff>304800</xdr:colOff>
      <xdr:row>13</xdr:row>
      <xdr:rowOff>53340</xdr:rowOff>
    </xdr:to>
    <xdr:sp macro="" textlink="">
      <xdr:nvSpPr>
        <xdr:cNvPr id="3315" name="AutoShape 24" descr="https://www.soccerstats.com/img/own/sshplogo.png">
          <a:hlinkClick xmlns:r="http://schemas.openxmlformats.org/officeDocument/2006/relationships" r:id="rId527"/>
        </xdr:cNvPr>
        <xdr:cNvSpPr>
          <a:spLocks noChangeAspect="1" noChangeArrowheads="1"/>
        </xdr:cNvSpPr>
      </xdr:nvSpPr>
      <xdr:spPr bwMode="auto">
        <a:xfrm>
          <a:off x="13411200" y="2331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152400</xdr:colOff>
      <xdr:row>13</xdr:row>
      <xdr:rowOff>106680</xdr:rowOff>
    </xdr:to>
    <xdr:sp macro="" textlink="">
      <xdr:nvSpPr>
        <xdr:cNvPr id="3316" name="AutoShape 25" descr="FRANCE2"/>
        <xdr:cNvSpPr>
          <a:spLocks noChangeAspect="1" noChangeArrowheads="1"/>
        </xdr:cNvSpPr>
      </xdr:nvSpPr>
      <xdr:spPr bwMode="auto">
        <a:xfrm>
          <a:off x="0" y="2583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</xdr:row>
      <xdr:rowOff>0</xdr:rowOff>
    </xdr:from>
    <xdr:to>
      <xdr:col>22</xdr:col>
      <xdr:colOff>304800</xdr:colOff>
      <xdr:row>14</xdr:row>
      <xdr:rowOff>129540</xdr:rowOff>
    </xdr:to>
    <xdr:sp macro="" textlink="">
      <xdr:nvSpPr>
        <xdr:cNvPr id="3317" name="AutoShape 26" descr="https://www.soccerstats.com/img/own/sshplogo.png">
          <a:hlinkClick xmlns:r="http://schemas.openxmlformats.org/officeDocument/2006/relationships" r:id="rId528"/>
        </xdr:cNvPr>
        <xdr:cNvSpPr>
          <a:spLocks noChangeAspect="1" noChangeArrowheads="1"/>
        </xdr:cNvSpPr>
      </xdr:nvSpPr>
      <xdr:spPr bwMode="auto">
        <a:xfrm>
          <a:off x="13411200" y="2583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152400</xdr:colOff>
      <xdr:row>14</xdr:row>
      <xdr:rowOff>106680</xdr:rowOff>
    </xdr:to>
    <xdr:sp macro="" textlink="">
      <xdr:nvSpPr>
        <xdr:cNvPr id="3318" name="AutoShape 27" descr="GERMANY2"/>
        <xdr:cNvSpPr>
          <a:spLocks noChangeAspect="1" noChangeArrowheads="1"/>
        </xdr:cNvSpPr>
      </xdr:nvSpPr>
      <xdr:spPr bwMode="auto">
        <a:xfrm>
          <a:off x="0" y="2758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</xdr:row>
      <xdr:rowOff>0</xdr:rowOff>
    </xdr:from>
    <xdr:to>
      <xdr:col>22</xdr:col>
      <xdr:colOff>304800</xdr:colOff>
      <xdr:row>15</xdr:row>
      <xdr:rowOff>53340</xdr:rowOff>
    </xdr:to>
    <xdr:sp macro="" textlink="">
      <xdr:nvSpPr>
        <xdr:cNvPr id="3319" name="AutoShape 28" descr="https://www.soccerstats.com/img/own/sshplogo.png">
          <a:hlinkClick xmlns:r="http://schemas.openxmlformats.org/officeDocument/2006/relationships" r:id="rId529"/>
        </xdr:cNvPr>
        <xdr:cNvSpPr>
          <a:spLocks noChangeAspect="1" noChangeArrowheads="1"/>
        </xdr:cNvSpPr>
      </xdr:nvSpPr>
      <xdr:spPr bwMode="auto">
        <a:xfrm>
          <a:off x="13411200" y="2758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152400</xdr:colOff>
      <xdr:row>15</xdr:row>
      <xdr:rowOff>106680</xdr:rowOff>
    </xdr:to>
    <xdr:sp macro="" textlink="">
      <xdr:nvSpPr>
        <xdr:cNvPr id="3320" name="AutoShape 29" descr="GERMANY2"/>
        <xdr:cNvSpPr>
          <a:spLocks noChangeAspect="1" noChangeArrowheads="1"/>
        </xdr:cNvSpPr>
      </xdr:nvSpPr>
      <xdr:spPr bwMode="auto">
        <a:xfrm>
          <a:off x="0" y="3009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15</xdr:row>
      <xdr:rowOff>0</xdr:rowOff>
    </xdr:from>
    <xdr:to>
      <xdr:col>22</xdr:col>
      <xdr:colOff>304800</xdr:colOff>
      <xdr:row>16</xdr:row>
      <xdr:rowOff>129540</xdr:rowOff>
    </xdr:to>
    <xdr:sp macro="" textlink="">
      <xdr:nvSpPr>
        <xdr:cNvPr id="3321" name="AutoShape 30" descr="https://www.soccerstats.com/img/own/sshplogo.png">
          <a:hlinkClick xmlns:r="http://schemas.openxmlformats.org/officeDocument/2006/relationships" r:id="rId530"/>
        </xdr:cNvPr>
        <xdr:cNvSpPr>
          <a:spLocks noChangeAspect="1" noChangeArrowheads="1"/>
        </xdr:cNvSpPr>
      </xdr:nvSpPr>
      <xdr:spPr bwMode="auto">
        <a:xfrm>
          <a:off x="13411200" y="3009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152400</xdr:colOff>
      <xdr:row>16</xdr:row>
      <xdr:rowOff>106680</xdr:rowOff>
    </xdr:to>
    <xdr:sp macro="" textlink="">
      <xdr:nvSpPr>
        <xdr:cNvPr id="3322" name="AutoShape 31" descr="NETHERLANDS2"/>
        <xdr:cNvSpPr>
          <a:spLocks noChangeAspect="1" noChangeArrowheads="1"/>
        </xdr:cNvSpPr>
      </xdr:nvSpPr>
      <xdr:spPr bwMode="auto">
        <a:xfrm>
          <a:off x="0" y="3185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16</xdr:row>
      <xdr:rowOff>0</xdr:rowOff>
    </xdr:from>
    <xdr:to>
      <xdr:col>22</xdr:col>
      <xdr:colOff>304800</xdr:colOff>
      <xdr:row>17</xdr:row>
      <xdr:rowOff>129540</xdr:rowOff>
    </xdr:to>
    <xdr:sp macro="" textlink="">
      <xdr:nvSpPr>
        <xdr:cNvPr id="3323" name="AutoShape 32" descr="https://www.soccerstats.com/img/own/sshplogo.png">
          <a:hlinkClick xmlns:r="http://schemas.openxmlformats.org/officeDocument/2006/relationships" r:id="rId531"/>
        </xdr:cNvPr>
        <xdr:cNvSpPr>
          <a:spLocks noChangeAspect="1" noChangeArrowheads="1"/>
        </xdr:cNvSpPr>
      </xdr:nvSpPr>
      <xdr:spPr bwMode="auto">
        <a:xfrm>
          <a:off x="13411200" y="3185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152400</xdr:colOff>
      <xdr:row>17</xdr:row>
      <xdr:rowOff>106680</xdr:rowOff>
    </xdr:to>
    <xdr:sp macro="" textlink="">
      <xdr:nvSpPr>
        <xdr:cNvPr id="3324" name="AutoShape 33" descr="NETHERLANDS2"/>
        <xdr:cNvSpPr>
          <a:spLocks noChangeAspect="1" noChangeArrowheads="1"/>
        </xdr:cNvSpPr>
      </xdr:nvSpPr>
      <xdr:spPr bwMode="auto">
        <a:xfrm>
          <a:off x="0" y="3360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17</xdr:row>
      <xdr:rowOff>0</xdr:rowOff>
    </xdr:from>
    <xdr:to>
      <xdr:col>22</xdr:col>
      <xdr:colOff>304800</xdr:colOff>
      <xdr:row>18</xdr:row>
      <xdr:rowOff>53340</xdr:rowOff>
    </xdr:to>
    <xdr:sp macro="" textlink="">
      <xdr:nvSpPr>
        <xdr:cNvPr id="3325" name="AutoShape 34" descr="https://www.soccerstats.com/img/own/sshplogo.png">
          <a:hlinkClick xmlns:r="http://schemas.openxmlformats.org/officeDocument/2006/relationships" r:id="rId532"/>
        </xdr:cNvPr>
        <xdr:cNvSpPr>
          <a:spLocks noChangeAspect="1" noChangeArrowheads="1"/>
        </xdr:cNvSpPr>
      </xdr:nvSpPr>
      <xdr:spPr bwMode="auto">
        <a:xfrm>
          <a:off x="13411200" y="3360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152400</xdr:colOff>
      <xdr:row>18</xdr:row>
      <xdr:rowOff>106680</xdr:rowOff>
    </xdr:to>
    <xdr:sp macro="" textlink="">
      <xdr:nvSpPr>
        <xdr:cNvPr id="3326" name="AutoShape 35" descr="NETHERLANDS2"/>
        <xdr:cNvSpPr>
          <a:spLocks noChangeAspect="1" noChangeArrowheads="1"/>
        </xdr:cNvSpPr>
      </xdr:nvSpPr>
      <xdr:spPr bwMode="auto">
        <a:xfrm>
          <a:off x="0" y="3611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18</xdr:row>
      <xdr:rowOff>0</xdr:rowOff>
    </xdr:from>
    <xdr:to>
      <xdr:col>22</xdr:col>
      <xdr:colOff>304800</xdr:colOff>
      <xdr:row>19</xdr:row>
      <xdr:rowOff>53340</xdr:rowOff>
    </xdr:to>
    <xdr:sp macro="" textlink="">
      <xdr:nvSpPr>
        <xdr:cNvPr id="3327" name="AutoShape 36" descr="https://www.soccerstats.com/img/own/sshplogo.png">
          <a:hlinkClick xmlns:r="http://schemas.openxmlformats.org/officeDocument/2006/relationships" r:id="rId533"/>
        </xdr:cNvPr>
        <xdr:cNvSpPr>
          <a:spLocks noChangeAspect="1" noChangeArrowheads="1"/>
        </xdr:cNvSpPr>
      </xdr:nvSpPr>
      <xdr:spPr bwMode="auto">
        <a:xfrm>
          <a:off x="13411200" y="3611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152400</xdr:colOff>
      <xdr:row>19</xdr:row>
      <xdr:rowOff>106680</xdr:rowOff>
    </xdr:to>
    <xdr:sp macro="" textlink="">
      <xdr:nvSpPr>
        <xdr:cNvPr id="7225" name="AutoShape 37" descr="NETHERLANDS2"/>
        <xdr:cNvSpPr>
          <a:spLocks noChangeAspect="1" noChangeArrowheads="1"/>
        </xdr:cNvSpPr>
      </xdr:nvSpPr>
      <xdr:spPr bwMode="auto">
        <a:xfrm>
          <a:off x="0" y="3863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19</xdr:row>
      <xdr:rowOff>0</xdr:rowOff>
    </xdr:from>
    <xdr:to>
      <xdr:col>22</xdr:col>
      <xdr:colOff>304800</xdr:colOff>
      <xdr:row>20</xdr:row>
      <xdr:rowOff>129540</xdr:rowOff>
    </xdr:to>
    <xdr:sp macro="" textlink="">
      <xdr:nvSpPr>
        <xdr:cNvPr id="7226" name="AutoShape 38" descr="https://www.soccerstats.com/img/own/sshplogo.png">
          <a:hlinkClick xmlns:r="http://schemas.openxmlformats.org/officeDocument/2006/relationships" r:id="rId534"/>
        </xdr:cNvPr>
        <xdr:cNvSpPr>
          <a:spLocks noChangeAspect="1" noChangeArrowheads="1"/>
        </xdr:cNvSpPr>
      </xdr:nvSpPr>
      <xdr:spPr bwMode="auto">
        <a:xfrm>
          <a:off x="13411200" y="3863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152400</xdr:colOff>
      <xdr:row>20</xdr:row>
      <xdr:rowOff>106680</xdr:rowOff>
    </xdr:to>
    <xdr:sp macro="" textlink="">
      <xdr:nvSpPr>
        <xdr:cNvPr id="7227" name="AutoShape 39" descr="NETHERLANDS2"/>
        <xdr:cNvSpPr>
          <a:spLocks noChangeAspect="1" noChangeArrowheads="1"/>
        </xdr:cNvSpPr>
      </xdr:nvSpPr>
      <xdr:spPr bwMode="auto">
        <a:xfrm>
          <a:off x="0" y="4038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20</xdr:row>
      <xdr:rowOff>0</xdr:rowOff>
    </xdr:from>
    <xdr:to>
      <xdr:col>22</xdr:col>
      <xdr:colOff>304800</xdr:colOff>
      <xdr:row>21</xdr:row>
      <xdr:rowOff>129540</xdr:rowOff>
    </xdr:to>
    <xdr:sp macro="" textlink="">
      <xdr:nvSpPr>
        <xdr:cNvPr id="7228" name="AutoShape 40" descr="https://www.soccerstats.com/img/own/sshplogo.png">
          <a:hlinkClick xmlns:r="http://schemas.openxmlformats.org/officeDocument/2006/relationships" r:id="rId535"/>
        </xdr:cNvPr>
        <xdr:cNvSpPr>
          <a:spLocks noChangeAspect="1" noChangeArrowheads="1"/>
        </xdr:cNvSpPr>
      </xdr:nvSpPr>
      <xdr:spPr bwMode="auto">
        <a:xfrm>
          <a:off x="13411200" y="4038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152400</xdr:colOff>
      <xdr:row>21</xdr:row>
      <xdr:rowOff>106680</xdr:rowOff>
    </xdr:to>
    <xdr:sp macro="" textlink="">
      <xdr:nvSpPr>
        <xdr:cNvPr id="7229" name="AutoShape 41" descr="NETHERLANDS2"/>
        <xdr:cNvSpPr>
          <a:spLocks noChangeAspect="1" noChangeArrowheads="1"/>
        </xdr:cNvSpPr>
      </xdr:nvSpPr>
      <xdr:spPr bwMode="auto">
        <a:xfrm>
          <a:off x="0" y="4213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21</xdr:row>
      <xdr:rowOff>0</xdr:rowOff>
    </xdr:from>
    <xdr:to>
      <xdr:col>22</xdr:col>
      <xdr:colOff>304800</xdr:colOff>
      <xdr:row>22</xdr:row>
      <xdr:rowOff>53340</xdr:rowOff>
    </xdr:to>
    <xdr:sp macro="" textlink="">
      <xdr:nvSpPr>
        <xdr:cNvPr id="7230" name="AutoShape 42" descr="https://www.soccerstats.com/img/own/sshplogo.png">
          <a:hlinkClick xmlns:r="http://schemas.openxmlformats.org/officeDocument/2006/relationships" r:id="rId536"/>
        </xdr:cNvPr>
        <xdr:cNvSpPr>
          <a:spLocks noChangeAspect="1" noChangeArrowheads="1"/>
        </xdr:cNvSpPr>
      </xdr:nvSpPr>
      <xdr:spPr bwMode="auto">
        <a:xfrm>
          <a:off x="13411200" y="4213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152400</xdr:colOff>
      <xdr:row>22</xdr:row>
      <xdr:rowOff>106680</xdr:rowOff>
    </xdr:to>
    <xdr:sp macro="" textlink="">
      <xdr:nvSpPr>
        <xdr:cNvPr id="7231" name="AutoShape 43" descr="ARGENTINA2"/>
        <xdr:cNvSpPr>
          <a:spLocks noChangeAspect="1" noChangeArrowheads="1"/>
        </xdr:cNvSpPr>
      </xdr:nvSpPr>
      <xdr:spPr bwMode="auto">
        <a:xfrm>
          <a:off x="0" y="4465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22</xdr:row>
      <xdr:rowOff>0</xdr:rowOff>
    </xdr:from>
    <xdr:to>
      <xdr:col>22</xdr:col>
      <xdr:colOff>304800</xdr:colOff>
      <xdr:row>23</xdr:row>
      <xdr:rowOff>129540</xdr:rowOff>
    </xdr:to>
    <xdr:sp macro="" textlink="">
      <xdr:nvSpPr>
        <xdr:cNvPr id="7232" name="AutoShape 44" descr="https://www.soccerstats.com/img/own/sshplogo.png">
          <a:hlinkClick xmlns:r="http://schemas.openxmlformats.org/officeDocument/2006/relationships" r:id="rId537"/>
        </xdr:cNvPr>
        <xdr:cNvSpPr>
          <a:spLocks noChangeAspect="1" noChangeArrowheads="1"/>
        </xdr:cNvSpPr>
      </xdr:nvSpPr>
      <xdr:spPr bwMode="auto">
        <a:xfrm>
          <a:off x="13411200" y="4465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152400</xdr:colOff>
      <xdr:row>23</xdr:row>
      <xdr:rowOff>106680</xdr:rowOff>
    </xdr:to>
    <xdr:sp macro="" textlink="">
      <xdr:nvSpPr>
        <xdr:cNvPr id="7233" name="AutoShape 45" descr="ARGENTINA3"/>
        <xdr:cNvSpPr>
          <a:spLocks noChangeAspect="1" noChangeArrowheads="1"/>
        </xdr:cNvSpPr>
      </xdr:nvSpPr>
      <xdr:spPr bwMode="auto">
        <a:xfrm>
          <a:off x="0" y="4640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23</xdr:row>
      <xdr:rowOff>0</xdr:rowOff>
    </xdr:from>
    <xdr:to>
      <xdr:col>22</xdr:col>
      <xdr:colOff>304800</xdr:colOff>
      <xdr:row>24</xdr:row>
      <xdr:rowOff>129540</xdr:rowOff>
    </xdr:to>
    <xdr:sp macro="" textlink="">
      <xdr:nvSpPr>
        <xdr:cNvPr id="7234" name="AutoShape 46" descr="https://www.soccerstats.com/img/own/sshplogo.png">
          <a:hlinkClick xmlns:r="http://schemas.openxmlformats.org/officeDocument/2006/relationships" r:id="rId538"/>
        </xdr:cNvPr>
        <xdr:cNvSpPr>
          <a:spLocks noChangeAspect="1" noChangeArrowheads="1"/>
        </xdr:cNvSpPr>
      </xdr:nvSpPr>
      <xdr:spPr bwMode="auto">
        <a:xfrm>
          <a:off x="13411200" y="4640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7235" name="AutoShape 47" descr="ARGENTINA3"/>
        <xdr:cNvSpPr>
          <a:spLocks noChangeAspect="1" noChangeArrowheads="1"/>
        </xdr:cNvSpPr>
      </xdr:nvSpPr>
      <xdr:spPr bwMode="auto">
        <a:xfrm>
          <a:off x="0" y="4815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7236" name="AutoShape 48" descr="https://www.soccerstats.com/img/own/sshplogo.png">
          <a:hlinkClick xmlns:r="http://schemas.openxmlformats.org/officeDocument/2006/relationships" r:id="rId539"/>
        </xdr:cNvPr>
        <xdr:cNvSpPr>
          <a:spLocks noChangeAspect="1" noChangeArrowheads="1"/>
        </xdr:cNvSpPr>
      </xdr:nvSpPr>
      <xdr:spPr bwMode="auto">
        <a:xfrm>
          <a:off x="13411200" y="4815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152400</xdr:colOff>
      <xdr:row>25</xdr:row>
      <xdr:rowOff>106680</xdr:rowOff>
    </xdr:to>
    <xdr:sp macro="" textlink="">
      <xdr:nvSpPr>
        <xdr:cNvPr id="7237" name="AutoShape 49" descr="ARMENIA"/>
        <xdr:cNvSpPr>
          <a:spLocks noChangeAspect="1" noChangeArrowheads="1"/>
        </xdr:cNvSpPr>
      </xdr:nvSpPr>
      <xdr:spPr bwMode="auto">
        <a:xfrm>
          <a:off x="0" y="5067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25</xdr:row>
      <xdr:rowOff>0</xdr:rowOff>
    </xdr:from>
    <xdr:to>
      <xdr:col>22</xdr:col>
      <xdr:colOff>304800</xdr:colOff>
      <xdr:row>26</xdr:row>
      <xdr:rowOff>129540</xdr:rowOff>
    </xdr:to>
    <xdr:sp macro="" textlink="">
      <xdr:nvSpPr>
        <xdr:cNvPr id="7238" name="AutoShape 50" descr="https://www.soccerstats.com/img/own/sshplogo.png">
          <a:hlinkClick xmlns:r="http://schemas.openxmlformats.org/officeDocument/2006/relationships" r:id="rId540"/>
        </xdr:cNvPr>
        <xdr:cNvSpPr>
          <a:spLocks noChangeAspect="1" noChangeArrowheads="1"/>
        </xdr:cNvSpPr>
      </xdr:nvSpPr>
      <xdr:spPr bwMode="auto">
        <a:xfrm>
          <a:off x="13411200" y="5067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152400</xdr:colOff>
      <xdr:row>26</xdr:row>
      <xdr:rowOff>106680</xdr:rowOff>
    </xdr:to>
    <xdr:sp macro="" textlink="">
      <xdr:nvSpPr>
        <xdr:cNvPr id="7239" name="AutoShape 51" descr="AUSTRALIA3"/>
        <xdr:cNvSpPr>
          <a:spLocks noChangeAspect="1" noChangeArrowheads="1"/>
        </xdr:cNvSpPr>
      </xdr:nvSpPr>
      <xdr:spPr bwMode="auto">
        <a:xfrm>
          <a:off x="0" y="5242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26</xdr:row>
      <xdr:rowOff>0</xdr:rowOff>
    </xdr:from>
    <xdr:to>
      <xdr:col>22</xdr:col>
      <xdr:colOff>304800</xdr:colOff>
      <xdr:row>27</xdr:row>
      <xdr:rowOff>53340</xdr:rowOff>
    </xdr:to>
    <xdr:sp macro="" textlink="">
      <xdr:nvSpPr>
        <xdr:cNvPr id="7240" name="AutoShape 52" descr="https://www.soccerstats.com/img/own/sshplogo.png">
          <a:hlinkClick xmlns:r="http://schemas.openxmlformats.org/officeDocument/2006/relationships" r:id="rId541"/>
        </xdr:cNvPr>
        <xdr:cNvSpPr>
          <a:spLocks noChangeAspect="1" noChangeArrowheads="1"/>
        </xdr:cNvSpPr>
      </xdr:nvSpPr>
      <xdr:spPr bwMode="auto">
        <a:xfrm>
          <a:off x="13411200" y="5242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152400</xdr:colOff>
      <xdr:row>27</xdr:row>
      <xdr:rowOff>106680</xdr:rowOff>
    </xdr:to>
    <xdr:sp macro="" textlink="">
      <xdr:nvSpPr>
        <xdr:cNvPr id="7241" name="AutoShape 53" descr="AUSTRALIA3"/>
        <xdr:cNvSpPr>
          <a:spLocks noChangeAspect="1" noChangeArrowheads="1"/>
        </xdr:cNvSpPr>
      </xdr:nvSpPr>
      <xdr:spPr bwMode="auto">
        <a:xfrm>
          <a:off x="0" y="5494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27</xdr:row>
      <xdr:rowOff>0</xdr:rowOff>
    </xdr:from>
    <xdr:to>
      <xdr:col>22</xdr:col>
      <xdr:colOff>304800</xdr:colOff>
      <xdr:row>28</xdr:row>
      <xdr:rowOff>129540</xdr:rowOff>
    </xdr:to>
    <xdr:sp macro="" textlink="">
      <xdr:nvSpPr>
        <xdr:cNvPr id="7242" name="AutoShape 54" descr="https://www.soccerstats.com/img/own/sshplogo.png">
          <a:hlinkClick xmlns:r="http://schemas.openxmlformats.org/officeDocument/2006/relationships" r:id="rId542"/>
        </xdr:cNvPr>
        <xdr:cNvSpPr>
          <a:spLocks noChangeAspect="1" noChangeArrowheads="1"/>
        </xdr:cNvSpPr>
      </xdr:nvSpPr>
      <xdr:spPr bwMode="auto">
        <a:xfrm>
          <a:off x="13411200" y="5494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152400</xdr:colOff>
      <xdr:row>28</xdr:row>
      <xdr:rowOff>106680</xdr:rowOff>
    </xdr:to>
    <xdr:sp macro="" textlink="">
      <xdr:nvSpPr>
        <xdr:cNvPr id="7243" name="AutoShape 55" descr="AUSTRALIA3"/>
        <xdr:cNvSpPr>
          <a:spLocks noChangeAspect="1" noChangeArrowheads="1"/>
        </xdr:cNvSpPr>
      </xdr:nvSpPr>
      <xdr:spPr bwMode="auto">
        <a:xfrm>
          <a:off x="0" y="5669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28</xdr:row>
      <xdr:rowOff>0</xdr:rowOff>
    </xdr:from>
    <xdr:to>
      <xdr:col>22</xdr:col>
      <xdr:colOff>304800</xdr:colOff>
      <xdr:row>29</xdr:row>
      <xdr:rowOff>129540</xdr:rowOff>
    </xdr:to>
    <xdr:sp macro="" textlink="">
      <xdr:nvSpPr>
        <xdr:cNvPr id="7244" name="AutoShape 56" descr="https://www.soccerstats.com/img/own/sshplogo.png">
          <a:hlinkClick xmlns:r="http://schemas.openxmlformats.org/officeDocument/2006/relationships" r:id="rId543"/>
        </xdr:cNvPr>
        <xdr:cNvSpPr>
          <a:spLocks noChangeAspect="1" noChangeArrowheads="1"/>
        </xdr:cNvSpPr>
      </xdr:nvSpPr>
      <xdr:spPr bwMode="auto">
        <a:xfrm>
          <a:off x="13411200" y="5669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152400</xdr:colOff>
      <xdr:row>29</xdr:row>
      <xdr:rowOff>106680</xdr:rowOff>
    </xdr:to>
    <xdr:sp macro="" textlink="">
      <xdr:nvSpPr>
        <xdr:cNvPr id="7245" name="AutoShape 57" descr="AUSTRALIA4"/>
        <xdr:cNvSpPr>
          <a:spLocks noChangeAspect="1" noChangeArrowheads="1"/>
        </xdr:cNvSpPr>
      </xdr:nvSpPr>
      <xdr:spPr bwMode="auto">
        <a:xfrm>
          <a:off x="0" y="5844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29</xdr:row>
      <xdr:rowOff>0</xdr:rowOff>
    </xdr:from>
    <xdr:to>
      <xdr:col>22</xdr:col>
      <xdr:colOff>304800</xdr:colOff>
      <xdr:row>30</xdr:row>
      <xdr:rowOff>53340</xdr:rowOff>
    </xdr:to>
    <xdr:sp macro="" textlink="">
      <xdr:nvSpPr>
        <xdr:cNvPr id="7246" name="AutoShape 58" descr="https://www.soccerstats.com/img/own/sshplogo.png">
          <a:hlinkClick xmlns:r="http://schemas.openxmlformats.org/officeDocument/2006/relationships" r:id="rId544"/>
        </xdr:cNvPr>
        <xdr:cNvSpPr>
          <a:spLocks noChangeAspect="1" noChangeArrowheads="1"/>
        </xdr:cNvSpPr>
      </xdr:nvSpPr>
      <xdr:spPr bwMode="auto">
        <a:xfrm>
          <a:off x="13411200" y="5844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152400</xdr:colOff>
      <xdr:row>30</xdr:row>
      <xdr:rowOff>106680</xdr:rowOff>
    </xdr:to>
    <xdr:sp macro="" textlink="">
      <xdr:nvSpPr>
        <xdr:cNvPr id="7247" name="AutoShape 59" descr="AUSTRALIA4"/>
        <xdr:cNvSpPr>
          <a:spLocks noChangeAspect="1" noChangeArrowheads="1"/>
        </xdr:cNvSpPr>
      </xdr:nvSpPr>
      <xdr:spPr bwMode="auto">
        <a:xfrm>
          <a:off x="0" y="6096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30</xdr:row>
      <xdr:rowOff>0</xdr:rowOff>
    </xdr:from>
    <xdr:to>
      <xdr:col>22</xdr:col>
      <xdr:colOff>304800</xdr:colOff>
      <xdr:row>31</xdr:row>
      <xdr:rowOff>53340</xdr:rowOff>
    </xdr:to>
    <xdr:sp macro="" textlink="">
      <xdr:nvSpPr>
        <xdr:cNvPr id="7248" name="AutoShape 60" descr="https://www.soccerstats.com/img/own/sshplogo.png">
          <a:hlinkClick xmlns:r="http://schemas.openxmlformats.org/officeDocument/2006/relationships" r:id="rId545"/>
        </xdr:cNvPr>
        <xdr:cNvSpPr>
          <a:spLocks noChangeAspect="1" noChangeArrowheads="1"/>
        </xdr:cNvSpPr>
      </xdr:nvSpPr>
      <xdr:spPr bwMode="auto">
        <a:xfrm>
          <a:off x="13411200" y="609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152400</xdr:colOff>
      <xdr:row>31</xdr:row>
      <xdr:rowOff>106680</xdr:rowOff>
    </xdr:to>
    <xdr:sp macro="" textlink="">
      <xdr:nvSpPr>
        <xdr:cNvPr id="7249" name="AutoShape 61" descr="AUSTRALIA4"/>
        <xdr:cNvSpPr>
          <a:spLocks noChangeAspect="1" noChangeArrowheads="1"/>
        </xdr:cNvSpPr>
      </xdr:nvSpPr>
      <xdr:spPr bwMode="auto">
        <a:xfrm>
          <a:off x="0" y="6347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31</xdr:row>
      <xdr:rowOff>0</xdr:rowOff>
    </xdr:from>
    <xdr:to>
      <xdr:col>22</xdr:col>
      <xdr:colOff>304800</xdr:colOff>
      <xdr:row>32</xdr:row>
      <xdr:rowOff>53340</xdr:rowOff>
    </xdr:to>
    <xdr:sp macro="" textlink="">
      <xdr:nvSpPr>
        <xdr:cNvPr id="7250" name="AutoShape 62" descr="https://www.soccerstats.com/img/own/sshplogo.png">
          <a:hlinkClick xmlns:r="http://schemas.openxmlformats.org/officeDocument/2006/relationships" r:id="rId546"/>
        </xdr:cNvPr>
        <xdr:cNvSpPr>
          <a:spLocks noChangeAspect="1" noChangeArrowheads="1"/>
        </xdr:cNvSpPr>
      </xdr:nvSpPr>
      <xdr:spPr bwMode="auto">
        <a:xfrm>
          <a:off x="13411200" y="6347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152400</xdr:colOff>
      <xdr:row>32</xdr:row>
      <xdr:rowOff>106680</xdr:rowOff>
    </xdr:to>
    <xdr:sp macro="" textlink="">
      <xdr:nvSpPr>
        <xdr:cNvPr id="7251" name="AutoShape 63" descr="AUSTRALIA4"/>
        <xdr:cNvSpPr>
          <a:spLocks noChangeAspect="1" noChangeArrowheads="1"/>
        </xdr:cNvSpPr>
      </xdr:nvSpPr>
      <xdr:spPr bwMode="auto">
        <a:xfrm>
          <a:off x="0" y="6598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32</xdr:row>
      <xdr:rowOff>0</xdr:rowOff>
    </xdr:from>
    <xdr:to>
      <xdr:col>22</xdr:col>
      <xdr:colOff>304800</xdr:colOff>
      <xdr:row>33</xdr:row>
      <xdr:rowOff>129540</xdr:rowOff>
    </xdr:to>
    <xdr:sp macro="" textlink="">
      <xdr:nvSpPr>
        <xdr:cNvPr id="7252" name="AutoShape 64" descr="https://www.soccerstats.com/img/own/sshplogo.png">
          <a:hlinkClick xmlns:r="http://schemas.openxmlformats.org/officeDocument/2006/relationships" r:id="rId547"/>
        </xdr:cNvPr>
        <xdr:cNvSpPr>
          <a:spLocks noChangeAspect="1" noChangeArrowheads="1"/>
        </xdr:cNvSpPr>
      </xdr:nvSpPr>
      <xdr:spPr bwMode="auto">
        <a:xfrm>
          <a:off x="13411200" y="6598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152400</xdr:colOff>
      <xdr:row>33</xdr:row>
      <xdr:rowOff>106680</xdr:rowOff>
    </xdr:to>
    <xdr:sp macro="" textlink="">
      <xdr:nvSpPr>
        <xdr:cNvPr id="7253" name="AutoShape 65" descr="AUSTRALIA4"/>
        <xdr:cNvSpPr>
          <a:spLocks noChangeAspect="1" noChangeArrowheads="1"/>
        </xdr:cNvSpPr>
      </xdr:nvSpPr>
      <xdr:spPr bwMode="auto">
        <a:xfrm>
          <a:off x="0" y="6774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33</xdr:row>
      <xdr:rowOff>0</xdr:rowOff>
    </xdr:from>
    <xdr:to>
      <xdr:col>22</xdr:col>
      <xdr:colOff>304800</xdr:colOff>
      <xdr:row>34</xdr:row>
      <xdr:rowOff>129540</xdr:rowOff>
    </xdr:to>
    <xdr:sp macro="" textlink="">
      <xdr:nvSpPr>
        <xdr:cNvPr id="7254" name="AutoShape 66" descr="https://www.soccerstats.com/img/own/sshplogo.png">
          <a:hlinkClick xmlns:r="http://schemas.openxmlformats.org/officeDocument/2006/relationships" r:id="rId548"/>
        </xdr:cNvPr>
        <xdr:cNvSpPr>
          <a:spLocks noChangeAspect="1" noChangeArrowheads="1"/>
        </xdr:cNvSpPr>
      </xdr:nvSpPr>
      <xdr:spPr bwMode="auto">
        <a:xfrm>
          <a:off x="13411200" y="6774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152400</xdr:colOff>
      <xdr:row>34</xdr:row>
      <xdr:rowOff>106680</xdr:rowOff>
    </xdr:to>
    <xdr:sp macro="" textlink="">
      <xdr:nvSpPr>
        <xdr:cNvPr id="7255" name="AutoShape 67" descr="AUSTRALIA4"/>
        <xdr:cNvSpPr>
          <a:spLocks noChangeAspect="1" noChangeArrowheads="1"/>
        </xdr:cNvSpPr>
      </xdr:nvSpPr>
      <xdr:spPr bwMode="auto">
        <a:xfrm>
          <a:off x="0" y="6949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34</xdr:row>
      <xdr:rowOff>0</xdr:rowOff>
    </xdr:from>
    <xdr:to>
      <xdr:col>22</xdr:col>
      <xdr:colOff>304800</xdr:colOff>
      <xdr:row>35</xdr:row>
      <xdr:rowOff>53340</xdr:rowOff>
    </xdr:to>
    <xdr:sp macro="" textlink="">
      <xdr:nvSpPr>
        <xdr:cNvPr id="7256" name="AutoShape 68" descr="https://www.soccerstats.com/img/own/sshplogo.png">
          <a:hlinkClick xmlns:r="http://schemas.openxmlformats.org/officeDocument/2006/relationships" r:id="rId549"/>
        </xdr:cNvPr>
        <xdr:cNvSpPr>
          <a:spLocks noChangeAspect="1" noChangeArrowheads="1"/>
        </xdr:cNvSpPr>
      </xdr:nvSpPr>
      <xdr:spPr bwMode="auto">
        <a:xfrm>
          <a:off x="13411200" y="6949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152400</xdr:colOff>
      <xdr:row>35</xdr:row>
      <xdr:rowOff>106680</xdr:rowOff>
    </xdr:to>
    <xdr:sp macro="" textlink="">
      <xdr:nvSpPr>
        <xdr:cNvPr id="7257" name="AutoShape 69" descr="AUSTRALIA5"/>
        <xdr:cNvSpPr>
          <a:spLocks noChangeAspect="1" noChangeArrowheads="1"/>
        </xdr:cNvSpPr>
      </xdr:nvSpPr>
      <xdr:spPr bwMode="auto">
        <a:xfrm>
          <a:off x="0" y="7200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35</xdr:row>
      <xdr:rowOff>0</xdr:rowOff>
    </xdr:from>
    <xdr:to>
      <xdr:col>22</xdr:col>
      <xdr:colOff>304800</xdr:colOff>
      <xdr:row>36</xdr:row>
      <xdr:rowOff>129540</xdr:rowOff>
    </xdr:to>
    <xdr:sp macro="" textlink="">
      <xdr:nvSpPr>
        <xdr:cNvPr id="7258" name="AutoShape 70" descr="https://www.soccerstats.com/img/own/sshplogo.png">
          <a:hlinkClick xmlns:r="http://schemas.openxmlformats.org/officeDocument/2006/relationships" r:id="rId550"/>
        </xdr:cNvPr>
        <xdr:cNvSpPr>
          <a:spLocks noChangeAspect="1" noChangeArrowheads="1"/>
        </xdr:cNvSpPr>
      </xdr:nvSpPr>
      <xdr:spPr bwMode="auto">
        <a:xfrm>
          <a:off x="13411200" y="7200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152400</xdr:colOff>
      <xdr:row>36</xdr:row>
      <xdr:rowOff>106680</xdr:rowOff>
    </xdr:to>
    <xdr:sp macro="" textlink="">
      <xdr:nvSpPr>
        <xdr:cNvPr id="7259" name="AutoShape 71" descr="AUSTRALIA11"/>
        <xdr:cNvSpPr>
          <a:spLocks noChangeAspect="1" noChangeArrowheads="1"/>
        </xdr:cNvSpPr>
      </xdr:nvSpPr>
      <xdr:spPr bwMode="auto">
        <a:xfrm>
          <a:off x="0" y="7376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36</xdr:row>
      <xdr:rowOff>0</xdr:rowOff>
    </xdr:from>
    <xdr:to>
      <xdr:col>22</xdr:col>
      <xdr:colOff>304800</xdr:colOff>
      <xdr:row>37</xdr:row>
      <xdr:rowOff>53340</xdr:rowOff>
    </xdr:to>
    <xdr:sp macro="" textlink="">
      <xdr:nvSpPr>
        <xdr:cNvPr id="7260" name="AutoShape 72" descr="https://www.soccerstats.com/img/own/sshplogo.png">
          <a:hlinkClick xmlns:r="http://schemas.openxmlformats.org/officeDocument/2006/relationships" r:id="rId551"/>
        </xdr:cNvPr>
        <xdr:cNvSpPr>
          <a:spLocks noChangeAspect="1" noChangeArrowheads="1"/>
        </xdr:cNvSpPr>
      </xdr:nvSpPr>
      <xdr:spPr bwMode="auto">
        <a:xfrm>
          <a:off x="13411200" y="7376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152400</xdr:colOff>
      <xdr:row>37</xdr:row>
      <xdr:rowOff>106680</xdr:rowOff>
    </xdr:to>
    <xdr:sp macro="" textlink="">
      <xdr:nvSpPr>
        <xdr:cNvPr id="7261" name="AutoShape 73" descr="AUSTRIA"/>
        <xdr:cNvSpPr>
          <a:spLocks noChangeAspect="1" noChangeArrowheads="1"/>
        </xdr:cNvSpPr>
      </xdr:nvSpPr>
      <xdr:spPr bwMode="auto">
        <a:xfrm>
          <a:off x="0" y="7627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37</xdr:row>
      <xdr:rowOff>0</xdr:rowOff>
    </xdr:from>
    <xdr:to>
      <xdr:col>22</xdr:col>
      <xdr:colOff>304800</xdr:colOff>
      <xdr:row>38</xdr:row>
      <xdr:rowOff>129540</xdr:rowOff>
    </xdr:to>
    <xdr:sp macro="" textlink="">
      <xdr:nvSpPr>
        <xdr:cNvPr id="7262" name="AutoShape 74" descr="https://www.soccerstats.com/img/own/sshplogo.png">
          <a:hlinkClick xmlns:r="http://schemas.openxmlformats.org/officeDocument/2006/relationships" r:id="rId552"/>
        </xdr:cNvPr>
        <xdr:cNvSpPr>
          <a:spLocks noChangeAspect="1" noChangeArrowheads="1"/>
        </xdr:cNvSpPr>
      </xdr:nvSpPr>
      <xdr:spPr bwMode="auto">
        <a:xfrm>
          <a:off x="13411200" y="7627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152400</xdr:colOff>
      <xdr:row>38</xdr:row>
      <xdr:rowOff>106680</xdr:rowOff>
    </xdr:to>
    <xdr:sp macro="" textlink="">
      <xdr:nvSpPr>
        <xdr:cNvPr id="7263" name="AutoShape 75" descr="AUSTRIA2"/>
        <xdr:cNvSpPr>
          <a:spLocks noChangeAspect="1" noChangeArrowheads="1"/>
        </xdr:cNvSpPr>
      </xdr:nvSpPr>
      <xdr:spPr bwMode="auto">
        <a:xfrm>
          <a:off x="0" y="7802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38</xdr:row>
      <xdr:rowOff>0</xdr:rowOff>
    </xdr:from>
    <xdr:to>
      <xdr:col>22</xdr:col>
      <xdr:colOff>304800</xdr:colOff>
      <xdr:row>39</xdr:row>
      <xdr:rowOff>129540</xdr:rowOff>
    </xdr:to>
    <xdr:sp macro="" textlink="">
      <xdr:nvSpPr>
        <xdr:cNvPr id="7264" name="AutoShape 76" descr="https://www.soccerstats.com/img/own/sshplogo.png">
          <a:hlinkClick xmlns:r="http://schemas.openxmlformats.org/officeDocument/2006/relationships" r:id="rId553"/>
        </xdr:cNvPr>
        <xdr:cNvSpPr>
          <a:spLocks noChangeAspect="1" noChangeArrowheads="1"/>
        </xdr:cNvSpPr>
      </xdr:nvSpPr>
      <xdr:spPr bwMode="auto">
        <a:xfrm>
          <a:off x="13411200" y="7802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152400</xdr:colOff>
      <xdr:row>39</xdr:row>
      <xdr:rowOff>106680</xdr:rowOff>
    </xdr:to>
    <xdr:sp macro="" textlink="">
      <xdr:nvSpPr>
        <xdr:cNvPr id="7265" name="AutoShape 77" descr="AUSTRIA2"/>
        <xdr:cNvSpPr>
          <a:spLocks noChangeAspect="1" noChangeArrowheads="1"/>
        </xdr:cNvSpPr>
      </xdr:nvSpPr>
      <xdr:spPr bwMode="auto">
        <a:xfrm>
          <a:off x="0" y="7978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39</xdr:row>
      <xdr:rowOff>0</xdr:rowOff>
    </xdr:from>
    <xdr:to>
      <xdr:col>22</xdr:col>
      <xdr:colOff>304800</xdr:colOff>
      <xdr:row>40</xdr:row>
      <xdr:rowOff>129540</xdr:rowOff>
    </xdr:to>
    <xdr:sp macro="" textlink="">
      <xdr:nvSpPr>
        <xdr:cNvPr id="7266" name="AutoShape 78" descr="https://www.soccerstats.com/img/own/sshplogo.png">
          <a:hlinkClick xmlns:r="http://schemas.openxmlformats.org/officeDocument/2006/relationships" r:id="rId554"/>
        </xdr:cNvPr>
        <xdr:cNvSpPr>
          <a:spLocks noChangeAspect="1" noChangeArrowheads="1"/>
        </xdr:cNvSpPr>
      </xdr:nvSpPr>
      <xdr:spPr bwMode="auto">
        <a:xfrm>
          <a:off x="13411200" y="7978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152400</xdr:colOff>
      <xdr:row>40</xdr:row>
      <xdr:rowOff>106680</xdr:rowOff>
    </xdr:to>
    <xdr:sp macro="" textlink="">
      <xdr:nvSpPr>
        <xdr:cNvPr id="7267" name="AutoShape 79" descr="AZERBAIJAN"/>
        <xdr:cNvSpPr>
          <a:spLocks noChangeAspect="1" noChangeArrowheads="1"/>
        </xdr:cNvSpPr>
      </xdr:nvSpPr>
      <xdr:spPr bwMode="auto">
        <a:xfrm>
          <a:off x="0" y="8153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40</xdr:row>
      <xdr:rowOff>0</xdr:rowOff>
    </xdr:from>
    <xdr:to>
      <xdr:col>22</xdr:col>
      <xdr:colOff>304800</xdr:colOff>
      <xdr:row>41</xdr:row>
      <xdr:rowOff>129540</xdr:rowOff>
    </xdr:to>
    <xdr:sp macro="" textlink="">
      <xdr:nvSpPr>
        <xdr:cNvPr id="7268" name="AutoShape 80" descr="https://www.soccerstats.com/img/own/sshplogo.png">
          <a:hlinkClick xmlns:r="http://schemas.openxmlformats.org/officeDocument/2006/relationships" r:id="rId556"/>
        </xdr:cNvPr>
        <xdr:cNvSpPr>
          <a:spLocks noChangeAspect="1" noChangeArrowheads="1"/>
        </xdr:cNvSpPr>
      </xdr:nvSpPr>
      <xdr:spPr bwMode="auto">
        <a:xfrm>
          <a:off x="13411200" y="8153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152400</xdr:colOff>
      <xdr:row>41</xdr:row>
      <xdr:rowOff>106680</xdr:rowOff>
    </xdr:to>
    <xdr:sp macro="" textlink="">
      <xdr:nvSpPr>
        <xdr:cNvPr id="7269" name="AutoShape 81" descr="AZERBAIJAN"/>
        <xdr:cNvSpPr>
          <a:spLocks noChangeAspect="1" noChangeArrowheads="1"/>
        </xdr:cNvSpPr>
      </xdr:nvSpPr>
      <xdr:spPr bwMode="auto">
        <a:xfrm>
          <a:off x="0" y="8328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41</xdr:row>
      <xdr:rowOff>0</xdr:rowOff>
    </xdr:from>
    <xdr:to>
      <xdr:col>22</xdr:col>
      <xdr:colOff>304800</xdr:colOff>
      <xdr:row>42</xdr:row>
      <xdr:rowOff>129540</xdr:rowOff>
    </xdr:to>
    <xdr:sp macro="" textlink="">
      <xdr:nvSpPr>
        <xdr:cNvPr id="7270" name="AutoShape 82" descr="https://www.soccerstats.com/img/own/sshplogo.png">
          <a:hlinkClick xmlns:r="http://schemas.openxmlformats.org/officeDocument/2006/relationships" r:id="rId559"/>
        </xdr:cNvPr>
        <xdr:cNvSpPr>
          <a:spLocks noChangeAspect="1" noChangeArrowheads="1"/>
        </xdr:cNvSpPr>
      </xdr:nvSpPr>
      <xdr:spPr bwMode="auto">
        <a:xfrm>
          <a:off x="13411200" y="8328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152400</xdr:colOff>
      <xdr:row>42</xdr:row>
      <xdr:rowOff>106680</xdr:rowOff>
    </xdr:to>
    <xdr:sp macro="" textlink="">
      <xdr:nvSpPr>
        <xdr:cNvPr id="7271" name="AutoShape 83" descr="BELARUS"/>
        <xdr:cNvSpPr>
          <a:spLocks noChangeAspect="1" noChangeArrowheads="1"/>
        </xdr:cNvSpPr>
      </xdr:nvSpPr>
      <xdr:spPr bwMode="auto">
        <a:xfrm>
          <a:off x="0" y="8503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42</xdr:row>
      <xdr:rowOff>0</xdr:rowOff>
    </xdr:from>
    <xdr:to>
      <xdr:col>22</xdr:col>
      <xdr:colOff>304800</xdr:colOff>
      <xdr:row>43</xdr:row>
      <xdr:rowOff>129540</xdr:rowOff>
    </xdr:to>
    <xdr:sp macro="" textlink="">
      <xdr:nvSpPr>
        <xdr:cNvPr id="7272" name="AutoShape 84" descr="https://www.soccerstats.com/img/own/sshplogo.png">
          <a:hlinkClick xmlns:r="http://schemas.openxmlformats.org/officeDocument/2006/relationships" r:id="rId561"/>
        </xdr:cNvPr>
        <xdr:cNvSpPr>
          <a:spLocks noChangeAspect="1" noChangeArrowheads="1"/>
        </xdr:cNvSpPr>
      </xdr:nvSpPr>
      <xdr:spPr bwMode="auto">
        <a:xfrm>
          <a:off x="13411200" y="8503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152400</xdr:colOff>
      <xdr:row>43</xdr:row>
      <xdr:rowOff>106680</xdr:rowOff>
    </xdr:to>
    <xdr:sp macro="" textlink="">
      <xdr:nvSpPr>
        <xdr:cNvPr id="7273" name="AutoShape 85" descr="BELARUS"/>
        <xdr:cNvSpPr>
          <a:spLocks noChangeAspect="1" noChangeArrowheads="1"/>
        </xdr:cNvSpPr>
      </xdr:nvSpPr>
      <xdr:spPr bwMode="auto">
        <a:xfrm>
          <a:off x="0" y="8679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43</xdr:row>
      <xdr:rowOff>0</xdr:rowOff>
    </xdr:from>
    <xdr:to>
      <xdr:col>22</xdr:col>
      <xdr:colOff>304800</xdr:colOff>
      <xdr:row>44</xdr:row>
      <xdr:rowOff>53340</xdr:rowOff>
    </xdr:to>
    <xdr:sp macro="" textlink="">
      <xdr:nvSpPr>
        <xdr:cNvPr id="7274" name="AutoShape 86" descr="https://www.soccerstats.com/img/own/sshplogo.png">
          <a:hlinkClick xmlns:r="http://schemas.openxmlformats.org/officeDocument/2006/relationships" r:id="rId562"/>
        </xdr:cNvPr>
        <xdr:cNvSpPr>
          <a:spLocks noChangeAspect="1" noChangeArrowheads="1"/>
        </xdr:cNvSpPr>
      </xdr:nvSpPr>
      <xdr:spPr bwMode="auto">
        <a:xfrm>
          <a:off x="13411200" y="8679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152400</xdr:colOff>
      <xdr:row>44</xdr:row>
      <xdr:rowOff>106680</xdr:rowOff>
    </xdr:to>
    <xdr:sp macro="" textlink="">
      <xdr:nvSpPr>
        <xdr:cNvPr id="7275" name="AutoShape 87" descr="BELGIUM"/>
        <xdr:cNvSpPr>
          <a:spLocks noChangeAspect="1" noChangeArrowheads="1"/>
        </xdr:cNvSpPr>
      </xdr:nvSpPr>
      <xdr:spPr bwMode="auto">
        <a:xfrm>
          <a:off x="0" y="8930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44</xdr:row>
      <xdr:rowOff>0</xdr:rowOff>
    </xdr:from>
    <xdr:to>
      <xdr:col>22</xdr:col>
      <xdr:colOff>304800</xdr:colOff>
      <xdr:row>45</xdr:row>
      <xdr:rowOff>53340</xdr:rowOff>
    </xdr:to>
    <xdr:sp macro="" textlink="">
      <xdr:nvSpPr>
        <xdr:cNvPr id="7276" name="AutoShape 88" descr="https://www.soccerstats.com/img/own/sshplogo.png">
          <a:hlinkClick xmlns:r="http://schemas.openxmlformats.org/officeDocument/2006/relationships" r:id="rId563"/>
        </xdr:cNvPr>
        <xdr:cNvSpPr>
          <a:spLocks noChangeAspect="1" noChangeArrowheads="1"/>
        </xdr:cNvSpPr>
      </xdr:nvSpPr>
      <xdr:spPr bwMode="auto">
        <a:xfrm>
          <a:off x="13411200" y="8930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152400</xdr:colOff>
      <xdr:row>45</xdr:row>
      <xdr:rowOff>106680</xdr:rowOff>
    </xdr:to>
    <xdr:sp macro="" textlink="">
      <xdr:nvSpPr>
        <xdr:cNvPr id="7277" name="AutoShape 89" descr="BELGIUM2"/>
        <xdr:cNvSpPr>
          <a:spLocks noChangeAspect="1" noChangeArrowheads="1"/>
        </xdr:cNvSpPr>
      </xdr:nvSpPr>
      <xdr:spPr bwMode="auto">
        <a:xfrm>
          <a:off x="0" y="9182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45</xdr:row>
      <xdr:rowOff>0</xdr:rowOff>
    </xdr:from>
    <xdr:to>
      <xdr:col>22</xdr:col>
      <xdr:colOff>304800</xdr:colOff>
      <xdr:row>46</xdr:row>
      <xdr:rowOff>129540</xdr:rowOff>
    </xdr:to>
    <xdr:sp macro="" textlink="">
      <xdr:nvSpPr>
        <xdr:cNvPr id="7278" name="AutoShape 90" descr="https://www.soccerstats.com/img/own/sshplogo.png">
          <a:hlinkClick xmlns:r="http://schemas.openxmlformats.org/officeDocument/2006/relationships" r:id="rId564"/>
        </xdr:cNvPr>
        <xdr:cNvSpPr>
          <a:spLocks noChangeAspect="1" noChangeArrowheads="1"/>
        </xdr:cNvSpPr>
      </xdr:nvSpPr>
      <xdr:spPr bwMode="auto">
        <a:xfrm>
          <a:off x="13411200" y="9182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152400</xdr:colOff>
      <xdr:row>46</xdr:row>
      <xdr:rowOff>106680</xdr:rowOff>
    </xdr:to>
    <xdr:sp macro="" textlink="">
      <xdr:nvSpPr>
        <xdr:cNvPr id="7279" name="AutoShape 91" descr="BELGIUM2"/>
        <xdr:cNvSpPr>
          <a:spLocks noChangeAspect="1" noChangeArrowheads="1"/>
        </xdr:cNvSpPr>
      </xdr:nvSpPr>
      <xdr:spPr bwMode="auto">
        <a:xfrm>
          <a:off x="0" y="9357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46</xdr:row>
      <xdr:rowOff>0</xdr:rowOff>
    </xdr:from>
    <xdr:to>
      <xdr:col>22</xdr:col>
      <xdr:colOff>304800</xdr:colOff>
      <xdr:row>47</xdr:row>
      <xdr:rowOff>53340</xdr:rowOff>
    </xdr:to>
    <xdr:sp macro="" textlink="">
      <xdr:nvSpPr>
        <xdr:cNvPr id="7280" name="AutoShape 92" descr="https://www.soccerstats.com/img/own/sshplogo.png">
          <a:hlinkClick xmlns:r="http://schemas.openxmlformats.org/officeDocument/2006/relationships" r:id="rId565"/>
        </xdr:cNvPr>
        <xdr:cNvSpPr>
          <a:spLocks noChangeAspect="1" noChangeArrowheads="1"/>
        </xdr:cNvSpPr>
      </xdr:nvSpPr>
      <xdr:spPr bwMode="auto">
        <a:xfrm>
          <a:off x="13411200" y="9357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152400</xdr:colOff>
      <xdr:row>47</xdr:row>
      <xdr:rowOff>106680</xdr:rowOff>
    </xdr:to>
    <xdr:sp macro="" textlink="">
      <xdr:nvSpPr>
        <xdr:cNvPr id="7281" name="AutoShape 93" descr="BOSNIA"/>
        <xdr:cNvSpPr>
          <a:spLocks noChangeAspect="1" noChangeArrowheads="1"/>
        </xdr:cNvSpPr>
      </xdr:nvSpPr>
      <xdr:spPr bwMode="auto">
        <a:xfrm>
          <a:off x="0" y="9608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47</xdr:row>
      <xdr:rowOff>0</xdr:rowOff>
    </xdr:from>
    <xdr:to>
      <xdr:col>22</xdr:col>
      <xdr:colOff>304800</xdr:colOff>
      <xdr:row>48</xdr:row>
      <xdr:rowOff>129540</xdr:rowOff>
    </xdr:to>
    <xdr:sp macro="" textlink="">
      <xdr:nvSpPr>
        <xdr:cNvPr id="7282" name="AutoShape 94" descr="https://www.soccerstats.com/img/own/sshplogo.png">
          <a:hlinkClick xmlns:r="http://schemas.openxmlformats.org/officeDocument/2006/relationships" r:id="rId117"/>
        </xdr:cNvPr>
        <xdr:cNvSpPr>
          <a:spLocks noChangeAspect="1" noChangeArrowheads="1"/>
        </xdr:cNvSpPr>
      </xdr:nvSpPr>
      <xdr:spPr bwMode="auto">
        <a:xfrm>
          <a:off x="13411200" y="9608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152400</xdr:colOff>
      <xdr:row>48</xdr:row>
      <xdr:rowOff>106680</xdr:rowOff>
    </xdr:to>
    <xdr:sp macro="" textlink="">
      <xdr:nvSpPr>
        <xdr:cNvPr id="7283" name="AutoShape 95" descr="BRAZIL2"/>
        <xdr:cNvSpPr>
          <a:spLocks noChangeAspect="1" noChangeArrowheads="1"/>
        </xdr:cNvSpPr>
      </xdr:nvSpPr>
      <xdr:spPr bwMode="auto">
        <a:xfrm>
          <a:off x="0" y="9784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48</xdr:row>
      <xdr:rowOff>0</xdr:rowOff>
    </xdr:from>
    <xdr:to>
      <xdr:col>22</xdr:col>
      <xdr:colOff>304800</xdr:colOff>
      <xdr:row>49</xdr:row>
      <xdr:rowOff>129540</xdr:rowOff>
    </xdr:to>
    <xdr:sp macro="" textlink="">
      <xdr:nvSpPr>
        <xdr:cNvPr id="7284" name="AutoShape 96" descr="https://www.soccerstats.com/img/own/sshplogo.png">
          <a:hlinkClick xmlns:r="http://schemas.openxmlformats.org/officeDocument/2006/relationships" r:id="rId566"/>
        </xdr:cNvPr>
        <xdr:cNvSpPr>
          <a:spLocks noChangeAspect="1" noChangeArrowheads="1"/>
        </xdr:cNvSpPr>
      </xdr:nvSpPr>
      <xdr:spPr bwMode="auto">
        <a:xfrm>
          <a:off x="13411200" y="9784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152400</xdr:colOff>
      <xdr:row>49</xdr:row>
      <xdr:rowOff>106680</xdr:rowOff>
    </xdr:to>
    <xdr:sp macro="" textlink="">
      <xdr:nvSpPr>
        <xdr:cNvPr id="7285" name="AutoShape 97" descr="BRAZIL2"/>
        <xdr:cNvSpPr>
          <a:spLocks noChangeAspect="1" noChangeArrowheads="1"/>
        </xdr:cNvSpPr>
      </xdr:nvSpPr>
      <xdr:spPr bwMode="auto">
        <a:xfrm>
          <a:off x="0" y="9959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49</xdr:row>
      <xdr:rowOff>0</xdr:rowOff>
    </xdr:from>
    <xdr:to>
      <xdr:col>22</xdr:col>
      <xdr:colOff>304800</xdr:colOff>
      <xdr:row>50</xdr:row>
      <xdr:rowOff>129540</xdr:rowOff>
    </xdr:to>
    <xdr:sp macro="" textlink="">
      <xdr:nvSpPr>
        <xdr:cNvPr id="7286" name="AutoShape 98" descr="https://www.soccerstats.com/img/own/sshplogo.png">
          <a:hlinkClick xmlns:r="http://schemas.openxmlformats.org/officeDocument/2006/relationships" r:id="rId567"/>
        </xdr:cNvPr>
        <xdr:cNvSpPr>
          <a:spLocks noChangeAspect="1" noChangeArrowheads="1"/>
        </xdr:cNvSpPr>
      </xdr:nvSpPr>
      <xdr:spPr bwMode="auto">
        <a:xfrm>
          <a:off x="13411200" y="9959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152400</xdr:colOff>
      <xdr:row>50</xdr:row>
      <xdr:rowOff>106680</xdr:rowOff>
    </xdr:to>
    <xdr:sp macro="" textlink="">
      <xdr:nvSpPr>
        <xdr:cNvPr id="7287" name="AutoShape 99" descr="BRAZIL2"/>
        <xdr:cNvSpPr>
          <a:spLocks noChangeAspect="1" noChangeArrowheads="1"/>
        </xdr:cNvSpPr>
      </xdr:nvSpPr>
      <xdr:spPr bwMode="auto">
        <a:xfrm>
          <a:off x="0" y="10134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50</xdr:row>
      <xdr:rowOff>0</xdr:rowOff>
    </xdr:from>
    <xdr:to>
      <xdr:col>22</xdr:col>
      <xdr:colOff>304800</xdr:colOff>
      <xdr:row>51</xdr:row>
      <xdr:rowOff>129540</xdr:rowOff>
    </xdr:to>
    <xdr:sp macro="" textlink="">
      <xdr:nvSpPr>
        <xdr:cNvPr id="7288" name="AutoShape 100" descr="https://www.soccerstats.com/img/own/sshplogo.png">
          <a:hlinkClick xmlns:r="http://schemas.openxmlformats.org/officeDocument/2006/relationships" r:id="rId568"/>
        </xdr:cNvPr>
        <xdr:cNvSpPr>
          <a:spLocks noChangeAspect="1" noChangeArrowheads="1"/>
        </xdr:cNvSpPr>
      </xdr:nvSpPr>
      <xdr:spPr bwMode="auto">
        <a:xfrm>
          <a:off x="13411200" y="10134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152400</xdr:colOff>
      <xdr:row>51</xdr:row>
      <xdr:rowOff>106680</xdr:rowOff>
    </xdr:to>
    <xdr:sp macro="" textlink="">
      <xdr:nvSpPr>
        <xdr:cNvPr id="7289" name="AutoShape 101" descr="BULGARIA"/>
        <xdr:cNvSpPr>
          <a:spLocks noChangeAspect="1" noChangeArrowheads="1"/>
        </xdr:cNvSpPr>
      </xdr:nvSpPr>
      <xdr:spPr bwMode="auto">
        <a:xfrm>
          <a:off x="0" y="10309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51</xdr:row>
      <xdr:rowOff>0</xdr:rowOff>
    </xdr:from>
    <xdr:to>
      <xdr:col>22</xdr:col>
      <xdr:colOff>304800</xdr:colOff>
      <xdr:row>52</xdr:row>
      <xdr:rowOff>53340</xdr:rowOff>
    </xdr:to>
    <xdr:sp macro="" textlink="">
      <xdr:nvSpPr>
        <xdr:cNvPr id="7290" name="AutoShape 102" descr="https://www.soccerstats.com/img/own/sshplogo.png">
          <a:hlinkClick xmlns:r="http://schemas.openxmlformats.org/officeDocument/2006/relationships" r:id="rId569"/>
        </xdr:cNvPr>
        <xdr:cNvSpPr>
          <a:spLocks noChangeAspect="1" noChangeArrowheads="1"/>
        </xdr:cNvSpPr>
      </xdr:nvSpPr>
      <xdr:spPr bwMode="auto">
        <a:xfrm>
          <a:off x="13411200" y="10309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152400</xdr:colOff>
      <xdr:row>52</xdr:row>
      <xdr:rowOff>106680</xdr:rowOff>
    </xdr:to>
    <xdr:sp macro="" textlink="">
      <xdr:nvSpPr>
        <xdr:cNvPr id="7291" name="AutoShape 103" descr="BULGARIA2"/>
        <xdr:cNvSpPr>
          <a:spLocks noChangeAspect="1" noChangeArrowheads="1"/>
        </xdr:cNvSpPr>
      </xdr:nvSpPr>
      <xdr:spPr bwMode="auto">
        <a:xfrm>
          <a:off x="0" y="10561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52</xdr:row>
      <xdr:rowOff>0</xdr:rowOff>
    </xdr:from>
    <xdr:to>
      <xdr:col>22</xdr:col>
      <xdr:colOff>304800</xdr:colOff>
      <xdr:row>53</xdr:row>
      <xdr:rowOff>129540</xdr:rowOff>
    </xdr:to>
    <xdr:sp macro="" textlink="">
      <xdr:nvSpPr>
        <xdr:cNvPr id="7292" name="AutoShape 104" descr="https://www.soccerstats.com/img/own/sshplogo.png">
          <a:hlinkClick xmlns:r="http://schemas.openxmlformats.org/officeDocument/2006/relationships" r:id="rId570"/>
        </xdr:cNvPr>
        <xdr:cNvSpPr>
          <a:spLocks noChangeAspect="1" noChangeArrowheads="1"/>
        </xdr:cNvSpPr>
      </xdr:nvSpPr>
      <xdr:spPr bwMode="auto">
        <a:xfrm>
          <a:off x="13411200" y="10561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152400</xdr:colOff>
      <xdr:row>53</xdr:row>
      <xdr:rowOff>106680</xdr:rowOff>
    </xdr:to>
    <xdr:sp macro="" textlink="">
      <xdr:nvSpPr>
        <xdr:cNvPr id="7293" name="AutoShape 105" descr="CHILE"/>
        <xdr:cNvSpPr>
          <a:spLocks noChangeAspect="1" noChangeArrowheads="1"/>
        </xdr:cNvSpPr>
      </xdr:nvSpPr>
      <xdr:spPr bwMode="auto">
        <a:xfrm>
          <a:off x="0" y="10736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53</xdr:row>
      <xdr:rowOff>0</xdr:rowOff>
    </xdr:from>
    <xdr:to>
      <xdr:col>22</xdr:col>
      <xdr:colOff>304800</xdr:colOff>
      <xdr:row>54</xdr:row>
      <xdr:rowOff>53340</xdr:rowOff>
    </xdr:to>
    <xdr:sp macro="" textlink="">
      <xdr:nvSpPr>
        <xdr:cNvPr id="7294" name="AutoShape 106" descr="https://www.soccerstats.com/img/own/sshplogo.png">
          <a:hlinkClick xmlns:r="http://schemas.openxmlformats.org/officeDocument/2006/relationships" r:id="rId571"/>
        </xdr:cNvPr>
        <xdr:cNvSpPr>
          <a:spLocks noChangeAspect="1" noChangeArrowheads="1"/>
        </xdr:cNvSpPr>
      </xdr:nvSpPr>
      <xdr:spPr bwMode="auto">
        <a:xfrm>
          <a:off x="13411200" y="10736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152400</xdr:colOff>
      <xdr:row>54</xdr:row>
      <xdr:rowOff>106680</xdr:rowOff>
    </xdr:to>
    <xdr:sp macro="" textlink="">
      <xdr:nvSpPr>
        <xdr:cNvPr id="7295" name="AutoShape 107" descr="CHILE2"/>
        <xdr:cNvSpPr>
          <a:spLocks noChangeAspect="1" noChangeArrowheads="1"/>
        </xdr:cNvSpPr>
      </xdr:nvSpPr>
      <xdr:spPr bwMode="auto">
        <a:xfrm>
          <a:off x="0" y="10988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54</xdr:row>
      <xdr:rowOff>0</xdr:rowOff>
    </xdr:from>
    <xdr:to>
      <xdr:col>22</xdr:col>
      <xdr:colOff>304800</xdr:colOff>
      <xdr:row>55</xdr:row>
      <xdr:rowOff>53340</xdr:rowOff>
    </xdr:to>
    <xdr:sp macro="" textlink="">
      <xdr:nvSpPr>
        <xdr:cNvPr id="7296" name="AutoShape 108" descr="https://www.soccerstats.com/img/own/sshplogo.png">
          <a:hlinkClick xmlns:r="http://schemas.openxmlformats.org/officeDocument/2006/relationships" r:id="rId572"/>
        </xdr:cNvPr>
        <xdr:cNvSpPr>
          <a:spLocks noChangeAspect="1" noChangeArrowheads="1"/>
        </xdr:cNvSpPr>
      </xdr:nvSpPr>
      <xdr:spPr bwMode="auto">
        <a:xfrm>
          <a:off x="13411200" y="10988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152400</xdr:colOff>
      <xdr:row>55</xdr:row>
      <xdr:rowOff>106680</xdr:rowOff>
    </xdr:to>
    <xdr:sp macro="" textlink="">
      <xdr:nvSpPr>
        <xdr:cNvPr id="7297" name="AutoShape 109" descr="CHILE2"/>
        <xdr:cNvSpPr>
          <a:spLocks noChangeAspect="1" noChangeArrowheads="1"/>
        </xdr:cNvSpPr>
      </xdr:nvSpPr>
      <xdr:spPr bwMode="auto">
        <a:xfrm>
          <a:off x="0" y="11239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55</xdr:row>
      <xdr:rowOff>0</xdr:rowOff>
    </xdr:from>
    <xdr:to>
      <xdr:col>22</xdr:col>
      <xdr:colOff>304800</xdr:colOff>
      <xdr:row>56</xdr:row>
      <xdr:rowOff>129540</xdr:rowOff>
    </xdr:to>
    <xdr:sp macro="" textlink="">
      <xdr:nvSpPr>
        <xdr:cNvPr id="7298" name="AutoShape 110" descr="https://www.soccerstats.com/img/own/sshplogo.png">
          <a:hlinkClick xmlns:r="http://schemas.openxmlformats.org/officeDocument/2006/relationships" r:id="rId573"/>
        </xdr:cNvPr>
        <xdr:cNvSpPr>
          <a:spLocks noChangeAspect="1" noChangeArrowheads="1"/>
        </xdr:cNvSpPr>
      </xdr:nvSpPr>
      <xdr:spPr bwMode="auto">
        <a:xfrm>
          <a:off x="13411200" y="1123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152400</xdr:colOff>
      <xdr:row>56</xdr:row>
      <xdr:rowOff>106680</xdr:rowOff>
    </xdr:to>
    <xdr:sp macro="" textlink="">
      <xdr:nvSpPr>
        <xdr:cNvPr id="7299" name="AutoShape 111" descr="CHINA"/>
        <xdr:cNvSpPr>
          <a:spLocks noChangeAspect="1" noChangeArrowheads="1"/>
        </xdr:cNvSpPr>
      </xdr:nvSpPr>
      <xdr:spPr bwMode="auto">
        <a:xfrm>
          <a:off x="0" y="11414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56</xdr:row>
      <xdr:rowOff>0</xdr:rowOff>
    </xdr:from>
    <xdr:to>
      <xdr:col>22</xdr:col>
      <xdr:colOff>304800</xdr:colOff>
      <xdr:row>57</xdr:row>
      <xdr:rowOff>53340</xdr:rowOff>
    </xdr:to>
    <xdr:sp macro="" textlink="">
      <xdr:nvSpPr>
        <xdr:cNvPr id="7300" name="AutoShape 112" descr="https://www.soccerstats.com/img/own/sshplogo.png">
          <a:hlinkClick xmlns:r="http://schemas.openxmlformats.org/officeDocument/2006/relationships" r:id="rId574"/>
        </xdr:cNvPr>
        <xdr:cNvSpPr>
          <a:spLocks noChangeAspect="1" noChangeArrowheads="1"/>
        </xdr:cNvSpPr>
      </xdr:nvSpPr>
      <xdr:spPr bwMode="auto">
        <a:xfrm>
          <a:off x="13411200" y="11414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152400</xdr:colOff>
      <xdr:row>57</xdr:row>
      <xdr:rowOff>106680</xdr:rowOff>
    </xdr:to>
    <xdr:sp macro="" textlink="">
      <xdr:nvSpPr>
        <xdr:cNvPr id="7301" name="AutoShape 113" descr="CHINA"/>
        <xdr:cNvSpPr>
          <a:spLocks noChangeAspect="1" noChangeArrowheads="1"/>
        </xdr:cNvSpPr>
      </xdr:nvSpPr>
      <xdr:spPr bwMode="auto">
        <a:xfrm>
          <a:off x="0" y="11666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57</xdr:row>
      <xdr:rowOff>0</xdr:rowOff>
    </xdr:from>
    <xdr:to>
      <xdr:col>22</xdr:col>
      <xdr:colOff>304800</xdr:colOff>
      <xdr:row>58</xdr:row>
      <xdr:rowOff>53340</xdr:rowOff>
    </xdr:to>
    <xdr:sp macro="" textlink="">
      <xdr:nvSpPr>
        <xdr:cNvPr id="7302" name="AutoShape 114" descr="https://www.soccerstats.com/img/own/sshplogo.png">
          <a:hlinkClick xmlns:r="http://schemas.openxmlformats.org/officeDocument/2006/relationships" r:id="rId575"/>
        </xdr:cNvPr>
        <xdr:cNvSpPr>
          <a:spLocks noChangeAspect="1" noChangeArrowheads="1"/>
        </xdr:cNvSpPr>
      </xdr:nvSpPr>
      <xdr:spPr bwMode="auto">
        <a:xfrm>
          <a:off x="13411200" y="11666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152400</xdr:colOff>
      <xdr:row>58</xdr:row>
      <xdr:rowOff>106680</xdr:rowOff>
    </xdr:to>
    <xdr:sp macro="" textlink="">
      <xdr:nvSpPr>
        <xdr:cNvPr id="7303" name="AutoShape 115" descr="CHINA"/>
        <xdr:cNvSpPr>
          <a:spLocks noChangeAspect="1" noChangeArrowheads="1"/>
        </xdr:cNvSpPr>
      </xdr:nvSpPr>
      <xdr:spPr bwMode="auto">
        <a:xfrm>
          <a:off x="0" y="11917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58</xdr:row>
      <xdr:rowOff>0</xdr:rowOff>
    </xdr:from>
    <xdr:to>
      <xdr:col>22</xdr:col>
      <xdr:colOff>304800</xdr:colOff>
      <xdr:row>59</xdr:row>
      <xdr:rowOff>53340</xdr:rowOff>
    </xdr:to>
    <xdr:sp macro="" textlink="">
      <xdr:nvSpPr>
        <xdr:cNvPr id="7304" name="AutoShape 116" descr="https://www.soccerstats.com/img/own/sshplogo.png">
          <a:hlinkClick xmlns:r="http://schemas.openxmlformats.org/officeDocument/2006/relationships" r:id="rId576"/>
        </xdr:cNvPr>
        <xdr:cNvSpPr>
          <a:spLocks noChangeAspect="1" noChangeArrowheads="1"/>
        </xdr:cNvSpPr>
      </xdr:nvSpPr>
      <xdr:spPr bwMode="auto">
        <a:xfrm>
          <a:off x="13411200" y="11917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152400</xdr:colOff>
      <xdr:row>59</xdr:row>
      <xdr:rowOff>106680</xdr:rowOff>
    </xdr:to>
    <xdr:sp macro="" textlink="">
      <xdr:nvSpPr>
        <xdr:cNvPr id="7305" name="AutoShape 117" descr="COLOMBIA2"/>
        <xdr:cNvSpPr>
          <a:spLocks noChangeAspect="1" noChangeArrowheads="1"/>
        </xdr:cNvSpPr>
      </xdr:nvSpPr>
      <xdr:spPr bwMode="auto">
        <a:xfrm>
          <a:off x="0" y="12169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59</xdr:row>
      <xdr:rowOff>0</xdr:rowOff>
    </xdr:from>
    <xdr:to>
      <xdr:col>22</xdr:col>
      <xdr:colOff>304800</xdr:colOff>
      <xdr:row>60</xdr:row>
      <xdr:rowOff>53340</xdr:rowOff>
    </xdr:to>
    <xdr:sp macro="" textlink="">
      <xdr:nvSpPr>
        <xdr:cNvPr id="7306" name="AutoShape 118" descr="https://www.soccerstats.com/img/own/sshplogo.png">
          <a:hlinkClick xmlns:r="http://schemas.openxmlformats.org/officeDocument/2006/relationships" r:id="rId577"/>
        </xdr:cNvPr>
        <xdr:cNvSpPr>
          <a:spLocks noChangeAspect="1" noChangeArrowheads="1"/>
        </xdr:cNvSpPr>
      </xdr:nvSpPr>
      <xdr:spPr bwMode="auto">
        <a:xfrm>
          <a:off x="13411200" y="12169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60</xdr:row>
      <xdr:rowOff>0</xdr:rowOff>
    </xdr:from>
    <xdr:to>
      <xdr:col>22</xdr:col>
      <xdr:colOff>304800</xdr:colOff>
      <xdr:row>60</xdr:row>
      <xdr:rowOff>304800</xdr:rowOff>
    </xdr:to>
    <xdr:sp macro="" textlink="">
      <xdr:nvSpPr>
        <xdr:cNvPr id="7307" name="AutoShape 119" descr="https://www.soccerstats.com/img/own/sshplogo.png">
          <a:hlinkClick xmlns:r="http://schemas.openxmlformats.org/officeDocument/2006/relationships" r:id="rId578" tooltip="Cienciano vs Botafogo"/>
        </xdr:cNvPr>
        <xdr:cNvSpPr>
          <a:spLocks noChangeAspect="1" noChangeArrowheads="1"/>
        </xdr:cNvSpPr>
      </xdr:nvSpPr>
      <xdr:spPr bwMode="auto">
        <a:xfrm>
          <a:off x="13411200" y="1242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61</xdr:row>
      <xdr:rowOff>0</xdr:rowOff>
    </xdr:from>
    <xdr:to>
      <xdr:col>22</xdr:col>
      <xdr:colOff>304800</xdr:colOff>
      <xdr:row>62</xdr:row>
      <xdr:rowOff>53340</xdr:rowOff>
    </xdr:to>
    <xdr:sp macro="" textlink="">
      <xdr:nvSpPr>
        <xdr:cNvPr id="7308" name="AutoShape 120" descr="https://www.soccerstats.com/img/own/sshplogo.png">
          <a:hlinkClick xmlns:r="http://schemas.openxmlformats.org/officeDocument/2006/relationships" r:id="rId579" tooltip="Rosario Central vs Corinthians"/>
        </xdr:cNvPr>
        <xdr:cNvSpPr>
          <a:spLocks noChangeAspect="1" noChangeArrowheads="1"/>
        </xdr:cNvSpPr>
      </xdr:nvSpPr>
      <xdr:spPr bwMode="auto">
        <a:xfrm>
          <a:off x="13411200" y="1276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152400</xdr:colOff>
      <xdr:row>62</xdr:row>
      <xdr:rowOff>106680</xdr:rowOff>
    </xdr:to>
    <xdr:sp macro="" textlink="">
      <xdr:nvSpPr>
        <xdr:cNvPr id="7309" name="AutoShape 121" descr="CROATIA"/>
        <xdr:cNvSpPr>
          <a:spLocks noChangeAspect="1" noChangeArrowheads="1"/>
        </xdr:cNvSpPr>
      </xdr:nvSpPr>
      <xdr:spPr bwMode="auto">
        <a:xfrm>
          <a:off x="0" y="13014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62</xdr:row>
      <xdr:rowOff>0</xdr:rowOff>
    </xdr:from>
    <xdr:to>
      <xdr:col>22</xdr:col>
      <xdr:colOff>304800</xdr:colOff>
      <xdr:row>63</xdr:row>
      <xdr:rowOff>53340</xdr:rowOff>
    </xdr:to>
    <xdr:sp macro="" textlink="">
      <xdr:nvSpPr>
        <xdr:cNvPr id="7310" name="AutoShape 122" descr="https://www.soccerstats.com/img/own/sshplogo.png">
          <a:hlinkClick xmlns:r="http://schemas.openxmlformats.org/officeDocument/2006/relationships" r:id="rId580"/>
        </xdr:cNvPr>
        <xdr:cNvSpPr>
          <a:spLocks noChangeAspect="1" noChangeArrowheads="1"/>
        </xdr:cNvSpPr>
      </xdr:nvSpPr>
      <xdr:spPr bwMode="auto">
        <a:xfrm>
          <a:off x="13411200" y="13014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152400</xdr:colOff>
      <xdr:row>63</xdr:row>
      <xdr:rowOff>106680</xdr:rowOff>
    </xdr:to>
    <xdr:sp macro="" textlink="">
      <xdr:nvSpPr>
        <xdr:cNvPr id="7311" name="AutoShape 123" descr="CZECHREPUBLIC2"/>
        <xdr:cNvSpPr>
          <a:spLocks noChangeAspect="1" noChangeArrowheads="1"/>
        </xdr:cNvSpPr>
      </xdr:nvSpPr>
      <xdr:spPr bwMode="auto">
        <a:xfrm>
          <a:off x="0" y="13266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63</xdr:row>
      <xdr:rowOff>0</xdr:rowOff>
    </xdr:from>
    <xdr:to>
      <xdr:col>22</xdr:col>
      <xdr:colOff>304800</xdr:colOff>
      <xdr:row>64</xdr:row>
      <xdr:rowOff>53340</xdr:rowOff>
    </xdr:to>
    <xdr:sp macro="" textlink="">
      <xdr:nvSpPr>
        <xdr:cNvPr id="7312" name="AutoShape 124" descr="https://www.soccerstats.com/img/own/sshplogo.png">
          <a:hlinkClick xmlns:r="http://schemas.openxmlformats.org/officeDocument/2006/relationships" r:id="rId581"/>
        </xdr:cNvPr>
        <xdr:cNvSpPr>
          <a:spLocks noChangeAspect="1" noChangeArrowheads="1"/>
        </xdr:cNvSpPr>
      </xdr:nvSpPr>
      <xdr:spPr bwMode="auto">
        <a:xfrm>
          <a:off x="13411200" y="13266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152400</xdr:colOff>
      <xdr:row>64</xdr:row>
      <xdr:rowOff>106680</xdr:rowOff>
    </xdr:to>
    <xdr:sp macro="" textlink="">
      <xdr:nvSpPr>
        <xdr:cNvPr id="7313" name="AutoShape 125" descr="CZECHREPUBLIC2"/>
        <xdr:cNvSpPr>
          <a:spLocks noChangeAspect="1" noChangeArrowheads="1"/>
        </xdr:cNvSpPr>
      </xdr:nvSpPr>
      <xdr:spPr bwMode="auto">
        <a:xfrm>
          <a:off x="0" y="13517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64</xdr:row>
      <xdr:rowOff>0</xdr:rowOff>
    </xdr:from>
    <xdr:to>
      <xdr:col>22</xdr:col>
      <xdr:colOff>304800</xdr:colOff>
      <xdr:row>65</xdr:row>
      <xdr:rowOff>129540</xdr:rowOff>
    </xdr:to>
    <xdr:sp macro="" textlink="">
      <xdr:nvSpPr>
        <xdr:cNvPr id="7314" name="AutoShape 126" descr="https://www.soccerstats.com/img/own/sshplogo.png">
          <a:hlinkClick xmlns:r="http://schemas.openxmlformats.org/officeDocument/2006/relationships" r:id="rId582"/>
        </xdr:cNvPr>
        <xdr:cNvSpPr>
          <a:spLocks noChangeAspect="1" noChangeArrowheads="1"/>
        </xdr:cNvSpPr>
      </xdr:nvSpPr>
      <xdr:spPr bwMode="auto">
        <a:xfrm>
          <a:off x="13411200" y="13517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152400</xdr:colOff>
      <xdr:row>65</xdr:row>
      <xdr:rowOff>106680</xdr:rowOff>
    </xdr:to>
    <xdr:sp macro="" textlink="">
      <xdr:nvSpPr>
        <xdr:cNvPr id="7315" name="AutoShape 127" descr="DENMARK"/>
        <xdr:cNvSpPr>
          <a:spLocks noChangeAspect="1" noChangeArrowheads="1"/>
        </xdr:cNvSpPr>
      </xdr:nvSpPr>
      <xdr:spPr bwMode="auto">
        <a:xfrm>
          <a:off x="0" y="13693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65</xdr:row>
      <xdr:rowOff>0</xdr:rowOff>
    </xdr:from>
    <xdr:to>
      <xdr:col>22</xdr:col>
      <xdr:colOff>304800</xdr:colOff>
      <xdr:row>66</xdr:row>
      <xdr:rowOff>129540</xdr:rowOff>
    </xdr:to>
    <xdr:sp macro="" textlink="">
      <xdr:nvSpPr>
        <xdr:cNvPr id="7316" name="AutoShape 128" descr="https://www.soccerstats.com/img/own/sshplogo.png">
          <a:hlinkClick xmlns:r="http://schemas.openxmlformats.org/officeDocument/2006/relationships" r:id="rId583"/>
        </xdr:cNvPr>
        <xdr:cNvSpPr>
          <a:spLocks noChangeAspect="1" noChangeArrowheads="1"/>
        </xdr:cNvSpPr>
      </xdr:nvSpPr>
      <xdr:spPr bwMode="auto">
        <a:xfrm>
          <a:off x="13411200" y="13693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152400</xdr:colOff>
      <xdr:row>66</xdr:row>
      <xdr:rowOff>106680</xdr:rowOff>
    </xdr:to>
    <xdr:sp macro="" textlink="">
      <xdr:nvSpPr>
        <xdr:cNvPr id="7317" name="AutoShape 129" descr="DENMARK2"/>
        <xdr:cNvSpPr>
          <a:spLocks noChangeAspect="1" noChangeArrowheads="1"/>
        </xdr:cNvSpPr>
      </xdr:nvSpPr>
      <xdr:spPr bwMode="auto">
        <a:xfrm>
          <a:off x="0" y="13868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66</xdr:row>
      <xdr:rowOff>0</xdr:rowOff>
    </xdr:from>
    <xdr:to>
      <xdr:col>22</xdr:col>
      <xdr:colOff>304800</xdr:colOff>
      <xdr:row>67</xdr:row>
      <xdr:rowOff>129540</xdr:rowOff>
    </xdr:to>
    <xdr:sp macro="" textlink="">
      <xdr:nvSpPr>
        <xdr:cNvPr id="7318" name="AutoShape 130" descr="https://www.soccerstats.com/img/own/sshplogo.png">
          <a:hlinkClick xmlns:r="http://schemas.openxmlformats.org/officeDocument/2006/relationships" r:id="rId584"/>
        </xdr:cNvPr>
        <xdr:cNvSpPr>
          <a:spLocks noChangeAspect="1" noChangeArrowheads="1"/>
        </xdr:cNvSpPr>
      </xdr:nvSpPr>
      <xdr:spPr bwMode="auto">
        <a:xfrm>
          <a:off x="13411200" y="13868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152400</xdr:colOff>
      <xdr:row>67</xdr:row>
      <xdr:rowOff>106680</xdr:rowOff>
    </xdr:to>
    <xdr:sp macro="" textlink="">
      <xdr:nvSpPr>
        <xdr:cNvPr id="7319" name="AutoShape 131" descr="DENMARK2"/>
        <xdr:cNvSpPr>
          <a:spLocks noChangeAspect="1" noChangeArrowheads="1"/>
        </xdr:cNvSpPr>
      </xdr:nvSpPr>
      <xdr:spPr bwMode="auto">
        <a:xfrm>
          <a:off x="0" y="14043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67</xdr:row>
      <xdr:rowOff>0</xdr:rowOff>
    </xdr:from>
    <xdr:to>
      <xdr:col>22</xdr:col>
      <xdr:colOff>304800</xdr:colOff>
      <xdr:row>68</xdr:row>
      <xdr:rowOff>129540</xdr:rowOff>
    </xdr:to>
    <xdr:sp macro="" textlink="">
      <xdr:nvSpPr>
        <xdr:cNvPr id="7320" name="AutoShape 132" descr="https://www.soccerstats.com/img/own/sshplogo.png">
          <a:hlinkClick xmlns:r="http://schemas.openxmlformats.org/officeDocument/2006/relationships" r:id="rId585"/>
        </xdr:cNvPr>
        <xdr:cNvSpPr>
          <a:spLocks noChangeAspect="1" noChangeArrowheads="1"/>
        </xdr:cNvSpPr>
      </xdr:nvSpPr>
      <xdr:spPr bwMode="auto">
        <a:xfrm>
          <a:off x="13411200" y="14043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152400</xdr:colOff>
      <xdr:row>68</xdr:row>
      <xdr:rowOff>106680</xdr:rowOff>
    </xdr:to>
    <xdr:sp macro="" textlink="">
      <xdr:nvSpPr>
        <xdr:cNvPr id="7321" name="AutoShape 133" descr="DENMARK3"/>
        <xdr:cNvSpPr>
          <a:spLocks noChangeAspect="1" noChangeArrowheads="1"/>
        </xdr:cNvSpPr>
      </xdr:nvSpPr>
      <xdr:spPr bwMode="auto">
        <a:xfrm>
          <a:off x="0" y="14218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68</xdr:row>
      <xdr:rowOff>0</xdr:rowOff>
    </xdr:from>
    <xdr:to>
      <xdr:col>22</xdr:col>
      <xdr:colOff>304800</xdr:colOff>
      <xdr:row>69</xdr:row>
      <xdr:rowOff>129540</xdr:rowOff>
    </xdr:to>
    <xdr:sp macro="" textlink="">
      <xdr:nvSpPr>
        <xdr:cNvPr id="7322" name="AutoShape 134" descr="https://www.soccerstats.com/img/own/sshplogo.png">
          <a:hlinkClick xmlns:r="http://schemas.openxmlformats.org/officeDocument/2006/relationships" r:id="rId586"/>
        </xdr:cNvPr>
        <xdr:cNvSpPr>
          <a:spLocks noChangeAspect="1" noChangeArrowheads="1"/>
        </xdr:cNvSpPr>
      </xdr:nvSpPr>
      <xdr:spPr bwMode="auto">
        <a:xfrm>
          <a:off x="13411200" y="14218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152400</xdr:colOff>
      <xdr:row>69</xdr:row>
      <xdr:rowOff>106680</xdr:rowOff>
    </xdr:to>
    <xdr:sp macro="" textlink="">
      <xdr:nvSpPr>
        <xdr:cNvPr id="7323" name="AutoShape 135" descr="DENMARK3"/>
        <xdr:cNvSpPr>
          <a:spLocks noChangeAspect="1" noChangeArrowheads="1"/>
        </xdr:cNvSpPr>
      </xdr:nvSpPr>
      <xdr:spPr bwMode="auto">
        <a:xfrm>
          <a:off x="0" y="14394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69</xdr:row>
      <xdr:rowOff>0</xdr:rowOff>
    </xdr:from>
    <xdr:to>
      <xdr:col>22</xdr:col>
      <xdr:colOff>304800</xdr:colOff>
      <xdr:row>70</xdr:row>
      <xdr:rowOff>129540</xdr:rowOff>
    </xdr:to>
    <xdr:sp macro="" textlink="">
      <xdr:nvSpPr>
        <xdr:cNvPr id="7324" name="AutoShape 136" descr="https://www.soccerstats.com/img/own/sshplogo.png">
          <a:hlinkClick xmlns:r="http://schemas.openxmlformats.org/officeDocument/2006/relationships" r:id="rId587"/>
        </xdr:cNvPr>
        <xdr:cNvSpPr>
          <a:spLocks noChangeAspect="1" noChangeArrowheads="1"/>
        </xdr:cNvSpPr>
      </xdr:nvSpPr>
      <xdr:spPr bwMode="auto">
        <a:xfrm>
          <a:off x="13411200" y="14394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152400</xdr:colOff>
      <xdr:row>70</xdr:row>
      <xdr:rowOff>106680</xdr:rowOff>
    </xdr:to>
    <xdr:sp macro="" textlink="">
      <xdr:nvSpPr>
        <xdr:cNvPr id="7325" name="AutoShape 137" descr="DENMARK3"/>
        <xdr:cNvSpPr>
          <a:spLocks noChangeAspect="1" noChangeArrowheads="1"/>
        </xdr:cNvSpPr>
      </xdr:nvSpPr>
      <xdr:spPr bwMode="auto">
        <a:xfrm>
          <a:off x="0" y="14569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70</xdr:row>
      <xdr:rowOff>0</xdr:rowOff>
    </xdr:from>
    <xdr:to>
      <xdr:col>22</xdr:col>
      <xdr:colOff>304800</xdr:colOff>
      <xdr:row>71</xdr:row>
      <xdr:rowOff>129540</xdr:rowOff>
    </xdr:to>
    <xdr:sp macro="" textlink="">
      <xdr:nvSpPr>
        <xdr:cNvPr id="7326" name="AutoShape 138" descr="https://www.soccerstats.com/img/own/sshplogo.png">
          <a:hlinkClick xmlns:r="http://schemas.openxmlformats.org/officeDocument/2006/relationships" r:id="rId588"/>
        </xdr:cNvPr>
        <xdr:cNvSpPr>
          <a:spLocks noChangeAspect="1" noChangeArrowheads="1"/>
        </xdr:cNvSpPr>
      </xdr:nvSpPr>
      <xdr:spPr bwMode="auto">
        <a:xfrm>
          <a:off x="13411200" y="14569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152400</xdr:colOff>
      <xdr:row>71</xdr:row>
      <xdr:rowOff>106680</xdr:rowOff>
    </xdr:to>
    <xdr:sp macro="" textlink="">
      <xdr:nvSpPr>
        <xdr:cNvPr id="7327" name="AutoShape 139" descr="DENMARK3"/>
        <xdr:cNvSpPr>
          <a:spLocks noChangeAspect="1" noChangeArrowheads="1"/>
        </xdr:cNvSpPr>
      </xdr:nvSpPr>
      <xdr:spPr bwMode="auto">
        <a:xfrm>
          <a:off x="0" y="14744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71</xdr:row>
      <xdr:rowOff>0</xdr:rowOff>
    </xdr:from>
    <xdr:to>
      <xdr:col>22</xdr:col>
      <xdr:colOff>304800</xdr:colOff>
      <xdr:row>72</xdr:row>
      <xdr:rowOff>53340</xdr:rowOff>
    </xdr:to>
    <xdr:sp macro="" textlink="">
      <xdr:nvSpPr>
        <xdr:cNvPr id="7328" name="AutoShape 140" descr="https://www.soccerstats.com/img/own/sshplogo.png">
          <a:hlinkClick xmlns:r="http://schemas.openxmlformats.org/officeDocument/2006/relationships" r:id="rId589"/>
        </xdr:cNvPr>
        <xdr:cNvSpPr>
          <a:spLocks noChangeAspect="1" noChangeArrowheads="1"/>
        </xdr:cNvSpPr>
      </xdr:nvSpPr>
      <xdr:spPr bwMode="auto">
        <a:xfrm>
          <a:off x="13411200" y="1474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152400</xdr:colOff>
      <xdr:row>72</xdr:row>
      <xdr:rowOff>106680</xdr:rowOff>
    </xdr:to>
    <xdr:sp macro="" textlink="">
      <xdr:nvSpPr>
        <xdr:cNvPr id="7329" name="AutoShape 141" descr="ENGLAND7"/>
        <xdr:cNvSpPr>
          <a:spLocks noChangeAspect="1" noChangeArrowheads="1"/>
        </xdr:cNvSpPr>
      </xdr:nvSpPr>
      <xdr:spPr bwMode="auto">
        <a:xfrm>
          <a:off x="0" y="14996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72</xdr:row>
      <xdr:rowOff>0</xdr:rowOff>
    </xdr:from>
    <xdr:to>
      <xdr:col>22</xdr:col>
      <xdr:colOff>304800</xdr:colOff>
      <xdr:row>73</xdr:row>
      <xdr:rowOff>53340</xdr:rowOff>
    </xdr:to>
    <xdr:sp macro="" textlink="">
      <xdr:nvSpPr>
        <xdr:cNvPr id="7330" name="AutoShape 142" descr="https://www.soccerstats.com/img/own/sshplogo.png">
          <a:hlinkClick xmlns:r="http://schemas.openxmlformats.org/officeDocument/2006/relationships" r:id="rId590"/>
        </xdr:cNvPr>
        <xdr:cNvSpPr>
          <a:spLocks noChangeAspect="1" noChangeArrowheads="1"/>
        </xdr:cNvSpPr>
      </xdr:nvSpPr>
      <xdr:spPr bwMode="auto">
        <a:xfrm>
          <a:off x="13411200" y="14996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152400</xdr:colOff>
      <xdr:row>73</xdr:row>
      <xdr:rowOff>106680</xdr:rowOff>
    </xdr:to>
    <xdr:sp macro="" textlink="">
      <xdr:nvSpPr>
        <xdr:cNvPr id="7331" name="AutoShape 143" descr="ENGLAND9"/>
        <xdr:cNvSpPr>
          <a:spLocks noChangeAspect="1" noChangeArrowheads="1"/>
        </xdr:cNvSpPr>
      </xdr:nvSpPr>
      <xdr:spPr bwMode="auto">
        <a:xfrm>
          <a:off x="0" y="15247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73</xdr:row>
      <xdr:rowOff>0</xdr:rowOff>
    </xdr:from>
    <xdr:to>
      <xdr:col>22</xdr:col>
      <xdr:colOff>304800</xdr:colOff>
      <xdr:row>74</xdr:row>
      <xdr:rowOff>129540</xdr:rowOff>
    </xdr:to>
    <xdr:sp macro="" textlink="">
      <xdr:nvSpPr>
        <xdr:cNvPr id="7332" name="AutoShape 144" descr="https://www.soccerstats.com/img/own/sshplogo.png">
          <a:hlinkClick xmlns:r="http://schemas.openxmlformats.org/officeDocument/2006/relationships" r:id="rId591"/>
        </xdr:cNvPr>
        <xdr:cNvSpPr>
          <a:spLocks noChangeAspect="1" noChangeArrowheads="1"/>
        </xdr:cNvSpPr>
      </xdr:nvSpPr>
      <xdr:spPr bwMode="auto">
        <a:xfrm>
          <a:off x="13411200" y="15247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152400</xdr:colOff>
      <xdr:row>74</xdr:row>
      <xdr:rowOff>106680</xdr:rowOff>
    </xdr:to>
    <xdr:sp macro="" textlink="">
      <xdr:nvSpPr>
        <xdr:cNvPr id="7333" name="AutoShape 145" descr="ESTONIA"/>
        <xdr:cNvSpPr>
          <a:spLocks noChangeAspect="1" noChangeArrowheads="1"/>
        </xdr:cNvSpPr>
      </xdr:nvSpPr>
      <xdr:spPr bwMode="auto">
        <a:xfrm>
          <a:off x="0" y="15422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74</xdr:row>
      <xdr:rowOff>0</xdr:rowOff>
    </xdr:from>
    <xdr:to>
      <xdr:col>22</xdr:col>
      <xdr:colOff>304800</xdr:colOff>
      <xdr:row>75</xdr:row>
      <xdr:rowOff>129540</xdr:rowOff>
    </xdr:to>
    <xdr:sp macro="" textlink="">
      <xdr:nvSpPr>
        <xdr:cNvPr id="7334" name="AutoShape 146" descr="https://www.soccerstats.com/img/own/sshplogo.png">
          <a:hlinkClick xmlns:r="http://schemas.openxmlformats.org/officeDocument/2006/relationships" r:id="rId592"/>
        </xdr:cNvPr>
        <xdr:cNvSpPr>
          <a:spLocks noChangeAspect="1" noChangeArrowheads="1"/>
        </xdr:cNvSpPr>
      </xdr:nvSpPr>
      <xdr:spPr bwMode="auto">
        <a:xfrm>
          <a:off x="13411200" y="15422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152400</xdr:colOff>
      <xdr:row>75</xdr:row>
      <xdr:rowOff>106680</xdr:rowOff>
    </xdr:to>
    <xdr:sp macro="" textlink="">
      <xdr:nvSpPr>
        <xdr:cNvPr id="7335" name="AutoShape 147" descr="FINLAND"/>
        <xdr:cNvSpPr>
          <a:spLocks noChangeAspect="1" noChangeArrowheads="1"/>
        </xdr:cNvSpPr>
      </xdr:nvSpPr>
      <xdr:spPr bwMode="auto">
        <a:xfrm>
          <a:off x="0" y="15598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75</xdr:row>
      <xdr:rowOff>0</xdr:rowOff>
    </xdr:from>
    <xdr:to>
      <xdr:col>22</xdr:col>
      <xdr:colOff>304800</xdr:colOff>
      <xdr:row>76</xdr:row>
      <xdr:rowOff>129540</xdr:rowOff>
    </xdr:to>
    <xdr:sp macro="" textlink="">
      <xdr:nvSpPr>
        <xdr:cNvPr id="7336" name="AutoShape 148" descr="https://www.soccerstats.com/img/own/sshplogo.png">
          <a:hlinkClick xmlns:r="http://schemas.openxmlformats.org/officeDocument/2006/relationships" r:id="rId593"/>
        </xdr:cNvPr>
        <xdr:cNvSpPr>
          <a:spLocks noChangeAspect="1" noChangeArrowheads="1"/>
        </xdr:cNvSpPr>
      </xdr:nvSpPr>
      <xdr:spPr bwMode="auto">
        <a:xfrm>
          <a:off x="13411200" y="15598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152400</xdr:colOff>
      <xdr:row>76</xdr:row>
      <xdr:rowOff>106680</xdr:rowOff>
    </xdr:to>
    <xdr:sp macro="" textlink="">
      <xdr:nvSpPr>
        <xdr:cNvPr id="7337" name="AutoShape 149" descr="FINLAND2"/>
        <xdr:cNvSpPr>
          <a:spLocks noChangeAspect="1" noChangeArrowheads="1"/>
        </xdr:cNvSpPr>
      </xdr:nvSpPr>
      <xdr:spPr bwMode="auto">
        <a:xfrm>
          <a:off x="0" y="15773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76</xdr:row>
      <xdr:rowOff>0</xdr:rowOff>
    </xdr:from>
    <xdr:to>
      <xdr:col>22</xdr:col>
      <xdr:colOff>304800</xdr:colOff>
      <xdr:row>77</xdr:row>
      <xdr:rowOff>129540</xdr:rowOff>
    </xdr:to>
    <xdr:sp macro="" textlink="">
      <xdr:nvSpPr>
        <xdr:cNvPr id="7338" name="AutoShape 150" descr="https://www.soccerstats.com/img/own/sshplogo.png">
          <a:hlinkClick xmlns:r="http://schemas.openxmlformats.org/officeDocument/2006/relationships" r:id="rId594"/>
        </xdr:cNvPr>
        <xdr:cNvSpPr>
          <a:spLocks noChangeAspect="1" noChangeArrowheads="1"/>
        </xdr:cNvSpPr>
      </xdr:nvSpPr>
      <xdr:spPr bwMode="auto">
        <a:xfrm>
          <a:off x="13411200" y="15773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152400</xdr:colOff>
      <xdr:row>77</xdr:row>
      <xdr:rowOff>106680</xdr:rowOff>
    </xdr:to>
    <xdr:sp macro="" textlink="">
      <xdr:nvSpPr>
        <xdr:cNvPr id="7339" name="AutoShape 151" descr="FRANCE3"/>
        <xdr:cNvSpPr>
          <a:spLocks noChangeAspect="1" noChangeArrowheads="1"/>
        </xdr:cNvSpPr>
      </xdr:nvSpPr>
      <xdr:spPr bwMode="auto">
        <a:xfrm>
          <a:off x="0" y="15948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77</xdr:row>
      <xdr:rowOff>0</xdr:rowOff>
    </xdr:from>
    <xdr:to>
      <xdr:col>22</xdr:col>
      <xdr:colOff>304800</xdr:colOff>
      <xdr:row>78</xdr:row>
      <xdr:rowOff>129540</xdr:rowOff>
    </xdr:to>
    <xdr:sp macro="" textlink="">
      <xdr:nvSpPr>
        <xdr:cNvPr id="7340" name="AutoShape 152" descr="https://www.soccerstats.com/img/own/sshplogo.png">
          <a:hlinkClick xmlns:r="http://schemas.openxmlformats.org/officeDocument/2006/relationships" r:id="rId595"/>
        </xdr:cNvPr>
        <xdr:cNvSpPr>
          <a:spLocks noChangeAspect="1" noChangeArrowheads="1"/>
        </xdr:cNvSpPr>
      </xdr:nvSpPr>
      <xdr:spPr bwMode="auto">
        <a:xfrm>
          <a:off x="13411200" y="15948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152400</xdr:colOff>
      <xdr:row>78</xdr:row>
      <xdr:rowOff>106680</xdr:rowOff>
    </xdr:to>
    <xdr:sp macro="" textlink="">
      <xdr:nvSpPr>
        <xdr:cNvPr id="7341" name="AutoShape 153" descr="FRANCE3"/>
        <xdr:cNvSpPr>
          <a:spLocks noChangeAspect="1" noChangeArrowheads="1"/>
        </xdr:cNvSpPr>
      </xdr:nvSpPr>
      <xdr:spPr bwMode="auto">
        <a:xfrm>
          <a:off x="0" y="16123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78</xdr:row>
      <xdr:rowOff>0</xdr:rowOff>
    </xdr:from>
    <xdr:to>
      <xdr:col>22</xdr:col>
      <xdr:colOff>304800</xdr:colOff>
      <xdr:row>79</xdr:row>
      <xdr:rowOff>129540</xdr:rowOff>
    </xdr:to>
    <xdr:sp macro="" textlink="">
      <xdr:nvSpPr>
        <xdr:cNvPr id="7342" name="AutoShape 154" descr="https://www.soccerstats.com/img/own/sshplogo.png">
          <a:hlinkClick xmlns:r="http://schemas.openxmlformats.org/officeDocument/2006/relationships" r:id="rId596"/>
        </xdr:cNvPr>
        <xdr:cNvSpPr>
          <a:spLocks noChangeAspect="1" noChangeArrowheads="1"/>
        </xdr:cNvSpPr>
      </xdr:nvSpPr>
      <xdr:spPr bwMode="auto">
        <a:xfrm>
          <a:off x="13411200" y="16123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152400</xdr:colOff>
      <xdr:row>79</xdr:row>
      <xdr:rowOff>106680</xdr:rowOff>
    </xdr:to>
    <xdr:sp macro="" textlink="">
      <xdr:nvSpPr>
        <xdr:cNvPr id="7343" name="AutoShape 155" descr="FRANCE3"/>
        <xdr:cNvSpPr>
          <a:spLocks noChangeAspect="1" noChangeArrowheads="1"/>
        </xdr:cNvSpPr>
      </xdr:nvSpPr>
      <xdr:spPr bwMode="auto">
        <a:xfrm>
          <a:off x="0" y="16299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79</xdr:row>
      <xdr:rowOff>0</xdr:rowOff>
    </xdr:from>
    <xdr:to>
      <xdr:col>22</xdr:col>
      <xdr:colOff>304800</xdr:colOff>
      <xdr:row>80</xdr:row>
      <xdr:rowOff>53340</xdr:rowOff>
    </xdr:to>
    <xdr:sp macro="" textlink="">
      <xdr:nvSpPr>
        <xdr:cNvPr id="7344" name="AutoShape 156" descr="https://www.soccerstats.com/img/own/sshplogo.png">
          <a:hlinkClick xmlns:r="http://schemas.openxmlformats.org/officeDocument/2006/relationships" r:id="rId597"/>
        </xdr:cNvPr>
        <xdr:cNvSpPr>
          <a:spLocks noChangeAspect="1" noChangeArrowheads="1"/>
        </xdr:cNvSpPr>
      </xdr:nvSpPr>
      <xdr:spPr bwMode="auto">
        <a:xfrm>
          <a:off x="13411200" y="16299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152400</xdr:colOff>
      <xdr:row>80</xdr:row>
      <xdr:rowOff>106680</xdr:rowOff>
    </xdr:to>
    <xdr:sp macro="" textlink="">
      <xdr:nvSpPr>
        <xdr:cNvPr id="7345" name="AutoShape 157" descr="FRANCE3"/>
        <xdr:cNvSpPr>
          <a:spLocks noChangeAspect="1" noChangeArrowheads="1"/>
        </xdr:cNvSpPr>
      </xdr:nvSpPr>
      <xdr:spPr bwMode="auto">
        <a:xfrm>
          <a:off x="0" y="16550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80</xdr:row>
      <xdr:rowOff>0</xdr:rowOff>
    </xdr:from>
    <xdr:to>
      <xdr:col>22</xdr:col>
      <xdr:colOff>304800</xdr:colOff>
      <xdr:row>81</xdr:row>
      <xdr:rowOff>129540</xdr:rowOff>
    </xdr:to>
    <xdr:sp macro="" textlink="">
      <xdr:nvSpPr>
        <xdr:cNvPr id="7346" name="AutoShape 158" descr="https://www.soccerstats.com/img/own/sshplogo.png">
          <a:hlinkClick xmlns:r="http://schemas.openxmlformats.org/officeDocument/2006/relationships" r:id="rId598"/>
        </xdr:cNvPr>
        <xdr:cNvSpPr>
          <a:spLocks noChangeAspect="1" noChangeArrowheads="1"/>
        </xdr:cNvSpPr>
      </xdr:nvSpPr>
      <xdr:spPr bwMode="auto">
        <a:xfrm>
          <a:off x="13411200" y="16550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152400</xdr:colOff>
      <xdr:row>81</xdr:row>
      <xdr:rowOff>106680</xdr:rowOff>
    </xdr:to>
    <xdr:sp macro="" textlink="">
      <xdr:nvSpPr>
        <xdr:cNvPr id="7347" name="AutoShape 159" descr="FRANCE3"/>
        <xdr:cNvSpPr>
          <a:spLocks noChangeAspect="1" noChangeArrowheads="1"/>
        </xdr:cNvSpPr>
      </xdr:nvSpPr>
      <xdr:spPr bwMode="auto">
        <a:xfrm>
          <a:off x="0" y="16725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81</xdr:row>
      <xdr:rowOff>0</xdr:rowOff>
    </xdr:from>
    <xdr:to>
      <xdr:col>22</xdr:col>
      <xdr:colOff>304800</xdr:colOff>
      <xdr:row>82</xdr:row>
      <xdr:rowOff>53340</xdr:rowOff>
    </xdr:to>
    <xdr:sp macro="" textlink="">
      <xdr:nvSpPr>
        <xdr:cNvPr id="7348" name="AutoShape 160" descr="https://www.soccerstats.com/img/own/sshplogo.png">
          <a:hlinkClick xmlns:r="http://schemas.openxmlformats.org/officeDocument/2006/relationships" r:id="rId599"/>
        </xdr:cNvPr>
        <xdr:cNvSpPr>
          <a:spLocks noChangeAspect="1" noChangeArrowheads="1"/>
        </xdr:cNvSpPr>
      </xdr:nvSpPr>
      <xdr:spPr bwMode="auto">
        <a:xfrm>
          <a:off x="13411200" y="16725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152400</xdr:colOff>
      <xdr:row>82</xdr:row>
      <xdr:rowOff>106680</xdr:rowOff>
    </xdr:to>
    <xdr:sp macro="" textlink="">
      <xdr:nvSpPr>
        <xdr:cNvPr id="7349" name="AutoShape 161" descr="FRANCE3"/>
        <xdr:cNvSpPr>
          <a:spLocks noChangeAspect="1" noChangeArrowheads="1"/>
        </xdr:cNvSpPr>
      </xdr:nvSpPr>
      <xdr:spPr bwMode="auto">
        <a:xfrm>
          <a:off x="0" y="16977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82</xdr:row>
      <xdr:rowOff>0</xdr:rowOff>
    </xdr:from>
    <xdr:to>
      <xdr:col>22</xdr:col>
      <xdr:colOff>304800</xdr:colOff>
      <xdr:row>83</xdr:row>
      <xdr:rowOff>129540</xdr:rowOff>
    </xdr:to>
    <xdr:sp macro="" textlink="">
      <xdr:nvSpPr>
        <xdr:cNvPr id="7350" name="AutoShape 162" descr="https://www.soccerstats.com/img/own/sshplogo.png">
          <a:hlinkClick xmlns:r="http://schemas.openxmlformats.org/officeDocument/2006/relationships" r:id="rId600"/>
        </xdr:cNvPr>
        <xdr:cNvSpPr>
          <a:spLocks noChangeAspect="1" noChangeArrowheads="1"/>
        </xdr:cNvSpPr>
      </xdr:nvSpPr>
      <xdr:spPr bwMode="auto">
        <a:xfrm>
          <a:off x="13411200" y="16977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152400</xdr:colOff>
      <xdr:row>83</xdr:row>
      <xdr:rowOff>106680</xdr:rowOff>
    </xdr:to>
    <xdr:sp macro="" textlink="">
      <xdr:nvSpPr>
        <xdr:cNvPr id="7351" name="AutoShape 163" descr="FRANCE3"/>
        <xdr:cNvSpPr>
          <a:spLocks noChangeAspect="1" noChangeArrowheads="1"/>
        </xdr:cNvSpPr>
      </xdr:nvSpPr>
      <xdr:spPr bwMode="auto">
        <a:xfrm>
          <a:off x="0" y="17152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83</xdr:row>
      <xdr:rowOff>0</xdr:rowOff>
    </xdr:from>
    <xdr:to>
      <xdr:col>22</xdr:col>
      <xdr:colOff>304800</xdr:colOff>
      <xdr:row>84</xdr:row>
      <xdr:rowOff>53340</xdr:rowOff>
    </xdr:to>
    <xdr:sp macro="" textlink="">
      <xdr:nvSpPr>
        <xdr:cNvPr id="7352" name="AutoShape 164" descr="https://www.soccerstats.com/img/own/sshplogo.png">
          <a:hlinkClick xmlns:r="http://schemas.openxmlformats.org/officeDocument/2006/relationships" r:id="rId601"/>
        </xdr:cNvPr>
        <xdr:cNvSpPr>
          <a:spLocks noChangeAspect="1" noChangeArrowheads="1"/>
        </xdr:cNvSpPr>
      </xdr:nvSpPr>
      <xdr:spPr bwMode="auto">
        <a:xfrm>
          <a:off x="13411200" y="17152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152400</xdr:colOff>
      <xdr:row>84</xdr:row>
      <xdr:rowOff>106680</xdr:rowOff>
    </xdr:to>
    <xdr:sp macro="" textlink="">
      <xdr:nvSpPr>
        <xdr:cNvPr id="7353" name="AutoShape 165" descr="FRANCE3"/>
        <xdr:cNvSpPr>
          <a:spLocks noChangeAspect="1" noChangeArrowheads="1"/>
        </xdr:cNvSpPr>
      </xdr:nvSpPr>
      <xdr:spPr bwMode="auto">
        <a:xfrm>
          <a:off x="0" y="17404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84</xdr:row>
      <xdr:rowOff>0</xdr:rowOff>
    </xdr:from>
    <xdr:to>
      <xdr:col>22</xdr:col>
      <xdr:colOff>304800</xdr:colOff>
      <xdr:row>85</xdr:row>
      <xdr:rowOff>129540</xdr:rowOff>
    </xdr:to>
    <xdr:sp macro="" textlink="">
      <xdr:nvSpPr>
        <xdr:cNvPr id="7354" name="AutoShape 166" descr="https://www.soccerstats.com/img/own/sshplogo.png">
          <a:hlinkClick xmlns:r="http://schemas.openxmlformats.org/officeDocument/2006/relationships" r:id="rId602"/>
        </xdr:cNvPr>
        <xdr:cNvSpPr>
          <a:spLocks noChangeAspect="1" noChangeArrowheads="1"/>
        </xdr:cNvSpPr>
      </xdr:nvSpPr>
      <xdr:spPr bwMode="auto">
        <a:xfrm>
          <a:off x="13411200" y="17404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152400</xdr:colOff>
      <xdr:row>85</xdr:row>
      <xdr:rowOff>106680</xdr:rowOff>
    </xdr:to>
    <xdr:sp macro="" textlink="">
      <xdr:nvSpPr>
        <xdr:cNvPr id="7355" name="AutoShape 167" descr="FRANCE3"/>
        <xdr:cNvSpPr>
          <a:spLocks noChangeAspect="1" noChangeArrowheads="1"/>
        </xdr:cNvSpPr>
      </xdr:nvSpPr>
      <xdr:spPr bwMode="auto">
        <a:xfrm>
          <a:off x="0" y="17579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85</xdr:row>
      <xdr:rowOff>0</xdr:rowOff>
    </xdr:from>
    <xdr:to>
      <xdr:col>22</xdr:col>
      <xdr:colOff>304800</xdr:colOff>
      <xdr:row>86</xdr:row>
      <xdr:rowOff>129540</xdr:rowOff>
    </xdr:to>
    <xdr:sp macro="" textlink="">
      <xdr:nvSpPr>
        <xdr:cNvPr id="7356" name="AutoShape 168" descr="https://www.soccerstats.com/img/own/sshplogo.png">
          <a:hlinkClick xmlns:r="http://schemas.openxmlformats.org/officeDocument/2006/relationships" r:id="rId603"/>
        </xdr:cNvPr>
        <xdr:cNvSpPr>
          <a:spLocks noChangeAspect="1" noChangeArrowheads="1"/>
        </xdr:cNvSpPr>
      </xdr:nvSpPr>
      <xdr:spPr bwMode="auto">
        <a:xfrm>
          <a:off x="13411200" y="17579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152400</xdr:colOff>
      <xdr:row>86</xdr:row>
      <xdr:rowOff>106680</xdr:rowOff>
    </xdr:to>
    <xdr:sp macro="" textlink="">
      <xdr:nvSpPr>
        <xdr:cNvPr id="7357" name="AutoShape 169" descr="GERMANY3"/>
        <xdr:cNvSpPr>
          <a:spLocks noChangeAspect="1" noChangeArrowheads="1"/>
        </xdr:cNvSpPr>
      </xdr:nvSpPr>
      <xdr:spPr bwMode="auto">
        <a:xfrm>
          <a:off x="0" y="17754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86</xdr:row>
      <xdr:rowOff>0</xdr:rowOff>
    </xdr:from>
    <xdr:to>
      <xdr:col>22</xdr:col>
      <xdr:colOff>304800</xdr:colOff>
      <xdr:row>87</xdr:row>
      <xdr:rowOff>53340</xdr:rowOff>
    </xdr:to>
    <xdr:sp macro="" textlink="">
      <xdr:nvSpPr>
        <xdr:cNvPr id="7358" name="AutoShape 170" descr="https://www.soccerstats.com/img/own/sshplogo.png">
          <a:hlinkClick xmlns:r="http://schemas.openxmlformats.org/officeDocument/2006/relationships" r:id="rId604"/>
        </xdr:cNvPr>
        <xdr:cNvSpPr>
          <a:spLocks noChangeAspect="1" noChangeArrowheads="1"/>
        </xdr:cNvSpPr>
      </xdr:nvSpPr>
      <xdr:spPr bwMode="auto">
        <a:xfrm>
          <a:off x="13411200" y="17754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152400</xdr:colOff>
      <xdr:row>87</xdr:row>
      <xdr:rowOff>106680</xdr:rowOff>
    </xdr:to>
    <xdr:sp macro="" textlink="">
      <xdr:nvSpPr>
        <xdr:cNvPr id="7359" name="AutoShape 171" descr="GERMANY5"/>
        <xdr:cNvSpPr>
          <a:spLocks noChangeAspect="1" noChangeArrowheads="1"/>
        </xdr:cNvSpPr>
      </xdr:nvSpPr>
      <xdr:spPr bwMode="auto">
        <a:xfrm>
          <a:off x="0" y="18006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87</xdr:row>
      <xdr:rowOff>0</xdr:rowOff>
    </xdr:from>
    <xdr:to>
      <xdr:col>22</xdr:col>
      <xdr:colOff>304800</xdr:colOff>
      <xdr:row>88</xdr:row>
      <xdr:rowOff>129540</xdr:rowOff>
    </xdr:to>
    <xdr:sp macro="" textlink="">
      <xdr:nvSpPr>
        <xdr:cNvPr id="7360" name="AutoShape 172" descr="https://www.soccerstats.com/img/own/sshplogo.png">
          <a:hlinkClick xmlns:r="http://schemas.openxmlformats.org/officeDocument/2006/relationships" r:id="rId605"/>
        </xdr:cNvPr>
        <xdr:cNvSpPr>
          <a:spLocks noChangeAspect="1" noChangeArrowheads="1"/>
        </xdr:cNvSpPr>
      </xdr:nvSpPr>
      <xdr:spPr bwMode="auto">
        <a:xfrm>
          <a:off x="13411200" y="18006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152400</xdr:colOff>
      <xdr:row>88</xdr:row>
      <xdr:rowOff>106680</xdr:rowOff>
    </xdr:to>
    <xdr:sp macro="" textlink="">
      <xdr:nvSpPr>
        <xdr:cNvPr id="7361" name="AutoShape 173" descr="GERMANY5"/>
        <xdr:cNvSpPr>
          <a:spLocks noChangeAspect="1" noChangeArrowheads="1"/>
        </xdr:cNvSpPr>
      </xdr:nvSpPr>
      <xdr:spPr bwMode="auto">
        <a:xfrm>
          <a:off x="0" y="18181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88</xdr:row>
      <xdr:rowOff>0</xdr:rowOff>
    </xdr:from>
    <xdr:to>
      <xdr:col>22</xdr:col>
      <xdr:colOff>304800</xdr:colOff>
      <xdr:row>89</xdr:row>
      <xdr:rowOff>53340</xdr:rowOff>
    </xdr:to>
    <xdr:sp macro="" textlink="">
      <xdr:nvSpPr>
        <xdr:cNvPr id="7362" name="AutoShape 174" descr="https://www.soccerstats.com/img/own/sshplogo.png">
          <a:hlinkClick xmlns:r="http://schemas.openxmlformats.org/officeDocument/2006/relationships" r:id="rId606"/>
        </xdr:cNvPr>
        <xdr:cNvSpPr>
          <a:spLocks noChangeAspect="1" noChangeArrowheads="1"/>
        </xdr:cNvSpPr>
      </xdr:nvSpPr>
      <xdr:spPr bwMode="auto">
        <a:xfrm>
          <a:off x="13411200" y="18181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152400</xdr:colOff>
      <xdr:row>89</xdr:row>
      <xdr:rowOff>106680</xdr:rowOff>
    </xdr:to>
    <xdr:sp macro="" textlink="">
      <xdr:nvSpPr>
        <xdr:cNvPr id="7363" name="AutoShape 175" descr="GERMANY5"/>
        <xdr:cNvSpPr>
          <a:spLocks noChangeAspect="1" noChangeArrowheads="1"/>
        </xdr:cNvSpPr>
      </xdr:nvSpPr>
      <xdr:spPr bwMode="auto">
        <a:xfrm>
          <a:off x="0" y="18432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89</xdr:row>
      <xdr:rowOff>0</xdr:rowOff>
    </xdr:from>
    <xdr:to>
      <xdr:col>22</xdr:col>
      <xdr:colOff>304800</xdr:colOff>
      <xdr:row>90</xdr:row>
      <xdr:rowOff>53340</xdr:rowOff>
    </xdr:to>
    <xdr:sp macro="" textlink="">
      <xdr:nvSpPr>
        <xdr:cNvPr id="7364" name="AutoShape 176" descr="https://www.soccerstats.com/img/own/sshplogo.png">
          <a:hlinkClick xmlns:r="http://schemas.openxmlformats.org/officeDocument/2006/relationships" r:id="rId607"/>
        </xdr:cNvPr>
        <xdr:cNvSpPr>
          <a:spLocks noChangeAspect="1" noChangeArrowheads="1"/>
        </xdr:cNvSpPr>
      </xdr:nvSpPr>
      <xdr:spPr bwMode="auto">
        <a:xfrm>
          <a:off x="13411200" y="18432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152400</xdr:colOff>
      <xdr:row>90</xdr:row>
      <xdr:rowOff>106680</xdr:rowOff>
    </xdr:to>
    <xdr:sp macro="" textlink="">
      <xdr:nvSpPr>
        <xdr:cNvPr id="7365" name="AutoShape 177" descr="GERMANY5"/>
        <xdr:cNvSpPr>
          <a:spLocks noChangeAspect="1" noChangeArrowheads="1"/>
        </xdr:cNvSpPr>
      </xdr:nvSpPr>
      <xdr:spPr bwMode="auto">
        <a:xfrm>
          <a:off x="0" y="18684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90</xdr:row>
      <xdr:rowOff>0</xdr:rowOff>
    </xdr:from>
    <xdr:to>
      <xdr:col>22</xdr:col>
      <xdr:colOff>304800</xdr:colOff>
      <xdr:row>91</xdr:row>
      <xdr:rowOff>129540</xdr:rowOff>
    </xdr:to>
    <xdr:sp macro="" textlink="">
      <xdr:nvSpPr>
        <xdr:cNvPr id="7366" name="AutoShape 178" descr="https://www.soccerstats.com/img/own/sshplogo.png">
          <a:hlinkClick xmlns:r="http://schemas.openxmlformats.org/officeDocument/2006/relationships" r:id="rId608"/>
        </xdr:cNvPr>
        <xdr:cNvSpPr>
          <a:spLocks noChangeAspect="1" noChangeArrowheads="1"/>
        </xdr:cNvSpPr>
      </xdr:nvSpPr>
      <xdr:spPr bwMode="auto">
        <a:xfrm>
          <a:off x="13411200" y="18684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152400</xdr:colOff>
      <xdr:row>91</xdr:row>
      <xdr:rowOff>106680</xdr:rowOff>
    </xdr:to>
    <xdr:sp macro="" textlink="">
      <xdr:nvSpPr>
        <xdr:cNvPr id="7367" name="AutoShape 179" descr="GERMANY6"/>
        <xdr:cNvSpPr>
          <a:spLocks noChangeAspect="1" noChangeArrowheads="1"/>
        </xdr:cNvSpPr>
      </xdr:nvSpPr>
      <xdr:spPr bwMode="auto">
        <a:xfrm>
          <a:off x="0" y="18859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91</xdr:row>
      <xdr:rowOff>0</xdr:rowOff>
    </xdr:from>
    <xdr:to>
      <xdr:col>22</xdr:col>
      <xdr:colOff>304800</xdr:colOff>
      <xdr:row>92</xdr:row>
      <xdr:rowOff>129540</xdr:rowOff>
    </xdr:to>
    <xdr:sp macro="" textlink="">
      <xdr:nvSpPr>
        <xdr:cNvPr id="7368" name="AutoShape 180" descr="https://www.soccerstats.com/img/own/sshplogo.png">
          <a:hlinkClick xmlns:r="http://schemas.openxmlformats.org/officeDocument/2006/relationships" r:id="rId609"/>
        </xdr:cNvPr>
        <xdr:cNvSpPr>
          <a:spLocks noChangeAspect="1" noChangeArrowheads="1"/>
        </xdr:cNvSpPr>
      </xdr:nvSpPr>
      <xdr:spPr bwMode="auto">
        <a:xfrm>
          <a:off x="13411200" y="1885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152400</xdr:colOff>
      <xdr:row>92</xdr:row>
      <xdr:rowOff>106680</xdr:rowOff>
    </xdr:to>
    <xdr:sp macro="" textlink="">
      <xdr:nvSpPr>
        <xdr:cNvPr id="7369" name="AutoShape 181" descr="GERMANY6"/>
        <xdr:cNvSpPr>
          <a:spLocks noChangeAspect="1" noChangeArrowheads="1"/>
        </xdr:cNvSpPr>
      </xdr:nvSpPr>
      <xdr:spPr bwMode="auto">
        <a:xfrm>
          <a:off x="0" y="19034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92</xdr:row>
      <xdr:rowOff>0</xdr:rowOff>
    </xdr:from>
    <xdr:to>
      <xdr:col>22</xdr:col>
      <xdr:colOff>304800</xdr:colOff>
      <xdr:row>93</xdr:row>
      <xdr:rowOff>129540</xdr:rowOff>
    </xdr:to>
    <xdr:sp macro="" textlink="">
      <xdr:nvSpPr>
        <xdr:cNvPr id="7370" name="AutoShape 182" descr="https://www.soccerstats.com/img/own/sshplogo.png">
          <a:hlinkClick xmlns:r="http://schemas.openxmlformats.org/officeDocument/2006/relationships" r:id="rId610"/>
        </xdr:cNvPr>
        <xdr:cNvSpPr>
          <a:spLocks noChangeAspect="1" noChangeArrowheads="1"/>
        </xdr:cNvSpPr>
      </xdr:nvSpPr>
      <xdr:spPr bwMode="auto">
        <a:xfrm>
          <a:off x="13411200" y="19034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152400</xdr:colOff>
      <xdr:row>93</xdr:row>
      <xdr:rowOff>106680</xdr:rowOff>
    </xdr:to>
    <xdr:sp macro="" textlink="">
      <xdr:nvSpPr>
        <xdr:cNvPr id="7371" name="AutoShape 183" descr="GERMANY6"/>
        <xdr:cNvSpPr>
          <a:spLocks noChangeAspect="1" noChangeArrowheads="1"/>
        </xdr:cNvSpPr>
      </xdr:nvSpPr>
      <xdr:spPr bwMode="auto">
        <a:xfrm>
          <a:off x="0" y="19210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93</xdr:row>
      <xdr:rowOff>0</xdr:rowOff>
    </xdr:from>
    <xdr:to>
      <xdr:col>22</xdr:col>
      <xdr:colOff>304800</xdr:colOff>
      <xdr:row>94</xdr:row>
      <xdr:rowOff>129540</xdr:rowOff>
    </xdr:to>
    <xdr:sp macro="" textlink="">
      <xdr:nvSpPr>
        <xdr:cNvPr id="7372" name="AutoShape 184" descr="https://www.soccerstats.com/img/own/sshplogo.png">
          <a:hlinkClick xmlns:r="http://schemas.openxmlformats.org/officeDocument/2006/relationships" r:id="rId611"/>
        </xdr:cNvPr>
        <xdr:cNvSpPr>
          <a:spLocks noChangeAspect="1" noChangeArrowheads="1"/>
        </xdr:cNvSpPr>
      </xdr:nvSpPr>
      <xdr:spPr bwMode="auto">
        <a:xfrm>
          <a:off x="13411200" y="19210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152400</xdr:colOff>
      <xdr:row>94</xdr:row>
      <xdr:rowOff>106680</xdr:rowOff>
    </xdr:to>
    <xdr:sp macro="" textlink="">
      <xdr:nvSpPr>
        <xdr:cNvPr id="7373" name="AutoShape 185" descr="GERMANY6"/>
        <xdr:cNvSpPr>
          <a:spLocks noChangeAspect="1" noChangeArrowheads="1"/>
        </xdr:cNvSpPr>
      </xdr:nvSpPr>
      <xdr:spPr bwMode="auto">
        <a:xfrm>
          <a:off x="0" y="19385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94</xdr:row>
      <xdr:rowOff>0</xdr:rowOff>
    </xdr:from>
    <xdr:to>
      <xdr:col>22</xdr:col>
      <xdr:colOff>304800</xdr:colOff>
      <xdr:row>95</xdr:row>
      <xdr:rowOff>129540</xdr:rowOff>
    </xdr:to>
    <xdr:sp macro="" textlink="">
      <xdr:nvSpPr>
        <xdr:cNvPr id="7374" name="AutoShape 186" descr="https://www.soccerstats.com/img/own/sshplogo.png">
          <a:hlinkClick xmlns:r="http://schemas.openxmlformats.org/officeDocument/2006/relationships" r:id="rId612"/>
        </xdr:cNvPr>
        <xdr:cNvSpPr>
          <a:spLocks noChangeAspect="1" noChangeArrowheads="1"/>
        </xdr:cNvSpPr>
      </xdr:nvSpPr>
      <xdr:spPr bwMode="auto">
        <a:xfrm>
          <a:off x="13411200" y="19385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152400</xdr:colOff>
      <xdr:row>95</xdr:row>
      <xdr:rowOff>106680</xdr:rowOff>
    </xdr:to>
    <xdr:sp macro="" textlink="">
      <xdr:nvSpPr>
        <xdr:cNvPr id="7375" name="AutoShape 187" descr="GERMANY7"/>
        <xdr:cNvSpPr>
          <a:spLocks noChangeAspect="1" noChangeArrowheads="1"/>
        </xdr:cNvSpPr>
      </xdr:nvSpPr>
      <xdr:spPr bwMode="auto">
        <a:xfrm>
          <a:off x="0" y="19560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95</xdr:row>
      <xdr:rowOff>0</xdr:rowOff>
    </xdr:from>
    <xdr:to>
      <xdr:col>22</xdr:col>
      <xdr:colOff>304800</xdr:colOff>
      <xdr:row>96</xdr:row>
      <xdr:rowOff>53340</xdr:rowOff>
    </xdr:to>
    <xdr:sp macro="" textlink="">
      <xdr:nvSpPr>
        <xdr:cNvPr id="7376" name="AutoShape 188" descr="https://www.soccerstats.com/img/own/sshplogo.png">
          <a:hlinkClick xmlns:r="http://schemas.openxmlformats.org/officeDocument/2006/relationships" r:id="rId613"/>
        </xdr:cNvPr>
        <xdr:cNvSpPr>
          <a:spLocks noChangeAspect="1" noChangeArrowheads="1"/>
        </xdr:cNvSpPr>
      </xdr:nvSpPr>
      <xdr:spPr bwMode="auto">
        <a:xfrm>
          <a:off x="13411200" y="19560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152400</xdr:colOff>
      <xdr:row>96</xdr:row>
      <xdr:rowOff>106680</xdr:rowOff>
    </xdr:to>
    <xdr:sp macro="" textlink="">
      <xdr:nvSpPr>
        <xdr:cNvPr id="7377" name="AutoShape 189" descr="GERMANY8"/>
        <xdr:cNvSpPr>
          <a:spLocks noChangeAspect="1" noChangeArrowheads="1"/>
        </xdr:cNvSpPr>
      </xdr:nvSpPr>
      <xdr:spPr bwMode="auto">
        <a:xfrm>
          <a:off x="0" y="19812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96</xdr:row>
      <xdr:rowOff>0</xdr:rowOff>
    </xdr:from>
    <xdr:to>
      <xdr:col>22</xdr:col>
      <xdr:colOff>304800</xdr:colOff>
      <xdr:row>97</xdr:row>
      <xdr:rowOff>129540</xdr:rowOff>
    </xdr:to>
    <xdr:sp macro="" textlink="">
      <xdr:nvSpPr>
        <xdr:cNvPr id="7378" name="AutoShape 190" descr="https://www.soccerstats.com/img/own/sshplogo.png">
          <a:hlinkClick xmlns:r="http://schemas.openxmlformats.org/officeDocument/2006/relationships" r:id="rId614"/>
        </xdr:cNvPr>
        <xdr:cNvSpPr>
          <a:spLocks noChangeAspect="1" noChangeArrowheads="1"/>
        </xdr:cNvSpPr>
      </xdr:nvSpPr>
      <xdr:spPr bwMode="auto">
        <a:xfrm>
          <a:off x="13411200" y="198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152400</xdr:colOff>
      <xdr:row>97</xdr:row>
      <xdr:rowOff>106680</xdr:rowOff>
    </xdr:to>
    <xdr:sp macro="" textlink="">
      <xdr:nvSpPr>
        <xdr:cNvPr id="7379" name="AutoShape 191" descr="GERMANY8"/>
        <xdr:cNvSpPr>
          <a:spLocks noChangeAspect="1" noChangeArrowheads="1"/>
        </xdr:cNvSpPr>
      </xdr:nvSpPr>
      <xdr:spPr bwMode="auto">
        <a:xfrm>
          <a:off x="0" y="19987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97</xdr:row>
      <xdr:rowOff>0</xdr:rowOff>
    </xdr:from>
    <xdr:to>
      <xdr:col>22</xdr:col>
      <xdr:colOff>304800</xdr:colOff>
      <xdr:row>98</xdr:row>
      <xdr:rowOff>129540</xdr:rowOff>
    </xdr:to>
    <xdr:sp macro="" textlink="">
      <xdr:nvSpPr>
        <xdr:cNvPr id="7380" name="AutoShape 192" descr="https://www.soccerstats.com/img/own/sshplogo.png">
          <a:hlinkClick xmlns:r="http://schemas.openxmlformats.org/officeDocument/2006/relationships" r:id="rId615"/>
        </xdr:cNvPr>
        <xdr:cNvSpPr>
          <a:spLocks noChangeAspect="1" noChangeArrowheads="1"/>
        </xdr:cNvSpPr>
      </xdr:nvSpPr>
      <xdr:spPr bwMode="auto">
        <a:xfrm>
          <a:off x="13411200" y="19987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152400</xdr:colOff>
      <xdr:row>98</xdr:row>
      <xdr:rowOff>106680</xdr:rowOff>
    </xdr:to>
    <xdr:sp macro="" textlink="">
      <xdr:nvSpPr>
        <xdr:cNvPr id="7381" name="AutoShape 193" descr="GERMANY8"/>
        <xdr:cNvSpPr>
          <a:spLocks noChangeAspect="1" noChangeArrowheads="1"/>
        </xdr:cNvSpPr>
      </xdr:nvSpPr>
      <xdr:spPr bwMode="auto">
        <a:xfrm>
          <a:off x="0" y="20162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98</xdr:row>
      <xdr:rowOff>0</xdr:rowOff>
    </xdr:from>
    <xdr:to>
      <xdr:col>22</xdr:col>
      <xdr:colOff>304800</xdr:colOff>
      <xdr:row>99</xdr:row>
      <xdr:rowOff>129540</xdr:rowOff>
    </xdr:to>
    <xdr:sp macro="" textlink="">
      <xdr:nvSpPr>
        <xdr:cNvPr id="7382" name="AutoShape 194" descr="https://www.soccerstats.com/img/own/sshplogo.png">
          <a:hlinkClick xmlns:r="http://schemas.openxmlformats.org/officeDocument/2006/relationships" r:id="rId616"/>
        </xdr:cNvPr>
        <xdr:cNvSpPr>
          <a:spLocks noChangeAspect="1" noChangeArrowheads="1"/>
        </xdr:cNvSpPr>
      </xdr:nvSpPr>
      <xdr:spPr bwMode="auto">
        <a:xfrm>
          <a:off x="13411200" y="20162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152400</xdr:colOff>
      <xdr:row>99</xdr:row>
      <xdr:rowOff>106680</xdr:rowOff>
    </xdr:to>
    <xdr:sp macro="" textlink="">
      <xdr:nvSpPr>
        <xdr:cNvPr id="7383" name="AutoShape 195" descr="GERMANY8"/>
        <xdr:cNvSpPr>
          <a:spLocks noChangeAspect="1" noChangeArrowheads="1"/>
        </xdr:cNvSpPr>
      </xdr:nvSpPr>
      <xdr:spPr bwMode="auto">
        <a:xfrm>
          <a:off x="0" y="20337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99</xdr:row>
      <xdr:rowOff>0</xdr:rowOff>
    </xdr:from>
    <xdr:to>
      <xdr:col>22</xdr:col>
      <xdr:colOff>304800</xdr:colOff>
      <xdr:row>100</xdr:row>
      <xdr:rowOff>129540</xdr:rowOff>
    </xdr:to>
    <xdr:sp macro="" textlink="">
      <xdr:nvSpPr>
        <xdr:cNvPr id="7384" name="AutoShape 196" descr="https://www.soccerstats.com/img/own/sshplogo.png">
          <a:hlinkClick xmlns:r="http://schemas.openxmlformats.org/officeDocument/2006/relationships" r:id="rId617"/>
        </xdr:cNvPr>
        <xdr:cNvSpPr>
          <a:spLocks noChangeAspect="1" noChangeArrowheads="1"/>
        </xdr:cNvSpPr>
      </xdr:nvSpPr>
      <xdr:spPr bwMode="auto">
        <a:xfrm>
          <a:off x="13411200" y="20337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152400</xdr:colOff>
      <xdr:row>100</xdr:row>
      <xdr:rowOff>106680</xdr:rowOff>
    </xdr:to>
    <xdr:sp macro="" textlink="">
      <xdr:nvSpPr>
        <xdr:cNvPr id="7385" name="AutoShape 197" descr="GERMANY8"/>
        <xdr:cNvSpPr>
          <a:spLocks noChangeAspect="1" noChangeArrowheads="1"/>
        </xdr:cNvSpPr>
      </xdr:nvSpPr>
      <xdr:spPr bwMode="auto">
        <a:xfrm>
          <a:off x="0" y="20513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100</xdr:row>
      <xdr:rowOff>0</xdr:rowOff>
    </xdr:from>
    <xdr:to>
      <xdr:col>22</xdr:col>
      <xdr:colOff>304800</xdr:colOff>
      <xdr:row>101</xdr:row>
      <xdr:rowOff>129540</xdr:rowOff>
    </xdr:to>
    <xdr:sp macro="" textlink="">
      <xdr:nvSpPr>
        <xdr:cNvPr id="7386" name="AutoShape 198" descr="https://www.soccerstats.com/img/own/sshplogo.png">
          <a:hlinkClick xmlns:r="http://schemas.openxmlformats.org/officeDocument/2006/relationships" r:id="rId618"/>
        </xdr:cNvPr>
        <xdr:cNvSpPr>
          <a:spLocks noChangeAspect="1" noChangeArrowheads="1"/>
        </xdr:cNvSpPr>
      </xdr:nvSpPr>
      <xdr:spPr bwMode="auto">
        <a:xfrm>
          <a:off x="13411200" y="20513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152400</xdr:colOff>
      <xdr:row>101</xdr:row>
      <xdr:rowOff>106680</xdr:rowOff>
    </xdr:to>
    <xdr:sp macro="" textlink="">
      <xdr:nvSpPr>
        <xdr:cNvPr id="7387" name="AutoShape 199" descr="GERMANY8"/>
        <xdr:cNvSpPr>
          <a:spLocks noChangeAspect="1" noChangeArrowheads="1"/>
        </xdr:cNvSpPr>
      </xdr:nvSpPr>
      <xdr:spPr bwMode="auto">
        <a:xfrm>
          <a:off x="0" y="20688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101</xdr:row>
      <xdr:rowOff>0</xdr:rowOff>
    </xdr:from>
    <xdr:to>
      <xdr:col>22</xdr:col>
      <xdr:colOff>304800</xdr:colOff>
      <xdr:row>102</xdr:row>
      <xdr:rowOff>129540</xdr:rowOff>
    </xdr:to>
    <xdr:sp macro="" textlink="">
      <xdr:nvSpPr>
        <xdr:cNvPr id="7388" name="AutoShape 200" descr="https://www.soccerstats.com/img/own/sshplogo.png">
          <a:hlinkClick xmlns:r="http://schemas.openxmlformats.org/officeDocument/2006/relationships" r:id="rId619"/>
        </xdr:cNvPr>
        <xdr:cNvSpPr>
          <a:spLocks noChangeAspect="1" noChangeArrowheads="1"/>
        </xdr:cNvSpPr>
      </xdr:nvSpPr>
      <xdr:spPr bwMode="auto">
        <a:xfrm>
          <a:off x="13411200" y="20688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152400</xdr:colOff>
      <xdr:row>102</xdr:row>
      <xdr:rowOff>106680</xdr:rowOff>
    </xdr:to>
    <xdr:sp macro="" textlink="">
      <xdr:nvSpPr>
        <xdr:cNvPr id="7389" name="AutoShape 201" descr="GERMANY8"/>
        <xdr:cNvSpPr>
          <a:spLocks noChangeAspect="1" noChangeArrowheads="1"/>
        </xdr:cNvSpPr>
      </xdr:nvSpPr>
      <xdr:spPr bwMode="auto">
        <a:xfrm>
          <a:off x="0" y="20863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102</xdr:row>
      <xdr:rowOff>0</xdr:rowOff>
    </xdr:from>
    <xdr:to>
      <xdr:col>22</xdr:col>
      <xdr:colOff>304800</xdr:colOff>
      <xdr:row>103</xdr:row>
      <xdr:rowOff>53340</xdr:rowOff>
    </xdr:to>
    <xdr:sp macro="" textlink="">
      <xdr:nvSpPr>
        <xdr:cNvPr id="7390" name="AutoShape 202" descr="https://www.soccerstats.com/img/own/sshplogo.png">
          <a:hlinkClick xmlns:r="http://schemas.openxmlformats.org/officeDocument/2006/relationships" r:id="rId620"/>
        </xdr:cNvPr>
        <xdr:cNvSpPr>
          <a:spLocks noChangeAspect="1" noChangeArrowheads="1"/>
        </xdr:cNvSpPr>
      </xdr:nvSpPr>
      <xdr:spPr bwMode="auto">
        <a:xfrm>
          <a:off x="13411200" y="20863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152400</xdr:colOff>
      <xdr:row>103</xdr:row>
      <xdr:rowOff>106680</xdr:rowOff>
    </xdr:to>
    <xdr:sp macro="" textlink="">
      <xdr:nvSpPr>
        <xdr:cNvPr id="7391" name="AutoShape 203" descr="GERMANY8"/>
        <xdr:cNvSpPr>
          <a:spLocks noChangeAspect="1" noChangeArrowheads="1"/>
        </xdr:cNvSpPr>
      </xdr:nvSpPr>
      <xdr:spPr bwMode="auto">
        <a:xfrm>
          <a:off x="0" y="21115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103</xdr:row>
      <xdr:rowOff>0</xdr:rowOff>
    </xdr:from>
    <xdr:to>
      <xdr:col>22</xdr:col>
      <xdr:colOff>304800</xdr:colOff>
      <xdr:row>104</xdr:row>
      <xdr:rowOff>129540</xdr:rowOff>
    </xdr:to>
    <xdr:sp macro="" textlink="">
      <xdr:nvSpPr>
        <xdr:cNvPr id="7392" name="AutoShape 204" descr="https://www.soccerstats.com/img/own/sshplogo.png">
          <a:hlinkClick xmlns:r="http://schemas.openxmlformats.org/officeDocument/2006/relationships" r:id="rId621"/>
        </xdr:cNvPr>
        <xdr:cNvSpPr>
          <a:spLocks noChangeAspect="1" noChangeArrowheads="1"/>
        </xdr:cNvSpPr>
      </xdr:nvSpPr>
      <xdr:spPr bwMode="auto">
        <a:xfrm>
          <a:off x="13411200" y="21115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152400</xdr:colOff>
      <xdr:row>104</xdr:row>
      <xdr:rowOff>106680</xdr:rowOff>
    </xdr:to>
    <xdr:sp macro="" textlink="">
      <xdr:nvSpPr>
        <xdr:cNvPr id="7393" name="AutoShape 205" descr="GERMANY8"/>
        <xdr:cNvSpPr>
          <a:spLocks noChangeAspect="1" noChangeArrowheads="1"/>
        </xdr:cNvSpPr>
      </xdr:nvSpPr>
      <xdr:spPr bwMode="auto">
        <a:xfrm>
          <a:off x="0" y="21290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104</xdr:row>
      <xdr:rowOff>0</xdr:rowOff>
    </xdr:from>
    <xdr:to>
      <xdr:col>22</xdr:col>
      <xdr:colOff>304800</xdr:colOff>
      <xdr:row>105</xdr:row>
      <xdr:rowOff>53340</xdr:rowOff>
    </xdr:to>
    <xdr:sp macro="" textlink="">
      <xdr:nvSpPr>
        <xdr:cNvPr id="7394" name="AutoShape 206" descr="https://www.soccerstats.com/img/own/sshplogo.png">
          <a:hlinkClick xmlns:r="http://schemas.openxmlformats.org/officeDocument/2006/relationships" r:id="rId622"/>
        </xdr:cNvPr>
        <xdr:cNvSpPr>
          <a:spLocks noChangeAspect="1" noChangeArrowheads="1"/>
        </xdr:cNvSpPr>
      </xdr:nvSpPr>
      <xdr:spPr bwMode="auto">
        <a:xfrm>
          <a:off x="13411200" y="21290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152400</xdr:colOff>
      <xdr:row>105</xdr:row>
      <xdr:rowOff>106680</xdr:rowOff>
    </xdr:to>
    <xdr:sp macro="" textlink="">
      <xdr:nvSpPr>
        <xdr:cNvPr id="7395" name="AutoShape 207" descr="HUNGARY"/>
        <xdr:cNvSpPr>
          <a:spLocks noChangeAspect="1" noChangeArrowheads="1"/>
        </xdr:cNvSpPr>
      </xdr:nvSpPr>
      <xdr:spPr bwMode="auto">
        <a:xfrm>
          <a:off x="0" y="21541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105</xdr:row>
      <xdr:rowOff>0</xdr:rowOff>
    </xdr:from>
    <xdr:to>
      <xdr:col>22</xdr:col>
      <xdr:colOff>304800</xdr:colOff>
      <xdr:row>106</xdr:row>
      <xdr:rowOff>129540</xdr:rowOff>
    </xdr:to>
    <xdr:sp macro="" textlink="">
      <xdr:nvSpPr>
        <xdr:cNvPr id="7396" name="AutoShape 208" descr="https://www.soccerstats.com/img/own/sshplogo.png">
          <a:hlinkClick xmlns:r="http://schemas.openxmlformats.org/officeDocument/2006/relationships" r:id="rId623"/>
        </xdr:cNvPr>
        <xdr:cNvSpPr>
          <a:spLocks noChangeAspect="1" noChangeArrowheads="1"/>
        </xdr:cNvSpPr>
      </xdr:nvSpPr>
      <xdr:spPr bwMode="auto">
        <a:xfrm>
          <a:off x="13411200" y="21541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152400</xdr:colOff>
      <xdr:row>106</xdr:row>
      <xdr:rowOff>106680</xdr:rowOff>
    </xdr:to>
    <xdr:sp macro="" textlink="">
      <xdr:nvSpPr>
        <xdr:cNvPr id="7397" name="AutoShape 209" descr="ICELAND3"/>
        <xdr:cNvSpPr>
          <a:spLocks noChangeAspect="1" noChangeArrowheads="1"/>
        </xdr:cNvSpPr>
      </xdr:nvSpPr>
      <xdr:spPr bwMode="auto">
        <a:xfrm>
          <a:off x="0" y="21717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106</xdr:row>
      <xdr:rowOff>0</xdr:rowOff>
    </xdr:from>
    <xdr:to>
      <xdr:col>22</xdr:col>
      <xdr:colOff>304800</xdr:colOff>
      <xdr:row>107</xdr:row>
      <xdr:rowOff>53340</xdr:rowOff>
    </xdr:to>
    <xdr:sp macro="" textlink="">
      <xdr:nvSpPr>
        <xdr:cNvPr id="7398" name="AutoShape 210" descr="https://www.soccerstats.com/img/own/sshplogo.png">
          <a:hlinkClick xmlns:r="http://schemas.openxmlformats.org/officeDocument/2006/relationships" r:id="rId624"/>
        </xdr:cNvPr>
        <xdr:cNvSpPr>
          <a:spLocks noChangeAspect="1" noChangeArrowheads="1"/>
        </xdr:cNvSpPr>
      </xdr:nvSpPr>
      <xdr:spPr bwMode="auto">
        <a:xfrm>
          <a:off x="13411200" y="21717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152400</xdr:colOff>
      <xdr:row>107</xdr:row>
      <xdr:rowOff>106680</xdr:rowOff>
    </xdr:to>
    <xdr:sp macro="" textlink="">
      <xdr:nvSpPr>
        <xdr:cNvPr id="7399" name="AutoShape 211" descr="JAPAN"/>
        <xdr:cNvSpPr>
          <a:spLocks noChangeAspect="1" noChangeArrowheads="1"/>
        </xdr:cNvSpPr>
      </xdr:nvSpPr>
      <xdr:spPr bwMode="auto">
        <a:xfrm>
          <a:off x="0" y="21968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107</xdr:row>
      <xdr:rowOff>0</xdr:rowOff>
    </xdr:from>
    <xdr:to>
      <xdr:col>22</xdr:col>
      <xdr:colOff>304800</xdr:colOff>
      <xdr:row>108</xdr:row>
      <xdr:rowOff>53340</xdr:rowOff>
    </xdr:to>
    <xdr:sp macro="" textlink="">
      <xdr:nvSpPr>
        <xdr:cNvPr id="7400" name="AutoShape 212" descr="https://www.soccerstats.com/img/own/sshplogo.png">
          <a:hlinkClick xmlns:r="http://schemas.openxmlformats.org/officeDocument/2006/relationships" r:id="rId625"/>
        </xdr:cNvPr>
        <xdr:cNvSpPr>
          <a:spLocks noChangeAspect="1" noChangeArrowheads="1"/>
        </xdr:cNvSpPr>
      </xdr:nvSpPr>
      <xdr:spPr bwMode="auto">
        <a:xfrm>
          <a:off x="13411200" y="21968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152400</xdr:colOff>
      <xdr:row>108</xdr:row>
      <xdr:rowOff>106680</xdr:rowOff>
    </xdr:to>
    <xdr:sp macro="" textlink="">
      <xdr:nvSpPr>
        <xdr:cNvPr id="7401" name="AutoShape 213" descr="NORWAY"/>
        <xdr:cNvSpPr>
          <a:spLocks noChangeAspect="1" noChangeArrowheads="1"/>
        </xdr:cNvSpPr>
      </xdr:nvSpPr>
      <xdr:spPr bwMode="auto">
        <a:xfrm>
          <a:off x="0" y="22219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108</xdr:row>
      <xdr:rowOff>0</xdr:rowOff>
    </xdr:from>
    <xdr:to>
      <xdr:col>22</xdr:col>
      <xdr:colOff>304800</xdr:colOff>
      <xdr:row>109</xdr:row>
      <xdr:rowOff>129540</xdr:rowOff>
    </xdr:to>
    <xdr:sp macro="" textlink="">
      <xdr:nvSpPr>
        <xdr:cNvPr id="7402" name="AutoShape 214" descr="https://www.soccerstats.com/img/own/sshplogo.png">
          <a:hlinkClick xmlns:r="http://schemas.openxmlformats.org/officeDocument/2006/relationships" r:id="rId626"/>
        </xdr:cNvPr>
        <xdr:cNvSpPr>
          <a:spLocks noChangeAspect="1" noChangeArrowheads="1"/>
        </xdr:cNvSpPr>
      </xdr:nvSpPr>
      <xdr:spPr bwMode="auto">
        <a:xfrm>
          <a:off x="13411200" y="22219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152400</xdr:colOff>
      <xdr:row>109</xdr:row>
      <xdr:rowOff>106680</xdr:rowOff>
    </xdr:to>
    <xdr:sp macro="" textlink="">
      <xdr:nvSpPr>
        <xdr:cNvPr id="7403" name="AutoShape 215" descr="NORWAY11"/>
        <xdr:cNvSpPr>
          <a:spLocks noChangeAspect="1" noChangeArrowheads="1"/>
        </xdr:cNvSpPr>
      </xdr:nvSpPr>
      <xdr:spPr bwMode="auto">
        <a:xfrm>
          <a:off x="0" y="22395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109</xdr:row>
      <xdr:rowOff>0</xdr:rowOff>
    </xdr:from>
    <xdr:to>
      <xdr:col>22</xdr:col>
      <xdr:colOff>304800</xdr:colOff>
      <xdr:row>110</xdr:row>
      <xdr:rowOff>53340</xdr:rowOff>
    </xdr:to>
    <xdr:sp macro="" textlink="">
      <xdr:nvSpPr>
        <xdr:cNvPr id="7404" name="AutoShape 216" descr="https://www.soccerstats.com/img/own/sshplogo.png">
          <a:hlinkClick xmlns:r="http://schemas.openxmlformats.org/officeDocument/2006/relationships" r:id="rId627"/>
        </xdr:cNvPr>
        <xdr:cNvSpPr>
          <a:spLocks noChangeAspect="1" noChangeArrowheads="1"/>
        </xdr:cNvSpPr>
      </xdr:nvSpPr>
      <xdr:spPr bwMode="auto">
        <a:xfrm>
          <a:off x="13411200" y="22395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152400</xdr:colOff>
      <xdr:row>110</xdr:row>
      <xdr:rowOff>106680</xdr:rowOff>
    </xdr:to>
    <xdr:sp macro="" textlink="">
      <xdr:nvSpPr>
        <xdr:cNvPr id="7405" name="AutoShape 217" descr="PARAGUAY2"/>
        <xdr:cNvSpPr>
          <a:spLocks noChangeAspect="1" noChangeArrowheads="1"/>
        </xdr:cNvSpPr>
      </xdr:nvSpPr>
      <xdr:spPr bwMode="auto">
        <a:xfrm>
          <a:off x="0" y="22646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110</xdr:row>
      <xdr:rowOff>0</xdr:rowOff>
    </xdr:from>
    <xdr:to>
      <xdr:col>22</xdr:col>
      <xdr:colOff>304800</xdr:colOff>
      <xdr:row>111</xdr:row>
      <xdr:rowOff>129540</xdr:rowOff>
    </xdr:to>
    <xdr:sp macro="" textlink="">
      <xdr:nvSpPr>
        <xdr:cNvPr id="7406" name="AutoShape 218" descr="https://www.soccerstats.com/img/own/sshplogo.png">
          <a:hlinkClick xmlns:r="http://schemas.openxmlformats.org/officeDocument/2006/relationships" r:id="rId628"/>
        </xdr:cNvPr>
        <xdr:cNvSpPr>
          <a:spLocks noChangeAspect="1" noChangeArrowheads="1"/>
        </xdr:cNvSpPr>
      </xdr:nvSpPr>
      <xdr:spPr bwMode="auto">
        <a:xfrm>
          <a:off x="13411200" y="22646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152400</xdr:colOff>
      <xdr:row>111</xdr:row>
      <xdr:rowOff>106680</xdr:rowOff>
    </xdr:to>
    <xdr:sp macro="" textlink="">
      <xdr:nvSpPr>
        <xdr:cNvPr id="7407" name="AutoShape 219" descr="POLAND"/>
        <xdr:cNvSpPr>
          <a:spLocks noChangeAspect="1" noChangeArrowheads="1"/>
        </xdr:cNvSpPr>
      </xdr:nvSpPr>
      <xdr:spPr bwMode="auto">
        <a:xfrm>
          <a:off x="0" y="22821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111</xdr:row>
      <xdr:rowOff>0</xdr:rowOff>
    </xdr:from>
    <xdr:to>
      <xdr:col>22</xdr:col>
      <xdr:colOff>304800</xdr:colOff>
      <xdr:row>112</xdr:row>
      <xdr:rowOff>53340</xdr:rowOff>
    </xdr:to>
    <xdr:sp macro="" textlink="">
      <xdr:nvSpPr>
        <xdr:cNvPr id="7408" name="AutoShape 220" descr="https://www.soccerstats.com/img/own/sshplogo.png">
          <a:hlinkClick xmlns:r="http://schemas.openxmlformats.org/officeDocument/2006/relationships" r:id="rId629"/>
        </xdr:cNvPr>
        <xdr:cNvSpPr>
          <a:spLocks noChangeAspect="1" noChangeArrowheads="1"/>
        </xdr:cNvSpPr>
      </xdr:nvSpPr>
      <xdr:spPr bwMode="auto">
        <a:xfrm>
          <a:off x="13411200" y="22821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152400</xdr:colOff>
      <xdr:row>112</xdr:row>
      <xdr:rowOff>106680</xdr:rowOff>
    </xdr:to>
    <xdr:sp macro="" textlink="">
      <xdr:nvSpPr>
        <xdr:cNvPr id="7409" name="AutoShape 221" descr="POLAND2"/>
        <xdr:cNvSpPr>
          <a:spLocks noChangeAspect="1" noChangeArrowheads="1"/>
        </xdr:cNvSpPr>
      </xdr:nvSpPr>
      <xdr:spPr bwMode="auto">
        <a:xfrm>
          <a:off x="0" y="23073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112</xdr:row>
      <xdr:rowOff>0</xdr:rowOff>
    </xdr:from>
    <xdr:to>
      <xdr:col>22</xdr:col>
      <xdr:colOff>304800</xdr:colOff>
      <xdr:row>113</xdr:row>
      <xdr:rowOff>129540</xdr:rowOff>
    </xdr:to>
    <xdr:sp macro="" textlink="">
      <xdr:nvSpPr>
        <xdr:cNvPr id="7410" name="AutoShape 222" descr="https://www.soccerstats.com/img/own/sshplogo.png">
          <a:hlinkClick xmlns:r="http://schemas.openxmlformats.org/officeDocument/2006/relationships" r:id="rId630"/>
        </xdr:cNvPr>
        <xdr:cNvSpPr>
          <a:spLocks noChangeAspect="1" noChangeArrowheads="1"/>
        </xdr:cNvSpPr>
      </xdr:nvSpPr>
      <xdr:spPr bwMode="auto">
        <a:xfrm>
          <a:off x="13411200" y="23073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113</xdr:row>
      <xdr:rowOff>0</xdr:rowOff>
    </xdr:from>
    <xdr:to>
      <xdr:col>0</xdr:col>
      <xdr:colOff>152400</xdr:colOff>
      <xdr:row>113</xdr:row>
      <xdr:rowOff>106680</xdr:rowOff>
    </xdr:to>
    <xdr:sp macro="" textlink="">
      <xdr:nvSpPr>
        <xdr:cNvPr id="7411" name="AutoShape 223" descr="POLAND2"/>
        <xdr:cNvSpPr>
          <a:spLocks noChangeAspect="1" noChangeArrowheads="1"/>
        </xdr:cNvSpPr>
      </xdr:nvSpPr>
      <xdr:spPr bwMode="auto">
        <a:xfrm>
          <a:off x="0" y="23248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113</xdr:row>
      <xdr:rowOff>0</xdr:rowOff>
    </xdr:from>
    <xdr:to>
      <xdr:col>22</xdr:col>
      <xdr:colOff>304800</xdr:colOff>
      <xdr:row>114</xdr:row>
      <xdr:rowOff>53340</xdr:rowOff>
    </xdr:to>
    <xdr:sp macro="" textlink="">
      <xdr:nvSpPr>
        <xdr:cNvPr id="7412" name="AutoShape 224" descr="https://www.soccerstats.com/img/own/sshplogo.png">
          <a:hlinkClick xmlns:r="http://schemas.openxmlformats.org/officeDocument/2006/relationships" r:id="rId631"/>
        </xdr:cNvPr>
        <xdr:cNvSpPr>
          <a:spLocks noChangeAspect="1" noChangeArrowheads="1"/>
        </xdr:cNvSpPr>
      </xdr:nvSpPr>
      <xdr:spPr bwMode="auto">
        <a:xfrm>
          <a:off x="13411200" y="23248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114</xdr:row>
      <xdr:rowOff>0</xdr:rowOff>
    </xdr:from>
    <xdr:to>
      <xdr:col>0</xdr:col>
      <xdr:colOff>152400</xdr:colOff>
      <xdr:row>114</xdr:row>
      <xdr:rowOff>106680</xdr:rowOff>
    </xdr:to>
    <xdr:sp macro="" textlink="">
      <xdr:nvSpPr>
        <xdr:cNvPr id="7413" name="AutoShape 225" descr="POLAND3"/>
        <xdr:cNvSpPr>
          <a:spLocks noChangeAspect="1" noChangeArrowheads="1"/>
        </xdr:cNvSpPr>
      </xdr:nvSpPr>
      <xdr:spPr bwMode="auto">
        <a:xfrm>
          <a:off x="0" y="23500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114</xdr:row>
      <xdr:rowOff>0</xdr:rowOff>
    </xdr:from>
    <xdr:to>
      <xdr:col>22</xdr:col>
      <xdr:colOff>304800</xdr:colOff>
      <xdr:row>115</xdr:row>
      <xdr:rowOff>53340</xdr:rowOff>
    </xdr:to>
    <xdr:sp macro="" textlink="">
      <xdr:nvSpPr>
        <xdr:cNvPr id="7414" name="AutoShape 226" descr="https://www.soccerstats.com/img/own/sshplogo.png">
          <a:hlinkClick xmlns:r="http://schemas.openxmlformats.org/officeDocument/2006/relationships" r:id="rId632"/>
        </xdr:cNvPr>
        <xdr:cNvSpPr>
          <a:spLocks noChangeAspect="1" noChangeArrowheads="1"/>
        </xdr:cNvSpPr>
      </xdr:nvSpPr>
      <xdr:spPr bwMode="auto">
        <a:xfrm>
          <a:off x="13411200" y="23500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115</xdr:row>
      <xdr:rowOff>0</xdr:rowOff>
    </xdr:from>
    <xdr:to>
      <xdr:col>0</xdr:col>
      <xdr:colOff>152400</xdr:colOff>
      <xdr:row>115</xdr:row>
      <xdr:rowOff>106680</xdr:rowOff>
    </xdr:to>
    <xdr:sp macro="" textlink="">
      <xdr:nvSpPr>
        <xdr:cNvPr id="7415" name="AutoShape 227" descr="PORTUGAL2"/>
        <xdr:cNvSpPr>
          <a:spLocks noChangeAspect="1" noChangeArrowheads="1"/>
        </xdr:cNvSpPr>
      </xdr:nvSpPr>
      <xdr:spPr bwMode="auto">
        <a:xfrm>
          <a:off x="0" y="23751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115</xdr:row>
      <xdr:rowOff>0</xdr:rowOff>
    </xdr:from>
    <xdr:to>
      <xdr:col>22</xdr:col>
      <xdr:colOff>304800</xdr:colOff>
      <xdr:row>116</xdr:row>
      <xdr:rowOff>129540</xdr:rowOff>
    </xdr:to>
    <xdr:sp macro="" textlink="">
      <xdr:nvSpPr>
        <xdr:cNvPr id="7416" name="AutoShape 228" descr="https://www.soccerstats.com/img/own/sshplogo.png">
          <a:hlinkClick xmlns:r="http://schemas.openxmlformats.org/officeDocument/2006/relationships" r:id="rId633"/>
        </xdr:cNvPr>
        <xdr:cNvSpPr>
          <a:spLocks noChangeAspect="1" noChangeArrowheads="1"/>
        </xdr:cNvSpPr>
      </xdr:nvSpPr>
      <xdr:spPr bwMode="auto">
        <a:xfrm>
          <a:off x="13411200" y="23751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152400</xdr:colOff>
      <xdr:row>116</xdr:row>
      <xdr:rowOff>106680</xdr:rowOff>
    </xdr:to>
    <xdr:sp macro="" textlink="">
      <xdr:nvSpPr>
        <xdr:cNvPr id="7417" name="AutoShape 229" descr="ROMANIA"/>
        <xdr:cNvSpPr>
          <a:spLocks noChangeAspect="1" noChangeArrowheads="1"/>
        </xdr:cNvSpPr>
      </xdr:nvSpPr>
      <xdr:spPr bwMode="auto">
        <a:xfrm>
          <a:off x="0" y="23926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116</xdr:row>
      <xdr:rowOff>0</xdr:rowOff>
    </xdr:from>
    <xdr:to>
      <xdr:col>22</xdr:col>
      <xdr:colOff>304800</xdr:colOff>
      <xdr:row>117</xdr:row>
      <xdr:rowOff>129540</xdr:rowOff>
    </xdr:to>
    <xdr:sp macro="" textlink="">
      <xdr:nvSpPr>
        <xdr:cNvPr id="7418" name="AutoShape 230" descr="https://www.soccerstats.com/img/own/sshplogo.png">
          <a:hlinkClick xmlns:r="http://schemas.openxmlformats.org/officeDocument/2006/relationships" r:id="rId634"/>
        </xdr:cNvPr>
        <xdr:cNvSpPr>
          <a:spLocks noChangeAspect="1" noChangeArrowheads="1"/>
        </xdr:cNvSpPr>
      </xdr:nvSpPr>
      <xdr:spPr bwMode="auto">
        <a:xfrm>
          <a:off x="13411200" y="23926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152400</xdr:colOff>
      <xdr:row>117</xdr:row>
      <xdr:rowOff>106680</xdr:rowOff>
    </xdr:to>
    <xdr:sp macro="" textlink="">
      <xdr:nvSpPr>
        <xdr:cNvPr id="7419" name="AutoShape 231" descr="ROMANIA"/>
        <xdr:cNvSpPr>
          <a:spLocks noChangeAspect="1" noChangeArrowheads="1"/>
        </xdr:cNvSpPr>
      </xdr:nvSpPr>
      <xdr:spPr bwMode="auto">
        <a:xfrm>
          <a:off x="0" y="24102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117</xdr:row>
      <xdr:rowOff>0</xdr:rowOff>
    </xdr:from>
    <xdr:to>
      <xdr:col>22</xdr:col>
      <xdr:colOff>304800</xdr:colOff>
      <xdr:row>118</xdr:row>
      <xdr:rowOff>53340</xdr:rowOff>
    </xdr:to>
    <xdr:sp macro="" textlink="">
      <xdr:nvSpPr>
        <xdr:cNvPr id="7420" name="AutoShape 232" descr="https://www.soccerstats.com/img/own/sshplogo.png">
          <a:hlinkClick xmlns:r="http://schemas.openxmlformats.org/officeDocument/2006/relationships" r:id="rId635"/>
        </xdr:cNvPr>
        <xdr:cNvSpPr>
          <a:spLocks noChangeAspect="1" noChangeArrowheads="1"/>
        </xdr:cNvSpPr>
      </xdr:nvSpPr>
      <xdr:spPr bwMode="auto">
        <a:xfrm>
          <a:off x="13411200" y="24102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152400</xdr:colOff>
      <xdr:row>118</xdr:row>
      <xdr:rowOff>106680</xdr:rowOff>
    </xdr:to>
    <xdr:sp macro="" textlink="">
      <xdr:nvSpPr>
        <xdr:cNvPr id="7421" name="AutoShape 233" descr="RUSSIA"/>
        <xdr:cNvSpPr>
          <a:spLocks noChangeAspect="1" noChangeArrowheads="1"/>
        </xdr:cNvSpPr>
      </xdr:nvSpPr>
      <xdr:spPr bwMode="auto">
        <a:xfrm>
          <a:off x="0" y="24353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118</xdr:row>
      <xdr:rowOff>0</xdr:rowOff>
    </xdr:from>
    <xdr:to>
      <xdr:col>22</xdr:col>
      <xdr:colOff>304800</xdr:colOff>
      <xdr:row>119</xdr:row>
      <xdr:rowOff>53340</xdr:rowOff>
    </xdr:to>
    <xdr:sp macro="" textlink="">
      <xdr:nvSpPr>
        <xdr:cNvPr id="7422" name="AutoShape 234" descr="https://www.soccerstats.com/img/own/sshplogo.png">
          <a:hlinkClick xmlns:r="http://schemas.openxmlformats.org/officeDocument/2006/relationships" r:id="rId636"/>
        </xdr:cNvPr>
        <xdr:cNvSpPr>
          <a:spLocks noChangeAspect="1" noChangeArrowheads="1"/>
        </xdr:cNvSpPr>
      </xdr:nvSpPr>
      <xdr:spPr bwMode="auto">
        <a:xfrm>
          <a:off x="13411200" y="24353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152400</xdr:colOff>
      <xdr:row>119</xdr:row>
      <xdr:rowOff>106680</xdr:rowOff>
    </xdr:to>
    <xdr:sp macro="" textlink="">
      <xdr:nvSpPr>
        <xdr:cNvPr id="7423" name="AutoShape 235" descr="SAUDIARABIA"/>
        <xdr:cNvSpPr>
          <a:spLocks noChangeAspect="1" noChangeArrowheads="1"/>
        </xdr:cNvSpPr>
      </xdr:nvSpPr>
      <xdr:spPr bwMode="auto">
        <a:xfrm>
          <a:off x="0" y="24604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119</xdr:row>
      <xdr:rowOff>0</xdr:rowOff>
    </xdr:from>
    <xdr:to>
      <xdr:col>22</xdr:col>
      <xdr:colOff>304800</xdr:colOff>
      <xdr:row>120</xdr:row>
      <xdr:rowOff>129540</xdr:rowOff>
    </xdr:to>
    <xdr:sp macro="" textlink="">
      <xdr:nvSpPr>
        <xdr:cNvPr id="7424" name="AutoShape 236" descr="https://www.soccerstats.com/img/own/sshplogo.png">
          <a:hlinkClick xmlns:r="http://schemas.openxmlformats.org/officeDocument/2006/relationships" r:id="rId637"/>
        </xdr:cNvPr>
        <xdr:cNvSpPr>
          <a:spLocks noChangeAspect="1" noChangeArrowheads="1"/>
        </xdr:cNvSpPr>
      </xdr:nvSpPr>
      <xdr:spPr bwMode="auto">
        <a:xfrm>
          <a:off x="13411200" y="24604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152400</xdr:colOff>
      <xdr:row>120</xdr:row>
      <xdr:rowOff>106680</xdr:rowOff>
    </xdr:to>
    <xdr:sp macro="" textlink="">
      <xdr:nvSpPr>
        <xdr:cNvPr id="7425" name="AutoShape 237" descr="SAUDIARABIA"/>
        <xdr:cNvSpPr>
          <a:spLocks noChangeAspect="1" noChangeArrowheads="1"/>
        </xdr:cNvSpPr>
      </xdr:nvSpPr>
      <xdr:spPr bwMode="auto">
        <a:xfrm>
          <a:off x="0" y="24780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120</xdr:row>
      <xdr:rowOff>0</xdr:rowOff>
    </xdr:from>
    <xdr:to>
      <xdr:col>22</xdr:col>
      <xdr:colOff>304800</xdr:colOff>
      <xdr:row>121</xdr:row>
      <xdr:rowOff>129540</xdr:rowOff>
    </xdr:to>
    <xdr:sp macro="" textlink="">
      <xdr:nvSpPr>
        <xdr:cNvPr id="7426" name="AutoShape 238" descr="https://www.soccerstats.com/img/own/sshplogo.png">
          <a:hlinkClick xmlns:r="http://schemas.openxmlformats.org/officeDocument/2006/relationships" r:id="rId638"/>
        </xdr:cNvPr>
        <xdr:cNvSpPr>
          <a:spLocks noChangeAspect="1" noChangeArrowheads="1"/>
        </xdr:cNvSpPr>
      </xdr:nvSpPr>
      <xdr:spPr bwMode="auto">
        <a:xfrm>
          <a:off x="13411200" y="24780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152400</xdr:colOff>
      <xdr:row>121</xdr:row>
      <xdr:rowOff>106680</xdr:rowOff>
    </xdr:to>
    <xdr:sp macro="" textlink="">
      <xdr:nvSpPr>
        <xdr:cNvPr id="7427" name="AutoShape 239" descr="SAUDIARABIA"/>
        <xdr:cNvSpPr>
          <a:spLocks noChangeAspect="1" noChangeArrowheads="1"/>
        </xdr:cNvSpPr>
      </xdr:nvSpPr>
      <xdr:spPr bwMode="auto">
        <a:xfrm>
          <a:off x="0" y="24955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121</xdr:row>
      <xdr:rowOff>0</xdr:rowOff>
    </xdr:from>
    <xdr:to>
      <xdr:col>22</xdr:col>
      <xdr:colOff>304800</xdr:colOff>
      <xdr:row>122</xdr:row>
      <xdr:rowOff>129540</xdr:rowOff>
    </xdr:to>
    <xdr:sp macro="" textlink="">
      <xdr:nvSpPr>
        <xdr:cNvPr id="7428" name="AutoShape 240" descr="https://www.soccerstats.com/img/own/sshplogo.png">
          <a:hlinkClick xmlns:r="http://schemas.openxmlformats.org/officeDocument/2006/relationships" r:id="rId639"/>
        </xdr:cNvPr>
        <xdr:cNvSpPr>
          <a:spLocks noChangeAspect="1" noChangeArrowheads="1"/>
        </xdr:cNvSpPr>
      </xdr:nvSpPr>
      <xdr:spPr bwMode="auto">
        <a:xfrm>
          <a:off x="13411200" y="24955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152400</xdr:colOff>
      <xdr:row>122</xdr:row>
      <xdr:rowOff>106680</xdr:rowOff>
    </xdr:to>
    <xdr:sp macro="" textlink="">
      <xdr:nvSpPr>
        <xdr:cNvPr id="7429" name="AutoShape 241" descr="SOUTHAFRICA"/>
        <xdr:cNvSpPr>
          <a:spLocks noChangeAspect="1" noChangeArrowheads="1"/>
        </xdr:cNvSpPr>
      </xdr:nvSpPr>
      <xdr:spPr bwMode="auto">
        <a:xfrm>
          <a:off x="0" y="25130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122</xdr:row>
      <xdr:rowOff>0</xdr:rowOff>
    </xdr:from>
    <xdr:to>
      <xdr:col>22</xdr:col>
      <xdr:colOff>304800</xdr:colOff>
      <xdr:row>123</xdr:row>
      <xdr:rowOff>129540</xdr:rowOff>
    </xdr:to>
    <xdr:sp macro="" textlink="">
      <xdr:nvSpPr>
        <xdr:cNvPr id="7430" name="AutoShape 242" descr="https://www.soccerstats.com/img/own/sshplogo.png">
          <a:hlinkClick xmlns:r="http://schemas.openxmlformats.org/officeDocument/2006/relationships" r:id="rId640"/>
        </xdr:cNvPr>
        <xdr:cNvSpPr>
          <a:spLocks noChangeAspect="1" noChangeArrowheads="1"/>
        </xdr:cNvSpPr>
      </xdr:nvSpPr>
      <xdr:spPr bwMode="auto">
        <a:xfrm>
          <a:off x="13411200" y="25130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152400</xdr:colOff>
      <xdr:row>123</xdr:row>
      <xdr:rowOff>106680</xdr:rowOff>
    </xdr:to>
    <xdr:sp macro="" textlink="">
      <xdr:nvSpPr>
        <xdr:cNvPr id="7431" name="AutoShape 243" descr="SOUTHKOREA4"/>
        <xdr:cNvSpPr>
          <a:spLocks noChangeAspect="1" noChangeArrowheads="1"/>
        </xdr:cNvSpPr>
      </xdr:nvSpPr>
      <xdr:spPr bwMode="auto">
        <a:xfrm>
          <a:off x="0" y="25306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123</xdr:row>
      <xdr:rowOff>0</xdr:rowOff>
    </xdr:from>
    <xdr:to>
      <xdr:col>22</xdr:col>
      <xdr:colOff>304800</xdr:colOff>
      <xdr:row>124</xdr:row>
      <xdr:rowOff>129540</xdr:rowOff>
    </xdr:to>
    <xdr:sp macro="" textlink="">
      <xdr:nvSpPr>
        <xdr:cNvPr id="7432" name="AutoShape 244" descr="https://www.soccerstats.com/img/own/sshplogo.png">
          <a:hlinkClick xmlns:r="http://schemas.openxmlformats.org/officeDocument/2006/relationships" r:id="rId641"/>
        </xdr:cNvPr>
        <xdr:cNvSpPr>
          <a:spLocks noChangeAspect="1" noChangeArrowheads="1"/>
        </xdr:cNvSpPr>
      </xdr:nvSpPr>
      <xdr:spPr bwMode="auto">
        <a:xfrm>
          <a:off x="13411200" y="25306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152400</xdr:colOff>
      <xdr:row>124</xdr:row>
      <xdr:rowOff>106680</xdr:rowOff>
    </xdr:to>
    <xdr:sp macro="" textlink="">
      <xdr:nvSpPr>
        <xdr:cNvPr id="7433" name="AutoShape 245" descr="SOUTHKOREA4"/>
        <xdr:cNvSpPr>
          <a:spLocks noChangeAspect="1" noChangeArrowheads="1"/>
        </xdr:cNvSpPr>
      </xdr:nvSpPr>
      <xdr:spPr bwMode="auto">
        <a:xfrm>
          <a:off x="0" y="25481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124</xdr:row>
      <xdr:rowOff>0</xdr:rowOff>
    </xdr:from>
    <xdr:to>
      <xdr:col>22</xdr:col>
      <xdr:colOff>304800</xdr:colOff>
      <xdr:row>125</xdr:row>
      <xdr:rowOff>53340</xdr:rowOff>
    </xdr:to>
    <xdr:sp macro="" textlink="">
      <xdr:nvSpPr>
        <xdr:cNvPr id="7434" name="AutoShape 246" descr="https://www.soccerstats.com/img/own/sshplogo.png">
          <a:hlinkClick xmlns:r="http://schemas.openxmlformats.org/officeDocument/2006/relationships" r:id="rId642"/>
        </xdr:cNvPr>
        <xdr:cNvSpPr>
          <a:spLocks noChangeAspect="1" noChangeArrowheads="1"/>
        </xdr:cNvSpPr>
      </xdr:nvSpPr>
      <xdr:spPr bwMode="auto">
        <a:xfrm>
          <a:off x="13411200" y="25481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152400</xdr:colOff>
      <xdr:row>125</xdr:row>
      <xdr:rowOff>106680</xdr:rowOff>
    </xdr:to>
    <xdr:sp macro="" textlink="">
      <xdr:nvSpPr>
        <xdr:cNvPr id="7435" name="AutoShape 247" descr="SWEDEN"/>
        <xdr:cNvSpPr>
          <a:spLocks noChangeAspect="1" noChangeArrowheads="1"/>
        </xdr:cNvSpPr>
      </xdr:nvSpPr>
      <xdr:spPr bwMode="auto">
        <a:xfrm>
          <a:off x="0" y="25732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125</xdr:row>
      <xdr:rowOff>0</xdr:rowOff>
    </xdr:from>
    <xdr:to>
      <xdr:col>22</xdr:col>
      <xdr:colOff>304800</xdr:colOff>
      <xdr:row>126</xdr:row>
      <xdr:rowOff>129540</xdr:rowOff>
    </xdr:to>
    <xdr:sp macro="" textlink="">
      <xdr:nvSpPr>
        <xdr:cNvPr id="7436" name="AutoShape 248" descr="https://www.soccerstats.com/img/own/sshplogo.png">
          <a:hlinkClick xmlns:r="http://schemas.openxmlformats.org/officeDocument/2006/relationships" r:id="rId643"/>
        </xdr:cNvPr>
        <xdr:cNvSpPr>
          <a:spLocks noChangeAspect="1" noChangeArrowheads="1"/>
        </xdr:cNvSpPr>
      </xdr:nvSpPr>
      <xdr:spPr bwMode="auto">
        <a:xfrm>
          <a:off x="13411200" y="25732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126</xdr:row>
      <xdr:rowOff>0</xdr:rowOff>
    </xdr:from>
    <xdr:to>
      <xdr:col>0</xdr:col>
      <xdr:colOff>152400</xdr:colOff>
      <xdr:row>126</xdr:row>
      <xdr:rowOff>106680</xdr:rowOff>
    </xdr:to>
    <xdr:sp macro="" textlink="">
      <xdr:nvSpPr>
        <xdr:cNvPr id="7437" name="AutoShape 249" descr="SWEDEN2"/>
        <xdr:cNvSpPr>
          <a:spLocks noChangeAspect="1" noChangeArrowheads="1"/>
        </xdr:cNvSpPr>
      </xdr:nvSpPr>
      <xdr:spPr bwMode="auto">
        <a:xfrm>
          <a:off x="0" y="25908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126</xdr:row>
      <xdr:rowOff>0</xdr:rowOff>
    </xdr:from>
    <xdr:to>
      <xdr:col>22</xdr:col>
      <xdr:colOff>304800</xdr:colOff>
      <xdr:row>127</xdr:row>
      <xdr:rowOff>129540</xdr:rowOff>
    </xdr:to>
    <xdr:sp macro="" textlink="">
      <xdr:nvSpPr>
        <xdr:cNvPr id="7438" name="AutoShape 250" descr="https://www.soccerstats.com/img/own/sshplogo.png">
          <a:hlinkClick xmlns:r="http://schemas.openxmlformats.org/officeDocument/2006/relationships" r:id="rId644"/>
        </xdr:cNvPr>
        <xdr:cNvSpPr>
          <a:spLocks noChangeAspect="1" noChangeArrowheads="1"/>
        </xdr:cNvSpPr>
      </xdr:nvSpPr>
      <xdr:spPr bwMode="auto">
        <a:xfrm>
          <a:off x="13411200" y="2590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152400</xdr:colOff>
      <xdr:row>127</xdr:row>
      <xdr:rowOff>106680</xdr:rowOff>
    </xdr:to>
    <xdr:sp macro="" textlink="">
      <xdr:nvSpPr>
        <xdr:cNvPr id="7439" name="AutoShape 251" descr="SWEDEN2"/>
        <xdr:cNvSpPr>
          <a:spLocks noChangeAspect="1" noChangeArrowheads="1"/>
        </xdr:cNvSpPr>
      </xdr:nvSpPr>
      <xdr:spPr bwMode="auto">
        <a:xfrm>
          <a:off x="0" y="26083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127</xdr:row>
      <xdr:rowOff>0</xdr:rowOff>
    </xdr:from>
    <xdr:to>
      <xdr:col>22</xdr:col>
      <xdr:colOff>304800</xdr:colOff>
      <xdr:row>128</xdr:row>
      <xdr:rowOff>129540</xdr:rowOff>
    </xdr:to>
    <xdr:sp macro="" textlink="">
      <xdr:nvSpPr>
        <xdr:cNvPr id="7440" name="AutoShape 252" descr="https://www.soccerstats.com/img/own/sshplogo.png">
          <a:hlinkClick xmlns:r="http://schemas.openxmlformats.org/officeDocument/2006/relationships" r:id="rId645"/>
        </xdr:cNvPr>
        <xdr:cNvSpPr>
          <a:spLocks noChangeAspect="1" noChangeArrowheads="1"/>
        </xdr:cNvSpPr>
      </xdr:nvSpPr>
      <xdr:spPr bwMode="auto">
        <a:xfrm>
          <a:off x="13411200" y="26083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152400</xdr:colOff>
      <xdr:row>128</xdr:row>
      <xdr:rowOff>106680</xdr:rowOff>
    </xdr:to>
    <xdr:sp macro="" textlink="">
      <xdr:nvSpPr>
        <xdr:cNvPr id="7441" name="AutoShape 253" descr="SWEDEN3"/>
        <xdr:cNvSpPr>
          <a:spLocks noChangeAspect="1" noChangeArrowheads="1"/>
        </xdr:cNvSpPr>
      </xdr:nvSpPr>
      <xdr:spPr bwMode="auto">
        <a:xfrm>
          <a:off x="0" y="26258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128</xdr:row>
      <xdr:rowOff>0</xdr:rowOff>
    </xdr:from>
    <xdr:to>
      <xdr:col>22</xdr:col>
      <xdr:colOff>304800</xdr:colOff>
      <xdr:row>129</xdr:row>
      <xdr:rowOff>53340</xdr:rowOff>
    </xdr:to>
    <xdr:sp macro="" textlink="">
      <xdr:nvSpPr>
        <xdr:cNvPr id="7442" name="AutoShape 254" descr="https://www.soccerstats.com/img/own/sshplogo.png">
          <a:hlinkClick xmlns:r="http://schemas.openxmlformats.org/officeDocument/2006/relationships" r:id="rId646"/>
        </xdr:cNvPr>
        <xdr:cNvSpPr>
          <a:spLocks noChangeAspect="1" noChangeArrowheads="1"/>
        </xdr:cNvSpPr>
      </xdr:nvSpPr>
      <xdr:spPr bwMode="auto">
        <a:xfrm>
          <a:off x="13411200" y="26258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152400</xdr:colOff>
      <xdr:row>129</xdr:row>
      <xdr:rowOff>106680</xdr:rowOff>
    </xdr:to>
    <xdr:sp macro="" textlink="">
      <xdr:nvSpPr>
        <xdr:cNvPr id="7443" name="AutoShape 255" descr="SWEDEN4"/>
        <xdr:cNvSpPr>
          <a:spLocks noChangeAspect="1" noChangeArrowheads="1"/>
        </xdr:cNvSpPr>
      </xdr:nvSpPr>
      <xdr:spPr bwMode="auto">
        <a:xfrm>
          <a:off x="0" y="26509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129</xdr:row>
      <xdr:rowOff>0</xdr:rowOff>
    </xdr:from>
    <xdr:to>
      <xdr:col>22</xdr:col>
      <xdr:colOff>304800</xdr:colOff>
      <xdr:row>130</xdr:row>
      <xdr:rowOff>53340</xdr:rowOff>
    </xdr:to>
    <xdr:sp macro="" textlink="">
      <xdr:nvSpPr>
        <xdr:cNvPr id="7444" name="AutoShape 256" descr="https://www.soccerstats.com/img/own/sshplogo.png">
          <a:hlinkClick xmlns:r="http://schemas.openxmlformats.org/officeDocument/2006/relationships" r:id="rId647"/>
        </xdr:cNvPr>
        <xdr:cNvSpPr>
          <a:spLocks noChangeAspect="1" noChangeArrowheads="1"/>
        </xdr:cNvSpPr>
      </xdr:nvSpPr>
      <xdr:spPr bwMode="auto">
        <a:xfrm>
          <a:off x="13411200" y="26509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152400</xdr:colOff>
      <xdr:row>130</xdr:row>
      <xdr:rowOff>106680</xdr:rowOff>
    </xdr:to>
    <xdr:sp macro="" textlink="">
      <xdr:nvSpPr>
        <xdr:cNvPr id="7445" name="AutoShape 257" descr="SWEDEN11"/>
        <xdr:cNvSpPr>
          <a:spLocks noChangeAspect="1" noChangeArrowheads="1"/>
        </xdr:cNvSpPr>
      </xdr:nvSpPr>
      <xdr:spPr bwMode="auto">
        <a:xfrm>
          <a:off x="0" y="26761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130</xdr:row>
      <xdr:rowOff>0</xdr:rowOff>
    </xdr:from>
    <xdr:to>
      <xdr:col>22</xdr:col>
      <xdr:colOff>304800</xdr:colOff>
      <xdr:row>131</xdr:row>
      <xdr:rowOff>129540</xdr:rowOff>
    </xdr:to>
    <xdr:sp macro="" textlink="">
      <xdr:nvSpPr>
        <xdr:cNvPr id="7446" name="AutoShape 258" descr="https://www.soccerstats.com/img/own/sshplogo.png">
          <a:hlinkClick xmlns:r="http://schemas.openxmlformats.org/officeDocument/2006/relationships" r:id="rId648"/>
        </xdr:cNvPr>
        <xdr:cNvSpPr>
          <a:spLocks noChangeAspect="1" noChangeArrowheads="1"/>
        </xdr:cNvSpPr>
      </xdr:nvSpPr>
      <xdr:spPr bwMode="auto">
        <a:xfrm>
          <a:off x="13411200" y="26761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152400</xdr:colOff>
      <xdr:row>131</xdr:row>
      <xdr:rowOff>106680</xdr:rowOff>
    </xdr:to>
    <xdr:sp macro="" textlink="">
      <xdr:nvSpPr>
        <xdr:cNvPr id="7447" name="AutoShape 259" descr="TURKEY"/>
        <xdr:cNvSpPr>
          <a:spLocks noChangeAspect="1" noChangeArrowheads="1"/>
        </xdr:cNvSpPr>
      </xdr:nvSpPr>
      <xdr:spPr bwMode="auto">
        <a:xfrm>
          <a:off x="0" y="26936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131</xdr:row>
      <xdr:rowOff>0</xdr:rowOff>
    </xdr:from>
    <xdr:to>
      <xdr:col>22</xdr:col>
      <xdr:colOff>304800</xdr:colOff>
      <xdr:row>132</xdr:row>
      <xdr:rowOff>129540</xdr:rowOff>
    </xdr:to>
    <xdr:sp macro="" textlink="">
      <xdr:nvSpPr>
        <xdr:cNvPr id="7448" name="AutoShape 260" descr="https://www.soccerstats.com/img/own/sshplogo.png">
          <a:hlinkClick xmlns:r="http://schemas.openxmlformats.org/officeDocument/2006/relationships" r:id="rId649"/>
        </xdr:cNvPr>
        <xdr:cNvSpPr>
          <a:spLocks noChangeAspect="1" noChangeArrowheads="1"/>
        </xdr:cNvSpPr>
      </xdr:nvSpPr>
      <xdr:spPr bwMode="auto">
        <a:xfrm>
          <a:off x="13411200" y="26936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132</xdr:row>
      <xdr:rowOff>0</xdr:rowOff>
    </xdr:from>
    <xdr:to>
      <xdr:col>0</xdr:col>
      <xdr:colOff>152400</xdr:colOff>
      <xdr:row>132</xdr:row>
      <xdr:rowOff>106680</xdr:rowOff>
    </xdr:to>
    <xdr:sp macro="" textlink="">
      <xdr:nvSpPr>
        <xdr:cNvPr id="7449" name="AutoShape 261" descr="TURKEY2"/>
        <xdr:cNvSpPr>
          <a:spLocks noChangeAspect="1" noChangeArrowheads="1"/>
        </xdr:cNvSpPr>
      </xdr:nvSpPr>
      <xdr:spPr bwMode="auto">
        <a:xfrm>
          <a:off x="0" y="27111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132</xdr:row>
      <xdr:rowOff>0</xdr:rowOff>
    </xdr:from>
    <xdr:to>
      <xdr:col>22</xdr:col>
      <xdr:colOff>304800</xdr:colOff>
      <xdr:row>133</xdr:row>
      <xdr:rowOff>129540</xdr:rowOff>
    </xdr:to>
    <xdr:sp macro="" textlink="">
      <xdr:nvSpPr>
        <xdr:cNvPr id="7450" name="AutoShape 262" descr="https://www.soccerstats.com/img/own/sshplogo.png">
          <a:hlinkClick xmlns:r="http://schemas.openxmlformats.org/officeDocument/2006/relationships" r:id="rId650"/>
        </xdr:cNvPr>
        <xdr:cNvSpPr>
          <a:spLocks noChangeAspect="1" noChangeArrowheads="1"/>
        </xdr:cNvSpPr>
      </xdr:nvSpPr>
      <xdr:spPr bwMode="auto">
        <a:xfrm>
          <a:off x="13411200" y="27111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152400</xdr:colOff>
      <xdr:row>133</xdr:row>
      <xdr:rowOff>106680</xdr:rowOff>
    </xdr:to>
    <xdr:sp macro="" textlink="">
      <xdr:nvSpPr>
        <xdr:cNvPr id="7451" name="AutoShape 263" descr="UKRAINE"/>
        <xdr:cNvSpPr>
          <a:spLocks noChangeAspect="1" noChangeArrowheads="1"/>
        </xdr:cNvSpPr>
      </xdr:nvSpPr>
      <xdr:spPr bwMode="auto">
        <a:xfrm>
          <a:off x="0" y="27287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133</xdr:row>
      <xdr:rowOff>0</xdr:rowOff>
    </xdr:from>
    <xdr:to>
      <xdr:col>22</xdr:col>
      <xdr:colOff>304800</xdr:colOff>
      <xdr:row>134</xdr:row>
      <xdr:rowOff>129540</xdr:rowOff>
    </xdr:to>
    <xdr:sp macro="" textlink="">
      <xdr:nvSpPr>
        <xdr:cNvPr id="7452" name="AutoShape 264" descr="https://www.soccerstats.com/img/own/sshplogo.png">
          <a:hlinkClick xmlns:r="http://schemas.openxmlformats.org/officeDocument/2006/relationships" r:id="rId651"/>
        </xdr:cNvPr>
        <xdr:cNvSpPr>
          <a:spLocks noChangeAspect="1" noChangeArrowheads="1"/>
        </xdr:cNvSpPr>
      </xdr:nvSpPr>
      <xdr:spPr bwMode="auto">
        <a:xfrm>
          <a:off x="13411200" y="27287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152400</xdr:colOff>
      <xdr:row>134</xdr:row>
      <xdr:rowOff>106680</xdr:rowOff>
    </xdr:to>
    <xdr:sp macro="" textlink="">
      <xdr:nvSpPr>
        <xdr:cNvPr id="7453" name="AutoShape 265" descr="URUGUAY3"/>
        <xdr:cNvSpPr>
          <a:spLocks noChangeAspect="1" noChangeArrowheads="1"/>
        </xdr:cNvSpPr>
      </xdr:nvSpPr>
      <xdr:spPr bwMode="auto">
        <a:xfrm>
          <a:off x="0" y="27462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134</xdr:row>
      <xdr:rowOff>0</xdr:rowOff>
    </xdr:from>
    <xdr:to>
      <xdr:col>22</xdr:col>
      <xdr:colOff>304800</xdr:colOff>
      <xdr:row>135</xdr:row>
      <xdr:rowOff>129540</xdr:rowOff>
    </xdr:to>
    <xdr:sp macro="" textlink="">
      <xdr:nvSpPr>
        <xdr:cNvPr id="7454" name="AutoShape 266" descr="https://www.soccerstats.com/img/own/sshplogo.png">
          <a:hlinkClick xmlns:r="http://schemas.openxmlformats.org/officeDocument/2006/relationships" r:id="rId652"/>
        </xdr:cNvPr>
        <xdr:cNvSpPr>
          <a:spLocks noChangeAspect="1" noChangeArrowheads="1"/>
        </xdr:cNvSpPr>
      </xdr:nvSpPr>
      <xdr:spPr bwMode="auto">
        <a:xfrm>
          <a:off x="13411200" y="27462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152400</xdr:colOff>
      <xdr:row>135</xdr:row>
      <xdr:rowOff>106680</xdr:rowOff>
    </xdr:to>
    <xdr:sp macro="" textlink="">
      <xdr:nvSpPr>
        <xdr:cNvPr id="7455" name="AutoShape 267" descr="WALES"/>
        <xdr:cNvSpPr>
          <a:spLocks noChangeAspect="1" noChangeArrowheads="1"/>
        </xdr:cNvSpPr>
      </xdr:nvSpPr>
      <xdr:spPr bwMode="auto">
        <a:xfrm>
          <a:off x="0" y="27637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135</xdr:row>
      <xdr:rowOff>0</xdr:rowOff>
    </xdr:from>
    <xdr:to>
      <xdr:col>22</xdr:col>
      <xdr:colOff>304800</xdr:colOff>
      <xdr:row>136</xdr:row>
      <xdr:rowOff>129540</xdr:rowOff>
    </xdr:to>
    <xdr:sp macro="" textlink="">
      <xdr:nvSpPr>
        <xdr:cNvPr id="7456" name="AutoShape 268" descr="https://www.soccerstats.com/img/own/sshplogo.png">
          <a:hlinkClick xmlns:r="http://schemas.openxmlformats.org/officeDocument/2006/relationships" r:id="rId653"/>
        </xdr:cNvPr>
        <xdr:cNvSpPr>
          <a:spLocks noChangeAspect="1" noChangeArrowheads="1"/>
        </xdr:cNvSpPr>
      </xdr:nvSpPr>
      <xdr:spPr bwMode="auto">
        <a:xfrm>
          <a:off x="13411200" y="27637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152400</xdr:colOff>
      <xdr:row>136</xdr:row>
      <xdr:rowOff>106680</xdr:rowOff>
    </xdr:to>
    <xdr:sp macro="" textlink="">
      <xdr:nvSpPr>
        <xdr:cNvPr id="7457" name="AutoShape 269" descr="WALES"/>
        <xdr:cNvSpPr>
          <a:spLocks noChangeAspect="1" noChangeArrowheads="1"/>
        </xdr:cNvSpPr>
      </xdr:nvSpPr>
      <xdr:spPr bwMode="auto">
        <a:xfrm>
          <a:off x="0" y="27813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136</xdr:row>
      <xdr:rowOff>0</xdr:rowOff>
    </xdr:from>
    <xdr:to>
      <xdr:col>22</xdr:col>
      <xdr:colOff>304800</xdr:colOff>
      <xdr:row>137</xdr:row>
      <xdr:rowOff>53340</xdr:rowOff>
    </xdr:to>
    <xdr:sp macro="" textlink="">
      <xdr:nvSpPr>
        <xdr:cNvPr id="7458" name="AutoShape 270" descr="https://www.soccerstats.com/img/own/sshplogo.png">
          <a:hlinkClick xmlns:r="http://schemas.openxmlformats.org/officeDocument/2006/relationships" r:id="rId654"/>
        </xdr:cNvPr>
        <xdr:cNvSpPr>
          <a:spLocks noChangeAspect="1" noChangeArrowheads="1"/>
        </xdr:cNvSpPr>
      </xdr:nvSpPr>
      <xdr:spPr bwMode="auto">
        <a:xfrm>
          <a:off x="13411200" y="2781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152400</xdr:colOff>
      <xdr:row>137</xdr:row>
      <xdr:rowOff>106680</xdr:rowOff>
    </xdr:to>
    <xdr:sp macro="" textlink="">
      <xdr:nvSpPr>
        <xdr:cNvPr id="7459" name="AutoShape 271" descr="WALES"/>
        <xdr:cNvSpPr>
          <a:spLocks noChangeAspect="1" noChangeArrowheads="1"/>
        </xdr:cNvSpPr>
      </xdr:nvSpPr>
      <xdr:spPr bwMode="auto">
        <a:xfrm>
          <a:off x="0" y="28064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137</xdr:row>
      <xdr:rowOff>0</xdr:rowOff>
    </xdr:from>
    <xdr:to>
      <xdr:col>22</xdr:col>
      <xdr:colOff>304800</xdr:colOff>
      <xdr:row>138</xdr:row>
      <xdr:rowOff>53340</xdr:rowOff>
    </xdr:to>
    <xdr:sp macro="" textlink="">
      <xdr:nvSpPr>
        <xdr:cNvPr id="7460" name="AutoShape 272" descr="https://www.soccerstats.com/img/own/sshplogo.png">
          <a:hlinkClick xmlns:r="http://schemas.openxmlformats.org/officeDocument/2006/relationships" r:id="rId655"/>
        </xdr:cNvPr>
        <xdr:cNvSpPr>
          <a:spLocks noChangeAspect="1" noChangeArrowheads="1"/>
        </xdr:cNvSpPr>
      </xdr:nvSpPr>
      <xdr:spPr bwMode="auto">
        <a:xfrm>
          <a:off x="13411200" y="28064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138</xdr:row>
      <xdr:rowOff>0</xdr:rowOff>
    </xdr:from>
    <xdr:to>
      <xdr:col>0</xdr:col>
      <xdr:colOff>152400</xdr:colOff>
      <xdr:row>138</xdr:row>
      <xdr:rowOff>106680</xdr:rowOff>
    </xdr:to>
    <xdr:sp macro="" textlink="">
      <xdr:nvSpPr>
        <xdr:cNvPr id="7461" name="AutoShape 273" descr="WALES"/>
        <xdr:cNvSpPr>
          <a:spLocks noChangeAspect="1" noChangeArrowheads="1"/>
        </xdr:cNvSpPr>
      </xdr:nvSpPr>
      <xdr:spPr bwMode="auto">
        <a:xfrm>
          <a:off x="0" y="28315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138</xdr:row>
      <xdr:rowOff>0</xdr:rowOff>
    </xdr:from>
    <xdr:to>
      <xdr:col>22</xdr:col>
      <xdr:colOff>304800</xdr:colOff>
      <xdr:row>139</xdr:row>
      <xdr:rowOff>53340</xdr:rowOff>
    </xdr:to>
    <xdr:sp macro="" textlink="">
      <xdr:nvSpPr>
        <xdr:cNvPr id="7462" name="AutoShape 274" descr="https://www.soccerstats.com/img/own/sshplogo.png">
          <a:hlinkClick xmlns:r="http://schemas.openxmlformats.org/officeDocument/2006/relationships" r:id="rId656"/>
        </xdr:cNvPr>
        <xdr:cNvSpPr>
          <a:spLocks noChangeAspect="1" noChangeArrowheads="1"/>
        </xdr:cNvSpPr>
      </xdr:nvSpPr>
      <xdr:spPr bwMode="auto">
        <a:xfrm>
          <a:off x="13411200" y="28315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152400</xdr:colOff>
      <xdr:row>139</xdr:row>
      <xdr:rowOff>106680</xdr:rowOff>
    </xdr:to>
    <xdr:sp macro="" textlink="">
      <xdr:nvSpPr>
        <xdr:cNvPr id="7463" name="AutoShape 275" descr="WALES"/>
        <xdr:cNvSpPr>
          <a:spLocks noChangeAspect="1" noChangeArrowheads="1"/>
        </xdr:cNvSpPr>
      </xdr:nvSpPr>
      <xdr:spPr bwMode="auto">
        <a:xfrm>
          <a:off x="0" y="28567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139</xdr:row>
      <xdr:rowOff>0</xdr:rowOff>
    </xdr:from>
    <xdr:to>
      <xdr:col>22</xdr:col>
      <xdr:colOff>304800</xdr:colOff>
      <xdr:row>140</xdr:row>
      <xdr:rowOff>129540</xdr:rowOff>
    </xdr:to>
    <xdr:sp macro="" textlink="">
      <xdr:nvSpPr>
        <xdr:cNvPr id="7464" name="AutoShape 276" descr="https://www.soccerstats.com/img/own/sshplogo.png">
          <a:hlinkClick xmlns:r="http://schemas.openxmlformats.org/officeDocument/2006/relationships" r:id="rId657"/>
        </xdr:cNvPr>
        <xdr:cNvSpPr>
          <a:spLocks noChangeAspect="1" noChangeArrowheads="1"/>
        </xdr:cNvSpPr>
      </xdr:nvSpPr>
      <xdr:spPr bwMode="auto">
        <a:xfrm>
          <a:off x="13411200" y="28567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140</xdr:row>
      <xdr:rowOff>0</xdr:rowOff>
    </xdr:from>
    <xdr:to>
      <xdr:col>0</xdr:col>
      <xdr:colOff>152400</xdr:colOff>
      <xdr:row>140</xdr:row>
      <xdr:rowOff>106680</xdr:rowOff>
    </xdr:to>
    <xdr:sp macro="" textlink="">
      <xdr:nvSpPr>
        <xdr:cNvPr id="7465" name="AutoShape 277" descr="WALES"/>
        <xdr:cNvSpPr>
          <a:spLocks noChangeAspect="1" noChangeArrowheads="1"/>
        </xdr:cNvSpPr>
      </xdr:nvSpPr>
      <xdr:spPr bwMode="auto">
        <a:xfrm>
          <a:off x="0" y="28742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140</xdr:row>
      <xdr:rowOff>0</xdr:rowOff>
    </xdr:from>
    <xdr:to>
      <xdr:col>22</xdr:col>
      <xdr:colOff>304800</xdr:colOff>
      <xdr:row>141</xdr:row>
      <xdr:rowOff>53340</xdr:rowOff>
    </xdr:to>
    <xdr:sp macro="" textlink="">
      <xdr:nvSpPr>
        <xdr:cNvPr id="7466" name="AutoShape 278" descr="https://www.soccerstats.com/img/own/sshplogo.png">
          <a:hlinkClick xmlns:r="http://schemas.openxmlformats.org/officeDocument/2006/relationships" r:id="rId658"/>
        </xdr:cNvPr>
        <xdr:cNvSpPr>
          <a:spLocks noChangeAspect="1" noChangeArrowheads="1"/>
        </xdr:cNvSpPr>
      </xdr:nvSpPr>
      <xdr:spPr bwMode="auto">
        <a:xfrm>
          <a:off x="13411200" y="28742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467" name="AutoShape 1" descr="NETHERLANDS"/>
        <xdr:cNvSpPr>
          <a:spLocks noChangeAspect="1" noChangeArrowheads="1"/>
        </xdr:cNvSpPr>
      </xdr:nvSpPr>
      <xdr:spPr bwMode="auto">
        <a:xfrm>
          <a:off x="0" y="175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468" name="AutoShape 2" descr="https://www.soccerstats.com/img/own/sshplogo.png">
          <a:hlinkClick xmlns:r="http://schemas.openxmlformats.org/officeDocument/2006/relationships" r:id="rId516"/>
        </xdr:cNvPr>
        <xdr:cNvSpPr>
          <a:spLocks noChangeAspect="1" noChangeArrowheads="1"/>
        </xdr:cNvSpPr>
      </xdr:nvSpPr>
      <xdr:spPr bwMode="auto">
        <a:xfrm>
          <a:off x="13411200" y="175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152400</xdr:colOff>
      <xdr:row>2</xdr:row>
      <xdr:rowOff>106680</xdr:rowOff>
    </xdr:to>
    <xdr:sp macro="" textlink="">
      <xdr:nvSpPr>
        <xdr:cNvPr id="7469" name="AutoShape 3" descr="PORTUGAL"/>
        <xdr:cNvSpPr>
          <a:spLocks noChangeAspect="1" noChangeArrowheads="1"/>
        </xdr:cNvSpPr>
      </xdr:nvSpPr>
      <xdr:spPr bwMode="auto">
        <a:xfrm>
          <a:off x="0" y="350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</xdr:row>
      <xdr:rowOff>0</xdr:rowOff>
    </xdr:from>
    <xdr:to>
      <xdr:col>22</xdr:col>
      <xdr:colOff>304800</xdr:colOff>
      <xdr:row>3</xdr:row>
      <xdr:rowOff>129540</xdr:rowOff>
    </xdr:to>
    <xdr:sp macro="" textlink="">
      <xdr:nvSpPr>
        <xdr:cNvPr id="7470" name="AutoShape 4" descr="https://www.soccerstats.com/img/own/sshplogo.png">
          <a:hlinkClick xmlns:r="http://schemas.openxmlformats.org/officeDocument/2006/relationships" r:id="rId517"/>
        </xdr:cNvPr>
        <xdr:cNvSpPr>
          <a:spLocks noChangeAspect="1" noChangeArrowheads="1"/>
        </xdr:cNvSpPr>
      </xdr:nvSpPr>
      <xdr:spPr bwMode="auto">
        <a:xfrm>
          <a:off x="13411200" y="350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152400</xdr:colOff>
      <xdr:row>3</xdr:row>
      <xdr:rowOff>106680</xdr:rowOff>
    </xdr:to>
    <xdr:sp macro="" textlink="">
      <xdr:nvSpPr>
        <xdr:cNvPr id="7471" name="AutoShape 5" descr="ENGLAND2"/>
        <xdr:cNvSpPr>
          <a:spLocks noChangeAspect="1" noChangeArrowheads="1"/>
        </xdr:cNvSpPr>
      </xdr:nvSpPr>
      <xdr:spPr bwMode="auto">
        <a:xfrm>
          <a:off x="0" y="525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</xdr:row>
      <xdr:rowOff>0</xdr:rowOff>
    </xdr:from>
    <xdr:to>
      <xdr:col>22</xdr:col>
      <xdr:colOff>304800</xdr:colOff>
      <xdr:row>4</xdr:row>
      <xdr:rowOff>53340</xdr:rowOff>
    </xdr:to>
    <xdr:sp macro="" textlink="">
      <xdr:nvSpPr>
        <xdr:cNvPr id="7472" name="AutoShape 6" descr="https://www.soccerstats.com/img/own/sshplogo.png">
          <a:hlinkClick xmlns:r="http://schemas.openxmlformats.org/officeDocument/2006/relationships" r:id="rId518"/>
        </xdr:cNvPr>
        <xdr:cNvSpPr>
          <a:spLocks noChangeAspect="1" noChangeArrowheads="1"/>
        </xdr:cNvSpPr>
      </xdr:nvSpPr>
      <xdr:spPr bwMode="auto">
        <a:xfrm>
          <a:off x="13411200" y="525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152400</xdr:colOff>
      <xdr:row>4</xdr:row>
      <xdr:rowOff>106680</xdr:rowOff>
    </xdr:to>
    <xdr:sp macro="" textlink="">
      <xdr:nvSpPr>
        <xdr:cNvPr id="7473" name="AutoShape 7" descr="SPAIN2"/>
        <xdr:cNvSpPr>
          <a:spLocks noChangeAspect="1" noChangeArrowheads="1"/>
        </xdr:cNvSpPr>
      </xdr:nvSpPr>
      <xdr:spPr bwMode="auto">
        <a:xfrm>
          <a:off x="0" y="777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</xdr:row>
      <xdr:rowOff>0</xdr:rowOff>
    </xdr:from>
    <xdr:to>
      <xdr:col>22</xdr:col>
      <xdr:colOff>304800</xdr:colOff>
      <xdr:row>5</xdr:row>
      <xdr:rowOff>53340</xdr:rowOff>
    </xdr:to>
    <xdr:sp macro="" textlink="">
      <xdr:nvSpPr>
        <xdr:cNvPr id="7474" name="AutoShape 8" descr="https://www.soccerstats.com/img/own/sshplogo.png">
          <a:hlinkClick xmlns:r="http://schemas.openxmlformats.org/officeDocument/2006/relationships" r:id="rId519"/>
        </xdr:cNvPr>
        <xdr:cNvSpPr>
          <a:spLocks noChangeAspect="1" noChangeArrowheads="1"/>
        </xdr:cNvSpPr>
      </xdr:nvSpPr>
      <xdr:spPr bwMode="auto">
        <a:xfrm>
          <a:off x="13411200" y="777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152400</xdr:colOff>
      <xdr:row>5</xdr:row>
      <xdr:rowOff>106680</xdr:rowOff>
    </xdr:to>
    <xdr:sp macro="" textlink="">
      <xdr:nvSpPr>
        <xdr:cNvPr id="7475" name="AutoShape 9" descr="FRANCE2"/>
        <xdr:cNvSpPr>
          <a:spLocks noChangeAspect="1" noChangeArrowheads="1"/>
        </xdr:cNvSpPr>
      </xdr:nvSpPr>
      <xdr:spPr bwMode="auto">
        <a:xfrm>
          <a:off x="0" y="1028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</xdr:row>
      <xdr:rowOff>0</xdr:rowOff>
    </xdr:from>
    <xdr:to>
      <xdr:col>22</xdr:col>
      <xdr:colOff>304800</xdr:colOff>
      <xdr:row>6</xdr:row>
      <xdr:rowOff>53340</xdr:rowOff>
    </xdr:to>
    <xdr:sp macro="" textlink="">
      <xdr:nvSpPr>
        <xdr:cNvPr id="7476" name="AutoShape 10" descr="https://www.soccerstats.com/img/own/sshplogo.png">
          <a:hlinkClick xmlns:r="http://schemas.openxmlformats.org/officeDocument/2006/relationships" r:id="rId520"/>
        </xdr:cNvPr>
        <xdr:cNvSpPr>
          <a:spLocks noChangeAspect="1" noChangeArrowheads="1"/>
        </xdr:cNvSpPr>
      </xdr:nvSpPr>
      <xdr:spPr bwMode="auto">
        <a:xfrm>
          <a:off x="134112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152400</xdr:colOff>
      <xdr:row>6</xdr:row>
      <xdr:rowOff>106680</xdr:rowOff>
    </xdr:to>
    <xdr:sp macro="" textlink="">
      <xdr:nvSpPr>
        <xdr:cNvPr id="7477" name="AutoShape 11" descr="FRANCE2"/>
        <xdr:cNvSpPr>
          <a:spLocks noChangeAspect="1" noChangeArrowheads="1"/>
        </xdr:cNvSpPr>
      </xdr:nvSpPr>
      <xdr:spPr bwMode="auto">
        <a:xfrm>
          <a:off x="0" y="1280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</xdr:row>
      <xdr:rowOff>0</xdr:rowOff>
    </xdr:from>
    <xdr:to>
      <xdr:col>22</xdr:col>
      <xdr:colOff>304800</xdr:colOff>
      <xdr:row>7</xdr:row>
      <xdr:rowOff>129540</xdr:rowOff>
    </xdr:to>
    <xdr:sp macro="" textlink="">
      <xdr:nvSpPr>
        <xdr:cNvPr id="7478" name="AutoShape 12" descr="https://www.soccerstats.com/img/own/sshplogo.png">
          <a:hlinkClick xmlns:r="http://schemas.openxmlformats.org/officeDocument/2006/relationships" r:id="rId521"/>
        </xdr:cNvPr>
        <xdr:cNvSpPr>
          <a:spLocks noChangeAspect="1" noChangeArrowheads="1"/>
        </xdr:cNvSpPr>
      </xdr:nvSpPr>
      <xdr:spPr bwMode="auto">
        <a:xfrm>
          <a:off x="13411200" y="1280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152400</xdr:colOff>
      <xdr:row>7</xdr:row>
      <xdr:rowOff>106680</xdr:rowOff>
    </xdr:to>
    <xdr:sp macro="" textlink="">
      <xdr:nvSpPr>
        <xdr:cNvPr id="7479" name="AutoShape 13" descr="FRANCE2"/>
        <xdr:cNvSpPr>
          <a:spLocks noChangeAspect="1" noChangeArrowheads="1"/>
        </xdr:cNvSpPr>
      </xdr:nvSpPr>
      <xdr:spPr bwMode="auto">
        <a:xfrm>
          <a:off x="0" y="1455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</xdr:row>
      <xdr:rowOff>0</xdr:rowOff>
    </xdr:from>
    <xdr:to>
      <xdr:col>22</xdr:col>
      <xdr:colOff>304800</xdr:colOff>
      <xdr:row>8</xdr:row>
      <xdr:rowOff>129540</xdr:rowOff>
    </xdr:to>
    <xdr:sp macro="" textlink="">
      <xdr:nvSpPr>
        <xdr:cNvPr id="7480" name="AutoShape 14" descr="https://www.soccerstats.com/img/own/sshplogo.png">
          <a:hlinkClick xmlns:r="http://schemas.openxmlformats.org/officeDocument/2006/relationships" r:id="rId522"/>
        </xdr:cNvPr>
        <xdr:cNvSpPr>
          <a:spLocks noChangeAspect="1" noChangeArrowheads="1"/>
        </xdr:cNvSpPr>
      </xdr:nvSpPr>
      <xdr:spPr bwMode="auto">
        <a:xfrm>
          <a:off x="13411200" y="1455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152400</xdr:colOff>
      <xdr:row>8</xdr:row>
      <xdr:rowOff>106680</xdr:rowOff>
    </xdr:to>
    <xdr:sp macro="" textlink="">
      <xdr:nvSpPr>
        <xdr:cNvPr id="7481" name="AutoShape 15" descr="FRANCE2"/>
        <xdr:cNvSpPr>
          <a:spLocks noChangeAspect="1" noChangeArrowheads="1"/>
        </xdr:cNvSpPr>
      </xdr:nvSpPr>
      <xdr:spPr bwMode="auto">
        <a:xfrm>
          <a:off x="0" y="1630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</xdr:row>
      <xdr:rowOff>0</xdr:rowOff>
    </xdr:from>
    <xdr:to>
      <xdr:col>22</xdr:col>
      <xdr:colOff>304800</xdr:colOff>
      <xdr:row>9</xdr:row>
      <xdr:rowOff>129540</xdr:rowOff>
    </xdr:to>
    <xdr:sp macro="" textlink="">
      <xdr:nvSpPr>
        <xdr:cNvPr id="7482" name="AutoShape 16" descr="https://www.soccerstats.com/img/own/sshplogo.png">
          <a:hlinkClick xmlns:r="http://schemas.openxmlformats.org/officeDocument/2006/relationships" r:id="rId523"/>
        </xdr:cNvPr>
        <xdr:cNvSpPr>
          <a:spLocks noChangeAspect="1" noChangeArrowheads="1"/>
        </xdr:cNvSpPr>
      </xdr:nvSpPr>
      <xdr:spPr bwMode="auto">
        <a:xfrm>
          <a:off x="13411200" y="1630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152400</xdr:colOff>
      <xdr:row>9</xdr:row>
      <xdr:rowOff>106680</xdr:rowOff>
    </xdr:to>
    <xdr:sp macro="" textlink="">
      <xdr:nvSpPr>
        <xdr:cNvPr id="7483" name="AutoShape 17" descr="FRANCE2"/>
        <xdr:cNvSpPr>
          <a:spLocks noChangeAspect="1" noChangeArrowheads="1"/>
        </xdr:cNvSpPr>
      </xdr:nvSpPr>
      <xdr:spPr bwMode="auto">
        <a:xfrm>
          <a:off x="0" y="1805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</xdr:row>
      <xdr:rowOff>0</xdr:rowOff>
    </xdr:from>
    <xdr:to>
      <xdr:col>22</xdr:col>
      <xdr:colOff>304800</xdr:colOff>
      <xdr:row>10</xdr:row>
      <xdr:rowOff>129540</xdr:rowOff>
    </xdr:to>
    <xdr:sp macro="" textlink="">
      <xdr:nvSpPr>
        <xdr:cNvPr id="7484" name="AutoShape 18" descr="https://www.soccerstats.com/img/own/sshplogo.png">
          <a:hlinkClick xmlns:r="http://schemas.openxmlformats.org/officeDocument/2006/relationships" r:id="rId524"/>
        </xdr:cNvPr>
        <xdr:cNvSpPr>
          <a:spLocks noChangeAspect="1" noChangeArrowheads="1"/>
        </xdr:cNvSpPr>
      </xdr:nvSpPr>
      <xdr:spPr bwMode="auto">
        <a:xfrm>
          <a:off x="13411200" y="1805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152400</xdr:colOff>
      <xdr:row>10</xdr:row>
      <xdr:rowOff>106680</xdr:rowOff>
    </xdr:to>
    <xdr:sp macro="" textlink="">
      <xdr:nvSpPr>
        <xdr:cNvPr id="7485" name="AutoShape 19" descr="FRANCE2"/>
        <xdr:cNvSpPr>
          <a:spLocks noChangeAspect="1" noChangeArrowheads="1"/>
        </xdr:cNvSpPr>
      </xdr:nvSpPr>
      <xdr:spPr bwMode="auto">
        <a:xfrm>
          <a:off x="0" y="1981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</xdr:row>
      <xdr:rowOff>0</xdr:rowOff>
    </xdr:from>
    <xdr:to>
      <xdr:col>22</xdr:col>
      <xdr:colOff>304800</xdr:colOff>
      <xdr:row>11</xdr:row>
      <xdr:rowOff>129540</xdr:rowOff>
    </xdr:to>
    <xdr:sp macro="" textlink="">
      <xdr:nvSpPr>
        <xdr:cNvPr id="7486" name="AutoShape 20" descr="https://www.soccerstats.com/img/own/sshplogo.png">
          <a:hlinkClick xmlns:r="http://schemas.openxmlformats.org/officeDocument/2006/relationships" r:id="rId525"/>
        </xdr:cNvPr>
        <xdr:cNvSpPr>
          <a:spLocks noChangeAspect="1" noChangeArrowheads="1"/>
        </xdr:cNvSpPr>
      </xdr:nvSpPr>
      <xdr:spPr bwMode="auto">
        <a:xfrm>
          <a:off x="13411200" y="1981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152400</xdr:colOff>
      <xdr:row>11</xdr:row>
      <xdr:rowOff>106680</xdr:rowOff>
    </xdr:to>
    <xdr:sp macro="" textlink="">
      <xdr:nvSpPr>
        <xdr:cNvPr id="7487" name="AutoShape 21" descr="FRANCE2"/>
        <xdr:cNvSpPr>
          <a:spLocks noChangeAspect="1" noChangeArrowheads="1"/>
        </xdr:cNvSpPr>
      </xdr:nvSpPr>
      <xdr:spPr bwMode="auto">
        <a:xfrm>
          <a:off x="0" y="2156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</xdr:row>
      <xdr:rowOff>0</xdr:rowOff>
    </xdr:from>
    <xdr:to>
      <xdr:col>22</xdr:col>
      <xdr:colOff>304800</xdr:colOff>
      <xdr:row>12</xdr:row>
      <xdr:rowOff>129540</xdr:rowOff>
    </xdr:to>
    <xdr:sp macro="" textlink="">
      <xdr:nvSpPr>
        <xdr:cNvPr id="7488" name="AutoShape 22" descr="https://www.soccerstats.com/img/own/sshplogo.png">
          <a:hlinkClick xmlns:r="http://schemas.openxmlformats.org/officeDocument/2006/relationships" r:id="rId526"/>
        </xdr:cNvPr>
        <xdr:cNvSpPr>
          <a:spLocks noChangeAspect="1" noChangeArrowheads="1"/>
        </xdr:cNvSpPr>
      </xdr:nvSpPr>
      <xdr:spPr bwMode="auto">
        <a:xfrm>
          <a:off x="13411200" y="2156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152400</xdr:colOff>
      <xdr:row>12</xdr:row>
      <xdr:rowOff>106680</xdr:rowOff>
    </xdr:to>
    <xdr:sp macro="" textlink="">
      <xdr:nvSpPr>
        <xdr:cNvPr id="7489" name="AutoShape 23" descr="FRANCE2"/>
        <xdr:cNvSpPr>
          <a:spLocks noChangeAspect="1" noChangeArrowheads="1"/>
        </xdr:cNvSpPr>
      </xdr:nvSpPr>
      <xdr:spPr bwMode="auto">
        <a:xfrm>
          <a:off x="0" y="2331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</xdr:row>
      <xdr:rowOff>0</xdr:rowOff>
    </xdr:from>
    <xdr:to>
      <xdr:col>22</xdr:col>
      <xdr:colOff>304800</xdr:colOff>
      <xdr:row>13</xdr:row>
      <xdr:rowOff>53340</xdr:rowOff>
    </xdr:to>
    <xdr:sp macro="" textlink="">
      <xdr:nvSpPr>
        <xdr:cNvPr id="7490" name="AutoShape 24" descr="https://www.soccerstats.com/img/own/sshplogo.png">
          <a:hlinkClick xmlns:r="http://schemas.openxmlformats.org/officeDocument/2006/relationships" r:id="rId527"/>
        </xdr:cNvPr>
        <xdr:cNvSpPr>
          <a:spLocks noChangeAspect="1" noChangeArrowheads="1"/>
        </xdr:cNvSpPr>
      </xdr:nvSpPr>
      <xdr:spPr bwMode="auto">
        <a:xfrm>
          <a:off x="13411200" y="2331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152400</xdr:colOff>
      <xdr:row>13</xdr:row>
      <xdr:rowOff>106680</xdr:rowOff>
    </xdr:to>
    <xdr:sp macro="" textlink="">
      <xdr:nvSpPr>
        <xdr:cNvPr id="7491" name="AutoShape 25" descr="FRANCE2"/>
        <xdr:cNvSpPr>
          <a:spLocks noChangeAspect="1" noChangeArrowheads="1"/>
        </xdr:cNvSpPr>
      </xdr:nvSpPr>
      <xdr:spPr bwMode="auto">
        <a:xfrm>
          <a:off x="0" y="2583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</xdr:row>
      <xdr:rowOff>0</xdr:rowOff>
    </xdr:from>
    <xdr:to>
      <xdr:col>22</xdr:col>
      <xdr:colOff>304800</xdr:colOff>
      <xdr:row>14</xdr:row>
      <xdr:rowOff>129540</xdr:rowOff>
    </xdr:to>
    <xdr:sp macro="" textlink="">
      <xdr:nvSpPr>
        <xdr:cNvPr id="7492" name="AutoShape 26" descr="https://www.soccerstats.com/img/own/sshplogo.png">
          <a:hlinkClick xmlns:r="http://schemas.openxmlformats.org/officeDocument/2006/relationships" r:id="rId528"/>
        </xdr:cNvPr>
        <xdr:cNvSpPr>
          <a:spLocks noChangeAspect="1" noChangeArrowheads="1"/>
        </xdr:cNvSpPr>
      </xdr:nvSpPr>
      <xdr:spPr bwMode="auto">
        <a:xfrm>
          <a:off x="13411200" y="2583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152400</xdr:colOff>
      <xdr:row>14</xdr:row>
      <xdr:rowOff>106680</xdr:rowOff>
    </xdr:to>
    <xdr:sp macro="" textlink="">
      <xdr:nvSpPr>
        <xdr:cNvPr id="7493" name="AutoShape 27" descr="GERMANY2"/>
        <xdr:cNvSpPr>
          <a:spLocks noChangeAspect="1" noChangeArrowheads="1"/>
        </xdr:cNvSpPr>
      </xdr:nvSpPr>
      <xdr:spPr bwMode="auto">
        <a:xfrm>
          <a:off x="0" y="2758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</xdr:row>
      <xdr:rowOff>0</xdr:rowOff>
    </xdr:from>
    <xdr:to>
      <xdr:col>22</xdr:col>
      <xdr:colOff>304800</xdr:colOff>
      <xdr:row>15</xdr:row>
      <xdr:rowOff>53340</xdr:rowOff>
    </xdr:to>
    <xdr:sp macro="" textlink="">
      <xdr:nvSpPr>
        <xdr:cNvPr id="7494" name="AutoShape 28" descr="https://www.soccerstats.com/img/own/sshplogo.png">
          <a:hlinkClick xmlns:r="http://schemas.openxmlformats.org/officeDocument/2006/relationships" r:id="rId529"/>
        </xdr:cNvPr>
        <xdr:cNvSpPr>
          <a:spLocks noChangeAspect="1" noChangeArrowheads="1"/>
        </xdr:cNvSpPr>
      </xdr:nvSpPr>
      <xdr:spPr bwMode="auto">
        <a:xfrm>
          <a:off x="13411200" y="2758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152400</xdr:colOff>
      <xdr:row>15</xdr:row>
      <xdr:rowOff>106680</xdr:rowOff>
    </xdr:to>
    <xdr:sp macro="" textlink="">
      <xdr:nvSpPr>
        <xdr:cNvPr id="7495" name="AutoShape 29" descr="GERMANY2"/>
        <xdr:cNvSpPr>
          <a:spLocks noChangeAspect="1" noChangeArrowheads="1"/>
        </xdr:cNvSpPr>
      </xdr:nvSpPr>
      <xdr:spPr bwMode="auto">
        <a:xfrm>
          <a:off x="0" y="3009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15</xdr:row>
      <xdr:rowOff>0</xdr:rowOff>
    </xdr:from>
    <xdr:to>
      <xdr:col>22</xdr:col>
      <xdr:colOff>304800</xdr:colOff>
      <xdr:row>16</xdr:row>
      <xdr:rowOff>129540</xdr:rowOff>
    </xdr:to>
    <xdr:sp macro="" textlink="">
      <xdr:nvSpPr>
        <xdr:cNvPr id="7496" name="AutoShape 30" descr="https://www.soccerstats.com/img/own/sshplogo.png">
          <a:hlinkClick xmlns:r="http://schemas.openxmlformats.org/officeDocument/2006/relationships" r:id="rId530"/>
        </xdr:cNvPr>
        <xdr:cNvSpPr>
          <a:spLocks noChangeAspect="1" noChangeArrowheads="1"/>
        </xdr:cNvSpPr>
      </xdr:nvSpPr>
      <xdr:spPr bwMode="auto">
        <a:xfrm>
          <a:off x="13411200" y="3009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152400</xdr:colOff>
      <xdr:row>16</xdr:row>
      <xdr:rowOff>106680</xdr:rowOff>
    </xdr:to>
    <xdr:sp macro="" textlink="">
      <xdr:nvSpPr>
        <xdr:cNvPr id="7497" name="AutoShape 31" descr="NETHERLANDS2"/>
        <xdr:cNvSpPr>
          <a:spLocks noChangeAspect="1" noChangeArrowheads="1"/>
        </xdr:cNvSpPr>
      </xdr:nvSpPr>
      <xdr:spPr bwMode="auto">
        <a:xfrm>
          <a:off x="0" y="3185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16</xdr:row>
      <xdr:rowOff>0</xdr:rowOff>
    </xdr:from>
    <xdr:to>
      <xdr:col>22</xdr:col>
      <xdr:colOff>304800</xdr:colOff>
      <xdr:row>17</xdr:row>
      <xdr:rowOff>129540</xdr:rowOff>
    </xdr:to>
    <xdr:sp macro="" textlink="">
      <xdr:nvSpPr>
        <xdr:cNvPr id="7498" name="AutoShape 32" descr="https://www.soccerstats.com/img/own/sshplogo.png">
          <a:hlinkClick xmlns:r="http://schemas.openxmlformats.org/officeDocument/2006/relationships" r:id="rId531"/>
        </xdr:cNvPr>
        <xdr:cNvSpPr>
          <a:spLocks noChangeAspect="1" noChangeArrowheads="1"/>
        </xdr:cNvSpPr>
      </xdr:nvSpPr>
      <xdr:spPr bwMode="auto">
        <a:xfrm>
          <a:off x="13411200" y="3185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152400</xdr:colOff>
      <xdr:row>17</xdr:row>
      <xdr:rowOff>106680</xdr:rowOff>
    </xdr:to>
    <xdr:sp macro="" textlink="">
      <xdr:nvSpPr>
        <xdr:cNvPr id="7499" name="AutoShape 33" descr="NETHERLANDS2"/>
        <xdr:cNvSpPr>
          <a:spLocks noChangeAspect="1" noChangeArrowheads="1"/>
        </xdr:cNvSpPr>
      </xdr:nvSpPr>
      <xdr:spPr bwMode="auto">
        <a:xfrm>
          <a:off x="0" y="3360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17</xdr:row>
      <xdr:rowOff>0</xdr:rowOff>
    </xdr:from>
    <xdr:to>
      <xdr:col>22</xdr:col>
      <xdr:colOff>304800</xdr:colOff>
      <xdr:row>18</xdr:row>
      <xdr:rowOff>53340</xdr:rowOff>
    </xdr:to>
    <xdr:sp macro="" textlink="">
      <xdr:nvSpPr>
        <xdr:cNvPr id="7500" name="AutoShape 34" descr="https://www.soccerstats.com/img/own/sshplogo.png">
          <a:hlinkClick xmlns:r="http://schemas.openxmlformats.org/officeDocument/2006/relationships" r:id="rId532"/>
        </xdr:cNvPr>
        <xdr:cNvSpPr>
          <a:spLocks noChangeAspect="1" noChangeArrowheads="1"/>
        </xdr:cNvSpPr>
      </xdr:nvSpPr>
      <xdr:spPr bwMode="auto">
        <a:xfrm>
          <a:off x="13411200" y="3360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152400</xdr:colOff>
      <xdr:row>18</xdr:row>
      <xdr:rowOff>106680</xdr:rowOff>
    </xdr:to>
    <xdr:sp macro="" textlink="">
      <xdr:nvSpPr>
        <xdr:cNvPr id="7501" name="AutoShape 35" descr="NETHERLANDS2"/>
        <xdr:cNvSpPr>
          <a:spLocks noChangeAspect="1" noChangeArrowheads="1"/>
        </xdr:cNvSpPr>
      </xdr:nvSpPr>
      <xdr:spPr bwMode="auto">
        <a:xfrm>
          <a:off x="0" y="3611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18</xdr:row>
      <xdr:rowOff>0</xdr:rowOff>
    </xdr:from>
    <xdr:to>
      <xdr:col>22</xdr:col>
      <xdr:colOff>304800</xdr:colOff>
      <xdr:row>19</xdr:row>
      <xdr:rowOff>53340</xdr:rowOff>
    </xdr:to>
    <xdr:sp macro="" textlink="">
      <xdr:nvSpPr>
        <xdr:cNvPr id="7502" name="AutoShape 36" descr="https://www.soccerstats.com/img/own/sshplogo.png">
          <a:hlinkClick xmlns:r="http://schemas.openxmlformats.org/officeDocument/2006/relationships" r:id="rId533"/>
        </xdr:cNvPr>
        <xdr:cNvSpPr>
          <a:spLocks noChangeAspect="1" noChangeArrowheads="1"/>
        </xdr:cNvSpPr>
      </xdr:nvSpPr>
      <xdr:spPr bwMode="auto">
        <a:xfrm>
          <a:off x="13411200" y="3611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152400</xdr:colOff>
      <xdr:row>19</xdr:row>
      <xdr:rowOff>106680</xdr:rowOff>
    </xdr:to>
    <xdr:sp macro="" textlink="">
      <xdr:nvSpPr>
        <xdr:cNvPr id="7503" name="AutoShape 37" descr="NETHERLANDS2"/>
        <xdr:cNvSpPr>
          <a:spLocks noChangeAspect="1" noChangeArrowheads="1"/>
        </xdr:cNvSpPr>
      </xdr:nvSpPr>
      <xdr:spPr bwMode="auto">
        <a:xfrm>
          <a:off x="0" y="3863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19</xdr:row>
      <xdr:rowOff>0</xdr:rowOff>
    </xdr:from>
    <xdr:to>
      <xdr:col>22</xdr:col>
      <xdr:colOff>304800</xdr:colOff>
      <xdr:row>20</xdr:row>
      <xdr:rowOff>129540</xdr:rowOff>
    </xdr:to>
    <xdr:sp macro="" textlink="">
      <xdr:nvSpPr>
        <xdr:cNvPr id="7504" name="AutoShape 38" descr="https://www.soccerstats.com/img/own/sshplogo.png">
          <a:hlinkClick xmlns:r="http://schemas.openxmlformats.org/officeDocument/2006/relationships" r:id="rId534"/>
        </xdr:cNvPr>
        <xdr:cNvSpPr>
          <a:spLocks noChangeAspect="1" noChangeArrowheads="1"/>
        </xdr:cNvSpPr>
      </xdr:nvSpPr>
      <xdr:spPr bwMode="auto">
        <a:xfrm>
          <a:off x="13411200" y="3863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152400</xdr:colOff>
      <xdr:row>20</xdr:row>
      <xdr:rowOff>106680</xdr:rowOff>
    </xdr:to>
    <xdr:sp macro="" textlink="">
      <xdr:nvSpPr>
        <xdr:cNvPr id="7505" name="AutoShape 39" descr="NETHERLANDS2"/>
        <xdr:cNvSpPr>
          <a:spLocks noChangeAspect="1" noChangeArrowheads="1"/>
        </xdr:cNvSpPr>
      </xdr:nvSpPr>
      <xdr:spPr bwMode="auto">
        <a:xfrm>
          <a:off x="0" y="4038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20</xdr:row>
      <xdr:rowOff>0</xdr:rowOff>
    </xdr:from>
    <xdr:to>
      <xdr:col>22</xdr:col>
      <xdr:colOff>304800</xdr:colOff>
      <xdr:row>21</xdr:row>
      <xdr:rowOff>129540</xdr:rowOff>
    </xdr:to>
    <xdr:sp macro="" textlink="">
      <xdr:nvSpPr>
        <xdr:cNvPr id="7506" name="AutoShape 40" descr="https://www.soccerstats.com/img/own/sshplogo.png">
          <a:hlinkClick xmlns:r="http://schemas.openxmlformats.org/officeDocument/2006/relationships" r:id="rId535"/>
        </xdr:cNvPr>
        <xdr:cNvSpPr>
          <a:spLocks noChangeAspect="1" noChangeArrowheads="1"/>
        </xdr:cNvSpPr>
      </xdr:nvSpPr>
      <xdr:spPr bwMode="auto">
        <a:xfrm>
          <a:off x="13411200" y="4038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152400</xdr:colOff>
      <xdr:row>21</xdr:row>
      <xdr:rowOff>106680</xdr:rowOff>
    </xdr:to>
    <xdr:sp macro="" textlink="">
      <xdr:nvSpPr>
        <xdr:cNvPr id="7507" name="AutoShape 41" descr="NETHERLANDS2"/>
        <xdr:cNvSpPr>
          <a:spLocks noChangeAspect="1" noChangeArrowheads="1"/>
        </xdr:cNvSpPr>
      </xdr:nvSpPr>
      <xdr:spPr bwMode="auto">
        <a:xfrm>
          <a:off x="0" y="4213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21</xdr:row>
      <xdr:rowOff>0</xdr:rowOff>
    </xdr:from>
    <xdr:to>
      <xdr:col>22</xdr:col>
      <xdr:colOff>304800</xdr:colOff>
      <xdr:row>22</xdr:row>
      <xdr:rowOff>53340</xdr:rowOff>
    </xdr:to>
    <xdr:sp macro="" textlink="">
      <xdr:nvSpPr>
        <xdr:cNvPr id="7508" name="AutoShape 42" descr="https://www.soccerstats.com/img/own/sshplogo.png">
          <a:hlinkClick xmlns:r="http://schemas.openxmlformats.org/officeDocument/2006/relationships" r:id="rId536"/>
        </xdr:cNvPr>
        <xdr:cNvSpPr>
          <a:spLocks noChangeAspect="1" noChangeArrowheads="1"/>
        </xdr:cNvSpPr>
      </xdr:nvSpPr>
      <xdr:spPr bwMode="auto">
        <a:xfrm>
          <a:off x="13411200" y="4213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152400</xdr:colOff>
      <xdr:row>22</xdr:row>
      <xdr:rowOff>106680</xdr:rowOff>
    </xdr:to>
    <xdr:sp macro="" textlink="">
      <xdr:nvSpPr>
        <xdr:cNvPr id="7509" name="AutoShape 43" descr="ARGENTINA2"/>
        <xdr:cNvSpPr>
          <a:spLocks noChangeAspect="1" noChangeArrowheads="1"/>
        </xdr:cNvSpPr>
      </xdr:nvSpPr>
      <xdr:spPr bwMode="auto">
        <a:xfrm>
          <a:off x="0" y="4465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22</xdr:row>
      <xdr:rowOff>0</xdr:rowOff>
    </xdr:from>
    <xdr:to>
      <xdr:col>22</xdr:col>
      <xdr:colOff>304800</xdr:colOff>
      <xdr:row>23</xdr:row>
      <xdr:rowOff>129540</xdr:rowOff>
    </xdr:to>
    <xdr:sp macro="" textlink="">
      <xdr:nvSpPr>
        <xdr:cNvPr id="7510" name="AutoShape 44" descr="https://www.soccerstats.com/img/own/sshplogo.png">
          <a:hlinkClick xmlns:r="http://schemas.openxmlformats.org/officeDocument/2006/relationships" r:id="rId537"/>
        </xdr:cNvPr>
        <xdr:cNvSpPr>
          <a:spLocks noChangeAspect="1" noChangeArrowheads="1"/>
        </xdr:cNvSpPr>
      </xdr:nvSpPr>
      <xdr:spPr bwMode="auto">
        <a:xfrm>
          <a:off x="13411200" y="4465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152400</xdr:colOff>
      <xdr:row>23</xdr:row>
      <xdr:rowOff>106680</xdr:rowOff>
    </xdr:to>
    <xdr:sp macro="" textlink="">
      <xdr:nvSpPr>
        <xdr:cNvPr id="7511" name="AutoShape 45" descr="ARGENTINA3"/>
        <xdr:cNvSpPr>
          <a:spLocks noChangeAspect="1" noChangeArrowheads="1"/>
        </xdr:cNvSpPr>
      </xdr:nvSpPr>
      <xdr:spPr bwMode="auto">
        <a:xfrm>
          <a:off x="0" y="4640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23</xdr:row>
      <xdr:rowOff>0</xdr:rowOff>
    </xdr:from>
    <xdr:to>
      <xdr:col>22</xdr:col>
      <xdr:colOff>304800</xdr:colOff>
      <xdr:row>24</xdr:row>
      <xdr:rowOff>129540</xdr:rowOff>
    </xdr:to>
    <xdr:sp macro="" textlink="">
      <xdr:nvSpPr>
        <xdr:cNvPr id="7512" name="AutoShape 46" descr="https://www.soccerstats.com/img/own/sshplogo.png">
          <a:hlinkClick xmlns:r="http://schemas.openxmlformats.org/officeDocument/2006/relationships" r:id="rId538"/>
        </xdr:cNvPr>
        <xdr:cNvSpPr>
          <a:spLocks noChangeAspect="1" noChangeArrowheads="1"/>
        </xdr:cNvSpPr>
      </xdr:nvSpPr>
      <xdr:spPr bwMode="auto">
        <a:xfrm>
          <a:off x="13411200" y="4640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7513" name="AutoShape 47" descr="ARGENTINA3"/>
        <xdr:cNvSpPr>
          <a:spLocks noChangeAspect="1" noChangeArrowheads="1"/>
        </xdr:cNvSpPr>
      </xdr:nvSpPr>
      <xdr:spPr bwMode="auto">
        <a:xfrm>
          <a:off x="0" y="4815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7514" name="AutoShape 48" descr="https://www.soccerstats.com/img/own/sshplogo.png">
          <a:hlinkClick xmlns:r="http://schemas.openxmlformats.org/officeDocument/2006/relationships" r:id="rId539"/>
        </xdr:cNvPr>
        <xdr:cNvSpPr>
          <a:spLocks noChangeAspect="1" noChangeArrowheads="1"/>
        </xdr:cNvSpPr>
      </xdr:nvSpPr>
      <xdr:spPr bwMode="auto">
        <a:xfrm>
          <a:off x="13411200" y="4815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152400</xdr:colOff>
      <xdr:row>25</xdr:row>
      <xdr:rowOff>106680</xdr:rowOff>
    </xdr:to>
    <xdr:sp macro="" textlink="">
      <xdr:nvSpPr>
        <xdr:cNvPr id="7515" name="AutoShape 49" descr="ARMENIA"/>
        <xdr:cNvSpPr>
          <a:spLocks noChangeAspect="1" noChangeArrowheads="1"/>
        </xdr:cNvSpPr>
      </xdr:nvSpPr>
      <xdr:spPr bwMode="auto">
        <a:xfrm>
          <a:off x="0" y="5067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25</xdr:row>
      <xdr:rowOff>0</xdr:rowOff>
    </xdr:from>
    <xdr:to>
      <xdr:col>22</xdr:col>
      <xdr:colOff>304800</xdr:colOff>
      <xdr:row>26</xdr:row>
      <xdr:rowOff>129540</xdr:rowOff>
    </xdr:to>
    <xdr:sp macro="" textlink="">
      <xdr:nvSpPr>
        <xdr:cNvPr id="7516" name="AutoShape 50" descr="https://www.soccerstats.com/img/own/sshplogo.png">
          <a:hlinkClick xmlns:r="http://schemas.openxmlformats.org/officeDocument/2006/relationships" r:id="rId540"/>
        </xdr:cNvPr>
        <xdr:cNvSpPr>
          <a:spLocks noChangeAspect="1" noChangeArrowheads="1"/>
        </xdr:cNvSpPr>
      </xdr:nvSpPr>
      <xdr:spPr bwMode="auto">
        <a:xfrm>
          <a:off x="13411200" y="5067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152400</xdr:colOff>
      <xdr:row>26</xdr:row>
      <xdr:rowOff>106680</xdr:rowOff>
    </xdr:to>
    <xdr:sp macro="" textlink="">
      <xdr:nvSpPr>
        <xdr:cNvPr id="7517" name="AutoShape 51" descr="AUSTRALIA3"/>
        <xdr:cNvSpPr>
          <a:spLocks noChangeAspect="1" noChangeArrowheads="1"/>
        </xdr:cNvSpPr>
      </xdr:nvSpPr>
      <xdr:spPr bwMode="auto">
        <a:xfrm>
          <a:off x="0" y="5242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26</xdr:row>
      <xdr:rowOff>0</xdr:rowOff>
    </xdr:from>
    <xdr:to>
      <xdr:col>22</xdr:col>
      <xdr:colOff>304800</xdr:colOff>
      <xdr:row>27</xdr:row>
      <xdr:rowOff>53340</xdr:rowOff>
    </xdr:to>
    <xdr:sp macro="" textlink="">
      <xdr:nvSpPr>
        <xdr:cNvPr id="7518" name="AutoShape 52" descr="https://www.soccerstats.com/img/own/sshplogo.png">
          <a:hlinkClick xmlns:r="http://schemas.openxmlformats.org/officeDocument/2006/relationships" r:id="rId541"/>
        </xdr:cNvPr>
        <xdr:cNvSpPr>
          <a:spLocks noChangeAspect="1" noChangeArrowheads="1"/>
        </xdr:cNvSpPr>
      </xdr:nvSpPr>
      <xdr:spPr bwMode="auto">
        <a:xfrm>
          <a:off x="13411200" y="5242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152400</xdr:colOff>
      <xdr:row>27</xdr:row>
      <xdr:rowOff>106680</xdr:rowOff>
    </xdr:to>
    <xdr:sp macro="" textlink="">
      <xdr:nvSpPr>
        <xdr:cNvPr id="7519" name="AutoShape 53" descr="AUSTRALIA3"/>
        <xdr:cNvSpPr>
          <a:spLocks noChangeAspect="1" noChangeArrowheads="1"/>
        </xdr:cNvSpPr>
      </xdr:nvSpPr>
      <xdr:spPr bwMode="auto">
        <a:xfrm>
          <a:off x="0" y="5494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27</xdr:row>
      <xdr:rowOff>0</xdr:rowOff>
    </xdr:from>
    <xdr:to>
      <xdr:col>22</xdr:col>
      <xdr:colOff>304800</xdr:colOff>
      <xdr:row>28</xdr:row>
      <xdr:rowOff>129540</xdr:rowOff>
    </xdr:to>
    <xdr:sp macro="" textlink="">
      <xdr:nvSpPr>
        <xdr:cNvPr id="7520" name="AutoShape 54" descr="https://www.soccerstats.com/img/own/sshplogo.png">
          <a:hlinkClick xmlns:r="http://schemas.openxmlformats.org/officeDocument/2006/relationships" r:id="rId542"/>
        </xdr:cNvPr>
        <xdr:cNvSpPr>
          <a:spLocks noChangeAspect="1" noChangeArrowheads="1"/>
        </xdr:cNvSpPr>
      </xdr:nvSpPr>
      <xdr:spPr bwMode="auto">
        <a:xfrm>
          <a:off x="13411200" y="5494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152400</xdr:colOff>
      <xdr:row>28</xdr:row>
      <xdr:rowOff>106680</xdr:rowOff>
    </xdr:to>
    <xdr:sp macro="" textlink="">
      <xdr:nvSpPr>
        <xdr:cNvPr id="7521" name="AutoShape 55" descr="AUSTRALIA3"/>
        <xdr:cNvSpPr>
          <a:spLocks noChangeAspect="1" noChangeArrowheads="1"/>
        </xdr:cNvSpPr>
      </xdr:nvSpPr>
      <xdr:spPr bwMode="auto">
        <a:xfrm>
          <a:off x="0" y="5669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28</xdr:row>
      <xdr:rowOff>0</xdr:rowOff>
    </xdr:from>
    <xdr:to>
      <xdr:col>22</xdr:col>
      <xdr:colOff>304800</xdr:colOff>
      <xdr:row>29</xdr:row>
      <xdr:rowOff>129540</xdr:rowOff>
    </xdr:to>
    <xdr:sp macro="" textlink="">
      <xdr:nvSpPr>
        <xdr:cNvPr id="7522" name="AutoShape 56" descr="https://www.soccerstats.com/img/own/sshplogo.png">
          <a:hlinkClick xmlns:r="http://schemas.openxmlformats.org/officeDocument/2006/relationships" r:id="rId543"/>
        </xdr:cNvPr>
        <xdr:cNvSpPr>
          <a:spLocks noChangeAspect="1" noChangeArrowheads="1"/>
        </xdr:cNvSpPr>
      </xdr:nvSpPr>
      <xdr:spPr bwMode="auto">
        <a:xfrm>
          <a:off x="13411200" y="5669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152400</xdr:colOff>
      <xdr:row>29</xdr:row>
      <xdr:rowOff>106680</xdr:rowOff>
    </xdr:to>
    <xdr:sp macro="" textlink="">
      <xdr:nvSpPr>
        <xdr:cNvPr id="7523" name="AutoShape 57" descr="AUSTRALIA4"/>
        <xdr:cNvSpPr>
          <a:spLocks noChangeAspect="1" noChangeArrowheads="1"/>
        </xdr:cNvSpPr>
      </xdr:nvSpPr>
      <xdr:spPr bwMode="auto">
        <a:xfrm>
          <a:off x="0" y="5844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29</xdr:row>
      <xdr:rowOff>0</xdr:rowOff>
    </xdr:from>
    <xdr:to>
      <xdr:col>22</xdr:col>
      <xdr:colOff>304800</xdr:colOff>
      <xdr:row>30</xdr:row>
      <xdr:rowOff>53340</xdr:rowOff>
    </xdr:to>
    <xdr:sp macro="" textlink="">
      <xdr:nvSpPr>
        <xdr:cNvPr id="7524" name="AutoShape 58" descr="https://www.soccerstats.com/img/own/sshplogo.png">
          <a:hlinkClick xmlns:r="http://schemas.openxmlformats.org/officeDocument/2006/relationships" r:id="rId544"/>
        </xdr:cNvPr>
        <xdr:cNvSpPr>
          <a:spLocks noChangeAspect="1" noChangeArrowheads="1"/>
        </xdr:cNvSpPr>
      </xdr:nvSpPr>
      <xdr:spPr bwMode="auto">
        <a:xfrm>
          <a:off x="13411200" y="5844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152400</xdr:colOff>
      <xdr:row>30</xdr:row>
      <xdr:rowOff>106680</xdr:rowOff>
    </xdr:to>
    <xdr:sp macro="" textlink="">
      <xdr:nvSpPr>
        <xdr:cNvPr id="7525" name="AutoShape 59" descr="AUSTRALIA4"/>
        <xdr:cNvSpPr>
          <a:spLocks noChangeAspect="1" noChangeArrowheads="1"/>
        </xdr:cNvSpPr>
      </xdr:nvSpPr>
      <xdr:spPr bwMode="auto">
        <a:xfrm>
          <a:off x="0" y="6096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30</xdr:row>
      <xdr:rowOff>0</xdr:rowOff>
    </xdr:from>
    <xdr:to>
      <xdr:col>22</xdr:col>
      <xdr:colOff>304800</xdr:colOff>
      <xdr:row>31</xdr:row>
      <xdr:rowOff>53340</xdr:rowOff>
    </xdr:to>
    <xdr:sp macro="" textlink="">
      <xdr:nvSpPr>
        <xdr:cNvPr id="7526" name="AutoShape 60" descr="https://www.soccerstats.com/img/own/sshplogo.png">
          <a:hlinkClick xmlns:r="http://schemas.openxmlformats.org/officeDocument/2006/relationships" r:id="rId545"/>
        </xdr:cNvPr>
        <xdr:cNvSpPr>
          <a:spLocks noChangeAspect="1" noChangeArrowheads="1"/>
        </xdr:cNvSpPr>
      </xdr:nvSpPr>
      <xdr:spPr bwMode="auto">
        <a:xfrm>
          <a:off x="13411200" y="609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152400</xdr:colOff>
      <xdr:row>31</xdr:row>
      <xdr:rowOff>106680</xdr:rowOff>
    </xdr:to>
    <xdr:sp macro="" textlink="">
      <xdr:nvSpPr>
        <xdr:cNvPr id="7527" name="AutoShape 61" descr="AUSTRALIA4"/>
        <xdr:cNvSpPr>
          <a:spLocks noChangeAspect="1" noChangeArrowheads="1"/>
        </xdr:cNvSpPr>
      </xdr:nvSpPr>
      <xdr:spPr bwMode="auto">
        <a:xfrm>
          <a:off x="0" y="6347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31</xdr:row>
      <xdr:rowOff>0</xdr:rowOff>
    </xdr:from>
    <xdr:to>
      <xdr:col>22</xdr:col>
      <xdr:colOff>304800</xdr:colOff>
      <xdr:row>32</xdr:row>
      <xdr:rowOff>53340</xdr:rowOff>
    </xdr:to>
    <xdr:sp macro="" textlink="">
      <xdr:nvSpPr>
        <xdr:cNvPr id="7528" name="AutoShape 62" descr="https://www.soccerstats.com/img/own/sshplogo.png">
          <a:hlinkClick xmlns:r="http://schemas.openxmlformats.org/officeDocument/2006/relationships" r:id="rId546"/>
        </xdr:cNvPr>
        <xdr:cNvSpPr>
          <a:spLocks noChangeAspect="1" noChangeArrowheads="1"/>
        </xdr:cNvSpPr>
      </xdr:nvSpPr>
      <xdr:spPr bwMode="auto">
        <a:xfrm>
          <a:off x="13411200" y="6347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152400</xdr:colOff>
      <xdr:row>32</xdr:row>
      <xdr:rowOff>106680</xdr:rowOff>
    </xdr:to>
    <xdr:sp macro="" textlink="">
      <xdr:nvSpPr>
        <xdr:cNvPr id="7529" name="AutoShape 63" descr="AUSTRALIA4"/>
        <xdr:cNvSpPr>
          <a:spLocks noChangeAspect="1" noChangeArrowheads="1"/>
        </xdr:cNvSpPr>
      </xdr:nvSpPr>
      <xdr:spPr bwMode="auto">
        <a:xfrm>
          <a:off x="0" y="6598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32</xdr:row>
      <xdr:rowOff>0</xdr:rowOff>
    </xdr:from>
    <xdr:to>
      <xdr:col>22</xdr:col>
      <xdr:colOff>304800</xdr:colOff>
      <xdr:row>33</xdr:row>
      <xdr:rowOff>129540</xdr:rowOff>
    </xdr:to>
    <xdr:sp macro="" textlink="">
      <xdr:nvSpPr>
        <xdr:cNvPr id="7530" name="AutoShape 64" descr="https://www.soccerstats.com/img/own/sshplogo.png">
          <a:hlinkClick xmlns:r="http://schemas.openxmlformats.org/officeDocument/2006/relationships" r:id="rId547"/>
        </xdr:cNvPr>
        <xdr:cNvSpPr>
          <a:spLocks noChangeAspect="1" noChangeArrowheads="1"/>
        </xdr:cNvSpPr>
      </xdr:nvSpPr>
      <xdr:spPr bwMode="auto">
        <a:xfrm>
          <a:off x="13411200" y="6598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152400</xdr:colOff>
      <xdr:row>33</xdr:row>
      <xdr:rowOff>106680</xdr:rowOff>
    </xdr:to>
    <xdr:sp macro="" textlink="">
      <xdr:nvSpPr>
        <xdr:cNvPr id="7531" name="AutoShape 65" descr="AUSTRALIA4"/>
        <xdr:cNvSpPr>
          <a:spLocks noChangeAspect="1" noChangeArrowheads="1"/>
        </xdr:cNvSpPr>
      </xdr:nvSpPr>
      <xdr:spPr bwMode="auto">
        <a:xfrm>
          <a:off x="0" y="6774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33</xdr:row>
      <xdr:rowOff>0</xdr:rowOff>
    </xdr:from>
    <xdr:to>
      <xdr:col>22</xdr:col>
      <xdr:colOff>304800</xdr:colOff>
      <xdr:row>34</xdr:row>
      <xdr:rowOff>129540</xdr:rowOff>
    </xdr:to>
    <xdr:sp macro="" textlink="">
      <xdr:nvSpPr>
        <xdr:cNvPr id="7532" name="AutoShape 66" descr="https://www.soccerstats.com/img/own/sshplogo.png">
          <a:hlinkClick xmlns:r="http://schemas.openxmlformats.org/officeDocument/2006/relationships" r:id="rId548"/>
        </xdr:cNvPr>
        <xdr:cNvSpPr>
          <a:spLocks noChangeAspect="1" noChangeArrowheads="1"/>
        </xdr:cNvSpPr>
      </xdr:nvSpPr>
      <xdr:spPr bwMode="auto">
        <a:xfrm>
          <a:off x="13411200" y="6774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152400</xdr:colOff>
      <xdr:row>34</xdr:row>
      <xdr:rowOff>106680</xdr:rowOff>
    </xdr:to>
    <xdr:sp macro="" textlink="">
      <xdr:nvSpPr>
        <xdr:cNvPr id="7533" name="AutoShape 67" descr="AUSTRALIA4"/>
        <xdr:cNvSpPr>
          <a:spLocks noChangeAspect="1" noChangeArrowheads="1"/>
        </xdr:cNvSpPr>
      </xdr:nvSpPr>
      <xdr:spPr bwMode="auto">
        <a:xfrm>
          <a:off x="0" y="6949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34</xdr:row>
      <xdr:rowOff>0</xdr:rowOff>
    </xdr:from>
    <xdr:to>
      <xdr:col>22</xdr:col>
      <xdr:colOff>304800</xdr:colOff>
      <xdr:row>35</xdr:row>
      <xdr:rowOff>53340</xdr:rowOff>
    </xdr:to>
    <xdr:sp macro="" textlink="">
      <xdr:nvSpPr>
        <xdr:cNvPr id="7534" name="AutoShape 68" descr="https://www.soccerstats.com/img/own/sshplogo.png">
          <a:hlinkClick xmlns:r="http://schemas.openxmlformats.org/officeDocument/2006/relationships" r:id="rId549"/>
        </xdr:cNvPr>
        <xdr:cNvSpPr>
          <a:spLocks noChangeAspect="1" noChangeArrowheads="1"/>
        </xdr:cNvSpPr>
      </xdr:nvSpPr>
      <xdr:spPr bwMode="auto">
        <a:xfrm>
          <a:off x="13411200" y="6949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152400</xdr:colOff>
      <xdr:row>35</xdr:row>
      <xdr:rowOff>106680</xdr:rowOff>
    </xdr:to>
    <xdr:sp macro="" textlink="">
      <xdr:nvSpPr>
        <xdr:cNvPr id="7535" name="AutoShape 69" descr="AUSTRALIA5"/>
        <xdr:cNvSpPr>
          <a:spLocks noChangeAspect="1" noChangeArrowheads="1"/>
        </xdr:cNvSpPr>
      </xdr:nvSpPr>
      <xdr:spPr bwMode="auto">
        <a:xfrm>
          <a:off x="0" y="7200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35</xdr:row>
      <xdr:rowOff>0</xdr:rowOff>
    </xdr:from>
    <xdr:to>
      <xdr:col>22</xdr:col>
      <xdr:colOff>304800</xdr:colOff>
      <xdr:row>36</xdr:row>
      <xdr:rowOff>129540</xdr:rowOff>
    </xdr:to>
    <xdr:sp macro="" textlink="">
      <xdr:nvSpPr>
        <xdr:cNvPr id="7536" name="AutoShape 70" descr="https://www.soccerstats.com/img/own/sshplogo.png">
          <a:hlinkClick xmlns:r="http://schemas.openxmlformats.org/officeDocument/2006/relationships" r:id="rId550"/>
        </xdr:cNvPr>
        <xdr:cNvSpPr>
          <a:spLocks noChangeAspect="1" noChangeArrowheads="1"/>
        </xdr:cNvSpPr>
      </xdr:nvSpPr>
      <xdr:spPr bwMode="auto">
        <a:xfrm>
          <a:off x="13411200" y="7200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152400</xdr:colOff>
      <xdr:row>36</xdr:row>
      <xdr:rowOff>106680</xdr:rowOff>
    </xdr:to>
    <xdr:sp macro="" textlink="">
      <xdr:nvSpPr>
        <xdr:cNvPr id="7537" name="AutoShape 71" descr="AUSTRALIA11"/>
        <xdr:cNvSpPr>
          <a:spLocks noChangeAspect="1" noChangeArrowheads="1"/>
        </xdr:cNvSpPr>
      </xdr:nvSpPr>
      <xdr:spPr bwMode="auto">
        <a:xfrm>
          <a:off x="0" y="7376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36</xdr:row>
      <xdr:rowOff>0</xdr:rowOff>
    </xdr:from>
    <xdr:to>
      <xdr:col>22</xdr:col>
      <xdr:colOff>304800</xdr:colOff>
      <xdr:row>37</xdr:row>
      <xdr:rowOff>53340</xdr:rowOff>
    </xdr:to>
    <xdr:sp macro="" textlink="">
      <xdr:nvSpPr>
        <xdr:cNvPr id="7538" name="AutoShape 72" descr="https://www.soccerstats.com/img/own/sshplogo.png">
          <a:hlinkClick xmlns:r="http://schemas.openxmlformats.org/officeDocument/2006/relationships" r:id="rId551"/>
        </xdr:cNvPr>
        <xdr:cNvSpPr>
          <a:spLocks noChangeAspect="1" noChangeArrowheads="1"/>
        </xdr:cNvSpPr>
      </xdr:nvSpPr>
      <xdr:spPr bwMode="auto">
        <a:xfrm>
          <a:off x="13411200" y="7376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152400</xdr:colOff>
      <xdr:row>37</xdr:row>
      <xdr:rowOff>106680</xdr:rowOff>
    </xdr:to>
    <xdr:sp macro="" textlink="">
      <xdr:nvSpPr>
        <xdr:cNvPr id="7539" name="AutoShape 73" descr="AUSTRIA"/>
        <xdr:cNvSpPr>
          <a:spLocks noChangeAspect="1" noChangeArrowheads="1"/>
        </xdr:cNvSpPr>
      </xdr:nvSpPr>
      <xdr:spPr bwMode="auto">
        <a:xfrm>
          <a:off x="0" y="7627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37</xdr:row>
      <xdr:rowOff>0</xdr:rowOff>
    </xdr:from>
    <xdr:to>
      <xdr:col>22</xdr:col>
      <xdr:colOff>304800</xdr:colOff>
      <xdr:row>38</xdr:row>
      <xdr:rowOff>129540</xdr:rowOff>
    </xdr:to>
    <xdr:sp macro="" textlink="">
      <xdr:nvSpPr>
        <xdr:cNvPr id="7540" name="AutoShape 74" descr="https://www.soccerstats.com/img/own/sshplogo.png">
          <a:hlinkClick xmlns:r="http://schemas.openxmlformats.org/officeDocument/2006/relationships" r:id="rId552"/>
        </xdr:cNvPr>
        <xdr:cNvSpPr>
          <a:spLocks noChangeAspect="1" noChangeArrowheads="1"/>
        </xdr:cNvSpPr>
      </xdr:nvSpPr>
      <xdr:spPr bwMode="auto">
        <a:xfrm>
          <a:off x="13411200" y="7627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152400</xdr:colOff>
      <xdr:row>38</xdr:row>
      <xdr:rowOff>106680</xdr:rowOff>
    </xdr:to>
    <xdr:sp macro="" textlink="">
      <xdr:nvSpPr>
        <xdr:cNvPr id="7541" name="AutoShape 75" descr="AUSTRIA2"/>
        <xdr:cNvSpPr>
          <a:spLocks noChangeAspect="1" noChangeArrowheads="1"/>
        </xdr:cNvSpPr>
      </xdr:nvSpPr>
      <xdr:spPr bwMode="auto">
        <a:xfrm>
          <a:off x="0" y="7802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38</xdr:row>
      <xdr:rowOff>0</xdr:rowOff>
    </xdr:from>
    <xdr:to>
      <xdr:col>22</xdr:col>
      <xdr:colOff>304800</xdr:colOff>
      <xdr:row>39</xdr:row>
      <xdr:rowOff>129540</xdr:rowOff>
    </xdr:to>
    <xdr:sp macro="" textlink="">
      <xdr:nvSpPr>
        <xdr:cNvPr id="7542" name="AutoShape 76" descr="https://www.soccerstats.com/img/own/sshplogo.png">
          <a:hlinkClick xmlns:r="http://schemas.openxmlformats.org/officeDocument/2006/relationships" r:id="rId553"/>
        </xdr:cNvPr>
        <xdr:cNvSpPr>
          <a:spLocks noChangeAspect="1" noChangeArrowheads="1"/>
        </xdr:cNvSpPr>
      </xdr:nvSpPr>
      <xdr:spPr bwMode="auto">
        <a:xfrm>
          <a:off x="13411200" y="7802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152400</xdr:colOff>
      <xdr:row>39</xdr:row>
      <xdr:rowOff>106680</xdr:rowOff>
    </xdr:to>
    <xdr:sp macro="" textlink="">
      <xdr:nvSpPr>
        <xdr:cNvPr id="7543" name="AutoShape 77" descr="AUSTRIA2"/>
        <xdr:cNvSpPr>
          <a:spLocks noChangeAspect="1" noChangeArrowheads="1"/>
        </xdr:cNvSpPr>
      </xdr:nvSpPr>
      <xdr:spPr bwMode="auto">
        <a:xfrm>
          <a:off x="0" y="7978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39</xdr:row>
      <xdr:rowOff>0</xdr:rowOff>
    </xdr:from>
    <xdr:to>
      <xdr:col>22</xdr:col>
      <xdr:colOff>304800</xdr:colOff>
      <xdr:row>40</xdr:row>
      <xdr:rowOff>129540</xdr:rowOff>
    </xdr:to>
    <xdr:sp macro="" textlink="">
      <xdr:nvSpPr>
        <xdr:cNvPr id="7544" name="AutoShape 78" descr="https://www.soccerstats.com/img/own/sshplogo.png">
          <a:hlinkClick xmlns:r="http://schemas.openxmlformats.org/officeDocument/2006/relationships" r:id="rId554"/>
        </xdr:cNvPr>
        <xdr:cNvSpPr>
          <a:spLocks noChangeAspect="1" noChangeArrowheads="1"/>
        </xdr:cNvSpPr>
      </xdr:nvSpPr>
      <xdr:spPr bwMode="auto">
        <a:xfrm>
          <a:off x="13411200" y="7978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152400</xdr:colOff>
      <xdr:row>40</xdr:row>
      <xdr:rowOff>106680</xdr:rowOff>
    </xdr:to>
    <xdr:sp macro="" textlink="">
      <xdr:nvSpPr>
        <xdr:cNvPr id="7545" name="AutoShape 79" descr="AZERBAIJAN"/>
        <xdr:cNvSpPr>
          <a:spLocks noChangeAspect="1" noChangeArrowheads="1"/>
        </xdr:cNvSpPr>
      </xdr:nvSpPr>
      <xdr:spPr bwMode="auto">
        <a:xfrm>
          <a:off x="0" y="8153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40</xdr:row>
      <xdr:rowOff>0</xdr:rowOff>
    </xdr:from>
    <xdr:to>
      <xdr:col>22</xdr:col>
      <xdr:colOff>304800</xdr:colOff>
      <xdr:row>41</xdr:row>
      <xdr:rowOff>129540</xdr:rowOff>
    </xdr:to>
    <xdr:sp macro="" textlink="">
      <xdr:nvSpPr>
        <xdr:cNvPr id="7546" name="AutoShape 80" descr="https://www.soccerstats.com/img/own/sshplogo.png">
          <a:hlinkClick xmlns:r="http://schemas.openxmlformats.org/officeDocument/2006/relationships" r:id="rId556"/>
        </xdr:cNvPr>
        <xdr:cNvSpPr>
          <a:spLocks noChangeAspect="1" noChangeArrowheads="1"/>
        </xdr:cNvSpPr>
      </xdr:nvSpPr>
      <xdr:spPr bwMode="auto">
        <a:xfrm>
          <a:off x="13411200" y="8153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152400</xdr:colOff>
      <xdr:row>41</xdr:row>
      <xdr:rowOff>106680</xdr:rowOff>
    </xdr:to>
    <xdr:sp macro="" textlink="">
      <xdr:nvSpPr>
        <xdr:cNvPr id="7547" name="AutoShape 81" descr="AZERBAIJAN"/>
        <xdr:cNvSpPr>
          <a:spLocks noChangeAspect="1" noChangeArrowheads="1"/>
        </xdr:cNvSpPr>
      </xdr:nvSpPr>
      <xdr:spPr bwMode="auto">
        <a:xfrm>
          <a:off x="0" y="8328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41</xdr:row>
      <xdr:rowOff>0</xdr:rowOff>
    </xdr:from>
    <xdr:to>
      <xdr:col>22</xdr:col>
      <xdr:colOff>304800</xdr:colOff>
      <xdr:row>42</xdr:row>
      <xdr:rowOff>129540</xdr:rowOff>
    </xdr:to>
    <xdr:sp macro="" textlink="">
      <xdr:nvSpPr>
        <xdr:cNvPr id="7548" name="AutoShape 82" descr="https://www.soccerstats.com/img/own/sshplogo.png">
          <a:hlinkClick xmlns:r="http://schemas.openxmlformats.org/officeDocument/2006/relationships" r:id="rId559"/>
        </xdr:cNvPr>
        <xdr:cNvSpPr>
          <a:spLocks noChangeAspect="1" noChangeArrowheads="1"/>
        </xdr:cNvSpPr>
      </xdr:nvSpPr>
      <xdr:spPr bwMode="auto">
        <a:xfrm>
          <a:off x="13411200" y="8328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152400</xdr:colOff>
      <xdr:row>42</xdr:row>
      <xdr:rowOff>106680</xdr:rowOff>
    </xdr:to>
    <xdr:sp macro="" textlink="">
      <xdr:nvSpPr>
        <xdr:cNvPr id="7549" name="AutoShape 83" descr="BELARUS"/>
        <xdr:cNvSpPr>
          <a:spLocks noChangeAspect="1" noChangeArrowheads="1"/>
        </xdr:cNvSpPr>
      </xdr:nvSpPr>
      <xdr:spPr bwMode="auto">
        <a:xfrm>
          <a:off x="0" y="8503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42</xdr:row>
      <xdr:rowOff>0</xdr:rowOff>
    </xdr:from>
    <xdr:to>
      <xdr:col>22</xdr:col>
      <xdr:colOff>304800</xdr:colOff>
      <xdr:row>43</xdr:row>
      <xdr:rowOff>129540</xdr:rowOff>
    </xdr:to>
    <xdr:sp macro="" textlink="">
      <xdr:nvSpPr>
        <xdr:cNvPr id="7550" name="AutoShape 84" descr="https://www.soccerstats.com/img/own/sshplogo.png">
          <a:hlinkClick xmlns:r="http://schemas.openxmlformats.org/officeDocument/2006/relationships" r:id="rId561"/>
        </xdr:cNvPr>
        <xdr:cNvSpPr>
          <a:spLocks noChangeAspect="1" noChangeArrowheads="1"/>
        </xdr:cNvSpPr>
      </xdr:nvSpPr>
      <xdr:spPr bwMode="auto">
        <a:xfrm>
          <a:off x="13411200" y="8503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152400</xdr:colOff>
      <xdr:row>43</xdr:row>
      <xdr:rowOff>106680</xdr:rowOff>
    </xdr:to>
    <xdr:sp macro="" textlink="">
      <xdr:nvSpPr>
        <xdr:cNvPr id="7551" name="AutoShape 85" descr="BELARUS"/>
        <xdr:cNvSpPr>
          <a:spLocks noChangeAspect="1" noChangeArrowheads="1"/>
        </xdr:cNvSpPr>
      </xdr:nvSpPr>
      <xdr:spPr bwMode="auto">
        <a:xfrm>
          <a:off x="0" y="8679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43</xdr:row>
      <xdr:rowOff>0</xdr:rowOff>
    </xdr:from>
    <xdr:to>
      <xdr:col>22</xdr:col>
      <xdr:colOff>304800</xdr:colOff>
      <xdr:row>44</xdr:row>
      <xdr:rowOff>53340</xdr:rowOff>
    </xdr:to>
    <xdr:sp macro="" textlink="">
      <xdr:nvSpPr>
        <xdr:cNvPr id="7552" name="AutoShape 86" descr="https://www.soccerstats.com/img/own/sshplogo.png">
          <a:hlinkClick xmlns:r="http://schemas.openxmlformats.org/officeDocument/2006/relationships" r:id="rId562"/>
        </xdr:cNvPr>
        <xdr:cNvSpPr>
          <a:spLocks noChangeAspect="1" noChangeArrowheads="1"/>
        </xdr:cNvSpPr>
      </xdr:nvSpPr>
      <xdr:spPr bwMode="auto">
        <a:xfrm>
          <a:off x="13411200" y="8679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152400</xdr:colOff>
      <xdr:row>44</xdr:row>
      <xdr:rowOff>106680</xdr:rowOff>
    </xdr:to>
    <xdr:sp macro="" textlink="">
      <xdr:nvSpPr>
        <xdr:cNvPr id="7553" name="AutoShape 87" descr="BELGIUM"/>
        <xdr:cNvSpPr>
          <a:spLocks noChangeAspect="1" noChangeArrowheads="1"/>
        </xdr:cNvSpPr>
      </xdr:nvSpPr>
      <xdr:spPr bwMode="auto">
        <a:xfrm>
          <a:off x="0" y="8930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44</xdr:row>
      <xdr:rowOff>0</xdr:rowOff>
    </xdr:from>
    <xdr:to>
      <xdr:col>22</xdr:col>
      <xdr:colOff>304800</xdr:colOff>
      <xdr:row>45</xdr:row>
      <xdr:rowOff>53340</xdr:rowOff>
    </xdr:to>
    <xdr:sp macro="" textlink="">
      <xdr:nvSpPr>
        <xdr:cNvPr id="7554" name="AutoShape 88" descr="https://www.soccerstats.com/img/own/sshplogo.png">
          <a:hlinkClick xmlns:r="http://schemas.openxmlformats.org/officeDocument/2006/relationships" r:id="rId563"/>
        </xdr:cNvPr>
        <xdr:cNvSpPr>
          <a:spLocks noChangeAspect="1" noChangeArrowheads="1"/>
        </xdr:cNvSpPr>
      </xdr:nvSpPr>
      <xdr:spPr bwMode="auto">
        <a:xfrm>
          <a:off x="13411200" y="8930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152400</xdr:colOff>
      <xdr:row>45</xdr:row>
      <xdr:rowOff>106680</xdr:rowOff>
    </xdr:to>
    <xdr:sp macro="" textlink="">
      <xdr:nvSpPr>
        <xdr:cNvPr id="7555" name="AutoShape 89" descr="BELGIUM2"/>
        <xdr:cNvSpPr>
          <a:spLocks noChangeAspect="1" noChangeArrowheads="1"/>
        </xdr:cNvSpPr>
      </xdr:nvSpPr>
      <xdr:spPr bwMode="auto">
        <a:xfrm>
          <a:off x="0" y="9182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45</xdr:row>
      <xdr:rowOff>0</xdr:rowOff>
    </xdr:from>
    <xdr:to>
      <xdr:col>22</xdr:col>
      <xdr:colOff>304800</xdr:colOff>
      <xdr:row>46</xdr:row>
      <xdr:rowOff>129540</xdr:rowOff>
    </xdr:to>
    <xdr:sp macro="" textlink="">
      <xdr:nvSpPr>
        <xdr:cNvPr id="7556" name="AutoShape 90" descr="https://www.soccerstats.com/img/own/sshplogo.png">
          <a:hlinkClick xmlns:r="http://schemas.openxmlformats.org/officeDocument/2006/relationships" r:id="rId564"/>
        </xdr:cNvPr>
        <xdr:cNvSpPr>
          <a:spLocks noChangeAspect="1" noChangeArrowheads="1"/>
        </xdr:cNvSpPr>
      </xdr:nvSpPr>
      <xdr:spPr bwMode="auto">
        <a:xfrm>
          <a:off x="13411200" y="9182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152400</xdr:colOff>
      <xdr:row>46</xdr:row>
      <xdr:rowOff>106680</xdr:rowOff>
    </xdr:to>
    <xdr:sp macro="" textlink="">
      <xdr:nvSpPr>
        <xdr:cNvPr id="7557" name="AutoShape 91" descr="BELGIUM2"/>
        <xdr:cNvSpPr>
          <a:spLocks noChangeAspect="1" noChangeArrowheads="1"/>
        </xdr:cNvSpPr>
      </xdr:nvSpPr>
      <xdr:spPr bwMode="auto">
        <a:xfrm>
          <a:off x="0" y="9357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46</xdr:row>
      <xdr:rowOff>0</xdr:rowOff>
    </xdr:from>
    <xdr:to>
      <xdr:col>22</xdr:col>
      <xdr:colOff>304800</xdr:colOff>
      <xdr:row>47</xdr:row>
      <xdr:rowOff>53340</xdr:rowOff>
    </xdr:to>
    <xdr:sp macro="" textlink="">
      <xdr:nvSpPr>
        <xdr:cNvPr id="7558" name="AutoShape 92" descr="https://www.soccerstats.com/img/own/sshplogo.png">
          <a:hlinkClick xmlns:r="http://schemas.openxmlformats.org/officeDocument/2006/relationships" r:id="rId565"/>
        </xdr:cNvPr>
        <xdr:cNvSpPr>
          <a:spLocks noChangeAspect="1" noChangeArrowheads="1"/>
        </xdr:cNvSpPr>
      </xdr:nvSpPr>
      <xdr:spPr bwMode="auto">
        <a:xfrm>
          <a:off x="13411200" y="9357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152400</xdr:colOff>
      <xdr:row>47</xdr:row>
      <xdr:rowOff>106680</xdr:rowOff>
    </xdr:to>
    <xdr:sp macro="" textlink="">
      <xdr:nvSpPr>
        <xdr:cNvPr id="7559" name="AutoShape 93" descr="BOSNIA"/>
        <xdr:cNvSpPr>
          <a:spLocks noChangeAspect="1" noChangeArrowheads="1"/>
        </xdr:cNvSpPr>
      </xdr:nvSpPr>
      <xdr:spPr bwMode="auto">
        <a:xfrm>
          <a:off x="0" y="9608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47</xdr:row>
      <xdr:rowOff>0</xdr:rowOff>
    </xdr:from>
    <xdr:to>
      <xdr:col>22</xdr:col>
      <xdr:colOff>304800</xdr:colOff>
      <xdr:row>48</xdr:row>
      <xdr:rowOff>129540</xdr:rowOff>
    </xdr:to>
    <xdr:sp macro="" textlink="">
      <xdr:nvSpPr>
        <xdr:cNvPr id="7560" name="AutoShape 94" descr="https://www.soccerstats.com/img/own/sshplogo.png">
          <a:hlinkClick xmlns:r="http://schemas.openxmlformats.org/officeDocument/2006/relationships" r:id="rId117"/>
        </xdr:cNvPr>
        <xdr:cNvSpPr>
          <a:spLocks noChangeAspect="1" noChangeArrowheads="1"/>
        </xdr:cNvSpPr>
      </xdr:nvSpPr>
      <xdr:spPr bwMode="auto">
        <a:xfrm>
          <a:off x="13411200" y="9608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152400</xdr:colOff>
      <xdr:row>48</xdr:row>
      <xdr:rowOff>106680</xdr:rowOff>
    </xdr:to>
    <xdr:sp macro="" textlink="">
      <xdr:nvSpPr>
        <xdr:cNvPr id="7561" name="AutoShape 95" descr="BRAZIL2"/>
        <xdr:cNvSpPr>
          <a:spLocks noChangeAspect="1" noChangeArrowheads="1"/>
        </xdr:cNvSpPr>
      </xdr:nvSpPr>
      <xdr:spPr bwMode="auto">
        <a:xfrm>
          <a:off x="0" y="9784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48</xdr:row>
      <xdr:rowOff>0</xdr:rowOff>
    </xdr:from>
    <xdr:to>
      <xdr:col>22</xdr:col>
      <xdr:colOff>304800</xdr:colOff>
      <xdr:row>49</xdr:row>
      <xdr:rowOff>129540</xdr:rowOff>
    </xdr:to>
    <xdr:sp macro="" textlink="">
      <xdr:nvSpPr>
        <xdr:cNvPr id="7562" name="AutoShape 96" descr="https://www.soccerstats.com/img/own/sshplogo.png">
          <a:hlinkClick xmlns:r="http://schemas.openxmlformats.org/officeDocument/2006/relationships" r:id="rId566"/>
        </xdr:cNvPr>
        <xdr:cNvSpPr>
          <a:spLocks noChangeAspect="1" noChangeArrowheads="1"/>
        </xdr:cNvSpPr>
      </xdr:nvSpPr>
      <xdr:spPr bwMode="auto">
        <a:xfrm>
          <a:off x="13411200" y="9784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152400</xdr:colOff>
      <xdr:row>49</xdr:row>
      <xdr:rowOff>106680</xdr:rowOff>
    </xdr:to>
    <xdr:sp macro="" textlink="">
      <xdr:nvSpPr>
        <xdr:cNvPr id="7563" name="AutoShape 97" descr="BRAZIL2"/>
        <xdr:cNvSpPr>
          <a:spLocks noChangeAspect="1" noChangeArrowheads="1"/>
        </xdr:cNvSpPr>
      </xdr:nvSpPr>
      <xdr:spPr bwMode="auto">
        <a:xfrm>
          <a:off x="0" y="9959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49</xdr:row>
      <xdr:rowOff>0</xdr:rowOff>
    </xdr:from>
    <xdr:to>
      <xdr:col>22</xdr:col>
      <xdr:colOff>304800</xdr:colOff>
      <xdr:row>50</xdr:row>
      <xdr:rowOff>129540</xdr:rowOff>
    </xdr:to>
    <xdr:sp macro="" textlink="">
      <xdr:nvSpPr>
        <xdr:cNvPr id="7564" name="AutoShape 98" descr="https://www.soccerstats.com/img/own/sshplogo.png">
          <a:hlinkClick xmlns:r="http://schemas.openxmlformats.org/officeDocument/2006/relationships" r:id="rId567"/>
        </xdr:cNvPr>
        <xdr:cNvSpPr>
          <a:spLocks noChangeAspect="1" noChangeArrowheads="1"/>
        </xdr:cNvSpPr>
      </xdr:nvSpPr>
      <xdr:spPr bwMode="auto">
        <a:xfrm>
          <a:off x="13411200" y="9959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152400</xdr:colOff>
      <xdr:row>50</xdr:row>
      <xdr:rowOff>106680</xdr:rowOff>
    </xdr:to>
    <xdr:sp macro="" textlink="">
      <xdr:nvSpPr>
        <xdr:cNvPr id="7565" name="AutoShape 99" descr="BRAZIL2"/>
        <xdr:cNvSpPr>
          <a:spLocks noChangeAspect="1" noChangeArrowheads="1"/>
        </xdr:cNvSpPr>
      </xdr:nvSpPr>
      <xdr:spPr bwMode="auto">
        <a:xfrm>
          <a:off x="0" y="10134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50</xdr:row>
      <xdr:rowOff>0</xdr:rowOff>
    </xdr:from>
    <xdr:to>
      <xdr:col>22</xdr:col>
      <xdr:colOff>304800</xdr:colOff>
      <xdr:row>51</xdr:row>
      <xdr:rowOff>129540</xdr:rowOff>
    </xdr:to>
    <xdr:sp macro="" textlink="">
      <xdr:nvSpPr>
        <xdr:cNvPr id="7566" name="AutoShape 100" descr="https://www.soccerstats.com/img/own/sshplogo.png">
          <a:hlinkClick xmlns:r="http://schemas.openxmlformats.org/officeDocument/2006/relationships" r:id="rId568"/>
        </xdr:cNvPr>
        <xdr:cNvSpPr>
          <a:spLocks noChangeAspect="1" noChangeArrowheads="1"/>
        </xdr:cNvSpPr>
      </xdr:nvSpPr>
      <xdr:spPr bwMode="auto">
        <a:xfrm>
          <a:off x="13411200" y="10134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152400</xdr:colOff>
      <xdr:row>51</xdr:row>
      <xdr:rowOff>106680</xdr:rowOff>
    </xdr:to>
    <xdr:sp macro="" textlink="">
      <xdr:nvSpPr>
        <xdr:cNvPr id="7567" name="AutoShape 101" descr="BULGARIA"/>
        <xdr:cNvSpPr>
          <a:spLocks noChangeAspect="1" noChangeArrowheads="1"/>
        </xdr:cNvSpPr>
      </xdr:nvSpPr>
      <xdr:spPr bwMode="auto">
        <a:xfrm>
          <a:off x="0" y="10309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51</xdr:row>
      <xdr:rowOff>0</xdr:rowOff>
    </xdr:from>
    <xdr:to>
      <xdr:col>22</xdr:col>
      <xdr:colOff>304800</xdr:colOff>
      <xdr:row>52</xdr:row>
      <xdr:rowOff>53340</xdr:rowOff>
    </xdr:to>
    <xdr:sp macro="" textlink="">
      <xdr:nvSpPr>
        <xdr:cNvPr id="7568" name="AutoShape 102" descr="https://www.soccerstats.com/img/own/sshplogo.png">
          <a:hlinkClick xmlns:r="http://schemas.openxmlformats.org/officeDocument/2006/relationships" r:id="rId569"/>
        </xdr:cNvPr>
        <xdr:cNvSpPr>
          <a:spLocks noChangeAspect="1" noChangeArrowheads="1"/>
        </xdr:cNvSpPr>
      </xdr:nvSpPr>
      <xdr:spPr bwMode="auto">
        <a:xfrm>
          <a:off x="13411200" y="10309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152400</xdr:colOff>
      <xdr:row>52</xdr:row>
      <xdr:rowOff>106680</xdr:rowOff>
    </xdr:to>
    <xdr:sp macro="" textlink="">
      <xdr:nvSpPr>
        <xdr:cNvPr id="7569" name="AutoShape 103" descr="BULGARIA2"/>
        <xdr:cNvSpPr>
          <a:spLocks noChangeAspect="1" noChangeArrowheads="1"/>
        </xdr:cNvSpPr>
      </xdr:nvSpPr>
      <xdr:spPr bwMode="auto">
        <a:xfrm>
          <a:off x="0" y="10561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52</xdr:row>
      <xdr:rowOff>0</xdr:rowOff>
    </xdr:from>
    <xdr:to>
      <xdr:col>22</xdr:col>
      <xdr:colOff>304800</xdr:colOff>
      <xdr:row>53</xdr:row>
      <xdr:rowOff>129540</xdr:rowOff>
    </xdr:to>
    <xdr:sp macro="" textlink="">
      <xdr:nvSpPr>
        <xdr:cNvPr id="7570" name="AutoShape 104" descr="https://www.soccerstats.com/img/own/sshplogo.png">
          <a:hlinkClick xmlns:r="http://schemas.openxmlformats.org/officeDocument/2006/relationships" r:id="rId570"/>
        </xdr:cNvPr>
        <xdr:cNvSpPr>
          <a:spLocks noChangeAspect="1" noChangeArrowheads="1"/>
        </xdr:cNvSpPr>
      </xdr:nvSpPr>
      <xdr:spPr bwMode="auto">
        <a:xfrm>
          <a:off x="13411200" y="10561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152400</xdr:colOff>
      <xdr:row>53</xdr:row>
      <xdr:rowOff>106680</xdr:rowOff>
    </xdr:to>
    <xdr:sp macro="" textlink="">
      <xdr:nvSpPr>
        <xdr:cNvPr id="7571" name="AutoShape 105" descr="CHILE"/>
        <xdr:cNvSpPr>
          <a:spLocks noChangeAspect="1" noChangeArrowheads="1"/>
        </xdr:cNvSpPr>
      </xdr:nvSpPr>
      <xdr:spPr bwMode="auto">
        <a:xfrm>
          <a:off x="0" y="10736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53</xdr:row>
      <xdr:rowOff>0</xdr:rowOff>
    </xdr:from>
    <xdr:to>
      <xdr:col>22</xdr:col>
      <xdr:colOff>304800</xdr:colOff>
      <xdr:row>54</xdr:row>
      <xdr:rowOff>53340</xdr:rowOff>
    </xdr:to>
    <xdr:sp macro="" textlink="">
      <xdr:nvSpPr>
        <xdr:cNvPr id="7572" name="AutoShape 106" descr="https://www.soccerstats.com/img/own/sshplogo.png">
          <a:hlinkClick xmlns:r="http://schemas.openxmlformats.org/officeDocument/2006/relationships" r:id="rId571"/>
        </xdr:cNvPr>
        <xdr:cNvSpPr>
          <a:spLocks noChangeAspect="1" noChangeArrowheads="1"/>
        </xdr:cNvSpPr>
      </xdr:nvSpPr>
      <xdr:spPr bwMode="auto">
        <a:xfrm>
          <a:off x="13411200" y="10736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152400</xdr:colOff>
      <xdr:row>54</xdr:row>
      <xdr:rowOff>106680</xdr:rowOff>
    </xdr:to>
    <xdr:sp macro="" textlink="">
      <xdr:nvSpPr>
        <xdr:cNvPr id="7573" name="AutoShape 107" descr="CHILE2"/>
        <xdr:cNvSpPr>
          <a:spLocks noChangeAspect="1" noChangeArrowheads="1"/>
        </xdr:cNvSpPr>
      </xdr:nvSpPr>
      <xdr:spPr bwMode="auto">
        <a:xfrm>
          <a:off x="0" y="10988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54</xdr:row>
      <xdr:rowOff>0</xdr:rowOff>
    </xdr:from>
    <xdr:to>
      <xdr:col>22</xdr:col>
      <xdr:colOff>304800</xdr:colOff>
      <xdr:row>55</xdr:row>
      <xdr:rowOff>53340</xdr:rowOff>
    </xdr:to>
    <xdr:sp macro="" textlink="">
      <xdr:nvSpPr>
        <xdr:cNvPr id="7574" name="AutoShape 108" descr="https://www.soccerstats.com/img/own/sshplogo.png">
          <a:hlinkClick xmlns:r="http://schemas.openxmlformats.org/officeDocument/2006/relationships" r:id="rId572"/>
        </xdr:cNvPr>
        <xdr:cNvSpPr>
          <a:spLocks noChangeAspect="1" noChangeArrowheads="1"/>
        </xdr:cNvSpPr>
      </xdr:nvSpPr>
      <xdr:spPr bwMode="auto">
        <a:xfrm>
          <a:off x="13411200" y="10988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152400</xdr:colOff>
      <xdr:row>55</xdr:row>
      <xdr:rowOff>106680</xdr:rowOff>
    </xdr:to>
    <xdr:sp macro="" textlink="">
      <xdr:nvSpPr>
        <xdr:cNvPr id="7575" name="AutoShape 109" descr="CHILE2"/>
        <xdr:cNvSpPr>
          <a:spLocks noChangeAspect="1" noChangeArrowheads="1"/>
        </xdr:cNvSpPr>
      </xdr:nvSpPr>
      <xdr:spPr bwMode="auto">
        <a:xfrm>
          <a:off x="0" y="11239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55</xdr:row>
      <xdr:rowOff>0</xdr:rowOff>
    </xdr:from>
    <xdr:to>
      <xdr:col>22</xdr:col>
      <xdr:colOff>304800</xdr:colOff>
      <xdr:row>56</xdr:row>
      <xdr:rowOff>129540</xdr:rowOff>
    </xdr:to>
    <xdr:sp macro="" textlink="">
      <xdr:nvSpPr>
        <xdr:cNvPr id="7576" name="AutoShape 110" descr="https://www.soccerstats.com/img/own/sshplogo.png">
          <a:hlinkClick xmlns:r="http://schemas.openxmlformats.org/officeDocument/2006/relationships" r:id="rId573"/>
        </xdr:cNvPr>
        <xdr:cNvSpPr>
          <a:spLocks noChangeAspect="1" noChangeArrowheads="1"/>
        </xdr:cNvSpPr>
      </xdr:nvSpPr>
      <xdr:spPr bwMode="auto">
        <a:xfrm>
          <a:off x="13411200" y="1123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152400</xdr:colOff>
      <xdr:row>56</xdr:row>
      <xdr:rowOff>106680</xdr:rowOff>
    </xdr:to>
    <xdr:sp macro="" textlink="">
      <xdr:nvSpPr>
        <xdr:cNvPr id="7577" name="AutoShape 111" descr="CHINA"/>
        <xdr:cNvSpPr>
          <a:spLocks noChangeAspect="1" noChangeArrowheads="1"/>
        </xdr:cNvSpPr>
      </xdr:nvSpPr>
      <xdr:spPr bwMode="auto">
        <a:xfrm>
          <a:off x="0" y="11414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56</xdr:row>
      <xdr:rowOff>0</xdr:rowOff>
    </xdr:from>
    <xdr:to>
      <xdr:col>22</xdr:col>
      <xdr:colOff>304800</xdr:colOff>
      <xdr:row>57</xdr:row>
      <xdr:rowOff>53340</xdr:rowOff>
    </xdr:to>
    <xdr:sp macro="" textlink="">
      <xdr:nvSpPr>
        <xdr:cNvPr id="7578" name="AutoShape 112" descr="https://www.soccerstats.com/img/own/sshplogo.png">
          <a:hlinkClick xmlns:r="http://schemas.openxmlformats.org/officeDocument/2006/relationships" r:id="rId574"/>
        </xdr:cNvPr>
        <xdr:cNvSpPr>
          <a:spLocks noChangeAspect="1" noChangeArrowheads="1"/>
        </xdr:cNvSpPr>
      </xdr:nvSpPr>
      <xdr:spPr bwMode="auto">
        <a:xfrm>
          <a:off x="13411200" y="11414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152400</xdr:colOff>
      <xdr:row>57</xdr:row>
      <xdr:rowOff>106680</xdr:rowOff>
    </xdr:to>
    <xdr:sp macro="" textlink="">
      <xdr:nvSpPr>
        <xdr:cNvPr id="7579" name="AutoShape 113" descr="CHINA"/>
        <xdr:cNvSpPr>
          <a:spLocks noChangeAspect="1" noChangeArrowheads="1"/>
        </xdr:cNvSpPr>
      </xdr:nvSpPr>
      <xdr:spPr bwMode="auto">
        <a:xfrm>
          <a:off x="0" y="11666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57</xdr:row>
      <xdr:rowOff>0</xdr:rowOff>
    </xdr:from>
    <xdr:to>
      <xdr:col>22</xdr:col>
      <xdr:colOff>304800</xdr:colOff>
      <xdr:row>58</xdr:row>
      <xdr:rowOff>53340</xdr:rowOff>
    </xdr:to>
    <xdr:sp macro="" textlink="">
      <xdr:nvSpPr>
        <xdr:cNvPr id="7580" name="AutoShape 114" descr="https://www.soccerstats.com/img/own/sshplogo.png">
          <a:hlinkClick xmlns:r="http://schemas.openxmlformats.org/officeDocument/2006/relationships" r:id="rId575"/>
        </xdr:cNvPr>
        <xdr:cNvSpPr>
          <a:spLocks noChangeAspect="1" noChangeArrowheads="1"/>
        </xdr:cNvSpPr>
      </xdr:nvSpPr>
      <xdr:spPr bwMode="auto">
        <a:xfrm>
          <a:off x="13411200" y="11666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152400</xdr:colOff>
      <xdr:row>58</xdr:row>
      <xdr:rowOff>106680</xdr:rowOff>
    </xdr:to>
    <xdr:sp macro="" textlink="">
      <xdr:nvSpPr>
        <xdr:cNvPr id="7581" name="AutoShape 115" descr="CHINA"/>
        <xdr:cNvSpPr>
          <a:spLocks noChangeAspect="1" noChangeArrowheads="1"/>
        </xdr:cNvSpPr>
      </xdr:nvSpPr>
      <xdr:spPr bwMode="auto">
        <a:xfrm>
          <a:off x="0" y="11917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58</xdr:row>
      <xdr:rowOff>0</xdr:rowOff>
    </xdr:from>
    <xdr:to>
      <xdr:col>22</xdr:col>
      <xdr:colOff>304800</xdr:colOff>
      <xdr:row>59</xdr:row>
      <xdr:rowOff>53340</xdr:rowOff>
    </xdr:to>
    <xdr:sp macro="" textlink="">
      <xdr:nvSpPr>
        <xdr:cNvPr id="7582" name="AutoShape 116" descr="https://www.soccerstats.com/img/own/sshplogo.png">
          <a:hlinkClick xmlns:r="http://schemas.openxmlformats.org/officeDocument/2006/relationships" r:id="rId576"/>
        </xdr:cNvPr>
        <xdr:cNvSpPr>
          <a:spLocks noChangeAspect="1" noChangeArrowheads="1"/>
        </xdr:cNvSpPr>
      </xdr:nvSpPr>
      <xdr:spPr bwMode="auto">
        <a:xfrm>
          <a:off x="13411200" y="11917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152400</xdr:colOff>
      <xdr:row>59</xdr:row>
      <xdr:rowOff>106680</xdr:rowOff>
    </xdr:to>
    <xdr:sp macro="" textlink="">
      <xdr:nvSpPr>
        <xdr:cNvPr id="7583" name="AutoShape 117" descr="COLOMBIA2"/>
        <xdr:cNvSpPr>
          <a:spLocks noChangeAspect="1" noChangeArrowheads="1"/>
        </xdr:cNvSpPr>
      </xdr:nvSpPr>
      <xdr:spPr bwMode="auto">
        <a:xfrm>
          <a:off x="0" y="12169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59</xdr:row>
      <xdr:rowOff>0</xdr:rowOff>
    </xdr:from>
    <xdr:to>
      <xdr:col>22</xdr:col>
      <xdr:colOff>304800</xdr:colOff>
      <xdr:row>60</xdr:row>
      <xdr:rowOff>53340</xdr:rowOff>
    </xdr:to>
    <xdr:sp macro="" textlink="">
      <xdr:nvSpPr>
        <xdr:cNvPr id="7584" name="AutoShape 118" descr="https://www.soccerstats.com/img/own/sshplogo.png">
          <a:hlinkClick xmlns:r="http://schemas.openxmlformats.org/officeDocument/2006/relationships" r:id="rId577"/>
        </xdr:cNvPr>
        <xdr:cNvSpPr>
          <a:spLocks noChangeAspect="1" noChangeArrowheads="1"/>
        </xdr:cNvSpPr>
      </xdr:nvSpPr>
      <xdr:spPr bwMode="auto">
        <a:xfrm>
          <a:off x="13411200" y="12169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60</xdr:row>
      <xdr:rowOff>0</xdr:rowOff>
    </xdr:from>
    <xdr:to>
      <xdr:col>22</xdr:col>
      <xdr:colOff>304800</xdr:colOff>
      <xdr:row>60</xdr:row>
      <xdr:rowOff>304800</xdr:rowOff>
    </xdr:to>
    <xdr:sp macro="" textlink="">
      <xdr:nvSpPr>
        <xdr:cNvPr id="7585" name="AutoShape 119" descr="https://www.soccerstats.com/img/own/sshplogo.png">
          <a:hlinkClick xmlns:r="http://schemas.openxmlformats.org/officeDocument/2006/relationships" r:id="rId578" tooltip="Cienciano vs Botafogo"/>
        </xdr:cNvPr>
        <xdr:cNvSpPr>
          <a:spLocks noChangeAspect="1" noChangeArrowheads="1"/>
        </xdr:cNvSpPr>
      </xdr:nvSpPr>
      <xdr:spPr bwMode="auto">
        <a:xfrm>
          <a:off x="13411200" y="1242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61</xdr:row>
      <xdr:rowOff>0</xdr:rowOff>
    </xdr:from>
    <xdr:to>
      <xdr:col>22</xdr:col>
      <xdr:colOff>304800</xdr:colOff>
      <xdr:row>62</xdr:row>
      <xdr:rowOff>53340</xdr:rowOff>
    </xdr:to>
    <xdr:sp macro="" textlink="">
      <xdr:nvSpPr>
        <xdr:cNvPr id="7586" name="AutoShape 120" descr="https://www.soccerstats.com/img/own/sshplogo.png">
          <a:hlinkClick xmlns:r="http://schemas.openxmlformats.org/officeDocument/2006/relationships" r:id="rId579" tooltip="Rosario Central vs Corinthians"/>
        </xdr:cNvPr>
        <xdr:cNvSpPr>
          <a:spLocks noChangeAspect="1" noChangeArrowheads="1"/>
        </xdr:cNvSpPr>
      </xdr:nvSpPr>
      <xdr:spPr bwMode="auto">
        <a:xfrm>
          <a:off x="13411200" y="1276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152400</xdr:colOff>
      <xdr:row>62</xdr:row>
      <xdr:rowOff>106680</xdr:rowOff>
    </xdr:to>
    <xdr:sp macro="" textlink="">
      <xdr:nvSpPr>
        <xdr:cNvPr id="7587" name="AutoShape 121" descr="CROATIA"/>
        <xdr:cNvSpPr>
          <a:spLocks noChangeAspect="1" noChangeArrowheads="1"/>
        </xdr:cNvSpPr>
      </xdr:nvSpPr>
      <xdr:spPr bwMode="auto">
        <a:xfrm>
          <a:off x="0" y="13014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62</xdr:row>
      <xdr:rowOff>0</xdr:rowOff>
    </xdr:from>
    <xdr:to>
      <xdr:col>22</xdr:col>
      <xdr:colOff>304800</xdr:colOff>
      <xdr:row>63</xdr:row>
      <xdr:rowOff>53340</xdr:rowOff>
    </xdr:to>
    <xdr:sp macro="" textlink="">
      <xdr:nvSpPr>
        <xdr:cNvPr id="7588" name="AutoShape 122" descr="https://www.soccerstats.com/img/own/sshplogo.png">
          <a:hlinkClick xmlns:r="http://schemas.openxmlformats.org/officeDocument/2006/relationships" r:id="rId580"/>
        </xdr:cNvPr>
        <xdr:cNvSpPr>
          <a:spLocks noChangeAspect="1" noChangeArrowheads="1"/>
        </xdr:cNvSpPr>
      </xdr:nvSpPr>
      <xdr:spPr bwMode="auto">
        <a:xfrm>
          <a:off x="13411200" y="13014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152400</xdr:colOff>
      <xdr:row>63</xdr:row>
      <xdr:rowOff>106680</xdr:rowOff>
    </xdr:to>
    <xdr:sp macro="" textlink="">
      <xdr:nvSpPr>
        <xdr:cNvPr id="7589" name="AutoShape 123" descr="CZECHREPUBLIC2"/>
        <xdr:cNvSpPr>
          <a:spLocks noChangeAspect="1" noChangeArrowheads="1"/>
        </xdr:cNvSpPr>
      </xdr:nvSpPr>
      <xdr:spPr bwMode="auto">
        <a:xfrm>
          <a:off x="0" y="13266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63</xdr:row>
      <xdr:rowOff>0</xdr:rowOff>
    </xdr:from>
    <xdr:to>
      <xdr:col>22</xdr:col>
      <xdr:colOff>304800</xdr:colOff>
      <xdr:row>64</xdr:row>
      <xdr:rowOff>53340</xdr:rowOff>
    </xdr:to>
    <xdr:sp macro="" textlink="">
      <xdr:nvSpPr>
        <xdr:cNvPr id="7590" name="AutoShape 124" descr="https://www.soccerstats.com/img/own/sshplogo.png">
          <a:hlinkClick xmlns:r="http://schemas.openxmlformats.org/officeDocument/2006/relationships" r:id="rId581"/>
        </xdr:cNvPr>
        <xdr:cNvSpPr>
          <a:spLocks noChangeAspect="1" noChangeArrowheads="1"/>
        </xdr:cNvSpPr>
      </xdr:nvSpPr>
      <xdr:spPr bwMode="auto">
        <a:xfrm>
          <a:off x="13411200" y="13266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152400</xdr:colOff>
      <xdr:row>64</xdr:row>
      <xdr:rowOff>106680</xdr:rowOff>
    </xdr:to>
    <xdr:sp macro="" textlink="">
      <xdr:nvSpPr>
        <xdr:cNvPr id="7591" name="AutoShape 125" descr="CZECHREPUBLIC2"/>
        <xdr:cNvSpPr>
          <a:spLocks noChangeAspect="1" noChangeArrowheads="1"/>
        </xdr:cNvSpPr>
      </xdr:nvSpPr>
      <xdr:spPr bwMode="auto">
        <a:xfrm>
          <a:off x="0" y="13517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64</xdr:row>
      <xdr:rowOff>0</xdr:rowOff>
    </xdr:from>
    <xdr:to>
      <xdr:col>22</xdr:col>
      <xdr:colOff>304800</xdr:colOff>
      <xdr:row>65</xdr:row>
      <xdr:rowOff>129540</xdr:rowOff>
    </xdr:to>
    <xdr:sp macro="" textlink="">
      <xdr:nvSpPr>
        <xdr:cNvPr id="7592" name="AutoShape 126" descr="https://www.soccerstats.com/img/own/sshplogo.png">
          <a:hlinkClick xmlns:r="http://schemas.openxmlformats.org/officeDocument/2006/relationships" r:id="rId582"/>
        </xdr:cNvPr>
        <xdr:cNvSpPr>
          <a:spLocks noChangeAspect="1" noChangeArrowheads="1"/>
        </xdr:cNvSpPr>
      </xdr:nvSpPr>
      <xdr:spPr bwMode="auto">
        <a:xfrm>
          <a:off x="13411200" y="13517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152400</xdr:colOff>
      <xdr:row>65</xdr:row>
      <xdr:rowOff>106680</xdr:rowOff>
    </xdr:to>
    <xdr:sp macro="" textlink="">
      <xdr:nvSpPr>
        <xdr:cNvPr id="7593" name="AutoShape 127" descr="DENMARK"/>
        <xdr:cNvSpPr>
          <a:spLocks noChangeAspect="1" noChangeArrowheads="1"/>
        </xdr:cNvSpPr>
      </xdr:nvSpPr>
      <xdr:spPr bwMode="auto">
        <a:xfrm>
          <a:off x="0" y="13693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65</xdr:row>
      <xdr:rowOff>0</xdr:rowOff>
    </xdr:from>
    <xdr:to>
      <xdr:col>22</xdr:col>
      <xdr:colOff>304800</xdr:colOff>
      <xdr:row>66</xdr:row>
      <xdr:rowOff>129540</xdr:rowOff>
    </xdr:to>
    <xdr:sp macro="" textlink="">
      <xdr:nvSpPr>
        <xdr:cNvPr id="7594" name="AutoShape 128" descr="https://www.soccerstats.com/img/own/sshplogo.png">
          <a:hlinkClick xmlns:r="http://schemas.openxmlformats.org/officeDocument/2006/relationships" r:id="rId583"/>
        </xdr:cNvPr>
        <xdr:cNvSpPr>
          <a:spLocks noChangeAspect="1" noChangeArrowheads="1"/>
        </xdr:cNvSpPr>
      </xdr:nvSpPr>
      <xdr:spPr bwMode="auto">
        <a:xfrm>
          <a:off x="13411200" y="13693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152400</xdr:colOff>
      <xdr:row>66</xdr:row>
      <xdr:rowOff>106680</xdr:rowOff>
    </xdr:to>
    <xdr:sp macro="" textlink="">
      <xdr:nvSpPr>
        <xdr:cNvPr id="7595" name="AutoShape 129" descr="DENMARK2"/>
        <xdr:cNvSpPr>
          <a:spLocks noChangeAspect="1" noChangeArrowheads="1"/>
        </xdr:cNvSpPr>
      </xdr:nvSpPr>
      <xdr:spPr bwMode="auto">
        <a:xfrm>
          <a:off x="0" y="13868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66</xdr:row>
      <xdr:rowOff>0</xdr:rowOff>
    </xdr:from>
    <xdr:to>
      <xdr:col>22</xdr:col>
      <xdr:colOff>304800</xdr:colOff>
      <xdr:row>67</xdr:row>
      <xdr:rowOff>129540</xdr:rowOff>
    </xdr:to>
    <xdr:sp macro="" textlink="">
      <xdr:nvSpPr>
        <xdr:cNvPr id="7596" name="AutoShape 130" descr="https://www.soccerstats.com/img/own/sshplogo.png">
          <a:hlinkClick xmlns:r="http://schemas.openxmlformats.org/officeDocument/2006/relationships" r:id="rId584"/>
        </xdr:cNvPr>
        <xdr:cNvSpPr>
          <a:spLocks noChangeAspect="1" noChangeArrowheads="1"/>
        </xdr:cNvSpPr>
      </xdr:nvSpPr>
      <xdr:spPr bwMode="auto">
        <a:xfrm>
          <a:off x="13411200" y="13868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152400</xdr:colOff>
      <xdr:row>67</xdr:row>
      <xdr:rowOff>106680</xdr:rowOff>
    </xdr:to>
    <xdr:sp macro="" textlink="">
      <xdr:nvSpPr>
        <xdr:cNvPr id="7597" name="AutoShape 131" descr="DENMARK2"/>
        <xdr:cNvSpPr>
          <a:spLocks noChangeAspect="1" noChangeArrowheads="1"/>
        </xdr:cNvSpPr>
      </xdr:nvSpPr>
      <xdr:spPr bwMode="auto">
        <a:xfrm>
          <a:off x="0" y="14043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67</xdr:row>
      <xdr:rowOff>0</xdr:rowOff>
    </xdr:from>
    <xdr:to>
      <xdr:col>22</xdr:col>
      <xdr:colOff>304800</xdr:colOff>
      <xdr:row>68</xdr:row>
      <xdr:rowOff>129540</xdr:rowOff>
    </xdr:to>
    <xdr:sp macro="" textlink="">
      <xdr:nvSpPr>
        <xdr:cNvPr id="7598" name="AutoShape 132" descr="https://www.soccerstats.com/img/own/sshplogo.png">
          <a:hlinkClick xmlns:r="http://schemas.openxmlformats.org/officeDocument/2006/relationships" r:id="rId585"/>
        </xdr:cNvPr>
        <xdr:cNvSpPr>
          <a:spLocks noChangeAspect="1" noChangeArrowheads="1"/>
        </xdr:cNvSpPr>
      </xdr:nvSpPr>
      <xdr:spPr bwMode="auto">
        <a:xfrm>
          <a:off x="13411200" y="14043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152400</xdr:colOff>
      <xdr:row>68</xdr:row>
      <xdr:rowOff>106680</xdr:rowOff>
    </xdr:to>
    <xdr:sp macro="" textlink="">
      <xdr:nvSpPr>
        <xdr:cNvPr id="7599" name="AutoShape 133" descr="DENMARK3"/>
        <xdr:cNvSpPr>
          <a:spLocks noChangeAspect="1" noChangeArrowheads="1"/>
        </xdr:cNvSpPr>
      </xdr:nvSpPr>
      <xdr:spPr bwMode="auto">
        <a:xfrm>
          <a:off x="0" y="14218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68</xdr:row>
      <xdr:rowOff>0</xdr:rowOff>
    </xdr:from>
    <xdr:to>
      <xdr:col>22</xdr:col>
      <xdr:colOff>304800</xdr:colOff>
      <xdr:row>69</xdr:row>
      <xdr:rowOff>129540</xdr:rowOff>
    </xdr:to>
    <xdr:sp macro="" textlink="">
      <xdr:nvSpPr>
        <xdr:cNvPr id="7600" name="AutoShape 134" descr="https://www.soccerstats.com/img/own/sshplogo.png">
          <a:hlinkClick xmlns:r="http://schemas.openxmlformats.org/officeDocument/2006/relationships" r:id="rId586"/>
        </xdr:cNvPr>
        <xdr:cNvSpPr>
          <a:spLocks noChangeAspect="1" noChangeArrowheads="1"/>
        </xdr:cNvSpPr>
      </xdr:nvSpPr>
      <xdr:spPr bwMode="auto">
        <a:xfrm>
          <a:off x="13411200" y="14218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152400</xdr:colOff>
      <xdr:row>69</xdr:row>
      <xdr:rowOff>106680</xdr:rowOff>
    </xdr:to>
    <xdr:sp macro="" textlink="">
      <xdr:nvSpPr>
        <xdr:cNvPr id="7601" name="AutoShape 135" descr="DENMARK3"/>
        <xdr:cNvSpPr>
          <a:spLocks noChangeAspect="1" noChangeArrowheads="1"/>
        </xdr:cNvSpPr>
      </xdr:nvSpPr>
      <xdr:spPr bwMode="auto">
        <a:xfrm>
          <a:off x="0" y="14394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69</xdr:row>
      <xdr:rowOff>0</xdr:rowOff>
    </xdr:from>
    <xdr:to>
      <xdr:col>22</xdr:col>
      <xdr:colOff>304800</xdr:colOff>
      <xdr:row>70</xdr:row>
      <xdr:rowOff>129540</xdr:rowOff>
    </xdr:to>
    <xdr:sp macro="" textlink="">
      <xdr:nvSpPr>
        <xdr:cNvPr id="7602" name="AutoShape 136" descr="https://www.soccerstats.com/img/own/sshplogo.png">
          <a:hlinkClick xmlns:r="http://schemas.openxmlformats.org/officeDocument/2006/relationships" r:id="rId587"/>
        </xdr:cNvPr>
        <xdr:cNvSpPr>
          <a:spLocks noChangeAspect="1" noChangeArrowheads="1"/>
        </xdr:cNvSpPr>
      </xdr:nvSpPr>
      <xdr:spPr bwMode="auto">
        <a:xfrm>
          <a:off x="13411200" y="14394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152400</xdr:colOff>
      <xdr:row>70</xdr:row>
      <xdr:rowOff>106680</xdr:rowOff>
    </xdr:to>
    <xdr:sp macro="" textlink="">
      <xdr:nvSpPr>
        <xdr:cNvPr id="7603" name="AutoShape 137" descr="DENMARK3"/>
        <xdr:cNvSpPr>
          <a:spLocks noChangeAspect="1" noChangeArrowheads="1"/>
        </xdr:cNvSpPr>
      </xdr:nvSpPr>
      <xdr:spPr bwMode="auto">
        <a:xfrm>
          <a:off x="0" y="14569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70</xdr:row>
      <xdr:rowOff>0</xdr:rowOff>
    </xdr:from>
    <xdr:to>
      <xdr:col>22</xdr:col>
      <xdr:colOff>304800</xdr:colOff>
      <xdr:row>71</xdr:row>
      <xdr:rowOff>129540</xdr:rowOff>
    </xdr:to>
    <xdr:sp macro="" textlink="">
      <xdr:nvSpPr>
        <xdr:cNvPr id="7604" name="AutoShape 138" descr="https://www.soccerstats.com/img/own/sshplogo.png">
          <a:hlinkClick xmlns:r="http://schemas.openxmlformats.org/officeDocument/2006/relationships" r:id="rId588"/>
        </xdr:cNvPr>
        <xdr:cNvSpPr>
          <a:spLocks noChangeAspect="1" noChangeArrowheads="1"/>
        </xdr:cNvSpPr>
      </xdr:nvSpPr>
      <xdr:spPr bwMode="auto">
        <a:xfrm>
          <a:off x="13411200" y="14569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152400</xdr:colOff>
      <xdr:row>71</xdr:row>
      <xdr:rowOff>106680</xdr:rowOff>
    </xdr:to>
    <xdr:sp macro="" textlink="">
      <xdr:nvSpPr>
        <xdr:cNvPr id="7605" name="AutoShape 139" descr="DENMARK3"/>
        <xdr:cNvSpPr>
          <a:spLocks noChangeAspect="1" noChangeArrowheads="1"/>
        </xdr:cNvSpPr>
      </xdr:nvSpPr>
      <xdr:spPr bwMode="auto">
        <a:xfrm>
          <a:off x="0" y="14744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71</xdr:row>
      <xdr:rowOff>0</xdr:rowOff>
    </xdr:from>
    <xdr:to>
      <xdr:col>22</xdr:col>
      <xdr:colOff>304800</xdr:colOff>
      <xdr:row>72</xdr:row>
      <xdr:rowOff>53340</xdr:rowOff>
    </xdr:to>
    <xdr:sp macro="" textlink="">
      <xdr:nvSpPr>
        <xdr:cNvPr id="7606" name="AutoShape 140" descr="https://www.soccerstats.com/img/own/sshplogo.png">
          <a:hlinkClick xmlns:r="http://schemas.openxmlformats.org/officeDocument/2006/relationships" r:id="rId589"/>
        </xdr:cNvPr>
        <xdr:cNvSpPr>
          <a:spLocks noChangeAspect="1" noChangeArrowheads="1"/>
        </xdr:cNvSpPr>
      </xdr:nvSpPr>
      <xdr:spPr bwMode="auto">
        <a:xfrm>
          <a:off x="13411200" y="1474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152400</xdr:colOff>
      <xdr:row>72</xdr:row>
      <xdr:rowOff>106680</xdr:rowOff>
    </xdr:to>
    <xdr:sp macro="" textlink="">
      <xdr:nvSpPr>
        <xdr:cNvPr id="7607" name="AutoShape 141" descr="ENGLAND7"/>
        <xdr:cNvSpPr>
          <a:spLocks noChangeAspect="1" noChangeArrowheads="1"/>
        </xdr:cNvSpPr>
      </xdr:nvSpPr>
      <xdr:spPr bwMode="auto">
        <a:xfrm>
          <a:off x="0" y="14996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72</xdr:row>
      <xdr:rowOff>0</xdr:rowOff>
    </xdr:from>
    <xdr:to>
      <xdr:col>22</xdr:col>
      <xdr:colOff>304800</xdr:colOff>
      <xdr:row>73</xdr:row>
      <xdr:rowOff>53340</xdr:rowOff>
    </xdr:to>
    <xdr:sp macro="" textlink="">
      <xdr:nvSpPr>
        <xdr:cNvPr id="7608" name="AutoShape 142" descr="https://www.soccerstats.com/img/own/sshplogo.png">
          <a:hlinkClick xmlns:r="http://schemas.openxmlformats.org/officeDocument/2006/relationships" r:id="rId590"/>
        </xdr:cNvPr>
        <xdr:cNvSpPr>
          <a:spLocks noChangeAspect="1" noChangeArrowheads="1"/>
        </xdr:cNvSpPr>
      </xdr:nvSpPr>
      <xdr:spPr bwMode="auto">
        <a:xfrm>
          <a:off x="13411200" y="14996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152400</xdr:colOff>
      <xdr:row>73</xdr:row>
      <xdr:rowOff>106680</xdr:rowOff>
    </xdr:to>
    <xdr:sp macro="" textlink="">
      <xdr:nvSpPr>
        <xdr:cNvPr id="7609" name="AutoShape 143" descr="ENGLAND9"/>
        <xdr:cNvSpPr>
          <a:spLocks noChangeAspect="1" noChangeArrowheads="1"/>
        </xdr:cNvSpPr>
      </xdr:nvSpPr>
      <xdr:spPr bwMode="auto">
        <a:xfrm>
          <a:off x="0" y="15247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73</xdr:row>
      <xdr:rowOff>0</xdr:rowOff>
    </xdr:from>
    <xdr:to>
      <xdr:col>22</xdr:col>
      <xdr:colOff>304800</xdr:colOff>
      <xdr:row>74</xdr:row>
      <xdr:rowOff>129540</xdr:rowOff>
    </xdr:to>
    <xdr:sp macro="" textlink="">
      <xdr:nvSpPr>
        <xdr:cNvPr id="7610" name="AutoShape 144" descr="https://www.soccerstats.com/img/own/sshplogo.png">
          <a:hlinkClick xmlns:r="http://schemas.openxmlformats.org/officeDocument/2006/relationships" r:id="rId591"/>
        </xdr:cNvPr>
        <xdr:cNvSpPr>
          <a:spLocks noChangeAspect="1" noChangeArrowheads="1"/>
        </xdr:cNvSpPr>
      </xdr:nvSpPr>
      <xdr:spPr bwMode="auto">
        <a:xfrm>
          <a:off x="13411200" y="15247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152400</xdr:colOff>
      <xdr:row>74</xdr:row>
      <xdr:rowOff>106680</xdr:rowOff>
    </xdr:to>
    <xdr:sp macro="" textlink="">
      <xdr:nvSpPr>
        <xdr:cNvPr id="7611" name="AutoShape 145" descr="ESTONIA"/>
        <xdr:cNvSpPr>
          <a:spLocks noChangeAspect="1" noChangeArrowheads="1"/>
        </xdr:cNvSpPr>
      </xdr:nvSpPr>
      <xdr:spPr bwMode="auto">
        <a:xfrm>
          <a:off x="0" y="15422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74</xdr:row>
      <xdr:rowOff>0</xdr:rowOff>
    </xdr:from>
    <xdr:to>
      <xdr:col>22</xdr:col>
      <xdr:colOff>304800</xdr:colOff>
      <xdr:row>75</xdr:row>
      <xdr:rowOff>129540</xdr:rowOff>
    </xdr:to>
    <xdr:sp macro="" textlink="">
      <xdr:nvSpPr>
        <xdr:cNvPr id="7612" name="AutoShape 146" descr="https://www.soccerstats.com/img/own/sshplogo.png">
          <a:hlinkClick xmlns:r="http://schemas.openxmlformats.org/officeDocument/2006/relationships" r:id="rId592"/>
        </xdr:cNvPr>
        <xdr:cNvSpPr>
          <a:spLocks noChangeAspect="1" noChangeArrowheads="1"/>
        </xdr:cNvSpPr>
      </xdr:nvSpPr>
      <xdr:spPr bwMode="auto">
        <a:xfrm>
          <a:off x="13411200" y="15422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152400</xdr:colOff>
      <xdr:row>75</xdr:row>
      <xdr:rowOff>106680</xdr:rowOff>
    </xdr:to>
    <xdr:sp macro="" textlink="">
      <xdr:nvSpPr>
        <xdr:cNvPr id="7613" name="AutoShape 147" descr="FINLAND"/>
        <xdr:cNvSpPr>
          <a:spLocks noChangeAspect="1" noChangeArrowheads="1"/>
        </xdr:cNvSpPr>
      </xdr:nvSpPr>
      <xdr:spPr bwMode="auto">
        <a:xfrm>
          <a:off x="0" y="15598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75</xdr:row>
      <xdr:rowOff>0</xdr:rowOff>
    </xdr:from>
    <xdr:to>
      <xdr:col>22</xdr:col>
      <xdr:colOff>304800</xdr:colOff>
      <xdr:row>76</xdr:row>
      <xdr:rowOff>129540</xdr:rowOff>
    </xdr:to>
    <xdr:sp macro="" textlink="">
      <xdr:nvSpPr>
        <xdr:cNvPr id="7614" name="AutoShape 148" descr="https://www.soccerstats.com/img/own/sshplogo.png">
          <a:hlinkClick xmlns:r="http://schemas.openxmlformats.org/officeDocument/2006/relationships" r:id="rId593"/>
        </xdr:cNvPr>
        <xdr:cNvSpPr>
          <a:spLocks noChangeAspect="1" noChangeArrowheads="1"/>
        </xdr:cNvSpPr>
      </xdr:nvSpPr>
      <xdr:spPr bwMode="auto">
        <a:xfrm>
          <a:off x="13411200" y="15598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152400</xdr:colOff>
      <xdr:row>76</xdr:row>
      <xdr:rowOff>106680</xdr:rowOff>
    </xdr:to>
    <xdr:sp macro="" textlink="">
      <xdr:nvSpPr>
        <xdr:cNvPr id="7615" name="AutoShape 149" descr="FINLAND2"/>
        <xdr:cNvSpPr>
          <a:spLocks noChangeAspect="1" noChangeArrowheads="1"/>
        </xdr:cNvSpPr>
      </xdr:nvSpPr>
      <xdr:spPr bwMode="auto">
        <a:xfrm>
          <a:off x="0" y="15773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76</xdr:row>
      <xdr:rowOff>0</xdr:rowOff>
    </xdr:from>
    <xdr:to>
      <xdr:col>22</xdr:col>
      <xdr:colOff>304800</xdr:colOff>
      <xdr:row>77</xdr:row>
      <xdr:rowOff>129540</xdr:rowOff>
    </xdr:to>
    <xdr:sp macro="" textlink="">
      <xdr:nvSpPr>
        <xdr:cNvPr id="7616" name="AutoShape 150" descr="https://www.soccerstats.com/img/own/sshplogo.png">
          <a:hlinkClick xmlns:r="http://schemas.openxmlformats.org/officeDocument/2006/relationships" r:id="rId594"/>
        </xdr:cNvPr>
        <xdr:cNvSpPr>
          <a:spLocks noChangeAspect="1" noChangeArrowheads="1"/>
        </xdr:cNvSpPr>
      </xdr:nvSpPr>
      <xdr:spPr bwMode="auto">
        <a:xfrm>
          <a:off x="13411200" y="15773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152400</xdr:colOff>
      <xdr:row>77</xdr:row>
      <xdr:rowOff>106680</xdr:rowOff>
    </xdr:to>
    <xdr:sp macro="" textlink="">
      <xdr:nvSpPr>
        <xdr:cNvPr id="7617" name="AutoShape 151" descr="FRANCE3"/>
        <xdr:cNvSpPr>
          <a:spLocks noChangeAspect="1" noChangeArrowheads="1"/>
        </xdr:cNvSpPr>
      </xdr:nvSpPr>
      <xdr:spPr bwMode="auto">
        <a:xfrm>
          <a:off x="0" y="15948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77</xdr:row>
      <xdr:rowOff>0</xdr:rowOff>
    </xdr:from>
    <xdr:to>
      <xdr:col>22</xdr:col>
      <xdr:colOff>304800</xdr:colOff>
      <xdr:row>78</xdr:row>
      <xdr:rowOff>129540</xdr:rowOff>
    </xdr:to>
    <xdr:sp macro="" textlink="">
      <xdr:nvSpPr>
        <xdr:cNvPr id="7618" name="AutoShape 152" descr="https://www.soccerstats.com/img/own/sshplogo.png">
          <a:hlinkClick xmlns:r="http://schemas.openxmlformats.org/officeDocument/2006/relationships" r:id="rId595"/>
        </xdr:cNvPr>
        <xdr:cNvSpPr>
          <a:spLocks noChangeAspect="1" noChangeArrowheads="1"/>
        </xdr:cNvSpPr>
      </xdr:nvSpPr>
      <xdr:spPr bwMode="auto">
        <a:xfrm>
          <a:off x="13411200" y="15948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152400</xdr:colOff>
      <xdr:row>78</xdr:row>
      <xdr:rowOff>106680</xdr:rowOff>
    </xdr:to>
    <xdr:sp macro="" textlink="">
      <xdr:nvSpPr>
        <xdr:cNvPr id="7619" name="AutoShape 153" descr="FRANCE3"/>
        <xdr:cNvSpPr>
          <a:spLocks noChangeAspect="1" noChangeArrowheads="1"/>
        </xdr:cNvSpPr>
      </xdr:nvSpPr>
      <xdr:spPr bwMode="auto">
        <a:xfrm>
          <a:off x="0" y="16123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78</xdr:row>
      <xdr:rowOff>0</xdr:rowOff>
    </xdr:from>
    <xdr:to>
      <xdr:col>22</xdr:col>
      <xdr:colOff>304800</xdr:colOff>
      <xdr:row>79</xdr:row>
      <xdr:rowOff>129540</xdr:rowOff>
    </xdr:to>
    <xdr:sp macro="" textlink="">
      <xdr:nvSpPr>
        <xdr:cNvPr id="7620" name="AutoShape 154" descr="https://www.soccerstats.com/img/own/sshplogo.png">
          <a:hlinkClick xmlns:r="http://schemas.openxmlformats.org/officeDocument/2006/relationships" r:id="rId596"/>
        </xdr:cNvPr>
        <xdr:cNvSpPr>
          <a:spLocks noChangeAspect="1" noChangeArrowheads="1"/>
        </xdr:cNvSpPr>
      </xdr:nvSpPr>
      <xdr:spPr bwMode="auto">
        <a:xfrm>
          <a:off x="13411200" y="16123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152400</xdr:colOff>
      <xdr:row>79</xdr:row>
      <xdr:rowOff>106680</xdr:rowOff>
    </xdr:to>
    <xdr:sp macro="" textlink="">
      <xdr:nvSpPr>
        <xdr:cNvPr id="7621" name="AutoShape 155" descr="FRANCE3"/>
        <xdr:cNvSpPr>
          <a:spLocks noChangeAspect="1" noChangeArrowheads="1"/>
        </xdr:cNvSpPr>
      </xdr:nvSpPr>
      <xdr:spPr bwMode="auto">
        <a:xfrm>
          <a:off x="0" y="16299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79</xdr:row>
      <xdr:rowOff>0</xdr:rowOff>
    </xdr:from>
    <xdr:to>
      <xdr:col>22</xdr:col>
      <xdr:colOff>304800</xdr:colOff>
      <xdr:row>80</xdr:row>
      <xdr:rowOff>53340</xdr:rowOff>
    </xdr:to>
    <xdr:sp macro="" textlink="">
      <xdr:nvSpPr>
        <xdr:cNvPr id="7622" name="AutoShape 156" descr="https://www.soccerstats.com/img/own/sshplogo.png">
          <a:hlinkClick xmlns:r="http://schemas.openxmlformats.org/officeDocument/2006/relationships" r:id="rId597"/>
        </xdr:cNvPr>
        <xdr:cNvSpPr>
          <a:spLocks noChangeAspect="1" noChangeArrowheads="1"/>
        </xdr:cNvSpPr>
      </xdr:nvSpPr>
      <xdr:spPr bwMode="auto">
        <a:xfrm>
          <a:off x="13411200" y="16299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152400</xdr:colOff>
      <xdr:row>80</xdr:row>
      <xdr:rowOff>106680</xdr:rowOff>
    </xdr:to>
    <xdr:sp macro="" textlink="">
      <xdr:nvSpPr>
        <xdr:cNvPr id="7623" name="AutoShape 157" descr="FRANCE3"/>
        <xdr:cNvSpPr>
          <a:spLocks noChangeAspect="1" noChangeArrowheads="1"/>
        </xdr:cNvSpPr>
      </xdr:nvSpPr>
      <xdr:spPr bwMode="auto">
        <a:xfrm>
          <a:off x="0" y="16550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80</xdr:row>
      <xdr:rowOff>0</xdr:rowOff>
    </xdr:from>
    <xdr:to>
      <xdr:col>22</xdr:col>
      <xdr:colOff>304800</xdr:colOff>
      <xdr:row>81</xdr:row>
      <xdr:rowOff>129540</xdr:rowOff>
    </xdr:to>
    <xdr:sp macro="" textlink="">
      <xdr:nvSpPr>
        <xdr:cNvPr id="7624" name="AutoShape 158" descr="https://www.soccerstats.com/img/own/sshplogo.png">
          <a:hlinkClick xmlns:r="http://schemas.openxmlformats.org/officeDocument/2006/relationships" r:id="rId598"/>
        </xdr:cNvPr>
        <xdr:cNvSpPr>
          <a:spLocks noChangeAspect="1" noChangeArrowheads="1"/>
        </xdr:cNvSpPr>
      </xdr:nvSpPr>
      <xdr:spPr bwMode="auto">
        <a:xfrm>
          <a:off x="13411200" y="16550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152400</xdr:colOff>
      <xdr:row>81</xdr:row>
      <xdr:rowOff>106680</xdr:rowOff>
    </xdr:to>
    <xdr:sp macro="" textlink="">
      <xdr:nvSpPr>
        <xdr:cNvPr id="7625" name="AutoShape 159" descr="FRANCE3"/>
        <xdr:cNvSpPr>
          <a:spLocks noChangeAspect="1" noChangeArrowheads="1"/>
        </xdr:cNvSpPr>
      </xdr:nvSpPr>
      <xdr:spPr bwMode="auto">
        <a:xfrm>
          <a:off x="0" y="16725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81</xdr:row>
      <xdr:rowOff>0</xdr:rowOff>
    </xdr:from>
    <xdr:to>
      <xdr:col>22</xdr:col>
      <xdr:colOff>304800</xdr:colOff>
      <xdr:row>82</xdr:row>
      <xdr:rowOff>53340</xdr:rowOff>
    </xdr:to>
    <xdr:sp macro="" textlink="">
      <xdr:nvSpPr>
        <xdr:cNvPr id="7626" name="AutoShape 160" descr="https://www.soccerstats.com/img/own/sshplogo.png">
          <a:hlinkClick xmlns:r="http://schemas.openxmlformats.org/officeDocument/2006/relationships" r:id="rId599"/>
        </xdr:cNvPr>
        <xdr:cNvSpPr>
          <a:spLocks noChangeAspect="1" noChangeArrowheads="1"/>
        </xdr:cNvSpPr>
      </xdr:nvSpPr>
      <xdr:spPr bwMode="auto">
        <a:xfrm>
          <a:off x="13411200" y="16725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152400</xdr:colOff>
      <xdr:row>82</xdr:row>
      <xdr:rowOff>106680</xdr:rowOff>
    </xdr:to>
    <xdr:sp macro="" textlink="">
      <xdr:nvSpPr>
        <xdr:cNvPr id="7627" name="AutoShape 161" descr="FRANCE3"/>
        <xdr:cNvSpPr>
          <a:spLocks noChangeAspect="1" noChangeArrowheads="1"/>
        </xdr:cNvSpPr>
      </xdr:nvSpPr>
      <xdr:spPr bwMode="auto">
        <a:xfrm>
          <a:off x="0" y="16977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82</xdr:row>
      <xdr:rowOff>0</xdr:rowOff>
    </xdr:from>
    <xdr:to>
      <xdr:col>22</xdr:col>
      <xdr:colOff>304800</xdr:colOff>
      <xdr:row>83</xdr:row>
      <xdr:rowOff>129540</xdr:rowOff>
    </xdr:to>
    <xdr:sp macro="" textlink="">
      <xdr:nvSpPr>
        <xdr:cNvPr id="7628" name="AutoShape 162" descr="https://www.soccerstats.com/img/own/sshplogo.png">
          <a:hlinkClick xmlns:r="http://schemas.openxmlformats.org/officeDocument/2006/relationships" r:id="rId600"/>
        </xdr:cNvPr>
        <xdr:cNvSpPr>
          <a:spLocks noChangeAspect="1" noChangeArrowheads="1"/>
        </xdr:cNvSpPr>
      </xdr:nvSpPr>
      <xdr:spPr bwMode="auto">
        <a:xfrm>
          <a:off x="13411200" y="16977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152400</xdr:colOff>
      <xdr:row>83</xdr:row>
      <xdr:rowOff>106680</xdr:rowOff>
    </xdr:to>
    <xdr:sp macro="" textlink="">
      <xdr:nvSpPr>
        <xdr:cNvPr id="7629" name="AutoShape 163" descr="FRANCE3"/>
        <xdr:cNvSpPr>
          <a:spLocks noChangeAspect="1" noChangeArrowheads="1"/>
        </xdr:cNvSpPr>
      </xdr:nvSpPr>
      <xdr:spPr bwMode="auto">
        <a:xfrm>
          <a:off x="0" y="17152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83</xdr:row>
      <xdr:rowOff>0</xdr:rowOff>
    </xdr:from>
    <xdr:to>
      <xdr:col>22</xdr:col>
      <xdr:colOff>304800</xdr:colOff>
      <xdr:row>84</xdr:row>
      <xdr:rowOff>53340</xdr:rowOff>
    </xdr:to>
    <xdr:sp macro="" textlink="">
      <xdr:nvSpPr>
        <xdr:cNvPr id="7630" name="AutoShape 164" descr="https://www.soccerstats.com/img/own/sshplogo.png">
          <a:hlinkClick xmlns:r="http://schemas.openxmlformats.org/officeDocument/2006/relationships" r:id="rId601"/>
        </xdr:cNvPr>
        <xdr:cNvSpPr>
          <a:spLocks noChangeAspect="1" noChangeArrowheads="1"/>
        </xdr:cNvSpPr>
      </xdr:nvSpPr>
      <xdr:spPr bwMode="auto">
        <a:xfrm>
          <a:off x="13411200" y="17152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152400</xdr:colOff>
      <xdr:row>84</xdr:row>
      <xdr:rowOff>106680</xdr:rowOff>
    </xdr:to>
    <xdr:sp macro="" textlink="">
      <xdr:nvSpPr>
        <xdr:cNvPr id="7631" name="AutoShape 165" descr="FRANCE3"/>
        <xdr:cNvSpPr>
          <a:spLocks noChangeAspect="1" noChangeArrowheads="1"/>
        </xdr:cNvSpPr>
      </xdr:nvSpPr>
      <xdr:spPr bwMode="auto">
        <a:xfrm>
          <a:off x="0" y="17404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84</xdr:row>
      <xdr:rowOff>0</xdr:rowOff>
    </xdr:from>
    <xdr:to>
      <xdr:col>22</xdr:col>
      <xdr:colOff>304800</xdr:colOff>
      <xdr:row>85</xdr:row>
      <xdr:rowOff>129540</xdr:rowOff>
    </xdr:to>
    <xdr:sp macro="" textlink="">
      <xdr:nvSpPr>
        <xdr:cNvPr id="7632" name="AutoShape 166" descr="https://www.soccerstats.com/img/own/sshplogo.png">
          <a:hlinkClick xmlns:r="http://schemas.openxmlformats.org/officeDocument/2006/relationships" r:id="rId602"/>
        </xdr:cNvPr>
        <xdr:cNvSpPr>
          <a:spLocks noChangeAspect="1" noChangeArrowheads="1"/>
        </xdr:cNvSpPr>
      </xdr:nvSpPr>
      <xdr:spPr bwMode="auto">
        <a:xfrm>
          <a:off x="13411200" y="17404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152400</xdr:colOff>
      <xdr:row>85</xdr:row>
      <xdr:rowOff>106680</xdr:rowOff>
    </xdr:to>
    <xdr:sp macro="" textlink="">
      <xdr:nvSpPr>
        <xdr:cNvPr id="7633" name="AutoShape 167" descr="FRANCE3"/>
        <xdr:cNvSpPr>
          <a:spLocks noChangeAspect="1" noChangeArrowheads="1"/>
        </xdr:cNvSpPr>
      </xdr:nvSpPr>
      <xdr:spPr bwMode="auto">
        <a:xfrm>
          <a:off x="0" y="17579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85</xdr:row>
      <xdr:rowOff>0</xdr:rowOff>
    </xdr:from>
    <xdr:to>
      <xdr:col>22</xdr:col>
      <xdr:colOff>304800</xdr:colOff>
      <xdr:row>86</xdr:row>
      <xdr:rowOff>129540</xdr:rowOff>
    </xdr:to>
    <xdr:sp macro="" textlink="">
      <xdr:nvSpPr>
        <xdr:cNvPr id="7634" name="AutoShape 168" descr="https://www.soccerstats.com/img/own/sshplogo.png">
          <a:hlinkClick xmlns:r="http://schemas.openxmlformats.org/officeDocument/2006/relationships" r:id="rId603"/>
        </xdr:cNvPr>
        <xdr:cNvSpPr>
          <a:spLocks noChangeAspect="1" noChangeArrowheads="1"/>
        </xdr:cNvSpPr>
      </xdr:nvSpPr>
      <xdr:spPr bwMode="auto">
        <a:xfrm>
          <a:off x="13411200" y="17579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152400</xdr:colOff>
      <xdr:row>86</xdr:row>
      <xdr:rowOff>106680</xdr:rowOff>
    </xdr:to>
    <xdr:sp macro="" textlink="">
      <xdr:nvSpPr>
        <xdr:cNvPr id="7635" name="AutoShape 169" descr="GERMANY3"/>
        <xdr:cNvSpPr>
          <a:spLocks noChangeAspect="1" noChangeArrowheads="1"/>
        </xdr:cNvSpPr>
      </xdr:nvSpPr>
      <xdr:spPr bwMode="auto">
        <a:xfrm>
          <a:off x="0" y="17754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86</xdr:row>
      <xdr:rowOff>0</xdr:rowOff>
    </xdr:from>
    <xdr:to>
      <xdr:col>22</xdr:col>
      <xdr:colOff>304800</xdr:colOff>
      <xdr:row>87</xdr:row>
      <xdr:rowOff>53340</xdr:rowOff>
    </xdr:to>
    <xdr:sp macro="" textlink="">
      <xdr:nvSpPr>
        <xdr:cNvPr id="7636" name="AutoShape 170" descr="https://www.soccerstats.com/img/own/sshplogo.png">
          <a:hlinkClick xmlns:r="http://schemas.openxmlformats.org/officeDocument/2006/relationships" r:id="rId604"/>
        </xdr:cNvPr>
        <xdr:cNvSpPr>
          <a:spLocks noChangeAspect="1" noChangeArrowheads="1"/>
        </xdr:cNvSpPr>
      </xdr:nvSpPr>
      <xdr:spPr bwMode="auto">
        <a:xfrm>
          <a:off x="13411200" y="17754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152400</xdr:colOff>
      <xdr:row>87</xdr:row>
      <xdr:rowOff>106680</xdr:rowOff>
    </xdr:to>
    <xdr:sp macro="" textlink="">
      <xdr:nvSpPr>
        <xdr:cNvPr id="7637" name="AutoShape 171" descr="GERMANY5"/>
        <xdr:cNvSpPr>
          <a:spLocks noChangeAspect="1" noChangeArrowheads="1"/>
        </xdr:cNvSpPr>
      </xdr:nvSpPr>
      <xdr:spPr bwMode="auto">
        <a:xfrm>
          <a:off x="0" y="18006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87</xdr:row>
      <xdr:rowOff>0</xdr:rowOff>
    </xdr:from>
    <xdr:to>
      <xdr:col>22</xdr:col>
      <xdr:colOff>304800</xdr:colOff>
      <xdr:row>88</xdr:row>
      <xdr:rowOff>129540</xdr:rowOff>
    </xdr:to>
    <xdr:sp macro="" textlink="">
      <xdr:nvSpPr>
        <xdr:cNvPr id="7638" name="AutoShape 172" descr="https://www.soccerstats.com/img/own/sshplogo.png">
          <a:hlinkClick xmlns:r="http://schemas.openxmlformats.org/officeDocument/2006/relationships" r:id="rId605"/>
        </xdr:cNvPr>
        <xdr:cNvSpPr>
          <a:spLocks noChangeAspect="1" noChangeArrowheads="1"/>
        </xdr:cNvSpPr>
      </xdr:nvSpPr>
      <xdr:spPr bwMode="auto">
        <a:xfrm>
          <a:off x="13411200" y="18006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152400</xdr:colOff>
      <xdr:row>88</xdr:row>
      <xdr:rowOff>106680</xdr:rowOff>
    </xdr:to>
    <xdr:sp macro="" textlink="">
      <xdr:nvSpPr>
        <xdr:cNvPr id="7639" name="AutoShape 173" descr="GERMANY5"/>
        <xdr:cNvSpPr>
          <a:spLocks noChangeAspect="1" noChangeArrowheads="1"/>
        </xdr:cNvSpPr>
      </xdr:nvSpPr>
      <xdr:spPr bwMode="auto">
        <a:xfrm>
          <a:off x="0" y="18181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88</xdr:row>
      <xdr:rowOff>0</xdr:rowOff>
    </xdr:from>
    <xdr:to>
      <xdr:col>22</xdr:col>
      <xdr:colOff>304800</xdr:colOff>
      <xdr:row>89</xdr:row>
      <xdr:rowOff>53340</xdr:rowOff>
    </xdr:to>
    <xdr:sp macro="" textlink="">
      <xdr:nvSpPr>
        <xdr:cNvPr id="7640" name="AutoShape 174" descr="https://www.soccerstats.com/img/own/sshplogo.png">
          <a:hlinkClick xmlns:r="http://schemas.openxmlformats.org/officeDocument/2006/relationships" r:id="rId606"/>
        </xdr:cNvPr>
        <xdr:cNvSpPr>
          <a:spLocks noChangeAspect="1" noChangeArrowheads="1"/>
        </xdr:cNvSpPr>
      </xdr:nvSpPr>
      <xdr:spPr bwMode="auto">
        <a:xfrm>
          <a:off x="13411200" y="18181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152400</xdr:colOff>
      <xdr:row>89</xdr:row>
      <xdr:rowOff>106680</xdr:rowOff>
    </xdr:to>
    <xdr:sp macro="" textlink="">
      <xdr:nvSpPr>
        <xdr:cNvPr id="7641" name="AutoShape 175" descr="GERMANY5"/>
        <xdr:cNvSpPr>
          <a:spLocks noChangeAspect="1" noChangeArrowheads="1"/>
        </xdr:cNvSpPr>
      </xdr:nvSpPr>
      <xdr:spPr bwMode="auto">
        <a:xfrm>
          <a:off x="0" y="18432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89</xdr:row>
      <xdr:rowOff>0</xdr:rowOff>
    </xdr:from>
    <xdr:to>
      <xdr:col>22</xdr:col>
      <xdr:colOff>304800</xdr:colOff>
      <xdr:row>90</xdr:row>
      <xdr:rowOff>53340</xdr:rowOff>
    </xdr:to>
    <xdr:sp macro="" textlink="">
      <xdr:nvSpPr>
        <xdr:cNvPr id="7642" name="AutoShape 176" descr="https://www.soccerstats.com/img/own/sshplogo.png">
          <a:hlinkClick xmlns:r="http://schemas.openxmlformats.org/officeDocument/2006/relationships" r:id="rId607"/>
        </xdr:cNvPr>
        <xdr:cNvSpPr>
          <a:spLocks noChangeAspect="1" noChangeArrowheads="1"/>
        </xdr:cNvSpPr>
      </xdr:nvSpPr>
      <xdr:spPr bwMode="auto">
        <a:xfrm>
          <a:off x="13411200" y="18432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152400</xdr:colOff>
      <xdr:row>90</xdr:row>
      <xdr:rowOff>106680</xdr:rowOff>
    </xdr:to>
    <xdr:sp macro="" textlink="">
      <xdr:nvSpPr>
        <xdr:cNvPr id="7643" name="AutoShape 177" descr="GERMANY5"/>
        <xdr:cNvSpPr>
          <a:spLocks noChangeAspect="1" noChangeArrowheads="1"/>
        </xdr:cNvSpPr>
      </xdr:nvSpPr>
      <xdr:spPr bwMode="auto">
        <a:xfrm>
          <a:off x="0" y="18684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90</xdr:row>
      <xdr:rowOff>0</xdr:rowOff>
    </xdr:from>
    <xdr:to>
      <xdr:col>22</xdr:col>
      <xdr:colOff>304800</xdr:colOff>
      <xdr:row>91</xdr:row>
      <xdr:rowOff>129540</xdr:rowOff>
    </xdr:to>
    <xdr:sp macro="" textlink="">
      <xdr:nvSpPr>
        <xdr:cNvPr id="7644" name="AutoShape 178" descr="https://www.soccerstats.com/img/own/sshplogo.png">
          <a:hlinkClick xmlns:r="http://schemas.openxmlformats.org/officeDocument/2006/relationships" r:id="rId608"/>
        </xdr:cNvPr>
        <xdr:cNvSpPr>
          <a:spLocks noChangeAspect="1" noChangeArrowheads="1"/>
        </xdr:cNvSpPr>
      </xdr:nvSpPr>
      <xdr:spPr bwMode="auto">
        <a:xfrm>
          <a:off x="13411200" y="18684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152400</xdr:colOff>
      <xdr:row>91</xdr:row>
      <xdr:rowOff>106680</xdr:rowOff>
    </xdr:to>
    <xdr:sp macro="" textlink="">
      <xdr:nvSpPr>
        <xdr:cNvPr id="7645" name="AutoShape 179" descr="GERMANY6"/>
        <xdr:cNvSpPr>
          <a:spLocks noChangeAspect="1" noChangeArrowheads="1"/>
        </xdr:cNvSpPr>
      </xdr:nvSpPr>
      <xdr:spPr bwMode="auto">
        <a:xfrm>
          <a:off x="0" y="18859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91</xdr:row>
      <xdr:rowOff>0</xdr:rowOff>
    </xdr:from>
    <xdr:to>
      <xdr:col>22</xdr:col>
      <xdr:colOff>304800</xdr:colOff>
      <xdr:row>92</xdr:row>
      <xdr:rowOff>129540</xdr:rowOff>
    </xdr:to>
    <xdr:sp macro="" textlink="">
      <xdr:nvSpPr>
        <xdr:cNvPr id="7646" name="AutoShape 180" descr="https://www.soccerstats.com/img/own/sshplogo.png">
          <a:hlinkClick xmlns:r="http://schemas.openxmlformats.org/officeDocument/2006/relationships" r:id="rId609"/>
        </xdr:cNvPr>
        <xdr:cNvSpPr>
          <a:spLocks noChangeAspect="1" noChangeArrowheads="1"/>
        </xdr:cNvSpPr>
      </xdr:nvSpPr>
      <xdr:spPr bwMode="auto">
        <a:xfrm>
          <a:off x="13411200" y="1885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152400</xdr:colOff>
      <xdr:row>92</xdr:row>
      <xdr:rowOff>106680</xdr:rowOff>
    </xdr:to>
    <xdr:sp macro="" textlink="">
      <xdr:nvSpPr>
        <xdr:cNvPr id="7647" name="AutoShape 181" descr="GERMANY6"/>
        <xdr:cNvSpPr>
          <a:spLocks noChangeAspect="1" noChangeArrowheads="1"/>
        </xdr:cNvSpPr>
      </xdr:nvSpPr>
      <xdr:spPr bwMode="auto">
        <a:xfrm>
          <a:off x="0" y="19034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92</xdr:row>
      <xdr:rowOff>0</xdr:rowOff>
    </xdr:from>
    <xdr:to>
      <xdr:col>22</xdr:col>
      <xdr:colOff>304800</xdr:colOff>
      <xdr:row>93</xdr:row>
      <xdr:rowOff>129540</xdr:rowOff>
    </xdr:to>
    <xdr:sp macro="" textlink="">
      <xdr:nvSpPr>
        <xdr:cNvPr id="7648" name="AutoShape 182" descr="https://www.soccerstats.com/img/own/sshplogo.png">
          <a:hlinkClick xmlns:r="http://schemas.openxmlformats.org/officeDocument/2006/relationships" r:id="rId610"/>
        </xdr:cNvPr>
        <xdr:cNvSpPr>
          <a:spLocks noChangeAspect="1" noChangeArrowheads="1"/>
        </xdr:cNvSpPr>
      </xdr:nvSpPr>
      <xdr:spPr bwMode="auto">
        <a:xfrm>
          <a:off x="13411200" y="19034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152400</xdr:colOff>
      <xdr:row>93</xdr:row>
      <xdr:rowOff>106680</xdr:rowOff>
    </xdr:to>
    <xdr:sp macro="" textlink="">
      <xdr:nvSpPr>
        <xdr:cNvPr id="7649" name="AutoShape 183" descr="GERMANY6"/>
        <xdr:cNvSpPr>
          <a:spLocks noChangeAspect="1" noChangeArrowheads="1"/>
        </xdr:cNvSpPr>
      </xdr:nvSpPr>
      <xdr:spPr bwMode="auto">
        <a:xfrm>
          <a:off x="0" y="19210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93</xdr:row>
      <xdr:rowOff>0</xdr:rowOff>
    </xdr:from>
    <xdr:to>
      <xdr:col>22</xdr:col>
      <xdr:colOff>304800</xdr:colOff>
      <xdr:row>94</xdr:row>
      <xdr:rowOff>129540</xdr:rowOff>
    </xdr:to>
    <xdr:sp macro="" textlink="">
      <xdr:nvSpPr>
        <xdr:cNvPr id="7650" name="AutoShape 184" descr="https://www.soccerstats.com/img/own/sshplogo.png">
          <a:hlinkClick xmlns:r="http://schemas.openxmlformats.org/officeDocument/2006/relationships" r:id="rId611"/>
        </xdr:cNvPr>
        <xdr:cNvSpPr>
          <a:spLocks noChangeAspect="1" noChangeArrowheads="1"/>
        </xdr:cNvSpPr>
      </xdr:nvSpPr>
      <xdr:spPr bwMode="auto">
        <a:xfrm>
          <a:off x="13411200" y="19210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152400</xdr:colOff>
      <xdr:row>94</xdr:row>
      <xdr:rowOff>106680</xdr:rowOff>
    </xdr:to>
    <xdr:sp macro="" textlink="">
      <xdr:nvSpPr>
        <xdr:cNvPr id="7651" name="AutoShape 185" descr="GERMANY6"/>
        <xdr:cNvSpPr>
          <a:spLocks noChangeAspect="1" noChangeArrowheads="1"/>
        </xdr:cNvSpPr>
      </xdr:nvSpPr>
      <xdr:spPr bwMode="auto">
        <a:xfrm>
          <a:off x="0" y="19385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94</xdr:row>
      <xdr:rowOff>0</xdr:rowOff>
    </xdr:from>
    <xdr:to>
      <xdr:col>22</xdr:col>
      <xdr:colOff>304800</xdr:colOff>
      <xdr:row>95</xdr:row>
      <xdr:rowOff>129540</xdr:rowOff>
    </xdr:to>
    <xdr:sp macro="" textlink="">
      <xdr:nvSpPr>
        <xdr:cNvPr id="7652" name="AutoShape 186" descr="https://www.soccerstats.com/img/own/sshplogo.png">
          <a:hlinkClick xmlns:r="http://schemas.openxmlformats.org/officeDocument/2006/relationships" r:id="rId612"/>
        </xdr:cNvPr>
        <xdr:cNvSpPr>
          <a:spLocks noChangeAspect="1" noChangeArrowheads="1"/>
        </xdr:cNvSpPr>
      </xdr:nvSpPr>
      <xdr:spPr bwMode="auto">
        <a:xfrm>
          <a:off x="13411200" y="19385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152400</xdr:colOff>
      <xdr:row>95</xdr:row>
      <xdr:rowOff>106680</xdr:rowOff>
    </xdr:to>
    <xdr:sp macro="" textlink="">
      <xdr:nvSpPr>
        <xdr:cNvPr id="7653" name="AutoShape 187" descr="GERMANY7"/>
        <xdr:cNvSpPr>
          <a:spLocks noChangeAspect="1" noChangeArrowheads="1"/>
        </xdr:cNvSpPr>
      </xdr:nvSpPr>
      <xdr:spPr bwMode="auto">
        <a:xfrm>
          <a:off x="0" y="19560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95</xdr:row>
      <xdr:rowOff>0</xdr:rowOff>
    </xdr:from>
    <xdr:to>
      <xdr:col>22</xdr:col>
      <xdr:colOff>304800</xdr:colOff>
      <xdr:row>96</xdr:row>
      <xdr:rowOff>53340</xdr:rowOff>
    </xdr:to>
    <xdr:sp macro="" textlink="">
      <xdr:nvSpPr>
        <xdr:cNvPr id="7654" name="AutoShape 188" descr="https://www.soccerstats.com/img/own/sshplogo.png">
          <a:hlinkClick xmlns:r="http://schemas.openxmlformats.org/officeDocument/2006/relationships" r:id="rId613"/>
        </xdr:cNvPr>
        <xdr:cNvSpPr>
          <a:spLocks noChangeAspect="1" noChangeArrowheads="1"/>
        </xdr:cNvSpPr>
      </xdr:nvSpPr>
      <xdr:spPr bwMode="auto">
        <a:xfrm>
          <a:off x="13411200" y="19560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152400</xdr:colOff>
      <xdr:row>96</xdr:row>
      <xdr:rowOff>106680</xdr:rowOff>
    </xdr:to>
    <xdr:sp macro="" textlink="">
      <xdr:nvSpPr>
        <xdr:cNvPr id="7655" name="AutoShape 189" descr="GERMANY8"/>
        <xdr:cNvSpPr>
          <a:spLocks noChangeAspect="1" noChangeArrowheads="1"/>
        </xdr:cNvSpPr>
      </xdr:nvSpPr>
      <xdr:spPr bwMode="auto">
        <a:xfrm>
          <a:off x="0" y="19812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96</xdr:row>
      <xdr:rowOff>0</xdr:rowOff>
    </xdr:from>
    <xdr:to>
      <xdr:col>22</xdr:col>
      <xdr:colOff>304800</xdr:colOff>
      <xdr:row>97</xdr:row>
      <xdr:rowOff>129540</xdr:rowOff>
    </xdr:to>
    <xdr:sp macro="" textlink="">
      <xdr:nvSpPr>
        <xdr:cNvPr id="7656" name="AutoShape 190" descr="https://www.soccerstats.com/img/own/sshplogo.png">
          <a:hlinkClick xmlns:r="http://schemas.openxmlformats.org/officeDocument/2006/relationships" r:id="rId614"/>
        </xdr:cNvPr>
        <xdr:cNvSpPr>
          <a:spLocks noChangeAspect="1" noChangeArrowheads="1"/>
        </xdr:cNvSpPr>
      </xdr:nvSpPr>
      <xdr:spPr bwMode="auto">
        <a:xfrm>
          <a:off x="13411200" y="198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152400</xdr:colOff>
      <xdr:row>97</xdr:row>
      <xdr:rowOff>106680</xdr:rowOff>
    </xdr:to>
    <xdr:sp macro="" textlink="">
      <xdr:nvSpPr>
        <xdr:cNvPr id="7657" name="AutoShape 191" descr="GERMANY8"/>
        <xdr:cNvSpPr>
          <a:spLocks noChangeAspect="1" noChangeArrowheads="1"/>
        </xdr:cNvSpPr>
      </xdr:nvSpPr>
      <xdr:spPr bwMode="auto">
        <a:xfrm>
          <a:off x="0" y="19987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97</xdr:row>
      <xdr:rowOff>0</xdr:rowOff>
    </xdr:from>
    <xdr:to>
      <xdr:col>22</xdr:col>
      <xdr:colOff>304800</xdr:colOff>
      <xdr:row>98</xdr:row>
      <xdr:rowOff>129540</xdr:rowOff>
    </xdr:to>
    <xdr:sp macro="" textlink="">
      <xdr:nvSpPr>
        <xdr:cNvPr id="7658" name="AutoShape 192" descr="https://www.soccerstats.com/img/own/sshplogo.png">
          <a:hlinkClick xmlns:r="http://schemas.openxmlformats.org/officeDocument/2006/relationships" r:id="rId615"/>
        </xdr:cNvPr>
        <xdr:cNvSpPr>
          <a:spLocks noChangeAspect="1" noChangeArrowheads="1"/>
        </xdr:cNvSpPr>
      </xdr:nvSpPr>
      <xdr:spPr bwMode="auto">
        <a:xfrm>
          <a:off x="13411200" y="19987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152400</xdr:colOff>
      <xdr:row>98</xdr:row>
      <xdr:rowOff>106680</xdr:rowOff>
    </xdr:to>
    <xdr:sp macro="" textlink="">
      <xdr:nvSpPr>
        <xdr:cNvPr id="7659" name="AutoShape 193" descr="GERMANY8"/>
        <xdr:cNvSpPr>
          <a:spLocks noChangeAspect="1" noChangeArrowheads="1"/>
        </xdr:cNvSpPr>
      </xdr:nvSpPr>
      <xdr:spPr bwMode="auto">
        <a:xfrm>
          <a:off x="0" y="20162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98</xdr:row>
      <xdr:rowOff>0</xdr:rowOff>
    </xdr:from>
    <xdr:to>
      <xdr:col>22</xdr:col>
      <xdr:colOff>304800</xdr:colOff>
      <xdr:row>99</xdr:row>
      <xdr:rowOff>129540</xdr:rowOff>
    </xdr:to>
    <xdr:sp macro="" textlink="">
      <xdr:nvSpPr>
        <xdr:cNvPr id="7660" name="AutoShape 194" descr="https://www.soccerstats.com/img/own/sshplogo.png">
          <a:hlinkClick xmlns:r="http://schemas.openxmlformats.org/officeDocument/2006/relationships" r:id="rId616"/>
        </xdr:cNvPr>
        <xdr:cNvSpPr>
          <a:spLocks noChangeAspect="1" noChangeArrowheads="1"/>
        </xdr:cNvSpPr>
      </xdr:nvSpPr>
      <xdr:spPr bwMode="auto">
        <a:xfrm>
          <a:off x="13411200" y="20162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152400</xdr:colOff>
      <xdr:row>99</xdr:row>
      <xdr:rowOff>106680</xdr:rowOff>
    </xdr:to>
    <xdr:sp macro="" textlink="">
      <xdr:nvSpPr>
        <xdr:cNvPr id="7661" name="AutoShape 195" descr="GERMANY8"/>
        <xdr:cNvSpPr>
          <a:spLocks noChangeAspect="1" noChangeArrowheads="1"/>
        </xdr:cNvSpPr>
      </xdr:nvSpPr>
      <xdr:spPr bwMode="auto">
        <a:xfrm>
          <a:off x="0" y="20337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99</xdr:row>
      <xdr:rowOff>0</xdr:rowOff>
    </xdr:from>
    <xdr:to>
      <xdr:col>22</xdr:col>
      <xdr:colOff>304800</xdr:colOff>
      <xdr:row>100</xdr:row>
      <xdr:rowOff>129540</xdr:rowOff>
    </xdr:to>
    <xdr:sp macro="" textlink="">
      <xdr:nvSpPr>
        <xdr:cNvPr id="7662" name="AutoShape 196" descr="https://www.soccerstats.com/img/own/sshplogo.png">
          <a:hlinkClick xmlns:r="http://schemas.openxmlformats.org/officeDocument/2006/relationships" r:id="rId617"/>
        </xdr:cNvPr>
        <xdr:cNvSpPr>
          <a:spLocks noChangeAspect="1" noChangeArrowheads="1"/>
        </xdr:cNvSpPr>
      </xdr:nvSpPr>
      <xdr:spPr bwMode="auto">
        <a:xfrm>
          <a:off x="13411200" y="20337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152400</xdr:colOff>
      <xdr:row>100</xdr:row>
      <xdr:rowOff>106680</xdr:rowOff>
    </xdr:to>
    <xdr:sp macro="" textlink="">
      <xdr:nvSpPr>
        <xdr:cNvPr id="7663" name="AutoShape 197" descr="GERMANY8"/>
        <xdr:cNvSpPr>
          <a:spLocks noChangeAspect="1" noChangeArrowheads="1"/>
        </xdr:cNvSpPr>
      </xdr:nvSpPr>
      <xdr:spPr bwMode="auto">
        <a:xfrm>
          <a:off x="0" y="20513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100</xdr:row>
      <xdr:rowOff>0</xdr:rowOff>
    </xdr:from>
    <xdr:to>
      <xdr:col>22</xdr:col>
      <xdr:colOff>304800</xdr:colOff>
      <xdr:row>101</xdr:row>
      <xdr:rowOff>129540</xdr:rowOff>
    </xdr:to>
    <xdr:sp macro="" textlink="">
      <xdr:nvSpPr>
        <xdr:cNvPr id="7664" name="AutoShape 198" descr="https://www.soccerstats.com/img/own/sshplogo.png">
          <a:hlinkClick xmlns:r="http://schemas.openxmlformats.org/officeDocument/2006/relationships" r:id="rId618"/>
        </xdr:cNvPr>
        <xdr:cNvSpPr>
          <a:spLocks noChangeAspect="1" noChangeArrowheads="1"/>
        </xdr:cNvSpPr>
      </xdr:nvSpPr>
      <xdr:spPr bwMode="auto">
        <a:xfrm>
          <a:off x="13411200" y="20513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152400</xdr:colOff>
      <xdr:row>101</xdr:row>
      <xdr:rowOff>106680</xdr:rowOff>
    </xdr:to>
    <xdr:sp macro="" textlink="">
      <xdr:nvSpPr>
        <xdr:cNvPr id="7665" name="AutoShape 199" descr="GERMANY8"/>
        <xdr:cNvSpPr>
          <a:spLocks noChangeAspect="1" noChangeArrowheads="1"/>
        </xdr:cNvSpPr>
      </xdr:nvSpPr>
      <xdr:spPr bwMode="auto">
        <a:xfrm>
          <a:off x="0" y="20688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101</xdr:row>
      <xdr:rowOff>0</xdr:rowOff>
    </xdr:from>
    <xdr:to>
      <xdr:col>22</xdr:col>
      <xdr:colOff>304800</xdr:colOff>
      <xdr:row>102</xdr:row>
      <xdr:rowOff>129540</xdr:rowOff>
    </xdr:to>
    <xdr:sp macro="" textlink="">
      <xdr:nvSpPr>
        <xdr:cNvPr id="7666" name="AutoShape 200" descr="https://www.soccerstats.com/img/own/sshplogo.png">
          <a:hlinkClick xmlns:r="http://schemas.openxmlformats.org/officeDocument/2006/relationships" r:id="rId619"/>
        </xdr:cNvPr>
        <xdr:cNvSpPr>
          <a:spLocks noChangeAspect="1" noChangeArrowheads="1"/>
        </xdr:cNvSpPr>
      </xdr:nvSpPr>
      <xdr:spPr bwMode="auto">
        <a:xfrm>
          <a:off x="13411200" y="20688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152400</xdr:colOff>
      <xdr:row>102</xdr:row>
      <xdr:rowOff>106680</xdr:rowOff>
    </xdr:to>
    <xdr:sp macro="" textlink="">
      <xdr:nvSpPr>
        <xdr:cNvPr id="7667" name="AutoShape 201" descr="GERMANY8"/>
        <xdr:cNvSpPr>
          <a:spLocks noChangeAspect="1" noChangeArrowheads="1"/>
        </xdr:cNvSpPr>
      </xdr:nvSpPr>
      <xdr:spPr bwMode="auto">
        <a:xfrm>
          <a:off x="0" y="20863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102</xdr:row>
      <xdr:rowOff>0</xdr:rowOff>
    </xdr:from>
    <xdr:to>
      <xdr:col>22</xdr:col>
      <xdr:colOff>304800</xdr:colOff>
      <xdr:row>103</xdr:row>
      <xdr:rowOff>53340</xdr:rowOff>
    </xdr:to>
    <xdr:sp macro="" textlink="">
      <xdr:nvSpPr>
        <xdr:cNvPr id="7668" name="AutoShape 202" descr="https://www.soccerstats.com/img/own/sshplogo.png">
          <a:hlinkClick xmlns:r="http://schemas.openxmlformats.org/officeDocument/2006/relationships" r:id="rId620"/>
        </xdr:cNvPr>
        <xdr:cNvSpPr>
          <a:spLocks noChangeAspect="1" noChangeArrowheads="1"/>
        </xdr:cNvSpPr>
      </xdr:nvSpPr>
      <xdr:spPr bwMode="auto">
        <a:xfrm>
          <a:off x="13411200" y="20863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152400</xdr:colOff>
      <xdr:row>103</xdr:row>
      <xdr:rowOff>106680</xdr:rowOff>
    </xdr:to>
    <xdr:sp macro="" textlink="">
      <xdr:nvSpPr>
        <xdr:cNvPr id="7669" name="AutoShape 203" descr="GERMANY8"/>
        <xdr:cNvSpPr>
          <a:spLocks noChangeAspect="1" noChangeArrowheads="1"/>
        </xdr:cNvSpPr>
      </xdr:nvSpPr>
      <xdr:spPr bwMode="auto">
        <a:xfrm>
          <a:off x="0" y="21115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103</xdr:row>
      <xdr:rowOff>0</xdr:rowOff>
    </xdr:from>
    <xdr:to>
      <xdr:col>22</xdr:col>
      <xdr:colOff>304800</xdr:colOff>
      <xdr:row>104</xdr:row>
      <xdr:rowOff>129540</xdr:rowOff>
    </xdr:to>
    <xdr:sp macro="" textlink="">
      <xdr:nvSpPr>
        <xdr:cNvPr id="7670" name="AutoShape 204" descr="https://www.soccerstats.com/img/own/sshplogo.png">
          <a:hlinkClick xmlns:r="http://schemas.openxmlformats.org/officeDocument/2006/relationships" r:id="rId621"/>
        </xdr:cNvPr>
        <xdr:cNvSpPr>
          <a:spLocks noChangeAspect="1" noChangeArrowheads="1"/>
        </xdr:cNvSpPr>
      </xdr:nvSpPr>
      <xdr:spPr bwMode="auto">
        <a:xfrm>
          <a:off x="13411200" y="21115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152400</xdr:colOff>
      <xdr:row>104</xdr:row>
      <xdr:rowOff>106680</xdr:rowOff>
    </xdr:to>
    <xdr:sp macro="" textlink="">
      <xdr:nvSpPr>
        <xdr:cNvPr id="7671" name="AutoShape 205" descr="GERMANY8"/>
        <xdr:cNvSpPr>
          <a:spLocks noChangeAspect="1" noChangeArrowheads="1"/>
        </xdr:cNvSpPr>
      </xdr:nvSpPr>
      <xdr:spPr bwMode="auto">
        <a:xfrm>
          <a:off x="0" y="21290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104</xdr:row>
      <xdr:rowOff>0</xdr:rowOff>
    </xdr:from>
    <xdr:to>
      <xdr:col>22</xdr:col>
      <xdr:colOff>304800</xdr:colOff>
      <xdr:row>105</xdr:row>
      <xdr:rowOff>53340</xdr:rowOff>
    </xdr:to>
    <xdr:sp macro="" textlink="">
      <xdr:nvSpPr>
        <xdr:cNvPr id="7672" name="AutoShape 206" descr="https://www.soccerstats.com/img/own/sshplogo.png">
          <a:hlinkClick xmlns:r="http://schemas.openxmlformats.org/officeDocument/2006/relationships" r:id="rId622"/>
        </xdr:cNvPr>
        <xdr:cNvSpPr>
          <a:spLocks noChangeAspect="1" noChangeArrowheads="1"/>
        </xdr:cNvSpPr>
      </xdr:nvSpPr>
      <xdr:spPr bwMode="auto">
        <a:xfrm>
          <a:off x="13411200" y="21290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152400</xdr:colOff>
      <xdr:row>105</xdr:row>
      <xdr:rowOff>106680</xdr:rowOff>
    </xdr:to>
    <xdr:sp macro="" textlink="">
      <xdr:nvSpPr>
        <xdr:cNvPr id="7673" name="AutoShape 207" descr="HUNGARY"/>
        <xdr:cNvSpPr>
          <a:spLocks noChangeAspect="1" noChangeArrowheads="1"/>
        </xdr:cNvSpPr>
      </xdr:nvSpPr>
      <xdr:spPr bwMode="auto">
        <a:xfrm>
          <a:off x="0" y="21541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105</xdr:row>
      <xdr:rowOff>0</xdr:rowOff>
    </xdr:from>
    <xdr:to>
      <xdr:col>22</xdr:col>
      <xdr:colOff>304800</xdr:colOff>
      <xdr:row>106</xdr:row>
      <xdr:rowOff>129540</xdr:rowOff>
    </xdr:to>
    <xdr:sp macro="" textlink="">
      <xdr:nvSpPr>
        <xdr:cNvPr id="7674" name="AutoShape 208" descr="https://www.soccerstats.com/img/own/sshplogo.png">
          <a:hlinkClick xmlns:r="http://schemas.openxmlformats.org/officeDocument/2006/relationships" r:id="rId623"/>
        </xdr:cNvPr>
        <xdr:cNvSpPr>
          <a:spLocks noChangeAspect="1" noChangeArrowheads="1"/>
        </xdr:cNvSpPr>
      </xdr:nvSpPr>
      <xdr:spPr bwMode="auto">
        <a:xfrm>
          <a:off x="13411200" y="21541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152400</xdr:colOff>
      <xdr:row>106</xdr:row>
      <xdr:rowOff>106680</xdr:rowOff>
    </xdr:to>
    <xdr:sp macro="" textlink="">
      <xdr:nvSpPr>
        <xdr:cNvPr id="7675" name="AutoShape 209" descr="ICELAND3"/>
        <xdr:cNvSpPr>
          <a:spLocks noChangeAspect="1" noChangeArrowheads="1"/>
        </xdr:cNvSpPr>
      </xdr:nvSpPr>
      <xdr:spPr bwMode="auto">
        <a:xfrm>
          <a:off x="0" y="21717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106</xdr:row>
      <xdr:rowOff>0</xdr:rowOff>
    </xdr:from>
    <xdr:to>
      <xdr:col>22</xdr:col>
      <xdr:colOff>304800</xdr:colOff>
      <xdr:row>107</xdr:row>
      <xdr:rowOff>53340</xdr:rowOff>
    </xdr:to>
    <xdr:sp macro="" textlink="">
      <xdr:nvSpPr>
        <xdr:cNvPr id="7676" name="AutoShape 210" descr="https://www.soccerstats.com/img/own/sshplogo.png">
          <a:hlinkClick xmlns:r="http://schemas.openxmlformats.org/officeDocument/2006/relationships" r:id="rId624"/>
        </xdr:cNvPr>
        <xdr:cNvSpPr>
          <a:spLocks noChangeAspect="1" noChangeArrowheads="1"/>
        </xdr:cNvSpPr>
      </xdr:nvSpPr>
      <xdr:spPr bwMode="auto">
        <a:xfrm>
          <a:off x="13411200" y="21717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152400</xdr:colOff>
      <xdr:row>107</xdr:row>
      <xdr:rowOff>106680</xdr:rowOff>
    </xdr:to>
    <xdr:sp macro="" textlink="">
      <xdr:nvSpPr>
        <xdr:cNvPr id="7677" name="AutoShape 211" descr="JAPAN"/>
        <xdr:cNvSpPr>
          <a:spLocks noChangeAspect="1" noChangeArrowheads="1"/>
        </xdr:cNvSpPr>
      </xdr:nvSpPr>
      <xdr:spPr bwMode="auto">
        <a:xfrm>
          <a:off x="0" y="21968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107</xdr:row>
      <xdr:rowOff>0</xdr:rowOff>
    </xdr:from>
    <xdr:to>
      <xdr:col>22</xdr:col>
      <xdr:colOff>304800</xdr:colOff>
      <xdr:row>108</xdr:row>
      <xdr:rowOff>53340</xdr:rowOff>
    </xdr:to>
    <xdr:sp macro="" textlink="">
      <xdr:nvSpPr>
        <xdr:cNvPr id="7678" name="AutoShape 212" descr="https://www.soccerstats.com/img/own/sshplogo.png">
          <a:hlinkClick xmlns:r="http://schemas.openxmlformats.org/officeDocument/2006/relationships" r:id="rId625"/>
        </xdr:cNvPr>
        <xdr:cNvSpPr>
          <a:spLocks noChangeAspect="1" noChangeArrowheads="1"/>
        </xdr:cNvSpPr>
      </xdr:nvSpPr>
      <xdr:spPr bwMode="auto">
        <a:xfrm>
          <a:off x="13411200" y="21968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152400</xdr:colOff>
      <xdr:row>108</xdr:row>
      <xdr:rowOff>106680</xdr:rowOff>
    </xdr:to>
    <xdr:sp macro="" textlink="">
      <xdr:nvSpPr>
        <xdr:cNvPr id="7679" name="AutoShape 213" descr="NORWAY"/>
        <xdr:cNvSpPr>
          <a:spLocks noChangeAspect="1" noChangeArrowheads="1"/>
        </xdr:cNvSpPr>
      </xdr:nvSpPr>
      <xdr:spPr bwMode="auto">
        <a:xfrm>
          <a:off x="0" y="22219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108</xdr:row>
      <xdr:rowOff>0</xdr:rowOff>
    </xdr:from>
    <xdr:to>
      <xdr:col>22</xdr:col>
      <xdr:colOff>304800</xdr:colOff>
      <xdr:row>109</xdr:row>
      <xdr:rowOff>129540</xdr:rowOff>
    </xdr:to>
    <xdr:sp macro="" textlink="">
      <xdr:nvSpPr>
        <xdr:cNvPr id="7680" name="AutoShape 214" descr="https://www.soccerstats.com/img/own/sshplogo.png">
          <a:hlinkClick xmlns:r="http://schemas.openxmlformats.org/officeDocument/2006/relationships" r:id="rId626"/>
        </xdr:cNvPr>
        <xdr:cNvSpPr>
          <a:spLocks noChangeAspect="1" noChangeArrowheads="1"/>
        </xdr:cNvSpPr>
      </xdr:nvSpPr>
      <xdr:spPr bwMode="auto">
        <a:xfrm>
          <a:off x="13411200" y="22219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152400</xdr:colOff>
      <xdr:row>109</xdr:row>
      <xdr:rowOff>106680</xdr:rowOff>
    </xdr:to>
    <xdr:sp macro="" textlink="">
      <xdr:nvSpPr>
        <xdr:cNvPr id="7681" name="AutoShape 215" descr="NORWAY11"/>
        <xdr:cNvSpPr>
          <a:spLocks noChangeAspect="1" noChangeArrowheads="1"/>
        </xdr:cNvSpPr>
      </xdr:nvSpPr>
      <xdr:spPr bwMode="auto">
        <a:xfrm>
          <a:off x="0" y="22395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109</xdr:row>
      <xdr:rowOff>0</xdr:rowOff>
    </xdr:from>
    <xdr:to>
      <xdr:col>22</xdr:col>
      <xdr:colOff>304800</xdr:colOff>
      <xdr:row>110</xdr:row>
      <xdr:rowOff>53340</xdr:rowOff>
    </xdr:to>
    <xdr:sp macro="" textlink="">
      <xdr:nvSpPr>
        <xdr:cNvPr id="7682" name="AutoShape 216" descr="https://www.soccerstats.com/img/own/sshplogo.png">
          <a:hlinkClick xmlns:r="http://schemas.openxmlformats.org/officeDocument/2006/relationships" r:id="rId627"/>
        </xdr:cNvPr>
        <xdr:cNvSpPr>
          <a:spLocks noChangeAspect="1" noChangeArrowheads="1"/>
        </xdr:cNvSpPr>
      </xdr:nvSpPr>
      <xdr:spPr bwMode="auto">
        <a:xfrm>
          <a:off x="13411200" y="22395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152400</xdr:colOff>
      <xdr:row>110</xdr:row>
      <xdr:rowOff>106680</xdr:rowOff>
    </xdr:to>
    <xdr:sp macro="" textlink="">
      <xdr:nvSpPr>
        <xdr:cNvPr id="7683" name="AutoShape 217" descr="PARAGUAY2"/>
        <xdr:cNvSpPr>
          <a:spLocks noChangeAspect="1" noChangeArrowheads="1"/>
        </xdr:cNvSpPr>
      </xdr:nvSpPr>
      <xdr:spPr bwMode="auto">
        <a:xfrm>
          <a:off x="0" y="22646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110</xdr:row>
      <xdr:rowOff>0</xdr:rowOff>
    </xdr:from>
    <xdr:to>
      <xdr:col>22</xdr:col>
      <xdr:colOff>304800</xdr:colOff>
      <xdr:row>111</xdr:row>
      <xdr:rowOff>129540</xdr:rowOff>
    </xdr:to>
    <xdr:sp macro="" textlink="">
      <xdr:nvSpPr>
        <xdr:cNvPr id="7684" name="AutoShape 218" descr="https://www.soccerstats.com/img/own/sshplogo.png">
          <a:hlinkClick xmlns:r="http://schemas.openxmlformats.org/officeDocument/2006/relationships" r:id="rId628"/>
        </xdr:cNvPr>
        <xdr:cNvSpPr>
          <a:spLocks noChangeAspect="1" noChangeArrowheads="1"/>
        </xdr:cNvSpPr>
      </xdr:nvSpPr>
      <xdr:spPr bwMode="auto">
        <a:xfrm>
          <a:off x="13411200" y="22646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152400</xdr:colOff>
      <xdr:row>111</xdr:row>
      <xdr:rowOff>106680</xdr:rowOff>
    </xdr:to>
    <xdr:sp macro="" textlink="">
      <xdr:nvSpPr>
        <xdr:cNvPr id="7685" name="AutoShape 219" descr="POLAND"/>
        <xdr:cNvSpPr>
          <a:spLocks noChangeAspect="1" noChangeArrowheads="1"/>
        </xdr:cNvSpPr>
      </xdr:nvSpPr>
      <xdr:spPr bwMode="auto">
        <a:xfrm>
          <a:off x="0" y="22821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111</xdr:row>
      <xdr:rowOff>0</xdr:rowOff>
    </xdr:from>
    <xdr:to>
      <xdr:col>22</xdr:col>
      <xdr:colOff>304800</xdr:colOff>
      <xdr:row>112</xdr:row>
      <xdr:rowOff>53340</xdr:rowOff>
    </xdr:to>
    <xdr:sp macro="" textlink="">
      <xdr:nvSpPr>
        <xdr:cNvPr id="7686" name="AutoShape 220" descr="https://www.soccerstats.com/img/own/sshplogo.png">
          <a:hlinkClick xmlns:r="http://schemas.openxmlformats.org/officeDocument/2006/relationships" r:id="rId629"/>
        </xdr:cNvPr>
        <xdr:cNvSpPr>
          <a:spLocks noChangeAspect="1" noChangeArrowheads="1"/>
        </xdr:cNvSpPr>
      </xdr:nvSpPr>
      <xdr:spPr bwMode="auto">
        <a:xfrm>
          <a:off x="13411200" y="22821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152400</xdr:colOff>
      <xdr:row>112</xdr:row>
      <xdr:rowOff>106680</xdr:rowOff>
    </xdr:to>
    <xdr:sp macro="" textlink="">
      <xdr:nvSpPr>
        <xdr:cNvPr id="7687" name="AutoShape 221" descr="POLAND2"/>
        <xdr:cNvSpPr>
          <a:spLocks noChangeAspect="1" noChangeArrowheads="1"/>
        </xdr:cNvSpPr>
      </xdr:nvSpPr>
      <xdr:spPr bwMode="auto">
        <a:xfrm>
          <a:off x="0" y="23073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112</xdr:row>
      <xdr:rowOff>0</xdr:rowOff>
    </xdr:from>
    <xdr:to>
      <xdr:col>22</xdr:col>
      <xdr:colOff>304800</xdr:colOff>
      <xdr:row>113</xdr:row>
      <xdr:rowOff>129540</xdr:rowOff>
    </xdr:to>
    <xdr:sp macro="" textlink="">
      <xdr:nvSpPr>
        <xdr:cNvPr id="7688" name="AutoShape 222" descr="https://www.soccerstats.com/img/own/sshplogo.png">
          <a:hlinkClick xmlns:r="http://schemas.openxmlformats.org/officeDocument/2006/relationships" r:id="rId630"/>
        </xdr:cNvPr>
        <xdr:cNvSpPr>
          <a:spLocks noChangeAspect="1" noChangeArrowheads="1"/>
        </xdr:cNvSpPr>
      </xdr:nvSpPr>
      <xdr:spPr bwMode="auto">
        <a:xfrm>
          <a:off x="13411200" y="23073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113</xdr:row>
      <xdr:rowOff>0</xdr:rowOff>
    </xdr:from>
    <xdr:to>
      <xdr:col>0</xdr:col>
      <xdr:colOff>152400</xdr:colOff>
      <xdr:row>113</xdr:row>
      <xdr:rowOff>106680</xdr:rowOff>
    </xdr:to>
    <xdr:sp macro="" textlink="">
      <xdr:nvSpPr>
        <xdr:cNvPr id="7689" name="AutoShape 223" descr="POLAND2"/>
        <xdr:cNvSpPr>
          <a:spLocks noChangeAspect="1" noChangeArrowheads="1"/>
        </xdr:cNvSpPr>
      </xdr:nvSpPr>
      <xdr:spPr bwMode="auto">
        <a:xfrm>
          <a:off x="0" y="23248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113</xdr:row>
      <xdr:rowOff>0</xdr:rowOff>
    </xdr:from>
    <xdr:to>
      <xdr:col>22</xdr:col>
      <xdr:colOff>304800</xdr:colOff>
      <xdr:row>114</xdr:row>
      <xdr:rowOff>53340</xdr:rowOff>
    </xdr:to>
    <xdr:sp macro="" textlink="">
      <xdr:nvSpPr>
        <xdr:cNvPr id="7690" name="AutoShape 224" descr="https://www.soccerstats.com/img/own/sshplogo.png">
          <a:hlinkClick xmlns:r="http://schemas.openxmlformats.org/officeDocument/2006/relationships" r:id="rId631"/>
        </xdr:cNvPr>
        <xdr:cNvSpPr>
          <a:spLocks noChangeAspect="1" noChangeArrowheads="1"/>
        </xdr:cNvSpPr>
      </xdr:nvSpPr>
      <xdr:spPr bwMode="auto">
        <a:xfrm>
          <a:off x="13411200" y="23248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114</xdr:row>
      <xdr:rowOff>0</xdr:rowOff>
    </xdr:from>
    <xdr:to>
      <xdr:col>0</xdr:col>
      <xdr:colOff>152400</xdr:colOff>
      <xdr:row>114</xdr:row>
      <xdr:rowOff>106680</xdr:rowOff>
    </xdr:to>
    <xdr:sp macro="" textlink="">
      <xdr:nvSpPr>
        <xdr:cNvPr id="7691" name="AutoShape 225" descr="POLAND3"/>
        <xdr:cNvSpPr>
          <a:spLocks noChangeAspect="1" noChangeArrowheads="1"/>
        </xdr:cNvSpPr>
      </xdr:nvSpPr>
      <xdr:spPr bwMode="auto">
        <a:xfrm>
          <a:off x="0" y="23500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114</xdr:row>
      <xdr:rowOff>0</xdr:rowOff>
    </xdr:from>
    <xdr:to>
      <xdr:col>22</xdr:col>
      <xdr:colOff>304800</xdr:colOff>
      <xdr:row>115</xdr:row>
      <xdr:rowOff>53340</xdr:rowOff>
    </xdr:to>
    <xdr:sp macro="" textlink="">
      <xdr:nvSpPr>
        <xdr:cNvPr id="7692" name="AutoShape 226" descr="https://www.soccerstats.com/img/own/sshplogo.png">
          <a:hlinkClick xmlns:r="http://schemas.openxmlformats.org/officeDocument/2006/relationships" r:id="rId632"/>
        </xdr:cNvPr>
        <xdr:cNvSpPr>
          <a:spLocks noChangeAspect="1" noChangeArrowheads="1"/>
        </xdr:cNvSpPr>
      </xdr:nvSpPr>
      <xdr:spPr bwMode="auto">
        <a:xfrm>
          <a:off x="13411200" y="23500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115</xdr:row>
      <xdr:rowOff>0</xdr:rowOff>
    </xdr:from>
    <xdr:to>
      <xdr:col>0</xdr:col>
      <xdr:colOff>152400</xdr:colOff>
      <xdr:row>115</xdr:row>
      <xdr:rowOff>106680</xdr:rowOff>
    </xdr:to>
    <xdr:sp macro="" textlink="">
      <xdr:nvSpPr>
        <xdr:cNvPr id="7693" name="AutoShape 227" descr="PORTUGAL2"/>
        <xdr:cNvSpPr>
          <a:spLocks noChangeAspect="1" noChangeArrowheads="1"/>
        </xdr:cNvSpPr>
      </xdr:nvSpPr>
      <xdr:spPr bwMode="auto">
        <a:xfrm>
          <a:off x="0" y="23751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115</xdr:row>
      <xdr:rowOff>0</xdr:rowOff>
    </xdr:from>
    <xdr:to>
      <xdr:col>22</xdr:col>
      <xdr:colOff>304800</xdr:colOff>
      <xdr:row>116</xdr:row>
      <xdr:rowOff>129540</xdr:rowOff>
    </xdr:to>
    <xdr:sp macro="" textlink="">
      <xdr:nvSpPr>
        <xdr:cNvPr id="7694" name="AutoShape 228" descr="https://www.soccerstats.com/img/own/sshplogo.png">
          <a:hlinkClick xmlns:r="http://schemas.openxmlformats.org/officeDocument/2006/relationships" r:id="rId633"/>
        </xdr:cNvPr>
        <xdr:cNvSpPr>
          <a:spLocks noChangeAspect="1" noChangeArrowheads="1"/>
        </xdr:cNvSpPr>
      </xdr:nvSpPr>
      <xdr:spPr bwMode="auto">
        <a:xfrm>
          <a:off x="13411200" y="23751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152400</xdr:colOff>
      <xdr:row>116</xdr:row>
      <xdr:rowOff>106680</xdr:rowOff>
    </xdr:to>
    <xdr:sp macro="" textlink="">
      <xdr:nvSpPr>
        <xdr:cNvPr id="7695" name="AutoShape 229" descr="ROMANIA"/>
        <xdr:cNvSpPr>
          <a:spLocks noChangeAspect="1" noChangeArrowheads="1"/>
        </xdr:cNvSpPr>
      </xdr:nvSpPr>
      <xdr:spPr bwMode="auto">
        <a:xfrm>
          <a:off x="0" y="23926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116</xdr:row>
      <xdr:rowOff>0</xdr:rowOff>
    </xdr:from>
    <xdr:to>
      <xdr:col>22</xdr:col>
      <xdr:colOff>304800</xdr:colOff>
      <xdr:row>117</xdr:row>
      <xdr:rowOff>129540</xdr:rowOff>
    </xdr:to>
    <xdr:sp macro="" textlink="">
      <xdr:nvSpPr>
        <xdr:cNvPr id="7696" name="AutoShape 230" descr="https://www.soccerstats.com/img/own/sshplogo.png">
          <a:hlinkClick xmlns:r="http://schemas.openxmlformats.org/officeDocument/2006/relationships" r:id="rId634"/>
        </xdr:cNvPr>
        <xdr:cNvSpPr>
          <a:spLocks noChangeAspect="1" noChangeArrowheads="1"/>
        </xdr:cNvSpPr>
      </xdr:nvSpPr>
      <xdr:spPr bwMode="auto">
        <a:xfrm>
          <a:off x="13411200" y="23926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152400</xdr:colOff>
      <xdr:row>117</xdr:row>
      <xdr:rowOff>106680</xdr:rowOff>
    </xdr:to>
    <xdr:sp macro="" textlink="">
      <xdr:nvSpPr>
        <xdr:cNvPr id="7697" name="AutoShape 231" descr="ROMANIA"/>
        <xdr:cNvSpPr>
          <a:spLocks noChangeAspect="1" noChangeArrowheads="1"/>
        </xdr:cNvSpPr>
      </xdr:nvSpPr>
      <xdr:spPr bwMode="auto">
        <a:xfrm>
          <a:off x="0" y="24102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117</xdr:row>
      <xdr:rowOff>0</xdr:rowOff>
    </xdr:from>
    <xdr:to>
      <xdr:col>22</xdr:col>
      <xdr:colOff>304800</xdr:colOff>
      <xdr:row>118</xdr:row>
      <xdr:rowOff>53340</xdr:rowOff>
    </xdr:to>
    <xdr:sp macro="" textlink="">
      <xdr:nvSpPr>
        <xdr:cNvPr id="7698" name="AutoShape 232" descr="https://www.soccerstats.com/img/own/sshplogo.png">
          <a:hlinkClick xmlns:r="http://schemas.openxmlformats.org/officeDocument/2006/relationships" r:id="rId635"/>
        </xdr:cNvPr>
        <xdr:cNvSpPr>
          <a:spLocks noChangeAspect="1" noChangeArrowheads="1"/>
        </xdr:cNvSpPr>
      </xdr:nvSpPr>
      <xdr:spPr bwMode="auto">
        <a:xfrm>
          <a:off x="13411200" y="24102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152400</xdr:colOff>
      <xdr:row>118</xdr:row>
      <xdr:rowOff>106680</xdr:rowOff>
    </xdr:to>
    <xdr:sp macro="" textlink="">
      <xdr:nvSpPr>
        <xdr:cNvPr id="7699" name="AutoShape 233" descr="RUSSIA"/>
        <xdr:cNvSpPr>
          <a:spLocks noChangeAspect="1" noChangeArrowheads="1"/>
        </xdr:cNvSpPr>
      </xdr:nvSpPr>
      <xdr:spPr bwMode="auto">
        <a:xfrm>
          <a:off x="0" y="24353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118</xdr:row>
      <xdr:rowOff>0</xdr:rowOff>
    </xdr:from>
    <xdr:to>
      <xdr:col>22</xdr:col>
      <xdr:colOff>304800</xdr:colOff>
      <xdr:row>119</xdr:row>
      <xdr:rowOff>53340</xdr:rowOff>
    </xdr:to>
    <xdr:sp macro="" textlink="">
      <xdr:nvSpPr>
        <xdr:cNvPr id="7700" name="AutoShape 234" descr="https://www.soccerstats.com/img/own/sshplogo.png">
          <a:hlinkClick xmlns:r="http://schemas.openxmlformats.org/officeDocument/2006/relationships" r:id="rId636"/>
        </xdr:cNvPr>
        <xdr:cNvSpPr>
          <a:spLocks noChangeAspect="1" noChangeArrowheads="1"/>
        </xdr:cNvSpPr>
      </xdr:nvSpPr>
      <xdr:spPr bwMode="auto">
        <a:xfrm>
          <a:off x="13411200" y="24353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152400</xdr:colOff>
      <xdr:row>119</xdr:row>
      <xdr:rowOff>106680</xdr:rowOff>
    </xdr:to>
    <xdr:sp macro="" textlink="">
      <xdr:nvSpPr>
        <xdr:cNvPr id="7701" name="AutoShape 235" descr="SAUDIARABIA"/>
        <xdr:cNvSpPr>
          <a:spLocks noChangeAspect="1" noChangeArrowheads="1"/>
        </xdr:cNvSpPr>
      </xdr:nvSpPr>
      <xdr:spPr bwMode="auto">
        <a:xfrm>
          <a:off x="0" y="24604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119</xdr:row>
      <xdr:rowOff>0</xdr:rowOff>
    </xdr:from>
    <xdr:to>
      <xdr:col>22</xdr:col>
      <xdr:colOff>304800</xdr:colOff>
      <xdr:row>120</xdr:row>
      <xdr:rowOff>129540</xdr:rowOff>
    </xdr:to>
    <xdr:sp macro="" textlink="">
      <xdr:nvSpPr>
        <xdr:cNvPr id="7702" name="AutoShape 236" descr="https://www.soccerstats.com/img/own/sshplogo.png">
          <a:hlinkClick xmlns:r="http://schemas.openxmlformats.org/officeDocument/2006/relationships" r:id="rId637"/>
        </xdr:cNvPr>
        <xdr:cNvSpPr>
          <a:spLocks noChangeAspect="1" noChangeArrowheads="1"/>
        </xdr:cNvSpPr>
      </xdr:nvSpPr>
      <xdr:spPr bwMode="auto">
        <a:xfrm>
          <a:off x="13411200" y="24604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152400</xdr:colOff>
      <xdr:row>120</xdr:row>
      <xdr:rowOff>106680</xdr:rowOff>
    </xdr:to>
    <xdr:sp macro="" textlink="">
      <xdr:nvSpPr>
        <xdr:cNvPr id="7703" name="AutoShape 237" descr="SAUDIARABIA"/>
        <xdr:cNvSpPr>
          <a:spLocks noChangeAspect="1" noChangeArrowheads="1"/>
        </xdr:cNvSpPr>
      </xdr:nvSpPr>
      <xdr:spPr bwMode="auto">
        <a:xfrm>
          <a:off x="0" y="24780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120</xdr:row>
      <xdr:rowOff>0</xdr:rowOff>
    </xdr:from>
    <xdr:to>
      <xdr:col>22</xdr:col>
      <xdr:colOff>304800</xdr:colOff>
      <xdr:row>121</xdr:row>
      <xdr:rowOff>129540</xdr:rowOff>
    </xdr:to>
    <xdr:sp macro="" textlink="">
      <xdr:nvSpPr>
        <xdr:cNvPr id="7704" name="AutoShape 238" descr="https://www.soccerstats.com/img/own/sshplogo.png">
          <a:hlinkClick xmlns:r="http://schemas.openxmlformats.org/officeDocument/2006/relationships" r:id="rId638"/>
        </xdr:cNvPr>
        <xdr:cNvSpPr>
          <a:spLocks noChangeAspect="1" noChangeArrowheads="1"/>
        </xdr:cNvSpPr>
      </xdr:nvSpPr>
      <xdr:spPr bwMode="auto">
        <a:xfrm>
          <a:off x="13411200" y="24780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152400</xdr:colOff>
      <xdr:row>121</xdr:row>
      <xdr:rowOff>106680</xdr:rowOff>
    </xdr:to>
    <xdr:sp macro="" textlink="">
      <xdr:nvSpPr>
        <xdr:cNvPr id="7705" name="AutoShape 239" descr="SAUDIARABIA"/>
        <xdr:cNvSpPr>
          <a:spLocks noChangeAspect="1" noChangeArrowheads="1"/>
        </xdr:cNvSpPr>
      </xdr:nvSpPr>
      <xdr:spPr bwMode="auto">
        <a:xfrm>
          <a:off x="0" y="24955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121</xdr:row>
      <xdr:rowOff>0</xdr:rowOff>
    </xdr:from>
    <xdr:to>
      <xdr:col>22</xdr:col>
      <xdr:colOff>304800</xdr:colOff>
      <xdr:row>122</xdr:row>
      <xdr:rowOff>129540</xdr:rowOff>
    </xdr:to>
    <xdr:sp macro="" textlink="">
      <xdr:nvSpPr>
        <xdr:cNvPr id="7706" name="AutoShape 240" descr="https://www.soccerstats.com/img/own/sshplogo.png">
          <a:hlinkClick xmlns:r="http://schemas.openxmlformats.org/officeDocument/2006/relationships" r:id="rId639"/>
        </xdr:cNvPr>
        <xdr:cNvSpPr>
          <a:spLocks noChangeAspect="1" noChangeArrowheads="1"/>
        </xdr:cNvSpPr>
      </xdr:nvSpPr>
      <xdr:spPr bwMode="auto">
        <a:xfrm>
          <a:off x="13411200" y="24955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152400</xdr:colOff>
      <xdr:row>122</xdr:row>
      <xdr:rowOff>106680</xdr:rowOff>
    </xdr:to>
    <xdr:sp macro="" textlink="">
      <xdr:nvSpPr>
        <xdr:cNvPr id="7707" name="AutoShape 241" descr="SOUTHAFRICA"/>
        <xdr:cNvSpPr>
          <a:spLocks noChangeAspect="1" noChangeArrowheads="1"/>
        </xdr:cNvSpPr>
      </xdr:nvSpPr>
      <xdr:spPr bwMode="auto">
        <a:xfrm>
          <a:off x="0" y="25130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122</xdr:row>
      <xdr:rowOff>0</xdr:rowOff>
    </xdr:from>
    <xdr:to>
      <xdr:col>22</xdr:col>
      <xdr:colOff>304800</xdr:colOff>
      <xdr:row>123</xdr:row>
      <xdr:rowOff>129540</xdr:rowOff>
    </xdr:to>
    <xdr:sp macro="" textlink="">
      <xdr:nvSpPr>
        <xdr:cNvPr id="7708" name="AutoShape 242" descr="https://www.soccerstats.com/img/own/sshplogo.png">
          <a:hlinkClick xmlns:r="http://schemas.openxmlformats.org/officeDocument/2006/relationships" r:id="rId640"/>
        </xdr:cNvPr>
        <xdr:cNvSpPr>
          <a:spLocks noChangeAspect="1" noChangeArrowheads="1"/>
        </xdr:cNvSpPr>
      </xdr:nvSpPr>
      <xdr:spPr bwMode="auto">
        <a:xfrm>
          <a:off x="13411200" y="25130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152400</xdr:colOff>
      <xdr:row>123</xdr:row>
      <xdr:rowOff>106680</xdr:rowOff>
    </xdr:to>
    <xdr:sp macro="" textlink="">
      <xdr:nvSpPr>
        <xdr:cNvPr id="7709" name="AutoShape 243" descr="SOUTHKOREA4"/>
        <xdr:cNvSpPr>
          <a:spLocks noChangeAspect="1" noChangeArrowheads="1"/>
        </xdr:cNvSpPr>
      </xdr:nvSpPr>
      <xdr:spPr bwMode="auto">
        <a:xfrm>
          <a:off x="0" y="25306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123</xdr:row>
      <xdr:rowOff>0</xdr:rowOff>
    </xdr:from>
    <xdr:to>
      <xdr:col>22</xdr:col>
      <xdr:colOff>304800</xdr:colOff>
      <xdr:row>124</xdr:row>
      <xdr:rowOff>129540</xdr:rowOff>
    </xdr:to>
    <xdr:sp macro="" textlink="">
      <xdr:nvSpPr>
        <xdr:cNvPr id="7710" name="AutoShape 244" descr="https://www.soccerstats.com/img/own/sshplogo.png">
          <a:hlinkClick xmlns:r="http://schemas.openxmlformats.org/officeDocument/2006/relationships" r:id="rId641"/>
        </xdr:cNvPr>
        <xdr:cNvSpPr>
          <a:spLocks noChangeAspect="1" noChangeArrowheads="1"/>
        </xdr:cNvSpPr>
      </xdr:nvSpPr>
      <xdr:spPr bwMode="auto">
        <a:xfrm>
          <a:off x="13411200" y="25306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152400</xdr:colOff>
      <xdr:row>124</xdr:row>
      <xdr:rowOff>106680</xdr:rowOff>
    </xdr:to>
    <xdr:sp macro="" textlink="">
      <xdr:nvSpPr>
        <xdr:cNvPr id="7711" name="AutoShape 245" descr="SOUTHKOREA4"/>
        <xdr:cNvSpPr>
          <a:spLocks noChangeAspect="1" noChangeArrowheads="1"/>
        </xdr:cNvSpPr>
      </xdr:nvSpPr>
      <xdr:spPr bwMode="auto">
        <a:xfrm>
          <a:off x="0" y="25481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124</xdr:row>
      <xdr:rowOff>0</xdr:rowOff>
    </xdr:from>
    <xdr:to>
      <xdr:col>22</xdr:col>
      <xdr:colOff>304800</xdr:colOff>
      <xdr:row>125</xdr:row>
      <xdr:rowOff>53340</xdr:rowOff>
    </xdr:to>
    <xdr:sp macro="" textlink="">
      <xdr:nvSpPr>
        <xdr:cNvPr id="7712" name="AutoShape 246" descr="https://www.soccerstats.com/img/own/sshplogo.png">
          <a:hlinkClick xmlns:r="http://schemas.openxmlformats.org/officeDocument/2006/relationships" r:id="rId642"/>
        </xdr:cNvPr>
        <xdr:cNvSpPr>
          <a:spLocks noChangeAspect="1" noChangeArrowheads="1"/>
        </xdr:cNvSpPr>
      </xdr:nvSpPr>
      <xdr:spPr bwMode="auto">
        <a:xfrm>
          <a:off x="13411200" y="25481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152400</xdr:colOff>
      <xdr:row>125</xdr:row>
      <xdr:rowOff>106680</xdr:rowOff>
    </xdr:to>
    <xdr:sp macro="" textlink="">
      <xdr:nvSpPr>
        <xdr:cNvPr id="7713" name="AutoShape 247" descr="SWEDEN"/>
        <xdr:cNvSpPr>
          <a:spLocks noChangeAspect="1" noChangeArrowheads="1"/>
        </xdr:cNvSpPr>
      </xdr:nvSpPr>
      <xdr:spPr bwMode="auto">
        <a:xfrm>
          <a:off x="0" y="25732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125</xdr:row>
      <xdr:rowOff>0</xdr:rowOff>
    </xdr:from>
    <xdr:to>
      <xdr:col>22</xdr:col>
      <xdr:colOff>304800</xdr:colOff>
      <xdr:row>126</xdr:row>
      <xdr:rowOff>129540</xdr:rowOff>
    </xdr:to>
    <xdr:sp macro="" textlink="">
      <xdr:nvSpPr>
        <xdr:cNvPr id="7714" name="AutoShape 248" descr="https://www.soccerstats.com/img/own/sshplogo.png">
          <a:hlinkClick xmlns:r="http://schemas.openxmlformats.org/officeDocument/2006/relationships" r:id="rId643"/>
        </xdr:cNvPr>
        <xdr:cNvSpPr>
          <a:spLocks noChangeAspect="1" noChangeArrowheads="1"/>
        </xdr:cNvSpPr>
      </xdr:nvSpPr>
      <xdr:spPr bwMode="auto">
        <a:xfrm>
          <a:off x="13411200" y="25732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126</xdr:row>
      <xdr:rowOff>0</xdr:rowOff>
    </xdr:from>
    <xdr:to>
      <xdr:col>0</xdr:col>
      <xdr:colOff>152400</xdr:colOff>
      <xdr:row>126</xdr:row>
      <xdr:rowOff>106680</xdr:rowOff>
    </xdr:to>
    <xdr:sp macro="" textlink="">
      <xdr:nvSpPr>
        <xdr:cNvPr id="7715" name="AutoShape 249" descr="SWEDEN2"/>
        <xdr:cNvSpPr>
          <a:spLocks noChangeAspect="1" noChangeArrowheads="1"/>
        </xdr:cNvSpPr>
      </xdr:nvSpPr>
      <xdr:spPr bwMode="auto">
        <a:xfrm>
          <a:off x="0" y="25908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126</xdr:row>
      <xdr:rowOff>0</xdr:rowOff>
    </xdr:from>
    <xdr:to>
      <xdr:col>22</xdr:col>
      <xdr:colOff>304800</xdr:colOff>
      <xdr:row>127</xdr:row>
      <xdr:rowOff>129540</xdr:rowOff>
    </xdr:to>
    <xdr:sp macro="" textlink="">
      <xdr:nvSpPr>
        <xdr:cNvPr id="7716" name="AutoShape 250" descr="https://www.soccerstats.com/img/own/sshplogo.png">
          <a:hlinkClick xmlns:r="http://schemas.openxmlformats.org/officeDocument/2006/relationships" r:id="rId644"/>
        </xdr:cNvPr>
        <xdr:cNvSpPr>
          <a:spLocks noChangeAspect="1" noChangeArrowheads="1"/>
        </xdr:cNvSpPr>
      </xdr:nvSpPr>
      <xdr:spPr bwMode="auto">
        <a:xfrm>
          <a:off x="13411200" y="2590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152400</xdr:colOff>
      <xdr:row>127</xdr:row>
      <xdr:rowOff>106680</xdr:rowOff>
    </xdr:to>
    <xdr:sp macro="" textlink="">
      <xdr:nvSpPr>
        <xdr:cNvPr id="7717" name="AutoShape 251" descr="SWEDEN2"/>
        <xdr:cNvSpPr>
          <a:spLocks noChangeAspect="1" noChangeArrowheads="1"/>
        </xdr:cNvSpPr>
      </xdr:nvSpPr>
      <xdr:spPr bwMode="auto">
        <a:xfrm>
          <a:off x="0" y="26083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127</xdr:row>
      <xdr:rowOff>0</xdr:rowOff>
    </xdr:from>
    <xdr:to>
      <xdr:col>22</xdr:col>
      <xdr:colOff>304800</xdr:colOff>
      <xdr:row>128</xdr:row>
      <xdr:rowOff>129540</xdr:rowOff>
    </xdr:to>
    <xdr:sp macro="" textlink="">
      <xdr:nvSpPr>
        <xdr:cNvPr id="7718" name="AutoShape 252" descr="https://www.soccerstats.com/img/own/sshplogo.png">
          <a:hlinkClick xmlns:r="http://schemas.openxmlformats.org/officeDocument/2006/relationships" r:id="rId645"/>
        </xdr:cNvPr>
        <xdr:cNvSpPr>
          <a:spLocks noChangeAspect="1" noChangeArrowheads="1"/>
        </xdr:cNvSpPr>
      </xdr:nvSpPr>
      <xdr:spPr bwMode="auto">
        <a:xfrm>
          <a:off x="13411200" y="26083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152400</xdr:colOff>
      <xdr:row>128</xdr:row>
      <xdr:rowOff>106680</xdr:rowOff>
    </xdr:to>
    <xdr:sp macro="" textlink="">
      <xdr:nvSpPr>
        <xdr:cNvPr id="7719" name="AutoShape 253" descr="SWEDEN3"/>
        <xdr:cNvSpPr>
          <a:spLocks noChangeAspect="1" noChangeArrowheads="1"/>
        </xdr:cNvSpPr>
      </xdr:nvSpPr>
      <xdr:spPr bwMode="auto">
        <a:xfrm>
          <a:off x="0" y="26258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128</xdr:row>
      <xdr:rowOff>0</xdr:rowOff>
    </xdr:from>
    <xdr:to>
      <xdr:col>22</xdr:col>
      <xdr:colOff>304800</xdr:colOff>
      <xdr:row>129</xdr:row>
      <xdr:rowOff>53340</xdr:rowOff>
    </xdr:to>
    <xdr:sp macro="" textlink="">
      <xdr:nvSpPr>
        <xdr:cNvPr id="7720" name="AutoShape 254" descr="https://www.soccerstats.com/img/own/sshplogo.png">
          <a:hlinkClick xmlns:r="http://schemas.openxmlformats.org/officeDocument/2006/relationships" r:id="rId646"/>
        </xdr:cNvPr>
        <xdr:cNvSpPr>
          <a:spLocks noChangeAspect="1" noChangeArrowheads="1"/>
        </xdr:cNvSpPr>
      </xdr:nvSpPr>
      <xdr:spPr bwMode="auto">
        <a:xfrm>
          <a:off x="13411200" y="26258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152400</xdr:colOff>
      <xdr:row>129</xdr:row>
      <xdr:rowOff>106680</xdr:rowOff>
    </xdr:to>
    <xdr:sp macro="" textlink="">
      <xdr:nvSpPr>
        <xdr:cNvPr id="7721" name="AutoShape 255" descr="SWEDEN4"/>
        <xdr:cNvSpPr>
          <a:spLocks noChangeAspect="1" noChangeArrowheads="1"/>
        </xdr:cNvSpPr>
      </xdr:nvSpPr>
      <xdr:spPr bwMode="auto">
        <a:xfrm>
          <a:off x="0" y="26509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129</xdr:row>
      <xdr:rowOff>0</xdr:rowOff>
    </xdr:from>
    <xdr:to>
      <xdr:col>22</xdr:col>
      <xdr:colOff>304800</xdr:colOff>
      <xdr:row>130</xdr:row>
      <xdr:rowOff>53340</xdr:rowOff>
    </xdr:to>
    <xdr:sp macro="" textlink="">
      <xdr:nvSpPr>
        <xdr:cNvPr id="7722" name="AutoShape 256" descr="https://www.soccerstats.com/img/own/sshplogo.png">
          <a:hlinkClick xmlns:r="http://schemas.openxmlformats.org/officeDocument/2006/relationships" r:id="rId647"/>
        </xdr:cNvPr>
        <xdr:cNvSpPr>
          <a:spLocks noChangeAspect="1" noChangeArrowheads="1"/>
        </xdr:cNvSpPr>
      </xdr:nvSpPr>
      <xdr:spPr bwMode="auto">
        <a:xfrm>
          <a:off x="13411200" y="26509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152400</xdr:colOff>
      <xdr:row>130</xdr:row>
      <xdr:rowOff>106680</xdr:rowOff>
    </xdr:to>
    <xdr:sp macro="" textlink="">
      <xdr:nvSpPr>
        <xdr:cNvPr id="7723" name="AutoShape 257" descr="SWEDEN11"/>
        <xdr:cNvSpPr>
          <a:spLocks noChangeAspect="1" noChangeArrowheads="1"/>
        </xdr:cNvSpPr>
      </xdr:nvSpPr>
      <xdr:spPr bwMode="auto">
        <a:xfrm>
          <a:off x="0" y="26761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130</xdr:row>
      <xdr:rowOff>0</xdr:rowOff>
    </xdr:from>
    <xdr:to>
      <xdr:col>22</xdr:col>
      <xdr:colOff>304800</xdr:colOff>
      <xdr:row>131</xdr:row>
      <xdr:rowOff>129540</xdr:rowOff>
    </xdr:to>
    <xdr:sp macro="" textlink="">
      <xdr:nvSpPr>
        <xdr:cNvPr id="7724" name="AutoShape 258" descr="https://www.soccerstats.com/img/own/sshplogo.png">
          <a:hlinkClick xmlns:r="http://schemas.openxmlformats.org/officeDocument/2006/relationships" r:id="rId648"/>
        </xdr:cNvPr>
        <xdr:cNvSpPr>
          <a:spLocks noChangeAspect="1" noChangeArrowheads="1"/>
        </xdr:cNvSpPr>
      </xdr:nvSpPr>
      <xdr:spPr bwMode="auto">
        <a:xfrm>
          <a:off x="13411200" y="26761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152400</xdr:colOff>
      <xdr:row>131</xdr:row>
      <xdr:rowOff>106680</xdr:rowOff>
    </xdr:to>
    <xdr:sp macro="" textlink="">
      <xdr:nvSpPr>
        <xdr:cNvPr id="7725" name="AutoShape 259" descr="TURKEY"/>
        <xdr:cNvSpPr>
          <a:spLocks noChangeAspect="1" noChangeArrowheads="1"/>
        </xdr:cNvSpPr>
      </xdr:nvSpPr>
      <xdr:spPr bwMode="auto">
        <a:xfrm>
          <a:off x="0" y="26936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131</xdr:row>
      <xdr:rowOff>0</xdr:rowOff>
    </xdr:from>
    <xdr:to>
      <xdr:col>22</xdr:col>
      <xdr:colOff>304800</xdr:colOff>
      <xdr:row>132</xdr:row>
      <xdr:rowOff>129540</xdr:rowOff>
    </xdr:to>
    <xdr:sp macro="" textlink="">
      <xdr:nvSpPr>
        <xdr:cNvPr id="7726" name="AutoShape 260" descr="https://www.soccerstats.com/img/own/sshplogo.png">
          <a:hlinkClick xmlns:r="http://schemas.openxmlformats.org/officeDocument/2006/relationships" r:id="rId649"/>
        </xdr:cNvPr>
        <xdr:cNvSpPr>
          <a:spLocks noChangeAspect="1" noChangeArrowheads="1"/>
        </xdr:cNvSpPr>
      </xdr:nvSpPr>
      <xdr:spPr bwMode="auto">
        <a:xfrm>
          <a:off x="13411200" y="26936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132</xdr:row>
      <xdr:rowOff>0</xdr:rowOff>
    </xdr:from>
    <xdr:to>
      <xdr:col>0</xdr:col>
      <xdr:colOff>152400</xdr:colOff>
      <xdr:row>132</xdr:row>
      <xdr:rowOff>106680</xdr:rowOff>
    </xdr:to>
    <xdr:sp macro="" textlink="">
      <xdr:nvSpPr>
        <xdr:cNvPr id="7727" name="AutoShape 261" descr="TURKEY2"/>
        <xdr:cNvSpPr>
          <a:spLocks noChangeAspect="1" noChangeArrowheads="1"/>
        </xdr:cNvSpPr>
      </xdr:nvSpPr>
      <xdr:spPr bwMode="auto">
        <a:xfrm>
          <a:off x="0" y="27111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132</xdr:row>
      <xdr:rowOff>0</xdr:rowOff>
    </xdr:from>
    <xdr:to>
      <xdr:col>22</xdr:col>
      <xdr:colOff>304800</xdr:colOff>
      <xdr:row>133</xdr:row>
      <xdr:rowOff>129540</xdr:rowOff>
    </xdr:to>
    <xdr:sp macro="" textlink="">
      <xdr:nvSpPr>
        <xdr:cNvPr id="7728" name="AutoShape 262" descr="https://www.soccerstats.com/img/own/sshplogo.png">
          <a:hlinkClick xmlns:r="http://schemas.openxmlformats.org/officeDocument/2006/relationships" r:id="rId650"/>
        </xdr:cNvPr>
        <xdr:cNvSpPr>
          <a:spLocks noChangeAspect="1" noChangeArrowheads="1"/>
        </xdr:cNvSpPr>
      </xdr:nvSpPr>
      <xdr:spPr bwMode="auto">
        <a:xfrm>
          <a:off x="13411200" y="27111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152400</xdr:colOff>
      <xdr:row>133</xdr:row>
      <xdr:rowOff>106680</xdr:rowOff>
    </xdr:to>
    <xdr:sp macro="" textlink="">
      <xdr:nvSpPr>
        <xdr:cNvPr id="7729" name="AutoShape 263" descr="UKRAINE"/>
        <xdr:cNvSpPr>
          <a:spLocks noChangeAspect="1" noChangeArrowheads="1"/>
        </xdr:cNvSpPr>
      </xdr:nvSpPr>
      <xdr:spPr bwMode="auto">
        <a:xfrm>
          <a:off x="0" y="27287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133</xdr:row>
      <xdr:rowOff>0</xdr:rowOff>
    </xdr:from>
    <xdr:to>
      <xdr:col>22</xdr:col>
      <xdr:colOff>304800</xdr:colOff>
      <xdr:row>134</xdr:row>
      <xdr:rowOff>129540</xdr:rowOff>
    </xdr:to>
    <xdr:sp macro="" textlink="">
      <xdr:nvSpPr>
        <xdr:cNvPr id="7730" name="AutoShape 264" descr="https://www.soccerstats.com/img/own/sshplogo.png">
          <a:hlinkClick xmlns:r="http://schemas.openxmlformats.org/officeDocument/2006/relationships" r:id="rId651"/>
        </xdr:cNvPr>
        <xdr:cNvSpPr>
          <a:spLocks noChangeAspect="1" noChangeArrowheads="1"/>
        </xdr:cNvSpPr>
      </xdr:nvSpPr>
      <xdr:spPr bwMode="auto">
        <a:xfrm>
          <a:off x="13411200" y="27287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152400</xdr:colOff>
      <xdr:row>134</xdr:row>
      <xdr:rowOff>106680</xdr:rowOff>
    </xdr:to>
    <xdr:sp macro="" textlink="">
      <xdr:nvSpPr>
        <xdr:cNvPr id="7731" name="AutoShape 265" descr="URUGUAY3"/>
        <xdr:cNvSpPr>
          <a:spLocks noChangeAspect="1" noChangeArrowheads="1"/>
        </xdr:cNvSpPr>
      </xdr:nvSpPr>
      <xdr:spPr bwMode="auto">
        <a:xfrm>
          <a:off x="0" y="27462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134</xdr:row>
      <xdr:rowOff>0</xdr:rowOff>
    </xdr:from>
    <xdr:to>
      <xdr:col>22</xdr:col>
      <xdr:colOff>304800</xdr:colOff>
      <xdr:row>135</xdr:row>
      <xdr:rowOff>129540</xdr:rowOff>
    </xdr:to>
    <xdr:sp macro="" textlink="">
      <xdr:nvSpPr>
        <xdr:cNvPr id="7732" name="AutoShape 266" descr="https://www.soccerstats.com/img/own/sshplogo.png">
          <a:hlinkClick xmlns:r="http://schemas.openxmlformats.org/officeDocument/2006/relationships" r:id="rId652"/>
        </xdr:cNvPr>
        <xdr:cNvSpPr>
          <a:spLocks noChangeAspect="1" noChangeArrowheads="1"/>
        </xdr:cNvSpPr>
      </xdr:nvSpPr>
      <xdr:spPr bwMode="auto">
        <a:xfrm>
          <a:off x="13411200" y="27462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152400</xdr:colOff>
      <xdr:row>135</xdr:row>
      <xdr:rowOff>106680</xdr:rowOff>
    </xdr:to>
    <xdr:sp macro="" textlink="">
      <xdr:nvSpPr>
        <xdr:cNvPr id="7733" name="AutoShape 267" descr="WALES"/>
        <xdr:cNvSpPr>
          <a:spLocks noChangeAspect="1" noChangeArrowheads="1"/>
        </xdr:cNvSpPr>
      </xdr:nvSpPr>
      <xdr:spPr bwMode="auto">
        <a:xfrm>
          <a:off x="0" y="27637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135</xdr:row>
      <xdr:rowOff>0</xdr:rowOff>
    </xdr:from>
    <xdr:to>
      <xdr:col>22</xdr:col>
      <xdr:colOff>304800</xdr:colOff>
      <xdr:row>136</xdr:row>
      <xdr:rowOff>129540</xdr:rowOff>
    </xdr:to>
    <xdr:sp macro="" textlink="">
      <xdr:nvSpPr>
        <xdr:cNvPr id="7734" name="AutoShape 268" descr="https://www.soccerstats.com/img/own/sshplogo.png">
          <a:hlinkClick xmlns:r="http://schemas.openxmlformats.org/officeDocument/2006/relationships" r:id="rId653"/>
        </xdr:cNvPr>
        <xdr:cNvSpPr>
          <a:spLocks noChangeAspect="1" noChangeArrowheads="1"/>
        </xdr:cNvSpPr>
      </xdr:nvSpPr>
      <xdr:spPr bwMode="auto">
        <a:xfrm>
          <a:off x="13411200" y="27637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152400</xdr:colOff>
      <xdr:row>136</xdr:row>
      <xdr:rowOff>106680</xdr:rowOff>
    </xdr:to>
    <xdr:sp macro="" textlink="">
      <xdr:nvSpPr>
        <xdr:cNvPr id="7735" name="AutoShape 269" descr="WALES"/>
        <xdr:cNvSpPr>
          <a:spLocks noChangeAspect="1" noChangeArrowheads="1"/>
        </xdr:cNvSpPr>
      </xdr:nvSpPr>
      <xdr:spPr bwMode="auto">
        <a:xfrm>
          <a:off x="0" y="27813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136</xdr:row>
      <xdr:rowOff>0</xdr:rowOff>
    </xdr:from>
    <xdr:to>
      <xdr:col>22</xdr:col>
      <xdr:colOff>304800</xdr:colOff>
      <xdr:row>137</xdr:row>
      <xdr:rowOff>53340</xdr:rowOff>
    </xdr:to>
    <xdr:sp macro="" textlink="">
      <xdr:nvSpPr>
        <xdr:cNvPr id="7736" name="AutoShape 270" descr="https://www.soccerstats.com/img/own/sshplogo.png">
          <a:hlinkClick xmlns:r="http://schemas.openxmlformats.org/officeDocument/2006/relationships" r:id="rId654"/>
        </xdr:cNvPr>
        <xdr:cNvSpPr>
          <a:spLocks noChangeAspect="1" noChangeArrowheads="1"/>
        </xdr:cNvSpPr>
      </xdr:nvSpPr>
      <xdr:spPr bwMode="auto">
        <a:xfrm>
          <a:off x="13411200" y="2781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152400</xdr:colOff>
      <xdr:row>137</xdr:row>
      <xdr:rowOff>106680</xdr:rowOff>
    </xdr:to>
    <xdr:sp macro="" textlink="">
      <xdr:nvSpPr>
        <xdr:cNvPr id="7737" name="AutoShape 271" descr="WALES"/>
        <xdr:cNvSpPr>
          <a:spLocks noChangeAspect="1" noChangeArrowheads="1"/>
        </xdr:cNvSpPr>
      </xdr:nvSpPr>
      <xdr:spPr bwMode="auto">
        <a:xfrm>
          <a:off x="0" y="28064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137</xdr:row>
      <xdr:rowOff>0</xdr:rowOff>
    </xdr:from>
    <xdr:to>
      <xdr:col>22</xdr:col>
      <xdr:colOff>304800</xdr:colOff>
      <xdr:row>138</xdr:row>
      <xdr:rowOff>53340</xdr:rowOff>
    </xdr:to>
    <xdr:sp macro="" textlink="">
      <xdr:nvSpPr>
        <xdr:cNvPr id="7738" name="AutoShape 272" descr="https://www.soccerstats.com/img/own/sshplogo.png">
          <a:hlinkClick xmlns:r="http://schemas.openxmlformats.org/officeDocument/2006/relationships" r:id="rId655"/>
        </xdr:cNvPr>
        <xdr:cNvSpPr>
          <a:spLocks noChangeAspect="1" noChangeArrowheads="1"/>
        </xdr:cNvSpPr>
      </xdr:nvSpPr>
      <xdr:spPr bwMode="auto">
        <a:xfrm>
          <a:off x="13411200" y="28064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138</xdr:row>
      <xdr:rowOff>0</xdr:rowOff>
    </xdr:from>
    <xdr:to>
      <xdr:col>0</xdr:col>
      <xdr:colOff>152400</xdr:colOff>
      <xdr:row>138</xdr:row>
      <xdr:rowOff>106680</xdr:rowOff>
    </xdr:to>
    <xdr:sp macro="" textlink="">
      <xdr:nvSpPr>
        <xdr:cNvPr id="7739" name="AutoShape 273" descr="WALES"/>
        <xdr:cNvSpPr>
          <a:spLocks noChangeAspect="1" noChangeArrowheads="1"/>
        </xdr:cNvSpPr>
      </xdr:nvSpPr>
      <xdr:spPr bwMode="auto">
        <a:xfrm>
          <a:off x="0" y="28315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138</xdr:row>
      <xdr:rowOff>0</xdr:rowOff>
    </xdr:from>
    <xdr:to>
      <xdr:col>22</xdr:col>
      <xdr:colOff>304800</xdr:colOff>
      <xdr:row>139</xdr:row>
      <xdr:rowOff>53340</xdr:rowOff>
    </xdr:to>
    <xdr:sp macro="" textlink="">
      <xdr:nvSpPr>
        <xdr:cNvPr id="7740" name="AutoShape 274" descr="https://www.soccerstats.com/img/own/sshplogo.png">
          <a:hlinkClick xmlns:r="http://schemas.openxmlformats.org/officeDocument/2006/relationships" r:id="rId656"/>
        </xdr:cNvPr>
        <xdr:cNvSpPr>
          <a:spLocks noChangeAspect="1" noChangeArrowheads="1"/>
        </xdr:cNvSpPr>
      </xdr:nvSpPr>
      <xdr:spPr bwMode="auto">
        <a:xfrm>
          <a:off x="13411200" y="28315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152400</xdr:colOff>
      <xdr:row>139</xdr:row>
      <xdr:rowOff>106680</xdr:rowOff>
    </xdr:to>
    <xdr:sp macro="" textlink="">
      <xdr:nvSpPr>
        <xdr:cNvPr id="7741" name="AutoShape 275" descr="WALES"/>
        <xdr:cNvSpPr>
          <a:spLocks noChangeAspect="1" noChangeArrowheads="1"/>
        </xdr:cNvSpPr>
      </xdr:nvSpPr>
      <xdr:spPr bwMode="auto">
        <a:xfrm>
          <a:off x="0" y="28567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139</xdr:row>
      <xdr:rowOff>0</xdr:rowOff>
    </xdr:from>
    <xdr:to>
      <xdr:col>22</xdr:col>
      <xdr:colOff>304800</xdr:colOff>
      <xdr:row>140</xdr:row>
      <xdr:rowOff>129540</xdr:rowOff>
    </xdr:to>
    <xdr:sp macro="" textlink="">
      <xdr:nvSpPr>
        <xdr:cNvPr id="7742" name="AutoShape 276" descr="https://www.soccerstats.com/img/own/sshplogo.png">
          <a:hlinkClick xmlns:r="http://schemas.openxmlformats.org/officeDocument/2006/relationships" r:id="rId657"/>
        </xdr:cNvPr>
        <xdr:cNvSpPr>
          <a:spLocks noChangeAspect="1" noChangeArrowheads="1"/>
        </xdr:cNvSpPr>
      </xdr:nvSpPr>
      <xdr:spPr bwMode="auto">
        <a:xfrm>
          <a:off x="13411200" y="28567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140</xdr:row>
      <xdr:rowOff>0</xdr:rowOff>
    </xdr:from>
    <xdr:to>
      <xdr:col>0</xdr:col>
      <xdr:colOff>152400</xdr:colOff>
      <xdr:row>140</xdr:row>
      <xdr:rowOff>106680</xdr:rowOff>
    </xdr:to>
    <xdr:sp macro="" textlink="">
      <xdr:nvSpPr>
        <xdr:cNvPr id="7743" name="AutoShape 277" descr="WALES"/>
        <xdr:cNvSpPr>
          <a:spLocks noChangeAspect="1" noChangeArrowheads="1"/>
        </xdr:cNvSpPr>
      </xdr:nvSpPr>
      <xdr:spPr bwMode="auto">
        <a:xfrm>
          <a:off x="0" y="28742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140</xdr:row>
      <xdr:rowOff>0</xdr:rowOff>
    </xdr:from>
    <xdr:to>
      <xdr:col>22</xdr:col>
      <xdr:colOff>304800</xdr:colOff>
      <xdr:row>141</xdr:row>
      <xdr:rowOff>53340</xdr:rowOff>
    </xdr:to>
    <xdr:sp macro="" textlink="">
      <xdr:nvSpPr>
        <xdr:cNvPr id="7744" name="AutoShape 278" descr="https://www.soccerstats.com/img/own/sshplogo.png">
          <a:hlinkClick xmlns:r="http://schemas.openxmlformats.org/officeDocument/2006/relationships" r:id="rId658"/>
        </xdr:cNvPr>
        <xdr:cNvSpPr>
          <a:spLocks noChangeAspect="1" noChangeArrowheads="1"/>
        </xdr:cNvSpPr>
      </xdr:nvSpPr>
      <xdr:spPr bwMode="auto">
        <a:xfrm>
          <a:off x="13411200" y="28742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soccerstats.com/latest.asp?league=romania" TargetMode="External"/><Relationship Id="rId21" Type="http://schemas.openxmlformats.org/officeDocument/2006/relationships/hyperlink" Target="https://www.soccerstats.com/latest.asp?league=netherlands2" TargetMode="External"/><Relationship Id="rId42" Type="http://schemas.openxmlformats.org/officeDocument/2006/relationships/hyperlink" Target="https://www.soccerstats.com/latest.asp?league=belarus" TargetMode="External"/><Relationship Id="rId63" Type="http://schemas.openxmlformats.org/officeDocument/2006/relationships/hyperlink" Target="https://www.soccerstats.com/latest.asp?league=czechrepublic2" TargetMode="External"/><Relationship Id="rId84" Type="http://schemas.openxmlformats.org/officeDocument/2006/relationships/hyperlink" Target="https://www.soccerstats.com/latest.asp?league=france3" TargetMode="External"/><Relationship Id="rId138" Type="http://schemas.openxmlformats.org/officeDocument/2006/relationships/hyperlink" Target="https://www.soccerstats.com/latest.asp?league=wales" TargetMode="External"/><Relationship Id="rId107" Type="http://schemas.openxmlformats.org/officeDocument/2006/relationships/hyperlink" Target="https://www.soccerstats.com/latest.asp?league=japan" TargetMode="External"/><Relationship Id="rId11" Type="http://schemas.openxmlformats.org/officeDocument/2006/relationships/hyperlink" Target="https://www.soccerstats.com/latest.asp?league=france2" TargetMode="External"/><Relationship Id="rId32" Type="http://schemas.openxmlformats.org/officeDocument/2006/relationships/hyperlink" Target="https://www.soccerstats.com/latest.asp?league=australia4" TargetMode="External"/><Relationship Id="rId37" Type="http://schemas.openxmlformats.org/officeDocument/2006/relationships/hyperlink" Target="https://www.soccerstats.com/latest.asp?league=austria" TargetMode="External"/><Relationship Id="rId53" Type="http://schemas.openxmlformats.org/officeDocument/2006/relationships/hyperlink" Target="https://www.soccerstats.com/latest.asp?league=chile" TargetMode="External"/><Relationship Id="rId58" Type="http://schemas.openxmlformats.org/officeDocument/2006/relationships/hyperlink" Target="https://www.soccerstats.com/latest.asp?league=china" TargetMode="External"/><Relationship Id="rId74" Type="http://schemas.openxmlformats.org/officeDocument/2006/relationships/hyperlink" Target="https://www.soccerstats.com/latest.asp?league=estonia" TargetMode="External"/><Relationship Id="rId79" Type="http://schemas.openxmlformats.org/officeDocument/2006/relationships/hyperlink" Target="https://www.soccerstats.com/latest.asp?league=france3" TargetMode="External"/><Relationship Id="rId102" Type="http://schemas.openxmlformats.org/officeDocument/2006/relationships/hyperlink" Target="https://www.soccerstats.com/latest.asp?league=germany8" TargetMode="External"/><Relationship Id="rId123" Type="http://schemas.openxmlformats.org/officeDocument/2006/relationships/hyperlink" Target="https://www.soccerstats.com/latest.asp?league=southkorea4" TargetMode="External"/><Relationship Id="rId128" Type="http://schemas.openxmlformats.org/officeDocument/2006/relationships/hyperlink" Target="https://www.soccerstats.com/latest.asp?league=sweden3" TargetMode="External"/><Relationship Id="rId5" Type="http://schemas.openxmlformats.org/officeDocument/2006/relationships/hyperlink" Target="https://www.soccerstats.com/latest.asp?league=france2" TargetMode="External"/><Relationship Id="rId90" Type="http://schemas.openxmlformats.org/officeDocument/2006/relationships/hyperlink" Target="https://www.soccerstats.com/latest.asp?league=germany5" TargetMode="External"/><Relationship Id="rId95" Type="http://schemas.openxmlformats.org/officeDocument/2006/relationships/hyperlink" Target="https://www.soccerstats.com/latest.asp?league=germany7" TargetMode="External"/><Relationship Id="rId22" Type="http://schemas.openxmlformats.org/officeDocument/2006/relationships/hyperlink" Target="https://www.soccerstats.com/latest.asp?league=argentina2" TargetMode="External"/><Relationship Id="rId27" Type="http://schemas.openxmlformats.org/officeDocument/2006/relationships/hyperlink" Target="https://www.soccerstats.com/latest.asp?league=australia3" TargetMode="External"/><Relationship Id="rId43" Type="http://schemas.openxmlformats.org/officeDocument/2006/relationships/hyperlink" Target="https://www.soccerstats.com/latest.asp?league=belarus" TargetMode="External"/><Relationship Id="rId48" Type="http://schemas.openxmlformats.org/officeDocument/2006/relationships/hyperlink" Target="https://www.soccerstats.com/latest.asp?league=brazil2" TargetMode="External"/><Relationship Id="rId64" Type="http://schemas.openxmlformats.org/officeDocument/2006/relationships/hyperlink" Target="https://www.soccerstats.com/latest.asp?league=czechrepublic2" TargetMode="External"/><Relationship Id="rId69" Type="http://schemas.openxmlformats.org/officeDocument/2006/relationships/hyperlink" Target="https://www.soccerstats.com/latest.asp?league=denmark3" TargetMode="External"/><Relationship Id="rId113" Type="http://schemas.openxmlformats.org/officeDocument/2006/relationships/hyperlink" Target="https://www.soccerstats.com/latest.asp?league=poland2" TargetMode="External"/><Relationship Id="rId118" Type="http://schemas.openxmlformats.org/officeDocument/2006/relationships/hyperlink" Target="https://www.soccerstats.com/latest.asp?league=russia" TargetMode="External"/><Relationship Id="rId134" Type="http://schemas.openxmlformats.org/officeDocument/2006/relationships/hyperlink" Target="https://www.soccerstats.com/latest.asp?league=uruguay3" TargetMode="External"/><Relationship Id="rId139" Type="http://schemas.openxmlformats.org/officeDocument/2006/relationships/hyperlink" Target="https://www.soccerstats.com/latest.asp?league=wales" TargetMode="External"/><Relationship Id="rId80" Type="http://schemas.openxmlformats.org/officeDocument/2006/relationships/hyperlink" Target="https://www.soccerstats.com/latest.asp?league=france3" TargetMode="External"/><Relationship Id="rId85" Type="http://schemas.openxmlformats.org/officeDocument/2006/relationships/hyperlink" Target="https://www.soccerstats.com/latest.asp?league=france3" TargetMode="External"/><Relationship Id="rId12" Type="http://schemas.openxmlformats.org/officeDocument/2006/relationships/hyperlink" Target="https://www.soccerstats.com/latest.asp?league=france2" TargetMode="External"/><Relationship Id="rId17" Type="http://schemas.openxmlformats.org/officeDocument/2006/relationships/hyperlink" Target="https://www.soccerstats.com/latest.asp?league=netherlands2" TargetMode="External"/><Relationship Id="rId33" Type="http://schemas.openxmlformats.org/officeDocument/2006/relationships/hyperlink" Target="https://www.soccerstats.com/latest.asp?league=australia4" TargetMode="External"/><Relationship Id="rId38" Type="http://schemas.openxmlformats.org/officeDocument/2006/relationships/hyperlink" Target="https://www.soccerstats.com/latest.asp?league=austria2" TargetMode="External"/><Relationship Id="rId59" Type="http://schemas.openxmlformats.org/officeDocument/2006/relationships/hyperlink" Target="https://www.soccerstats.com/latest.asp?league=colombia2" TargetMode="External"/><Relationship Id="rId103" Type="http://schemas.openxmlformats.org/officeDocument/2006/relationships/hyperlink" Target="https://www.soccerstats.com/latest.asp?league=germany8" TargetMode="External"/><Relationship Id="rId108" Type="http://schemas.openxmlformats.org/officeDocument/2006/relationships/hyperlink" Target="https://www.soccerstats.com/latest.asp?league=norway" TargetMode="External"/><Relationship Id="rId124" Type="http://schemas.openxmlformats.org/officeDocument/2006/relationships/hyperlink" Target="https://www.soccerstats.com/latest.asp?league=southkorea4" TargetMode="External"/><Relationship Id="rId129" Type="http://schemas.openxmlformats.org/officeDocument/2006/relationships/hyperlink" Target="https://www.soccerstats.com/latest.asp?league=sweden4" TargetMode="External"/><Relationship Id="rId54" Type="http://schemas.openxmlformats.org/officeDocument/2006/relationships/hyperlink" Target="https://www.soccerstats.com/latest.asp?league=chile2" TargetMode="External"/><Relationship Id="rId70" Type="http://schemas.openxmlformats.org/officeDocument/2006/relationships/hyperlink" Target="https://www.soccerstats.com/latest.asp?league=denmark3" TargetMode="External"/><Relationship Id="rId75" Type="http://schemas.openxmlformats.org/officeDocument/2006/relationships/hyperlink" Target="https://www.soccerstats.com/latest.asp?league=finland" TargetMode="External"/><Relationship Id="rId91" Type="http://schemas.openxmlformats.org/officeDocument/2006/relationships/hyperlink" Target="https://www.soccerstats.com/latest.asp?league=germany6" TargetMode="External"/><Relationship Id="rId96" Type="http://schemas.openxmlformats.org/officeDocument/2006/relationships/hyperlink" Target="https://www.soccerstats.com/latest.asp?league=germany8" TargetMode="External"/><Relationship Id="rId140" Type="http://schemas.openxmlformats.org/officeDocument/2006/relationships/hyperlink" Target="https://www.soccerstats.com/latest.asp?league=wales" TargetMode="External"/><Relationship Id="rId1" Type="http://schemas.openxmlformats.org/officeDocument/2006/relationships/hyperlink" Target="https://www.soccerstats.com/latest.asp?league=netherlands" TargetMode="External"/><Relationship Id="rId6" Type="http://schemas.openxmlformats.org/officeDocument/2006/relationships/hyperlink" Target="https://www.soccerstats.com/latest.asp?league=france2" TargetMode="External"/><Relationship Id="rId23" Type="http://schemas.openxmlformats.org/officeDocument/2006/relationships/hyperlink" Target="https://www.soccerstats.com/latest.asp?league=argentina3" TargetMode="External"/><Relationship Id="rId28" Type="http://schemas.openxmlformats.org/officeDocument/2006/relationships/hyperlink" Target="https://www.soccerstats.com/latest.asp?league=australia3" TargetMode="External"/><Relationship Id="rId49" Type="http://schemas.openxmlformats.org/officeDocument/2006/relationships/hyperlink" Target="https://www.soccerstats.com/latest.asp?league=brazil2" TargetMode="External"/><Relationship Id="rId114" Type="http://schemas.openxmlformats.org/officeDocument/2006/relationships/hyperlink" Target="https://www.soccerstats.com/latest.asp?league=poland3" TargetMode="External"/><Relationship Id="rId119" Type="http://schemas.openxmlformats.org/officeDocument/2006/relationships/hyperlink" Target="https://www.soccerstats.com/latest.asp?league=saudiarabia" TargetMode="External"/><Relationship Id="rId44" Type="http://schemas.openxmlformats.org/officeDocument/2006/relationships/hyperlink" Target="https://www.soccerstats.com/latest.asp?league=belgium" TargetMode="External"/><Relationship Id="rId60" Type="http://schemas.openxmlformats.org/officeDocument/2006/relationships/hyperlink" Target="https://www.soccerstats.com/leagueview.asp?league=copasudamericana" TargetMode="External"/><Relationship Id="rId65" Type="http://schemas.openxmlformats.org/officeDocument/2006/relationships/hyperlink" Target="https://www.soccerstats.com/latest.asp?league=denmark" TargetMode="External"/><Relationship Id="rId81" Type="http://schemas.openxmlformats.org/officeDocument/2006/relationships/hyperlink" Target="https://www.soccerstats.com/latest.asp?league=france3" TargetMode="External"/><Relationship Id="rId86" Type="http://schemas.openxmlformats.org/officeDocument/2006/relationships/hyperlink" Target="https://www.soccerstats.com/latest.asp?league=germany3" TargetMode="External"/><Relationship Id="rId130" Type="http://schemas.openxmlformats.org/officeDocument/2006/relationships/hyperlink" Target="https://www.soccerstats.com/latest.asp?league=sweden11" TargetMode="External"/><Relationship Id="rId135" Type="http://schemas.openxmlformats.org/officeDocument/2006/relationships/hyperlink" Target="https://www.soccerstats.com/latest.asp?league=wales" TargetMode="External"/><Relationship Id="rId13" Type="http://schemas.openxmlformats.org/officeDocument/2006/relationships/hyperlink" Target="https://www.soccerstats.com/latest.asp?league=france2" TargetMode="External"/><Relationship Id="rId18" Type="http://schemas.openxmlformats.org/officeDocument/2006/relationships/hyperlink" Target="https://www.soccerstats.com/latest.asp?league=netherlands2" TargetMode="External"/><Relationship Id="rId39" Type="http://schemas.openxmlformats.org/officeDocument/2006/relationships/hyperlink" Target="https://www.soccerstats.com/latest.asp?league=austria2" TargetMode="External"/><Relationship Id="rId109" Type="http://schemas.openxmlformats.org/officeDocument/2006/relationships/hyperlink" Target="https://www.soccerstats.com/latest.asp?league=norway11" TargetMode="External"/><Relationship Id="rId34" Type="http://schemas.openxmlformats.org/officeDocument/2006/relationships/hyperlink" Target="https://www.soccerstats.com/latest.asp?league=australia4" TargetMode="External"/><Relationship Id="rId50" Type="http://schemas.openxmlformats.org/officeDocument/2006/relationships/hyperlink" Target="https://www.soccerstats.com/latest.asp?league=brazil2" TargetMode="External"/><Relationship Id="rId55" Type="http://schemas.openxmlformats.org/officeDocument/2006/relationships/hyperlink" Target="https://www.soccerstats.com/latest.asp?league=chile2" TargetMode="External"/><Relationship Id="rId76" Type="http://schemas.openxmlformats.org/officeDocument/2006/relationships/hyperlink" Target="https://www.soccerstats.com/latest.asp?league=finland2" TargetMode="External"/><Relationship Id="rId97" Type="http://schemas.openxmlformats.org/officeDocument/2006/relationships/hyperlink" Target="https://www.soccerstats.com/latest.asp?league=germany8" TargetMode="External"/><Relationship Id="rId104" Type="http://schemas.openxmlformats.org/officeDocument/2006/relationships/hyperlink" Target="https://www.soccerstats.com/latest.asp?league=germany8" TargetMode="External"/><Relationship Id="rId120" Type="http://schemas.openxmlformats.org/officeDocument/2006/relationships/hyperlink" Target="https://www.soccerstats.com/latest.asp?league=saudiarabia" TargetMode="External"/><Relationship Id="rId125" Type="http://schemas.openxmlformats.org/officeDocument/2006/relationships/hyperlink" Target="https://www.soccerstats.com/latest.asp?league=sweden" TargetMode="External"/><Relationship Id="rId141" Type="http://schemas.openxmlformats.org/officeDocument/2006/relationships/printerSettings" Target="../printerSettings/printerSettings1.bin"/><Relationship Id="rId7" Type="http://schemas.openxmlformats.org/officeDocument/2006/relationships/hyperlink" Target="https://www.soccerstats.com/latest.asp?league=france2" TargetMode="External"/><Relationship Id="rId71" Type="http://schemas.openxmlformats.org/officeDocument/2006/relationships/hyperlink" Target="https://www.soccerstats.com/latest.asp?league=denmark3" TargetMode="External"/><Relationship Id="rId92" Type="http://schemas.openxmlformats.org/officeDocument/2006/relationships/hyperlink" Target="https://www.soccerstats.com/latest.asp?league=germany6" TargetMode="External"/><Relationship Id="rId2" Type="http://schemas.openxmlformats.org/officeDocument/2006/relationships/hyperlink" Target="https://www.soccerstats.com/latest.asp?league=portugal" TargetMode="External"/><Relationship Id="rId29" Type="http://schemas.openxmlformats.org/officeDocument/2006/relationships/hyperlink" Target="https://www.soccerstats.com/latest.asp?league=australia4" TargetMode="External"/><Relationship Id="rId24" Type="http://schemas.openxmlformats.org/officeDocument/2006/relationships/hyperlink" Target="https://www.soccerstats.com/latest.asp?league=argentina3" TargetMode="External"/><Relationship Id="rId40" Type="http://schemas.openxmlformats.org/officeDocument/2006/relationships/hyperlink" Target="https://www.soccerstats.com/latest.asp?league=azerbaijan" TargetMode="External"/><Relationship Id="rId45" Type="http://schemas.openxmlformats.org/officeDocument/2006/relationships/hyperlink" Target="https://www.soccerstats.com/latest.asp?league=belgium2" TargetMode="External"/><Relationship Id="rId66" Type="http://schemas.openxmlformats.org/officeDocument/2006/relationships/hyperlink" Target="https://www.soccerstats.com/latest.asp?league=denmark2" TargetMode="External"/><Relationship Id="rId87" Type="http://schemas.openxmlformats.org/officeDocument/2006/relationships/hyperlink" Target="https://www.soccerstats.com/latest.asp?league=germany5" TargetMode="External"/><Relationship Id="rId110" Type="http://schemas.openxmlformats.org/officeDocument/2006/relationships/hyperlink" Target="https://www.soccerstats.com/latest.asp?league=paraguay2" TargetMode="External"/><Relationship Id="rId115" Type="http://schemas.openxmlformats.org/officeDocument/2006/relationships/hyperlink" Target="https://www.soccerstats.com/latest.asp?league=portugal2" TargetMode="External"/><Relationship Id="rId131" Type="http://schemas.openxmlformats.org/officeDocument/2006/relationships/hyperlink" Target="https://www.soccerstats.com/latest.asp?league=turkey" TargetMode="External"/><Relationship Id="rId136" Type="http://schemas.openxmlformats.org/officeDocument/2006/relationships/hyperlink" Target="https://www.soccerstats.com/latest.asp?league=wales" TargetMode="External"/><Relationship Id="rId61" Type="http://schemas.openxmlformats.org/officeDocument/2006/relationships/hyperlink" Target="https://www.soccerstats.com/leagueview.asp?league=copalibertadores" TargetMode="External"/><Relationship Id="rId82" Type="http://schemas.openxmlformats.org/officeDocument/2006/relationships/hyperlink" Target="https://www.soccerstats.com/latest.asp?league=france3" TargetMode="External"/><Relationship Id="rId19" Type="http://schemas.openxmlformats.org/officeDocument/2006/relationships/hyperlink" Target="https://www.soccerstats.com/latest.asp?league=netherlands2" TargetMode="External"/><Relationship Id="rId14" Type="http://schemas.openxmlformats.org/officeDocument/2006/relationships/hyperlink" Target="https://www.soccerstats.com/latest.asp?league=germany2" TargetMode="External"/><Relationship Id="rId30" Type="http://schemas.openxmlformats.org/officeDocument/2006/relationships/hyperlink" Target="https://www.soccerstats.com/latest.asp?league=australia4" TargetMode="External"/><Relationship Id="rId35" Type="http://schemas.openxmlformats.org/officeDocument/2006/relationships/hyperlink" Target="https://www.soccerstats.com/latest.asp?league=australia5" TargetMode="External"/><Relationship Id="rId56" Type="http://schemas.openxmlformats.org/officeDocument/2006/relationships/hyperlink" Target="https://www.soccerstats.com/latest.asp?league=china" TargetMode="External"/><Relationship Id="rId77" Type="http://schemas.openxmlformats.org/officeDocument/2006/relationships/hyperlink" Target="https://www.soccerstats.com/latest.asp?league=france3" TargetMode="External"/><Relationship Id="rId100" Type="http://schemas.openxmlformats.org/officeDocument/2006/relationships/hyperlink" Target="https://www.soccerstats.com/latest.asp?league=germany8" TargetMode="External"/><Relationship Id="rId105" Type="http://schemas.openxmlformats.org/officeDocument/2006/relationships/hyperlink" Target="https://www.soccerstats.com/latest.asp?league=hungary" TargetMode="External"/><Relationship Id="rId126" Type="http://schemas.openxmlformats.org/officeDocument/2006/relationships/hyperlink" Target="https://www.soccerstats.com/latest.asp?league=sweden2" TargetMode="External"/><Relationship Id="rId8" Type="http://schemas.openxmlformats.org/officeDocument/2006/relationships/hyperlink" Target="https://www.soccerstats.com/latest.asp?league=france2" TargetMode="External"/><Relationship Id="rId51" Type="http://schemas.openxmlformats.org/officeDocument/2006/relationships/hyperlink" Target="https://www.soccerstats.com/latest.asp?league=bulgaria" TargetMode="External"/><Relationship Id="rId72" Type="http://schemas.openxmlformats.org/officeDocument/2006/relationships/hyperlink" Target="https://www.soccerstats.com/latest.asp?league=england7" TargetMode="External"/><Relationship Id="rId93" Type="http://schemas.openxmlformats.org/officeDocument/2006/relationships/hyperlink" Target="https://www.soccerstats.com/latest.asp?league=germany6" TargetMode="External"/><Relationship Id="rId98" Type="http://schemas.openxmlformats.org/officeDocument/2006/relationships/hyperlink" Target="https://www.soccerstats.com/latest.asp?league=germany8" TargetMode="External"/><Relationship Id="rId121" Type="http://schemas.openxmlformats.org/officeDocument/2006/relationships/hyperlink" Target="https://www.soccerstats.com/latest.asp?league=saudiarabia" TargetMode="External"/><Relationship Id="rId142" Type="http://schemas.openxmlformats.org/officeDocument/2006/relationships/drawing" Target="../drawings/drawing1.xml"/><Relationship Id="rId3" Type="http://schemas.openxmlformats.org/officeDocument/2006/relationships/hyperlink" Target="https://www.soccerstats.com/latest.asp?league=england2" TargetMode="External"/><Relationship Id="rId25" Type="http://schemas.openxmlformats.org/officeDocument/2006/relationships/hyperlink" Target="https://www.soccerstats.com/latest.asp?league=armenia" TargetMode="External"/><Relationship Id="rId46" Type="http://schemas.openxmlformats.org/officeDocument/2006/relationships/hyperlink" Target="https://www.soccerstats.com/latest.asp?league=belgium2" TargetMode="External"/><Relationship Id="rId67" Type="http://schemas.openxmlformats.org/officeDocument/2006/relationships/hyperlink" Target="https://www.soccerstats.com/latest.asp?league=denmark2" TargetMode="External"/><Relationship Id="rId116" Type="http://schemas.openxmlformats.org/officeDocument/2006/relationships/hyperlink" Target="https://www.soccerstats.com/latest.asp?league=romania" TargetMode="External"/><Relationship Id="rId137" Type="http://schemas.openxmlformats.org/officeDocument/2006/relationships/hyperlink" Target="https://www.soccerstats.com/latest.asp?league=wales" TargetMode="External"/><Relationship Id="rId20" Type="http://schemas.openxmlformats.org/officeDocument/2006/relationships/hyperlink" Target="https://www.soccerstats.com/latest.asp?league=netherlands2" TargetMode="External"/><Relationship Id="rId41" Type="http://schemas.openxmlformats.org/officeDocument/2006/relationships/hyperlink" Target="https://www.soccerstats.com/latest.asp?league=azerbaijan" TargetMode="External"/><Relationship Id="rId62" Type="http://schemas.openxmlformats.org/officeDocument/2006/relationships/hyperlink" Target="https://www.soccerstats.com/latest.asp?league=croatia" TargetMode="External"/><Relationship Id="rId83" Type="http://schemas.openxmlformats.org/officeDocument/2006/relationships/hyperlink" Target="https://www.soccerstats.com/latest.asp?league=france3" TargetMode="External"/><Relationship Id="rId88" Type="http://schemas.openxmlformats.org/officeDocument/2006/relationships/hyperlink" Target="https://www.soccerstats.com/latest.asp?league=germany5" TargetMode="External"/><Relationship Id="rId111" Type="http://schemas.openxmlformats.org/officeDocument/2006/relationships/hyperlink" Target="https://www.soccerstats.com/latest.asp?league=poland" TargetMode="External"/><Relationship Id="rId132" Type="http://schemas.openxmlformats.org/officeDocument/2006/relationships/hyperlink" Target="https://www.soccerstats.com/latest.asp?league=turkey2" TargetMode="External"/><Relationship Id="rId15" Type="http://schemas.openxmlformats.org/officeDocument/2006/relationships/hyperlink" Target="https://www.soccerstats.com/latest.asp?league=germany2" TargetMode="External"/><Relationship Id="rId36" Type="http://schemas.openxmlformats.org/officeDocument/2006/relationships/hyperlink" Target="https://www.soccerstats.com/latest.asp?league=australia11" TargetMode="External"/><Relationship Id="rId57" Type="http://schemas.openxmlformats.org/officeDocument/2006/relationships/hyperlink" Target="https://www.soccerstats.com/latest.asp?league=china" TargetMode="External"/><Relationship Id="rId106" Type="http://schemas.openxmlformats.org/officeDocument/2006/relationships/hyperlink" Target="https://www.soccerstats.com/latest.asp?league=iceland3" TargetMode="External"/><Relationship Id="rId127" Type="http://schemas.openxmlformats.org/officeDocument/2006/relationships/hyperlink" Target="https://www.soccerstats.com/latest.asp?league=sweden2" TargetMode="External"/><Relationship Id="rId10" Type="http://schemas.openxmlformats.org/officeDocument/2006/relationships/hyperlink" Target="https://www.soccerstats.com/latest.asp?league=france2" TargetMode="External"/><Relationship Id="rId31" Type="http://schemas.openxmlformats.org/officeDocument/2006/relationships/hyperlink" Target="https://www.soccerstats.com/latest.asp?league=australia4" TargetMode="External"/><Relationship Id="rId52" Type="http://schemas.openxmlformats.org/officeDocument/2006/relationships/hyperlink" Target="https://www.soccerstats.com/latest.asp?league=bulgaria2" TargetMode="External"/><Relationship Id="rId73" Type="http://schemas.openxmlformats.org/officeDocument/2006/relationships/hyperlink" Target="https://www.soccerstats.com/latest.asp?league=england9" TargetMode="External"/><Relationship Id="rId78" Type="http://schemas.openxmlformats.org/officeDocument/2006/relationships/hyperlink" Target="https://www.soccerstats.com/latest.asp?league=france3" TargetMode="External"/><Relationship Id="rId94" Type="http://schemas.openxmlformats.org/officeDocument/2006/relationships/hyperlink" Target="https://www.soccerstats.com/latest.asp?league=germany6" TargetMode="External"/><Relationship Id="rId99" Type="http://schemas.openxmlformats.org/officeDocument/2006/relationships/hyperlink" Target="https://www.soccerstats.com/latest.asp?league=germany8" TargetMode="External"/><Relationship Id="rId101" Type="http://schemas.openxmlformats.org/officeDocument/2006/relationships/hyperlink" Target="https://www.soccerstats.com/latest.asp?league=germany8" TargetMode="External"/><Relationship Id="rId122" Type="http://schemas.openxmlformats.org/officeDocument/2006/relationships/hyperlink" Target="https://www.soccerstats.com/latest.asp?league=southafrica" TargetMode="External"/><Relationship Id="rId4" Type="http://schemas.openxmlformats.org/officeDocument/2006/relationships/hyperlink" Target="https://www.soccerstats.com/latest.asp?league=spain2" TargetMode="External"/><Relationship Id="rId9" Type="http://schemas.openxmlformats.org/officeDocument/2006/relationships/hyperlink" Target="https://www.soccerstats.com/latest.asp?league=france2" TargetMode="External"/><Relationship Id="rId26" Type="http://schemas.openxmlformats.org/officeDocument/2006/relationships/hyperlink" Target="https://www.soccerstats.com/latest.asp?league=australia3" TargetMode="External"/><Relationship Id="rId47" Type="http://schemas.openxmlformats.org/officeDocument/2006/relationships/hyperlink" Target="https://www.soccerstats.com/latest.asp?league=bosnia" TargetMode="External"/><Relationship Id="rId68" Type="http://schemas.openxmlformats.org/officeDocument/2006/relationships/hyperlink" Target="https://www.soccerstats.com/latest.asp?league=denmark3" TargetMode="External"/><Relationship Id="rId89" Type="http://schemas.openxmlformats.org/officeDocument/2006/relationships/hyperlink" Target="https://www.soccerstats.com/latest.asp?league=germany5" TargetMode="External"/><Relationship Id="rId112" Type="http://schemas.openxmlformats.org/officeDocument/2006/relationships/hyperlink" Target="https://www.soccerstats.com/latest.asp?league=poland2" TargetMode="External"/><Relationship Id="rId133" Type="http://schemas.openxmlformats.org/officeDocument/2006/relationships/hyperlink" Target="https://www.soccerstats.com/latest.asp?league=ukraine" TargetMode="External"/><Relationship Id="rId16" Type="http://schemas.openxmlformats.org/officeDocument/2006/relationships/hyperlink" Target="https://www.soccerstats.com/latest.asp?league=netherlands2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occerstats.com/latest.asp?league=brazil" TargetMode="External"/><Relationship Id="rId18" Type="http://schemas.openxmlformats.org/officeDocument/2006/relationships/hyperlink" Target="https://www.soccerstats.com/latest.asp?league=brazil2" TargetMode="External"/><Relationship Id="rId26" Type="http://schemas.openxmlformats.org/officeDocument/2006/relationships/hyperlink" Target="https://www.soccerstats.com/latest.asp?league=china2" TargetMode="External"/><Relationship Id="rId39" Type="http://schemas.openxmlformats.org/officeDocument/2006/relationships/hyperlink" Target="https://www.soccerstats.com/latest.asp?league=norway" TargetMode="External"/><Relationship Id="rId21" Type="http://schemas.openxmlformats.org/officeDocument/2006/relationships/hyperlink" Target="https://www.soccerstats.com/latest.asp?league=china" TargetMode="External"/><Relationship Id="rId34" Type="http://schemas.openxmlformats.org/officeDocument/2006/relationships/hyperlink" Target="https://www.soccerstats.com/latest.asp?league=finland6" TargetMode="External"/><Relationship Id="rId42" Type="http://schemas.openxmlformats.org/officeDocument/2006/relationships/hyperlink" Target="https://www.soccerstats.com/latest.asp?league=sweden" TargetMode="External"/><Relationship Id="rId47" Type="http://schemas.openxmlformats.org/officeDocument/2006/relationships/hyperlink" Target="https://www.soccerstats.com/latest.asp?league=usa" TargetMode="External"/><Relationship Id="rId7" Type="http://schemas.openxmlformats.org/officeDocument/2006/relationships/hyperlink" Target="https://www.soccerstats.com/latest.asp?league=australia3" TargetMode="External"/><Relationship Id="rId2" Type="http://schemas.openxmlformats.org/officeDocument/2006/relationships/hyperlink" Target="https://www.soccerstats.com/latest.asp?league=argentina3" TargetMode="External"/><Relationship Id="rId16" Type="http://schemas.openxmlformats.org/officeDocument/2006/relationships/hyperlink" Target="https://www.soccerstats.com/latest.asp?league=brazil2" TargetMode="External"/><Relationship Id="rId29" Type="http://schemas.openxmlformats.org/officeDocument/2006/relationships/hyperlink" Target="https://www.soccerstats.com/latest.asp?league=ecuador" TargetMode="External"/><Relationship Id="rId1" Type="http://schemas.openxmlformats.org/officeDocument/2006/relationships/hyperlink" Target="https://www.soccerstats.com/latest.asp?league=argentina3" TargetMode="External"/><Relationship Id="rId6" Type="http://schemas.openxmlformats.org/officeDocument/2006/relationships/hyperlink" Target="https://www.soccerstats.com/latest.asp?league=australia3" TargetMode="External"/><Relationship Id="rId11" Type="http://schemas.openxmlformats.org/officeDocument/2006/relationships/hyperlink" Target="https://www.soccerstats.com/latest.asp?league=australia6" TargetMode="External"/><Relationship Id="rId24" Type="http://schemas.openxmlformats.org/officeDocument/2006/relationships/hyperlink" Target="https://www.soccerstats.com/latest.asp?league=china" TargetMode="External"/><Relationship Id="rId32" Type="http://schemas.openxmlformats.org/officeDocument/2006/relationships/hyperlink" Target="https://www.soccerstats.com/latest.asp?league=finland2" TargetMode="External"/><Relationship Id="rId37" Type="http://schemas.openxmlformats.org/officeDocument/2006/relationships/hyperlink" Target="https://www.soccerstats.com/latest.asp?league=iceland3" TargetMode="External"/><Relationship Id="rId40" Type="http://schemas.openxmlformats.org/officeDocument/2006/relationships/hyperlink" Target="https://www.soccerstats.com/latest.asp?league=southkorea4" TargetMode="External"/><Relationship Id="rId45" Type="http://schemas.openxmlformats.org/officeDocument/2006/relationships/hyperlink" Target="https://www.soccerstats.com/latest.asp?league=usa" TargetMode="External"/><Relationship Id="rId5" Type="http://schemas.openxmlformats.org/officeDocument/2006/relationships/hyperlink" Target="https://www.soccerstats.com/latest.asp?league=argentina3" TargetMode="External"/><Relationship Id="rId15" Type="http://schemas.openxmlformats.org/officeDocument/2006/relationships/hyperlink" Target="https://www.soccerstats.com/latest.asp?league=brazil" TargetMode="External"/><Relationship Id="rId23" Type="http://schemas.openxmlformats.org/officeDocument/2006/relationships/hyperlink" Target="https://www.soccerstats.com/latest.asp?league=china" TargetMode="External"/><Relationship Id="rId28" Type="http://schemas.openxmlformats.org/officeDocument/2006/relationships/hyperlink" Target="https://www.soccerstats.com/latest.asp?league=china2" TargetMode="External"/><Relationship Id="rId36" Type="http://schemas.openxmlformats.org/officeDocument/2006/relationships/hyperlink" Target="https://www.soccerstats.com/latest.asp?league=iceland3" TargetMode="External"/><Relationship Id="rId10" Type="http://schemas.openxmlformats.org/officeDocument/2006/relationships/hyperlink" Target="https://www.soccerstats.com/latest.asp?league=australia6" TargetMode="External"/><Relationship Id="rId19" Type="http://schemas.openxmlformats.org/officeDocument/2006/relationships/hyperlink" Target="https://www.soccerstats.com/latest.asp?league=canada" TargetMode="External"/><Relationship Id="rId31" Type="http://schemas.openxmlformats.org/officeDocument/2006/relationships/hyperlink" Target="https://www.soccerstats.com/latest.asp?league=finland2" TargetMode="External"/><Relationship Id="rId44" Type="http://schemas.openxmlformats.org/officeDocument/2006/relationships/hyperlink" Target="https://www.soccerstats.com/latest.asp?league=uruguay2" TargetMode="External"/><Relationship Id="rId4" Type="http://schemas.openxmlformats.org/officeDocument/2006/relationships/hyperlink" Target="https://www.soccerstats.com/latest.asp?league=argentina3" TargetMode="External"/><Relationship Id="rId9" Type="http://schemas.openxmlformats.org/officeDocument/2006/relationships/hyperlink" Target="https://www.soccerstats.com/latest.asp?league=australia5" TargetMode="External"/><Relationship Id="rId14" Type="http://schemas.openxmlformats.org/officeDocument/2006/relationships/hyperlink" Target="https://www.soccerstats.com/latest.asp?league=brazil" TargetMode="External"/><Relationship Id="rId22" Type="http://schemas.openxmlformats.org/officeDocument/2006/relationships/hyperlink" Target="https://www.soccerstats.com/latest.asp?league=china" TargetMode="External"/><Relationship Id="rId27" Type="http://schemas.openxmlformats.org/officeDocument/2006/relationships/hyperlink" Target="https://www.soccerstats.com/latest.asp?league=china2" TargetMode="External"/><Relationship Id="rId30" Type="http://schemas.openxmlformats.org/officeDocument/2006/relationships/hyperlink" Target="https://www.soccerstats.com/latest.asp?league=estonia" TargetMode="External"/><Relationship Id="rId35" Type="http://schemas.openxmlformats.org/officeDocument/2006/relationships/hyperlink" Target="https://www.soccerstats.com/latest.asp?league=iceland2" TargetMode="External"/><Relationship Id="rId43" Type="http://schemas.openxmlformats.org/officeDocument/2006/relationships/hyperlink" Target="https://www.soccerstats.com/latest.asp?league=uruguay2" TargetMode="External"/><Relationship Id="rId48" Type="http://schemas.openxmlformats.org/officeDocument/2006/relationships/printerSettings" Target="../printerSettings/printerSettings3.bin"/><Relationship Id="rId8" Type="http://schemas.openxmlformats.org/officeDocument/2006/relationships/hyperlink" Target="https://www.soccerstats.com/latest.asp?league=australia5" TargetMode="External"/><Relationship Id="rId3" Type="http://schemas.openxmlformats.org/officeDocument/2006/relationships/hyperlink" Target="https://www.soccerstats.com/latest.asp?league=argentina3" TargetMode="External"/><Relationship Id="rId12" Type="http://schemas.openxmlformats.org/officeDocument/2006/relationships/hyperlink" Target="https://www.soccerstats.com/latest.asp?league=australia11" TargetMode="External"/><Relationship Id="rId17" Type="http://schemas.openxmlformats.org/officeDocument/2006/relationships/hyperlink" Target="https://www.soccerstats.com/latest.asp?league=brazil2" TargetMode="External"/><Relationship Id="rId25" Type="http://schemas.openxmlformats.org/officeDocument/2006/relationships/hyperlink" Target="https://www.soccerstats.com/latest.asp?league=china2" TargetMode="External"/><Relationship Id="rId33" Type="http://schemas.openxmlformats.org/officeDocument/2006/relationships/hyperlink" Target="https://www.soccerstats.com/latest.asp?league=finland5" TargetMode="External"/><Relationship Id="rId38" Type="http://schemas.openxmlformats.org/officeDocument/2006/relationships/hyperlink" Target="https://www.soccerstats.com/latest.asp?league=iceland3" TargetMode="External"/><Relationship Id="rId46" Type="http://schemas.openxmlformats.org/officeDocument/2006/relationships/hyperlink" Target="https://www.soccerstats.com/latest.asp?league=usa" TargetMode="External"/><Relationship Id="rId20" Type="http://schemas.openxmlformats.org/officeDocument/2006/relationships/hyperlink" Target="https://www.soccerstats.com/latest.asp?league=canada" TargetMode="External"/><Relationship Id="rId41" Type="http://schemas.openxmlformats.org/officeDocument/2006/relationships/hyperlink" Target="https://www.soccerstats.com/latest.asp?league=sweden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41"/>
  <sheetViews>
    <sheetView showGridLines="0" tabSelected="1" topLeftCell="A119" workbookViewId="0">
      <selection sqref="A1:W141"/>
    </sheetView>
  </sheetViews>
  <sheetFormatPr defaultRowHeight="13.2" x14ac:dyDescent="0.25"/>
  <cols>
    <col min="24" max="24" width="10.5546875" bestFit="1" customWidth="1"/>
  </cols>
  <sheetData>
    <row r="1" spans="1:24" ht="13.8" thickBo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3"/>
      <c r="L1" s="3"/>
      <c r="M1" s="3"/>
      <c r="N1" s="2" t="s">
        <v>9</v>
      </c>
      <c r="O1" s="2" t="s">
        <v>8</v>
      </c>
      <c r="P1" s="1" t="s">
        <v>7</v>
      </c>
      <c r="Q1" s="1" t="s">
        <v>6</v>
      </c>
      <c r="R1" s="1" t="s">
        <v>5</v>
      </c>
      <c r="S1" s="1" t="s">
        <v>4</v>
      </c>
      <c r="T1" s="1" t="s">
        <v>3</v>
      </c>
      <c r="U1" s="1" t="s">
        <v>2</v>
      </c>
      <c r="V1" s="1" t="s">
        <v>1</v>
      </c>
      <c r="W1" s="3"/>
      <c r="X1" s="16" t="s">
        <v>69</v>
      </c>
    </row>
    <row r="2" spans="1:24" ht="13.8" thickBot="1" x14ac:dyDescent="0.3">
      <c r="A2" s="4" t="s">
        <v>242</v>
      </c>
      <c r="B2" s="63"/>
      <c r="C2" s="63"/>
      <c r="D2" s="63"/>
      <c r="E2" s="63"/>
      <c r="F2" s="63"/>
      <c r="G2" s="63"/>
      <c r="H2" s="63"/>
      <c r="I2" s="64"/>
      <c r="J2" s="14" t="s">
        <v>10</v>
      </c>
      <c r="K2" s="5" t="s">
        <v>358</v>
      </c>
      <c r="L2" s="6">
        <v>0.66666666666666663</v>
      </c>
      <c r="M2" s="7" t="s">
        <v>359</v>
      </c>
      <c r="N2" s="14" t="s">
        <v>11</v>
      </c>
      <c r="O2" s="64"/>
      <c r="P2" s="63"/>
      <c r="Q2" s="63"/>
      <c r="R2" s="63"/>
      <c r="S2" s="63"/>
      <c r="T2" s="63"/>
      <c r="U2" s="63"/>
      <c r="V2" s="63"/>
      <c r="W2" s="17"/>
      <c r="X2" s="65">
        <v>46249</v>
      </c>
    </row>
    <row r="3" spans="1:24" ht="13.8" thickBot="1" x14ac:dyDescent="0.3">
      <c r="A3" s="4" t="s">
        <v>243</v>
      </c>
      <c r="B3" s="63"/>
      <c r="C3" s="63"/>
      <c r="D3" s="63"/>
      <c r="E3" s="63"/>
      <c r="F3" s="63"/>
      <c r="G3" s="63"/>
      <c r="H3" s="63"/>
      <c r="I3" s="64"/>
      <c r="J3" s="14" t="s">
        <v>10</v>
      </c>
      <c r="K3" s="5" t="s">
        <v>360</v>
      </c>
      <c r="L3" s="6">
        <v>0.71875</v>
      </c>
      <c r="M3" s="7" t="s">
        <v>361</v>
      </c>
      <c r="N3" s="14" t="s">
        <v>11</v>
      </c>
      <c r="O3" s="64"/>
      <c r="P3" s="63"/>
      <c r="Q3" s="63"/>
      <c r="R3" s="63"/>
      <c r="S3" s="63"/>
      <c r="T3" s="63"/>
      <c r="U3" s="63"/>
      <c r="V3" s="63"/>
      <c r="W3" s="17"/>
      <c r="X3" s="65">
        <v>46249</v>
      </c>
    </row>
    <row r="4" spans="1:24" ht="19.8" thickBot="1" x14ac:dyDescent="0.3">
      <c r="A4" s="4" t="s">
        <v>244</v>
      </c>
      <c r="B4" s="63"/>
      <c r="C4" s="63"/>
      <c r="D4" s="63"/>
      <c r="E4" s="63"/>
      <c r="F4" s="63"/>
      <c r="G4" s="63"/>
      <c r="H4" s="63"/>
      <c r="I4" s="64"/>
      <c r="J4" s="14" t="s">
        <v>10</v>
      </c>
      <c r="K4" s="5" t="s">
        <v>362</v>
      </c>
      <c r="L4" s="6">
        <v>0.70833333333333337</v>
      </c>
      <c r="M4" s="7" t="s">
        <v>363</v>
      </c>
      <c r="N4" s="14" t="s">
        <v>11</v>
      </c>
      <c r="O4" s="64"/>
      <c r="P4" s="63"/>
      <c r="Q4" s="63"/>
      <c r="R4" s="63"/>
      <c r="S4" s="63"/>
      <c r="T4" s="63"/>
      <c r="U4" s="63"/>
      <c r="V4" s="63"/>
      <c r="W4" s="17"/>
      <c r="X4" s="65">
        <v>46249</v>
      </c>
    </row>
    <row r="5" spans="1:24" ht="19.8" thickBot="1" x14ac:dyDescent="0.3">
      <c r="A5" s="4" t="s">
        <v>245</v>
      </c>
      <c r="B5" s="63"/>
      <c r="C5" s="63"/>
      <c r="D5" s="63"/>
      <c r="E5" s="63"/>
      <c r="F5" s="63"/>
      <c r="G5" s="63"/>
      <c r="H5" s="63"/>
      <c r="I5" s="64"/>
      <c r="J5" s="14" t="s">
        <v>10</v>
      </c>
      <c r="K5" s="5" t="s">
        <v>364</v>
      </c>
      <c r="L5" s="6">
        <v>0.6875</v>
      </c>
      <c r="M5" s="7" t="s">
        <v>365</v>
      </c>
      <c r="N5" s="14" t="s">
        <v>11</v>
      </c>
      <c r="O5" s="64"/>
      <c r="P5" s="63"/>
      <c r="Q5" s="63"/>
      <c r="R5" s="63"/>
      <c r="S5" s="63"/>
      <c r="T5" s="63"/>
      <c r="U5" s="63"/>
      <c r="V5" s="63"/>
      <c r="W5" s="17"/>
      <c r="X5" s="65">
        <v>46249</v>
      </c>
    </row>
    <row r="6" spans="1:24" ht="19.8" thickBot="1" x14ac:dyDescent="0.3">
      <c r="A6" s="4" t="s">
        <v>366</v>
      </c>
      <c r="B6" s="63"/>
      <c r="C6" s="63"/>
      <c r="D6" s="63"/>
      <c r="E6" s="63"/>
      <c r="F6" s="63"/>
      <c r="G6" s="63"/>
      <c r="H6" s="63"/>
      <c r="I6" s="64"/>
      <c r="J6" s="14" t="s">
        <v>10</v>
      </c>
      <c r="K6" s="5" t="s">
        <v>367</v>
      </c>
      <c r="L6" s="6">
        <v>0.69791666666666663</v>
      </c>
      <c r="M6" s="7" t="s">
        <v>368</v>
      </c>
      <c r="N6" s="14" t="s">
        <v>11</v>
      </c>
      <c r="O6" s="64"/>
      <c r="P6" s="63"/>
      <c r="Q6" s="63"/>
      <c r="R6" s="63"/>
      <c r="S6" s="63"/>
      <c r="T6" s="63"/>
      <c r="U6" s="63"/>
      <c r="V6" s="63"/>
      <c r="W6" s="17"/>
      <c r="X6" s="65">
        <v>46249</v>
      </c>
    </row>
    <row r="7" spans="1:24" ht="13.8" thickBot="1" x14ac:dyDescent="0.3">
      <c r="A7" s="4" t="s">
        <v>366</v>
      </c>
      <c r="B7" s="63"/>
      <c r="C7" s="63"/>
      <c r="D7" s="63"/>
      <c r="E7" s="63"/>
      <c r="F7" s="63"/>
      <c r="G7" s="63"/>
      <c r="H7" s="63"/>
      <c r="I7" s="64"/>
      <c r="J7" s="14" t="s">
        <v>10</v>
      </c>
      <c r="K7" s="5" t="s">
        <v>369</v>
      </c>
      <c r="L7" s="6">
        <v>0.69791666666666663</v>
      </c>
      <c r="M7" s="7" t="s">
        <v>370</v>
      </c>
      <c r="N7" s="14" t="s">
        <v>11</v>
      </c>
      <c r="O7" s="64"/>
      <c r="P7" s="63"/>
      <c r="Q7" s="63"/>
      <c r="R7" s="63"/>
      <c r="S7" s="63"/>
      <c r="T7" s="63"/>
      <c r="U7" s="63"/>
      <c r="V7" s="63"/>
      <c r="W7" s="17"/>
      <c r="X7" s="65">
        <v>46249</v>
      </c>
    </row>
    <row r="8" spans="1:24" ht="13.8" thickBot="1" x14ac:dyDescent="0.3">
      <c r="A8" s="4" t="s">
        <v>366</v>
      </c>
      <c r="B8" s="63"/>
      <c r="C8" s="63"/>
      <c r="D8" s="63"/>
      <c r="E8" s="63"/>
      <c r="F8" s="63"/>
      <c r="G8" s="63"/>
      <c r="H8" s="63"/>
      <c r="I8" s="64"/>
      <c r="J8" s="14" t="s">
        <v>10</v>
      </c>
      <c r="K8" s="5" t="s">
        <v>371</v>
      </c>
      <c r="L8" s="6">
        <v>0.69791666666666663</v>
      </c>
      <c r="M8" s="7" t="s">
        <v>372</v>
      </c>
      <c r="N8" s="14" t="s">
        <v>11</v>
      </c>
      <c r="O8" s="64"/>
      <c r="P8" s="63"/>
      <c r="Q8" s="63"/>
      <c r="R8" s="63"/>
      <c r="S8" s="63"/>
      <c r="T8" s="63"/>
      <c r="U8" s="63"/>
      <c r="V8" s="63"/>
      <c r="W8" s="17"/>
      <c r="X8" s="65">
        <v>46249</v>
      </c>
    </row>
    <row r="9" spans="1:24" ht="13.8" thickBot="1" x14ac:dyDescent="0.3">
      <c r="A9" s="4" t="s">
        <v>366</v>
      </c>
      <c r="B9" s="63"/>
      <c r="C9" s="63"/>
      <c r="D9" s="63"/>
      <c r="E9" s="63"/>
      <c r="F9" s="63"/>
      <c r="G9" s="63"/>
      <c r="H9" s="63"/>
      <c r="I9" s="64"/>
      <c r="J9" s="14" t="s">
        <v>10</v>
      </c>
      <c r="K9" s="5" t="s">
        <v>373</v>
      </c>
      <c r="L9" s="6">
        <v>0.69791666666666663</v>
      </c>
      <c r="M9" s="7" t="s">
        <v>374</v>
      </c>
      <c r="N9" s="14" t="s">
        <v>11</v>
      </c>
      <c r="O9" s="64"/>
      <c r="P9" s="63"/>
      <c r="Q9" s="63"/>
      <c r="R9" s="63"/>
      <c r="S9" s="63"/>
      <c r="T9" s="63"/>
      <c r="U9" s="63"/>
      <c r="V9" s="63"/>
      <c r="W9" s="17"/>
      <c r="X9" s="65">
        <v>46249</v>
      </c>
    </row>
    <row r="10" spans="1:24" ht="13.8" thickBot="1" x14ac:dyDescent="0.3">
      <c r="A10" s="4" t="s">
        <v>366</v>
      </c>
      <c r="B10" s="63"/>
      <c r="C10" s="63"/>
      <c r="D10" s="63"/>
      <c r="E10" s="63"/>
      <c r="F10" s="63"/>
      <c r="G10" s="63"/>
      <c r="H10" s="63"/>
      <c r="I10" s="64"/>
      <c r="J10" s="14" t="s">
        <v>10</v>
      </c>
      <c r="K10" s="5" t="s">
        <v>375</v>
      </c>
      <c r="L10" s="6">
        <v>0.69791666666666663</v>
      </c>
      <c r="M10" s="7" t="s">
        <v>376</v>
      </c>
      <c r="N10" s="14" t="s">
        <v>11</v>
      </c>
      <c r="O10" s="64"/>
      <c r="P10" s="63"/>
      <c r="Q10" s="63"/>
      <c r="R10" s="63"/>
      <c r="S10" s="63"/>
      <c r="T10" s="63"/>
      <c r="U10" s="63"/>
      <c r="V10" s="63"/>
      <c r="W10" s="17"/>
      <c r="X10" s="65">
        <v>46249</v>
      </c>
    </row>
    <row r="11" spans="1:24" ht="13.8" thickBot="1" x14ac:dyDescent="0.3">
      <c r="A11" s="4" t="s">
        <v>366</v>
      </c>
      <c r="B11" s="63"/>
      <c r="C11" s="63"/>
      <c r="D11" s="63"/>
      <c r="E11" s="63"/>
      <c r="F11" s="63"/>
      <c r="G11" s="63"/>
      <c r="H11" s="63"/>
      <c r="I11" s="64"/>
      <c r="J11" s="14" t="s">
        <v>10</v>
      </c>
      <c r="K11" s="5" t="s">
        <v>377</v>
      </c>
      <c r="L11" s="6">
        <v>0.69791666666666663</v>
      </c>
      <c r="M11" s="7" t="s">
        <v>378</v>
      </c>
      <c r="N11" s="14" t="s">
        <v>11</v>
      </c>
      <c r="O11" s="64"/>
      <c r="P11" s="63"/>
      <c r="Q11" s="63"/>
      <c r="R11" s="63"/>
      <c r="S11" s="63"/>
      <c r="T11" s="63"/>
      <c r="U11" s="63"/>
      <c r="V11" s="63"/>
      <c r="W11" s="17"/>
      <c r="X11" s="65">
        <v>46249</v>
      </c>
    </row>
    <row r="12" spans="1:24" ht="13.8" thickBot="1" x14ac:dyDescent="0.3">
      <c r="A12" s="4" t="s">
        <v>366</v>
      </c>
      <c r="B12" s="63"/>
      <c r="C12" s="63"/>
      <c r="D12" s="63"/>
      <c r="E12" s="63"/>
      <c r="F12" s="63"/>
      <c r="G12" s="63"/>
      <c r="H12" s="63"/>
      <c r="I12" s="64"/>
      <c r="J12" s="14" t="s">
        <v>10</v>
      </c>
      <c r="K12" s="5" t="s">
        <v>379</v>
      </c>
      <c r="L12" s="6">
        <v>0.69791666666666663</v>
      </c>
      <c r="M12" s="7" t="s">
        <v>380</v>
      </c>
      <c r="N12" s="14" t="s">
        <v>11</v>
      </c>
      <c r="O12" s="64"/>
      <c r="P12" s="63"/>
      <c r="Q12" s="63"/>
      <c r="R12" s="63"/>
      <c r="S12" s="63"/>
      <c r="T12" s="63"/>
      <c r="U12" s="63"/>
      <c r="V12" s="63"/>
      <c r="W12" s="17"/>
      <c r="X12" s="65">
        <v>46249</v>
      </c>
    </row>
    <row r="13" spans="1:24" ht="19.8" thickBot="1" x14ac:dyDescent="0.3">
      <c r="A13" s="4" t="s">
        <v>366</v>
      </c>
      <c r="B13" s="63"/>
      <c r="C13" s="63"/>
      <c r="D13" s="63"/>
      <c r="E13" s="63"/>
      <c r="F13" s="63"/>
      <c r="G13" s="63"/>
      <c r="H13" s="63"/>
      <c r="I13" s="64"/>
      <c r="J13" s="14" t="s">
        <v>10</v>
      </c>
      <c r="K13" s="5" t="s">
        <v>381</v>
      </c>
      <c r="L13" s="6">
        <v>0.69791666666666663</v>
      </c>
      <c r="M13" s="7" t="s">
        <v>382</v>
      </c>
      <c r="N13" s="14" t="s">
        <v>11</v>
      </c>
      <c r="O13" s="64"/>
      <c r="P13" s="63"/>
      <c r="Q13" s="63"/>
      <c r="R13" s="63"/>
      <c r="S13" s="63"/>
      <c r="T13" s="63"/>
      <c r="U13" s="63"/>
      <c r="V13" s="63"/>
      <c r="W13" s="17"/>
      <c r="X13" s="65">
        <v>46249</v>
      </c>
    </row>
    <row r="14" spans="1:24" ht="13.8" thickBot="1" x14ac:dyDescent="0.3">
      <c r="A14" s="51" t="s">
        <v>366</v>
      </c>
      <c r="B14" s="66"/>
      <c r="C14" s="66"/>
      <c r="D14" s="66"/>
      <c r="E14" s="66"/>
      <c r="F14" s="66"/>
      <c r="G14" s="66"/>
      <c r="H14" s="66"/>
      <c r="I14" s="3"/>
      <c r="J14" s="58" t="s">
        <v>10</v>
      </c>
      <c r="K14" s="59" t="s">
        <v>383</v>
      </c>
      <c r="L14" s="60">
        <v>0.69791666666666663</v>
      </c>
      <c r="M14" s="61" t="s">
        <v>384</v>
      </c>
      <c r="N14" s="58" t="s">
        <v>11</v>
      </c>
      <c r="O14" s="3"/>
      <c r="P14" s="66"/>
      <c r="Q14" s="66"/>
      <c r="R14" s="66"/>
      <c r="S14" s="66"/>
      <c r="T14" s="66"/>
      <c r="U14" s="66"/>
      <c r="V14" s="66"/>
      <c r="W14" s="62"/>
      <c r="X14" s="65">
        <v>46249</v>
      </c>
    </row>
    <row r="15" spans="1:24" ht="19.8" thickBot="1" x14ac:dyDescent="0.3">
      <c r="A15" s="4" t="s">
        <v>215</v>
      </c>
      <c r="B15" s="63"/>
      <c r="C15" s="63"/>
      <c r="D15" s="63"/>
      <c r="E15" s="63"/>
      <c r="F15" s="63"/>
      <c r="G15" s="63"/>
      <c r="H15" s="63"/>
      <c r="I15" s="64"/>
      <c r="J15" s="14" t="s">
        <v>10</v>
      </c>
      <c r="K15" s="5" t="s">
        <v>385</v>
      </c>
      <c r="L15" s="6">
        <v>0.60416666666666663</v>
      </c>
      <c r="M15" s="7" t="s">
        <v>386</v>
      </c>
      <c r="N15" s="14" t="s">
        <v>11</v>
      </c>
      <c r="O15" s="64"/>
      <c r="P15" s="63"/>
      <c r="Q15" s="63"/>
      <c r="R15" s="63"/>
      <c r="S15" s="63"/>
      <c r="T15" s="63"/>
      <c r="U15" s="63"/>
      <c r="V15" s="63"/>
      <c r="W15" s="17"/>
      <c r="X15" s="65">
        <v>46249</v>
      </c>
    </row>
    <row r="16" spans="1:24" ht="13.8" thickBot="1" x14ac:dyDescent="0.3">
      <c r="A16" s="4" t="s">
        <v>215</v>
      </c>
      <c r="B16" s="63"/>
      <c r="C16" s="63"/>
      <c r="D16" s="63"/>
      <c r="E16" s="63"/>
      <c r="F16" s="63"/>
      <c r="G16" s="63"/>
      <c r="H16" s="63"/>
      <c r="I16" s="64"/>
      <c r="J16" s="14" t="s">
        <v>10</v>
      </c>
      <c r="K16" s="5" t="s">
        <v>387</v>
      </c>
      <c r="L16" s="6">
        <v>0.60416666666666663</v>
      </c>
      <c r="M16" s="7" t="s">
        <v>388</v>
      </c>
      <c r="N16" s="14" t="s">
        <v>11</v>
      </c>
      <c r="O16" s="64"/>
      <c r="P16" s="63"/>
      <c r="Q16" s="63"/>
      <c r="R16" s="63"/>
      <c r="S16" s="63"/>
      <c r="T16" s="63"/>
      <c r="U16" s="63"/>
      <c r="V16" s="63"/>
      <c r="W16" s="17"/>
      <c r="X16" s="65">
        <v>46249</v>
      </c>
    </row>
    <row r="17" spans="1:24" ht="13.8" thickBot="1" x14ac:dyDescent="0.3">
      <c r="A17" s="4" t="s">
        <v>242</v>
      </c>
      <c r="B17" s="63"/>
      <c r="C17" s="63"/>
      <c r="D17" s="63"/>
      <c r="E17" s="63"/>
      <c r="F17" s="63"/>
      <c r="G17" s="63"/>
      <c r="H17" s="63"/>
      <c r="I17" s="64"/>
      <c r="J17" s="14" t="s">
        <v>10</v>
      </c>
      <c r="K17" s="5" t="s">
        <v>389</v>
      </c>
      <c r="L17" s="6">
        <v>0.66666666666666663</v>
      </c>
      <c r="M17" s="7" t="s">
        <v>390</v>
      </c>
      <c r="N17" s="14" t="s">
        <v>11</v>
      </c>
      <c r="O17" s="64"/>
      <c r="P17" s="63"/>
      <c r="Q17" s="63"/>
      <c r="R17" s="63"/>
      <c r="S17" s="63"/>
      <c r="T17" s="63"/>
      <c r="U17" s="63"/>
      <c r="V17" s="63"/>
      <c r="W17" s="17"/>
      <c r="X17" s="65">
        <v>46249</v>
      </c>
    </row>
    <row r="18" spans="1:24" ht="19.8" thickBot="1" x14ac:dyDescent="0.3">
      <c r="A18" s="4" t="s">
        <v>242</v>
      </c>
      <c r="B18" s="63"/>
      <c r="C18" s="63"/>
      <c r="D18" s="63"/>
      <c r="E18" s="63"/>
      <c r="F18" s="63"/>
      <c r="G18" s="63"/>
      <c r="H18" s="63"/>
      <c r="I18" s="64"/>
      <c r="J18" s="14" t="s">
        <v>10</v>
      </c>
      <c r="K18" s="5" t="s">
        <v>391</v>
      </c>
      <c r="L18" s="6">
        <v>0.66666666666666663</v>
      </c>
      <c r="M18" s="7" t="s">
        <v>392</v>
      </c>
      <c r="N18" s="14" t="s">
        <v>11</v>
      </c>
      <c r="O18" s="64"/>
      <c r="P18" s="63"/>
      <c r="Q18" s="63"/>
      <c r="R18" s="63"/>
      <c r="S18" s="63"/>
      <c r="T18" s="63"/>
      <c r="U18" s="63"/>
      <c r="V18" s="63"/>
      <c r="W18" s="17"/>
      <c r="X18" s="65">
        <v>46249</v>
      </c>
    </row>
    <row r="19" spans="1:24" ht="19.8" thickBot="1" x14ac:dyDescent="0.3">
      <c r="A19" s="4" t="s">
        <v>242</v>
      </c>
      <c r="B19" s="63"/>
      <c r="C19" s="63"/>
      <c r="D19" s="63"/>
      <c r="E19" s="63"/>
      <c r="F19" s="63"/>
      <c r="G19" s="63"/>
      <c r="H19" s="63"/>
      <c r="I19" s="64"/>
      <c r="J19" s="14" t="s">
        <v>10</v>
      </c>
      <c r="K19" s="5" t="s">
        <v>393</v>
      </c>
      <c r="L19" s="6">
        <v>0.66666666666666663</v>
      </c>
      <c r="M19" s="7" t="s">
        <v>394</v>
      </c>
      <c r="N19" s="14" t="s">
        <v>11</v>
      </c>
      <c r="O19" s="64"/>
      <c r="P19" s="63"/>
      <c r="Q19" s="63"/>
      <c r="R19" s="63"/>
      <c r="S19" s="63"/>
      <c r="T19" s="63"/>
      <c r="U19" s="63"/>
      <c r="V19" s="63"/>
      <c r="W19" s="17"/>
      <c r="X19" s="65">
        <v>46249</v>
      </c>
    </row>
    <row r="20" spans="1:24" ht="13.8" thickBot="1" x14ac:dyDescent="0.3">
      <c r="A20" s="4" t="s">
        <v>242</v>
      </c>
      <c r="B20" s="63"/>
      <c r="C20" s="63"/>
      <c r="D20" s="63"/>
      <c r="E20" s="63"/>
      <c r="F20" s="63"/>
      <c r="G20" s="63"/>
      <c r="H20" s="63"/>
      <c r="I20" s="64"/>
      <c r="J20" s="14" t="s">
        <v>10</v>
      </c>
      <c r="K20" s="5" t="s">
        <v>395</v>
      </c>
      <c r="L20" s="6">
        <v>0.66666666666666663</v>
      </c>
      <c r="M20" s="7" t="s">
        <v>396</v>
      </c>
      <c r="N20" s="14" t="s">
        <v>11</v>
      </c>
      <c r="O20" s="64"/>
      <c r="P20" s="63"/>
      <c r="Q20" s="63"/>
      <c r="R20" s="63"/>
      <c r="S20" s="63"/>
      <c r="T20" s="63"/>
      <c r="U20" s="63"/>
      <c r="V20" s="63"/>
      <c r="W20" s="17"/>
      <c r="X20" s="65">
        <v>46249</v>
      </c>
    </row>
    <row r="21" spans="1:24" ht="13.8" thickBot="1" x14ac:dyDescent="0.3">
      <c r="A21" s="4" t="s">
        <v>242</v>
      </c>
      <c r="B21" s="63"/>
      <c r="C21" s="63"/>
      <c r="D21" s="63"/>
      <c r="E21" s="63"/>
      <c r="F21" s="63"/>
      <c r="G21" s="63"/>
      <c r="H21" s="63"/>
      <c r="I21" s="64"/>
      <c r="J21" s="14" t="s">
        <v>10</v>
      </c>
      <c r="K21" s="5" t="s">
        <v>397</v>
      </c>
      <c r="L21" s="6">
        <v>0.66666666666666663</v>
      </c>
      <c r="M21" s="7" t="s">
        <v>398</v>
      </c>
      <c r="N21" s="14" t="s">
        <v>11</v>
      </c>
      <c r="O21" s="64"/>
      <c r="P21" s="63"/>
      <c r="Q21" s="63"/>
      <c r="R21" s="63"/>
      <c r="S21" s="63"/>
      <c r="T21" s="63"/>
      <c r="U21" s="63"/>
      <c r="V21" s="63"/>
      <c r="W21" s="17"/>
      <c r="X21" s="65">
        <v>46249</v>
      </c>
    </row>
    <row r="22" spans="1:24" ht="19.8" thickBot="1" x14ac:dyDescent="0.3">
      <c r="A22" s="4" t="s">
        <v>242</v>
      </c>
      <c r="B22" s="63"/>
      <c r="C22" s="63"/>
      <c r="D22" s="63"/>
      <c r="E22" s="63"/>
      <c r="F22" s="63"/>
      <c r="G22" s="63"/>
      <c r="H22" s="63"/>
      <c r="I22" s="64"/>
      <c r="J22" s="14" t="s">
        <v>10</v>
      </c>
      <c r="K22" s="5" t="s">
        <v>399</v>
      </c>
      <c r="L22" s="6">
        <v>0.66666666666666663</v>
      </c>
      <c r="M22" s="7" t="s">
        <v>400</v>
      </c>
      <c r="N22" s="14" t="s">
        <v>11</v>
      </c>
      <c r="O22" s="64"/>
      <c r="P22" s="63"/>
      <c r="Q22" s="63"/>
      <c r="R22" s="63"/>
      <c r="S22" s="63"/>
      <c r="T22" s="63"/>
      <c r="U22" s="63"/>
      <c r="V22" s="63"/>
      <c r="W22" s="17"/>
      <c r="X22" s="65">
        <v>46249</v>
      </c>
    </row>
    <row r="23" spans="1:24" ht="13.8" thickBot="1" x14ac:dyDescent="0.3">
      <c r="A23" s="4" t="s">
        <v>117</v>
      </c>
      <c r="B23" s="8">
        <v>0.5</v>
      </c>
      <c r="C23" s="15">
        <v>1</v>
      </c>
      <c r="D23" s="8">
        <v>1</v>
      </c>
      <c r="E23" s="10" t="s">
        <v>216</v>
      </c>
      <c r="F23" s="11" t="s">
        <v>220</v>
      </c>
      <c r="G23" s="12" t="s">
        <v>246</v>
      </c>
      <c r="H23" s="13" t="s">
        <v>220</v>
      </c>
      <c r="I23" s="14">
        <v>2</v>
      </c>
      <c r="J23" s="14" t="s">
        <v>10</v>
      </c>
      <c r="K23" s="5" t="s">
        <v>401</v>
      </c>
      <c r="L23" s="6">
        <v>0.89583333333333337</v>
      </c>
      <c r="M23" s="7" t="s">
        <v>402</v>
      </c>
      <c r="N23" s="14" t="s">
        <v>11</v>
      </c>
      <c r="O23" s="14">
        <v>2</v>
      </c>
      <c r="P23" s="13" t="s">
        <v>247</v>
      </c>
      <c r="Q23" s="12" t="s">
        <v>247</v>
      </c>
      <c r="R23" s="11" t="s">
        <v>219</v>
      </c>
      <c r="S23" s="10" t="s">
        <v>247</v>
      </c>
      <c r="T23" s="8">
        <v>0</v>
      </c>
      <c r="U23" s="9">
        <v>0</v>
      </c>
      <c r="V23" s="8">
        <v>0</v>
      </c>
      <c r="W23" s="17"/>
      <c r="X23" s="65">
        <v>46249</v>
      </c>
    </row>
    <row r="24" spans="1:24" ht="13.8" thickBot="1" x14ac:dyDescent="0.3">
      <c r="A24" s="4" t="s">
        <v>117</v>
      </c>
      <c r="B24" s="8">
        <v>0</v>
      </c>
      <c r="C24" s="9">
        <v>0.3</v>
      </c>
      <c r="D24" s="8">
        <v>0.6</v>
      </c>
      <c r="E24" s="10" t="s">
        <v>248</v>
      </c>
      <c r="F24" s="11" t="s">
        <v>248</v>
      </c>
      <c r="G24" s="12" t="s">
        <v>234</v>
      </c>
      <c r="H24" s="13" t="s">
        <v>227</v>
      </c>
      <c r="I24" s="14">
        <v>10</v>
      </c>
      <c r="J24" s="14" t="s">
        <v>10</v>
      </c>
      <c r="K24" s="5" t="s">
        <v>403</v>
      </c>
      <c r="L24" s="6">
        <v>0.66666666666666663</v>
      </c>
      <c r="M24" s="7" t="s">
        <v>404</v>
      </c>
      <c r="N24" s="14" t="s">
        <v>11</v>
      </c>
      <c r="O24" s="14">
        <v>10</v>
      </c>
      <c r="P24" s="13" t="s">
        <v>217</v>
      </c>
      <c r="Q24" s="12" t="s">
        <v>249</v>
      </c>
      <c r="R24" s="11" t="s">
        <v>248</v>
      </c>
      <c r="S24" s="10" t="s">
        <v>217</v>
      </c>
      <c r="T24" s="8">
        <v>0.5</v>
      </c>
      <c r="U24" s="9">
        <v>0.3</v>
      </c>
      <c r="V24" s="8">
        <v>0.2</v>
      </c>
      <c r="W24" s="17"/>
      <c r="X24" s="65">
        <v>46249</v>
      </c>
    </row>
    <row r="25" spans="1:24" ht="19.8" thickBot="1" x14ac:dyDescent="0.3">
      <c r="A25" s="4" t="s">
        <v>117</v>
      </c>
      <c r="B25" s="8">
        <v>0.17</v>
      </c>
      <c r="C25" s="9">
        <v>0.25</v>
      </c>
      <c r="D25" s="8">
        <v>0.25</v>
      </c>
      <c r="E25" s="10" t="s">
        <v>247</v>
      </c>
      <c r="F25" s="11" t="s">
        <v>250</v>
      </c>
      <c r="G25" s="12" t="s">
        <v>251</v>
      </c>
      <c r="H25" s="13" t="s">
        <v>252</v>
      </c>
      <c r="I25" s="14">
        <v>12</v>
      </c>
      <c r="J25" s="14" t="s">
        <v>10</v>
      </c>
      <c r="K25" s="5" t="s">
        <v>125</v>
      </c>
      <c r="L25" s="6">
        <v>0.89583333333333337</v>
      </c>
      <c r="M25" s="7" t="s">
        <v>405</v>
      </c>
      <c r="N25" s="14" t="s">
        <v>11</v>
      </c>
      <c r="O25" s="14">
        <v>12</v>
      </c>
      <c r="P25" s="13" t="s">
        <v>217</v>
      </c>
      <c r="Q25" s="12" t="s">
        <v>223</v>
      </c>
      <c r="R25" s="11" t="s">
        <v>222</v>
      </c>
      <c r="S25" s="10" t="s">
        <v>217</v>
      </c>
      <c r="T25" s="8">
        <v>0.57999999999999996</v>
      </c>
      <c r="U25" s="9">
        <v>0.33</v>
      </c>
      <c r="V25" s="8">
        <v>0</v>
      </c>
      <c r="W25" s="17"/>
      <c r="X25" s="65">
        <v>46249</v>
      </c>
    </row>
    <row r="26" spans="1:24" ht="13.8" thickBot="1" x14ac:dyDescent="0.3">
      <c r="A26" s="4" t="s">
        <v>253</v>
      </c>
      <c r="B26" s="8">
        <v>1</v>
      </c>
      <c r="C26" s="15">
        <v>1</v>
      </c>
      <c r="D26" s="8">
        <v>1</v>
      </c>
      <c r="E26" s="10" t="s">
        <v>221</v>
      </c>
      <c r="F26" s="11" t="s">
        <v>218</v>
      </c>
      <c r="G26" s="12" t="s">
        <v>254</v>
      </c>
      <c r="H26" s="13" t="s">
        <v>220</v>
      </c>
      <c r="I26" s="14">
        <v>2</v>
      </c>
      <c r="J26" s="14" t="s">
        <v>10</v>
      </c>
      <c r="K26" s="5" t="s">
        <v>406</v>
      </c>
      <c r="L26" s="6">
        <v>0.58333333333333337</v>
      </c>
      <c r="M26" s="7" t="s">
        <v>407</v>
      </c>
      <c r="N26" s="14" t="s">
        <v>11</v>
      </c>
      <c r="O26" s="14">
        <v>1</v>
      </c>
      <c r="P26" s="13" t="s">
        <v>217</v>
      </c>
      <c r="Q26" s="12" t="s">
        <v>219</v>
      </c>
      <c r="R26" s="11" t="s">
        <v>219</v>
      </c>
      <c r="S26" s="10" t="s">
        <v>219</v>
      </c>
      <c r="T26" s="8">
        <v>0</v>
      </c>
      <c r="U26" s="9">
        <v>0</v>
      </c>
      <c r="V26" s="8">
        <v>0</v>
      </c>
      <c r="W26" s="17"/>
      <c r="X26" s="65">
        <v>46249</v>
      </c>
    </row>
    <row r="27" spans="1:24" ht="19.8" thickBot="1" x14ac:dyDescent="0.3">
      <c r="A27" s="4" t="s">
        <v>126</v>
      </c>
      <c r="B27" s="8">
        <v>0.27</v>
      </c>
      <c r="C27" s="15">
        <v>0.55000000000000004</v>
      </c>
      <c r="D27" s="8">
        <v>0.82</v>
      </c>
      <c r="E27" s="10" t="s">
        <v>255</v>
      </c>
      <c r="F27" s="11" t="s">
        <v>256</v>
      </c>
      <c r="G27" s="12" t="s">
        <v>257</v>
      </c>
      <c r="H27" s="13" t="s">
        <v>256</v>
      </c>
      <c r="I27" s="14">
        <v>11</v>
      </c>
      <c r="J27" s="14" t="s">
        <v>10</v>
      </c>
      <c r="K27" s="5" t="s">
        <v>128</v>
      </c>
      <c r="L27" s="6">
        <v>0.32291666666666669</v>
      </c>
      <c r="M27" s="7" t="s">
        <v>408</v>
      </c>
      <c r="N27" s="14" t="s">
        <v>11</v>
      </c>
      <c r="O27" s="14">
        <v>11</v>
      </c>
      <c r="P27" s="13" t="s">
        <v>256</v>
      </c>
      <c r="Q27" s="12" t="s">
        <v>258</v>
      </c>
      <c r="R27" s="11" t="s">
        <v>259</v>
      </c>
      <c r="S27" s="10" t="s">
        <v>256</v>
      </c>
      <c r="T27" s="8">
        <v>0.91</v>
      </c>
      <c r="U27" s="15">
        <v>0.64</v>
      </c>
      <c r="V27" s="8">
        <v>0.55000000000000004</v>
      </c>
      <c r="W27" s="17"/>
      <c r="X27" s="65">
        <v>46249</v>
      </c>
    </row>
    <row r="28" spans="1:24" ht="13.8" thickBot="1" x14ac:dyDescent="0.3">
      <c r="A28" s="4" t="s">
        <v>126</v>
      </c>
      <c r="B28" s="8">
        <v>0.64</v>
      </c>
      <c r="C28" s="15">
        <v>0.82</v>
      </c>
      <c r="D28" s="8">
        <v>1</v>
      </c>
      <c r="E28" s="10" t="s">
        <v>260</v>
      </c>
      <c r="F28" s="11" t="s">
        <v>261</v>
      </c>
      <c r="G28" s="12" t="s">
        <v>409</v>
      </c>
      <c r="H28" s="13" t="s">
        <v>216</v>
      </c>
      <c r="I28" s="14">
        <v>11</v>
      </c>
      <c r="J28" s="14" t="s">
        <v>10</v>
      </c>
      <c r="K28" s="5" t="s">
        <v>410</v>
      </c>
      <c r="L28" s="6">
        <v>0.34375</v>
      </c>
      <c r="M28" s="7" t="s">
        <v>129</v>
      </c>
      <c r="N28" s="14" t="s">
        <v>11</v>
      </c>
      <c r="O28" s="14">
        <v>11</v>
      </c>
      <c r="P28" s="13" t="s">
        <v>262</v>
      </c>
      <c r="Q28" s="12" t="s">
        <v>263</v>
      </c>
      <c r="R28" s="11" t="s">
        <v>264</v>
      </c>
      <c r="S28" s="10" t="s">
        <v>216</v>
      </c>
      <c r="T28" s="8">
        <v>0.82</v>
      </c>
      <c r="U28" s="15">
        <v>0.64</v>
      </c>
      <c r="V28" s="8">
        <v>0.36</v>
      </c>
      <c r="W28" s="17"/>
      <c r="X28" s="65">
        <v>46249</v>
      </c>
    </row>
    <row r="29" spans="1:24" ht="13.8" thickBot="1" x14ac:dyDescent="0.3">
      <c r="A29" s="4" t="s">
        <v>126</v>
      </c>
      <c r="B29" s="8">
        <v>0.45</v>
      </c>
      <c r="C29" s="15">
        <v>0.64</v>
      </c>
      <c r="D29" s="8">
        <v>0.73</v>
      </c>
      <c r="E29" s="10" t="s">
        <v>259</v>
      </c>
      <c r="F29" s="11" t="s">
        <v>255</v>
      </c>
      <c r="G29" s="12" t="s">
        <v>263</v>
      </c>
      <c r="H29" s="13" t="s">
        <v>265</v>
      </c>
      <c r="I29" s="14">
        <v>11</v>
      </c>
      <c r="J29" s="14" t="s">
        <v>10</v>
      </c>
      <c r="K29" s="5" t="s">
        <v>411</v>
      </c>
      <c r="L29" s="6">
        <v>0.35416666666666669</v>
      </c>
      <c r="M29" s="7" t="s">
        <v>127</v>
      </c>
      <c r="N29" s="14" t="s">
        <v>11</v>
      </c>
      <c r="O29" s="14">
        <v>10</v>
      </c>
      <c r="P29" s="13" t="s">
        <v>266</v>
      </c>
      <c r="Q29" s="12" t="s">
        <v>267</v>
      </c>
      <c r="R29" s="11" t="s">
        <v>412</v>
      </c>
      <c r="S29" s="10" t="s">
        <v>249</v>
      </c>
      <c r="T29" s="8">
        <v>0.6</v>
      </c>
      <c r="U29" s="9">
        <v>0.5</v>
      </c>
      <c r="V29" s="8">
        <v>0.2</v>
      </c>
      <c r="W29" s="17"/>
      <c r="X29" s="65">
        <v>46249</v>
      </c>
    </row>
    <row r="30" spans="1:24" ht="19.8" thickBot="1" x14ac:dyDescent="0.3">
      <c r="A30" s="4" t="s">
        <v>126</v>
      </c>
      <c r="B30" s="8">
        <v>0.6</v>
      </c>
      <c r="C30" s="15">
        <v>0.8</v>
      </c>
      <c r="D30" s="8">
        <v>0.9</v>
      </c>
      <c r="E30" s="10" t="s">
        <v>233</v>
      </c>
      <c r="F30" s="11" t="s">
        <v>268</v>
      </c>
      <c r="G30" s="12" t="s">
        <v>269</v>
      </c>
      <c r="H30" s="13" t="s">
        <v>270</v>
      </c>
      <c r="I30" s="14">
        <v>10</v>
      </c>
      <c r="J30" s="14" t="s">
        <v>10</v>
      </c>
      <c r="K30" s="5" t="s">
        <v>413</v>
      </c>
      <c r="L30" s="6">
        <v>0.3125</v>
      </c>
      <c r="M30" s="7" t="s">
        <v>414</v>
      </c>
      <c r="N30" s="14" t="s">
        <v>11</v>
      </c>
      <c r="O30" s="14">
        <v>10</v>
      </c>
      <c r="P30" s="13" t="s">
        <v>271</v>
      </c>
      <c r="Q30" s="12" t="s">
        <v>272</v>
      </c>
      <c r="R30" s="11" t="s">
        <v>233</v>
      </c>
      <c r="S30" s="10" t="s">
        <v>273</v>
      </c>
      <c r="T30" s="8">
        <v>0.8</v>
      </c>
      <c r="U30" s="15">
        <v>0.7</v>
      </c>
      <c r="V30" s="8">
        <v>0.6</v>
      </c>
      <c r="W30" s="17"/>
      <c r="X30" s="65">
        <v>46249</v>
      </c>
    </row>
    <row r="31" spans="1:24" ht="19.8" thickBot="1" x14ac:dyDescent="0.3">
      <c r="A31" s="4" t="s">
        <v>126</v>
      </c>
      <c r="B31" s="8">
        <v>0.4</v>
      </c>
      <c r="C31" s="15">
        <v>0.6</v>
      </c>
      <c r="D31" s="8">
        <v>0.7</v>
      </c>
      <c r="E31" s="10" t="s">
        <v>273</v>
      </c>
      <c r="F31" s="11" t="s">
        <v>274</v>
      </c>
      <c r="G31" s="12" t="s">
        <v>275</v>
      </c>
      <c r="H31" s="13" t="s">
        <v>248</v>
      </c>
      <c r="I31" s="14">
        <v>10</v>
      </c>
      <c r="J31" s="14" t="s">
        <v>10</v>
      </c>
      <c r="K31" s="5" t="s">
        <v>415</v>
      </c>
      <c r="L31" s="6">
        <v>0.3125</v>
      </c>
      <c r="M31" s="7" t="s">
        <v>416</v>
      </c>
      <c r="N31" s="14" t="s">
        <v>11</v>
      </c>
      <c r="O31" s="14">
        <v>10</v>
      </c>
      <c r="P31" s="13" t="s">
        <v>220</v>
      </c>
      <c r="Q31" s="12" t="s">
        <v>276</v>
      </c>
      <c r="R31" s="11" t="s">
        <v>220</v>
      </c>
      <c r="S31" s="10" t="s">
        <v>227</v>
      </c>
      <c r="T31" s="8">
        <v>0.8</v>
      </c>
      <c r="U31" s="15">
        <v>0.7</v>
      </c>
      <c r="V31" s="8">
        <v>0.3</v>
      </c>
      <c r="W31" s="17"/>
      <c r="X31" s="65">
        <v>46249</v>
      </c>
    </row>
    <row r="32" spans="1:24" ht="19.8" thickBot="1" x14ac:dyDescent="0.3">
      <c r="A32" s="4" t="s">
        <v>126</v>
      </c>
      <c r="B32" s="8">
        <v>0.8</v>
      </c>
      <c r="C32" s="15">
        <v>1</v>
      </c>
      <c r="D32" s="8">
        <v>1</v>
      </c>
      <c r="E32" s="10" t="s">
        <v>234</v>
      </c>
      <c r="F32" s="11" t="s">
        <v>277</v>
      </c>
      <c r="G32" s="12" t="s">
        <v>278</v>
      </c>
      <c r="H32" s="13" t="s">
        <v>279</v>
      </c>
      <c r="I32" s="14">
        <v>10</v>
      </c>
      <c r="J32" s="14" t="s">
        <v>10</v>
      </c>
      <c r="K32" s="5" t="s">
        <v>417</v>
      </c>
      <c r="L32" s="6">
        <v>0.3125</v>
      </c>
      <c r="M32" s="7" t="s">
        <v>418</v>
      </c>
      <c r="N32" s="14" t="s">
        <v>11</v>
      </c>
      <c r="O32" s="14">
        <v>10</v>
      </c>
      <c r="P32" s="13" t="s">
        <v>233</v>
      </c>
      <c r="Q32" s="12" t="s">
        <v>419</v>
      </c>
      <c r="R32" s="11" t="s">
        <v>275</v>
      </c>
      <c r="S32" s="10" t="s">
        <v>271</v>
      </c>
      <c r="T32" s="8">
        <v>0.9</v>
      </c>
      <c r="U32" s="15">
        <v>0.9</v>
      </c>
      <c r="V32" s="8">
        <v>0.7</v>
      </c>
      <c r="W32" s="17"/>
      <c r="X32" s="65">
        <v>46249</v>
      </c>
    </row>
    <row r="33" spans="1:24" ht="13.8" thickBot="1" x14ac:dyDescent="0.3">
      <c r="A33" s="4" t="s">
        <v>126</v>
      </c>
      <c r="B33" s="8">
        <v>0.4</v>
      </c>
      <c r="C33" s="15">
        <v>0.7</v>
      </c>
      <c r="D33" s="8">
        <v>0.9</v>
      </c>
      <c r="E33" s="10" t="s">
        <v>220</v>
      </c>
      <c r="F33" s="11" t="s">
        <v>268</v>
      </c>
      <c r="G33" s="12" t="s">
        <v>280</v>
      </c>
      <c r="H33" s="13" t="s">
        <v>220</v>
      </c>
      <c r="I33" s="14">
        <v>10</v>
      </c>
      <c r="J33" s="14" t="s">
        <v>10</v>
      </c>
      <c r="K33" s="5" t="s">
        <v>420</v>
      </c>
      <c r="L33" s="6">
        <v>0.3125</v>
      </c>
      <c r="M33" s="7" t="s">
        <v>421</v>
      </c>
      <c r="N33" s="14" t="s">
        <v>11</v>
      </c>
      <c r="O33" s="14">
        <v>10</v>
      </c>
      <c r="P33" s="13" t="s">
        <v>412</v>
      </c>
      <c r="Q33" s="12" t="s">
        <v>272</v>
      </c>
      <c r="R33" s="11" t="s">
        <v>217</v>
      </c>
      <c r="S33" s="10" t="s">
        <v>275</v>
      </c>
      <c r="T33" s="8">
        <v>1</v>
      </c>
      <c r="U33" s="15">
        <v>0.8</v>
      </c>
      <c r="V33" s="8">
        <v>0.6</v>
      </c>
      <c r="W33" s="17"/>
      <c r="X33" s="65">
        <v>46249</v>
      </c>
    </row>
    <row r="34" spans="1:24" ht="13.8" thickBot="1" x14ac:dyDescent="0.3">
      <c r="A34" s="4" t="s">
        <v>126</v>
      </c>
      <c r="B34" s="8">
        <v>0.6</v>
      </c>
      <c r="C34" s="15">
        <v>0.6</v>
      </c>
      <c r="D34" s="8">
        <v>0.8</v>
      </c>
      <c r="E34" s="10" t="s">
        <v>271</v>
      </c>
      <c r="F34" s="11" t="s">
        <v>233</v>
      </c>
      <c r="G34" s="12" t="s">
        <v>281</v>
      </c>
      <c r="H34" s="13" t="s">
        <v>279</v>
      </c>
      <c r="I34" s="14">
        <v>10</v>
      </c>
      <c r="J34" s="14" t="s">
        <v>10</v>
      </c>
      <c r="K34" s="5" t="s">
        <v>422</v>
      </c>
      <c r="L34" s="6">
        <v>0.3125</v>
      </c>
      <c r="M34" s="7" t="s">
        <v>423</v>
      </c>
      <c r="N34" s="14" t="s">
        <v>11</v>
      </c>
      <c r="O34" s="14">
        <v>10</v>
      </c>
      <c r="P34" s="13" t="s">
        <v>216</v>
      </c>
      <c r="Q34" s="12" t="s">
        <v>424</v>
      </c>
      <c r="R34" s="11" t="s">
        <v>282</v>
      </c>
      <c r="S34" s="10" t="s">
        <v>216</v>
      </c>
      <c r="T34" s="8">
        <v>0.9</v>
      </c>
      <c r="U34" s="15">
        <v>0.8</v>
      </c>
      <c r="V34" s="8">
        <v>0.8</v>
      </c>
      <c r="W34" s="17"/>
      <c r="X34" s="65">
        <v>46249</v>
      </c>
    </row>
    <row r="35" spans="1:24" ht="19.8" thickBot="1" x14ac:dyDescent="0.3">
      <c r="A35" s="4" t="s">
        <v>126</v>
      </c>
      <c r="B35" s="8">
        <v>0.4</v>
      </c>
      <c r="C35" s="15">
        <v>0.8</v>
      </c>
      <c r="D35" s="8">
        <v>1</v>
      </c>
      <c r="E35" s="10" t="s">
        <v>249</v>
      </c>
      <c r="F35" s="11" t="s">
        <v>273</v>
      </c>
      <c r="G35" s="12" t="s">
        <v>283</v>
      </c>
      <c r="H35" s="13" t="s">
        <v>220</v>
      </c>
      <c r="I35" s="14">
        <v>10</v>
      </c>
      <c r="J35" s="14" t="s">
        <v>10</v>
      </c>
      <c r="K35" s="5" t="s">
        <v>425</v>
      </c>
      <c r="L35" s="6">
        <v>0.3125</v>
      </c>
      <c r="M35" s="7" t="s">
        <v>426</v>
      </c>
      <c r="N35" s="14" t="s">
        <v>11</v>
      </c>
      <c r="O35" s="14">
        <v>10</v>
      </c>
      <c r="P35" s="13" t="s">
        <v>217</v>
      </c>
      <c r="Q35" s="12" t="s">
        <v>235</v>
      </c>
      <c r="R35" s="11" t="s">
        <v>268</v>
      </c>
      <c r="S35" s="10" t="s">
        <v>279</v>
      </c>
      <c r="T35" s="8">
        <v>0.9</v>
      </c>
      <c r="U35" s="15">
        <v>0.8</v>
      </c>
      <c r="V35" s="8">
        <v>0.7</v>
      </c>
      <c r="W35" s="17"/>
      <c r="X35" s="65">
        <v>46249</v>
      </c>
    </row>
    <row r="36" spans="1:24" ht="13.8" thickBot="1" x14ac:dyDescent="0.3">
      <c r="A36" s="4" t="s">
        <v>126</v>
      </c>
      <c r="B36" s="8">
        <v>0.67</v>
      </c>
      <c r="C36" s="15">
        <v>0.78</v>
      </c>
      <c r="D36" s="8">
        <v>0.89</v>
      </c>
      <c r="E36" s="10" t="s">
        <v>284</v>
      </c>
      <c r="F36" s="11" t="s">
        <v>285</v>
      </c>
      <c r="G36" s="12" t="s">
        <v>427</v>
      </c>
      <c r="H36" s="13" t="s">
        <v>230</v>
      </c>
      <c r="I36" s="14">
        <v>9</v>
      </c>
      <c r="J36" s="14" t="s">
        <v>10</v>
      </c>
      <c r="K36" s="5" t="s">
        <v>131</v>
      </c>
      <c r="L36" s="6">
        <v>0.375</v>
      </c>
      <c r="M36" s="7" t="s">
        <v>428</v>
      </c>
      <c r="N36" s="14" t="s">
        <v>11</v>
      </c>
      <c r="O36" s="14">
        <v>10</v>
      </c>
      <c r="P36" s="13" t="s">
        <v>273</v>
      </c>
      <c r="Q36" s="12" t="s">
        <v>277</v>
      </c>
      <c r="R36" s="11" t="s">
        <v>249</v>
      </c>
      <c r="S36" s="10" t="s">
        <v>271</v>
      </c>
      <c r="T36" s="8">
        <v>0.9</v>
      </c>
      <c r="U36" s="15">
        <v>0.7</v>
      </c>
      <c r="V36" s="8">
        <v>0.2</v>
      </c>
      <c r="W36" s="17"/>
      <c r="X36" s="65">
        <v>46249</v>
      </c>
    </row>
    <row r="37" spans="1:24" ht="19.8" thickBot="1" x14ac:dyDescent="0.3">
      <c r="A37" s="4" t="s">
        <v>126</v>
      </c>
      <c r="B37" s="8">
        <v>0.31</v>
      </c>
      <c r="C37" s="9">
        <v>0.38</v>
      </c>
      <c r="D37" s="8">
        <v>0.62</v>
      </c>
      <c r="E37" s="10" t="s">
        <v>286</v>
      </c>
      <c r="F37" s="11" t="s">
        <v>429</v>
      </c>
      <c r="G37" s="12" t="s">
        <v>430</v>
      </c>
      <c r="H37" s="13" t="s">
        <v>287</v>
      </c>
      <c r="I37" s="14">
        <v>13</v>
      </c>
      <c r="J37" s="14" t="s">
        <v>10</v>
      </c>
      <c r="K37" s="5" t="s">
        <v>139</v>
      </c>
      <c r="L37" s="6">
        <v>0.3125</v>
      </c>
      <c r="M37" s="7" t="s">
        <v>431</v>
      </c>
      <c r="N37" s="14" t="s">
        <v>11</v>
      </c>
      <c r="O37" s="14">
        <v>12</v>
      </c>
      <c r="P37" s="13" t="s">
        <v>288</v>
      </c>
      <c r="Q37" s="12" t="s">
        <v>221</v>
      </c>
      <c r="R37" s="11" t="s">
        <v>222</v>
      </c>
      <c r="S37" s="10" t="s">
        <v>223</v>
      </c>
      <c r="T37" s="8">
        <v>0.57999999999999996</v>
      </c>
      <c r="U37" s="9">
        <v>0.42</v>
      </c>
      <c r="V37" s="8">
        <v>0.33</v>
      </c>
      <c r="W37" s="17"/>
      <c r="X37" s="65">
        <v>46249</v>
      </c>
    </row>
    <row r="38" spans="1:24" ht="13.8" thickBot="1" x14ac:dyDescent="0.3">
      <c r="A38" s="4" t="s">
        <v>126</v>
      </c>
      <c r="B38" s="8">
        <v>0</v>
      </c>
      <c r="C38" s="15">
        <v>1</v>
      </c>
      <c r="D38" s="8">
        <v>1</v>
      </c>
      <c r="E38" s="10" t="s">
        <v>219</v>
      </c>
      <c r="F38" s="11" t="s">
        <v>218</v>
      </c>
      <c r="G38" s="12" t="s">
        <v>218</v>
      </c>
      <c r="H38" s="13" t="s">
        <v>218</v>
      </c>
      <c r="I38" s="14">
        <v>1</v>
      </c>
      <c r="J38" s="14" t="s">
        <v>10</v>
      </c>
      <c r="K38" s="5" t="s">
        <v>432</v>
      </c>
      <c r="L38" s="6">
        <v>0.64583333333333337</v>
      </c>
      <c r="M38" s="7" t="s">
        <v>433</v>
      </c>
      <c r="N38" s="14" t="s">
        <v>11</v>
      </c>
      <c r="O38" s="14">
        <v>1</v>
      </c>
      <c r="P38" s="13" t="s">
        <v>217</v>
      </c>
      <c r="Q38" s="12" t="s">
        <v>216</v>
      </c>
      <c r="R38" s="11" t="s">
        <v>217</v>
      </c>
      <c r="S38" s="10" t="s">
        <v>217</v>
      </c>
      <c r="T38" s="8">
        <v>1</v>
      </c>
      <c r="U38" s="9">
        <v>0</v>
      </c>
      <c r="V38" s="8">
        <v>0</v>
      </c>
      <c r="W38" s="17"/>
      <c r="X38" s="65">
        <v>46249</v>
      </c>
    </row>
    <row r="39" spans="1:24" ht="13.8" thickBot="1" x14ac:dyDescent="0.3">
      <c r="A39" s="4" t="s">
        <v>126</v>
      </c>
      <c r="B39" s="8">
        <v>0</v>
      </c>
      <c r="C39" s="9">
        <v>0</v>
      </c>
      <c r="D39" s="8">
        <v>1</v>
      </c>
      <c r="E39" s="10" t="s">
        <v>216</v>
      </c>
      <c r="F39" s="11" t="s">
        <v>219</v>
      </c>
      <c r="G39" s="12" t="s">
        <v>216</v>
      </c>
      <c r="H39" s="13" t="s">
        <v>219</v>
      </c>
      <c r="I39" s="14">
        <v>1</v>
      </c>
      <c r="J39" s="14" t="s">
        <v>10</v>
      </c>
      <c r="K39" s="5" t="s">
        <v>434</v>
      </c>
      <c r="L39" s="6">
        <v>0.60416666666666663</v>
      </c>
      <c r="M39" s="7" t="s">
        <v>435</v>
      </c>
      <c r="N39" s="14" t="s">
        <v>11</v>
      </c>
      <c r="O39" s="14">
        <v>1</v>
      </c>
      <c r="P39" s="13" t="s">
        <v>218</v>
      </c>
      <c r="Q39" s="12" t="s">
        <v>217</v>
      </c>
      <c r="R39" s="11" t="s">
        <v>217</v>
      </c>
      <c r="S39" s="10" t="s">
        <v>219</v>
      </c>
      <c r="T39" s="8">
        <v>0</v>
      </c>
      <c r="U39" s="9">
        <v>0</v>
      </c>
      <c r="V39" s="8">
        <v>0</v>
      </c>
      <c r="W39" s="17"/>
      <c r="X39" s="65">
        <v>46249</v>
      </c>
    </row>
    <row r="40" spans="1:24" ht="13.8" thickBot="1" x14ac:dyDescent="0.3">
      <c r="A40" s="4" t="s">
        <v>126</v>
      </c>
      <c r="B40" s="8">
        <v>0</v>
      </c>
      <c r="C40" s="9">
        <v>0</v>
      </c>
      <c r="D40" s="8">
        <v>0</v>
      </c>
      <c r="E40" s="10" t="s">
        <v>217</v>
      </c>
      <c r="F40" s="11" t="s">
        <v>219</v>
      </c>
      <c r="G40" s="12" t="s">
        <v>217</v>
      </c>
      <c r="H40" s="13" t="s">
        <v>219</v>
      </c>
      <c r="I40" s="14">
        <v>1</v>
      </c>
      <c r="J40" s="14" t="s">
        <v>10</v>
      </c>
      <c r="K40" s="5" t="s">
        <v>436</v>
      </c>
      <c r="L40" s="6">
        <v>0.6875</v>
      </c>
      <c r="M40" s="7" t="s">
        <v>437</v>
      </c>
      <c r="N40" s="14" t="s">
        <v>11</v>
      </c>
      <c r="O40" s="14">
        <v>1</v>
      </c>
      <c r="P40" s="13" t="s">
        <v>218</v>
      </c>
      <c r="Q40" s="12" t="s">
        <v>218</v>
      </c>
      <c r="R40" s="11" t="s">
        <v>218</v>
      </c>
      <c r="S40" s="10" t="s">
        <v>219</v>
      </c>
      <c r="T40" s="8">
        <v>1</v>
      </c>
      <c r="U40" s="15">
        <v>1</v>
      </c>
      <c r="V40" s="8">
        <v>0</v>
      </c>
      <c r="W40" s="17"/>
      <c r="X40" s="65">
        <v>46249</v>
      </c>
    </row>
    <row r="41" spans="1:24" ht="13.8" thickBot="1" x14ac:dyDescent="0.3">
      <c r="A41" s="4" t="s">
        <v>438</v>
      </c>
      <c r="B41" s="63"/>
      <c r="C41" s="63"/>
      <c r="D41" s="63"/>
      <c r="E41" s="63"/>
      <c r="F41" s="63"/>
      <c r="G41" s="63"/>
      <c r="H41" s="63"/>
      <c r="I41" s="64"/>
      <c r="J41" s="14" t="s">
        <v>10</v>
      </c>
      <c r="K41" s="5" t="s">
        <v>439</v>
      </c>
      <c r="L41" s="6">
        <v>0.91666666666666663</v>
      </c>
      <c r="M41" s="7" t="s">
        <v>440</v>
      </c>
      <c r="N41" s="14" t="s">
        <v>11</v>
      </c>
      <c r="O41" s="64"/>
      <c r="P41" s="63"/>
      <c r="Q41" s="63"/>
      <c r="R41" s="63"/>
      <c r="S41" s="63"/>
      <c r="T41" s="63"/>
      <c r="U41" s="63"/>
      <c r="V41" s="63"/>
      <c r="W41" s="17"/>
      <c r="X41" s="65">
        <v>46249</v>
      </c>
    </row>
    <row r="42" spans="1:24" ht="13.8" thickBot="1" x14ac:dyDescent="0.3">
      <c r="A42" s="4" t="s">
        <v>438</v>
      </c>
      <c r="B42" s="63"/>
      <c r="C42" s="63"/>
      <c r="D42" s="63"/>
      <c r="E42" s="63"/>
      <c r="F42" s="63"/>
      <c r="G42" s="63"/>
      <c r="H42" s="63"/>
      <c r="I42" s="64"/>
      <c r="J42" s="14" t="s">
        <v>10</v>
      </c>
      <c r="K42" s="5" t="s">
        <v>441</v>
      </c>
      <c r="L42" s="6">
        <v>0.5625</v>
      </c>
      <c r="M42" s="7" t="s">
        <v>442</v>
      </c>
      <c r="N42" s="14" t="s">
        <v>11</v>
      </c>
      <c r="O42" s="64"/>
      <c r="P42" s="63"/>
      <c r="Q42" s="63"/>
      <c r="R42" s="63"/>
      <c r="S42" s="63"/>
      <c r="T42" s="63"/>
      <c r="U42" s="63"/>
      <c r="V42" s="63"/>
      <c r="W42" s="17"/>
      <c r="X42" s="65">
        <v>46249</v>
      </c>
    </row>
    <row r="43" spans="1:24" ht="13.8" thickBot="1" x14ac:dyDescent="0.3">
      <c r="A43" s="4" t="s">
        <v>289</v>
      </c>
      <c r="B43" s="8">
        <v>0.12</v>
      </c>
      <c r="C43" s="9">
        <v>0.5</v>
      </c>
      <c r="D43" s="8">
        <v>0.88</v>
      </c>
      <c r="E43" s="10" t="s">
        <v>220</v>
      </c>
      <c r="F43" s="11" t="s">
        <v>217</v>
      </c>
      <c r="G43" s="12" t="s">
        <v>221</v>
      </c>
      <c r="H43" s="13" t="s">
        <v>217</v>
      </c>
      <c r="I43" s="14">
        <v>8</v>
      </c>
      <c r="J43" s="14" t="s">
        <v>10</v>
      </c>
      <c r="K43" s="5" t="s">
        <v>443</v>
      </c>
      <c r="L43" s="6">
        <v>0.5</v>
      </c>
      <c r="M43" s="7" t="s">
        <v>444</v>
      </c>
      <c r="N43" s="14" t="s">
        <v>11</v>
      </c>
      <c r="O43" s="14">
        <v>7</v>
      </c>
      <c r="P43" s="13" t="s">
        <v>290</v>
      </c>
      <c r="Q43" s="12" t="s">
        <v>291</v>
      </c>
      <c r="R43" s="11" t="s">
        <v>292</v>
      </c>
      <c r="S43" s="10" t="s">
        <v>290</v>
      </c>
      <c r="T43" s="8">
        <v>0.56999999999999995</v>
      </c>
      <c r="U43" s="9">
        <v>0.28999999999999998</v>
      </c>
      <c r="V43" s="8">
        <v>0.28999999999999998</v>
      </c>
      <c r="W43" s="17"/>
      <c r="X43" s="65">
        <v>46249</v>
      </c>
    </row>
    <row r="44" spans="1:24" ht="19.8" thickBot="1" x14ac:dyDescent="0.3">
      <c r="A44" s="4" t="s">
        <v>289</v>
      </c>
      <c r="B44" s="8">
        <v>0.25</v>
      </c>
      <c r="C44" s="9">
        <v>0.38</v>
      </c>
      <c r="D44" s="8">
        <v>0.62</v>
      </c>
      <c r="E44" s="10" t="s">
        <v>293</v>
      </c>
      <c r="F44" s="11" t="s">
        <v>294</v>
      </c>
      <c r="G44" s="12" t="s">
        <v>295</v>
      </c>
      <c r="H44" s="13" t="s">
        <v>296</v>
      </c>
      <c r="I44" s="14">
        <v>8</v>
      </c>
      <c r="J44" s="14" t="s">
        <v>10</v>
      </c>
      <c r="K44" s="5" t="s">
        <v>445</v>
      </c>
      <c r="L44" s="6">
        <v>0.58333333333333337</v>
      </c>
      <c r="M44" s="7" t="s">
        <v>446</v>
      </c>
      <c r="N44" s="14" t="s">
        <v>11</v>
      </c>
      <c r="O44" s="14">
        <v>7</v>
      </c>
      <c r="P44" s="13" t="s">
        <v>219</v>
      </c>
      <c r="Q44" s="12" t="s">
        <v>297</v>
      </c>
      <c r="R44" s="11" t="s">
        <v>447</v>
      </c>
      <c r="S44" s="10" t="s">
        <v>218</v>
      </c>
      <c r="T44" s="8">
        <v>1</v>
      </c>
      <c r="U44" s="15">
        <v>0.71</v>
      </c>
      <c r="V44" s="8">
        <v>0.43</v>
      </c>
      <c r="W44" s="17"/>
      <c r="X44" s="65">
        <v>46249</v>
      </c>
    </row>
    <row r="45" spans="1:24" ht="19.8" thickBot="1" x14ac:dyDescent="0.3">
      <c r="A45" s="4" t="s">
        <v>289</v>
      </c>
      <c r="B45" s="63"/>
      <c r="C45" s="63"/>
      <c r="D45" s="63"/>
      <c r="E45" s="63"/>
      <c r="F45" s="63"/>
      <c r="G45" s="63"/>
      <c r="H45" s="63"/>
      <c r="I45" s="64"/>
      <c r="J45" s="14" t="s">
        <v>10</v>
      </c>
      <c r="K45" s="5" t="s">
        <v>448</v>
      </c>
      <c r="L45" s="6">
        <v>0.69791666666666663</v>
      </c>
      <c r="M45" s="7" t="s">
        <v>449</v>
      </c>
      <c r="N45" s="14" t="s">
        <v>11</v>
      </c>
      <c r="O45" s="64"/>
      <c r="P45" s="63"/>
      <c r="Q45" s="63"/>
      <c r="R45" s="63"/>
      <c r="S45" s="63"/>
      <c r="T45" s="63"/>
      <c r="U45" s="63"/>
      <c r="V45" s="63"/>
      <c r="W45" s="17"/>
      <c r="X45" s="65">
        <v>46249</v>
      </c>
    </row>
    <row r="46" spans="1:24" ht="13.8" thickBot="1" x14ac:dyDescent="0.3">
      <c r="A46" s="4" t="s">
        <v>289</v>
      </c>
      <c r="B46" s="63"/>
      <c r="C46" s="63"/>
      <c r="D46" s="63"/>
      <c r="E46" s="63"/>
      <c r="F46" s="63"/>
      <c r="G46" s="63"/>
      <c r="H46" s="63"/>
      <c r="I46" s="64"/>
      <c r="J46" s="14" t="s">
        <v>10</v>
      </c>
      <c r="K46" s="5" t="s">
        <v>450</v>
      </c>
      <c r="L46" s="6">
        <v>0.66666666666666663</v>
      </c>
      <c r="M46" s="7" t="s">
        <v>451</v>
      </c>
      <c r="N46" s="14" t="s">
        <v>11</v>
      </c>
      <c r="O46" s="64"/>
      <c r="P46" s="63"/>
      <c r="Q46" s="63"/>
      <c r="R46" s="63"/>
      <c r="S46" s="63"/>
      <c r="T46" s="63"/>
      <c r="U46" s="63"/>
      <c r="V46" s="63"/>
      <c r="W46" s="17"/>
      <c r="X46" s="65">
        <v>46249</v>
      </c>
    </row>
    <row r="47" spans="1:24" ht="19.8" thickBot="1" x14ac:dyDescent="0.3">
      <c r="A47" s="4" t="s">
        <v>289</v>
      </c>
      <c r="B47" s="63"/>
      <c r="C47" s="63"/>
      <c r="D47" s="63"/>
      <c r="E47" s="63"/>
      <c r="F47" s="63"/>
      <c r="G47" s="63"/>
      <c r="H47" s="63"/>
      <c r="I47" s="64"/>
      <c r="J47" s="14" t="s">
        <v>10</v>
      </c>
      <c r="K47" s="5" t="s">
        <v>452</v>
      </c>
      <c r="L47" s="6">
        <v>0.66666666666666663</v>
      </c>
      <c r="M47" s="7" t="s">
        <v>453</v>
      </c>
      <c r="N47" s="14" t="s">
        <v>11</v>
      </c>
      <c r="O47" s="64"/>
      <c r="P47" s="63"/>
      <c r="Q47" s="63"/>
      <c r="R47" s="63"/>
      <c r="S47" s="63"/>
      <c r="T47" s="63"/>
      <c r="U47" s="63"/>
      <c r="V47" s="63"/>
      <c r="W47" s="17"/>
      <c r="X47" s="65">
        <v>46249</v>
      </c>
    </row>
    <row r="48" spans="1:24" ht="13.8" thickBot="1" x14ac:dyDescent="0.3">
      <c r="A48" s="4" t="s">
        <v>454</v>
      </c>
      <c r="B48" s="63"/>
      <c r="C48" s="63"/>
      <c r="D48" s="63"/>
      <c r="E48" s="63"/>
      <c r="F48" s="63"/>
      <c r="G48" s="63"/>
      <c r="H48" s="63"/>
      <c r="I48" s="64"/>
      <c r="J48" s="14" t="s">
        <v>10</v>
      </c>
      <c r="K48" s="5" t="s">
        <v>455</v>
      </c>
      <c r="L48" s="6">
        <v>0.66666666666666663</v>
      </c>
      <c r="M48" s="7" t="s">
        <v>456</v>
      </c>
      <c r="N48" s="14" t="s">
        <v>11</v>
      </c>
      <c r="O48" s="64"/>
      <c r="P48" s="63"/>
      <c r="Q48" s="63"/>
      <c r="R48" s="63"/>
      <c r="S48" s="63"/>
      <c r="T48" s="63"/>
      <c r="U48" s="63"/>
      <c r="V48" s="63"/>
      <c r="W48" s="17"/>
      <c r="X48" s="65">
        <v>46249</v>
      </c>
    </row>
    <row r="49" spans="1:24" ht="13.8" thickBot="1" x14ac:dyDescent="0.3">
      <c r="A49" s="4" t="s">
        <v>90</v>
      </c>
      <c r="B49" s="8">
        <v>0.18</v>
      </c>
      <c r="C49" s="9">
        <v>0.45</v>
      </c>
      <c r="D49" s="8">
        <v>0.73</v>
      </c>
      <c r="E49" s="10" t="s">
        <v>256</v>
      </c>
      <c r="F49" s="11" t="s">
        <v>298</v>
      </c>
      <c r="G49" s="12" t="s">
        <v>299</v>
      </c>
      <c r="H49" s="13" t="s">
        <v>300</v>
      </c>
      <c r="I49" s="14">
        <v>11</v>
      </c>
      <c r="J49" s="14" t="s">
        <v>10</v>
      </c>
      <c r="K49" s="5" t="s">
        <v>457</v>
      </c>
      <c r="L49" s="6">
        <v>0.85416666666666663</v>
      </c>
      <c r="M49" s="7" t="s">
        <v>458</v>
      </c>
      <c r="N49" s="14" t="s">
        <v>11</v>
      </c>
      <c r="O49" s="14">
        <v>11</v>
      </c>
      <c r="P49" s="13" t="s">
        <v>301</v>
      </c>
      <c r="Q49" s="12" t="s">
        <v>218</v>
      </c>
      <c r="R49" s="11" t="s">
        <v>302</v>
      </c>
      <c r="S49" s="10" t="s">
        <v>303</v>
      </c>
      <c r="T49" s="8">
        <v>0.73</v>
      </c>
      <c r="U49" s="9">
        <v>0.45</v>
      </c>
      <c r="V49" s="8">
        <v>0.27</v>
      </c>
      <c r="W49" s="17"/>
      <c r="X49" s="65">
        <v>46249</v>
      </c>
    </row>
    <row r="50" spans="1:24" ht="13.8" thickBot="1" x14ac:dyDescent="0.3">
      <c r="A50" s="4" t="s">
        <v>90</v>
      </c>
      <c r="B50" s="8">
        <v>0.18</v>
      </c>
      <c r="C50" s="9">
        <v>0.36</v>
      </c>
      <c r="D50" s="8">
        <v>0.64</v>
      </c>
      <c r="E50" s="10" t="s">
        <v>255</v>
      </c>
      <c r="F50" s="11" t="s">
        <v>255</v>
      </c>
      <c r="G50" s="12" t="s">
        <v>299</v>
      </c>
      <c r="H50" s="13" t="s">
        <v>217</v>
      </c>
      <c r="I50" s="14">
        <v>11</v>
      </c>
      <c r="J50" s="14" t="s">
        <v>10</v>
      </c>
      <c r="K50" s="5" t="s">
        <v>151</v>
      </c>
      <c r="L50" s="6">
        <v>0.85416666666666663</v>
      </c>
      <c r="M50" s="7" t="s">
        <v>459</v>
      </c>
      <c r="N50" s="14" t="s">
        <v>11</v>
      </c>
      <c r="O50" s="14">
        <v>11</v>
      </c>
      <c r="P50" s="13" t="s">
        <v>264</v>
      </c>
      <c r="Q50" s="12" t="s">
        <v>303</v>
      </c>
      <c r="R50" s="11" t="s">
        <v>262</v>
      </c>
      <c r="S50" s="10" t="s">
        <v>264</v>
      </c>
      <c r="T50" s="8">
        <v>0.27</v>
      </c>
      <c r="U50" s="9">
        <v>0.18</v>
      </c>
      <c r="V50" s="8">
        <v>0.09</v>
      </c>
      <c r="W50" s="17"/>
      <c r="X50" s="65">
        <v>46249</v>
      </c>
    </row>
    <row r="51" spans="1:24" ht="13.8" thickBot="1" x14ac:dyDescent="0.3">
      <c r="A51" s="4" t="s">
        <v>90</v>
      </c>
      <c r="B51" s="8">
        <v>0.27</v>
      </c>
      <c r="C51" s="9">
        <v>0.36</v>
      </c>
      <c r="D51" s="8">
        <v>0.91</v>
      </c>
      <c r="E51" s="10" t="s">
        <v>255</v>
      </c>
      <c r="F51" s="11" t="s">
        <v>303</v>
      </c>
      <c r="G51" s="12" t="s">
        <v>304</v>
      </c>
      <c r="H51" s="13" t="s">
        <v>302</v>
      </c>
      <c r="I51" s="14">
        <v>11</v>
      </c>
      <c r="J51" s="14" t="s">
        <v>10</v>
      </c>
      <c r="K51" s="5" t="s">
        <v>460</v>
      </c>
      <c r="L51" s="6">
        <v>0.89583333333333337</v>
      </c>
      <c r="M51" s="7" t="s">
        <v>461</v>
      </c>
      <c r="N51" s="14" t="s">
        <v>11</v>
      </c>
      <c r="O51" s="14">
        <v>11</v>
      </c>
      <c r="P51" s="13" t="s">
        <v>298</v>
      </c>
      <c r="Q51" s="12" t="s">
        <v>304</v>
      </c>
      <c r="R51" s="11" t="s">
        <v>301</v>
      </c>
      <c r="S51" s="10" t="s">
        <v>256</v>
      </c>
      <c r="T51" s="8">
        <v>0.73</v>
      </c>
      <c r="U51" s="15">
        <v>0.64</v>
      </c>
      <c r="V51" s="8">
        <v>0.27</v>
      </c>
      <c r="W51" s="17"/>
      <c r="X51" s="65">
        <v>46249</v>
      </c>
    </row>
    <row r="52" spans="1:24" ht="19.8" thickBot="1" x14ac:dyDescent="0.3">
      <c r="A52" s="4" t="s">
        <v>305</v>
      </c>
      <c r="B52" s="8">
        <v>0</v>
      </c>
      <c r="C52" s="15">
        <v>1</v>
      </c>
      <c r="D52" s="8">
        <v>1</v>
      </c>
      <c r="E52" s="10" t="s">
        <v>217</v>
      </c>
      <c r="F52" s="11" t="s">
        <v>216</v>
      </c>
      <c r="G52" s="12" t="s">
        <v>218</v>
      </c>
      <c r="H52" s="13" t="s">
        <v>218</v>
      </c>
      <c r="I52" s="14">
        <v>2</v>
      </c>
      <c r="J52" s="14" t="s">
        <v>10</v>
      </c>
      <c r="K52" s="5" t="s">
        <v>462</v>
      </c>
      <c r="L52" s="6">
        <v>0.67708333333333337</v>
      </c>
      <c r="M52" s="7" t="s">
        <v>463</v>
      </c>
      <c r="N52" s="14" t="s">
        <v>11</v>
      </c>
      <c r="O52" s="14">
        <v>2</v>
      </c>
      <c r="P52" s="13" t="s">
        <v>247</v>
      </c>
      <c r="Q52" s="12" t="s">
        <v>220</v>
      </c>
      <c r="R52" s="11" t="s">
        <v>247</v>
      </c>
      <c r="S52" s="10" t="s">
        <v>217</v>
      </c>
      <c r="T52" s="8">
        <v>0.5</v>
      </c>
      <c r="U52" s="9">
        <v>0</v>
      </c>
      <c r="V52" s="8">
        <v>0</v>
      </c>
      <c r="W52" s="17"/>
      <c r="X52" s="65">
        <v>46249</v>
      </c>
    </row>
    <row r="53" spans="1:24" ht="13.8" thickBot="1" x14ac:dyDescent="0.3">
      <c r="A53" s="4" t="s">
        <v>305</v>
      </c>
      <c r="B53" s="8">
        <v>0</v>
      </c>
      <c r="C53" s="9">
        <v>0</v>
      </c>
      <c r="D53" s="8">
        <v>0</v>
      </c>
      <c r="E53" s="10" t="s">
        <v>247</v>
      </c>
      <c r="F53" s="11" t="s">
        <v>247</v>
      </c>
      <c r="G53" s="12" t="s">
        <v>217</v>
      </c>
      <c r="H53" s="13" t="s">
        <v>220</v>
      </c>
      <c r="I53" s="14">
        <v>2</v>
      </c>
      <c r="J53" s="14" t="s">
        <v>10</v>
      </c>
      <c r="K53" s="5" t="s">
        <v>464</v>
      </c>
      <c r="L53" s="6">
        <v>0.57291666666666663</v>
      </c>
      <c r="M53" s="7" t="s">
        <v>465</v>
      </c>
      <c r="N53" s="14" t="s">
        <v>11</v>
      </c>
      <c r="O53" s="14">
        <v>1</v>
      </c>
      <c r="P53" s="13" t="s">
        <v>219</v>
      </c>
      <c r="Q53" s="12" t="s">
        <v>217</v>
      </c>
      <c r="R53" s="11" t="s">
        <v>219</v>
      </c>
      <c r="S53" s="10" t="s">
        <v>217</v>
      </c>
      <c r="T53" s="8">
        <v>0</v>
      </c>
      <c r="U53" s="9">
        <v>0</v>
      </c>
      <c r="V53" s="8">
        <v>0</v>
      </c>
      <c r="W53" s="17"/>
      <c r="X53" s="65">
        <v>46249</v>
      </c>
    </row>
    <row r="54" spans="1:24" ht="19.8" thickBot="1" x14ac:dyDescent="0.3">
      <c r="A54" s="4" t="s">
        <v>157</v>
      </c>
      <c r="B54" s="8">
        <v>0</v>
      </c>
      <c r="C54" s="9">
        <v>0.38</v>
      </c>
      <c r="D54" s="8">
        <v>0.38</v>
      </c>
      <c r="E54" s="10" t="s">
        <v>296</v>
      </c>
      <c r="F54" s="11" t="s">
        <v>222</v>
      </c>
      <c r="G54" s="12" t="s">
        <v>239</v>
      </c>
      <c r="H54" s="13" t="s">
        <v>239</v>
      </c>
      <c r="I54" s="14">
        <v>8</v>
      </c>
      <c r="J54" s="14" t="s">
        <v>10</v>
      </c>
      <c r="K54" s="5" t="s">
        <v>466</v>
      </c>
      <c r="L54" s="6">
        <v>0.875</v>
      </c>
      <c r="M54" s="7" t="s">
        <v>467</v>
      </c>
      <c r="N54" s="14" t="s">
        <v>11</v>
      </c>
      <c r="O54" s="14">
        <v>9</v>
      </c>
      <c r="P54" s="13" t="s">
        <v>306</v>
      </c>
      <c r="Q54" s="12" t="s">
        <v>285</v>
      </c>
      <c r="R54" s="11" t="s">
        <v>224</v>
      </c>
      <c r="S54" s="10" t="s">
        <v>307</v>
      </c>
      <c r="T54" s="8">
        <v>0.78</v>
      </c>
      <c r="U54" s="15">
        <v>0.56000000000000005</v>
      </c>
      <c r="V54" s="8">
        <v>0.56000000000000005</v>
      </c>
      <c r="W54" s="17"/>
      <c r="X54" s="65">
        <v>46249</v>
      </c>
    </row>
    <row r="55" spans="1:24" ht="19.8" thickBot="1" x14ac:dyDescent="0.3">
      <c r="A55" s="4" t="s">
        <v>157</v>
      </c>
      <c r="B55" s="8">
        <v>0.11</v>
      </c>
      <c r="C55" s="15">
        <v>0.56000000000000005</v>
      </c>
      <c r="D55" s="8">
        <v>0.67</v>
      </c>
      <c r="E55" s="10" t="s">
        <v>284</v>
      </c>
      <c r="F55" s="11" t="s">
        <v>217</v>
      </c>
      <c r="G55" s="12" t="s">
        <v>307</v>
      </c>
      <c r="H55" s="13" t="s">
        <v>224</v>
      </c>
      <c r="I55" s="14">
        <v>9</v>
      </c>
      <c r="J55" s="14" t="s">
        <v>10</v>
      </c>
      <c r="K55" s="5" t="s">
        <v>468</v>
      </c>
      <c r="L55" s="6">
        <v>0.9375</v>
      </c>
      <c r="M55" s="7" t="s">
        <v>469</v>
      </c>
      <c r="N55" s="14" t="s">
        <v>11</v>
      </c>
      <c r="O55" s="14">
        <v>9</v>
      </c>
      <c r="P55" s="13" t="s">
        <v>308</v>
      </c>
      <c r="Q55" s="12" t="s">
        <v>309</v>
      </c>
      <c r="R55" s="11" t="s">
        <v>217</v>
      </c>
      <c r="S55" s="10" t="s">
        <v>231</v>
      </c>
      <c r="T55" s="8">
        <v>0.78</v>
      </c>
      <c r="U55" s="9">
        <v>0.33</v>
      </c>
      <c r="V55" s="8">
        <v>0.33</v>
      </c>
      <c r="W55" s="17"/>
      <c r="X55" s="65">
        <v>46249</v>
      </c>
    </row>
    <row r="56" spans="1:24" ht="13.8" thickBot="1" x14ac:dyDescent="0.3">
      <c r="A56" s="4" t="s">
        <v>157</v>
      </c>
      <c r="B56" s="8">
        <v>0.11</v>
      </c>
      <c r="C56" s="9">
        <v>0.33</v>
      </c>
      <c r="D56" s="8">
        <v>0.67</v>
      </c>
      <c r="E56" s="10" t="s">
        <v>310</v>
      </c>
      <c r="F56" s="11" t="s">
        <v>224</v>
      </c>
      <c r="G56" s="12" t="s">
        <v>216</v>
      </c>
      <c r="H56" s="13" t="s">
        <v>229</v>
      </c>
      <c r="I56" s="14">
        <v>9</v>
      </c>
      <c r="J56" s="14" t="s">
        <v>10</v>
      </c>
      <c r="K56" s="5" t="s">
        <v>470</v>
      </c>
      <c r="L56" s="6">
        <v>0.9375</v>
      </c>
      <c r="M56" s="7" t="s">
        <v>471</v>
      </c>
      <c r="N56" s="14" t="s">
        <v>11</v>
      </c>
      <c r="O56" s="14">
        <v>9</v>
      </c>
      <c r="P56" s="13" t="s">
        <v>228</v>
      </c>
      <c r="Q56" s="12" t="s">
        <v>309</v>
      </c>
      <c r="R56" s="11" t="s">
        <v>224</v>
      </c>
      <c r="S56" s="10" t="s">
        <v>229</v>
      </c>
      <c r="T56" s="8">
        <v>0.78</v>
      </c>
      <c r="U56" s="9">
        <v>0.44</v>
      </c>
      <c r="V56" s="8">
        <v>0.44</v>
      </c>
      <c r="W56" s="17"/>
      <c r="X56" s="65">
        <v>46249</v>
      </c>
    </row>
    <row r="57" spans="1:24" ht="19.8" thickBot="1" x14ac:dyDescent="0.3">
      <c r="A57" s="4" t="s">
        <v>157</v>
      </c>
      <c r="B57" s="8">
        <v>0.36</v>
      </c>
      <c r="C57" s="15">
        <v>0.82</v>
      </c>
      <c r="D57" s="8">
        <v>1</v>
      </c>
      <c r="E57" s="10" t="s">
        <v>302</v>
      </c>
      <c r="F57" s="11" t="s">
        <v>261</v>
      </c>
      <c r="G57" s="12" t="s">
        <v>472</v>
      </c>
      <c r="H57" s="13" t="s">
        <v>311</v>
      </c>
      <c r="I57" s="14">
        <v>11</v>
      </c>
      <c r="J57" s="14" t="s">
        <v>10</v>
      </c>
      <c r="K57" s="5" t="s">
        <v>473</v>
      </c>
      <c r="L57" s="6">
        <v>0.39930555555555558</v>
      </c>
      <c r="M57" s="7" t="s">
        <v>162</v>
      </c>
      <c r="N57" s="14" t="s">
        <v>11</v>
      </c>
      <c r="O57" s="14">
        <v>11</v>
      </c>
      <c r="P57" s="13" t="s">
        <v>474</v>
      </c>
      <c r="Q57" s="12" t="s">
        <v>409</v>
      </c>
      <c r="R57" s="11" t="s">
        <v>255</v>
      </c>
      <c r="S57" s="10" t="s">
        <v>312</v>
      </c>
      <c r="T57" s="8">
        <v>0.91</v>
      </c>
      <c r="U57" s="15">
        <v>0.64</v>
      </c>
      <c r="V57" s="8">
        <v>0.55000000000000004</v>
      </c>
      <c r="W57" s="17"/>
      <c r="X57" s="65">
        <v>46249</v>
      </c>
    </row>
    <row r="58" spans="1:24" ht="19.8" thickBot="1" x14ac:dyDescent="0.3">
      <c r="A58" s="4" t="s">
        <v>157</v>
      </c>
      <c r="B58" s="8">
        <v>0.33</v>
      </c>
      <c r="C58" s="9">
        <v>0.33</v>
      </c>
      <c r="D58" s="8">
        <v>0.78</v>
      </c>
      <c r="E58" s="10" t="s">
        <v>228</v>
      </c>
      <c r="F58" s="11" t="s">
        <v>232</v>
      </c>
      <c r="G58" s="12" t="s">
        <v>230</v>
      </c>
      <c r="H58" s="13" t="s">
        <v>229</v>
      </c>
      <c r="I58" s="14">
        <v>9</v>
      </c>
      <c r="J58" s="14" t="s">
        <v>10</v>
      </c>
      <c r="K58" s="5" t="s">
        <v>475</v>
      </c>
      <c r="L58" s="6">
        <v>0.39930555555555558</v>
      </c>
      <c r="M58" s="7" t="s">
        <v>164</v>
      </c>
      <c r="N58" s="14" t="s">
        <v>11</v>
      </c>
      <c r="O58" s="14">
        <v>11</v>
      </c>
      <c r="P58" s="13" t="s">
        <v>301</v>
      </c>
      <c r="Q58" s="12" t="s">
        <v>218</v>
      </c>
      <c r="R58" s="11" t="s">
        <v>260</v>
      </c>
      <c r="S58" s="10" t="s">
        <v>256</v>
      </c>
      <c r="T58" s="8">
        <v>0.73</v>
      </c>
      <c r="U58" s="15">
        <v>0.64</v>
      </c>
      <c r="V58" s="8">
        <v>0.45</v>
      </c>
      <c r="W58" s="17"/>
      <c r="X58" s="65">
        <v>46249</v>
      </c>
    </row>
    <row r="59" spans="1:24" ht="19.8" thickBot="1" x14ac:dyDescent="0.3">
      <c r="A59" s="4" t="s">
        <v>157</v>
      </c>
      <c r="B59" s="8">
        <v>0.18</v>
      </c>
      <c r="C59" s="9">
        <v>0.27</v>
      </c>
      <c r="D59" s="8">
        <v>0.82</v>
      </c>
      <c r="E59" s="10" t="s">
        <v>313</v>
      </c>
      <c r="F59" s="11" t="s">
        <v>260</v>
      </c>
      <c r="G59" s="12" t="s">
        <v>314</v>
      </c>
      <c r="H59" s="13" t="s">
        <v>259</v>
      </c>
      <c r="I59" s="14">
        <v>11</v>
      </c>
      <c r="J59" s="14" t="s">
        <v>10</v>
      </c>
      <c r="K59" s="5" t="s">
        <v>158</v>
      </c>
      <c r="L59" s="6">
        <v>0.41666666666666669</v>
      </c>
      <c r="M59" s="7" t="s">
        <v>476</v>
      </c>
      <c r="N59" s="14" t="s">
        <v>11</v>
      </c>
      <c r="O59" s="14">
        <v>11</v>
      </c>
      <c r="P59" s="13" t="s">
        <v>301</v>
      </c>
      <c r="Q59" s="12" t="s">
        <v>315</v>
      </c>
      <c r="R59" s="11" t="s">
        <v>313</v>
      </c>
      <c r="S59" s="10" t="s">
        <v>265</v>
      </c>
      <c r="T59" s="8">
        <v>0.55000000000000004</v>
      </c>
      <c r="U59" s="9">
        <v>0.36</v>
      </c>
      <c r="V59" s="8">
        <v>0.27</v>
      </c>
      <c r="W59" s="17"/>
      <c r="X59" s="65">
        <v>46249</v>
      </c>
    </row>
    <row r="60" spans="1:24" ht="19.8" thickBot="1" x14ac:dyDescent="0.3">
      <c r="A60" s="4" t="s">
        <v>316</v>
      </c>
      <c r="B60" s="8">
        <v>0.5</v>
      </c>
      <c r="C60" s="9">
        <v>0.5</v>
      </c>
      <c r="D60" s="8">
        <v>0.5</v>
      </c>
      <c r="E60" s="10" t="s">
        <v>247</v>
      </c>
      <c r="F60" s="11" t="s">
        <v>216</v>
      </c>
      <c r="G60" s="12" t="s">
        <v>221</v>
      </c>
      <c r="H60" s="13" t="s">
        <v>218</v>
      </c>
      <c r="I60" s="14">
        <v>2</v>
      </c>
      <c r="J60" s="14" t="s">
        <v>10</v>
      </c>
      <c r="K60" s="5" t="s">
        <v>477</v>
      </c>
      <c r="L60" s="6">
        <v>0.875</v>
      </c>
      <c r="M60" s="7" t="s">
        <v>478</v>
      </c>
      <c r="N60" s="14" t="s">
        <v>11</v>
      </c>
      <c r="O60" s="14">
        <v>1</v>
      </c>
      <c r="P60" s="13" t="s">
        <v>218</v>
      </c>
      <c r="Q60" s="12" t="s">
        <v>218</v>
      </c>
      <c r="R60" s="11" t="s">
        <v>216</v>
      </c>
      <c r="S60" s="10" t="s">
        <v>217</v>
      </c>
      <c r="T60" s="8">
        <v>1</v>
      </c>
      <c r="U60" s="15">
        <v>1</v>
      </c>
      <c r="V60" s="8">
        <v>0</v>
      </c>
      <c r="W60" s="17"/>
      <c r="X60" s="65">
        <v>46249</v>
      </c>
    </row>
    <row r="61" spans="1:24" ht="27" thickBot="1" x14ac:dyDescent="0.3">
      <c r="A61" s="4" t="s">
        <v>479</v>
      </c>
      <c r="B61" s="63"/>
      <c r="C61" s="63"/>
      <c r="D61" s="63"/>
      <c r="E61" s="63"/>
      <c r="F61" s="63"/>
      <c r="G61" s="63"/>
      <c r="H61" s="63"/>
      <c r="I61" s="64"/>
      <c r="J61" s="63"/>
      <c r="K61" s="5" t="s">
        <v>480</v>
      </c>
      <c r="L61" s="6">
        <v>0.9375</v>
      </c>
      <c r="M61" s="7" t="s">
        <v>317</v>
      </c>
      <c r="N61" s="63"/>
      <c r="O61" s="64"/>
      <c r="P61" s="63"/>
      <c r="Q61" s="63"/>
      <c r="R61" s="63"/>
      <c r="S61" s="63"/>
      <c r="T61" s="63"/>
      <c r="U61" s="63"/>
      <c r="V61" s="63"/>
      <c r="W61" s="17"/>
      <c r="X61" s="65">
        <v>46249</v>
      </c>
    </row>
    <row r="62" spans="1:24" ht="19.8" thickBot="1" x14ac:dyDescent="0.3">
      <c r="A62" s="4" t="s">
        <v>481</v>
      </c>
      <c r="B62" s="63"/>
      <c r="C62" s="63"/>
      <c r="D62" s="63"/>
      <c r="E62" s="63"/>
      <c r="F62" s="63"/>
      <c r="G62" s="63"/>
      <c r="H62" s="63"/>
      <c r="I62" s="64"/>
      <c r="J62" s="63"/>
      <c r="K62" s="5" t="s">
        <v>318</v>
      </c>
      <c r="L62" s="6">
        <v>0.9375</v>
      </c>
      <c r="M62" s="7" t="s">
        <v>319</v>
      </c>
      <c r="N62" s="63"/>
      <c r="O62" s="64"/>
      <c r="P62" s="63"/>
      <c r="Q62" s="63"/>
      <c r="R62" s="63"/>
      <c r="S62" s="63"/>
      <c r="T62" s="63"/>
      <c r="U62" s="63"/>
      <c r="V62" s="63"/>
      <c r="W62" s="17"/>
      <c r="X62" s="65">
        <v>46249</v>
      </c>
    </row>
    <row r="63" spans="1:24" ht="19.8" thickBot="1" x14ac:dyDescent="0.3">
      <c r="A63" s="4" t="s">
        <v>320</v>
      </c>
      <c r="B63" s="8">
        <v>0</v>
      </c>
      <c r="C63" s="9">
        <v>0</v>
      </c>
      <c r="D63" s="8">
        <v>1</v>
      </c>
      <c r="E63" s="10" t="s">
        <v>219</v>
      </c>
      <c r="F63" s="11" t="s">
        <v>216</v>
      </c>
      <c r="G63" s="12" t="s">
        <v>216</v>
      </c>
      <c r="H63" s="13" t="s">
        <v>218</v>
      </c>
      <c r="I63" s="14">
        <v>1</v>
      </c>
      <c r="J63" s="14" t="s">
        <v>10</v>
      </c>
      <c r="K63" s="5" t="s">
        <v>482</v>
      </c>
      <c r="L63" s="6">
        <v>0.66666666666666663</v>
      </c>
      <c r="M63" s="7" t="s">
        <v>483</v>
      </c>
      <c r="N63" s="14" t="s">
        <v>11</v>
      </c>
      <c r="O63" s="14">
        <v>1</v>
      </c>
      <c r="P63" s="13" t="s">
        <v>219</v>
      </c>
      <c r="Q63" s="12" t="s">
        <v>218</v>
      </c>
      <c r="R63" s="11" t="s">
        <v>217</v>
      </c>
      <c r="S63" s="10" t="s">
        <v>216</v>
      </c>
      <c r="T63" s="8">
        <v>1</v>
      </c>
      <c r="U63" s="15">
        <v>1</v>
      </c>
      <c r="V63" s="8">
        <v>0</v>
      </c>
      <c r="W63" s="17"/>
      <c r="X63" s="65">
        <v>46249</v>
      </c>
    </row>
    <row r="64" spans="1:24" ht="19.8" thickBot="1" x14ac:dyDescent="0.3">
      <c r="A64" s="4" t="s">
        <v>321</v>
      </c>
      <c r="B64" s="8">
        <v>0</v>
      </c>
      <c r="C64" s="9">
        <v>0</v>
      </c>
      <c r="D64" s="8">
        <v>1</v>
      </c>
      <c r="E64" s="10" t="s">
        <v>219</v>
      </c>
      <c r="F64" s="11" t="s">
        <v>216</v>
      </c>
      <c r="G64" s="12" t="s">
        <v>216</v>
      </c>
      <c r="H64" s="13" t="s">
        <v>218</v>
      </c>
      <c r="I64" s="14">
        <v>2</v>
      </c>
      <c r="J64" s="14" t="s">
        <v>10</v>
      </c>
      <c r="K64" s="5" t="s">
        <v>484</v>
      </c>
      <c r="L64" s="6">
        <v>0.58333333333333337</v>
      </c>
      <c r="M64" s="7" t="s">
        <v>485</v>
      </c>
      <c r="N64" s="14" t="s">
        <v>11</v>
      </c>
      <c r="O64" s="14">
        <v>1</v>
      </c>
      <c r="P64" s="13" t="s">
        <v>217</v>
      </c>
      <c r="Q64" s="12" t="s">
        <v>216</v>
      </c>
      <c r="R64" s="11" t="s">
        <v>217</v>
      </c>
      <c r="S64" s="10" t="s">
        <v>217</v>
      </c>
      <c r="T64" s="8">
        <v>1</v>
      </c>
      <c r="U64" s="9">
        <v>0</v>
      </c>
      <c r="V64" s="8">
        <v>0</v>
      </c>
      <c r="W64" s="17"/>
      <c r="X64" s="65">
        <v>46249</v>
      </c>
    </row>
    <row r="65" spans="1:24" ht="13.8" thickBot="1" x14ac:dyDescent="0.3">
      <c r="A65" s="4" t="s">
        <v>321</v>
      </c>
      <c r="B65" s="8">
        <v>0</v>
      </c>
      <c r="C65" s="9">
        <v>0</v>
      </c>
      <c r="D65" s="8">
        <v>0</v>
      </c>
      <c r="E65" s="10" t="s">
        <v>219</v>
      </c>
      <c r="F65" s="11" t="s">
        <v>217</v>
      </c>
      <c r="G65" s="12" t="s">
        <v>217</v>
      </c>
      <c r="H65" s="13" t="s">
        <v>218</v>
      </c>
      <c r="I65" s="14">
        <v>1</v>
      </c>
      <c r="J65" s="14" t="s">
        <v>10</v>
      </c>
      <c r="K65" s="5" t="s">
        <v>486</v>
      </c>
      <c r="L65" s="6">
        <v>0.58333333333333337</v>
      </c>
      <c r="M65" s="7" t="s">
        <v>487</v>
      </c>
      <c r="N65" s="14" t="s">
        <v>11</v>
      </c>
      <c r="O65" s="14">
        <v>2</v>
      </c>
      <c r="P65" s="13" t="s">
        <v>247</v>
      </c>
      <c r="Q65" s="12" t="s">
        <v>221</v>
      </c>
      <c r="R65" s="11" t="s">
        <v>217</v>
      </c>
      <c r="S65" s="10" t="s">
        <v>220</v>
      </c>
      <c r="T65" s="8">
        <v>0.5</v>
      </c>
      <c r="U65" s="9">
        <v>0.5</v>
      </c>
      <c r="V65" s="8">
        <v>0.5</v>
      </c>
      <c r="W65" s="17"/>
      <c r="X65" s="65">
        <v>46249</v>
      </c>
    </row>
    <row r="66" spans="1:24" ht="13.8" thickBot="1" x14ac:dyDescent="0.3">
      <c r="A66" s="4" t="s">
        <v>322</v>
      </c>
      <c r="B66" s="8">
        <v>0</v>
      </c>
      <c r="C66" s="9">
        <v>0</v>
      </c>
      <c r="D66" s="8">
        <v>0</v>
      </c>
      <c r="E66" s="10" t="s">
        <v>219</v>
      </c>
      <c r="F66" s="11" t="s">
        <v>217</v>
      </c>
      <c r="G66" s="12" t="s">
        <v>217</v>
      </c>
      <c r="H66" s="13" t="s">
        <v>218</v>
      </c>
      <c r="I66" s="14">
        <v>1</v>
      </c>
      <c r="J66" s="14" t="s">
        <v>10</v>
      </c>
      <c r="K66" s="5" t="s">
        <v>488</v>
      </c>
      <c r="L66" s="6">
        <v>0.625</v>
      </c>
      <c r="M66" s="7" t="s">
        <v>489</v>
      </c>
      <c r="N66" s="14" t="s">
        <v>11</v>
      </c>
      <c r="O66" s="14">
        <v>1</v>
      </c>
      <c r="P66" s="13" t="s">
        <v>217</v>
      </c>
      <c r="Q66" s="12" t="s">
        <v>226</v>
      </c>
      <c r="R66" s="11" t="s">
        <v>216</v>
      </c>
      <c r="S66" s="10" t="s">
        <v>216</v>
      </c>
      <c r="T66" s="8">
        <v>1</v>
      </c>
      <c r="U66" s="15">
        <v>1</v>
      </c>
      <c r="V66" s="8">
        <v>1</v>
      </c>
      <c r="W66" s="17"/>
      <c r="X66" s="65">
        <v>46249</v>
      </c>
    </row>
    <row r="67" spans="1:24" ht="13.8" thickBot="1" x14ac:dyDescent="0.3">
      <c r="A67" s="4" t="s">
        <v>322</v>
      </c>
      <c r="B67" s="8">
        <v>0</v>
      </c>
      <c r="C67" s="9">
        <v>0</v>
      </c>
      <c r="D67" s="8">
        <v>0.5</v>
      </c>
      <c r="E67" s="10" t="s">
        <v>247</v>
      </c>
      <c r="F67" s="11" t="s">
        <v>217</v>
      </c>
      <c r="G67" s="12" t="s">
        <v>220</v>
      </c>
      <c r="H67" s="13" t="s">
        <v>216</v>
      </c>
      <c r="I67" s="14">
        <v>2</v>
      </c>
      <c r="J67" s="14" t="s">
        <v>10</v>
      </c>
      <c r="K67" s="5" t="s">
        <v>490</v>
      </c>
      <c r="L67" s="6">
        <v>0.625</v>
      </c>
      <c r="M67" s="7" t="s">
        <v>491</v>
      </c>
      <c r="N67" s="14" t="s">
        <v>11</v>
      </c>
      <c r="O67" s="14">
        <v>1</v>
      </c>
      <c r="P67" s="13" t="s">
        <v>217</v>
      </c>
      <c r="Q67" s="12" t="s">
        <v>216</v>
      </c>
      <c r="R67" s="11" t="s">
        <v>217</v>
      </c>
      <c r="S67" s="10" t="s">
        <v>217</v>
      </c>
      <c r="T67" s="8">
        <v>1</v>
      </c>
      <c r="U67" s="9">
        <v>0</v>
      </c>
      <c r="V67" s="8">
        <v>0</v>
      </c>
      <c r="W67" s="17"/>
      <c r="X67" s="65">
        <v>46249</v>
      </c>
    </row>
    <row r="68" spans="1:24" ht="13.8" thickBot="1" x14ac:dyDescent="0.3">
      <c r="A68" s="4" t="s">
        <v>322</v>
      </c>
      <c r="B68" s="8">
        <v>0</v>
      </c>
      <c r="C68" s="9">
        <v>0</v>
      </c>
      <c r="D68" s="8">
        <v>0</v>
      </c>
      <c r="E68" s="10" t="s">
        <v>217</v>
      </c>
      <c r="F68" s="11" t="s">
        <v>219</v>
      </c>
      <c r="G68" s="12" t="s">
        <v>217</v>
      </c>
      <c r="H68" s="13" t="s">
        <v>219</v>
      </c>
      <c r="I68" s="14">
        <v>1</v>
      </c>
      <c r="J68" s="14" t="s">
        <v>10</v>
      </c>
      <c r="K68" s="5" t="s">
        <v>492</v>
      </c>
      <c r="L68" s="6">
        <v>0.625</v>
      </c>
      <c r="M68" s="7" t="s">
        <v>493</v>
      </c>
      <c r="N68" s="14" t="s">
        <v>11</v>
      </c>
      <c r="O68" s="14">
        <v>1</v>
      </c>
      <c r="P68" s="13" t="s">
        <v>218</v>
      </c>
      <c r="Q68" s="12" t="s">
        <v>216</v>
      </c>
      <c r="R68" s="11" t="s">
        <v>216</v>
      </c>
      <c r="S68" s="10" t="s">
        <v>219</v>
      </c>
      <c r="T68" s="8">
        <v>1</v>
      </c>
      <c r="U68" s="9">
        <v>0</v>
      </c>
      <c r="V68" s="8">
        <v>0</v>
      </c>
      <c r="W68" s="17"/>
      <c r="X68" s="65">
        <v>46249</v>
      </c>
    </row>
    <row r="69" spans="1:24" ht="13.8" thickBot="1" x14ac:dyDescent="0.3">
      <c r="A69" s="4" t="s">
        <v>322</v>
      </c>
      <c r="B69" s="8">
        <v>0</v>
      </c>
      <c r="C69" s="9">
        <v>0</v>
      </c>
      <c r="D69" s="8">
        <v>1</v>
      </c>
      <c r="E69" s="10" t="s">
        <v>216</v>
      </c>
      <c r="F69" s="11" t="s">
        <v>219</v>
      </c>
      <c r="G69" s="12" t="s">
        <v>216</v>
      </c>
      <c r="H69" s="13" t="s">
        <v>219</v>
      </c>
      <c r="I69" s="14">
        <v>1</v>
      </c>
      <c r="J69" s="14" t="s">
        <v>10</v>
      </c>
      <c r="K69" s="5" t="s">
        <v>494</v>
      </c>
      <c r="L69" s="6">
        <v>0.58333333333333337</v>
      </c>
      <c r="M69" s="7" t="s">
        <v>495</v>
      </c>
      <c r="N69" s="14" t="s">
        <v>11</v>
      </c>
      <c r="O69" s="14">
        <v>1</v>
      </c>
      <c r="P69" s="13" t="s">
        <v>218</v>
      </c>
      <c r="Q69" s="12" t="s">
        <v>217</v>
      </c>
      <c r="R69" s="11" t="s">
        <v>217</v>
      </c>
      <c r="S69" s="10" t="s">
        <v>219</v>
      </c>
      <c r="T69" s="8">
        <v>0</v>
      </c>
      <c r="U69" s="9">
        <v>0</v>
      </c>
      <c r="V69" s="8">
        <v>0</v>
      </c>
      <c r="W69" s="17"/>
      <c r="X69" s="65">
        <v>46249</v>
      </c>
    </row>
    <row r="70" spans="1:24" ht="13.8" thickBot="1" x14ac:dyDescent="0.3">
      <c r="A70" s="4" t="s">
        <v>322</v>
      </c>
      <c r="B70" s="8">
        <v>1</v>
      </c>
      <c r="C70" s="15">
        <v>1</v>
      </c>
      <c r="D70" s="8">
        <v>1</v>
      </c>
      <c r="E70" s="10" t="s">
        <v>218</v>
      </c>
      <c r="F70" s="11" t="s">
        <v>217</v>
      </c>
      <c r="G70" s="12" t="s">
        <v>226</v>
      </c>
      <c r="H70" s="13" t="s">
        <v>219</v>
      </c>
      <c r="I70" s="14">
        <v>1</v>
      </c>
      <c r="J70" s="14" t="s">
        <v>10</v>
      </c>
      <c r="K70" s="5" t="s">
        <v>496</v>
      </c>
      <c r="L70" s="6">
        <v>0.625</v>
      </c>
      <c r="M70" s="7" t="s">
        <v>497</v>
      </c>
      <c r="N70" s="14" t="s">
        <v>11</v>
      </c>
      <c r="O70" s="14">
        <v>1</v>
      </c>
      <c r="P70" s="13" t="s">
        <v>217</v>
      </c>
      <c r="Q70" s="12" t="s">
        <v>226</v>
      </c>
      <c r="R70" s="11" t="s">
        <v>216</v>
      </c>
      <c r="S70" s="10" t="s">
        <v>216</v>
      </c>
      <c r="T70" s="8">
        <v>1</v>
      </c>
      <c r="U70" s="15">
        <v>1</v>
      </c>
      <c r="V70" s="8">
        <v>1</v>
      </c>
      <c r="W70" s="17"/>
      <c r="X70" s="65">
        <v>46249</v>
      </c>
    </row>
    <row r="71" spans="1:24" ht="13.8" thickBot="1" x14ac:dyDescent="0.3">
      <c r="A71" s="4" t="s">
        <v>322</v>
      </c>
      <c r="B71" s="8">
        <v>1</v>
      </c>
      <c r="C71" s="15">
        <v>1</v>
      </c>
      <c r="D71" s="8">
        <v>1</v>
      </c>
      <c r="E71" s="10" t="s">
        <v>216</v>
      </c>
      <c r="F71" s="11" t="s">
        <v>216</v>
      </c>
      <c r="G71" s="12" t="s">
        <v>226</v>
      </c>
      <c r="H71" s="13" t="s">
        <v>217</v>
      </c>
      <c r="I71" s="14">
        <v>1</v>
      </c>
      <c r="J71" s="14" t="s">
        <v>10</v>
      </c>
      <c r="K71" s="5" t="s">
        <v>498</v>
      </c>
      <c r="L71" s="6">
        <v>0.625</v>
      </c>
      <c r="M71" s="7" t="s">
        <v>499</v>
      </c>
      <c r="N71" s="14" t="s">
        <v>11</v>
      </c>
      <c r="O71" s="14">
        <v>1</v>
      </c>
      <c r="P71" s="13" t="s">
        <v>218</v>
      </c>
      <c r="Q71" s="12" t="s">
        <v>226</v>
      </c>
      <c r="R71" s="11" t="s">
        <v>218</v>
      </c>
      <c r="S71" s="10" t="s">
        <v>217</v>
      </c>
      <c r="T71" s="8">
        <v>1</v>
      </c>
      <c r="U71" s="15">
        <v>1</v>
      </c>
      <c r="V71" s="8">
        <v>1</v>
      </c>
      <c r="W71" s="17"/>
      <c r="X71" s="65">
        <v>46249</v>
      </c>
    </row>
    <row r="72" spans="1:24" ht="19.8" thickBot="1" x14ac:dyDescent="0.3">
      <c r="A72" s="4" t="s">
        <v>322</v>
      </c>
      <c r="B72" s="8">
        <v>1</v>
      </c>
      <c r="C72" s="15">
        <v>1</v>
      </c>
      <c r="D72" s="8">
        <v>1</v>
      </c>
      <c r="E72" s="10" t="s">
        <v>218</v>
      </c>
      <c r="F72" s="11" t="s">
        <v>216</v>
      </c>
      <c r="G72" s="12" t="s">
        <v>278</v>
      </c>
      <c r="H72" s="13" t="s">
        <v>219</v>
      </c>
      <c r="I72" s="14">
        <v>1</v>
      </c>
      <c r="J72" s="14" t="s">
        <v>10</v>
      </c>
      <c r="K72" s="5" t="s">
        <v>500</v>
      </c>
      <c r="L72" s="6">
        <v>0.625</v>
      </c>
      <c r="M72" s="7" t="s">
        <v>501</v>
      </c>
      <c r="N72" s="14" t="s">
        <v>11</v>
      </c>
      <c r="O72" s="14">
        <v>2</v>
      </c>
      <c r="P72" s="13" t="s">
        <v>247</v>
      </c>
      <c r="Q72" s="12" t="s">
        <v>246</v>
      </c>
      <c r="R72" s="11" t="s">
        <v>217</v>
      </c>
      <c r="S72" s="10" t="s">
        <v>221</v>
      </c>
      <c r="T72" s="8">
        <v>1</v>
      </c>
      <c r="U72" s="15">
        <v>1</v>
      </c>
      <c r="V72" s="8">
        <v>0.5</v>
      </c>
      <c r="W72" s="17"/>
      <c r="X72" s="65">
        <v>46249</v>
      </c>
    </row>
    <row r="73" spans="1:24" ht="19.8" thickBot="1" x14ac:dyDescent="0.3">
      <c r="A73" s="4" t="s">
        <v>244</v>
      </c>
      <c r="B73" s="63"/>
      <c r="C73" s="63"/>
      <c r="D73" s="63"/>
      <c r="E73" s="63"/>
      <c r="F73" s="63"/>
      <c r="G73" s="63"/>
      <c r="H73" s="63"/>
      <c r="I73" s="64"/>
      <c r="J73" s="14" t="s">
        <v>10</v>
      </c>
      <c r="K73" s="5" t="s">
        <v>502</v>
      </c>
      <c r="L73" s="6">
        <v>0.70833333333333337</v>
      </c>
      <c r="M73" s="7" t="s">
        <v>503</v>
      </c>
      <c r="N73" s="14" t="s">
        <v>11</v>
      </c>
      <c r="O73" s="64"/>
      <c r="P73" s="63"/>
      <c r="Q73" s="63"/>
      <c r="R73" s="63"/>
      <c r="S73" s="63"/>
      <c r="T73" s="63"/>
      <c r="U73" s="63"/>
      <c r="V73" s="63"/>
      <c r="W73" s="17"/>
      <c r="X73" s="65">
        <v>46249</v>
      </c>
    </row>
    <row r="74" spans="1:24" ht="13.8" thickBot="1" x14ac:dyDescent="0.3">
      <c r="A74" s="4" t="s">
        <v>244</v>
      </c>
      <c r="B74" s="8">
        <v>0</v>
      </c>
      <c r="C74" s="15">
        <v>1</v>
      </c>
      <c r="D74" s="8">
        <v>1</v>
      </c>
      <c r="E74" s="10" t="s">
        <v>216</v>
      </c>
      <c r="F74" s="11" t="s">
        <v>217</v>
      </c>
      <c r="G74" s="12" t="s">
        <v>218</v>
      </c>
      <c r="H74" s="13" t="s">
        <v>219</v>
      </c>
      <c r="I74" s="14">
        <v>1</v>
      </c>
      <c r="J74" s="14" t="s">
        <v>10</v>
      </c>
      <c r="K74" s="5" t="s">
        <v>504</v>
      </c>
      <c r="L74" s="6">
        <v>0.69791666666666663</v>
      </c>
      <c r="M74" s="7" t="s">
        <v>505</v>
      </c>
      <c r="N74" s="14" t="s">
        <v>11</v>
      </c>
      <c r="O74" s="14">
        <v>1</v>
      </c>
      <c r="P74" s="13" t="s">
        <v>219</v>
      </c>
      <c r="Q74" s="12" t="s">
        <v>278</v>
      </c>
      <c r="R74" s="11" t="s">
        <v>216</v>
      </c>
      <c r="S74" s="10" t="s">
        <v>218</v>
      </c>
      <c r="T74" s="8">
        <v>1</v>
      </c>
      <c r="U74" s="15">
        <v>1</v>
      </c>
      <c r="V74" s="8">
        <v>1</v>
      </c>
      <c r="W74" s="17"/>
      <c r="X74" s="65">
        <v>46249</v>
      </c>
    </row>
    <row r="75" spans="1:24" ht="13.8" thickBot="1" x14ac:dyDescent="0.3">
      <c r="A75" s="4" t="s">
        <v>175</v>
      </c>
      <c r="B75" s="8">
        <v>0.64</v>
      </c>
      <c r="C75" s="15">
        <v>1</v>
      </c>
      <c r="D75" s="8">
        <v>1</v>
      </c>
      <c r="E75" s="10" t="s">
        <v>314</v>
      </c>
      <c r="F75" s="11" t="s">
        <v>261</v>
      </c>
      <c r="G75" s="12" t="s">
        <v>506</v>
      </c>
      <c r="H75" s="13" t="s">
        <v>301</v>
      </c>
      <c r="I75" s="14">
        <v>11</v>
      </c>
      <c r="J75" s="14" t="s">
        <v>10</v>
      </c>
      <c r="K75" s="5" t="s">
        <v>177</v>
      </c>
      <c r="L75" s="6">
        <v>0.58333333333333337</v>
      </c>
      <c r="M75" s="7" t="s">
        <v>507</v>
      </c>
      <c r="N75" s="14" t="s">
        <v>11</v>
      </c>
      <c r="O75" s="14">
        <v>9</v>
      </c>
      <c r="P75" s="13" t="s">
        <v>228</v>
      </c>
      <c r="Q75" s="12" t="s">
        <v>323</v>
      </c>
      <c r="R75" s="11" t="s">
        <v>228</v>
      </c>
      <c r="S75" s="10" t="s">
        <v>307</v>
      </c>
      <c r="T75" s="8">
        <v>0.67</v>
      </c>
      <c r="U75" s="15">
        <v>0.67</v>
      </c>
      <c r="V75" s="8">
        <v>0.44</v>
      </c>
      <c r="W75" s="17"/>
      <c r="X75" s="65">
        <v>46249</v>
      </c>
    </row>
    <row r="76" spans="1:24" ht="13.8" thickBot="1" x14ac:dyDescent="0.3">
      <c r="A76" s="4" t="s">
        <v>87</v>
      </c>
      <c r="B76" s="8">
        <v>0.33</v>
      </c>
      <c r="C76" s="9">
        <v>0.44</v>
      </c>
      <c r="D76" s="8">
        <v>0.67</v>
      </c>
      <c r="E76" s="10" t="s">
        <v>324</v>
      </c>
      <c r="F76" s="11" t="s">
        <v>231</v>
      </c>
      <c r="G76" s="12" t="s">
        <v>325</v>
      </c>
      <c r="H76" s="13" t="s">
        <v>216</v>
      </c>
      <c r="I76" s="14">
        <v>9</v>
      </c>
      <c r="J76" s="14" t="s">
        <v>10</v>
      </c>
      <c r="K76" s="5" t="s">
        <v>508</v>
      </c>
      <c r="L76" s="6">
        <v>0.54166666666666663</v>
      </c>
      <c r="M76" s="7" t="s">
        <v>509</v>
      </c>
      <c r="N76" s="14" t="s">
        <v>11</v>
      </c>
      <c r="O76" s="14">
        <v>9</v>
      </c>
      <c r="P76" s="13" t="s">
        <v>326</v>
      </c>
      <c r="Q76" s="12" t="s">
        <v>216</v>
      </c>
      <c r="R76" s="11" t="s">
        <v>310</v>
      </c>
      <c r="S76" s="10" t="s">
        <v>224</v>
      </c>
      <c r="T76" s="8">
        <v>0.56000000000000005</v>
      </c>
      <c r="U76" s="9">
        <v>0.33</v>
      </c>
      <c r="V76" s="8">
        <v>0.22</v>
      </c>
      <c r="W76" s="17"/>
      <c r="X76" s="65">
        <v>46249</v>
      </c>
    </row>
    <row r="77" spans="1:24" ht="13.8" thickBot="1" x14ac:dyDescent="0.3">
      <c r="A77" s="4" t="s">
        <v>87</v>
      </c>
      <c r="B77" s="8">
        <v>0.11</v>
      </c>
      <c r="C77" s="9">
        <v>0.22</v>
      </c>
      <c r="D77" s="8">
        <v>0.44</v>
      </c>
      <c r="E77" s="10" t="s">
        <v>306</v>
      </c>
      <c r="F77" s="11" t="s">
        <v>217</v>
      </c>
      <c r="G77" s="12" t="s">
        <v>231</v>
      </c>
      <c r="H77" s="13" t="s">
        <v>216</v>
      </c>
      <c r="I77" s="14">
        <v>9</v>
      </c>
      <c r="J77" s="14" t="s">
        <v>10</v>
      </c>
      <c r="K77" s="5" t="s">
        <v>510</v>
      </c>
      <c r="L77" s="6">
        <v>0.5625</v>
      </c>
      <c r="M77" s="7" t="s">
        <v>181</v>
      </c>
      <c r="N77" s="14" t="s">
        <v>11</v>
      </c>
      <c r="O77" s="14">
        <v>8</v>
      </c>
      <c r="P77" s="13" t="s">
        <v>223</v>
      </c>
      <c r="Q77" s="12" t="s">
        <v>225</v>
      </c>
      <c r="R77" s="11" t="s">
        <v>220</v>
      </c>
      <c r="S77" s="10" t="s">
        <v>222</v>
      </c>
      <c r="T77" s="8">
        <v>0.62</v>
      </c>
      <c r="U77" s="9">
        <v>0.38</v>
      </c>
      <c r="V77" s="8">
        <v>0.25</v>
      </c>
      <c r="W77" s="17"/>
      <c r="X77" s="65">
        <v>46249</v>
      </c>
    </row>
    <row r="78" spans="1:24" ht="13.8" thickBot="1" x14ac:dyDescent="0.3">
      <c r="A78" s="4" t="s">
        <v>366</v>
      </c>
      <c r="B78" s="63"/>
      <c r="C78" s="63"/>
      <c r="D78" s="63"/>
      <c r="E78" s="63"/>
      <c r="F78" s="63"/>
      <c r="G78" s="63"/>
      <c r="H78" s="63"/>
      <c r="I78" s="64"/>
      <c r="J78" s="14" t="s">
        <v>10</v>
      </c>
      <c r="K78" s="5" t="s">
        <v>511</v>
      </c>
      <c r="L78" s="6">
        <v>0.625</v>
      </c>
      <c r="M78" s="7" t="s">
        <v>512</v>
      </c>
      <c r="N78" s="14" t="s">
        <v>11</v>
      </c>
      <c r="O78" s="64"/>
      <c r="P78" s="63"/>
      <c r="Q78" s="63"/>
      <c r="R78" s="63"/>
      <c r="S78" s="63"/>
      <c r="T78" s="63"/>
      <c r="U78" s="63"/>
      <c r="V78" s="63"/>
      <c r="W78" s="17"/>
      <c r="X78" s="65">
        <v>46249</v>
      </c>
    </row>
    <row r="79" spans="1:24" ht="13.8" thickBot="1" x14ac:dyDescent="0.3">
      <c r="A79" s="4" t="s">
        <v>366</v>
      </c>
      <c r="B79" s="8">
        <v>0</v>
      </c>
      <c r="C79" s="15">
        <v>1</v>
      </c>
      <c r="D79" s="8">
        <v>1</v>
      </c>
      <c r="E79" s="10" t="s">
        <v>218</v>
      </c>
      <c r="F79" s="11" t="s">
        <v>219</v>
      </c>
      <c r="G79" s="12" t="s">
        <v>218</v>
      </c>
      <c r="H79" s="13" t="s">
        <v>219</v>
      </c>
      <c r="I79" s="14">
        <v>1</v>
      </c>
      <c r="J79" s="14" t="s">
        <v>10</v>
      </c>
      <c r="K79" s="5" t="s">
        <v>513</v>
      </c>
      <c r="L79" s="6">
        <v>0.625</v>
      </c>
      <c r="M79" s="7" t="s">
        <v>514</v>
      </c>
      <c r="N79" s="14" t="s">
        <v>11</v>
      </c>
      <c r="O79" s="64"/>
      <c r="P79" s="63"/>
      <c r="Q79" s="63"/>
      <c r="R79" s="63"/>
      <c r="S79" s="63"/>
      <c r="T79" s="63"/>
      <c r="U79" s="63"/>
      <c r="V79" s="63"/>
      <c r="W79" s="17"/>
      <c r="X79" s="65">
        <v>46249</v>
      </c>
    </row>
    <row r="80" spans="1:24" ht="19.8" thickBot="1" x14ac:dyDescent="0.3">
      <c r="A80" s="4" t="s">
        <v>366</v>
      </c>
      <c r="B80" s="63"/>
      <c r="C80" s="63"/>
      <c r="D80" s="63"/>
      <c r="E80" s="63"/>
      <c r="F80" s="63"/>
      <c r="G80" s="63"/>
      <c r="H80" s="63"/>
      <c r="I80" s="64"/>
      <c r="J80" s="14" t="s">
        <v>10</v>
      </c>
      <c r="K80" s="5" t="s">
        <v>515</v>
      </c>
      <c r="L80" s="6">
        <v>0.625</v>
      </c>
      <c r="M80" s="7" t="s">
        <v>516</v>
      </c>
      <c r="N80" s="14" t="s">
        <v>11</v>
      </c>
      <c r="O80" s="64"/>
      <c r="P80" s="63"/>
      <c r="Q80" s="63"/>
      <c r="R80" s="63"/>
      <c r="S80" s="63"/>
      <c r="T80" s="63"/>
      <c r="U80" s="63"/>
      <c r="V80" s="63"/>
      <c r="W80" s="17"/>
      <c r="X80" s="65">
        <v>46249</v>
      </c>
    </row>
    <row r="81" spans="1:24" ht="13.8" thickBot="1" x14ac:dyDescent="0.3">
      <c r="A81" s="4" t="s">
        <v>366</v>
      </c>
      <c r="B81" s="63"/>
      <c r="C81" s="63"/>
      <c r="D81" s="63"/>
      <c r="E81" s="63"/>
      <c r="F81" s="63"/>
      <c r="G81" s="63"/>
      <c r="H81" s="63"/>
      <c r="I81" s="64"/>
      <c r="J81" s="14" t="s">
        <v>10</v>
      </c>
      <c r="K81" s="5" t="s">
        <v>517</v>
      </c>
      <c r="L81" s="6">
        <v>0.625</v>
      </c>
      <c r="M81" s="7" t="s">
        <v>518</v>
      </c>
      <c r="N81" s="14" t="s">
        <v>11</v>
      </c>
      <c r="O81" s="64"/>
      <c r="P81" s="63"/>
      <c r="Q81" s="63"/>
      <c r="R81" s="63"/>
      <c r="S81" s="63"/>
      <c r="T81" s="63"/>
      <c r="U81" s="63"/>
      <c r="V81" s="63"/>
      <c r="W81" s="17"/>
      <c r="X81" s="65">
        <v>46249</v>
      </c>
    </row>
    <row r="82" spans="1:24" ht="19.8" thickBot="1" x14ac:dyDescent="0.3">
      <c r="A82" s="4" t="s">
        <v>366</v>
      </c>
      <c r="B82" s="63"/>
      <c r="C82" s="63"/>
      <c r="D82" s="63"/>
      <c r="E82" s="63"/>
      <c r="F82" s="63"/>
      <c r="G82" s="63"/>
      <c r="H82" s="63"/>
      <c r="I82" s="64"/>
      <c r="J82" s="14" t="s">
        <v>10</v>
      </c>
      <c r="K82" s="5" t="s">
        <v>519</v>
      </c>
      <c r="L82" s="6">
        <v>0.625</v>
      </c>
      <c r="M82" s="7" t="s">
        <v>520</v>
      </c>
      <c r="N82" s="14" t="s">
        <v>11</v>
      </c>
      <c r="O82" s="64"/>
      <c r="P82" s="63"/>
      <c r="Q82" s="63"/>
      <c r="R82" s="63"/>
      <c r="S82" s="63"/>
      <c r="T82" s="63"/>
      <c r="U82" s="63"/>
      <c r="V82" s="63"/>
      <c r="W82" s="17"/>
      <c r="X82" s="65">
        <v>46249</v>
      </c>
    </row>
    <row r="83" spans="1:24" ht="13.8" thickBot="1" x14ac:dyDescent="0.3">
      <c r="A83" s="4" t="s">
        <v>366</v>
      </c>
      <c r="B83" s="63"/>
      <c r="C83" s="63"/>
      <c r="D83" s="63"/>
      <c r="E83" s="63"/>
      <c r="F83" s="63"/>
      <c r="G83" s="63"/>
      <c r="H83" s="63"/>
      <c r="I83" s="64"/>
      <c r="J83" s="14" t="s">
        <v>10</v>
      </c>
      <c r="K83" s="5" t="s">
        <v>521</v>
      </c>
      <c r="L83" s="6">
        <v>0.625</v>
      </c>
      <c r="M83" s="7" t="s">
        <v>522</v>
      </c>
      <c r="N83" s="14" t="s">
        <v>11</v>
      </c>
      <c r="O83" s="64"/>
      <c r="P83" s="63"/>
      <c r="Q83" s="63"/>
      <c r="R83" s="63"/>
      <c r="S83" s="63"/>
      <c r="T83" s="63"/>
      <c r="U83" s="63"/>
      <c r="V83" s="63"/>
      <c r="W83" s="17"/>
      <c r="X83" s="65">
        <v>46249</v>
      </c>
    </row>
    <row r="84" spans="1:24" ht="19.8" thickBot="1" x14ac:dyDescent="0.3">
      <c r="A84" s="4" t="s">
        <v>366</v>
      </c>
      <c r="B84" s="63"/>
      <c r="C84" s="63"/>
      <c r="D84" s="63"/>
      <c r="E84" s="63"/>
      <c r="F84" s="63"/>
      <c r="G84" s="63"/>
      <c r="H84" s="63"/>
      <c r="I84" s="64"/>
      <c r="J84" s="14" t="s">
        <v>10</v>
      </c>
      <c r="K84" s="5" t="s">
        <v>523</v>
      </c>
      <c r="L84" s="6">
        <v>0.625</v>
      </c>
      <c r="M84" s="7" t="s">
        <v>524</v>
      </c>
      <c r="N84" s="14" t="s">
        <v>11</v>
      </c>
      <c r="O84" s="64"/>
      <c r="P84" s="63"/>
      <c r="Q84" s="63"/>
      <c r="R84" s="63"/>
      <c r="S84" s="63"/>
      <c r="T84" s="63"/>
      <c r="U84" s="63"/>
      <c r="V84" s="63"/>
      <c r="W84" s="17"/>
      <c r="X84" s="65">
        <v>46249</v>
      </c>
    </row>
    <row r="85" spans="1:24" ht="13.8" thickBot="1" x14ac:dyDescent="0.3">
      <c r="A85" s="4" t="s">
        <v>366</v>
      </c>
      <c r="B85" s="63"/>
      <c r="C85" s="63"/>
      <c r="D85" s="63"/>
      <c r="E85" s="63"/>
      <c r="F85" s="63"/>
      <c r="G85" s="63"/>
      <c r="H85" s="63"/>
      <c r="I85" s="64"/>
      <c r="J85" s="14" t="s">
        <v>10</v>
      </c>
      <c r="K85" s="5" t="s">
        <v>525</v>
      </c>
      <c r="L85" s="6">
        <v>0.625</v>
      </c>
      <c r="M85" s="7" t="s">
        <v>526</v>
      </c>
      <c r="N85" s="14" t="s">
        <v>11</v>
      </c>
      <c r="O85" s="14">
        <v>1</v>
      </c>
      <c r="P85" s="13" t="s">
        <v>218</v>
      </c>
      <c r="Q85" s="12" t="s">
        <v>216</v>
      </c>
      <c r="R85" s="11" t="s">
        <v>216</v>
      </c>
      <c r="S85" s="10" t="s">
        <v>219</v>
      </c>
      <c r="T85" s="8">
        <v>1</v>
      </c>
      <c r="U85" s="9">
        <v>0</v>
      </c>
      <c r="V85" s="8">
        <v>0</v>
      </c>
      <c r="W85" s="17"/>
      <c r="X85" s="65">
        <v>46249</v>
      </c>
    </row>
    <row r="86" spans="1:24" ht="13.8" thickBot="1" x14ac:dyDescent="0.3">
      <c r="A86" s="4" t="s">
        <v>366</v>
      </c>
      <c r="B86" s="63"/>
      <c r="C86" s="63"/>
      <c r="D86" s="63"/>
      <c r="E86" s="63"/>
      <c r="F86" s="63"/>
      <c r="G86" s="63"/>
      <c r="H86" s="63"/>
      <c r="I86" s="64"/>
      <c r="J86" s="14" t="s">
        <v>10</v>
      </c>
      <c r="K86" s="5" t="s">
        <v>527</v>
      </c>
      <c r="L86" s="6">
        <v>0.625</v>
      </c>
      <c r="M86" s="7" t="s">
        <v>528</v>
      </c>
      <c r="N86" s="14" t="s">
        <v>11</v>
      </c>
      <c r="O86" s="64"/>
      <c r="P86" s="63"/>
      <c r="Q86" s="63"/>
      <c r="R86" s="63"/>
      <c r="S86" s="63"/>
      <c r="T86" s="63"/>
      <c r="U86" s="63"/>
      <c r="V86" s="63"/>
      <c r="W86" s="17"/>
      <c r="X86" s="65">
        <v>46249</v>
      </c>
    </row>
    <row r="87" spans="1:24" ht="19.8" thickBot="1" x14ac:dyDescent="0.3">
      <c r="A87" s="4" t="s">
        <v>215</v>
      </c>
      <c r="B87" s="63"/>
      <c r="C87" s="63"/>
      <c r="D87" s="63"/>
      <c r="E87" s="63"/>
      <c r="F87" s="63"/>
      <c r="G87" s="63"/>
      <c r="H87" s="63"/>
      <c r="I87" s="64"/>
      <c r="J87" s="14" t="s">
        <v>10</v>
      </c>
      <c r="K87" s="5" t="s">
        <v>529</v>
      </c>
      <c r="L87" s="6">
        <v>0.625</v>
      </c>
      <c r="M87" s="7" t="s">
        <v>530</v>
      </c>
      <c r="N87" s="14" t="s">
        <v>11</v>
      </c>
      <c r="O87" s="64"/>
      <c r="P87" s="63"/>
      <c r="Q87" s="63"/>
      <c r="R87" s="63"/>
      <c r="S87" s="63"/>
      <c r="T87" s="63"/>
      <c r="U87" s="63"/>
      <c r="V87" s="63"/>
      <c r="W87" s="17"/>
      <c r="X87" s="65">
        <v>46249</v>
      </c>
    </row>
    <row r="88" spans="1:24" ht="13.8" thickBot="1" x14ac:dyDescent="0.3">
      <c r="A88" s="4" t="s">
        <v>215</v>
      </c>
      <c r="B88" s="8">
        <v>0.5</v>
      </c>
      <c r="C88" s="9">
        <v>0.5</v>
      </c>
      <c r="D88" s="8">
        <v>0.5</v>
      </c>
      <c r="E88" s="10" t="s">
        <v>220</v>
      </c>
      <c r="F88" s="11" t="s">
        <v>217</v>
      </c>
      <c r="G88" s="12" t="s">
        <v>221</v>
      </c>
      <c r="H88" s="13" t="s">
        <v>247</v>
      </c>
      <c r="I88" s="14">
        <v>2</v>
      </c>
      <c r="J88" s="14" t="s">
        <v>10</v>
      </c>
      <c r="K88" s="5" t="s">
        <v>531</v>
      </c>
      <c r="L88" s="6">
        <v>0.625</v>
      </c>
      <c r="M88" s="7" t="s">
        <v>532</v>
      </c>
      <c r="N88" s="14" t="s">
        <v>11</v>
      </c>
      <c r="O88" s="14">
        <v>2</v>
      </c>
      <c r="P88" s="13" t="s">
        <v>247</v>
      </c>
      <c r="Q88" s="12" t="s">
        <v>218</v>
      </c>
      <c r="R88" s="11" t="s">
        <v>247</v>
      </c>
      <c r="S88" s="10" t="s">
        <v>221</v>
      </c>
      <c r="T88" s="8">
        <v>1</v>
      </c>
      <c r="U88" s="9">
        <v>0.5</v>
      </c>
      <c r="V88" s="8">
        <v>0.5</v>
      </c>
      <c r="W88" s="17"/>
      <c r="X88" s="65">
        <v>46249</v>
      </c>
    </row>
    <row r="89" spans="1:24" ht="19.8" thickBot="1" x14ac:dyDescent="0.3">
      <c r="A89" s="4" t="s">
        <v>215</v>
      </c>
      <c r="B89" s="8">
        <v>0</v>
      </c>
      <c r="C89" s="9">
        <v>0</v>
      </c>
      <c r="D89" s="8">
        <v>0.5</v>
      </c>
      <c r="E89" s="10" t="s">
        <v>220</v>
      </c>
      <c r="F89" s="11" t="s">
        <v>219</v>
      </c>
      <c r="G89" s="12" t="s">
        <v>220</v>
      </c>
      <c r="H89" s="13" t="s">
        <v>219</v>
      </c>
      <c r="I89" s="14">
        <v>2</v>
      </c>
      <c r="J89" s="14" t="s">
        <v>10</v>
      </c>
      <c r="K89" s="5" t="s">
        <v>533</v>
      </c>
      <c r="L89" s="6">
        <v>0.625</v>
      </c>
      <c r="M89" s="7" t="s">
        <v>534</v>
      </c>
      <c r="N89" s="14" t="s">
        <v>11</v>
      </c>
      <c r="O89" s="14">
        <v>1</v>
      </c>
      <c r="P89" s="13" t="s">
        <v>218</v>
      </c>
      <c r="Q89" s="12" t="s">
        <v>217</v>
      </c>
      <c r="R89" s="11" t="s">
        <v>217</v>
      </c>
      <c r="S89" s="10" t="s">
        <v>219</v>
      </c>
      <c r="T89" s="8">
        <v>0</v>
      </c>
      <c r="U89" s="9">
        <v>0</v>
      </c>
      <c r="V89" s="8">
        <v>0</v>
      </c>
      <c r="W89" s="17"/>
      <c r="X89" s="65">
        <v>46249</v>
      </c>
    </row>
    <row r="90" spans="1:24" ht="19.8" thickBot="1" x14ac:dyDescent="0.3">
      <c r="A90" s="4" t="s">
        <v>215</v>
      </c>
      <c r="B90" s="8">
        <v>1</v>
      </c>
      <c r="C90" s="15">
        <v>1</v>
      </c>
      <c r="D90" s="8">
        <v>1</v>
      </c>
      <c r="E90" s="10" t="s">
        <v>226</v>
      </c>
      <c r="F90" s="11" t="s">
        <v>247</v>
      </c>
      <c r="G90" s="12" t="s">
        <v>327</v>
      </c>
      <c r="H90" s="13" t="s">
        <v>219</v>
      </c>
      <c r="I90" s="14">
        <v>2</v>
      </c>
      <c r="J90" s="14" t="s">
        <v>10</v>
      </c>
      <c r="K90" s="5" t="s">
        <v>535</v>
      </c>
      <c r="L90" s="6">
        <v>0.625</v>
      </c>
      <c r="M90" s="7" t="s">
        <v>536</v>
      </c>
      <c r="N90" s="14" t="s">
        <v>11</v>
      </c>
      <c r="O90" s="14">
        <v>2</v>
      </c>
      <c r="P90" s="13" t="s">
        <v>219</v>
      </c>
      <c r="Q90" s="12" t="s">
        <v>278</v>
      </c>
      <c r="R90" s="11" t="s">
        <v>220</v>
      </c>
      <c r="S90" s="10" t="s">
        <v>246</v>
      </c>
      <c r="T90" s="8">
        <v>1</v>
      </c>
      <c r="U90" s="15">
        <v>1</v>
      </c>
      <c r="V90" s="8">
        <v>1</v>
      </c>
      <c r="W90" s="17"/>
      <c r="X90" s="65">
        <v>46249</v>
      </c>
    </row>
    <row r="91" spans="1:24" ht="13.8" thickBot="1" x14ac:dyDescent="0.3">
      <c r="A91" s="4" t="s">
        <v>215</v>
      </c>
      <c r="B91" s="8">
        <v>0</v>
      </c>
      <c r="C91" s="15">
        <v>1</v>
      </c>
      <c r="D91" s="8">
        <v>1</v>
      </c>
      <c r="E91" s="10" t="s">
        <v>218</v>
      </c>
      <c r="F91" s="11" t="s">
        <v>219</v>
      </c>
      <c r="G91" s="12" t="s">
        <v>218</v>
      </c>
      <c r="H91" s="13" t="s">
        <v>219</v>
      </c>
      <c r="I91" s="14">
        <v>1</v>
      </c>
      <c r="J91" s="14" t="s">
        <v>10</v>
      </c>
      <c r="K91" s="5" t="s">
        <v>537</v>
      </c>
      <c r="L91" s="6">
        <v>0.625</v>
      </c>
      <c r="M91" s="7" t="s">
        <v>538</v>
      </c>
      <c r="N91" s="14" t="s">
        <v>11</v>
      </c>
      <c r="O91" s="14">
        <v>2</v>
      </c>
      <c r="P91" s="13" t="s">
        <v>220</v>
      </c>
      <c r="Q91" s="12" t="s">
        <v>216</v>
      </c>
      <c r="R91" s="11" t="s">
        <v>247</v>
      </c>
      <c r="S91" s="10" t="s">
        <v>220</v>
      </c>
      <c r="T91" s="8">
        <v>0.5</v>
      </c>
      <c r="U91" s="9">
        <v>0.5</v>
      </c>
      <c r="V91" s="8">
        <v>0</v>
      </c>
      <c r="W91" s="17"/>
      <c r="X91" s="65">
        <v>46249</v>
      </c>
    </row>
    <row r="92" spans="1:24" ht="13.8" thickBot="1" x14ac:dyDescent="0.3">
      <c r="A92" s="4" t="s">
        <v>215</v>
      </c>
      <c r="B92" s="8">
        <v>0</v>
      </c>
      <c r="C92" s="9">
        <v>0</v>
      </c>
      <c r="D92" s="8">
        <v>1</v>
      </c>
      <c r="E92" s="10" t="s">
        <v>217</v>
      </c>
      <c r="F92" s="11" t="s">
        <v>217</v>
      </c>
      <c r="G92" s="12" t="s">
        <v>216</v>
      </c>
      <c r="H92" s="13" t="s">
        <v>217</v>
      </c>
      <c r="I92" s="14">
        <v>1</v>
      </c>
      <c r="J92" s="14" t="s">
        <v>10</v>
      </c>
      <c r="K92" s="5" t="s">
        <v>539</v>
      </c>
      <c r="L92" s="6">
        <v>0.64583333333333337</v>
      </c>
      <c r="M92" s="7" t="s">
        <v>540</v>
      </c>
      <c r="N92" s="14" t="s">
        <v>11</v>
      </c>
      <c r="O92" s="14">
        <v>1</v>
      </c>
      <c r="P92" s="13" t="s">
        <v>217</v>
      </c>
      <c r="Q92" s="12" t="s">
        <v>216</v>
      </c>
      <c r="R92" s="11" t="s">
        <v>217</v>
      </c>
      <c r="S92" s="10" t="s">
        <v>217</v>
      </c>
      <c r="T92" s="8">
        <v>1</v>
      </c>
      <c r="U92" s="9">
        <v>0</v>
      </c>
      <c r="V92" s="8">
        <v>0</v>
      </c>
      <c r="W92" s="17"/>
      <c r="X92" s="65">
        <v>46249</v>
      </c>
    </row>
    <row r="93" spans="1:24" ht="13.8" thickBot="1" x14ac:dyDescent="0.3">
      <c r="A93" s="4" t="s">
        <v>215</v>
      </c>
      <c r="B93" s="8">
        <v>0</v>
      </c>
      <c r="C93" s="15">
        <v>1</v>
      </c>
      <c r="D93" s="8">
        <v>1</v>
      </c>
      <c r="E93" s="10" t="s">
        <v>216</v>
      </c>
      <c r="F93" s="11" t="s">
        <v>217</v>
      </c>
      <c r="G93" s="12" t="s">
        <v>218</v>
      </c>
      <c r="H93" s="13" t="s">
        <v>219</v>
      </c>
      <c r="I93" s="14">
        <v>1</v>
      </c>
      <c r="J93" s="14" t="s">
        <v>10</v>
      </c>
      <c r="K93" s="5" t="s">
        <v>541</v>
      </c>
      <c r="L93" s="6">
        <v>0.64583333333333337</v>
      </c>
      <c r="M93" s="7" t="s">
        <v>542</v>
      </c>
      <c r="N93" s="14" t="s">
        <v>11</v>
      </c>
      <c r="O93" s="14">
        <v>1</v>
      </c>
      <c r="P93" s="13" t="s">
        <v>217</v>
      </c>
      <c r="Q93" s="12" t="s">
        <v>219</v>
      </c>
      <c r="R93" s="11" t="s">
        <v>219</v>
      </c>
      <c r="S93" s="10" t="s">
        <v>219</v>
      </c>
      <c r="T93" s="8">
        <v>0</v>
      </c>
      <c r="U93" s="9">
        <v>0</v>
      </c>
      <c r="V93" s="8">
        <v>0</v>
      </c>
      <c r="W93" s="17"/>
      <c r="X93" s="65">
        <v>46249</v>
      </c>
    </row>
    <row r="94" spans="1:24" ht="13.8" thickBot="1" x14ac:dyDescent="0.3">
      <c r="A94" s="4" t="s">
        <v>215</v>
      </c>
      <c r="B94" s="8">
        <v>1</v>
      </c>
      <c r="C94" s="15">
        <v>1</v>
      </c>
      <c r="D94" s="8">
        <v>1</v>
      </c>
      <c r="E94" s="10" t="s">
        <v>218</v>
      </c>
      <c r="F94" s="11" t="s">
        <v>216</v>
      </c>
      <c r="G94" s="12" t="s">
        <v>278</v>
      </c>
      <c r="H94" s="13" t="s">
        <v>219</v>
      </c>
      <c r="I94" s="14">
        <v>1</v>
      </c>
      <c r="J94" s="14" t="s">
        <v>10</v>
      </c>
      <c r="K94" s="5" t="s">
        <v>543</v>
      </c>
      <c r="L94" s="6">
        <v>0.64583333333333337</v>
      </c>
      <c r="M94" s="7" t="s">
        <v>544</v>
      </c>
      <c r="N94" s="14" t="s">
        <v>11</v>
      </c>
      <c r="O94" s="14">
        <v>1</v>
      </c>
      <c r="P94" s="13" t="s">
        <v>219</v>
      </c>
      <c r="Q94" s="12" t="s">
        <v>278</v>
      </c>
      <c r="R94" s="11" t="s">
        <v>216</v>
      </c>
      <c r="S94" s="10" t="s">
        <v>218</v>
      </c>
      <c r="T94" s="8">
        <v>1</v>
      </c>
      <c r="U94" s="15">
        <v>1</v>
      </c>
      <c r="V94" s="8">
        <v>1</v>
      </c>
      <c r="W94" s="17"/>
      <c r="X94" s="65">
        <v>46249</v>
      </c>
    </row>
    <row r="95" spans="1:24" ht="13.8" thickBot="1" x14ac:dyDescent="0.3">
      <c r="A95" s="4" t="s">
        <v>215</v>
      </c>
      <c r="B95" s="8">
        <v>1</v>
      </c>
      <c r="C95" s="15">
        <v>1</v>
      </c>
      <c r="D95" s="8">
        <v>1</v>
      </c>
      <c r="E95" s="10" t="s">
        <v>216</v>
      </c>
      <c r="F95" s="11" t="s">
        <v>218</v>
      </c>
      <c r="G95" s="12" t="s">
        <v>278</v>
      </c>
      <c r="H95" s="13" t="s">
        <v>218</v>
      </c>
      <c r="I95" s="14">
        <v>1</v>
      </c>
      <c r="J95" s="14" t="s">
        <v>10</v>
      </c>
      <c r="K95" s="5" t="s">
        <v>545</v>
      </c>
      <c r="L95" s="6">
        <v>0.64583333333333337</v>
      </c>
      <c r="M95" s="7" t="s">
        <v>546</v>
      </c>
      <c r="N95" s="14" t="s">
        <v>11</v>
      </c>
      <c r="O95" s="14">
        <v>1</v>
      </c>
      <c r="P95" s="13" t="s">
        <v>219</v>
      </c>
      <c r="Q95" s="12" t="s">
        <v>218</v>
      </c>
      <c r="R95" s="11" t="s">
        <v>217</v>
      </c>
      <c r="S95" s="10" t="s">
        <v>216</v>
      </c>
      <c r="T95" s="8">
        <v>1</v>
      </c>
      <c r="U95" s="15">
        <v>1</v>
      </c>
      <c r="V95" s="8">
        <v>0</v>
      </c>
      <c r="W95" s="17"/>
      <c r="X95" s="65">
        <v>46249</v>
      </c>
    </row>
    <row r="96" spans="1:24" ht="19.8" thickBot="1" x14ac:dyDescent="0.3">
      <c r="A96" s="4" t="s">
        <v>215</v>
      </c>
      <c r="B96" s="63"/>
      <c r="C96" s="63"/>
      <c r="D96" s="63"/>
      <c r="E96" s="63"/>
      <c r="F96" s="63"/>
      <c r="G96" s="63"/>
      <c r="H96" s="63"/>
      <c r="I96" s="64"/>
      <c r="J96" s="14" t="s">
        <v>10</v>
      </c>
      <c r="K96" s="5" t="s">
        <v>547</v>
      </c>
      <c r="L96" s="6">
        <v>0.625</v>
      </c>
      <c r="M96" s="7" t="s">
        <v>548</v>
      </c>
      <c r="N96" s="14" t="s">
        <v>11</v>
      </c>
      <c r="O96" s="64"/>
      <c r="P96" s="63"/>
      <c r="Q96" s="63"/>
      <c r="R96" s="63"/>
      <c r="S96" s="63"/>
      <c r="T96" s="63"/>
      <c r="U96" s="63"/>
      <c r="V96" s="63"/>
      <c r="W96" s="17"/>
      <c r="X96" s="65">
        <v>46249</v>
      </c>
    </row>
    <row r="97" spans="1:24" ht="13.8" thickBot="1" x14ac:dyDescent="0.3">
      <c r="A97" s="4" t="s">
        <v>215</v>
      </c>
      <c r="B97" s="8">
        <v>1</v>
      </c>
      <c r="C97" s="15">
        <v>1</v>
      </c>
      <c r="D97" s="8">
        <v>1</v>
      </c>
      <c r="E97" s="10" t="s">
        <v>216</v>
      </c>
      <c r="F97" s="11" t="s">
        <v>218</v>
      </c>
      <c r="G97" s="12" t="s">
        <v>278</v>
      </c>
      <c r="H97" s="13" t="s">
        <v>218</v>
      </c>
      <c r="I97" s="14">
        <v>1</v>
      </c>
      <c r="J97" s="14" t="s">
        <v>10</v>
      </c>
      <c r="K97" s="5" t="s">
        <v>549</v>
      </c>
      <c r="L97" s="6">
        <v>0.58333333333333337</v>
      </c>
      <c r="M97" s="7" t="s">
        <v>550</v>
      </c>
      <c r="N97" s="14" t="s">
        <v>11</v>
      </c>
      <c r="O97" s="14">
        <v>1</v>
      </c>
      <c r="P97" s="13" t="s">
        <v>218</v>
      </c>
      <c r="Q97" s="12" t="s">
        <v>217</v>
      </c>
      <c r="R97" s="11" t="s">
        <v>217</v>
      </c>
      <c r="S97" s="10" t="s">
        <v>219</v>
      </c>
      <c r="T97" s="8">
        <v>0</v>
      </c>
      <c r="U97" s="9">
        <v>0</v>
      </c>
      <c r="V97" s="8">
        <v>0</v>
      </c>
      <c r="W97" s="17"/>
      <c r="X97" s="65">
        <v>46249</v>
      </c>
    </row>
    <row r="98" spans="1:24" ht="13.8" thickBot="1" x14ac:dyDescent="0.3">
      <c r="A98" s="4" t="s">
        <v>215</v>
      </c>
      <c r="B98" s="8">
        <v>0</v>
      </c>
      <c r="C98" s="15">
        <v>1</v>
      </c>
      <c r="D98" s="8">
        <v>1</v>
      </c>
      <c r="E98" s="10" t="s">
        <v>218</v>
      </c>
      <c r="F98" s="11" t="s">
        <v>219</v>
      </c>
      <c r="G98" s="12" t="s">
        <v>218</v>
      </c>
      <c r="H98" s="13" t="s">
        <v>219</v>
      </c>
      <c r="I98" s="14">
        <v>1</v>
      </c>
      <c r="J98" s="14" t="s">
        <v>10</v>
      </c>
      <c r="K98" s="5" t="s">
        <v>551</v>
      </c>
      <c r="L98" s="6">
        <v>0.58333333333333337</v>
      </c>
      <c r="M98" s="7" t="s">
        <v>552</v>
      </c>
      <c r="N98" s="14" t="s">
        <v>11</v>
      </c>
      <c r="O98" s="14">
        <v>1</v>
      </c>
      <c r="P98" s="13" t="s">
        <v>219</v>
      </c>
      <c r="Q98" s="12" t="s">
        <v>278</v>
      </c>
      <c r="R98" s="11" t="s">
        <v>217</v>
      </c>
      <c r="S98" s="10" t="s">
        <v>226</v>
      </c>
      <c r="T98" s="8">
        <v>1</v>
      </c>
      <c r="U98" s="15">
        <v>1</v>
      </c>
      <c r="V98" s="8">
        <v>1</v>
      </c>
      <c r="W98" s="17"/>
      <c r="X98" s="65">
        <v>46249</v>
      </c>
    </row>
    <row r="99" spans="1:24" ht="13.8" thickBot="1" x14ac:dyDescent="0.3">
      <c r="A99" s="4" t="s">
        <v>215</v>
      </c>
      <c r="B99" s="8">
        <v>0</v>
      </c>
      <c r="C99" s="9">
        <v>0</v>
      </c>
      <c r="D99" s="8">
        <v>1</v>
      </c>
      <c r="E99" s="10" t="s">
        <v>216</v>
      </c>
      <c r="F99" s="11" t="s">
        <v>219</v>
      </c>
      <c r="G99" s="12" t="s">
        <v>216</v>
      </c>
      <c r="H99" s="13" t="s">
        <v>219</v>
      </c>
      <c r="I99" s="14">
        <v>1</v>
      </c>
      <c r="J99" s="14" t="s">
        <v>10</v>
      </c>
      <c r="K99" s="5" t="s">
        <v>553</v>
      </c>
      <c r="L99" s="6">
        <v>0.58333333333333337</v>
      </c>
      <c r="M99" s="7" t="s">
        <v>554</v>
      </c>
      <c r="N99" s="14" t="s">
        <v>11</v>
      </c>
      <c r="O99" s="14">
        <v>1</v>
      </c>
      <c r="P99" s="13" t="s">
        <v>219</v>
      </c>
      <c r="Q99" s="12" t="s">
        <v>278</v>
      </c>
      <c r="R99" s="11" t="s">
        <v>216</v>
      </c>
      <c r="S99" s="10" t="s">
        <v>218</v>
      </c>
      <c r="T99" s="8">
        <v>1</v>
      </c>
      <c r="U99" s="15">
        <v>1</v>
      </c>
      <c r="V99" s="8">
        <v>1</v>
      </c>
      <c r="W99" s="17"/>
      <c r="X99" s="65">
        <v>46249</v>
      </c>
    </row>
    <row r="100" spans="1:24" ht="13.8" thickBot="1" x14ac:dyDescent="0.3">
      <c r="A100" s="4" t="s">
        <v>215</v>
      </c>
      <c r="B100" s="8">
        <v>1</v>
      </c>
      <c r="C100" s="15">
        <v>1</v>
      </c>
      <c r="D100" s="8">
        <v>1</v>
      </c>
      <c r="E100" s="10" t="s">
        <v>217</v>
      </c>
      <c r="F100" s="11" t="s">
        <v>278</v>
      </c>
      <c r="G100" s="12" t="s">
        <v>238</v>
      </c>
      <c r="H100" s="13" t="s">
        <v>218</v>
      </c>
      <c r="I100" s="14">
        <v>1</v>
      </c>
      <c r="J100" s="14" t="s">
        <v>10</v>
      </c>
      <c r="K100" s="5" t="s">
        <v>555</v>
      </c>
      <c r="L100" s="6">
        <v>0.625</v>
      </c>
      <c r="M100" s="7" t="s">
        <v>556</v>
      </c>
      <c r="N100" s="14" t="s">
        <v>11</v>
      </c>
      <c r="O100" s="64"/>
      <c r="P100" s="63"/>
      <c r="Q100" s="63"/>
      <c r="R100" s="63"/>
      <c r="S100" s="63"/>
      <c r="T100" s="63"/>
      <c r="U100" s="63"/>
      <c r="V100" s="63"/>
      <c r="W100" s="17"/>
      <c r="X100" s="65">
        <v>46249</v>
      </c>
    </row>
    <row r="101" spans="1:24" ht="13.8" thickBot="1" x14ac:dyDescent="0.3">
      <c r="A101" s="4" t="s">
        <v>215</v>
      </c>
      <c r="B101" s="8">
        <v>0</v>
      </c>
      <c r="C101" s="9">
        <v>0</v>
      </c>
      <c r="D101" s="8">
        <v>0</v>
      </c>
      <c r="E101" s="10" t="s">
        <v>217</v>
      </c>
      <c r="F101" s="11" t="s">
        <v>219</v>
      </c>
      <c r="G101" s="12" t="s">
        <v>217</v>
      </c>
      <c r="H101" s="13" t="s">
        <v>219</v>
      </c>
      <c r="I101" s="14">
        <v>1</v>
      </c>
      <c r="J101" s="14" t="s">
        <v>10</v>
      </c>
      <c r="K101" s="5" t="s">
        <v>557</v>
      </c>
      <c r="L101" s="6">
        <v>0.625</v>
      </c>
      <c r="M101" s="7" t="s">
        <v>558</v>
      </c>
      <c r="N101" s="14" t="s">
        <v>11</v>
      </c>
      <c r="O101" s="14">
        <v>1</v>
      </c>
      <c r="P101" s="13" t="s">
        <v>219</v>
      </c>
      <c r="Q101" s="12" t="s">
        <v>226</v>
      </c>
      <c r="R101" s="11" t="s">
        <v>217</v>
      </c>
      <c r="S101" s="10" t="s">
        <v>218</v>
      </c>
      <c r="T101" s="8">
        <v>1</v>
      </c>
      <c r="U101" s="15">
        <v>1</v>
      </c>
      <c r="V101" s="8">
        <v>1</v>
      </c>
      <c r="W101" s="17"/>
      <c r="X101" s="65">
        <v>46249</v>
      </c>
    </row>
    <row r="102" spans="1:24" ht="13.8" thickBot="1" x14ac:dyDescent="0.3">
      <c r="A102" s="4" t="s">
        <v>215</v>
      </c>
      <c r="B102" s="8">
        <v>0</v>
      </c>
      <c r="C102" s="9">
        <v>0</v>
      </c>
      <c r="D102" s="8">
        <v>1</v>
      </c>
      <c r="E102" s="10" t="s">
        <v>219</v>
      </c>
      <c r="F102" s="11" t="s">
        <v>216</v>
      </c>
      <c r="G102" s="12" t="s">
        <v>216</v>
      </c>
      <c r="H102" s="13" t="s">
        <v>218</v>
      </c>
      <c r="I102" s="14">
        <v>1</v>
      </c>
      <c r="J102" s="14" t="s">
        <v>10</v>
      </c>
      <c r="K102" s="5" t="s">
        <v>559</v>
      </c>
      <c r="L102" s="6">
        <v>0.625</v>
      </c>
      <c r="M102" s="7" t="s">
        <v>560</v>
      </c>
      <c r="N102" s="14" t="s">
        <v>11</v>
      </c>
      <c r="O102" s="14">
        <v>1</v>
      </c>
      <c r="P102" s="13" t="s">
        <v>218</v>
      </c>
      <c r="Q102" s="12" t="s">
        <v>218</v>
      </c>
      <c r="R102" s="11" t="s">
        <v>216</v>
      </c>
      <c r="S102" s="10" t="s">
        <v>217</v>
      </c>
      <c r="T102" s="8">
        <v>1</v>
      </c>
      <c r="U102" s="15">
        <v>1</v>
      </c>
      <c r="V102" s="8">
        <v>0</v>
      </c>
      <c r="W102" s="17"/>
      <c r="X102" s="65">
        <v>46249</v>
      </c>
    </row>
    <row r="103" spans="1:24" ht="19.8" thickBot="1" x14ac:dyDescent="0.3">
      <c r="A103" s="4" t="s">
        <v>215</v>
      </c>
      <c r="B103" s="8">
        <v>1</v>
      </c>
      <c r="C103" s="15">
        <v>1</v>
      </c>
      <c r="D103" s="8">
        <v>1</v>
      </c>
      <c r="E103" s="10" t="s">
        <v>217</v>
      </c>
      <c r="F103" s="11" t="s">
        <v>226</v>
      </c>
      <c r="G103" s="12" t="s">
        <v>278</v>
      </c>
      <c r="H103" s="13" t="s">
        <v>218</v>
      </c>
      <c r="I103" s="14">
        <v>1</v>
      </c>
      <c r="J103" s="14" t="s">
        <v>10</v>
      </c>
      <c r="K103" s="5" t="s">
        <v>561</v>
      </c>
      <c r="L103" s="6">
        <v>0.625</v>
      </c>
      <c r="M103" s="7" t="s">
        <v>562</v>
      </c>
      <c r="N103" s="14" t="s">
        <v>11</v>
      </c>
      <c r="O103" s="14">
        <v>1</v>
      </c>
      <c r="P103" s="13" t="s">
        <v>217</v>
      </c>
      <c r="Q103" s="12" t="s">
        <v>226</v>
      </c>
      <c r="R103" s="11" t="s">
        <v>216</v>
      </c>
      <c r="S103" s="10" t="s">
        <v>216</v>
      </c>
      <c r="T103" s="8">
        <v>1</v>
      </c>
      <c r="U103" s="15">
        <v>1</v>
      </c>
      <c r="V103" s="8">
        <v>1</v>
      </c>
      <c r="W103" s="17"/>
      <c r="X103" s="65">
        <v>46249</v>
      </c>
    </row>
    <row r="104" spans="1:24" ht="13.8" thickBot="1" x14ac:dyDescent="0.3">
      <c r="A104" s="4" t="s">
        <v>215</v>
      </c>
      <c r="B104" s="8">
        <v>1</v>
      </c>
      <c r="C104" s="15">
        <v>1</v>
      </c>
      <c r="D104" s="8">
        <v>1</v>
      </c>
      <c r="E104" s="10" t="s">
        <v>216</v>
      </c>
      <c r="F104" s="11" t="s">
        <v>216</v>
      </c>
      <c r="G104" s="12" t="s">
        <v>226</v>
      </c>
      <c r="H104" s="13" t="s">
        <v>217</v>
      </c>
      <c r="I104" s="14">
        <v>1</v>
      </c>
      <c r="J104" s="14" t="s">
        <v>10</v>
      </c>
      <c r="K104" s="5" t="s">
        <v>563</v>
      </c>
      <c r="L104" s="6">
        <v>0.625</v>
      </c>
      <c r="M104" s="7" t="s">
        <v>564</v>
      </c>
      <c r="N104" s="14" t="s">
        <v>11</v>
      </c>
      <c r="O104" s="14">
        <v>1</v>
      </c>
      <c r="P104" s="13" t="s">
        <v>218</v>
      </c>
      <c r="Q104" s="12" t="s">
        <v>216</v>
      </c>
      <c r="R104" s="11" t="s">
        <v>216</v>
      </c>
      <c r="S104" s="10" t="s">
        <v>219</v>
      </c>
      <c r="T104" s="8">
        <v>1</v>
      </c>
      <c r="U104" s="9">
        <v>0</v>
      </c>
      <c r="V104" s="8">
        <v>0</v>
      </c>
      <c r="W104" s="17"/>
      <c r="X104" s="65">
        <v>46249</v>
      </c>
    </row>
    <row r="105" spans="1:24" ht="19.8" thickBot="1" x14ac:dyDescent="0.3">
      <c r="A105" s="4" t="s">
        <v>215</v>
      </c>
      <c r="B105" s="8">
        <v>0</v>
      </c>
      <c r="C105" s="9">
        <v>0</v>
      </c>
      <c r="D105" s="8">
        <v>1</v>
      </c>
      <c r="E105" s="10" t="s">
        <v>219</v>
      </c>
      <c r="F105" s="11" t="s">
        <v>216</v>
      </c>
      <c r="G105" s="12" t="s">
        <v>216</v>
      </c>
      <c r="H105" s="13" t="s">
        <v>218</v>
      </c>
      <c r="I105" s="14">
        <v>1</v>
      </c>
      <c r="J105" s="14" t="s">
        <v>10</v>
      </c>
      <c r="K105" s="5" t="s">
        <v>565</v>
      </c>
      <c r="L105" s="6">
        <v>0.625</v>
      </c>
      <c r="M105" s="7" t="s">
        <v>566</v>
      </c>
      <c r="N105" s="14" t="s">
        <v>11</v>
      </c>
      <c r="O105" s="14">
        <v>1</v>
      </c>
      <c r="P105" s="13" t="s">
        <v>219</v>
      </c>
      <c r="Q105" s="12" t="s">
        <v>216</v>
      </c>
      <c r="R105" s="11" t="s">
        <v>219</v>
      </c>
      <c r="S105" s="10" t="s">
        <v>216</v>
      </c>
      <c r="T105" s="8">
        <v>1</v>
      </c>
      <c r="U105" s="9">
        <v>0</v>
      </c>
      <c r="V105" s="8">
        <v>0</v>
      </c>
      <c r="W105" s="17"/>
      <c r="X105" s="65">
        <v>46249</v>
      </c>
    </row>
    <row r="106" spans="1:24" ht="13.8" thickBot="1" x14ac:dyDescent="0.3">
      <c r="A106" s="4" t="s">
        <v>328</v>
      </c>
      <c r="B106" s="8">
        <v>1</v>
      </c>
      <c r="C106" s="15">
        <v>1</v>
      </c>
      <c r="D106" s="8">
        <v>1</v>
      </c>
      <c r="E106" s="10" t="s">
        <v>218</v>
      </c>
      <c r="F106" s="11" t="s">
        <v>218</v>
      </c>
      <c r="G106" s="12" t="s">
        <v>238</v>
      </c>
      <c r="H106" s="13" t="s">
        <v>217</v>
      </c>
      <c r="I106" s="14">
        <v>1</v>
      </c>
      <c r="J106" s="14" t="s">
        <v>10</v>
      </c>
      <c r="K106" s="5" t="s">
        <v>567</v>
      </c>
      <c r="L106" s="6">
        <v>0.5625</v>
      </c>
      <c r="M106" s="7" t="s">
        <v>568</v>
      </c>
      <c r="N106" s="14" t="s">
        <v>11</v>
      </c>
      <c r="O106" s="14">
        <v>1</v>
      </c>
      <c r="P106" s="13" t="s">
        <v>217</v>
      </c>
      <c r="Q106" s="12" t="s">
        <v>219</v>
      </c>
      <c r="R106" s="11" t="s">
        <v>219</v>
      </c>
      <c r="S106" s="10" t="s">
        <v>219</v>
      </c>
      <c r="T106" s="8">
        <v>0</v>
      </c>
      <c r="U106" s="9">
        <v>0</v>
      </c>
      <c r="V106" s="8">
        <v>0</v>
      </c>
      <c r="W106" s="17"/>
      <c r="X106" s="65">
        <v>46249</v>
      </c>
    </row>
    <row r="107" spans="1:24" ht="19.8" thickBot="1" x14ac:dyDescent="0.3">
      <c r="A107" s="4" t="s">
        <v>86</v>
      </c>
      <c r="B107" s="8">
        <v>0.62</v>
      </c>
      <c r="C107" s="15">
        <v>0.88</v>
      </c>
      <c r="D107" s="8">
        <v>0.88</v>
      </c>
      <c r="E107" s="10" t="s">
        <v>294</v>
      </c>
      <c r="F107" s="11" t="s">
        <v>329</v>
      </c>
      <c r="G107" s="12" t="s">
        <v>226</v>
      </c>
      <c r="H107" s="13" t="s">
        <v>330</v>
      </c>
      <c r="I107" s="14">
        <v>8</v>
      </c>
      <c r="J107" s="14" t="s">
        <v>10</v>
      </c>
      <c r="K107" s="5" t="s">
        <v>188</v>
      </c>
      <c r="L107" s="6">
        <v>0.66666666666666663</v>
      </c>
      <c r="M107" s="7" t="s">
        <v>192</v>
      </c>
      <c r="N107" s="14" t="s">
        <v>11</v>
      </c>
      <c r="O107" s="14">
        <v>8</v>
      </c>
      <c r="P107" s="13" t="s">
        <v>237</v>
      </c>
      <c r="Q107" s="12" t="s">
        <v>329</v>
      </c>
      <c r="R107" s="11" t="s">
        <v>217</v>
      </c>
      <c r="S107" s="10" t="s">
        <v>236</v>
      </c>
      <c r="T107" s="8">
        <v>0.75</v>
      </c>
      <c r="U107" s="9">
        <v>0.5</v>
      </c>
      <c r="V107" s="8">
        <v>0.5</v>
      </c>
      <c r="W107" s="17"/>
      <c r="X107" s="65">
        <v>46249</v>
      </c>
    </row>
    <row r="108" spans="1:24" ht="19.8" thickBot="1" x14ac:dyDescent="0.3">
      <c r="A108" s="4" t="s">
        <v>331</v>
      </c>
      <c r="B108" s="8">
        <v>0</v>
      </c>
      <c r="C108" s="9">
        <v>0</v>
      </c>
      <c r="D108" s="8">
        <v>1</v>
      </c>
      <c r="E108" s="10" t="s">
        <v>217</v>
      </c>
      <c r="F108" s="11" t="s">
        <v>217</v>
      </c>
      <c r="G108" s="12" t="s">
        <v>216</v>
      </c>
      <c r="H108" s="13" t="s">
        <v>217</v>
      </c>
      <c r="I108" s="14">
        <v>1</v>
      </c>
      <c r="J108" s="14" t="s">
        <v>10</v>
      </c>
      <c r="K108" s="5" t="s">
        <v>569</v>
      </c>
      <c r="L108" s="6">
        <v>0.33333333333333331</v>
      </c>
      <c r="M108" s="7" t="s">
        <v>570</v>
      </c>
      <c r="N108" s="14" t="s">
        <v>11</v>
      </c>
      <c r="O108" s="64"/>
      <c r="P108" s="63"/>
      <c r="Q108" s="63"/>
      <c r="R108" s="63"/>
      <c r="S108" s="63"/>
      <c r="T108" s="63"/>
      <c r="U108" s="63"/>
      <c r="V108" s="63"/>
      <c r="W108" s="17"/>
      <c r="X108" s="65">
        <v>46249</v>
      </c>
    </row>
    <row r="109" spans="1:24" ht="13.8" thickBot="1" x14ac:dyDescent="0.3">
      <c r="A109" s="4" t="s">
        <v>92</v>
      </c>
      <c r="B109" s="8">
        <v>0.38</v>
      </c>
      <c r="C109" s="15">
        <v>0.62</v>
      </c>
      <c r="D109" s="8">
        <v>1</v>
      </c>
      <c r="E109" s="10" t="s">
        <v>294</v>
      </c>
      <c r="F109" s="11" t="s">
        <v>216</v>
      </c>
      <c r="G109" s="12" t="s">
        <v>332</v>
      </c>
      <c r="H109" s="13" t="s">
        <v>223</v>
      </c>
      <c r="I109" s="14">
        <v>8</v>
      </c>
      <c r="J109" s="14" t="s">
        <v>10</v>
      </c>
      <c r="K109" s="5" t="s">
        <v>571</v>
      </c>
      <c r="L109" s="6">
        <v>0.625</v>
      </c>
      <c r="M109" s="7" t="s">
        <v>572</v>
      </c>
      <c r="N109" s="14" t="s">
        <v>11</v>
      </c>
      <c r="O109" s="14">
        <v>9</v>
      </c>
      <c r="P109" s="13" t="s">
        <v>333</v>
      </c>
      <c r="Q109" s="12" t="s">
        <v>334</v>
      </c>
      <c r="R109" s="11" t="s">
        <v>229</v>
      </c>
      <c r="S109" s="10" t="s">
        <v>324</v>
      </c>
      <c r="T109" s="8">
        <v>0.78</v>
      </c>
      <c r="U109" s="15">
        <v>0.56000000000000005</v>
      </c>
      <c r="V109" s="8">
        <v>0</v>
      </c>
      <c r="W109" s="17"/>
      <c r="X109" s="65">
        <v>46249</v>
      </c>
    </row>
    <row r="110" spans="1:24" ht="19.8" thickBot="1" x14ac:dyDescent="0.3">
      <c r="A110" s="4" t="s">
        <v>92</v>
      </c>
      <c r="B110" s="8">
        <v>0.6</v>
      </c>
      <c r="C110" s="15">
        <v>0.8</v>
      </c>
      <c r="D110" s="8">
        <v>0.8</v>
      </c>
      <c r="E110" s="10" t="s">
        <v>277</v>
      </c>
      <c r="F110" s="11" t="s">
        <v>266</v>
      </c>
      <c r="G110" s="12" t="s">
        <v>283</v>
      </c>
      <c r="H110" s="13" t="s">
        <v>335</v>
      </c>
      <c r="I110" s="14">
        <v>5</v>
      </c>
      <c r="J110" s="14" t="s">
        <v>10</v>
      </c>
      <c r="K110" s="5" t="s">
        <v>573</v>
      </c>
      <c r="L110" s="6">
        <v>0.58333333333333337</v>
      </c>
      <c r="M110" s="7" t="s">
        <v>574</v>
      </c>
      <c r="N110" s="14" t="s">
        <v>11</v>
      </c>
      <c r="O110" s="14">
        <v>5</v>
      </c>
      <c r="P110" s="13" t="s">
        <v>227</v>
      </c>
      <c r="Q110" s="12" t="s">
        <v>277</v>
      </c>
      <c r="R110" s="11" t="s">
        <v>234</v>
      </c>
      <c r="S110" s="10" t="s">
        <v>227</v>
      </c>
      <c r="T110" s="8">
        <v>0.8</v>
      </c>
      <c r="U110" s="15">
        <v>0.6</v>
      </c>
      <c r="V110" s="8">
        <v>0.4</v>
      </c>
      <c r="W110" s="17"/>
      <c r="X110" s="65">
        <v>46249</v>
      </c>
    </row>
    <row r="111" spans="1:24" ht="13.8" thickBot="1" x14ac:dyDescent="0.3">
      <c r="A111" s="4" t="s">
        <v>336</v>
      </c>
      <c r="B111" s="8">
        <v>0.5</v>
      </c>
      <c r="C111" s="9">
        <v>0.5</v>
      </c>
      <c r="D111" s="8">
        <v>1</v>
      </c>
      <c r="E111" s="10" t="s">
        <v>220</v>
      </c>
      <c r="F111" s="11" t="s">
        <v>216</v>
      </c>
      <c r="G111" s="12" t="s">
        <v>246</v>
      </c>
      <c r="H111" s="13" t="s">
        <v>216</v>
      </c>
      <c r="I111" s="14">
        <v>2</v>
      </c>
      <c r="J111" s="14" t="s">
        <v>10</v>
      </c>
      <c r="K111" s="5" t="s">
        <v>575</v>
      </c>
      <c r="L111" s="6">
        <v>0.8125</v>
      </c>
      <c r="M111" s="7" t="s">
        <v>576</v>
      </c>
      <c r="N111" s="14" t="s">
        <v>11</v>
      </c>
      <c r="O111" s="14">
        <v>1</v>
      </c>
      <c r="P111" s="13" t="s">
        <v>217</v>
      </c>
      <c r="Q111" s="12" t="s">
        <v>216</v>
      </c>
      <c r="R111" s="11" t="s">
        <v>217</v>
      </c>
      <c r="S111" s="10" t="s">
        <v>217</v>
      </c>
      <c r="T111" s="8">
        <v>1</v>
      </c>
      <c r="U111" s="9">
        <v>0</v>
      </c>
      <c r="V111" s="8">
        <v>0</v>
      </c>
      <c r="W111" s="17"/>
      <c r="X111" s="65">
        <v>46249</v>
      </c>
    </row>
    <row r="112" spans="1:24" ht="19.8" thickBot="1" x14ac:dyDescent="0.3">
      <c r="A112" s="4" t="s">
        <v>337</v>
      </c>
      <c r="B112" s="8">
        <v>1</v>
      </c>
      <c r="C112" s="15">
        <v>1</v>
      </c>
      <c r="D112" s="8">
        <v>1</v>
      </c>
      <c r="E112" s="10" t="s">
        <v>217</v>
      </c>
      <c r="F112" s="11" t="s">
        <v>218</v>
      </c>
      <c r="G112" s="12" t="s">
        <v>226</v>
      </c>
      <c r="H112" s="13" t="s">
        <v>218</v>
      </c>
      <c r="I112" s="14">
        <v>1</v>
      </c>
      <c r="J112" s="14" t="s">
        <v>10</v>
      </c>
      <c r="K112" s="5" t="s">
        <v>577</v>
      </c>
      <c r="L112" s="6">
        <v>0.6875</v>
      </c>
      <c r="M112" s="7" t="s">
        <v>578</v>
      </c>
      <c r="N112" s="14" t="s">
        <v>11</v>
      </c>
      <c r="O112" s="14">
        <v>1</v>
      </c>
      <c r="P112" s="13" t="s">
        <v>219</v>
      </c>
      <c r="Q112" s="12" t="s">
        <v>226</v>
      </c>
      <c r="R112" s="11" t="s">
        <v>217</v>
      </c>
      <c r="S112" s="10" t="s">
        <v>218</v>
      </c>
      <c r="T112" s="8">
        <v>1</v>
      </c>
      <c r="U112" s="15">
        <v>1</v>
      </c>
      <c r="V112" s="8">
        <v>1</v>
      </c>
      <c r="W112" s="17"/>
      <c r="X112" s="65">
        <v>46249</v>
      </c>
    </row>
    <row r="113" spans="1:24" ht="13.8" thickBot="1" x14ac:dyDescent="0.3">
      <c r="A113" s="4" t="s">
        <v>337</v>
      </c>
      <c r="B113" s="8">
        <v>0</v>
      </c>
      <c r="C113" s="9">
        <v>0</v>
      </c>
      <c r="D113" s="8">
        <v>0</v>
      </c>
      <c r="E113" s="10" t="s">
        <v>219</v>
      </c>
      <c r="F113" s="11" t="s">
        <v>217</v>
      </c>
      <c r="G113" s="12" t="s">
        <v>217</v>
      </c>
      <c r="H113" s="13" t="s">
        <v>218</v>
      </c>
      <c r="I113" s="14">
        <v>1</v>
      </c>
      <c r="J113" s="14" t="s">
        <v>10</v>
      </c>
      <c r="K113" s="5" t="s">
        <v>579</v>
      </c>
      <c r="L113" s="6">
        <v>0.58333333333333337</v>
      </c>
      <c r="M113" s="7" t="s">
        <v>580</v>
      </c>
      <c r="N113" s="14" t="s">
        <v>11</v>
      </c>
      <c r="O113" s="14">
        <v>2</v>
      </c>
      <c r="P113" s="13" t="s">
        <v>247</v>
      </c>
      <c r="Q113" s="12" t="s">
        <v>218</v>
      </c>
      <c r="R113" s="11" t="s">
        <v>247</v>
      </c>
      <c r="S113" s="10" t="s">
        <v>221</v>
      </c>
      <c r="T113" s="8">
        <v>1</v>
      </c>
      <c r="U113" s="9">
        <v>0.5</v>
      </c>
      <c r="V113" s="8">
        <v>0.5</v>
      </c>
      <c r="W113" s="17"/>
      <c r="X113" s="65">
        <v>46249</v>
      </c>
    </row>
    <row r="114" spans="1:24" ht="19.8" thickBot="1" x14ac:dyDescent="0.3">
      <c r="A114" s="4" t="s">
        <v>337</v>
      </c>
      <c r="B114" s="8">
        <v>0</v>
      </c>
      <c r="C114" s="9">
        <v>0</v>
      </c>
      <c r="D114" s="8">
        <v>1</v>
      </c>
      <c r="E114" s="10" t="s">
        <v>216</v>
      </c>
      <c r="F114" s="11" t="s">
        <v>219</v>
      </c>
      <c r="G114" s="12" t="s">
        <v>216</v>
      </c>
      <c r="H114" s="13" t="s">
        <v>219</v>
      </c>
      <c r="I114" s="14">
        <v>1</v>
      </c>
      <c r="J114" s="14" t="s">
        <v>10</v>
      </c>
      <c r="K114" s="5" t="s">
        <v>581</v>
      </c>
      <c r="L114" s="6">
        <v>0.70833333333333337</v>
      </c>
      <c r="M114" s="7" t="s">
        <v>582</v>
      </c>
      <c r="N114" s="14" t="s">
        <v>11</v>
      </c>
      <c r="O114" s="14">
        <v>1</v>
      </c>
      <c r="P114" s="13" t="s">
        <v>217</v>
      </c>
      <c r="Q114" s="12" t="s">
        <v>226</v>
      </c>
      <c r="R114" s="11" t="s">
        <v>216</v>
      </c>
      <c r="S114" s="10" t="s">
        <v>216</v>
      </c>
      <c r="T114" s="8">
        <v>1</v>
      </c>
      <c r="U114" s="15">
        <v>1</v>
      </c>
      <c r="V114" s="8">
        <v>1</v>
      </c>
      <c r="W114" s="17"/>
      <c r="X114" s="65">
        <v>46249</v>
      </c>
    </row>
    <row r="115" spans="1:24" ht="19.8" thickBot="1" x14ac:dyDescent="0.3">
      <c r="A115" s="4" t="s">
        <v>337</v>
      </c>
      <c r="B115" s="8">
        <v>0</v>
      </c>
      <c r="C115" s="9">
        <v>0</v>
      </c>
      <c r="D115" s="8">
        <v>0</v>
      </c>
      <c r="E115" s="10" t="s">
        <v>217</v>
      </c>
      <c r="F115" s="11" t="s">
        <v>219</v>
      </c>
      <c r="G115" s="12" t="s">
        <v>217</v>
      </c>
      <c r="H115" s="13" t="s">
        <v>219</v>
      </c>
      <c r="I115" s="14">
        <v>1</v>
      </c>
      <c r="J115" s="14" t="s">
        <v>10</v>
      </c>
      <c r="K115" s="5" t="s">
        <v>583</v>
      </c>
      <c r="L115" s="6">
        <v>0.58333333333333337</v>
      </c>
      <c r="M115" s="7" t="s">
        <v>584</v>
      </c>
      <c r="N115" s="14" t="s">
        <v>11</v>
      </c>
      <c r="O115" s="14">
        <v>1</v>
      </c>
      <c r="P115" s="13" t="s">
        <v>217</v>
      </c>
      <c r="Q115" s="12" t="s">
        <v>219</v>
      </c>
      <c r="R115" s="11" t="s">
        <v>219</v>
      </c>
      <c r="S115" s="10" t="s">
        <v>219</v>
      </c>
      <c r="T115" s="8">
        <v>0</v>
      </c>
      <c r="U115" s="9">
        <v>0</v>
      </c>
      <c r="V115" s="8">
        <v>0</v>
      </c>
      <c r="W115" s="17"/>
      <c r="X115" s="65">
        <v>46249</v>
      </c>
    </row>
    <row r="116" spans="1:24" ht="13.8" thickBot="1" x14ac:dyDescent="0.3">
      <c r="A116" s="4" t="s">
        <v>243</v>
      </c>
      <c r="B116" s="63"/>
      <c r="C116" s="63"/>
      <c r="D116" s="63"/>
      <c r="E116" s="63"/>
      <c r="F116" s="63"/>
      <c r="G116" s="63"/>
      <c r="H116" s="63"/>
      <c r="I116" s="64"/>
      <c r="J116" s="14" t="s">
        <v>10</v>
      </c>
      <c r="K116" s="5" t="s">
        <v>585</v>
      </c>
      <c r="L116" s="6">
        <v>0.625</v>
      </c>
      <c r="M116" s="7" t="s">
        <v>586</v>
      </c>
      <c r="N116" s="14" t="s">
        <v>11</v>
      </c>
      <c r="O116" s="64"/>
      <c r="P116" s="63"/>
      <c r="Q116" s="63"/>
      <c r="R116" s="63"/>
      <c r="S116" s="63"/>
      <c r="T116" s="63"/>
      <c r="U116" s="63"/>
      <c r="V116" s="63"/>
      <c r="W116" s="17"/>
      <c r="X116" s="65">
        <v>46249</v>
      </c>
    </row>
    <row r="117" spans="1:24" ht="13.8" thickBot="1" x14ac:dyDescent="0.3">
      <c r="A117" s="4" t="s">
        <v>338</v>
      </c>
      <c r="B117" s="8">
        <v>0.5</v>
      </c>
      <c r="C117" s="9">
        <v>0.5</v>
      </c>
      <c r="D117" s="8">
        <v>0.5</v>
      </c>
      <c r="E117" s="10" t="s">
        <v>217</v>
      </c>
      <c r="F117" s="11" t="s">
        <v>220</v>
      </c>
      <c r="G117" s="12" t="s">
        <v>221</v>
      </c>
      <c r="H117" s="13" t="s">
        <v>216</v>
      </c>
      <c r="I117" s="14">
        <v>2</v>
      </c>
      <c r="J117" s="14" t="s">
        <v>10</v>
      </c>
      <c r="K117" s="5" t="s">
        <v>587</v>
      </c>
      <c r="L117" s="6">
        <v>0.5625</v>
      </c>
      <c r="M117" s="7" t="s">
        <v>588</v>
      </c>
      <c r="N117" s="14" t="s">
        <v>11</v>
      </c>
      <c r="O117" s="14">
        <v>2</v>
      </c>
      <c r="P117" s="13" t="s">
        <v>219</v>
      </c>
      <c r="Q117" s="12" t="s">
        <v>221</v>
      </c>
      <c r="R117" s="11" t="s">
        <v>219</v>
      </c>
      <c r="S117" s="10" t="s">
        <v>221</v>
      </c>
      <c r="T117" s="8">
        <v>0.5</v>
      </c>
      <c r="U117" s="9">
        <v>0.5</v>
      </c>
      <c r="V117" s="8">
        <v>0.5</v>
      </c>
      <c r="W117" s="17"/>
      <c r="X117" s="65">
        <v>46249</v>
      </c>
    </row>
    <row r="118" spans="1:24" ht="19.8" thickBot="1" x14ac:dyDescent="0.3">
      <c r="A118" s="4" t="s">
        <v>338</v>
      </c>
      <c r="B118" s="8">
        <v>0</v>
      </c>
      <c r="C118" s="9">
        <v>0</v>
      </c>
      <c r="D118" s="8">
        <v>0</v>
      </c>
      <c r="E118" s="10" t="s">
        <v>219</v>
      </c>
      <c r="F118" s="11" t="s">
        <v>217</v>
      </c>
      <c r="G118" s="12" t="s">
        <v>217</v>
      </c>
      <c r="H118" s="13" t="s">
        <v>218</v>
      </c>
      <c r="I118" s="14">
        <v>2</v>
      </c>
      <c r="J118" s="14" t="s">
        <v>10</v>
      </c>
      <c r="K118" s="5" t="s">
        <v>589</v>
      </c>
      <c r="L118" s="6">
        <v>0.6875</v>
      </c>
      <c r="M118" s="7" t="s">
        <v>590</v>
      </c>
      <c r="N118" s="14" t="s">
        <v>11</v>
      </c>
      <c r="O118" s="14">
        <v>2</v>
      </c>
      <c r="P118" s="13" t="s">
        <v>247</v>
      </c>
      <c r="Q118" s="12" t="s">
        <v>246</v>
      </c>
      <c r="R118" s="11" t="s">
        <v>220</v>
      </c>
      <c r="S118" s="10" t="s">
        <v>216</v>
      </c>
      <c r="T118" s="8">
        <v>1</v>
      </c>
      <c r="U118" s="15">
        <v>1</v>
      </c>
      <c r="V118" s="8">
        <v>0.5</v>
      </c>
      <c r="W118" s="17"/>
      <c r="X118" s="65">
        <v>46249</v>
      </c>
    </row>
    <row r="119" spans="1:24" ht="19.8" thickBot="1" x14ac:dyDescent="0.3">
      <c r="A119" s="4" t="s">
        <v>339</v>
      </c>
      <c r="B119" s="8">
        <v>0</v>
      </c>
      <c r="C119" s="15">
        <v>1</v>
      </c>
      <c r="D119" s="8">
        <v>1</v>
      </c>
      <c r="E119" s="10" t="s">
        <v>216</v>
      </c>
      <c r="F119" s="11" t="s">
        <v>217</v>
      </c>
      <c r="G119" s="12" t="s">
        <v>218</v>
      </c>
      <c r="H119" s="13" t="s">
        <v>220</v>
      </c>
      <c r="I119" s="14">
        <v>2</v>
      </c>
      <c r="J119" s="14" t="s">
        <v>10</v>
      </c>
      <c r="K119" s="5" t="s">
        <v>591</v>
      </c>
      <c r="L119" s="6">
        <v>0.5</v>
      </c>
      <c r="M119" s="7" t="s">
        <v>592</v>
      </c>
      <c r="N119" s="14" t="s">
        <v>11</v>
      </c>
      <c r="O119" s="14">
        <v>1</v>
      </c>
      <c r="P119" s="13" t="s">
        <v>219</v>
      </c>
      <c r="Q119" s="12" t="s">
        <v>218</v>
      </c>
      <c r="R119" s="11" t="s">
        <v>217</v>
      </c>
      <c r="S119" s="10" t="s">
        <v>216</v>
      </c>
      <c r="T119" s="8">
        <v>1</v>
      </c>
      <c r="U119" s="15">
        <v>1</v>
      </c>
      <c r="V119" s="8">
        <v>0</v>
      </c>
      <c r="W119" s="17"/>
      <c r="X119" s="65">
        <v>46249</v>
      </c>
    </row>
    <row r="120" spans="1:24" ht="13.8" thickBot="1" x14ac:dyDescent="0.3">
      <c r="A120" s="4" t="s">
        <v>593</v>
      </c>
      <c r="B120" s="63"/>
      <c r="C120" s="63"/>
      <c r="D120" s="63"/>
      <c r="E120" s="63"/>
      <c r="F120" s="63"/>
      <c r="G120" s="63"/>
      <c r="H120" s="63"/>
      <c r="I120" s="64"/>
      <c r="J120" s="14" t="s">
        <v>10</v>
      </c>
      <c r="K120" s="5" t="s">
        <v>594</v>
      </c>
      <c r="L120" s="6">
        <v>0.61805555555555558</v>
      </c>
      <c r="M120" s="7" t="s">
        <v>595</v>
      </c>
      <c r="N120" s="14" t="s">
        <v>11</v>
      </c>
      <c r="O120" s="64"/>
      <c r="P120" s="63"/>
      <c r="Q120" s="63"/>
      <c r="R120" s="63"/>
      <c r="S120" s="63"/>
      <c r="T120" s="63"/>
      <c r="U120" s="63"/>
      <c r="V120" s="63"/>
      <c r="W120" s="17"/>
      <c r="X120" s="65">
        <v>46249</v>
      </c>
    </row>
    <row r="121" spans="1:24" ht="13.8" thickBot="1" x14ac:dyDescent="0.3">
      <c r="A121" s="4" t="s">
        <v>593</v>
      </c>
      <c r="B121" s="63"/>
      <c r="C121" s="63"/>
      <c r="D121" s="63"/>
      <c r="E121" s="63"/>
      <c r="F121" s="63"/>
      <c r="G121" s="63"/>
      <c r="H121" s="63"/>
      <c r="I121" s="64"/>
      <c r="J121" s="14" t="s">
        <v>10</v>
      </c>
      <c r="K121" s="5" t="s">
        <v>596</v>
      </c>
      <c r="L121" s="6">
        <v>0.66666666666666663</v>
      </c>
      <c r="M121" s="7" t="s">
        <v>597</v>
      </c>
      <c r="N121" s="14" t="s">
        <v>11</v>
      </c>
      <c r="O121" s="64"/>
      <c r="P121" s="63"/>
      <c r="Q121" s="63"/>
      <c r="R121" s="63"/>
      <c r="S121" s="63"/>
      <c r="T121" s="63"/>
      <c r="U121" s="63"/>
      <c r="V121" s="63"/>
      <c r="W121" s="17"/>
      <c r="X121" s="65">
        <v>46249</v>
      </c>
    </row>
    <row r="122" spans="1:24" ht="13.8" thickBot="1" x14ac:dyDescent="0.3">
      <c r="A122" s="4" t="s">
        <v>593</v>
      </c>
      <c r="B122" s="63"/>
      <c r="C122" s="63"/>
      <c r="D122" s="63"/>
      <c r="E122" s="63"/>
      <c r="F122" s="63"/>
      <c r="G122" s="63"/>
      <c r="H122" s="63"/>
      <c r="I122" s="64"/>
      <c r="J122" s="14" t="s">
        <v>10</v>
      </c>
      <c r="K122" s="5" t="s">
        <v>598</v>
      </c>
      <c r="L122" s="6">
        <v>0.66666666666666663</v>
      </c>
      <c r="M122" s="7" t="s">
        <v>599</v>
      </c>
      <c r="N122" s="14" t="s">
        <v>11</v>
      </c>
      <c r="O122" s="64"/>
      <c r="P122" s="63"/>
      <c r="Q122" s="63"/>
      <c r="R122" s="63"/>
      <c r="S122" s="63"/>
      <c r="T122" s="63"/>
      <c r="U122" s="63"/>
      <c r="V122" s="63"/>
      <c r="W122" s="17"/>
      <c r="X122" s="65">
        <v>46249</v>
      </c>
    </row>
    <row r="123" spans="1:24" ht="13.8" thickBot="1" x14ac:dyDescent="0.3">
      <c r="A123" s="4" t="s">
        <v>196</v>
      </c>
      <c r="B123" s="8">
        <v>0</v>
      </c>
      <c r="C123" s="9">
        <v>0</v>
      </c>
      <c r="D123" s="8">
        <v>0</v>
      </c>
      <c r="E123" s="10" t="s">
        <v>217</v>
      </c>
      <c r="F123" s="11" t="s">
        <v>219</v>
      </c>
      <c r="G123" s="12" t="s">
        <v>217</v>
      </c>
      <c r="H123" s="13" t="s">
        <v>219</v>
      </c>
      <c r="I123" s="14">
        <v>1</v>
      </c>
      <c r="J123" s="14" t="s">
        <v>10</v>
      </c>
      <c r="K123" s="5" t="s">
        <v>600</v>
      </c>
      <c r="L123" s="6">
        <v>0.64583333333333337</v>
      </c>
      <c r="M123" s="7" t="s">
        <v>601</v>
      </c>
      <c r="N123" s="14" t="s">
        <v>11</v>
      </c>
      <c r="O123" s="64"/>
      <c r="P123" s="63"/>
      <c r="Q123" s="63"/>
      <c r="R123" s="63"/>
      <c r="S123" s="63"/>
      <c r="T123" s="63"/>
      <c r="U123" s="63"/>
      <c r="V123" s="63"/>
      <c r="W123" s="17"/>
      <c r="X123" s="65">
        <v>46249</v>
      </c>
    </row>
    <row r="124" spans="1:24" ht="13.8" thickBot="1" x14ac:dyDescent="0.3">
      <c r="A124" s="4" t="s">
        <v>196</v>
      </c>
      <c r="B124" s="8">
        <v>0.22</v>
      </c>
      <c r="C124" s="15">
        <v>0.89</v>
      </c>
      <c r="D124" s="8">
        <v>1</v>
      </c>
      <c r="E124" s="10" t="s">
        <v>216</v>
      </c>
      <c r="F124" s="11" t="s">
        <v>228</v>
      </c>
      <c r="G124" s="12" t="s">
        <v>340</v>
      </c>
      <c r="H124" s="13" t="s">
        <v>224</v>
      </c>
      <c r="I124" s="14">
        <v>9</v>
      </c>
      <c r="J124" s="14" t="s">
        <v>10</v>
      </c>
      <c r="K124" s="5" t="s">
        <v>602</v>
      </c>
      <c r="L124" s="6">
        <v>0.33333333333333331</v>
      </c>
      <c r="M124" s="7" t="s">
        <v>603</v>
      </c>
      <c r="N124" s="14" t="s">
        <v>11</v>
      </c>
      <c r="O124" s="14">
        <v>9</v>
      </c>
      <c r="P124" s="13" t="s">
        <v>231</v>
      </c>
      <c r="Q124" s="12" t="s">
        <v>340</v>
      </c>
      <c r="R124" s="11" t="s">
        <v>231</v>
      </c>
      <c r="S124" s="10" t="s">
        <v>284</v>
      </c>
      <c r="T124" s="8">
        <v>0.89</v>
      </c>
      <c r="U124" s="15">
        <v>0.56000000000000005</v>
      </c>
      <c r="V124" s="8">
        <v>0.33</v>
      </c>
      <c r="W124" s="17"/>
      <c r="X124" s="65">
        <v>46249</v>
      </c>
    </row>
    <row r="125" spans="1:24" ht="19.8" thickBot="1" x14ac:dyDescent="0.3">
      <c r="A125" s="4" t="s">
        <v>196</v>
      </c>
      <c r="B125" s="8">
        <v>0.33</v>
      </c>
      <c r="C125" s="15">
        <v>0.67</v>
      </c>
      <c r="D125" s="8">
        <v>0.67</v>
      </c>
      <c r="E125" s="10" t="s">
        <v>310</v>
      </c>
      <c r="F125" s="11" t="s">
        <v>333</v>
      </c>
      <c r="G125" s="12" t="s">
        <v>341</v>
      </c>
      <c r="H125" s="13" t="s">
        <v>231</v>
      </c>
      <c r="I125" s="14">
        <v>9</v>
      </c>
      <c r="J125" s="14" t="s">
        <v>10</v>
      </c>
      <c r="K125" s="5" t="s">
        <v>197</v>
      </c>
      <c r="L125" s="6">
        <v>0.33333333333333331</v>
      </c>
      <c r="M125" s="7" t="s">
        <v>604</v>
      </c>
      <c r="N125" s="14" t="s">
        <v>11</v>
      </c>
      <c r="O125" s="14">
        <v>8</v>
      </c>
      <c r="P125" s="13" t="s">
        <v>236</v>
      </c>
      <c r="Q125" s="12" t="s">
        <v>240</v>
      </c>
      <c r="R125" s="11" t="s">
        <v>294</v>
      </c>
      <c r="S125" s="10" t="s">
        <v>217</v>
      </c>
      <c r="T125" s="8">
        <v>0.5</v>
      </c>
      <c r="U125" s="9">
        <v>0.38</v>
      </c>
      <c r="V125" s="8">
        <v>0.12</v>
      </c>
      <c r="W125" s="17"/>
      <c r="X125" s="65">
        <v>46249</v>
      </c>
    </row>
    <row r="126" spans="1:24" ht="13.8" thickBot="1" x14ac:dyDescent="0.3">
      <c r="A126" s="4" t="s">
        <v>199</v>
      </c>
      <c r="B126" s="8">
        <v>0.12</v>
      </c>
      <c r="C126" s="9">
        <v>0.38</v>
      </c>
      <c r="D126" s="8">
        <v>1</v>
      </c>
      <c r="E126" s="10" t="s">
        <v>294</v>
      </c>
      <c r="F126" s="11" t="s">
        <v>286</v>
      </c>
      <c r="G126" s="12" t="s">
        <v>221</v>
      </c>
      <c r="H126" s="13" t="s">
        <v>220</v>
      </c>
      <c r="I126" s="14">
        <v>8</v>
      </c>
      <c r="J126" s="14" t="s">
        <v>10</v>
      </c>
      <c r="K126" s="5" t="s">
        <v>605</v>
      </c>
      <c r="L126" s="6">
        <v>0.625</v>
      </c>
      <c r="M126" s="7" t="s">
        <v>203</v>
      </c>
      <c r="N126" s="14" t="s">
        <v>11</v>
      </c>
      <c r="O126" s="14">
        <v>8</v>
      </c>
      <c r="P126" s="13" t="s">
        <v>239</v>
      </c>
      <c r="Q126" s="12" t="s">
        <v>342</v>
      </c>
      <c r="R126" s="11" t="s">
        <v>293</v>
      </c>
      <c r="S126" s="10" t="s">
        <v>240</v>
      </c>
      <c r="T126" s="8">
        <v>0.75</v>
      </c>
      <c r="U126" s="15">
        <v>0.75</v>
      </c>
      <c r="V126" s="8">
        <v>0.5</v>
      </c>
      <c r="W126" s="17"/>
      <c r="X126" s="65">
        <v>46249</v>
      </c>
    </row>
    <row r="127" spans="1:24" ht="13.8" thickBot="1" x14ac:dyDescent="0.3">
      <c r="A127" s="4" t="s">
        <v>199</v>
      </c>
      <c r="B127" s="8">
        <v>0.75</v>
      </c>
      <c r="C127" s="15">
        <v>0.88</v>
      </c>
      <c r="D127" s="8">
        <v>0.88</v>
      </c>
      <c r="E127" s="10" t="s">
        <v>225</v>
      </c>
      <c r="F127" s="11" t="s">
        <v>225</v>
      </c>
      <c r="G127" s="12" t="s">
        <v>327</v>
      </c>
      <c r="H127" s="13" t="s">
        <v>294</v>
      </c>
      <c r="I127" s="14">
        <v>8</v>
      </c>
      <c r="J127" s="14" t="s">
        <v>10</v>
      </c>
      <c r="K127" s="5" t="s">
        <v>606</v>
      </c>
      <c r="L127" s="6">
        <v>0.625</v>
      </c>
      <c r="M127" s="7" t="s">
        <v>607</v>
      </c>
      <c r="N127" s="14" t="s">
        <v>11</v>
      </c>
      <c r="O127" s="14">
        <v>9</v>
      </c>
      <c r="P127" s="13" t="s">
        <v>310</v>
      </c>
      <c r="Q127" s="12" t="s">
        <v>325</v>
      </c>
      <c r="R127" s="11" t="s">
        <v>306</v>
      </c>
      <c r="S127" s="10" t="s">
        <v>343</v>
      </c>
      <c r="T127" s="8">
        <v>0.67</v>
      </c>
      <c r="U127" s="9">
        <v>0.44</v>
      </c>
      <c r="V127" s="8">
        <v>0.44</v>
      </c>
      <c r="W127" s="17"/>
      <c r="X127" s="65">
        <v>46249</v>
      </c>
    </row>
    <row r="128" spans="1:24" ht="13.8" thickBot="1" x14ac:dyDescent="0.3">
      <c r="A128" s="4" t="s">
        <v>199</v>
      </c>
      <c r="B128" s="8">
        <v>0.25</v>
      </c>
      <c r="C128" s="9">
        <v>0.38</v>
      </c>
      <c r="D128" s="8">
        <v>0.62</v>
      </c>
      <c r="E128" s="10" t="s">
        <v>217</v>
      </c>
      <c r="F128" s="11" t="s">
        <v>293</v>
      </c>
      <c r="G128" s="12" t="s">
        <v>225</v>
      </c>
      <c r="H128" s="13" t="s">
        <v>220</v>
      </c>
      <c r="I128" s="14">
        <v>8</v>
      </c>
      <c r="J128" s="14" t="s">
        <v>10</v>
      </c>
      <c r="K128" s="5" t="s">
        <v>608</v>
      </c>
      <c r="L128" s="6">
        <v>0.625</v>
      </c>
      <c r="M128" s="7" t="s">
        <v>609</v>
      </c>
      <c r="N128" s="14" t="s">
        <v>11</v>
      </c>
      <c r="O128" s="14">
        <v>9</v>
      </c>
      <c r="P128" s="13" t="s">
        <v>344</v>
      </c>
      <c r="Q128" s="12" t="s">
        <v>241</v>
      </c>
      <c r="R128" s="11" t="s">
        <v>231</v>
      </c>
      <c r="S128" s="10" t="s">
        <v>229</v>
      </c>
      <c r="T128" s="8">
        <v>0.78</v>
      </c>
      <c r="U128" s="15">
        <v>0.67</v>
      </c>
      <c r="V128" s="8">
        <v>0.56000000000000005</v>
      </c>
      <c r="W128" s="17"/>
      <c r="X128" s="65">
        <v>46249</v>
      </c>
    </row>
    <row r="129" spans="1:24" ht="19.8" thickBot="1" x14ac:dyDescent="0.3">
      <c r="A129" s="4" t="s">
        <v>199</v>
      </c>
      <c r="B129" s="8">
        <v>0.12</v>
      </c>
      <c r="C129" s="9">
        <v>0.25</v>
      </c>
      <c r="D129" s="8">
        <v>0.62</v>
      </c>
      <c r="E129" s="10" t="s">
        <v>293</v>
      </c>
      <c r="F129" s="11" t="s">
        <v>222</v>
      </c>
      <c r="G129" s="12" t="s">
        <v>216</v>
      </c>
      <c r="H129" s="13" t="s">
        <v>286</v>
      </c>
      <c r="I129" s="14">
        <v>8</v>
      </c>
      <c r="J129" s="14" t="s">
        <v>10</v>
      </c>
      <c r="K129" s="5" t="s">
        <v>610</v>
      </c>
      <c r="L129" s="6">
        <v>0.625</v>
      </c>
      <c r="M129" s="7" t="s">
        <v>611</v>
      </c>
      <c r="N129" s="14" t="s">
        <v>11</v>
      </c>
      <c r="O129" s="14">
        <v>8</v>
      </c>
      <c r="P129" s="13" t="s">
        <v>218</v>
      </c>
      <c r="Q129" s="12" t="s">
        <v>345</v>
      </c>
      <c r="R129" s="11" t="s">
        <v>346</v>
      </c>
      <c r="S129" s="10" t="s">
        <v>347</v>
      </c>
      <c r="T129" s="8">
        <v>0.88</v>
      </c>
      <c r="U129" s="9">
        <v>0.5</v>
      </c>
      <c r="V129" s="8">
        <v>0.5</v>
      </c>
      <c r="W129" s="17"/>
      <c r="X129" s="65">
        <v>46249</v>
      </c>
    </row>
    <row r="130" spans="1:24" ht="19.8" thickBot="1" x14ac:dyDescent="0.3">
      <c r="A130" s="4" t="s">
        <v>199</v>
      </c>
      <c r="B130" s="8">
        <v>0.5</v>
      </c>
      <c r="C130" s="15">
        <v>0.67</v>
      </c>
      <c r="D130" s="8">
        <v>0.83</v>
      </c>
      <c r="E130" s="10" t="s">
        <v>348</v>
      </c>
      <c r="F130" s="11" t="s">
        <v>221</v>
      </c>
      <c r="G130" s="12" t="s">
        <v>349</v>
      </c>
      <c r="H130" s="13" t="s">
        <v>221</v>
      </c>
      <c r="I130" s="14">
        <v>6</v>
      </c>
      <c r="J130" s="14" t="s">
        <v>10</v>
      </c>
      <c r="K130" s="5" t="s">
        <v>612</v>
      </c>
      <c r="L130" s="6">
        <v>0.625</v>
      </c>
      <c r="M130" s="7" t="s">
        <v>613</v>
      </c>
      <c r="N130" s="14" t="s">
        <v>11</v>
      </c>
      <c r="O130" s="14">
        <v>8</v>
      </c>
      <c r="P130" s="13" t="s">
        <v>223</v>
      </c>
      <c r="Q130" s="12" t="s">
        <v>345</v>
      </c>
      <c r="R130" s="11" t="s">
        <v>216</v>
      </c>
      <c r="S130" s="10" t="s">
        <v>239</v>
      </c>
      <c r="T130" s="8">
        <v>1</v>
      </c>
      <c r="U130" s="15">
        <v>0.62</v>
      </c>
      <c r="V130" s="8">
        <v>0.5</v>
      </c>
      <c r="W130" s="17"/>
      <c r="X130" s="65">
        <v>46249</v>
      </c>
    </row>
    <row r="131" spans="1:24" ht="13.8" thickBot="1" x14ac:dyDescent="0.3">
      <c r="A131" s="4" t="s">
        <v>199</v>
      </c>
      <c r="B131" s="8">
        <v>0.28999999999999998</v>
      </c>
      <c r="C131" s="15">
        <v>0.71</v>
      </c>
      <c r="D131" s="8">
        <v>1</v>
      </c>
      <c r="E131" s="10" t="s">
        <v>350</v>
      </c>
      <c r="F131" s="11" t="s">
        <v>291</v>
      </c>
      <c r="G131" s="12" t="s">
        <v>351</v>
      </c>
      <c r="H131" s="13" t="s">
        <v>352</v>
      </c>
      <c r="I131" s="14">
        <v>7</v>
      </c>
      <c r="J131" s="14" t="s">
        <v>10</v>
      </c>
      <c r="K131" s="5" t="s">
        <v>614</v>
      </c>
      <c r="L131" s="6">
        <v>0.625</v>
      </c>
      <c r="M131" s="7" t="s">
        <v>615</v>
      </c>
      <c r="N131" s="14" t="s">
        <v>11</v>
      </c>
      <c r="O131" s="14">
        <v>7</v>
      </c>
      <c r="P131" s="13" t="s">
        <v>447</v>
      </c>
      <c r="Q131" s="12" t="s">
        <v>218</v>
      </c>
      <c r="R131" s="11" t="s">
        <v>353</v>
      </c>
      <c r="S131" s="10" t="s">
        <v>354</v>
      </c>
      <c r="T131" s="8">
        <v>0.71</v>
      </c>
      <c r="U131" s="15">
        <v>0.71</v>
      </c>
      <c r="V131" s="8">
        <v>0.28999999999999998</v>
      </c>
      <c r="W131" s="17"/>
      <c r="X131" s="65">
        <v>46249</v>
      </c>
    </row>
    <row r="132" spans="1:24" ht="13.8" thickBot="1" x14ac:dyDescent="0.3">
      <c r="A132" s="4" t="s">
        <v>355</v>
      </c>
      <c r="B132" s="63"/>
      <c r="C132" s="63"/>
      <c r="D132" s="63"/>
      <c r="E132" s="63"/>
      <c r="F132" s="63"/>
      <c r="G132" s="63"/>
      <c r="H132" s="63"/>
      <c r="I132" s="64"/>
      <c r="J132" s="14" t="s">
        <v>10</v>
      </c>
      <c r="K132" s="5" t="s">
        <v>616</v>
      </c>
      <c r="L132" s="6">
        <v>0.6875</v>
      </c>
      <c r="M132" s="7" t="s">
        <v>617</v>
      </c>
      <c r="N132" s="14" t="s">
        <v>11</v>
      </c>
      <c r="O132" s="64"/>
      <c r="P132" s="63"/>
      <c r="Q132" s="63"/>
      <c r="R132" s="63"/>
      <c r="S132" s="63"/>
      <c r="T132" s="63"/>
      <c r="U132" s="63"/>
      <c r="V132" s="63"/>
      <c r="W132" s="17"/>
      <c r="X132" s="65">
        <v>46249</v>
      </c>
    </row>
    <row r="133" spans="1:24" ht="13.8" thickBot="1" x14ac:dyDescent="0.3">
      <c r="A133" s="4" t="s">
        <v>355</v>
      </c>
      <c r="B133" s="63"/>
      <c r="C133" s="63"/>
      <c r="D133" s="63"/>
      <c r="E133" s="63"/>
      <c r="F133" s="63"/>
      <c r="G133" s="63"/>
      <c r="H133" s="63"/>
      <c r="I133" s="64"/>
      <c r="J133" s="14" t="s">
        <v>10</v>
      </c>
      <c r="K133" s="5" t="s">
        <v>618</v>
      </c>
      <c r="L133" s="6">
        <v>0.6875</v>
      </c>
      <c r="M133" s="7" t="s">
        <v>619</v>
      </c>
      <c r="N133" s="14" t="s">
        <v>11</v>
      </c>
      <c r="O133" s="64"/>
      <c r="P133" s="63"/>
      <c r="Q133" s="63"/>
      <c r="R133" s="63"/>
      <c r="S133" s="63"/>
      <c r="T133" s="63"/>
      <c r="U133" s="63"/>
      <c r="V133" s="63"/>
      <c r="W133" s="17"/>
      <c r="X133" s="65">
        <v>46249</v>
      </c>
    </row>
    <row r="134" spans="1:24" ht="13.8" thickBot="1" x14ac:dyDescent="0.3">
      <c r="A134" s="4" t="s">
        <v>356</v>
      </c>
      <c r="B134" s="8">
        <v>0</v>
      </c>
      <c r="C134" s="9">
        <v>0.5</v>
      </c>
      <c r="D134" s="8">
        <v>1</v>
      </c>
      <c r="E134" s="10" t="s">
        <v>217</v>
      </c>
      <c r="F134" s="11" t="s">
        <v>220</v>
      </c>
      <c r="G134" s="12" t="s">
        <v>221</v>
      </c>
      <c r="H134" s="13" t="s">
        <v>220</v>
      </c>
      <c r="I134" s="14">
        <v>2</v>
      </c>
      <c r="J134" s="14" t="s">
        <v>10</v>
      </c>
      <c r="K134" s="5" t="s">
        <v>620</v>
      </c>
      <c r="L134" s="6">
        <v>0.54166666666666663</v>
      </c>
      <c r="M134" s="7" t="s">
        <v>621</v>
      </c>
      <c r="N134" s="14" t="s">
        <v>11</v>
      </c>
      <c r="O134" s="14">
        <v>1</v>
      </c>
      <c r="P134" s="13" t="s">
        <v>219</v>
      </c>
      <c r="Q134" s="12" t="s">
        <v>217</v>
      </c>
      <c r="R134" s="11" t="s">
        <v>219</v>
      </c>
      <c r="S134" s="10" t="s">
        <v>217</v>
      </c>
      <c r="T134" s="8">
        <v>0</v>
      </c>
      <c r="U134" s="9">
        <v>0</v>
      </c>
      <c r="V134" s="8">
        <v>0</v>
      </c>
      <c r="W134" s="17"/>
      <c r="X134" s="65">
        <v>46249</v>
      </c>
    </row>
    <row r="135" spans="1:24" ht="13.8" thickBot="1" x14ac:dyDescent="0.3">
      <c r="A135" s="4" t="s">
        <v>204</v>
      </c>
      <c r="B135" s="63"/>
      <c r="C135" s="63"/>
      <c r="D135" s="63"/>
      <c r="E135" s="63"/>
      <c r="F135" s="63"/>
      <c r="G135" s="63"/>
      <c r="H135" s="63"/>
      <c r="I135" s="64"/>
      <c r="J135" s="14" t="s">
        <v>10</v>
      </c>
      <c r="K135" s="5" t="s">
        <v>622</v>
      </c>
      <c r="L135" s="6">
        <v>0.83333333333333337</v>
      </c>
      <c r="M135" s="7" t="s">
        <v>623</v>
      </c>
      <c r="N135" s="14" t="s">
        <v>11</v>
      </c>
      <c r="O135" s="64"/>
      <c r="P135" s="63"/>
      <c r="Q135" s="63"/>
      <c r="R135" s="63"/>
      <c r="S135" s="63"/>
      <c r="T135" s="63"/>
      <c r="U135" s="63"/>
      <c r="V135" s="63"/>
      <c r="W135" s="17"/>
      <c r="X135" s="65">
        <v>46249</v>
      </c>
    </row>
    <row r="136" spans="1:24" ht="13.8" thickBot="1" x14ac:dyDescent="0.3">
      <c r="A136" s="4" t="s">
        <v>624</v>
      </c>
      <c r="B136" s="8">
        <v>0</v>
      </c>
      <c r="C136" s="9">
        <v>0</v>
      </c>
      <c r="D136" s="8">
        <v>1</v>
      </c>
      <c r="E136" s="10" t="s">
        <v>216</v>
      </c>
      <c r="F136" s="11" t="s">
        <v>219</v>
      </c>
      <c r="G136" s="12" t="s">
        <v>216</v>
      </c>
      <c r="H136" s="13" t="s">
        <v>219</v>
      </c>
      <c r="I136" s="14">
        <v>1</v>
      </c>
      <c r="J136" s="14" t="s">
        <v>10</v>
      </c>
      <c r="K136" s="5" t="s">
        <v>625</v>
      </c>
      <c r="L136" s="6">
        <v>0.69791666666666663</v>
      </c>
      <c r="M136" s="7" t="s">
        <v>626</v>
      </c>
      <c r="N136" s="14" t="s">
        <v>11</v>
      </c>
      <c r="O136" s="14">
        <v>1</v>
      </c>
      <c r="P136" s="13" t="s">
        <v>219</v>
      </c>
      <c r="Q136" s="12" t="s">
        <v>218</v>
      </c>
      <c r="R136" s="11" t="s">
        <v>217</v>
      </c>
      <c r="S136" s="10" t="s">
        <v>216</v>
      </c>
      <c r="T136" s="8">
        <v>1</v>
      </c>
      <c r="U136" s="15">
        <v>1</v>
      </c>
      <c r="V136" s="8">
        <v>0</v>
      </c>
      <c r="W136" s="17"/>
      <c r="X136" s="65">
        <v>46249</v>
      </c>
    </row>
    <row r="137" spans="1:24" ht="19.8" thickBot="1" x14ac:dyDescent="0.3">
      <c r="A137" s="4" t="s">
        <v>624</v>
      </c>
      <c r="B137" s="8">
        <v>0</v>
      </c>
      <c r="C137" s="9">
        <v>0</v>
      </c>
      <c r="D137" s="8">
        <v>1</v>
      </c>
      <c r="E137" s="10" t="s">
        <v>217</v>
      </c>
      <c r="F137" s="11" t="s">
        <v>217</v>
      </c>
      <c r="G137" s="12" t="s">
        <v>216</v>
      </c>
      <c r="H137" s="13" t="s">
        <v>217</v>
      </c>
      <c r="I137" s="14">
        <v>1</v>
      </c>
      <c r="J137" s="14" t="s">
        <v>10</v>
      </c>
      <c r="K137" s="5" t="s">
        <v>627</v>
      </c>
      <c r="L137" s="6">
        <v>0.69791666666666663</v>
      </c>
      <c r="M137" s="7" t="s">
        <v>628</v>
      </c>
      <c r="N137" s="14" t="s">
        <v>11</v>
      </c>
      <c r="O137" s="14">
        <v>1</v>
      </c>
      <c r="P137" s="13" t="s">
        <v>219</v>
      </c>
      <c r="Q137" s="12" t="s">
        <v>278</v>
      </c>
      <c r="R137" s="11" t="s">
        <v>216</v>
      </c>
      <c r="S137" s="10" t="s">
        <v>218</v>
      </c>
      <c r="T137" s="8">
        <v>1</v>
      </c>
      <c r="U137" s="15">
        <v>1</v>
      </c>
      <c r="V137" s="8">
        <v>1</v>
      </c>
      <c r="W137" s="17"/>
      <c r="X137" s="65">
        <v>46249</v>
      </c>
    </row>
    <row r="138" spans="1:24" ht="19.8" thickBot="1" x14ac:dyDescent="0.3">
      <c r="A138" s="4" t="s">
        <v>624</v>
      </c>
      <c r="B138" s="8">
        <v>0</v>
      </c>
      <c r="C138" s="15">
        <v>1</v>
      </c>
      <c r="D138" s="8">
        <v>1</v>
      </c>
      <c r="E138" s="10" t="s">
        <v>216</v>
      </c>
      <c r="F138" s="11" t="s">
        <v>217</v>
      </c>
      <c r="G138" s="12" t="s">
        <v>218</v>
      </c>
      <c r="H138" s="13" t="s">
        <v>219</v>
      </c>
      <c r="I138" s="14">
        <v>1</v>
      </c>
      <c r="J138" s="14" t="s">
        <v>10</v>
      </c>
      <c r="K138" s="5" t="s">
        <v>629</v>
      </c>
      <c r="L138" s="6">
        <v>0.69791666666666663</v>
      </c>
      <c r="M138" s="7" t="s">
        <v>630</v>
      </c>
      <c r="N138" s="14" t="s">
        <v>11</v>
      </c>
      <c r="O138" s="14">
        <v>1</v>
      </c>
      <c r="P138" s="13" t="s">
        <v>219</v>
      </c>
      <c r="Q138" s="12" t="s">
        <v>216</v>
      </c>
      <c r="R138" s="11" t="s">
        <v>219</v>
      </c>
      <c r="S138" s="10" t="s">
        <v>216</v>
      </c>
      <c r="T138" s="8">
        <v>1</v>
      </c>
      <c r="U138" s="9">
        <v>0</v>
      </c>
      <c r="V138" s="8">
        <v>0</v>
      </c>
      <c r="W138" s="17"/>
      <c r="X138" s="65">
        <v>46249</v>
      </c>
    </row>
    <row r="139" spans="1:24" ht="19.8" thickBot="1" x14ac:dyDescent="0.3">
      <c r="A139" s="4" t="s">
        <v>624</v>
      </c>
      <c r="B139" s="8">
        <v>0</v>
      </c>
      <c r="C139" s="9">
        <v>0</v>
      </c>
      <c r="D139" s="8">
        <v>0</v>
      </c>
      <c r="E139" s="10" t="s">
        <v>217</v>
      </c>
      <c r="F139" s="11" t="s">
        <v>219</v>
      </c>
      <c r="G139" s="12" t="s">
        <v>217</v>
      </c>
      <c r="H139" s="13" t="s">
        <v>219</v>
      </c>
      <c r="I139" s="14">
        <v>1</v>
      </c>
      <c r="J139" s="14" t="s">
        <v>10</v>
      </c>
      <c r="K139" s="5" t="s">
        <v>631</v>
      </c>
      <c r="L139" s="6">
        <v>0.69791666666666663</v>
      </c>
      <c r="M139" s="7" t="s">
        <v>632</v>
      </c>
      <c r="N139" s="14" t="s">
        <v>11</v>
      </c>
      <c r="O139" s="14">
        <v>1</v>
      </c>
      <c r="P139" s="13" t="s">
        <v>218</v>
      </c>
      <c r="Q139" s="12" t="s">
        <v>218</v>
      </c>
      <c r="R139" s="11" t="s">
        <v>216</v>
      </c>
      <c r="S139" s="10" t="s">
        <v>217</v>
      </c>
      <c r="T139" s="8">
        <v>1</v>
      </c>
      <c r="U139" s="15">
        <v>1</v>
      </c>
      <c r="V139" s="8">
        <v>0</v>
      </c>
      <c r="W139" s="17"/>
      <c r="X139" s="65">
        <v>46249</v>
      </c>
    </row>
    <row r="140" spans="1:24" ht="13.8" thickBot="1" x14ac:dyDescent="0.3">
      <c r="A140" s="4" t="s">
        <v>624</v>
      </c>
      <c r="B140" s="8">
        <v>1</v>
      </c>
      <c r="C140" s="15">
        <v>1</v>
      </c>
      <c r="D140" s="8">
        <v>1</v>
      </c>
      <c r="E140" s="10" t="s">
        <v>216</v>
      </c>
      <c r="F140" s="11" t="s">
        <v>218</v>
      </c>
      <c r="G140" s="12" t="s">
        <v>278</v>
      </c>
      <c r="H140" s="13" t="s">
        <v>218</v>
      </c>
      <c r="I140" s="14">
        <v>1</v>
      </c>
      <c r="J140" s="14" t="s">
        <v>10</v>
      </c>
      <c r="K140" s="5" t="s">
        <v>633</v>
      </c>
      <c r="L140" s="6">
        <v>0.69791666666666663</v>
      </c>
      <c r="M140" s="7" t="s">
        <v>634</v>
      </c>
      <c r="N140" s="14" t="s">
        <v>11</v>
      </c>
      <c r="O140" s="14">
        <v>1</v>
      </c>
      <c r="P140" s="13" t="s">
        <v>219</v>
      </c>
      <c r="Q140" s="12" t="s">
        <v>357</v>
      </c>
      <c r="R140" s="11" t="s">
        <v>217</v>
      </c>
      <c r="S140" s="10" t="s">
        <v>238</v>
      </c>
      <c r="T140" s="8">
        <v>1</v>
      </c>
      <c r="U140" s="15">
        <v>1</v>
      </c>
      <c r="V140" s="8">
        <v>1</v>
      </c>
      <c r="W140" s="17"/>
      <c r="X140" s="65">
        <v>46249</v>
      </c>
    </row>
    <row r="141" spans="1:24" ht="19.8" thickBot="1" x14ac:dyDescent="0.3">
      <c r="A141" s="4" t="s">
        <v>624</v>
      </c>
      <c r="B141" s="8">
        <v>0</v>
      </c>
      <c r="C141" s="9">
        <v>0</v>
      </c>
      <c r="D141" s="8">
        <v>1</v>
      </c>
      <c r="E141" s="10" t="s">
        <v>219</v>
      </c>
      <c r="F141" s="11" t="s">
        <v>216</v>
      </c>
      <c r="G141" s="12" t="s">
        <v>216</v>
      </c>
      <c r="H141" s="13" t="s">
        <v>218</v>
      </c>
      <c r="I141" s="14">
        <v>1</v>
      </c>
      <c r="J141" s="14" t="s">
        <v>10</v>
      </c>
      <c r="K141" s="5" t="s">
        <v>635</v>
      </c>
      <c r="L141" s="6">
        <v>0.69791666666666663</v>
      </c>
      <c r="M141" s="7" t="s">
        <v>636</v>
      </c>
      <c r="N141" s="14" t="s">
        <v>11</v>
      </c>
      <c r="O141" s="14">
        <v>1</v>
      </c>
      <c r="P141" s="13" t="s">
        <v>217</v>
      </c>
      <c r="Q141" s="12" t="s">
        <v>216</v>
      </c>
      <c r="R141" s="11" t="s">
        <v>217</v>
      </c>
      <c r="S141" s="10" t="s">
        <v>217</v>
      </c>
      <c r="T141" s="8">
        <v>1</v>
      </c>
      <c r="U141" s="9">
        <v>0</v>
      </c>
      <c r="V141" s="8">
        <v>0</v>
      </c>
      <c r="W141" s="17"/>
      <c r="X141" s="65">
        <v>46249</v>
      </c>
    </row>
  </sheetData>
  <hyperlinks>
    <hyperlink ref="A2" r:id="rId1" display="https://www.soccerstats.com/latest.asp?league=netherlands"/>
    <hyperlink ref="A3" r:id="rId2" display="https://www.soccerstats.com/latest.asp?league=portugal"/>
    <hyperlink ref="A4" r:id="rId3" display="https://www.soccerstats.com/latest.asp?league=england2"/>
    <hyperlink ref="A5" r:id="rId4" display="https://www.soccerstats.com/latest.asp?league=spain2"/>
    <hyperlink ref="A6" r:id="rId5" display="https://www.soccerstats.com/latest.asp?league=france2"/>
    <hyperlink ref="A7" r:id="rId6" display="https://www.soccerstats.com/latest.asp?league=france2"/>
    <hyperlink ref="A8" r:id="rId7" display="https://www.soccerstats.com/latest.asp?league=france2"/>
    <hyperlink ref="A9" r:id="rId8" display="https://www.soccerstats.com/latest.asp?league=france2"/>
    <hyperlink ref="A10" r:id="rId9" display="https://www.soccerstats.com/latest.asp?league=france2"/>
    <hyperlink ref="A11" r:id="rId10" display="https://www.soccerstats.com/latest.asp?league=france2"/>
    <hyperlink ref="A12" r:id="rId11" display="https://www.soccerstats.com/latest.asp?league=france2"/>
    <hyperlink ref="A13" r:id="rId12" display="https://www.soccerstats.com/latest.asp?league=france2"/>
    <hyperlink ref="A14" r:id="rId13" display="https://www.soccerstats.com/latest.asp?league=france2"/>
    <hyperlink ref="A15" r:id="rId14" display="https://www.soccerstats.com/latest.asp?league=germany2"/>
    <hyperlink ref="A16" r:id="rId15" display="https://www.soccerstats.com/latest.asp?league=germany2"/>
    <hyperlink ref="A17" r:id="rId16" display="https://www.soccerstats.com/latest.asp?league=netherlands2"/>
    <hyperlink ref="A18" r:id="rId17" display="https://www.soccerstats.com/latest.asp?league=netherlands2"/>
    <hyperlink ref="A19" r:id="rId18" display="https://www.soccerstats.com/latest.asp?league=netherlands2"/>
    <hyperlink ref="A20" r:id="rId19" display="https://www.soccerstats.com/latest.asp?league=netherlands2"/>
    <hyperlink ref="A21" r:id="rId20" display="https://www.soccerstats.com/latest.asp?league=netherlands2"/>
    <hyperlink ref="A22" r:id="rId21" display="https://www.soccerstats.com/latest.asp?league=netherlands2"/>
    <hyperlink ref="A23" r:id="rId22" display="https://www.soccerstats.com/latest.asp?league=argentina2"/>
    <hyperlink ref="A24" r:id="rId23" display="https://www.soccerstats.com/latest.asp?league=argentina3"/>
    <hyperlink ref="A25" r:id="rId24" display="https://www.soccerstats.com/latest.asp?league=argentina3"/>
    <hyperlink ref="A26" r:id="rId25" display="https://www.soccerstats.com/latest.asp?league=armenia"/>
    <hyperlink ref="A27" r:id="rId26" display="https://www.soccerstats.com/latest.asp?league=australia3"/>
    <hyperlink ref="A28" r:id="rId27" display="https://www.soccerstats.com/latest.asp?league=australia3"/>
    <hyperlink ref="A29" r:id="rId28" display="https://www.soccerstats.com/latest.asp?league=australia3"/>
    <hyperlink ref="A30" r:id="rId29" display="https://www.soccerstats.com/latest.asp?league=australia4"/>
    <hyperlink ref="A31" r:id="rId30" display="https://www.soccerstats.com/latest.asp?league=australia4"/>
    <hyperlink ref="A32" r:id="rId31" display="https://www.soccerstats.com/latest.asp?league=australia4"/>
    <hyperlink ref="A33" r:id="rId32" display="https://www.soccerstats.com/latest.asp?league=australia4"/>
    <hyperlink ref="A34" r:id="rId33" display="https://www.soccerstats.com/latest.asp?league=australia4"/>
    <hyperlink ref="A35" r:id="rId34" display="https://www.soccerstats.com/latest.asp?league=australia4"/>
    <hyperlink ref="A36" r:id="rId35" display="https://www.soccerstats.com/latest.asp?league=australia5"/>
    <hyperlink ref="A37" r:id="rId36" display="https://www.soccerstats.com/latest.asp?league=australia11"/>
    <hyperlink ref="A38" r:id="rId37" display="https://www.soccerstats.com/latest.asp?league=austria"/>
    <hyperlink ref="A39" r:id="rId38" display="https://www.soccerstats.com/latest.asp?league=austria2"/>
    <hyperlink ref="A40" r:id="rId39" display="https://www.soccerstats.com/latest.asp?league=austria2"/>
    <hyperlink ref="A41" r:id="rId40" display="https://www.soccerstats.com/latest.asp?league=azerbaijan"/>
    <hyperlink ref="A42" r:id="rId41" display="https://www.soccerstats.com/latest.asp?league=azerbaijan"/>
    <hyperlink ref="A43" r:id="rId42" display="https://www.soccerstats.com/latest.asp?league=belarus"/>
    <hyperlink ref="A44" r:id="rId43" display="https://www.soccerstats.com/latest.asp?league=belarus"/>
    <hyperlink ref="A45" r:id="rId44" display="https://www.soccerstats.com/latest.asp?league=belgium"/>
    <hyperlink ref="A46" r:id="rId45" display="https://www.soccerstats.com/latest.asp?league=belgium2"/>
    <hyperlink ref="A47" r:id="rId46" display="https://www.soccerstats.com/latest.asp?league=belgium2"/>
    <hyperlink ref="A48" r:id="rId47" display="https://www.soccerstats.com/latest.asp?league=bosnia"/>
    <hyperlink ref="A49" r:id="rId48" display="https://www.soccerstats.com/latest.asp?league=brazil2"/>
    <hyperlink ref="A50" r:id="rId49" display="https://www.soccerstats.com/latest.asp?league=brazil2"/>
    <hyperlink ref="A51" r:id="rId50" display="https://www.soccerstats.com/latest.asp?league=brazil2"/>
    <hyperlink ref="A52" r:id="rId51" display="https://www.soccerstats.com/latest.asp?league=bulgaria"/>
    <hyperlink ref="A53" r:id="rId52" display="https://www.soccerstats.com/latest.asp?league=bulgaria2"/>
    <hyperlink ref="A54" r:id="rId53" display="https://www.soccerstats.com/latest.asp?league=chile"/>
    <hyperlink ref="A55" r:id="rId54" display="https://www.soccerstats.com/latest.asp?league=chile2"/>
    <hyperlink ref="A56" r:id="rId55" display="https://www.soccerstats.com/latest.asp?league=chile2"/>
    <hyperlink ref="A57" r:id="rId56" display="https://www.soccerstats.com/latest.asp?league=china"/>
    <hyperlink ref="A58" r:id="rId57" display="https://www.soccerstats.com/latest.asp?league=china"/>
    <hyperlink ref="A59" r:id="rId58" display="https://www.soccerstats.com/latest.asp?league=china"/>
    <hyperlink ref="A60" r:id="rId59" display="https://www.soccerstats.com/latest.asp?league=colombia2"/>
    <hyperlink ref="A61" r:id="rId60" display="https://www.soccerstats.com/leagueview.asp?league=copasudamericana"/>
    <hyperlink ref="A62" r:id="rId61" display="https://www.soccerstats.com/leagueview.asp?league=copalibertadores"/>
    <hyperlink ref="A63" r:id="rId62" display="https://www.soccerstats.com/latest.asp?league=croatia"/>
    <hyperlink ref="A64" r:id="rId63" display="https://www.soccerstats.com/latest.asp?league=czechrepublic2"/>
    <hyperlink ref="A65" r:id="rId64" display="https://www.soccerstats.com/latest.asp?league=czechrepublic2"/>
    <hyperlink ref="A66" r:id="rId65" display="https://www.soccerstats.com/latest.asp?league=denmark"/>
    <hyperlink ref="A67" r:id="rId66" display="https://www.soccerstats.com/latest.asp?league=denmark2"/>
    <hyperlink ref="A68" r:id="rId67" display="https://www.soccerstats.com/latest.asp?league=denmark2"/>
    <hyperlink ref="A69" r:id="rId68" display="https://www.soccerstats.com/latest.asp?league=denmark3"/>
    <hyperlink ref="A70" r:id="rId69" display="https://www.soccerstats.com/latest.asp?league=denmark3"/>
    <hyperlink ref="A71" r:id="rId70" display="https://www.soccerstats.com/latest.asp?league=denmark3"/>
    <hyperlink ref="A72" r:id="rId71" display="https://www.soccerstats.com/latest.asp?league=denmark3"/>
    <hyperlink ref="A73" r:id="rId72" display="https://www.soccerstats.com/latest.asp?league=england7"/>
    <hyperlink ref="A74" r:id="rId73" display="https://www.soccerstats.com/latest.asp?league=england9"/>
    <hyperlink ref="A75" r:id="rId74" display="https://www.soccerstats.com/latest.asp?league=estonia"/>
    <hyperlink ref="A76" r:id="rId75" display="https://www.soccerstats.com/latest.asp?league=finland"/>
    <hyperlink ref="A77" r:id="rId76" display="https://www.soccerstats.com/latest.asp?league=finland2"/>
    <hyperlink ref="A78" r:id="rId77" display="https://www.soccerstats.com/latest.asp?league=france3"/>
    <hyperlink ref="A79" r:id="rId78" display="https://www.soccerstats.com/latest.asp?league=france3"/>
    <hyperlink ref="A80" r:id="rId79" display="https://www.soccerstats.com/latest.asp?league=france3"/>
    <hyperlink ref="A81" r:id="rId80" display="https://www.soccerstats.com/latest.asp?league=france3"/>
    <hyperlink ref="A82" r:id="rId81" display="https://www.soccerstats.com/latest.asp?league=france3"/>
    <hyperlink ref="A83" r:id="rId82" display="https://www.soccerstats.com/latest.asp?league=france3"/>
    <hyperlink ref="A84" r:id="rId83" display="https://www.soccerstats.com/latest.asp?league=france3"/>
    <hyperlink ref="A85" r:id="rId84" display="https://www.soccerstats.com/latest.asp?league=france3"/>
    <hyperlink ref="A86" r:id="rId85" display="https://www.soccerstats.com/latest.asp?league=france3"/>
    <hyperlink ref="A87" r:id="rId86" display="https://www.soccerstats.com/latest.asp?league=germany3"/>
    <hyperlink ref="A88" r:id="rId87" display="https://www.soccerstats.com/latest.asp?league=germany5"/>
    <hyperlink ref="A89" r:id="rId88" display="https://www.soccerstats.com/latest.asp?league=germany5"/>
    <hyperlink ref="A90" r:id="rId89" display="https://www.soccerstats.com/latest.asp?league=germany5"/>
    <hyperlink ref="A91" r:id="rId90" display="https://www.soccerstats.com/latest.asp?league=germany5"/>
    <hyperlink ref="A92" r:id="rId91" display="https://www.soccerstats.com/latest.asp?league=germany6"/>
    <hyperlink ref="A93" r:id="rId92" display="https://www.soccerstats.com/latest.asp?league=germany6"/>
    <hyperlink ref="A94" r:id="rId93" display="https://www.soccerstats.com/latest.asp?league=germany6"/>
    <hyperlink ref="A95" r:id="rId94" display="https://www.soccerstats.com/latest.asp?league=germany6"/>
    <hyperlink ref="A96" r:id="rId95" display="https://www.soccerstats.com/latest.asp?league=germany7"/>
    <hyperlink ref="A97" r:id="rId96" display="https://www.soccerstats.com/latest.asp?league=germany8"/>
    <hyperlink ref="A98" r:id="rId97" display="https://www.soccerstats.com/latest.asp?league=germany8"/>
    <hyperlink ref="A99" r:id="rId98" display="https://www.soccerstats.com/latest.asp?league=germany8"/>
    <hyperlink ref="A100" r:id="rId99" display="https://www.soccerstats.com/latest.asp?league=germany8"/>
    <hyperlink ref="A101" r:id="rId100" display="https://www.soccerstats.com/latest.asp?league=germany8"/>
    <hyperlink ref="A102" r:id="rId101" display="https://www.soccerstats.com/latest.asp?league=germany8"/>
    <hyperlink ref="A103" r:id="rId102" display="https://www.soccerstats.com/latest.asp?league=germany8"/>
    <hyperlink ref="A104" r:id="rId103" display="https://www.soccerstats.com/latest.asp?league=germany8"/>
    <hyperlink ref="A105" r:id="rId104" display="https://www.soccerstats.com/latest.asp?league=germany8"/>
    <hyperlink ref="A106" r:id="rId105" display="https://www.soccerstats.com/latest.asp?league=hungary"/>
    <hyperlink ref="A107" r:id="rId106" display="https://www.soccerstats.com/latest.asp?league=iceland3"/>
    <hyperlink ref="A108" r:id="rId107" display="https://www.soccerstats.com/latest.asp?league=japan"/>
    <hyperlink ref="A109" r:id="rId108" display="https://www.soccerstats.com/latest.asp?league=norway"/>
    <hyperlink ref="A110" r:id="rId109" display="https://www.soccerstats.com/latest.asp?league=norway11"/>
    <hyperlink ref="A111" r:id="rId110" display="https://www.soccerstats.com/latest.asp?league=paraguay2"/>
    <hyperlink ref="A112" r:id="rId111" display="https://www.soccerstats.com/latest.asp?league=poland"/>
    <hyperlink ref="A113" r:id="rId112" display="https://www.soccerstats.com/latest.asp?league=poland2"/>
    <hyperlink ref="A114" r:id="rId113" display="https://www.soccerstats.com/latest.asp?league=poland2"/>
    <hyperlink ref="A115" r:id="rId114" display="https://www.soccerstats.com/latest.asp?league=poland3"/>
    <hyperlink ref="A116" r:id="rId115" display="https://www.soccerstats.com/latest.asp?league=portugal2"/>
    <hyperlink ref="A117" r:id="rId116" display="https://www.soccerstats.com/latest.asp?league=romania"/>
    <hyperlink ref="A118" r:id="rId117" display="https://www.soccerstats.com/latest.asp?league=romania"/>
    <hyperlink ref="A119" r:id="rId118" display="https://www.soccerstats.com/latest.asp?league=russia"/>
    <hyperlink ref="A120" r:id="rId119" display="https://www.soccerstats.com/latest.asp?league=saudiarabia"/>
    <hyperlink ref="A121" r:id="rId120" display="https://www.soccerstats.com/latest.asp?league=saudiarabia"/>
    <hyperlink ref="A122" r:id="rId121" display="https://www.soccerstats.com/latest.asp?league=saudiarabia"/>
    <hyperlink ref="A123" r:id="rId122" display="https://www.soccerstats.com/latest.asp?league=southafrica"/>
    <hyperlink ref="A124" r:id="rId123" display="https://www.soccerstats.com/latest.asp?league=southkorea4"/>
    <hyperlink ref="A125" r:id="rId124" display="https://www.soccerstats.com/latest.asp?league=southkorea4"/>
    <hyperlink ref="A126" r:id="rId125" display="https://www.soccerstats.com/latest.asp?league=sweden"/>
    <hyperlink ref="A127" r:id="rId126" display="https://www.soccerstats.com/latest.asp?league=sweden2"/>
    <hyperlink ref="A128" r:id="rId127" display="https://www.soccerstats.com/latest.asp?league=sweden2"/>
    <hyperlink ref="A129" r:id="rId128" display="https://www.soccerstats.com/latest.asp?league=sweden3"/>
    <hyperlink ref="A130" r:id="rId129" display="https://www.soccerstats.com/latest.asp?league=sweden4"/>
    <hyperlink ref="A131" r:id="rId130" display="https://www.soccerstats.com/latest.asp?league=sweden11"/>
    <hyperlink ref="A132" r:id="rId131" display="https://www.soccerstats.com/latest.asp?league=turkey"/>
    <hyperlink ref="A133" r:id="rId132" display="https://www.soccerstats.com/latest.asp?league=turkey2"/>
    <hyperlink ref="A134" r:id="rId133" display="https://www.soccerstats.com/latest.asp?league=ukraine"/>
    <hyperlink ref="A135" r:id="rId134" display="https://www.soccerstats.com/latest.asp?league=uruguay3"/>
    <hyperlink ref="A136" r:id="rId135" display="https://www.soccerstats.com/latest.asp?league=wales"/>
    <hyperlink ref="A137" r:id="rId136" display="https://www.soccerstats.com/latest.asp?league=wales"/>
    <hyperlink ref="A138" r:id="rId137" display="https://www.soccerstats.com/latest.asp?league=wales"/>
    <hyperlink ref="A139" r:id="rId138" display="https://www.soccerstats.com/latest.asp?league=wales"/>
    <hyperlink ref="A140" r:id="rId139" display="https://www.soccerstats.com/latest.asp?league=wales"/>
    <hyperlink ref="A141" r:id="rId140" display="https://www.soccerstats.com/latest.asp?league=wales"/>
  </hyperlinks>
  <pageMargins left="0.511811024" right="0.511811024" top="0.78740157499999996" bottom="0.78740157499999996" header="0.31496062000000002" footer="0.31496062000000002"/>
  <pageSetup paperSize="9" orientation="portrait" r:id="rId141"/>
  <drawing r:id="rId14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31"/>
  <sheetViews>
    <sheetView showGridLines="0" zoomScale="80" zoomScaleNormal="80" workbookViewId="0">
      <selection activeCell="C8" sqref="C8"/>
    </sheetView>
  </sheetViews>
  <sheetFormatPr defaultRowHeight="15" customHeight="1" x14ac:dyDescent="0.25"/>
  <cols>
    <col min="2" max="2" width="10.5546875" bestFit="1" customWidth="1"/>
    <col min="3" max="3" width="13" bestFit="1" customWidth="1"/>
    <col min="4" max="4" width="22.44140625" customWidth="1"/>
    <col min="5" max="5" width="16.109375" bestFit="1" customWidth="1"/>
    <col min="6" max="10" width="20.77734375" customWidth="1"/>
  </cols>
  <sheetData>
    <row r="2" spans="2:11" ht="15" customHeight="1" x14ac:dyDescent="0.25">
      <c r="B2" s="28" t="s">
        <v>69</v>
      </c>
      <c r="C2" s="28" t="s">
        <v>51</v>
      </c>
      <c r="D2" s="28" t="s">
        <v>52</v>
      </c>
      <c r="E2" s="28" t="s">
        <v>53</v>
      </c>
      <c r="F2" s="28" t="s">
        <v>83</v>
      </c>
      <c r="G2" s="28" t="s">
        <v>78</v>
      </c>
      <c r="H2" s="28"/>
      <c r="I2" s="28"/>
      <c r="J2" s="28"/>
      <c r="K2" s="28"/>
    </row>
    <row r="3" spans="2:11" ht="15" customHeight="1" x14ac:dyDescent="0.25">
      <c r="B3" s="37">
        <v>46194</v>
      </c>
      <c r="C3" s="35">
        <v>0.33333333333333331</v>
      </c>
      <c r="D3" s="25" t="s">
        <v>74</v>
      </c>
      <c r="E3" s="25" t="s">
        <v>14</v>
      </c>
      <c r="F3" s="25"/>
      <c r="G3" s="25" t="s">
        <v>79</v>
      </c>
      <c r="H3" s="25"/>
      <c r="I3" s="25"/>
      <c r="J3" s="25"/>
      <c r="K3" s="25"/>
    </row>
    <row r="4" spans="2:11" ht="15" customHeight="1" x14ac:dyDescent="0.25">
      <c r="B4" s="37">
        <v>46194</v>
      </c>
      <c r="C4" s="35">
        <v>0.35416666666666669</v>
      </c>
      <c r="D4" s="25" t="s">
        <v>75</v>
      </c>
      <c r="E4" s="25" t="s">
        <v>13</v>
      </c>
      <c r="F4" s="25"/>
      <c r="G4" s="25" t="s">
        <v>79</v>
      </c>
      <c r="H4" s="25"/>
      <c r="I4" s="25"/>
      <c r="J4" s="25"/>
      <c r="K4" s="25"/>
    </row>
    <row r="5" spans="2:11" ht="15" customHeight="1" x14ac:dyDescent="0.25">
      <c r="B5" s="37">
        <v>46194</v>
      </c>
      <c r="C5" s="35">
        <v>0.45833333333333331</v>
      </c>
      <c r="D5" s="25" t="s">
        <v>71</v>
      </c>
      <c r="E5" s="25" t="s">
        <v>68</v>
      </c>
      <c r="F5" s="25" t="s">
        <v>84</v>
      </c>
      <c r="G5" s="25"/>
      <c r="H5" s="25"/>
      <c r="I5" s="25"/>
      <c r="J5" s="25"/>
      <c r="K5" s="25"/>
    </row>
    <row r="6" spans="2:11" ht="15" customHeight="1" x14ac:dyDescent="0.25">
      <c r="B6" s="37">
        <v>46194</v>
      </c>
      <c r="C6" s="35">
        <v>0.45833333333333331</v>
      </c>
      <c r="D6" s="25" t="s">
        <v>72</v>
      </c>
      <c r="E6" s="25" t="s">
        <v>68</v>
      </c>
      <c r="F6" s="25" t="s">
        <v>84</v>
      </c>
      <c r="G6" s="25"/>
      <c r="H6" s="25"/>
      <c r="I6" s="25"/>
      <c r="J6" s="25"/>
      <c r="K6" s="25"/>
    </row>
    <row r="7" spans="2:11" ht="15" customHeight="1" x14ac:dyDescent="0.25">
      <c r="B7" s="37">
        <v>46194</v>
      </c>
      <c r="C7" s="35">
        <v>0.45833333333333331</v>
      </c>
      <c r="D7" s="25" t="s">
        <v>76</v>
      </c>
      <c r="E7" s="25" t="s">
        <v>13</v>
      </c>
      <c r="F7" s="25" t="s">
        <v>84</v>
      </c>
      <c r="G7" s="25" t="s">
        <v>81</v>
      </c>
      <c r="H7" s="25"/>
      <c r="I7" s="25"/>
      <c r="J7" s="25"/>
      <c r="K7" s="25"/>
    </row>
    <row r="8" spans="2:11" ht="15" customHeight="1" x14ac:dyDescent="0.25">
      <c r="B8" s="37">
        <v>46194</v>
      </c>
      <c r="C8" s="35">
        <v>0.625</v>
      </c>
      <c r="D8" s="25" t="s">
        <v>73</v>
      </c>
      <c r="E8" s="25" t="s">
        <v>13</v>
      </c>
      <c r="F8" s="25"/>
      <c r="G8" s="25" t="s">
        <v>81</v>
      </c>
      <c r="H8" s="25"/>
      <c r="I8" s="25"/>
      <c r="J8" s="25"/>
      <c r="K8" s="25"/>
    </row>
    <row r="9" spans="2:11" ht="15" customHeight="1" x14ac:dyDescent="0.25">
      <c r="B9" s="37">
        <v>46194</v>
      </c>
      <c r="C9" s="35">
        <v>0.625</v>
      </c>
      <c r="D9" s="25" t="s">
        <v>73</v>
      </c>
      <c r="E9" s="25" t="s">
        <v>68</v>
      </c>
      <c r="F9" s="25"/>
      <c r="G9" s="25"/>
      <c r="H9" s="25"/>
      <c r="I9" s="25"/>
      <c r="J9" s="25"/>
      <c r="K9" s="25"/>
    </row>
    <row r="10" spans="2:11" ht="15" customHeight="1" x14ac:dyDescent="0.25">
      <c r="B10" s="37">
        <v>46194</v>
      </c>
      <c r="C10" s="35">
        <v>0.66666666666666663</v>
      </c>
      <c r="D10" s="25" t="s">
        <v>85</v>
      </c>
      <c r="E10" s="25" t="s">
        <v>13</v>
      </c>
      <c r="F10" s="25"/>
      <c r="G10" s="25" t="s">
        <v>80</v>
      </c>
      <c r="H10" s="25"/>
      <c r="I10" s="25"/>
      <c r="J10" s="25"/>
      <c r="K10" s="25"/>
    </row>
    <row r="11" spans="2:11" ht="15" customHeight="1" x14ac:dyDescent="0.25">
      <c r="B11" s="37">
        <v>46194</v>
      </c>
      <c r="C11" s="35">
        <v>0.71875</v>
      </c>
      <c r="D11" s="25" t="s">
        <v>82</v>
      </c>
      <c r="E11" s="25" t="s">
        <v>13</v>
      </c>
      <c r="F11" s="25"/>
      <c r="G11" s="25" t="s">
        <v>80</v>
      </c>
      <c r="H11" s="25"/>
      <c r="I11" s="25"/>
      <c r="J11" s="25"/>
      <c r="K11" s="25"/>
    </row>
    <row r="12" spans="2:11" ht="15" customHeight="1" x14ac:dyDescent="0.25">
      <c r="B12" s="37">
        <v>46194</v>
      </c>
      <c r="C12" s="35">
        <v>0.77083333333333337</v>
      </c>
      <c r="D12" s="25" t="s">
        <v>70</v>
      </c>
      <c r="E12" s="25" t="s">
        <v>68</v>
      </c>
      <c r="F12" s="25"/>
      <c r="G12" s="25"/>
      <c r="H12" s="25"/>
      <c r="I12" s="25"/>
      <c r="J12" s="25"/>
      <c r="K12" s="25"/>
    </row>
    <row r="15" spans="2:11" ht="15" customHeight="1" x14ac:dyDescent="0.25">
      <c r="D15" s="25" t="s">
        <v>61</v>
      </c>
      <c r="E15" s="25">
        <v>100</v>
      </c>
    </row>
    <row r="16" spans="2:11" ht="15" customHeight="1" x14ac:dyDescent="0.25">
      <c r="D16" s="28" t="s">
        <v>63</v>
      </c>
      <c r="E16" s="28" t="s">
        <v>56</v>
      </c>
      <c r="F16" s="28" t="s">
        <v>57</v>
      </c>
      <c r="G16" s="28" t="s">
        <v>58</v>
      </c>
      <c r="H16" s="28" t="s">
        <v>59</v>
      </c>
      <c r="I16" s="28" t="s">
        <v>67</v>
      </c>
      <c r="J16" s="28" t="s">
        <v>62</v>
      </c>
    </row>
    <row r="17" spans="2:10" ht="15" customHeight="1" x14ac:dyDescent="0.25">
      <c r="D17" s="25" t="s">
        <v>13</v>
      </c>
      <c r="E17" s="25">
        <v>366</v>
      </c>
      <c r="F17" s="25">
        <v>73</v>
      </c>
      <c r="G17" s="25">
        <v>121</v>
      </c>
      <c r="H17" s="25">
        <f>E17-F17-G17</f>
        <v>172</v>
      </c>
      <c r="I17" s="29">
        <f>F17*-$E$15+H17*$E$15*0.8</f>
        <v>6460</v>
      </c>
      <c r="J17" s="36">
        <f>I17/(E17*$E$15)</f>
        <v>0.17650273224043717</v>
      </c>
    </row>
    <row r="18" spans="2:10" ht="15" customHeight="1" x14ac:dyDescent="0.25">
      <c r="D18" s="25" t="s">
        <v>54</v>
      </c>
      <c r="E18" s="25">
        <v>85</v>
      </c>
      <c r="F18" s="25">
        <v>12</v>
      </c>
      <c r="G18" s="25">
        <v>24</v>
      </c>
      <c r="H18" s="25">
        <f>E18-F18-G18</f>
        <v>49</v>
      </c>
      <c r="I18" s="29">
        <f>F18*-$E$15+H18*$E$15*0.8</f>
        <v>2720</v>
      </c>
      <c r="J18" s="36">
        <f>I18/(E18*$E$15)</f>
        <v>0.32</v>
      </c>
    </row>
    <row r="19" spans="2:10" ht="15" customHeight="1" x14ac:dyDescent="0.25">
      <c r="D19" s="25" t="s">
        <v>55</v>
      </c>
      <c r="E19" s="25">
        <v>82</v>
      </c>
      <c r="F19" s="25">
        <v>16</v>
      </c>
      <c r="G19" s="25">
        <v>28</v>
      </c>
      <c r="H19" s="25">
        <f>E19-F19-G19</f>
        <v>38</v>
      </c>
      <c r="I19" s="29">
        <f>F19*-$E$15+H19*$E$15*0.8</f>
        <v>1440</v>
      </c>
      <c r="J19" s="36">
        <f>I19/(E19*$E$15)</f>
        <v>0.17560975609756097</v>
      </c>
    </row>
    <row r="20" spans="2:10" ht="15" customHeight="1" x14ac:dyDescent="0.25">
      <c r="D20" s="28" t="s">
        <v>64</v>
      </c>
      <c r="E20" s="28" t="s">
        <v>56</v>
      </c>
      <c r="F20" s="28" t="s">
        <v>57</v>
      </c>
      <c r="G20" s="28" t="s">
        <v>58</v>
      </c>
      <c r="H20" s="28" t="s">
        <v>59</v>
      </c>
      <c r="I20" s="28" t="s">
        <v>60</v>
      </c>
      <c r="J20" s="28" t="s">
        <v>62</v>
      </c>
    </row>
    <row r="21" spans="2:10" ht="15" customHeight="1" x14ac:dyDescent="0.25">
      <c r="D21" s="25" t="s">
        <v>14</v>
      </c>
      <c r="E21" s="25">
        <v>82</v>
      </c>
      <c r="F21" s="25">
        <v>19</v>
      </c>
      <c r="G21" s="25">
        <v>26</v>
      </c>
      <c r="H21" s="25">
        <f>E21-F21-G21</f>
        <v>37</v>
      </c>
      <c r="I21" s="29">
        <f>F21*-$E$15+H21*$E$15*0.8</f>
        <v>1060</v>
      </c>
      <c r="J21" s="36">
        <f>I21/(E21*$E$15)</f>
        <v>0.12926829268292683</v>
      </c>
    </row>
    <row r="22" spans="2:10" ht="15" customHeight="1" x14ac:dyDescent="0.25">
      <c r="D22" s="25" t="s">
        <v>65</v>
      </c>
      <c r="E22" s="25">
        <v>13</v>
      </c>
      <c r="F22" s="25">
        <v>2</v>
      </c>
      <c r="G22" s="25">
        <v>4</v>
      </c>
      <c r="H22" s="25">
        <f>E22-F22-G22</f>
        <v>7</v>
      </c>
      <c r="I22" s="29">
        <f>F22*-$E$15+H22*$E$15*0.8</f>
        <v>360</v>
      </c>
      <c r="J22" s="36">
        <f>I22/(E22*$E$15)</f>
        <v>0.27692307692307694</v>
      </c>
    </row>
    <row r="23" spans="2:10" ht="15" customHeight="1" x14ac:dyDescent="0.25">
      <c r="D23" s="25" t="s">
        <v>66</v>
      </c>
      <c r="E23" s="25">
        <v>17</v>
      </c>
      <c r="F23" s="25">
        <v>1</v>
      </c>
      <c r="G23" s="25">
        <v>8</v>
      </c>
      <c r="H23" s="25">
        <f>E23-F23-G23</f>
        <v>8</v>
      </c>
      <c r="I23" s="29">
        <f>F23*-$E$15+H23*$E$15*0.8</f>
        <v>540</v>
      </c>
      <c r="J23" s="36">
        <f>I23/(E23*$E$15)</f>
        <v>0.31764705882352939</v>
      </c>
    </row>
    <row r="27" spans="2:10" ht="15" customHeight="1" x14ac:dyDescent="0.25">
      <c r="B27" t="s">
        <v>57</v>
      </c>
      <c r="C27" s="38">
        <v>0.05</v>
      </c>
      <c r="D27" s="38">
        <v>-0.5</v>
      </c>
      <c r="F27" t="s">
        <v>57</v>
      </c>
      <c r="G27" s="38">
        <v>0.05</v>
      </c>
      <c r="H27" s="38">
        <v>-0.28000000000000003</v>
      </c>
    </row>
    <row r="28" spans="2:10" ht="15" customHeight="1" x14ac:dyDescent="0.25">
      <c r="B28" t="s">
        <v>59</v>
      </c>
      <c r="C28" s="38">
        <v>0.85</v>
      </c>
      <c r="D28" s="38">
        <v>0.09</v>
      </c>
      <c r="F28" t="s">
        <v>59</v>
      </c>
      <c r="G28" s="38">
        <v>0.75</v>
      </c>
      <c r="H28" s="38">
        <v>0.09</v>
      </c>
    </row>
    <row r="29" spans="2:10" ht="15" customHeight="1" x14ac:dyDescent="0.25">
      <c r="B29" t="s">
        <v>77</v>
      </c>
      <c r="C29" s="38">
        <v>0.1</v>
      </c>
      <c r="D29" s="38">
        <v>-7.0000000000000007E-2</v>
      </c>
      <c r="F29" t="s">
        <v>77</v>
      </c>
      <c r="G29" s="38">
        <v>0.25</v>
      </c>
      <c r="H29" s="38">
        <v>-7.0000000000000007E-2</v>
      </c>
    </row>
    <row r="31" spans="2:10" ht="15" customHeight="1" x14ac:dyDescent="0.25">
      <c r="B31" t="s">
        <v>57</v>
      </c>
      <c r="C31" s="40">
        <f>(C27*D27+C29*D29)/(C27+C29)</f>
        <v>-0.21333333333333332</v>
      </c>
      <c r="D31" s="39">
        <f>SUMPRODUCT(C27:C29,D27:D29)</f>
        <v>4.4499999999999998E-2</v>
      </c>
      <c r="F31" t="s">
        <v>57</v>
      </c>
      <c r="G31" s="40">
        <f>(G27*H27+G29*H29)/(G27+G29)</f>
        <v>-0.10500000000000001</v>
      </c>
      <c r="H31" s="39">
        <f>SUMPRODUCT(G27:G29,H27:H29)</f>
        <v>3.6000000000000004E-2</v>
      </c>
    </row>
  </sheetData>
  <autoFilter ref="B2:G2"/>
  <sortState ref="B3:G13">
    <sortCondition ref="B3:B13"/>
    <sortCondition ref="C3:C1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48"/>
  <sheetViews>
    <sheetView showGridLines="0" topLeftCell="J1" workbookViewId="0">
      <pane ySplit="1" topLeftCell="A9" activePane="bottomLeft" state="frozen"/>
      <selection activeCell="AA2" sqref="AA2:AA16"/>
      <selection pane="bottomLeft" activeCell="AF9" sqref="AF9"/>
    </sheetView>
  </sheetViews>
  <sheetFormatPr defaultRowHeight="13.2" x14ac:dyDescent="0.25"/>
  <cols>
    <col min="28" max="28" width="11" bestFit="1" customWidth="1"/>
    <col min="30" max="30" width="6.88671875" customWidth="1"/>
  </cols>
  <sheetData>
    <row r="1" spans="1:38" ht="21" thickBo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3"/>
      <c r="L1" s="3"/>
      <c r="M1" s="3"/>
      <c r="N1" s="2" t="s">
        <v>9</v>
      </c>
      <c r="O1" s="2" t="s">
        <v>8</v>
      </c>
      <c r="P1" s="1" t="s">
        <v>7</v>
      </c>
      <c r="Q1" s="1" t="s">
        <v>6</v>
      </c>
      <c r="R1" s="1" t="s">
        <v>5</v>
      </c>
      <c r="S1" s="1" t="s">
        <v>4</v>
      </c>
      <c r="T1" s="1" t="s">
        <v>3</v>
      </c>
      <c r="U1" s="1" t="s">
        <v>2</v>
      </c>
      <c r="V1" s="1" t="s">
        <v>1</v>
      </c>
      <c r="W1" s="16"/>
      <c r="X1" s="20" t="s">
        <v>15</v>
      </c>
      <c r="Y1" s="20" t="s">
        <v>16</v>
      </c>
      <c r="Z1" s="20" t="s">
        <v>17</v>
      </c>
      <c r="AA1" s="20" t="s">
        <v>18</v>
      </c>
      <c r="AB1" s="20" t="s">
        <v>50</v>
      </c>
      <c r="AC1" s="23" t="s">
        <v>19</v>
      </c>
      <c r="AD1" s="23" t="s">
        <v>12</v>
      </c>
      <c r="AE1" s="21" t="s">
        <v>13</v>
      </c>
      <c r="AF1" s="22" t="s">
        <v>14</v>
      </c>
      <c r="AG1" s="20" t="s">
        <v>20</v>
      </c>
      <c r="AH1" s="20" t="s">
        <v>21</v>
      </c>
      <c r="AI1" s="20" t="s">
        <v>22</v>
      </c>
      <c r="AJ1" s="20" t="s">
        <v>23</v>
      </c>
      <c r="AK1" s="20" t="s">
        <v>24</v>
      </c>
      <c r="AL1" s="20" t="s">
        <v>25</v>
      </c>
    </row>
    <row r="2" spans="1:38" ht="19.8" thickBot="1" x14ac:dyDescent="0.3">
      <c r="A2" s="4" t="s">
        <v>114</v>
      </c>
      <c r="B2" s="8">
        <v>0.2</v>
      </c>
      <c r="C2" s="9">
        <v>0.3</v>
      </c>
      <c r="D2" s="8">
        <v>0.4</v>
      </c>
      <c r="E2" s="10">
        <v>0.7</v>
      </c>
      <c r="F2" s="11">
        <v>1.2</v>
      </c>
      <c r="G2" s="12">
        <v>1.9</v>
      </c>
      <c r="H2" s="13">
        <v>1.9</v>
      </c>
      <c r="I2" s="14">
        <v>10</v>
      </c>
      <c r="J2" s="14" t="s">
        <v>10</v>
      </c>
      <c r="K2" s="5" t="s">
        <v>115</v>
      </c>
      <c r="L2" s="6">
        <v>0.66666666666666663</v>
      </c>
      <c r="M2" s="7" t="s">
        <v>116</v>
      </c>
      <c r="N2" s="14" t="s">
        <v>11</v>
      </c>
      <c r="O2" s="14">
        <v>10</v>
      </c>
      <c r="P2" s="13">
        <v>1.2</v>
      </c>
      <c r="Q2" s="12">
        <v>1.7</v>
      </c>
      <c r="R2" s="11">
        <v>0.7</v>
      </c>
      <c r="S2" s="10">
        <v>1</v>
      </c>
      <c r="T2" s="8">
        <v>0.7</v>
      </c>
      <c r="U2" s="9">
        <v>0</v>
      </c>
      <c r="V2" s="8">
        <v>0</v>
      </c>
      <c r="W2" s="17"/>
      <c r="X2" s="18">
        <f t="shared" ref="X2:X6" si="0">AVERAGE(F2,S2)</f>
        <v>1.1000000000000001</v>
      </c>
      <c r="Y2" s="18">
        <f t="shared" ref="Y2:Y6" si="1">AVERAGE(R2,E2)</f>
        <v>0.7</v>
      </c>
      <c r="Z2" s="18">
        <f t="shared" ref="Z2:Z6" si="2">SUM(X2:Y2)</f>
        <v>1.8</v>
      </c>
      <c r="AA2" s="18">
        <f>ABS(X2-Y2)</f>
        <v>0.40000000000000013</v>
      </c>
      <c r="AB2" s="24">
        <f t="shared" ref="AB2:AB6" si="3">IF(AND(C2&gt;=0.5,U2&gt;=0.5,AVERAGE(C2,U2)&gt;=0.5,G2&gt;=2.3,Q2&gt;=2.3,AVERAGE(G2,Q2)&gt;=2.5),1,0)</f>
        <v>0</v>
      </c>
      <c r="AC2" s="24">
        <f>SUM(AG2:AL2)</f>
        <v>3</v>
      </c>
      <c r="AD2" s="19">
        <f t="shared" ref="AD2:AD6" si="4">IF(OR(I2&lt;3,O2&lt;3),0,IF(H2&gt;P2,IF(AND(F2&gt;E2,S2&gt;=R2,F2&gt;=1.5,E2&lt;=1.3,R2&lt;=1.4,S2&gt;=1.4,AVERAGE(C2,U2)&gt;=50%),1,0),IF(AND(E2&gt;=F2,R2&gt;S2,R2&gt;=1.5,S2&lt;1.3,E2&gt;=1.4,F2&lt;=1.4,AVERAGE(C2,U2)&gt;=50%),1,0)))</f>
        <v>0</v>
      </c>
      <c r="AE2" s="19">
        <f t="shared" ref="AE2:AE6" si="5">IF(OR(I2&lt;3,O2&lt;3),0,IF(H2&gt;P2,IF(AND(F2&gt;=1.5,S2&gt;=1,AVERAGE(C2,U2)&gt;=50%,C2&gt;=40%,U2&gt;=40%),1,0),IF(AND(R2&gt;=1.5,E2&gt;=1,F2&lt;=1.4,AVERAGE(C2,U2)&gt;=50%,C2&gt;=40%,U2&gt;=40%),1,0)))</f>
        <v>0</v>
      </c>
      <c r="AF2" s="19">
        <f t="shared" ref="AF2:AF6" si="6">IF(OR(I2&lt;3,O2&lt;3),0,IF(H2&gt;P2,IF(AND(AVERAGE(C2,U2)&gt;=50%,C2&gt;=40%,U2&gt;=40%,OR(AND(G2&gt;=2.8,Q2&gt;=2.8),AVERAGE(G2,Q2)&gt;=2.8)),1,0),IF(AND(AVERAGE(C2,U2)&gt;=50%,C2&gt;=40%,U2&gt;=40%,OR(AND(G2&gt;=2.8,Q2&gt;=2.8),AVERAGE(G2,Q2)&gt;=2.8)),1,0)))</f>
        <v>0</v>
      </c>
      <c r="AG2" s="19">
        <f t="shared" ref="AG2:AG6" si="7">IF($H2&gt;$P2,IF(S2&gt;=R2,1,0),IF(E2&gt;=F2,1,0))</f>
        <v>1</v>
      </c>
      <c r="AH2" s="19">
        <f t="shared" ref="AH2:AH6" si="8">IF($H2&gt;$P2,IF(F2&gt;=1.5,1,0),IF(R2&gt;=1.5,1,0))</f>
        <v>0</v>
      </c>
      <c r="AI2" s="19">
        <f t="shared" ref="AI2:AI6" si="9">IF($H2&gt;$P2,IF(E2&lt;=1.3,1,0),IF(S2&lt;=1.3,1,0))</f>
        <v>1</v>
      </c>
      <c r="AJ2" s="19">
        <f t="shared" ref="AJ2:AJ6" si="10">IF($H2&gt;$P2,IF(R2&lt;=1.4,1,0),IF(F2&lt;=1.4,1,0))</f>
        <v>1</v>
      </c>
      <c r="AK2" s="19">
        <f t="shared" ref="AK2:AK6" si="11">IF($H2&gt;$P2,IF(S2&gt;=1.4,1,0),IF(E2&gt;=1.4,1,0))</f>
        <v>0</v>
      </c>
      <c r="AL2" s="19">
        <f t="shared" ref="AL2:AL6" si="12">IF(AVERAGE(C2,U2)&gt;=0.5,1,0)</f>
        <v>0</v>
      </c>
    </row>
    <row r="3" spans="1:38" ht="19.8" thickBot="1" x14ac:dyDescent="0.3">
      <c r="A3" s="4" t="s">
        <v>117</v>
      </c>
      <c r="B3" s="8">
        <v>0.2</v>
      </c>
      <c r="C3" s="9">
        <v>0.3</v>
      </c>
      <c r="D3" s="8">
        <v>0.6</v>
      </c>
      <c r="E3" s="10">
        <v>0.6</v>
      </c>
      <c r="F3" s="11">
        <v>1.1000000000000001</v>
      </c>
      <c r="G3" s="12">
        <v>1.7</v>
      </c>
      <c r="H3" s="13">
        <v>1.5</v>
      </c>
      <c r="I3" s="14">
        <v>10</v>
      </c>
      <c r="J3" s="14" t="s">
        <v>10</v>
      </c>
      <c r="K3" s="5" t="s">
        <v>118</v>
      </c>
      <c r="L3" s="6">
        <v>0.8125</v>
      </c>
      <c r="M3" s="7" t="s">
        <v>119</v>
      </c>
      <c r="N3" s="14" t="s">
        <v>11</v>
      </c>
      <c r="O3" s="14">
        <v>10</v>
      </c>
      <c r="P3" s="13">
        <v>0.6</v>
      </c>
      <c r="Q3" s="12">
        <v>2.2000000000000002</v>
      </c>
      <c r="R3" s="11">
        <v>0.6</v>
      </c>
      <c r="S3" s="10">
        <v>1.6</v>
      </c>
      <c r="T3" s="8">
        <v>0.7</v>
      </c>
      <c r="U3" s="9">
        <v>0.3</v>
      </c>
      <c r="V3" s="8">
        <v>0.2</v>
      </c>
      <c r="W3" s="17"/>
      <c r="X3" s="18">
        <f t="shared" si="0"/>
        <v>1.35</v>
      </c>
      <c r="Y3" s="18">
        <f t="shared" si="1"/>
        <v>0.6</v>
      </c>
      <c r="Z3" s="18">
        <f t="shared" si="2"/>
        <v>1.9500000000000002</v>
      </c>
      <c r="AA3" s="18">
        <f>ABS(X3-Y3)</f>
        <v>0.75000000000000011</v>
      </c>
      <c r="AB3" s="24">
        <f t="shared" si="3"/>
        <v>0</v>
      </c>
      <c r="AC3" s="24">
        <f t="shared" ref="AC3:AC6" si="13">SUM(AG3:AL3)</f>
        <v>4</v>
      </c>
      <c r="AD3" s="19">
        <f t="shared" si="4"/>
        <v>0</v>
      </c>
      <c r="AE3" s="19">
        <f t="shared" si="5"/>
        <v>0</v>
      </c>
      <c r="AF3" s="19">
        <f t="shared" si="6"/>
        <v>0</v>
      </c>
      <c r="AG3" s="19">
        <f t="shared" si="7"/>
        <v>1</v>
      </c>
      <c r="AH3" s="19">
        <f t="shared" si="8"/>
        <v>0</v>
      </c>
      <c r="AI3" s="19">
        <f t="shared" si="9"/>
        <v>1</v>
      </c>
      <c r="AJ3" s="19">
        <f t="shared" si="10"/>
        <v>1</v>
      </c>
      <c r="AK3" s="19">
        <f t="shared" si="11"/>
        <v>1</v>
      </c>
      <c r="AL3" s="19">
        <f t="shared" si="12"/>
        <v>0</v>
      </c>
    </row>
    <row r="4" spans="1:38" ht="19.8" thickBot="1" x14ac:dyDescent="0.3">
      <c r="A4" s="4" t="s">
        <v>117</v>
      </c>
      <c r="B4" s="8">
        <v>0</v>
      </c>
      <c r="C4" s="9">
        <v>0.33</v>
      </c>
      <c r="D4" s="8">
        <v>0.56000000000000005</v>
      </c>
      <c r="E4" s="10">
        <v>0.89</v>
      </c>
      <c r="F4" s="11">
        <v>1</v>
      </c>
      <c r="G4" s="12">
        <v>1.89</v>
      </c>
      <c r="H4" s="13">
        <v>1.78</v>
      </c>
      <c r="I4" s="14">
        <v>9</v>
      </c>
      <c r="J4" s="14" t="s">
        <v>10</v>
      </c>
      <c r="K4" s="5" t="s">
        <v>120</v>
      </c>
      <c r="L4" s="6">
        <v>0.85416666666666663</v>
      </c>
      <c r="M4" s="7" t="s">
        <v>121</v>
      </c>
      <c r="N4" s="14" t="s">
        <v>11</v>
      </c>
      <c r="O4" s="14">
        <v>10</v>
      </c>
      <c r="P4" s="13">
        <v>1.3</v>
      </c>
      <c r="Q4" s="12">
        <v>2.1</v>
      </c>
      <c r="R4" s="11">
        <v>1.1000000000000001</v>
      </c>
      <c r="S4" s="10">
        <v>1</v>
      </c>
      <c r="T4" s="8">
        <v>0.8</v>
      </c>
      <c r="U4" s="9">
        <v>0.3</v>
      </c>
      <c r="V4" s="8">
        <v>0.1</v>
      </c>
      <c r="W4" s="17"/>
      <c r="X4" s="18">
        <f t="shared" si="0"/>
        <v>1</v>
      </c>
      <c r="Y4" s="18">
        <f t="shared" si="1"/>
        <v>0.99500000000000011</v>
      </c>
      <c r="Z4" s="18">
        <f t="shared" si="2"/>
        <v>1.9950000000000001</v>
      </c>
      <c r="AA4" s="18">
        <f>ABS(X4-Y4)</f>
        <v>4.9999999999998934E-3</v>
      </c>
      <c r="AB4" s="24">
        <f t="shared" si="3"/>
        <v>0</v>
      </c>
      <c r="AC4" s="24">
        <f t="shared" si="13"/>
        <v>2</v>
      </c>
      <c r="AD4" s="19">
        <f t="shared" si="4"/>
        <v>0</v>
      </c>
      <c r="AE4" s="19">
        <f t="shared" si="5"/>
        <v>0</v>
      </c>
      <c r="AF4" s="19">
        <f t="shared" si="6"/>
        <v>0</v>
      </c>
      <c r="AG4" s="19">
        <f t="shared" si="7"/>
        <v>0</v>
      </c>
      <c r="AH4" s="19">
        <f t="shared" si="8"/>
        <v>0</v>
      </c>
      <c r="AI4" s="19">
        <f t="shared" si="9"/>
        <v>1</v>
      </c>
      <c r="AJ4" s="19">
        <f t="shared" si="10"/>
        <v>1</v>
      </c>
      <c r="AK4" s="19">
        <f t="shared" si="11"/>
        <v>0</v>
      </c>
      <c r="AL4" s="19">
        <f t="shared" si="12"/>
        <v>0</v>
      </c>
    </row>
    <row r="5" spans="1:38" ht="19.8" thickBot="1" x14ac:dyDescent="0.3">
      <c r="A5" s="51" t="s">
        <v>117</v>
      </c>
      <c r="B5" s="52">
        <v>0.2</v>
      </c>
      <c r="C5" s="53">
        <v>0.4</v>
      </c>
      <c r="D5" s="52">
        <v>0.6</v>
      </c>
      <c r="E5" s="54">
        <v>1.1000000000000001</v>
      </c>
      <c r="F5" s="55">
        <v>1.1000000000000001</v>
      </c>
      <c r="G5" s="56">
        <v>2.2000000000000002</v>
      </c>
      <c r="H5" s="57">
        <v>1.3</v>
      </c>
      <c r="I5" s="58">
        <v>10</v>
      </c>
      <c r="J5" s="58" t="s">
        <v>10</v>
      </c>
      <c r="K5" s="59" t="s">
        <v>122</v>
      </c>
      <c r="L5" s="60">
        <v>0.875</v>
      </c>
      <c r="M5" s="61" t="s">
        <v>123</v>
      </c>
      <c r="N5" s="58" t="s">
        <v>11</v>
      </c>
      <c r="O5" s="58">
        <v>10</v>
      </c>
      <c r="P5" s="57">
        <v>0.5</v>
      </c>
      <c r="Q5" s="56">
        <v>2.2000000000000002</v>
      </c>
      <c r="R5" s="55">
        <v>0.6</v>
      </c>
      <c r="S5" s="54">
        <v>1.6</v>
      </c>
      <c r="T5" s="52">
        <v>0.6</v>
      </c>
      <c r="U5" s="53">
        <v>0.4</v>
      </c>
      <c r="V5" s="52">
        <v>0.2</v>
      </c>
      <c r="W5" s="62"/>
      <c r="X5" s="18">
        <f t="shared" si="0"/>
        <v>1.35</v>
      </c>
      <c r="Y5" s="18">
        <f t="shared" si="1"/>
        <v>0.85000000000000009</v>
      </c>
      <c r="Z5" s="18">
        <f t="shared" si="2"/>
        <v>2.2000000000000002</v>
      </c>
      <c r="AA5" s="18">
        <f>ABS(X5-Y5)</f>
        <v>0.5</v>
      </c>
      <c r="AB5" s="24">
        <f t="shared" si="3"/>
        <v>0</v>
      </c>
      <c r="AC5" s="24">
        <f t="shared" si="13"/>
        <v>4</v>
      </c>
      <c r="AD5" s="19">
        <f t="shared" si="4"/>
        <v>0</v>
      </c>
      <c r="AE5" s="19">
        <f t="shared" si="5"/>
        <v>0</v>
      </c>
      <c r="AF5" s="19">
        <f t="shared" si="6"/>
        <v>0</v>
      </c>
      <c r="AG5" s="19">
        <f t="shared" si="7"/>
        <v>1</v>
      </c>
      <c r="AH5" s="19">
        <f t="shared" si="8"/>
        <v>0</v>
      </c>
      <c r="AI5" s="19">
        <f t="shared" si="9"/>
        <v>1</v>
      </c>
      <c r="AJ5" s="19">
        <f t="shared" si="10"/>
        <v>1</v>
      </c>
      <c r="AK5" s="19">
        <f t="shared" si="11"/>
        <v>1</v>
      </c>
      <c r="AL5" s="19">
        <f t="shared" si="12"/>
        <v>0</v>
      </c>
    </row>
    <row r="6" spans="1:38" ht="13.8" thickBot="1" x14ac:dyDescent="0.3">
      <c r="A6" s="4" t="s">
        <v>117</v>
      </c>
      <c r="B6" s="8">
        <v>0.33</v>
      </c>
      <c r="C6" s="15">
        <v>0.56000000000000005</v>
      </c>
      <c r="D6" s="8">
        <v>0.67</v>
      </c>
      <c r="E6" s="10">
        <v>1.33</v>
      </c>
      <c r="F6" s="11">
        <v>1.56</v>
      </c>
      <c r="G6" s="12">
        <v>2.89</v>
      </c>
      <c r="H6" s="13">
        <v>2</v>
      </c>
      <c r="I6" s="14">
        <v>9</v>
      </c>
      <c r="J6" s="14" t="s">
        <v>10</v>
      </c>
      <c r="K6" s="5" t="s">
        <v>124</v>
      </c>
      <c r="L6" s="6">
        <v>0.89583333333333337</v>
      </c>
      <c r="M6" s="7" t="s">
        <v>125</v>
      </c>
      <c r="N6" s="14" t="s">
        <v>11</v>
      </c>
      <c r="O6" s="14">
        <v>10</v>
      </c>
      <c r="P6" s="13">
        <v>0.7</v>
      </c>
      <c r="Q6" s="12">
        <v>1.4</v>
      </c>
      <c r="R6" s="11">
        <v>0.4</v>
      </c>
      <c r="S6" s="10">
        <v>1</v>
      </c>
      <c r="T6" s="8">
        <v>0.5</v>
      </c>
      <c r="U6" s="9">
        <v>0.2</v>
      </c>
      <c r="V6" s="8">
        <v>0</v>
      </c>
      <c r="W6" s="17"/>
      <c r="X6" s="18">
        <f t="shared" si="0"/>
        <v>1.28</v>
      </c>
      <c r="Y6" s="18">
        <f t="shared" si="1"/>
        <v>0.86499999999999999</v>
      </c>
      <c r="Z6" s="18">
        <f t="shared" si="2"/>
        <v>2.145</v>
      </c>
      <c r="AA6" s="18">
        <f t="shared" ref="AA6" si="14">ABS(X6-Y6)</f>
        <v>0.41500000000000004</v>
      </c>
      <c r="AB6" s="24">
        <f t="shared" si="3"/>
        <v>0</v>
      </c>
      <c r="AC6" s="24">
        <f t="shared" si="13"/>
        <v>3</v>
      </c>
      <c r="AD6" s="19">
        <f t="shared" si="4"/>
        <v>0</v>
      </c>
      <c r="AE6" s="19">
        <f t="shared" si="5"/>
        <v>0</v>
      </c>
      <c r="AF6" s="19">
        <f t="shared" si="6"/>
        <v>0</v>
      </c>
      <c r="AG6" s="19">
        <f t="shared" si="7"/>
        <v>1</v>
      </c>
      <c r="AH6" s="19">
        <f t="shared" si="8"/>
        <v>1</v>
      </c>
      <c r="AI6" s="19">
        <f t="shared" si="9"/>
        <v>0</v>
      </c>
      <c r="AJ6" s="19">
        <f t="shared" si="10"/>
        <v>1</v>
      </c>
      <c r="AK6" s="19">
        <f t="shared" si="11"/>
        <v>0</v>
      </c>
      <c r="AL6" s="19">
        <f t="shared" si="12"/>
        <v>0</v>
      </c>
    </row>
    <row r="7" spans="1:38" ht="19.8" thickBot="1" x14ac:dyDescent="0.3">
      <c r="A7" s="4" t="s">
        <v>126</v>
      </c>
      <c r="B7" s="8">
        <v>0.55000000000000004</v>
      </c>
      <c r="C7" s="15">
        <v>0.64</v>
      </c>
      <c r="D7" s="8">
        <v>0.82</v>
      </c>
      <c r="E7" s="10">
        <v>2.36</v>
      </c>
      <c r="F7" s="11">
        <v>1.36</v>
      </c>
      <c r="G7" s="12">
        <v>3.73</v>
      </c>
      <c r="H7" s="13">
        <v>1.0900000000000001</v>
      </c>
      <c r="I7" s="14">
        <v>11</v>
      </c>
      <c r="J7" s="14" t="s">
        <v>10</v>
      </c>
      <c r="K7" s="5" t="s">
        <v>127</v>
      </c>
      <c r="L7" s="6">
        <v>0.3125</v>
      </c>
      <c r="M7" s="7" t="s">
        <v>128</v>
      </c>
      <c r="N7" s="14" t="s">
        <v>11</v>
      </c>
      <c r="O7" s="14">
        <v>9</v>
      </c>
      <c r="P7" s="13">
        <v>0.89</v>
      </c>
      <c r="Q7" s="12">
        <v>2.44</v>
      </c>
      <c r="R7" s="11">
        <v>0.89</v>
      </c>
      <c r="S7" s="10">
        <v>1.56</v>
      </c>
      <c r="T7" s="8">
        <v>0.44</v>
      </c>
      <c r="U7" s="9">
        <v>0.44</v>
      </c>
      <c r="V7" s="8">
        <v>0.33</v>
      </c>
      <c r="W7" s="17"/>
      <c r="X7" s="18">
        <f t="shared" ref="X7:X10" si="15">AVERAGE(F7,S7)</f>
        <v>1.46</v>
      </c>
      <c r="Y7" s="18">
        <f t="shared" ref="Y7:Y10" si="16">AVERAGE(R7,E7)</f>
        <v>1.625</v>
      </c>
      <c r="Z7" s="18">
        <f t="shared" ref="Z7:Z10" si="17">SUM(X7:Y7)</f>
        <v>3.085</v>
      </c>
      <c r="AA7" s="18">
        <f t="shared" ref="AA7:AA10" si="18">ABS(X7-Y7)</f>
        <v>0.16500000000000004</v>
      </c>
      <c r="AB7" s="24">
        <f t="shared" ref="AB7:AB10" si="19">IF(AND(C7&gt;=0.5,U7&gt;=0.5,AVERAGE(C7,U7)&gt;=0.5,G7&gt;=2.3,Q7&gt;=2.3,AVERAGE(G7,Q7)&gt;=2.5),1,0)</f>
        <v>0</v>
      </c>
      <c r="AC7" s="24">
        <f t="shared" ref="AC7:AC10" si="20">SUM(AG7:AL7)</f>
        <v>4</v>
      </c>
      <c r="AD7" s="19">
        <f t="shared" ref="AD7:AD10" si="21">IF(OR(I7&lt;3,O7&lt;3),0,IF(H7&gt;P7,IF(AND(F7&gt;E7,S7&gt;=R7,F7&gt;=1.5,E7&lt;=1.3,R7&lt;=1.4,S7&gt;=1.4,AVERAGE(C7,U7)&gt;=50%),1,0),IF(AND(E7&gt;=F7,R7&gt;S7,R7&gt;=1.5,S7&lt;1.3,E7&gt;=1.4,F7&lt;=1.4,AVERAGE(C7,U7)&gt;=50%),1,0)))</f>
        <v>0</v>
      </c>
      <c r="AE7" s="19">
        <f t="shared" ref="AE7:AE10" si="22">IF(OR(I7&lt;3,O7&lt;3),0,IF(H7&gt;P7,IF(AND(F7&gt;=1.5,S7&gt;=1,AVERAGE(C7,U7)&gt;=50%,C7&gt;=40%,U7&gt;=40%),1,0),IF(AND(R7&gt;=1.5,E7&gt;=1,F7&lt;=1.4,AVERAGE(C7,U7)&gt;=50%,C7&gt;=40%,U7&gt;=40%),1,0)))</f>
        <v>0</v>
      </c>
      <c r="AF7" s="19">
        <f t="shared" ref="AF7:AF10" si="23">IF(OR(I7&lt;3,O7&lt;3),0,IF(H7&gt;P7,IF(AND(AVERAGE(C7,U7)&gt;=50%,C7&gt;=40%,U7&gt;=40%,OR(AND(G7&gt;=2.8,Q7&gt;=2.8),AVERAGE(G7,Q7)&gt;=2.8)),1,0),IF(AND(AVERAGE(C7,U7)&gt;=50%,C7&gt;=40%,U7&gt;=40%,OR(AND(G7&gt;=2.8,Q7&gt;=2.8),AVERAGE(G7,Q7)&gt;=2.8)),1,0)))</f>
        <v>1</v>
      </c>
      <c r="AG7" s="19">
        <f t="shared" ref="AG7:AG10" si="24">IF($H7&gt;$P7,IF(S7&gt;=R7,1,0),IF(E7&gt;=F7,1,0))</f>
        <v>1</v>
      </c>
      <c r="AH7" s="19">
        <f t="shared" ref="AH7:AH10" si="25">IF($H7&gt;$P7,IF(F7&gt;=1.5,1,0),IF(R7&gt;=1.5,1,0))</f>
        <v>0</v>
      </c>
      <c r="AI7" s="19">
        <f t="shared" ref="AI7:AI10" si="26">IF($H7&gt;$P7,IF(E7&lt;=1.3,1,0),IF(S7&lt;=1.3,1,0))</f>
        <v>0</v>
      </c>
      <c r="AJ7" s="19">
        <f t="shared" ref="AJ7:AJ10" si="27">IF($H7&gt;$P7,IF(R7&lt;=1.4,1,0),IF(F7&lt;=1.4,1,0))</f>
        <v>1</v>
      </c>
      <c r="AK7" s="19">
        <f t="shared" ref="AK7:AK10" si="28">IF($H7&gt;$P7,IF(S7&gt;=1.4,1,0),IF(E7&gt;=1.4,1,0))</f>
        <v>1</v>
      </c>
      <c r="AL7" s="19">
        <f t="shared" ref="AL7:AL10" si="29">IF(AVERAGE(C7,U7)&gt;=0.5,1,0)</f>
        <v>1</v>
      </c>
    </row>
    <row r="8" spans="1:38" ht="19.8" thickBot="1" x14ac:dyDescent="0.3">
      <c r="A8" s="4" t="s">
        <v>126</v>
      </c>
      <c r="B8" s="8">
        <v>0.4</v>
      </c>
      <c r="C8" s="9">
        <v>0.5</v>
      </c>
      <c r="D8" s="8">
        <v>0.8</v>
      </c>
      <c r="E8" s="10">
        <v>2.2000000000000002</v>
      </c>
      <c r="F8" s="11">
        <v>0.6</v>
      </c>
      <c r="G8" s="12">
        <v>2.8</v>
      </c>
      <c r="H8" s="13">
        <v>0.4</v>
      </c>
      <c r="I8" s="14">
        <v>10</v>
      </c>
      <c r="J8" s="14" t="s">
        <v>10</v>
      </c>
      <c r="K8" s="5" t="s">
        <v>129</v>
      </c>
      <c r="L8" s="6">
        <v>0.3125</v>
      </c>
      <c r="M8" s="7" t="s">
        <v>130</v>
      </c>
      <c r="N8" s="14" t="s">
        <v>11</v>
      </c>
      <c r="O8" s="14">
        <v>10</v>
      </c>
      <c r="P8" s="13">
        <v>0.6</v>
      </c>
      <c r="Q8" s="12">
        <v>3.9</v>
      </c>
      <c r="R8" s="11">
        <v>1</v>
      </c>
      <c r="S8" s="10">
        <v>2.9</v>
      </c>
      <c r="T8" s="8">
        <v>0.8</v>
      </c>
      <c r="U8" s="15">
        <v>0.6</v>
      </c>
      <c r="V8" s="8">
        <v>0.4</v>
      </c>
      <c r="W8" s="17"/>
      <c r="X8" s="18">
        <f t="shared" si="15"/>
        <v>1.75</v>
      </c>
      <c r="Y8" s="18">
        <f t="shared" si="16"/>
        <v>1.6</v>
      </c>
      <c r="Z8" s="18">
        <f t="shared" si="17"/>
        <v>3.35</v>
      </c>
      <c r="AA8" s="18">
        <f t="shared" si="18"/>
        <v>0.14999999999999991</v>
      </c>
      <c r="AB8" s="24">
        <f t="shared" si="19"/>
        <v>1</v>
      </c>
      <c r="AC8" s="24">
        <f t="shared" si="20"/>
        <v>4</v>
      </c>
      <c r="AD8" s="19">
        <f t="shared" si="21"/>
        <v>0</v>
      </c>
      <c r="AE8" s="19">
        <f t="shared" si="22"/>
        <v>0</v>
      </c>
      <c r="AF8" s="19">
        <f t="shared" si="23"/>
        <v>1</v>
      </c>
      <c r="AG8" s="19">
        <f t="shared" si="24"/>
        <v>1</v>
      </c>
      <c r="AH8" s="19">
        <f t="shared" si="25"/>
        <v>0</v>
      </c>
      <c r="AI8" s="19">
        <f t="shared" si="26"/>
        <v>0</v>
      </c>
      <c r="AJ8" s="19">
        <f t="shared" si="27"/>
        <v>1</v>
      </c>
      <c r="AK8" s="19">
        <f t="shared" si="28"/>
        <v>1</v>
      </c>
      <c r="AL8" s="19">
        <f t="shared" si="29"/>
        <v>1</v>
      </c>
    </row>
    <row r="9" spans="1:38" ht="13.8" thickBot="1" x14ac:dyDescent="0.3">
      <c r="A9" s="4" t="s">
        <v>126</v>
      </c>
      <c r="B9" s="8">
        <v>0.62</v>
      </c>
      <c r="C9" s="15">
        <v>0.75</v>
      </c>
      <c r="D9" s="8">
        <v>0.88</v>
      </c>
      <c r="E9" s="10">
        <v>1.25</v>
      </c>
      <c r="F9" s="11">
        <v>3.13</v>
      </c>
      <c r="G9" s="12">
        <v>4.38</v>
      </c>
      <c r="H9" s="13">
        <v>2.5</v>
      </c>
      <c r="I9" s="14">
        <v>8</v>
      </c>
      <c r="J9" s="14" t="s">
        <v>10</v>
      </c>
      <c r="K9" s="5" t="s">
        <v>131</v>
      </c>
      <c r="L9" s="6">
        <v>0.375</v>
      </c>
      <c r="M9" s="7" t="s">
        <v>132</v>
      </c>
      <c r="N9" s="14" t="s">
        <v>11</v>
      </c>
      <c r="O9" s="14">
        <v>8</v>
      </c>
      <c r="P9" s="13">
        <v>1.63</v>
      </c>
      <c r="Q9" s="12">
        <v>2.25</v>
      </c>
      <c r="R9" s="11">
        <v>1.1299999999999999</v>
      </c>
      <c r="S9" s="10">
        <v>1.1299999999999999</v>
      </c>
      <c r="T9" s="8">
        <v>0.62</v>
      </c>
      <c r="U9" s="9">
        <v>0.38</v>
      </c>
      <c r="V9" s="8">
        <v>0.12</v>
      </c>
      <c r="W9" s="17"/>
      <c r="X9" s="18">
        <f t="shared" si="15"/>
        <v>2.13</v>
      </c>
      <c r="Y9" s="18">
        <f t="shared" si="16"/>
        <v>1.19</v>
      </c>
      <c r="Z9" s="18">
        <f t="shared" si="17"/>
        <v>3.32</v>
      </c>
      <c r="AA9" s="18">
        <f t="shared" si="18"/>
        <v>0.94</v>
      </c>
      <c r="AB9" s="24">
        <f t="shared" si="19"/>
        <v>0</v>
      </c>
      <c r="AC9" s="24">
        <f t="shared" si="20"/>
        <v>5</v>
      </c>
      <c r="AD9" s="19">
        <f t="shared" si="21"/>
        <v>0</v>
      </c>
      <c r="AE9" s="19">
        <f t="shared" si="22"/>
        <v>0</v>
      </c>
      <c r="AF9" s="19">
        <f t="shared" si="23"/>
        <v>0</v>
      </c>
      <c r="AG9" s="19">
        <f t="shared" si="24"/>
        <v>1</v>
      </c>
      <c r="AH9" s="19">
        <f t="shared" si="25"/>
        <v>1</v>
      </c>
      <c r="AI9" s="19">
        <f t="shared" si="26"/>
        <v>1</v>
      </c>
      <c r="AJ9" s="19">
        <f t="shared" si="27"/>
        <v>1</v>
      </c>
      <c r="AK9" s="19">
        <f t="shared" si="28"/>
        <v>0</v>
      </c>
      <c r="AL9" s="19">
        <f t="shared" si="29"/>
        <v>1</v>
      </c>
    </row>
    <row r="10" spans="1:38" ht="19.8" thickBot="1" x14ac:dyDescent="0.3">
      <c r="A10" s="4" t="s">
        <v>126</v>
      </c>
      <c r="B10" s="8">
        <v>0.43</v>
      </c>
      <c r="C10" s="15">
        <v>0.56999999999999995</v>
      </c>
      <c r="D10" s="8">
        <v>1</v>
      </c>
      <c r="E10" s="10">
        <v>1.86</v>
      </c>
      <c r="F10" s="11">
        <v>2.4300000000000002</v>
      </c>
      <c r="G10" s="12">
        <v>4.29</v>
      </c>
      <c r="H10" s="13">
        <v>1.71</v>
      </c>
      <c r="I10" s="14">
        <v>7</v>
      </c>
      <c r="J10" s="14" t="s">
        <v>10</v>
      </c>
      <c r="K10" s="5" t="s">
        <v>133</v>
      </c>
      <c r="L10" s="6">
        <v>0.375</v>
      </c>
      <c r="M10" s="7" t="s">
        <v>134</v>
      </c>
      <c r="N10" s="14" t="s">
        <v>11</v>
      </c>
      <c r="O10" s="14">
        <v>9</v>
      </c>
      <c r="P10" s="13">
        <v>0.56000000000000005</v>
      </c>
      <c r="Q10" s="12">
        <v>2.2200000000000002</v>
      </c>
      <c r="R10" s="11">
        <v>0.78</v>
      </c>
      <c r="S10" s="10">
        <v>1.44</v>
      </c>
      <c r="T10" s="8">
        <v>0.56000000000000005</v>
      </c>
      <c r="U10" s="15">
        <v>0.56000000000000005</v>
      </c>
      <c r="V10" s="8">
        <v>0.22</v>
      </c>
      <c r="W10" s="17"/>
      <c r="X10" s="18">
        <f t="shared" si="15"/>
        <v>1.9350000000000001</v>
      </c>
      <c r="Y10" s="18">
        <f t="shared" si="16"/>
        <v>1.32</v>
      </c>
      <c r="Z10" s="18">
        <f t="shared" si="17"/>
        <v>3.2549999999999999</v>
      </c>
      <c r="AA10" s="18">
        <f t="shared" si="18"/>
        <v>0.61499999999999999</v>
      </c>
      <c r="AB10" s="24">
        <f t="shared" si="19"/>
        <v>0</v>
      </c>
      <c r="AC10" s="24">
        <f t="shared" si="20"/>
        <v>5</v>
      </c>
      <c r="AD10" s="19">
        <f t="shared" si="21"/>
        <v>0</v>
      </c>
      <c r="AE10" s="19">
        <f t="shared" si="22"/>
        <v>1</v>
      </c>
      <c r="AF10" s="19">
        <f t="shared" si="23"/>
        <v>1</v>
      </c>
      <c r="AG10" s="19">
        <f t="shared" si="24"/>
        <v>1</v>
      </c>
      <c r="AH10" s="19">
        <f t="shared" si="25"/>
        <v>1</v>
      </c>
      <c r="AI10" s="19">
        <f t="shared" si="26"/>
        <v>0</v>
      </c>
      <c r="AJ10" s="19">
        <f t="shared" si="27"/>
        <v>1</v>
      </c>
      <c r="AK10" s="19">
        <f t="shared" si="28"/>
        <v>1</v>
      </c>
      <c r="AL10" s="19">
        <f t="shared" si="29"/>
        <v>1</v>
      </c>
    </row>
    <row r="11" spans="1:38" ht="19.8" thickBot="1" x14ac:dyDescent="0.3">
      <c r="A11" s="4" t="s">
        <v>126</v>
      </c>
      <c r="B11" s="8">
        <v>0.12</v>
      </c>
      <c r="C11" s="15">
        <v>0.62</v>
      </c>
      <c r="D11" s="8">
        <v>0.88</v>
      </c>
      <c r="E11" s="10">
        <v>1.1299999999999999</v>
      </c>
      <c r="F11" s="11">
        <v>1.5</v>
      </c>
      <c r="G11" s="12">
        <v>2.63</v>
      </c>
      <c r="H11" s="13">
        <v>1.38</v>
      </c>
      <c r="I11" s="14">
        <v>8</v>
      </c>
      <c r="J11" s="14" t="s">
        <v>10</v>
      </c>
      <c r="K11" s="5" t="s">
        <v>135</v>
      </c>
      <c r="L11" s="6">
        <v>0.3125</v>
      </c>
      <c r="M11" s="7" t="s">
        <v>136</v>
      </c>
      <c r="N11" s="14" t="s">
        <v>11</v>
      </c>
      <c r="O11" s="14">
        <v>8</v>
      </c>
      <c r="P11" s="13">
        <v>0.5</v>
      </c>
      <c r="Q11" s="12">
        <v>3.38</v>
      </c>
      <c r="R11" s="11">
        <v>1</v>
      </c>
      <c r="S11" s="10">
        <v>2.38</v>
      </c>
      <c r="T11" s="8">
        <v>0.88</v>
      </c>
      <c r="U11" s="15">
        <v>0.75</v>
      </c>
      <c r="V11" s="8">
        <v>0.62</v>
      </c>
      <c r="W11" s="17"/>
      <c r="X11" s="18">
        <f t="shared" ref="X11:X48" si="30">AVERAGE(F11,S11)</f>
        <v>1.94</v>
      </c>
      <c r="Y11" s="18">
        <f t="shared" ref="Y11:Y48" si="31">AVERAGE(R11,E11)</f>
        <v>1.0649999999999999</v>
      </c>
      <c r="Z11" s="18">
        <f t="shared" ref="Z11:Z48" si="32">SUM(X11:Y11)</f>
        <v>3.0049999999999999</v>
      </c>
      <c r="AA11" s="18">
        <f t="shared" ref="AA11:AA48" si="33">ABS(X11-Y11)</f>
        <v>0.875</v>
      </c>
      <c r="AB11" s="24">
        <f t="shared" ref="AB11:AB48" si="34">IF(AND(C11&gt;=0.5,U11&gt;=0.5,AVERAGE(C11,U11)&gt;=0.5,G11&gt;=2.3,Q11&gt;=2.3,AVERAGE(G11,Q11)&gt;=2.5),1,0)</f>
        <v>1</v>
      </c>
      <c r="AC11" s="24">
        <f t="shared" ref="AC11:AC48" si="35">SUM(AG11:AL11)</f>
        <v>6</v>
      </c>
      <c r="AD11" s="19">
        <f t="shared" ref="AD11:AD48" si="36">IF(OR(I11&lt;3,O11&lt;3),0,IF(H11&gt;P11,IF(AND(F11&gt;E11,S11&gt;=R11,F11&gt;=1.5,E11&lt;=1.3,R11&lt;=1.4,S11&gt;=1.4,AVERAGE(C11,U11)&gt;=50%),1,0),IF(AND(E11&gt;=F11,R11&gt;S11,R11&gt;=1.5,S11&lt;1.3,E11&gt;=1.4,F11&lt;=1.4,AVERAGE(C11,U11)&gt;=50%),1,0)))</f>
        <v>1</v>
      </c>
      <c r="AE11" s="19">
        <f t="shared" ref="AE11:AE48" si="37">IF(OR(I11&lt;3,O11&lt;3),0,IF(H11&gt;P11,IF(AND(F11&gt;=1.5,S11&gt;=1,AVERAGE(C11,U11)&gt;=50%,C11&gt;=40%,U11&gt;=40%),1,0),IF(AND(R11&gt;=1.5,E11&gt;=1,F11&lt;=1.4,AVERAGE(C11,U11)&gt;=50%,C11&gt;=40%,U11&gt;=40%),1,0)))</f>
        <v>1</v>
      </c>
      <c r="AF11" s="19">
        <f t="shared" ref="AF11:AF48" si="38">IF(OR(I11&lt;3,O11&lt;3),0,IF(H11&gt;P11,IF(AND(AVERAGE(C11,U11)&gt;=50%,C11&gt;=40%,U11&gt;=40%,OR(AND(G11&gt;=2.8,Q11&gt;=2.8),AVERAGE(G11,Q11)&gt;=2.8)),1,0),IF(AND(AVERAGE(C11,U11)&gt;=50%,C11&gt;=40%,U11&gt;=40%,OR(AND(G11&gt;=2.8,Q11&gt;=2.8),AVERAGE(G11,Q11)&gt;=2.8)),1,0)))</f>
        <v>1</v>
      </c>
      <c r="AG11" s="19">
        <f t="shared" ref="AG11:AG48" si="39">IF($H11&gt;$P11,IF(S11&gt;=R11,1,0),IF(E11&gt;=F11,1,0))</f>
        <v>1</v>
      </c>
      <c r="AH11" s="19">
        <f t="shared" ref="AH11:AH48" si="40">IF($H11&gt;$P11,IF(F11&gt;=1.5,1,0),IF(R11&gt;=1.5,1,0))</f>
        <v>1</v>
      </c>
      <c r="AI11" s="19">
        <f t="shared" ref="AI11:AI48" si="41">IF($H11&gt;$P11,IF(E11&lt;=1.3,1,0),IF(S11&lt;=1.3,1,0))</f>
        <v>1</v>
      </c>
      <c r="AJ11" s="19">
        <f t="shared" ref="AJ11:AJ48" si="42">IF($H11&gt;$P11,IF(R11&lt;=1.4,1,0),IF(F11&lt;=1.4,1,0))</f>
        <v>1</v>
      </c>
      <c r="AK11" s="19">
        <f t="shared" ref="AK11:AK48" si="43">IF($H11&gt;$P11,IF(S11&gt;=1.4,1,0),IF(E11&gt;=1.4,1,0))</f>
        <v>1</v>
      </c>
      <c r="AL11" s="19">
        <f t="shared" ref="AL11:AL48" si="44">IF(AVERAGE(C11,U11)&gt;=0.5,1,0)</f>
        <v>1</v>
      </c>
    </row>
    <row r="12" spans="1:38" ht="13.8" thickBot="1" x14ac:dyDescent="0.3">
      <c r="A12" s="4" t="s">
        <v>126</v>
      </c>
      <c r="B12" s="8">
        <v>0.5</v>
      </c>
      <c r="C12" s="15">
        <v>0.62</v>
      </c>
      <c r="D12" s="8">
        <v>0.62</v>
      </c>
      <c r="E12" s="10">
        <v>1</v>
      </c>
      <c r="F12" s="11">
        <v>2.25</v>
      </c>
      <c r="G12" s="12">
        <v>3.25</v>
      </c>
      <c r="H12" s="13">
        <v>2.5</v>
      </c>
      <c r="I12" s="14">
        <v>8</v>
      </c>
      <c r="J12" s="14" t="s">
        <v>10</v>
      </c>
      <c r="K12" s="5" t="s">
        <v>137</v>
      </c>
      <c r="L12" s="6">
        <v>0.35416666666666669</v>
      </c>
      <c r="M12" s="7" t="s">
        <v>138</v>
      </c>
      <c r="N12" s="14" t="s">
        <v>11</v>
      </c>
      <c r="O12" s="14">
        <v>8</v>
      </c>
      <c r="P12" s="13">
        <v>0</v>
      </c>
      <c r="Q12" s="12">
        <v>5.13</v>
      </c>
      <c r="R12" s="11">
        <v>0.38</v>
      </c>
      <c r="S12" s="10">
        <v>4.75</v>
      </c>
      <c r="T12" s="8">
        <v>1</v>
      </c>
      <c r="U12" s="15">
        <v>0.88</v>
      </c>
      <c r="V12" s="8">
        <v>0.75</v>
      </c>
      <c r="W12" s="17"/>
      <c r="X12" s="18">
        <f t="shared" si="30"/>
        <v>3.5</v>
      </c>
      <c r="Y12" s="18">
        <f t="shared" si="31"/>
        <v>0.69</v>
      </c>
      <c r="Z12" s="18">
        <f t="shared" si="32"/>
        <v>4.1899999999999995</v>
      </c>
      <c r="AA12" s="18">
        <f t="shared" si="33"/>
        <v>2.81</v>
      </c>
      <c r="AB12" s="24">
        <f t="shared" si="34"/>
        <v>1</v>
      </c>
      <c r="AC12" s="24">
        <f t="shared" si="35"/>
        <v>6</v>
      </c>
      <c r="AD12" s="19">
        <f t="shared" si="36"/>
        <v>1</v>
      </c>
      <c r="AE12" s="19">
        <f t="shared" si="37"/>
        <v>1</v>
      </c>
      <c r="AF12" s="19">
        <f t="shared" si="38"/>
        <v>1</v>
      </c>
      <c r="AG12" s="19">
        <f t="shared" si="39"/>
        <v>1</v>
      </c>
      <c r="AH12" s="19">
        <f t="shared" si="40"/>
        <v>1</v>
      </c>
      <c r="AI12" s="19">
        <f t="shared" si="41"/>
        <v>1</v>
      </c>
      <c r="AJ12" s="19">
        <f t="shared" si="42"/>
        <v>1</v>
      </c>
      <c r="AK12" s="19">
        <f t="shared" si="43"/>
        <v>1</v>
      </c>
      <c r="AL12" s="19">
        <f t="shared" si="44"/>
        <v>1</v>
      </c>
    </row>
    <row r="13" spans="1:38" ht="13.8" thickBot="1" x14ac:dyDescent="0.3">
      <c r="A13" s="4" t="s">
        <v>126</v>
      </c>
      <c r="B13" s="8">
        <v>0.33</v>
      </c>
      <c r="C13" s="9">
        <v>0.42</v>
      </c>
      <c r="D13" s="8">
        <v>0.67</v>
      </c>
      <c r="E13" s="10">
        <v>1.5</v>
      </c>
      <c r="F13" s="11">
        <v>1.25</v>
      </c>
      <c r="G13" s="12">
        <v>2.75</v>
      </c>
      <c r="H13" s="13">
        <v>1.67</v>
      </c>
      <c r="I13" s="14">
        <v>12</v>
      </c>
      <c r="J13" s="14" t="s">
        <v>10</v>
      </c>
      <c r="K13" s="5" t="s">
        <v>139</v>
      </c>
      <c r="L13" s="6">
        <v>0.3125</v>
      </c>
      <c r="M13" s="7" t="s">
        <v>140</v>
      </c>
      <c r="N13" s="14" t="s">
        <v>11</v>
      </c>
      <c r="O13" s="14">
        <v>11</v>
      </c>
      <c r="P13" s="13">
        <v>0.73</v>
      </c>
      <c r="Q13" s="12">
        <v>2.73</v>
      </c>
      <c r="R13" s="11">
        <v>0.82</v>
      </c>
      <c r="S13" s="10">
        <v>1.91</v>
      </c>
      <c r="T13" s="8">
        <v>0.73</v>
      </c>
      <c r="U13" s="15">
        <v>0.55000000000000004</v>
      </c>
      <c r="V13" s="8">
        <v>0.27</v>
      </c>
      <c r="W13" s="17"/>
      <c r="X13" s="18">
        <f t="shared" si="30"/>
        <v>1.58</v>
      </c>
      <c r="Y13" s="18">
        <f t="shared" si="31"/>
        <v>1.1599999999999999</v>
      </c>
      <c r="Z13" s="18">
        <f t="shared" si="32"/>
        <v>2.74</v>
      </c>
      <c r="AA13" s="18">
        <f t="shared" si="33"/>
        <v>0.42000000000000015</v>
      </c>
      <c r="AB13" s="24">
        <f t="shared" si="34"/>
        <v>0</v>
      </c>
      <c r="AC13" s="24">
        <f t="shared" si="35"/>
        <v>3</v>
      </c>
      <c r="AD13" s="19">
        <f t="shared" si="36"/>
        <v>0</v>
      </c>
      <c r="AE13" s="19">
        <f t="shared" si="37"/>
        <v>0</v>
      </c>
      <c r="AF13" s="19">
        <f t="shared" si="38"/>
        <v>0</v>
      </c>
      <c r="AG13" s="19">
        <f t="shared" si="39"/>
        <v>1</v>
      </c>
      <c r="AH13" s="19">
        <f t="shared" si="40"/>
        <v>0</v>
      </c>
      <c r="AI13" s="19">
        <f t="shared" si="41"/>
        <v>0</v>
      </c>
      <c r="AJ13" s="19">
        <f t="shared" si="42"/>
        <v>1</v>
      </c>
      <c r="AK13" s="19">
        <f t="shared" si="43"/>
        <v>1</v>
      </c>
      <c r="AL13" s="19">
        <f t="shared" si="44"/>
        <v>0</v>
      </c>
    </row>
    <row r="14" spans="1:38" ht="13.8" thickBot="1" x14ac:dyDescent="0.3">
      <c r="A14" s="4" t="s">
        <v>90</v>
      </c>
      <c r="B14" s="8">
        <v>0.11</v>
      </c>
      <c r="C14" s="15">
        <v>0.56000000000000005</v>
      </c>
      <c r="D14" s="8">
        <v>1</v>
      </c>
      <c r="E14" s="10">
        <v>1.1100000000000001</v>
      </c>
      <c r="F14" s="11">
        <v>1.56</v>
      </c>
      <c r="G14" s="12">
        <v>2.67</v>
      </c>
      <c r="H14" s="13">
        <v>1.44</v>
      </c>
      <c r="I14" s="14">
        <v>9</v>
      </c>
      <c r="J14" s="14" t="s">
        <v>10</v>
      </c>
      <c r="K14" s="5" t="s">
        <v>141</v>
      </c>
      <c r="L14" s="6">
        <v>0.85416666666666663</v>
      </c>
      <c r="M14" s="7" t="s">
        <v>142</v>
      </c>
      <c r="N14" s="14" t="s">
        <v>11</v>
      </c>
      <c r="O14" s="14">
        <v>8</v>
      </c>
      <c r="P14" s="13">
        <v>0.25</v>
      </c>
      <c r="Q14" s="12">
        <v>2.13</v>
      </c>
      <c r="R14" s="11">
        <v>0.5</v>
      </c>
      <c r="S14" s="10">
        <v>1.63</v>
      </c>
      <c r="T14" s="8">
        <v>0.88</v>
      </c>
      <c r="U14" s="9">
        <v>0.25</v>
      </c>
      <c r="V14" s="8">
        <v>0</v>
      </c>
      <c r="W14" s="17"/>
      <c r="X14" s="18">
        <f t="shared" si="30"/>
        <v>1.595</v>
      </c>
      <c r="Y14" s="18">
        <f t="shared" si="31"/>
        <v>0.80500000000000005</v>
      </c>
      <c r="Z14" s="18">
        <f t="shared" si="32"/>
        <v>2.4</v>
      </c>
      <c r="AA14" s="18">
        <f t="shared" si="33"/>
        <v>0.78999999999999992</v>
      </c>
      <c r="AB14" s="24">
        <f t="shared" si="34"/>
        <v>0</v>
      </c>
      <c r="AC14" s="24">
        <f t="shared" si="35"/>
        <v>5</v>
      </c>
      <c r="AD14" s="19">
        <f t="shared" si="36"/>
        <v>0</v>
      </c>
      <c r="AE14" s="19">
        <f t="shared" si="37"/>
        <v>0</v>
      </c>
      <c r="AF14" s="19">
        <f t="shared" si="38"/>
        <v>0</v>
      </c>
      <c r="AG14" s="19">
        <f t="shared" si="39"/>
        <v>1</v>
      </c>
      <c r="AH14" s="19">
        <f t="shared" si="40"/>
        <v>1</v>
      </c>
      <c r="AI14" s="19">
        <f t="shared" si="41"/>
        <v>1</v>
      </c>
      <c r="AJ14" s="19">
        <f t="shared" si="42"/>
        <v>1</v>
      </c>
      <c r="AK14" s="19">
        <f t="shared" si="43"/>
        <v>1</v>
      </c>
      <c r="AL14" s="19">
        <f t="shared" si="44"/>
        <v>0</v>
      </c>
    </row>
    <row r="15" spans="1:38" ht="13.8" thickBot="1" x14ac:dyDescent="0.3">
      <c r="A15" s="4" t="s">
        <v>90</v>
      </c>
      <c r="B15" s="8">
        <v>0.33</v>
      </c>
      <c r="C15" s="15">
        <v>0.78</v>
      </c>
      <c r="D15" s="8">
        <v>0.78</v>
      </c>
      <c r="E15" s="10">
        <v>1.1100000000000001</v>
      </c>
      <c r="F15" s="11">
        <v>1.89</v>
      </c>
      <c r="G15" s="12">
        <v>3</v>
      </c>
      <c r="H15" s="13">
        <v>2.44</v>
      </c>
      <c r="I15" s="14">
        <v>9</v>
      </c>
      <c r="J15" s="14" t="s">
        <v>10</v>
      </c>
      <c r="K15" s="5" t="s">
        <v>143</v>
      </c>
      <c r="L15" s="6">
        <v>0.875</v>
      </c>
      <c r="M15" s="7" t="s">
        <v>144</v>
      </c>
      <c r="N15" s="14" t="s">
        <v>11</v>
      </c>
      <c r="O15" s="14">
        <v>9</v>
      </c>
      <c r="P15" s="13">
        <v>1.44</v>
      </c>
      <c r="Q15" s="12">
        <v>2.11</v>
      </c>
      <c r="R15" s="11">
        <v>1</v>
      </c>
      <c r="S15" s="10">
        <v>1.1100000000000001</v>
      </c>
      <c r="T15" s="8">
        <v>0.78</v>
      </c>
      <c r="U15" s="9">
        <v>0.33</v>
      </c>
      <c r="V15" s="8">
        <v>0</v>
      </c>
      <c r="W15" s="17"/>
      <c r="X15" s="18">
        <f t="shared" si="30"/>
        <v>1.5</v>
      </c>
      <c r="Y15" s="18">
        <f t="shared" si="31"/>
        <v>1.0550000000000002</v>
      </c>
      <c r="Z15" s="18">
        <f t="shared" si="32"/>
        <v>2.5550000000000002</v>
      </c>
      <c r="AA15" s="18">
        <f t="shared" si="33"/>
        <v>0.44499999999999984</v>
      </c>
      <c r="AB15" s="24">
        <f t="shared" si="34"/>
        <v>0</v>
      </c>
      <c r="AC15" s="24">
        <f t="shared" si="35"/>
        <v>5</v>
      </c>
      <c r="AD15" s="19">
        <f t="shared" si="36"/>
        <v>0</v>
      </c>
      <c r="AE15" s="19">
        <f t="shared" si="37"/>
        <v>0</v>
      </c>
      <c r="AF15" s="19">
        <f t="shared" si="38"/>
        <v>0</v>
      </c>
      <c r="AG15" s="19">
        <f t="shared" si="39"/>
        <v>1</v>
      </c>
      <c r="AH15" s="19">
        <f t="shared" si="40"/>
        <v>1</v>
      </c>
      <c r="AI15" s="19">
        <f t="shared" si="41"/>
        <v>1</v>
      </c>
      <c r="AJ15" s="19">
        <f t="shared" si="42"/>
        <v>1</v>
      </c>
      <c r="AK15" s="19">
        <f t="shared" si="43"/>
        <v>0</v>
      </c>
      <c r="AL15" s="19">
        <f t="shared" si="44"/>
        <v>1</v>
      </c>
    </row>
    <row r="16" spans="1:38" ht="13.8" thickBot="1" x14ac:dyDescent="0.3">
      <c r="A16" s="4" t="s">
        <v>90</v>
      </c>
      <c r="B16" s="8">
        <v>0.22</v>
      </c>
      <c r="C16" s="15">
        <v>0.56000000000000005</v>
      </c>
      <c r="D16" s="8">
        <v>0.67</v>
      </c>
      <c r="E16" s="10">
        <v>1.22</v>
      </c>
      <c r="F16" s="11">
        <v>1.22</v>
      </c>
      <c r="G16" s="12">
        <v>2.44</v>
      </c>
      <c r="H16" s="13">
        <v>1.33</v>
      </c>
      <c r="I16" s="14">
        <v>9</v>
      </c>
      <c r="J16" s="14" t="s">
        <v>10</v>
      </c>
      <c r="K16" s="5" t="s">
        <v>145</v>
      </c>
      <c r="L16" s="6">
        <v>0.875</v>
      </c>
      <c r="M16" s="7" t="s">
        <v>146</v>
      </c>
      <c r="N16" s="14" t="s">
        <v>11</v>
      </c>
      <c r="O16" s="14">
        <v>9</v>
      </c>
      <c r="P16" s="13">
        <v>0.44</v>
      </c>
      <c r="Q16" s="12">
        <v>1.89</v>
      </c>
      <c r="R16" s="11">
        <v>0.56000000000000005</v>
      </c>
      <c r="S16" s="10">
        <v>1.33</v>
      </c>
      <c r="T16" s="8">
        <v>0.78</v>
      </c>
      <c r="U16" s="9">
        <v>0.33</v>
      </c>
      <c r="V16" s="8">
        <v>0</v>
      </c>
      <c r="W16" s="17"/>
      <c r="X16" s="18">
        <f t="shared" si="30"/>
        <v>1.2749999999999999</v>
      </c>
      <c r="Y16" s="18">
        <f t="shared" si="31"/>
        <v>0.89</v>
      </c>
      <c r="Z16" s="18">
        <f t="shared" si="32"/>
        <v>2.165</v>
      </c>
      <c r="AA16" s="18">
        <f t="shared" si="33"/>
        <v>0.3849999999999999</v>
      </c>
      <c r="AB16" s="24">
        <f t="shared" si="34"/>
        <v>0</v>
      </c>
      <c r="AC16" s="24">
        <f t="shared" si="35"/>
        <v>3</v>
      </c>
      <c r="AD16" s="19">
        <f t="shared" si="36"/>
        <v>0</v>
      </c>
      <c r="AE16" s="19">
        <f t="shared" si="37"/>
        <v>0</v>
      </c>
      <c r="AF16" s="19">
        <f t="shared" si="38"/>
        <v>0</v>
      </c>
      <c r="AG16" s="19">
        <f t="shared" si="39"/>
        <v>1</v>
      </c>
      <c r="AH16" s="19">
        <f t="shared" si="40"/>
        <v>0</v>
      </c>
      <c r="AI16" s="19">
        <f t="shared" si="41"/>
        <v>1</v>
      </c>
      <c r="AJ16" s="19">
        <f t="shared" si="42"/>
        <v>1</v>
      </c>
      <c r="AK16" s="19">
        <f t="shared" si="43"/>
        <v>0</v>
      </c>
      <c r="AL16" s="19">
        <f t="shared" si="44"/>
        <v>0</v>
      </c>
    </row>
    <row r="17" spans="1:38" ht="13.8" thickBot="1" x14ac:dyDescent="0.3">
      <c r="A17" s="4" t="s">
        <v>90</v>
      </c>
      <c r="B17" s="8">
        <v>0</v>
      </c>
      <c r="C17" s="15">
        <v>0.62</v>
      </c>
      <c r="D17" s="8">
        <v>0.75</v>
      </c>
      <c r="E17" s="10">
        <v>1.63</v>
      </c>
      <c r="F17" s="11">
        <v>0.63</v>
      </c>
      <c r="G17" s="12">
        <v>2.25</v>
      </c>
      <c r="H17" s="13">
        <v>0.25</v>
      </c>
      <c r="I17" s="14">
        <v>8</v>
      </c>
      <c r="J17" s="14" t="s">
        <v>10</v>
      </c>
      <c r="K17" s="5" t="s">
        <v>147</v>
      </c>
      <c r="L17" s="6">
        <v>0.83333333333333337</v>
      </c>
      <c r="M17" s="7" t="s">
        <v>148</v>
      </c>
      <c r="N17" s="14" t="s">
        <v>11</v>
      </c>
      <c r="O17" s="14">
        <v>8</v>
      </c>
      <c r="P17" s="13">
        <v>0.75</v>
      </c>
      <c r="Q17" s="12">
        <v>1.88</v>
      </c>
      <c r="R17" s="11">
        <v>0.63</v>
      </c>
      <c r="S17" s="10">
        <v>1.25</v>
      </c>
      <c r="T17" s="8">
        <v>0.88</v>
      </c>
      <c r="U17" s="9">
        <v>0.12</v>
      </c>
      <c r="V17" s="8">
        <v>0</v>
      </c>
      <c r="W17" s="17"/>
      <c r="X17" s="18">
        <f t="shared" si="30"/>
        <v>0.94</v>
      </c>
      <c r="Y17" s="18">
        <f t="shared" si="31"/>
        <v>1.1299999999999999</v>
      </c>
      <c r="Z17" s="18">
        <f t="shared" si="32"/>
        <v>2.0699999999999998</v>
      </c>
      <c r="AA17" s="18">
        <f t="shared" si="33"/>
        <v>0.18999999999999995</v>
      </c>
      <c r="AB17" s="24">
        <f t="shared" si="34"/>
        <v>0</v>
      </c>
      <c r="AC17" s="24">
        <f t="shared" si="35"/>
        <v>4</v>
      </c>
      <c r="AD17" s="19">
        <f t="shared" si="36"/>
        <v>0</v>
      </c>
      <c r="AE17" s="19">
        <f t="shared" si="37"/>
        <v>0</v>
      </c>
      <c r="AF17" s="19">
        <f t="shared" si="38"/>
        <v>0</v>
      </c>
      <c r="AG17" s="19">
        <f t="shared" si="39"/>
        <v>1</v>
      </c>
      <c r="AH17" s="19">
        <f t="shared" si="40"/>
        <v>0</v>
      </c>
      <c r="AI17" s="19">
        <f t="shared" si="41"/>
        <v>1</v>
      </c>
      <c r="AJ17" s="19">
        <f t="shared" si="42"/>
        <v>1</v>
      </c>
      <c r="AK17" s="19">
        <f t="shared" si="43"/>
        <v>1</v>
      </c>
      <c r="AL17" s="19">
        <f t="shared" si="44"/>
        <v>0</v>
      </c>
    </row>
    <row r="18" spans="1:38" ht="13.8" thickBot="1" x14ac:dyDescent="0.3">
      <c r="A18" s="4" t="s">
        <v>90</v>
      </c>
      <c r="B18" s="8">
        <v>0</v>
      </c>
      <c r="C18" s="9">
        <v>0.22</v>
      </c>
      <c r="D18" s="8">
        <v>0.44</v>
      </c>
      <c r="E18" s="10">
        <v>0.11</v>
      </c>
      <c r="F18" s="11">
        <v>1.33</v>
      </c>
      <c r="G18" s="12">
        <v>1.44</v>
      </c>
      <c r="H18" s="13">
        <v>2.2200000000000002</v>
      </c>
      <c r="I18" s="14">
        <v>9</v>
      </c>
      <c r="J18" s="14" t="s">
        <v>10</v>
      </c>
      <c r="K18" s="5" t="s">
        <v>149</v>
      </c>
      <c r="L18" s="6">
        <v>0.83333333333333337</v>
      </c>
      <c r="M18" s="7" t="s">
        <v>150</v>
      </c>
      <c r="N18" s="14" t="s">
        <v>11</v>
      </c>
      <c r="O18" s="14">
        <v>8</v>
      </c>
      <c r="P18" s="13">
        <v>1.25</v>
      </c>
      <c r="Q18" s="12">
        <v>1.38</v>
      </c>
      <c r="R18" s="11">
        <v>0.75</v>
      </c>
      <c r="S18" s="10">
        <v>0.63</v>
      </c>
      <c r="T18" s="8">
        <v>0.38</v>
      </c>
      <c r="U18" s="9">
        <v>0.25</v>
      </c>
      <c r="V18" s="8">
        <v>0.12</v>
      </c>
      <c r="W18" s="17"/>
      <c r="X18" s="18">
        <f t="shared" si="30"/>
        <v>0.98</v>
      </c>
      <c r="Y18" s="18">
        <f t="shared" si="31"/>
        <v>0.43</v>
      </c>
      <c r="Z18" s="18">
        <f t="shared" si="32"/>
        <v>1.41</v>
      </c>
      <c r="AA18" s="18">
        <f t="shared" si="33"/>
        <v>0.55000000000000004</v>
      </c>
      <c r="AB18" s="24">
        <f t="shared" si="34"/>
        <v>0</v>
      </c>
      <c r="AC18" s="24">
        <f t="shared" si="35"/>
        <v>2</v>
      </c>
      <c r="AD18" s="19">
        <f t="shared" si="36"/>
        <v>0</v>
      </c>
      <c r="AE18" s="19">
        <f t="shared" si="37"/>
        <v>0</v>
      </c>
      <c r="AF18" s="19">
        <f t="shared" si="38"/>
        <v>0</v>
      </c>
      <c r="AG18" s="19">
        <f t="shared" si="39"/>
        <v>0</v>
      </c>
      <c r="AH18" s="19">
        <f t="shared" si="40"/>
        <v>0</v>
      </c>
      <c r="AI18" s="19">
        <f t="shared" si="41"/>
        <v>1</v>
      </c>
      <c r="AJ18" s="19">
        <f t="shared" si="42"/>
        <v>1</v>
      </c>
      <c r="AK18" s="19">
        <f t="shared" si="43"/>
        <v>0</v>
      </c>
      <c r="AL18" s="19">
        <f t="shared" si="44"/>
        <v>0</v>
      </c>
    </row>
    <row r="19" spans="1:38" ht="13.8" thickBot="1" x14ac:dyDescent="0.3">
      <c r="A19" s="4" t="s">
        <v>90</v>
      </c>
      <c r="B19" s="8">
        <v>0.11</v>
      </c>
      <c r="C19" s="9">
        <v>0.33</v>
      </c>
      <c r="D19" s="8">
        <v>0.56000000000000005</v>
      </c>
      <c r="E19" s="10">
        <v>0.89</v>
      </c>
      <c r="F19" s="11">
        <v>1</v>
      </c>
      <c r="G19" s="12">
        <v>1.89</v>
      </c>
      <c r="H19" s="13">
        <v>1.1100000000000001</v>
      </c>
      <c r="I19" s="14">
        <v>9</v>
      </c>
      <c r="J19" s="14" t="s">
        <v>10</v>
      </c>
      <c r="K19" s="5" t="s">
        <v>151</v>
      </c>
      <c r="L19" s="6">
        <v>0.83333333333333337</v>
      </c>
      <c r="M19" s="7" t="s">
        <v>152</v>
      </c>
      <c r="N19" s="14" t="s">
        <v>11</v>
      </c>
      <c r="O19" s="14">
        <v>8</v>
      </c>
      <c r="P19" s="13">
        <v>0.5</v>
      </c>
      <c r="Q19" s="12">
        <v>2.88</v>
      </c>
      <c r="R19" s="11">
        <v>1</v>
      </c>
      <c r="S19" s="10">
        <v>1.88</v>
      </c>
      <c r="T19" s="8">
        <v>0.75</v>
      </c>
      <c r="U19" s="15">
        <v>0.62</v>
      </c>
      <c r="V19" s="8">
        <v>0.38</v>
      </c>
      <c r="W19" s="17"/>
      <c r="X19" s="18">
        <f t="shared" si="30"/>
        <v>1.44</v>
      </c>
      <c r="Y19" s="18">
        <f t="shared" si="31"/>
        <v>0.94500000000000006</v>
      </c>
      <c r="Z19" s="18">
        <f t="shared" si="32"/>
        <v>2.3849999999999998</v>
      </c>
      <c r="AA19" s="18">
        <f t="shared" si="33"/>
        <v>0.49499999999999988</v>
      </c>
      <c r="AB19" s="24">
        <f t="shared" si="34"/>
        <v>0</v>
      </c>
      <c r="AC19" s="24">
        <f t="shared" si="35"/>
        <v>4</v>
      </c>
      <c r="AD19" s="19">
        <f t="shared" si="36"/>
        <v>0</v>
      </c>
      <c r="AE19" s="19">
        <f t="shared" si="37"/>
        <v>0</v>
      </c>
      <c r="AF19" s="19">
        <f t="shared" si="38"/>
        <v>0</v>
      </c>
      <c r="AG19" s="19">
        <f t="shared" si="39"/>
        <v>1</v>
      </c>
      <c r="AH19" s="19">
        <f t="shared" si="40"/>
        <v>0</v>
      </c>
      <c r="AI19" s="19">
        <f t="shared" si="41"/>
        <v>1</v>
      </c>
      <c r="AJ19" s="19">
        <f t="shared" si="42"/>
        <v>1</v>
      </c>
      <c r="AK19" s="19">
        <f t="shared" si="43"/>
        <v>1</v>
      </c>
      <c r="AL19" s="19">
        <f t="shared" si="44"/>
        <v>0</v>
      </c>
    </row>
    <row r="20" spans="1:38" ht="13.8" thickBot="1" x14ac:dyDescent="0.3">
      <c r="A20" s="4" t="s">
        <v>91</v>
      </c>
      <c r="B20" s="8">
        <v>0.2</v>
      </c>
      <c r="C20" s="15">
        <v>0.6</v>
      </c>
      <c r="D20" s="8">
        <v>0.8</v>
      </c>
      <c r="E20" s="10">
        <v>1.6</v>
      </c>
      <c r="F20" s="11">
        <v>1.8</v>
      </c>
      <c r="G20" s="12">
        <v>3.4</v>
      </c>
      <c r="H20" s="13">
        <v>2</v>
      </c>
      <c r="I20" s="14">
        <v>5</v>
      </c>
      <c r="J20" s="14" t="s">
        <v>10</v>
      </c>
      <c r="K20" s="5" t="s">
        <v>153</v>
      </c>
      <c r="L20" s="6">
        <v>0.875</v>
      </c>
      <c r="M20" s="7" t="s">
        <v>154</v>
      </c>
      <c r="N20" s="14" t="s">
        <v>11</v>
      </c>
      <c r="O20" s="14">
        <v>5</v>
      </c>
      <c r="P20" s="13">
        <v>1</v>
      </c>
      <c r="Q20" s="12">
        <v>2.6</v>
      </c>
      <c r="R20" s="11">
        <v>0.8</v>
      </c>
      <c r="S20" s="10">
        <v>1.8</v>
      </c>
      <c r="T20" s="8">
        <v>0.8</v>
      </c>
      <c r="U20" s="9">
        <v>0.4</v>
      </c>
      <c r="V20" s="8">
        <v>0.4</v>
      </c>
      <c r="W20" s="17"/>
      <c r="X20" s="18">
        <f t="shared" si="30"/>
        <v>1.8</v>
      </c>
      <c r="Y20" s="18">
        <f t="shared" si="31"/>
        <v>1.2000000000000002</v>
      </c>
      <c r="Z20" s="18">
        <f t="shared" si="32"/>
        <v>3</v>
      </c>
      <c r="AA20" s="18">
        <f t="shared" si="33"/>
        <v>0.59999999999999987</v>
      </c>
      <c r="AB20" s="24">
        <f t="shared" si="34"/>
        <v>0</v>
      </c>
      <c r="AC20" s="24">
        <f t="shared" si="35"/>
        <v>5</v>
      </c>
      <c r="AD20" s="19">
        <f t="shared" si="36"/>
        <v>0</v>
      </c>
      <c r="AE20" s="19">
        <f t="shared" si="37"/>
        <v>1</v>
      </c>
      <c r="AF20" s="19">
        <f t="shared" si="38"/>
        <v>1</v>
      </c>
      <c r="AG20" s="19">
        <f t="shared" si="39"/>
        <v>1</v>
      </c>
      <c r="AH20" s="19">
        <f t="shared" si="40"/>
        <v>1</v>
      </c>
      <c r="AI20" s="19">
        <f t="shared" si="41"/>
        <v>0</v>
      </c>
      <c r="AJ20" s="19">
        <f t="shared" si="42"/>
        <v>1</v>
      </c>
      <c r="AK20" s="19">
        <f t="shared" si="43"/>
        <v>1</v>
      </c>
      <c r="AL20" s="19">
        <f t="shared" si="44"/>
        <v>1</v>
      </c>
    </row>
    <row r="21" spans="1:38" ht="19.8" thickBot="1" x14ac:dyDescent="0.3">
      <c r="A21" s="4" t="s">
        <v>91</v>
      </c>
      <c r="B21" s="8">
        <v>0.17</v>
      </c>
      <c r="C21" s="9">
        <v>0.5</v>
      </c>
      <c r="D21" s="8">
        <v>0.67</v>
      </c>
      <c r="E21" s="10">
        <v>1.17</v>
      </c>
      <c r="F21" s="11">
        <v>1.17</v>
      </c>
      <c r="G21" s="12">
        <v>2.33</v>
      </c>
      <c r="H21" s="13">
        <v>1.17</v>
      </c>
      <c r="I21" s="14">
        <v>6</v>
      </c>
      <c r="J21" s="14" t="s">
        <v>10</v>
      </c>
      <c r="K21" s="5" t="s">
        <v>155</v>
      </c>
      <c r="L21" s="6">
        <v>0.875</v>
      </c>
      <c r="M21" s="7" t="s">
        <v>156</v>
      </c>
      <c r="N21" s="14" t="s">
        <v>11</v>
      </c>
      <c r="O21" s="14">
        <v>5</v>
      </c>
      <c r="P21" s="13">
        <v>0.8</v>
      </c>
      <c r="Q21" s="12">
        <v>2.6</v>
      </c>
      <c r="R21" s="11">
        <v>1.2</v>
      </c>
      <c r="S21" s="10">
        <v>1.4</v>
      </c>
      <c r="T21" s="8">
        <v>0.6</v>
      </c>
      <c r="U21" s="9">
        <v>0.4</v>
      </c>
      <c r="V21" s="8">
        <v>0.4</v>
      </c>
      <c r="W21" s="17"/>
      <c r="X21" s="18">
        <f t="shared" si="30"/>
        <v>1.2849999999999999</v>
      </c>
      <c r="Y21" s="18">
        <f t="shared" si="31"/>
        <v>1.1850000000000001</v>
      </c>
      <c r="Z21" s="18">
        <f t="shared" si="32"/>
        <v>2.4699999999999998</v>
      </c>
      <c r="AA21" s="18">
        <f t="shared" si="33"/>
        <v>9.9999999999999867E-2</v>
      </c>
      <c r="AB21" s="24">
        <f t="shared" si="34"/>
        <v>0</v>
      </c>
      <c r="AC21" s="24">
        <f t="shared" si="35"/>
        <v>4</v>
      </c>
      <c r="AD21" s="19">
        <f t="shared" si="36"/>
        <v>0</v>
      </c>
      <c r="AE21" s="19">
        <f t="shared" si="37"/>
        <v>0</v>
      </c>
      <c r="AF21" s="19">
        <f t="shared" si="38"/>
        <v>0</v>
      </c>
      <c r="AG21" s="19">
        <f t="shared" si="39"/>
        <v>1</v>
      </c>
      <c r="AH21" s="19">
        <f t="shared" si="40"/>
        <v>0</v>
      </c>
      <c r="AI21" s="19">
        <f t="shared" si="41"/>
        <v>1</v>
      </c>
      <c r="AJ21" s="19">
        <f t="shared" si="42"/>
        <v>1</v>
      </c>
      <c r="AK21" s="19">
        <f t="shared" si="43"/>
        <v>1</v>
      </c>
      <c r="AL21" s="19">
        <f t="shared" si="44"/>
        <v>0</v>
      </c>
    </row>
    <row r="22" spans="1:38" ht="19.8" thickBot="1" x14ac:dyDescent="0.3">
      <c r="A22" s="4" t="s">
        <v>157</v>
      </c>
      <c r="B22" s="8">
        <v>0.22</v>
      </c>
      <c r="C22" s="9">
        <v>0.33</v>
      </c>
      <c r="D22" s="8">
        <v>0.78</v>
      </c>
      <c r="E22" s="10">
        <v>0.89</v>
      </c>
      <c r="F22" s="11">
        <v>1.33</v>
      </c>
      <c r="G22" s="12">
        <v>2.2200000000000002</v>
      </c>
      <c r="H22" s="13">
        <v>1.67</v>
      </c>
      <c r="I22" s="14">
        <v>9</v>
      </c>
      <c r="J22" s="14" t="s">
        <v>10</v>
      </c>
      <c r="K22" s="5" t="s">
        <v>158</v>
      </c>
      <c r="L22" s="6">
        <v>0.375</v>
      </c>
      <c r="M22" s="7" t="s">
        <v>111</v>
      </c>
      <c r="N22" s="14" t="s">
        <v>11</v>
      </c>
      <c r="O22" s="14">
        <v>9</v>
      </c>
      <c r="P22" s="13">
        <v>2.2200000000000002</v>
      </c>
      <c r="Q22" s="12">
        <v>3.11</v>
      </c>
      <c r="R22" s="11">
        <v>1.78</v>
      </c>
      <c r="S22" s="10">
        <v>1.33</v>
      </c>
      <c r="T22" s="8">
        <v>0.78</v>
      </c>
      <c r="U22" s="15">
        <v>0.56000000000000005</v>
      </c>
      <c r="V22" s="8">
        <v>0.33</v>
      </c>
      <c r="W22" s="17"/>
      <c r="X22" s="18">
        <f t="shared" si="30"/>
        <v>1.33</v>
      </c>
      <c r="Y22" s="18">
        <f t="shared" si="31"/>
        <v>1.335</v>
      </c>
      <c r="Z22" s="18">
        <f t="shared" si="32"/>
        <v>2.665</v>
      </c>
      <c r="AA22" s="18">
        <f t="shared" si="33"/>
        <v>4.9999999999998934E-3</v>
      </c>
      <c r="AB22" s="24">
        <f t="shared" si="34"/>
        <v>0</v>
      </c>
      <c r="AC22" s="24">
        <f t="shared" si="35"/>
        <v>2</v>
      </c>
      <c r="AD22" s="19">
        <f t="shared" si="36"/>
        <v>0</v>
      </c>
      <c r="AE22" s="19">
        <f t="shared" si="37"/>
        <v>0</v>
      </c>
      <c r="AF22" s="19">
        <f t="shared" si="38"/>
        <v>0</v>
      </c>
      <c r="AG22" s="19">
        <f t="shared" si="39"/>
        <v>0</v>
      </c>
      <c r="AH22" s="19">
        <f t="shared" si="40"/>
        <v>1</v>
      </c>
      <c r="AI22" s="19">
        <f t="shared" si="41"/>
        <v>0</v>
      </c>
      <c r="AJ22" s="19">
        <f t="shared" si="42"/>
        <v>1</v>
      </c>
      <c r="AK22" s="19">
        <f t="shared" si="43"/>
        <v>0</v>
      </c>
      <c r="AL22" s="19">
        <f t="shared" si="44"/>
        <v>0</v>
      </c>
    </row>
    <row r="23" spans="1:38" ht="19.8" thickBot="1" x14ac:dyDescent="0.3">
      <c r="A23" s="4" t="s">
        <v>157</v>
      </c>
      <c r="B23" s="8">
        <v>0.33</v>
      </c>
      <c r="C23" s="15">
        <v>0.67</v>
      </c>
      <c r="D23" s="8">
        <v>0.89</v>
      </c>
      <c r="E23" s="10">
        <v>1.44</v>
      </c>
      <c r="F23" s="11">
        <v>1.89</v>
      </c>
      <c r="G23" s="12">
        <v>3.33</v>
      </c>
      <c r="H23" s="13">
        <v>1.56</v>
      </c>
      <c r="I23" s="14">
        <v>9</v>
      </c>
      <c r="J23" s="14" t="s">
        <v>10</v>
      </c>
      <c r="K23" s="5" t="s">
        <v>159</v>
      </c>
      <c r="L23" s="6">
        <v>0.39930555555555558</v>
      </c>
      <c r="M23" s="7" t="s">
        <v>160</v>
      </c>
      <c r="N23" s="14" t="s">
        <v>11</v>
      </c>
      <c r="O23" s="14">
        <v>8</v>
      </c>
      <c r="P23" s="13">
        <v>0.63</v>
      </c>
      <c r="Q23" s="12">
        <v>3</v>
      </c>
      <c r="R23" s="11">
        <v>1.1299999999999999</v>
      </c>
      <c r="S23" s="10">
        <v>1.88</v>
      </c>
      <c r="T23" s="8">
        <v>0.75</v>
      </c>
      <c r="U23" s="15">
        <v>0.62</v>
      </c>
      <c r="V23" s="8">
        <v>0.5</v>
      </c>
      <c r="W23" s="17"/>
      <c r="X23" s="18">
        <f t="shared" si="30"/>
        <v>1.8849999999999998</v>
      </c>
      <c r="Y23" s="18">
        <f t="shared" si="31"/>
        <v>1.2849999999999999</v>
      </c>
      <c r="Z23" s="18">
        <f t="shared" si="32"/>
        <v>3.17</v>
      </c>
      <c r="AA23" s="18">
        <f t="shared" si="33"/>
        <v>0.59999999999999987</v>
      </c>
      <c r="AB23" s="24">
        <f t="shared" si="34"/>
        <v>1</v>
      </c>
      <c r="AC23" s="24">
        <f t="shared" si="35"/>
        <v>5</v>
      </c>
      <c r="AD23" s="19">
        <f t="shared" si="36"/>
        <v>0</v>
      </c>
      <c r="AE23" s="19">
        <f t="shared" si="37"/>
        <v>1</v>
      </c>
      <c r="AF23" s="19">
        <f t="shared" si="38"/>
        <v>1</v>
      </c>
      <c r="AG23" s="19">
        <f t="shared" si="39"/>
        <v>1</v>
      </c>
      <c r="AH23" s="19">
        <f t="shared" si="40"/>
        <v>1</v>
      </c>
      <c r="AI23" s="19">
        <f t="shared" si="41"/>
        <v>0</v>
      </c>
      <c r="AJ23" s="19">
        <f t="shared" si="42"/>
        <v>1</v>
      </c>
      <c r="AK23" s="19">
        <f t="shared" si="43"/>
        <v>1</v>
      </c>
      <c r="AL23" s="19">
        <f t="shared" si="44"/>
        <v>1</v>
      </c>
    </row>
    <row r="24" spans="1:38" ht="19.8" thickBot="1" x14ac:dyDescent="0.3">
      <c r="A24" s="4" t="s">
        <v>157</v>
      </c>
      <c r="B24" s="8">
        <v>0.12</v>
      </c>
      <c r="C24" s="9">
        <v>0.5</v>
      </c>
      <c r="D24" s="8">
        <v>0.75</v>
      </c>
      <c r="E24" s="10">
        <v>1.25</v>
      </c>
      <c r="F24" s="11">
        <v>1.1299999999999999</v>
      </c>
      <c r="G24" s="12">
        <v>2.38</v>
      </c>
      <c r="H24" s="13">
        <v>1.25</v>
      </c>
      <c r="I24" s="14">
        <v>8</v>
      </c>
      <c r="J24" s="14" t="s">
        <v>10</v>
      </c>
      <c r="K24" s="5" t="s">
        <v>161</v>
      </c>
      <c r="L24" s="6">
        <v>0.39930555555555558</v>
      </c>
      <c r="M24" s="7" t="s">
        <v>162</v>
      </c>
      <c r="N24" s="14" t="s">
        <v>11</v>
      </c>
      <c r="O24" s="14">
        <v>9</v>
      </c>
      <c r="P24" s="13">
        <v>0.44</v>
      </c>
      <c r="Q24" s="12">
        <v>3.56</v>
      </c>
      <c r="R24" s="11">
        <v>1.33</v>
      </c>
      <c r="S24" s="10">
        <v>2.2200000000000002</v>
      </c>
      <c r="T24" s="8">
        <v>0.89</v>
      </c>
      <c r="U24" s="15">
        <v>0.67</v>
      </c>
      <c r="V24" s="8">
        <v>0.56000000000000005</v>
      </c>
      <c r="W24" s="17"/>
      <c r="X24" s="18">
        <f t="shared" si="30"/>
        <v>1.675</v>
      </c>
      <c r="Y24" s="18">
        <f t="shared" si="31"/>
        <v>1.29</v>
      </c>
      <c r="Z24" s="18">
        <f t="shared" si="32"/>
        <v>2.9649999999999999</v>
      </c>
      <c r="AA24" s="18">
        <f t="shared" si="33"/>
        <v>0.38500000000000001</v>
      </c>
      <c r="AB24" s="24">
        <f t="shared" si="34"/>
        <v>1</v>
      </c>
      <c r="AC24" s="24">
        <f t="shared" si="35"/>
        <v>5</v>
      </c>
      <c r="AD24" s="19">
        <f t="shared" si="36"/>
        <v>0</v>
      </c>
      <c r="AE24" s="19">
        <f t="shared" si="37"/>
        <v>0</v>
      </c>
      <c r="AF24" s="19">
        <f t="shared" si="38"/>
        <v>1</v>
      </c>
      <c r="AG24" s="19">
        <f t="shared" si="39"/>
        <v>1</v>
      </c>
      <c r="AH24" s="19">
        <f t="shared" si="40"/>
        <v>0</v>
      </c>
      <c r="AI24" s="19">
        <f t="shared" si="41"/>
        <v>1</v>
      </c>
      <c r="AJ24" s="19">
        <f t="shared" si="42"/>
        <v>1</v>
      </c>
      <c r="AK24" s="19">
        <f t="shared" si="43"/>
        <v>1</v>
      </c>
      <c r="AL24" s="19">
        <f t="shared" si="44"/>
        <v>1</v>
      </c>
    </row>
    <row r="25" spans="1:38" ht="19.8" thickBot="1" x14ac:dyDescent="0.3">
      <c r="A25" s="4" t="s">
        <v>157</v>
      </c>
      <c r="B25" s="8">
        <v>0.5</v>
      </c>
      <c r="C25" s="15">
        <v>0.88</v>
      </c>
      <c r="D25" s="8">
        <v>0.88</v>
      </c>
      <c r="E25" s="10">
        <v>1.63</v>
      </c>
      <c r="F25" s="11">
        <v>2</v>
      </c>
      <c r="G25" s="12">
        <v>3.63</v>
      </c>
      <c r="H25" s="13">
        <v>1.63</v>
      </c>
      <c r="I25" s="14">
        <v>8</v>
      </c>
      <c r="J25" s="14" t="s">
        <v>10</v>
      </c>
      <c r="K25" s="5" t="s">
        <v>163</v>
      </c>
      <c r="L25" s="6">
        <v>0.41666666666666669</v>
      </c>
      <c r="M25" s="7" t="s">
        <v>164</v>
      </c>
      <c r="N25" s="14" t="s">
        <v>11</v>
      </c>
      <c r="O25" s="14">
        <v>9</v>
      </c>
      <c r="P25" s="13">
        <v>0.89</v>
      </c>
      <c r="Q25" s="12">
        <v>2.67</v>
      </c>
      <c r="R25" s="11">
        <v>1.1100000000000001</v>
      </c>
      <c r="S25" s="10">
        <v>1.56</v>
      </c>
      <c r="T25" s="8">
        <v>0.67</v>
      </c>
      <c r="U25" s="15">
        <v>0.56000000000000005</v>
      </c>
      <c r="V25" s="8">
        <v>0.33</v>
      </c>
      <c r="W25" s="17"/>
      <c r="X25" s="18">
        <f t="shared" si="30"/>
        <v>1.78</v>
      </c>
      <c r="Y25" s="18">
        <f t="shared" si="31"/>
        <v>1.37</v>
      </c>
      <c r="Z25" s="18">
        <f t="shared" si="32"/>
        <v>3.1500000000000004</v>
      </c>
      <c r="AA25" s="18">
        <f t="shared" si="33"/>
        <v>0.40999999999999992</v>
      </c>
      <c r="AB25" s="24">
        <f t="shared" si="34"/>
        <v>1</v>
      </c>
      <c r="AC25" s="24">
        <f t="shared" si="35"/>
        <v>5</v>
      </c>
      <c r="AD25" s="19">
        <f t="shared" si="36"/>
        <v>0</v>
      </c>
      <c r="AE25" s="19">
        <f t="shared" si="37"/>
        <v>1</v>
      </c>
      <c r="AF25" s="19">
        <f t="shared" si="38"/>
        <v>1</v>
      </c>
      <c r="AG25" s="19">
        <f t="shared" si="39"/>
        <v>1</v>
      </c>
      <c r="AH25" s="19">
        <f t="shared" si="40"/>
        <v>1</v>
      </c>
      <c r="AI25" s="19">
        <f t="shared" si="41"/>
        <v>0</v>
      </c>
      <c r="AJ25" s="19">
        <f t="shared" si="42"/>
        <v>1</v>
      </c>
      <c r="AK25" s="19">
        <f t="shared" si="43"/>
        <v>1</v>
      </c>
      <c r="AL25" s="19">
        <f t="shared" si="44"/>
        <v>1</v>
      </c>
    </row>
    <row r="26" spans="1:38" ht="19.8" thickBot="1" x14ac:dyDescent="0.3">
      <c r="A26" s="4" t="s">
        <v>157</v>
      </c>
      <c r="B26" s="8">
        <v>0.17</v>
      </c>
      <c r="C26" s="15">
        <v>0.83</v>
      </c>
      <c r="D26" s="8">
        <v>0.83</v>
      </c>
      <c r="E26" s="10">
        <v>1.67</v>
      </c>
      <c r="F26" s="11">
        <v>1.17</v>
      </c>
      <c r="G26" s="12">
        <v>2.83</v>
      </c>
      <c r="H26" s="13">
        <v>1.5</v>
      </c>
      <c r="I26" s="14">
        <v>6</v>
      </c>
      <c r="J26" s="14" t="s">
        <v>10</v>
      </c>
      <c r="K26" s="5" t="s">
        <v>165</v>
      </c>
      <c r="L26" s="6">
        <v>0.375</v>
      </c>
      <c r="M26" s="7" t="s">
        <v>166</v>
      </c>
      <c r="N26" s="14" t="s">
        <v>11</v>
      </c>
      <c r="O26" s="14">
        <v>7</v>
      </c>
      <c r="P26" s="13">
        <v>1.1399999999999999</v>
      </c>
      <c r="Q26" s="12">
        <v>3.14</v>
      </c>
      <c r="R26" s="11">
        <v>1.57</v>
      </c>
      <c r="S26" s="10">
        <v>1.57</v>
      </c>
      <c r="T26" s="8">
        <v>0.71</v>
      </c>
      <c r="U26" s="15">
        <v>0.56999999999999995</v>
      </c>
      <c r="V26" s="8">
        <v>0.43</v>
      </c>
      <c r="W26" s="17"/>
      <c r="X26" s="18">
        <f t="shared" si="30"/>
        <v>1.37</v>
      </c>
      <c r="Y26" s="18">
        <f t="shared" si="31"/>
        <v>1.62</v>
      </c>
      <c r="Z26" s="18">
        <f t="shared" si="32"/>
        <v>2.99</v>
      </c>
      <c r="AA26" s="18">
        <f t="shared" si="33"/>
        <v>0.25</v>
      </c>
      <c r="AB26" s="24">
        <f t="shared" si="34"/>
        <v>1</v>
      </c>
      <c r="AC26" s="24">
        <f t="shared" si="35"/>
        <v>3</v>
      </c>
      <c r="AD26" s="19">
        <f t="shared" si="36"/>
        <v>0</v>
      </c>
      <c r="AE26" s="19">
        <f t="shared" si="37"/>
        <v>0</v>
      </c>
      <c r="AF26" s="19">
        <f t="shared" si="38"/>
        <v>1</v>
      </c>
      <c r="AG26" s="19">
        <f t="shared" si="39"/>
        <v>1</v>
      </c>
      <c r="AH26" s="19">
        <f t="shared" si="40"/>
        <v>0</v>
      </c>
      <c r="AI26" s="19">
        <f t="shared" si="41"/>
        <v>0</v>
      </c>
      <c r="AJ26" s="19">
        <f t="shared" si="42"/>
        <v>0</v>
      </c>
      <c r="AK26" s="19">
        <f t="shared" si="43"/>
        <v>1</v>
      </c>
      <c r="AL26" s="19">
        <f t="shared" si="44"/>
        <v>1</v>
      </c>
    </row>
    <row r="27" spans="1:38" ht="19.8" thickBot="1" x14ac:dyDescent="0.3">
      <c r="A27" s="4" t="s">
        <v>157</v>
      </c>
      <c r="B27" s="8">
        <v>0.28999999999999998</v>
      </c>
      <c r="C27" s="15">
        <v>0.71</v>
      </c>
      <c r="D27" s="8">
        <v>0.71</v>
      </c>
      <c r="E27" s="10">
        <v>1.86</v>
      </c>
      <c r="F27" s="11">
        <v>0.86</v>
      </c>
      <c r="G27" s="12">
        <v>2.71</v>
      </c>
      <c r="H27" s="13">
        <v>0.56999999999999995</v>
      </c>
      <c r="I27" s="14">
        <v>7</v>
      </c>
      <c r="J27" s="14" t="s">
        <v>10</v>
      </c>
      <c r="K27" s="5" t="s">
        <v>167</v>
      </c>
      <c r="L27" s="6">
        <v>0.375</v>
      </c>
      <c r="M27" s="7" t="s">
        <v>168</v>
      </c>
      <c r="N27" s="14" t="s">
        <v>11</v>
      </c>
      <c r="O27" s="14">
        <v>7</v>
      </c>
      <c r="P27" s="13">
        <v>1.86</v>
      </c>
      <c r="Q27" s="12">
        <v>4.1399999999999997</v>
      </c>
      <c r="R27" s="11">
        <v>2.57</v>
      </c>
      <c r="S27" s="10">
        <v>1.57</v>
      </c>
      <c r="T27" s="8">
        <v>0.86</v>
      </c>
      <c r="U27" s="15">
        <v>0.86</v>
      </c>
      <c r="V27" s="8">
        <v>0.71</v>
      </c>
      <c r="W27" s="17"/>
      <c r="X27" s="18">
        <f t="shared" si="30"/>
        <v>1.2150000000000001</v>
      </c>
      <c r="Y27" s="18">
        <f t="shared" si="31"/>
        <v>2.2149999999999999</v>
      </c>
      <c r="Z27" s="18">
        <f t="shared" si="32"/>
        <v>3.4299999999999997</v>
      </c>
      <c r="AA27" s="18">
        <f t="shared" si="33"/>
        <v>0.99999999999999978</v>
      </c>
      <c r="AB27" s="24">
        <f t="shared" si="34"/>
        <v>1</v>
      </c>
      <c r="AC27" s="24">
        <f t="shared" si="35"/>
        <v>5</v>
      </c>
      <c r="AD27" s="19">
        <f t="shared" si="36"/>
        <v>0</v>
      </c>
      <c r="AE27" s="19">
        <f t="shared" si="37"/>
        <v>1</v>
      </c>
      <c r="AF27" s="19">
        <f t="shared" si="38"/>
        <v>1</v>
      </c>
      <c r="AG27" s="19">
        <f t="shared" si="39"/>
        <v>1</v>
      </c>
      <c r="AH27" s="19">
        <f t="shared" si="40"/>
        <v>1</v>
      </c>
      <c r="AI27" s="19">
        <f t="shared" si="41"/>
        <v>0</v>
      </c>
      <c r="AJ27" s="19">
        <f t="shared" si="42"/>
        <v>1</v>
      </c>
      <c r="AK27" s="19">
        <f t="shared" si="43"/>
        <v>1</v>
      </c>
      <c r="AL27" s="19">
        <f t="shared" si="44"/>
        <v>1</v>
      </c>
    </row>
    <row r="28" spans="1:38" ht="19.8" thickBot="1" x14ac:dyDescent="0.3">
      <c r="A28" s="4" t="s">
        <v>157</v>
      </c>
      <c r="B28" s="8">
        <v>0.43</v>
      </c>
      <c r="C28" s="9">
        <v>0.43</v>
      </c>
      <c r="D28" s="8">
        <v>0.86</v>
      </c>
      <c r="E28" s="10">
        <v>2.29</v>
      </c>
      <c r="F28" s="11">
        <v>0.71</v>
      </c>
      <c r="G28" s="12">
        <v>3</v>
      </c>
      <c r="H28" s="13">
        <v>0.28999999999999998</v>
      </c>
      <c r="I28" s="14">
        <v>7</v>
      </c>
      <c r="J28" s="14" t="s">
        <v>10</v>
      </c>
      <c r="K28" s="5" t="s">
        <v>169</v>
      </c>
      <c r="L28" s="6">
        <v>0.39583333333333331</v>
      </c>
      <c r="M28" s="7" t="s">
        <v>170</v>
      </c>
      <c r="N28" s="14" t="s">
        <v>11</v>
      </c>
      <c r="O28" s="14">
        <v>6</v>
      </c>
      <c r="P28" s="13">
        <v>0.83</v>
      </c>
      <c r="Q28" s="12">
        <v>1.33</v>
      </c>
      <c r="R28" s="11">
        <v>0.5</v>
      </c>
      <c r="S28" s="10">
        <v>0.83</v>
      </c>
      <c r="T28" s="8">
        <v>0.5</v>
      </c>
      <c r="U28" s="9">
        <v>0.17</v>
      </c>
      <c r="V28" s="8">
        <v>0.17</v>
      </c>
      <c r="W28" s="17"/>
      <c r="X28" s="18">
        <f t="shared" si="30"/>
        <v>0.77</v>
      </c>
      <c r="Y28" s="18">
        <f t="shared" si="31"/>
        <v>1.395</v>
      </c>
      <c r="Z28" s="18">
        <f t="shared" si="32"/>
        <v>2.165</v>
      </c>
      <c r="AA28" s="18">
        <f t="shared" si="33"/>
        <v>0.625</v>
      </c>
      <c r="AB28" s="24">
        <f t="shared" si="34"/>
        <v>0</v>
      </c>
      <c r="AC28" s="24">
        <f t="shared" si="35"/>
        <v>4</v>
      </c>
      <c r="AD28" s="19">
        <f t="shared" si="36"/>
        <v>0</v>
      </c>
      <c r="AE28" s="19">
        <f t="shared" si="37"/>
        <v>0</v>
      </c>
      <c r="AF28" s="19">
        <f t="shared" si="38"/>
        <v>0</v>
      </c>
      <c r="AG28" s="19">
        <f t="shared" si="39"/>
        <v>1</v>
      </c>
      <c r="AH28" s="19">
        <f t="shared" si="40"/>
        <v>0</v>
      </c>
      <c r="AI28" s="19">
        <f t="shared" si="41"/>
        <v>1</v>
      </c>
      <c r="AJ28" s="19">
        <f t="shared" si="42"/>
        <v>1</v>
      </c>
      <c r="AK28" s="19">
        <f t="shared" si="43"/>
        <v>1</v>
      </c>
      <c r="AL28" s="19">
        <f t="shared" si="44"/>
        <v>0</v>
      </c>
    </row>
    <row r="29" spans="1:38" ht="19.8" thickBot="1" x14ac:dyDescent="0.3">
      <c r="A29" s="4" t="s">
        <v>157</v>
      </c>
      <c r="B29" s="8">
        <v>0</v>
      </c>
      <c r="C29" s="9">
        <v>0.43</v>
      </c>
      <c r="D29" s="8">
        <v>0.56999999999999995</v>
      </c>
      <c r="E29" s="10">
        <v>1.29</v>
      </c>
      <c r="F29" s="11">
        <v>0.71</v>
      </c>
      <c r="G29" s="12">
        <v>2</v>
      </c>
      <c r="H29" s="13">
        <v>1</v>
      </c>
      <c r="I29" s="14">
        <v>7</v>
      </c>
      <c r="J29" s="14" t="s">
        <v>10</v>
      </c>
      <c r="K29" s="5" t="s">
        <v>171</v>
      </c>
      <c r="L29" s="6">
        <v>0.39583333333333331</v>
      </c>
      <c r="M29" s="7" t="s">
        <v>172</v>
      </c>
      <c r="N29" s="14" t="s">
        <v>11</v>
      </c>
      <c r="O29" s="14">
        <v>7</v>
      </c>
      <c r="P29" s="13">
        <v>1.86</v>
      </c>
      <c r="Q29" s="12">
        <v>2.57</v>
      </c>
      <c r="R29" s="11">
        <v>1.57</v>
      </c>
      <c r="S29" s="10">
        <v>1</v>
      </c>
      <c r="T29" s="8">
        <v>0.71</v>
      </c>
      <c r="U29" s="9">
        <v>0.43</v>
      </c>
      <c r="V29" s="8">
        <v>0.14000000000000001</v>
      </c>
      <c r="W29" s="17"/>
      <c r="X29" s="18">
        <f t="shared" si="30"/>
        <v>0.85499999999999998</v>
      </c>
      <c r="Y29" s="18">
        <f t="shared" si="31"/>
        <v>1.4300000000000002</v>
      </c>
      <c r="Z29" s="18">
        <f t="shared" si="32"/>
        <v>2.2850000000000001</v>
      </c>
      <c r="AA29" s="18">
        <f t="shared" si="33"/>
        <v>0.57500000000000018</v>
      </c>
      <c r="AB29" s="24">
        <f t="shared" si="34"/>
        <v>0</v>
      </c>
      <c r="AC29" s="24">
        <f t="shared" si="35"/>
        <v>4</v>
      </c>
      <c r="AD29" s="19">
        <f t="shared" si="36"/>
        <v>0</v>
      </c>
      <c r="AE29" s="19">
        <f t="shared" si="37"/>
        <v>0</v>
      </c>
      <c r="AF29" s="19">
        <f t="shared" si="38"/>
        <v>0</v>
      </c>
      <c r="AG29" s="19">
        <f t="shared" si="39"/>
        <v>1</v>
      </c>
      <c r="AH29" s="19">
        <f t="shared" si="40"/>
        <v>1</v>
      </c>
      <c r="AI29" s="19">
        <f t="shared" si="41"/>
        <v>1</v>
      </c>
      <c r="AJ29" s="19">
        <f t="shared" si="42"/>
        <v>1</v>
      </c>
      <c r="AK29" s="19">
        <f t="shared" si="43"/>
        <v>0</v>
      </c>
      <c r="AL29" s="19">
        <f t="shared" si="44"/>
        <v>0</v>
      </c>
    </row>
    <row r="30" spans="1:38" ht="13.8" thickBot="1" x14ac:dyDescent="0.3">
      <c r="A30" s="4" t="s">
        <v>88</v>
      </c>
      <c r="B30" s="8">
        <v>0.11</v>
      </c>
      <c r="C30" s="15">
        <v>0.56000000000000005</v>
      </c>
      <c r="D30" s="8">
        <v>0.89</v>
      </c>
      <c r="E30" s="10">
        <v>1.22</v>
      </c>
      <c r="F30" s="11">
        <v>1.33</v>
      </c>
      <c r="G30" s="12">
        <v>2.56</v>
      </c>
      <c r="H30" s="13">
        <v>1.33</v>
      </c>
      <c r="I30" s="14">
        <v>9</v>
      </c>
      <c r="J30" s="14" t="s">
        <v>10</v>
      </c>
      <c r="K30" s="5" t="s">
        <v>173</v>
      </c>
      <c r="L30" s="6">
        <v>0.91666666666666663</v>
      </c>
      <c r="M30" s="7" t="s">
        <v>174</v>
      </c>
      <c r="N30" s="14" t="s">
        <v>11</v>
      </c>
      <c r="O30" s="14">
        <v>8</v>
      </c>
      <c r="P30" s="13">
        <v>0.75</v>
      </c>
      <c r="Q30" s="12">
        <v>1.5</v>
      </c>
      <c r="R30" s="11">
        <v>0.38</v>
      </c>
      <c r="S30" s="10">
        <v>1.1299999999999999</v>
      </c>
      <c r="T30" s="8">
        <v>0.62</v>
      </c>
      <c r="U30" s="9">
        <v>0</v>
      </c>
      <c r="V30" s="8">
        <v>0</v>
      </c>
      <c r="W30" s="17"/>
      <c r="X30" s="18">
        <f t="shared" si="30"/>
        <v>1.23</v>
      </c>
      <c r="Y30" s="18">
        <f t="shared" si="31"/>
        <v>0.8</v>
      </c>
      <c r="Z30" s="18">
        <f t="shared" si="32"/>
        <v>2.0300000000000002</v>
      </c>
      <c r="AA30" s="18">
        <f t="shared" si="33"/>
        <v>0.42999999999999994</v>
      </c>
      <c r="AB30" s="24">
        <f t="shared" si="34"/>
        <v>0</v>
      </c>
      <c r="AC30" s="24">
        <f t="shared" si="35"/>
        <v>3</v>
      </c>
      <c r="AD30" s="19">
        <f t="shared" si="36"/>
        <v>0</v>
      </c>
      <c r="AE30" s="19">
        <f t="shared" si="37"/>
        <v>0</v>
      </c>
      <c r="AF30" s="19">
        <f t="shared" si="38"/>
        <v>0</v>
      </c>
      <c r="AG30" s="19">
        <f t="shared" si="39"/>
        <v>1</v>
      </c>
      <c r="AH30" s="19">
        <f t="shared" si="40"/>
        <v>0</v>
      </c>
      <c r="AI30" s="19">
        <f t="shared" si="41"/>
        <v>1</v>
      </c>
      <c r="AJ30" s="19">
        <f t="shared" si="42"/>
        <v>1</v>
      </c>
      <c r="AK30" s="19">
        <f t="shared" si="43"/>
        <v>0</v>
      </c>
      <c r="AL30" s="19">
        <f t="shared" si="44"/>
        <v>0</v>
      </c>
    </row>
    <row r="31" spans="1:38" ht="13.8" thickBot="1" x14ac:dyDescent="0.3">
      <c r="A31" s="4" t="s">
        <v>175</v>
      </c>
      <c r="B31" s="8">
        <v>0.38</v>
      </c>
      <c r="C31" s="15">
        <v>0.75</v>
      </c>
      <c r="D31" s="8">
        <v>0.88</v>
      </c>
      <c r="E31" s="10">
        <v>0.88</v>
      </c>
      <c r="F31" s="11">
        <v>2.5</v>
      </c>
      <c r="G31" s="12">
        <v>3.38</v>
      </c>
      <c r="H31" s="13">
        <v>1.88</v>
      </c>
      <c r="I31" s="14">
        <v>8</v>
      </c>
      <c r="J31" s="14" t="s">
        <v>10</v>
      </c>
      <c r="K31" s="5" t="s">
        <v>176</v>
      </c>
      <c r="L31" s="6">
        <v>0.58333333333333337</v>
      </c>
      <c r="M31" s="7" t="s">
        <v>177</v>
      </c>
      <c r="N31" s="14" t="s">
        <v>11</v>
      </c>
      <c r="O31" s="14">
        <v>9</v>
      </c>
      <c r="P31" s="13">
        <v>1.1100000000000001</v>
      </c>
      <c r="Q31" s="12">
        <v>4</v>
      </c>
      <c r="R31" s="11">
        <v>1.44</v>
      </c>
      <c r="S31" s="10">
        <v>2.56</v>
      </c>
      <c r="T31" s="8">
        <v>1</v>
      </c>
      <c r="U31" s="15">
        <v>0.89</v>
      </c>
      <c r="V31" s="8">
        <v>0.56000000000000005</v>
      </c>
      <c r="W31" s="17"/>
      <c r="X31" s="18">
        <f t="shared" si="30"/>
        <v>2.5300000000000002</v>
      </c>
      <c r="Y31" s="18">
        <f t="shared" si="31"/>
        <v>1.1599999999999999</v>
      </c>
      <c r="Z31" s="18">
        <f t="shared" si="32"/>
        <v>3.6900000000000004</v>
      </c>
      <c r="AA31" s="18">
        <f t="shared" si="33"/>
        <v>1.3700000000000003</v>
      </c>
      <c r="AB31" s="24">
        <f t="shared" si="34"/>
        <v>1</v>
      </c>
      <c r="AC31" s="24">
        <f t="shared" si="35"/>
        <v>5</v>
      </c>
      <c r="AD31" s="19">
        <f t="shared" si="36"/>
        <v>0</v>
      </c>
      <c r="AE31" s="19">
        <f t="shared" si="37"/>
        <v>1</v>
      </c>
      <c r="AF31" s="19">
        <f t="shared" si="38"/>
        <v>1</v>
      </c>
      <c r="AG31" s="19">
        <f t="shared" si="39"/>
        <v>1</v>
      </c>
      <c r="AH31" s="19">
        <f t="shared" si="40"/>
        <v>1</v>
      </c>
      <c r="AI31" s="19">
        <f t="shared" si="41"/>
        <v>1</v>
      </c>
      <c r="AJ31" s="19">
        <f t="shared" si="42"/>
        <v>0</v>
      </c>
      <c r="AK31" s="19">
        <f t="shared" si="43"/>
        <v>1</v>
      </c>
      <c r="AL31" s="19">
        <f t="shared" si="44"/>
        <v>1</v>
      </c>
    </row>
    <row r="32" spans="1:38" ht="13.8" thickBot="1" x14ac:dyDescent="0.3">
      <c r="A32" s="4" t="s">
        <v>87</v>
      </c>
      <c r="B32" s="8">
        <v>0.33</v>
      </c>
      <c r="C32" s="15">
        <v>0.67</v>
      </c>
      <c r="D32" s="8">
        <v>0.83</v>
      </c>
      <c r="E32" s="10">
        <v>1.33</v>
      </c>
      <c r="F32" s="11">
        <v>1.33</v>
      </c>
      <c r="G32" s="12">
        <v>2.67</v>
      </c>
      <c r="H32" s="13">
        <v>1.33</v>
      </c>
      <c r="I32" s="14">
        <v>6</v>
      </c>
      <c r="J32" s="14" t="s">
        <v>10</v>
      </c>
      <c r="K32" s="5" t="s">
        <v>178</v>
      </c>
      <c r="L32" s="6">
        <v>0.58333333333333337</v>
      </c>
      <c r="M32" s="7" t="s">
        <v>179</v>
      </c>
      <c r="N32" s="14" t="s">
        <v>11</v>
      </c>
      <c r="O32" s="14">
        <v>7</v>
      </c>
      <c r="P32" s="13">
        <v>0.28999999999999998</v>
      </c>
      <c r="Q32" s="12">
        <v>2</v>
      </c>
      <c r="R32" s="11">
        <v>0.43</v>
      </c>
      <c r="S32" s="10">
        <v>1.57</v>
      </c>
      <c r="T32" s="8">
        <v>0.56999999999999995</v>
      </c>
      <c r="U32" s="9">
        <v>0.28999999999999998</v>
      </c>
      <c r="V32" s="8">
        <v>0.14000000000000001</v>
      </c>
      <c r="W32" s="17"/>
      <c r="X32" s="18">
        <f t="shared" si="30"/>
        <v>1.4500000000000002</v>
      </c>
      <c r="Y32" s="18">
        <f t="shared" si="31"/>
        <v>0.88</v>
      </c>
      <c r="Z32" s="18">
        <f t="shared" si="32"/>
        <v>2.33</v>
      </c>
      <c r="AA32" s="18">
        <f t="shared" si="33"/>
        <v>0.57000000000000017</v>
      </c>
      <c r="AB32" s="24">
        <f t="shared" si="34"/>
        <v>0</v>
      </c>
      <c r="AC32" s="24">
        <f t="shared" si="35"/>
        <v>3</v>
      </c>
      <c r="AD32" s="19">
        <f t="shared" si="36"/>
        <v>0</v>
      </c>
      <c r="AE32" s="19">
        <f t="shared" si="37"/>
        <v>0</v>
      </c>
      <c r="AF32" s="19">
        <f t="shared" si="38"/>
        <v>0</v>
      </c>
      <c r="AG32" s="19">
        <f t="shared" si="39"/>
        <v>1</v>
      </c>
      <c r="AH32" s="19">
        <f t="shared" si="40"/>
        <v>0</v>
      </c>
      <c r="AI32" s="19">
        <f t="shared" si="41"/>
        <v>0</v>
      </c>
      <c r="AJ32" s="19">
        <f t="shared" si="42"/>
        <v>1</v>
      </c>
      <c r="AK32" s="19">
        <f t="shared" si="43"/>
        <v>1</v>
      </c>
      <c r="AL32" s="19">
        <f t="shared" si="44"/>
        <v>0</v>
      </c>
    </row>
    <row r="33" spans="1:38" ht="13.8" thickBot="1" x14ac:dyDescent="0.3">
      <c r="A33" s="4" t="s">
        <v>87</v>
      </c>
      <c r="B33" s="8">
        <v>0</v>
      </c>
      <c r="C33" s="9">
        <v>0.14000000000000001</v>
      </c>
      <c r="D33" s="8">
        <v>0.56999999999999995</v>
      </c>
      <c r="E33" s="10">
        <v>1.1399999999999999</v>
      </c>
      <c r="F33" s="11">
        <v>0.56999999999999995</v>
      </c>
      <c r="G33" s="12">
        <v>1.71</v>
      </c>
      <c r="H33" s="13">
        <v>0.56999999999999995</v>
      </c>
      <c r="I33" s="14">
        <v>7</v>
      </c>
      <c r="J33" s="14" t="s">
        <v>10</v>
      </c>
      <c r="K33" s="5" t="s">
        <v>180</v>
      </c>
      <c r="L33" s="6">
        <v>0.58333333333333337</v>
      </c>
      <c r="M33" s="7" t="s">
        <v>181</v>
      </c>
      <c r="N33" s="14" t="s">
        <v>11</v>
      </c>
      <c r="O33" s="14">
        <v>6</v>
      </c>
      <c r="P33" s="13">
        <v>1.67</v>
      </c>
      <c r="Q33" s="12">
        <v>1.5</v>
      </c>
      <c r="R33" s="11">
        <v>1</v>
      </c>
      <c r="S33" s="10">
        <v>0.5</v>
      </c>
      <c r="T33" s="8">
        <v>0.5</v>
      </c>
      <c r="U33" s="9">
        <v>0.17</v>
      </c>
      <c r="V33" s="8">
        <v>0</v>
      </c>
      <c r="W33" s="17"/>
      <c r="X33" s="18">
        <f t="shared" si="30"/>
        <v>0.53499999999999992</v>
      </c>
      <c r="Y33" s="18">
        <f t="shared" si="31"/>
        <v>1.0699999999999998</v>
      </c>
      <c r="Z33" s="18">
        <f t="shared" si="32"/>
        <v>1.6049999999999998</v>
      </c>
      <c r="AA33" s="18">
        <f t="shared" si="33"/>
        <v>0.53499999999999992</v>
      </c>
      <c r="AB33" s="24">
        <f t="shared" si="34"/>
        <v>0</v>
      </c>
      <c r="AC33" s="24">
        <f t="shared" si="35"/>
        <v>3</v>
      </c>
      <c r="AD33" s="19">
        <f t="shared" si="36"/>
        <v>0</v>
      </c>
      <c r="AE33" s="19">
        <f t="shared" si="37"/>
        <v>0</v>
      </c>
      <c r="AF33" s="19">
        <f t="shared" si="38"/>
        <v>0</v>
      </c>
      <c r="AG33" s="19">
        <f t="shared" si="39"/>
        <v>1</v>
      </c>
      <c r="AH33" s="19">
        <f t="shared" si="40"/>
        <v>0</v>
      </c>
      <c r="AI33" s="19">
        <f t="shared" si="41"/>
        <v>1</v>
      </c>
      <c r="AJ33" s="19">
        <f t="shared" si="42"/>
        <v>1</v>
      </c>
      <c r="AK33" s="19">
        <f t="shared" si="43"/>
        <v>0</v>
      </c>
      <c r="AL33" s="19">
        <f t="shared" si="44"/>
        <v>0</v>
      </c>
    </row>
    <row r="34" spans="1:38" ht="13.8" thickBot="1" x14ac:dyDescent="0.3">
      <c r="A34" s="4" t="s">
        <v>87</v>
      </c>
      <c r="B34" s="8">
        <v>0.33</v>
      </c>
      <c r="C34" s="9">
        <v>0.33</v>
      </c>
      <c r="D34" s="8">
        <v>0.83</v>
      </c>
      <c r="E34" s="10">
        <v>1.5</v>
      </c>
      <c r="F34" s="11">
        <v>1.33</v>
      </c>
      <c r="G34" s="12">
        <v>2.83</v>
      </c>
      <c r="H34" s="13">
        <v>1.5</v>
      </c>
      <c r="I34" s="14">
        <v>6</v>
      </c>
      <c r="J34" s="14" t="s">
        <v>10</v>
      </c>
      <c r="K34" s="5" t="s">
        <v>182</v>
      </c>
      <c r="L34" s="6">
        <v>0.5625</v>
      </c>
      <c r="M34" s="7" t="s">
        <v>183</v>
      </c>
      <c r="N34" s="14" t="s">
        <v>11</v>
      </c>
      <c r="O34" s="14">
        <v>5</v>
      </c>
      <c r="P34" s="13">
        <v>2.2000000000000002</v>
      </c>
      <c r="Q34" s="12">
        <v>3.4</v>
      </c>
      <c r="R34" s="11">
        <v>2.4</v>
      </c>
      <c r="S34" s="10">
        <v>1</v>
      </c>
      <c r="T34" s="8">
        <v>1</v>
      </c>
      <c r="U34" s="15">
        <v>0.6</v>
      </c>
      <c r="V34" s="8">
        <v>0.2</v>
      </c>
      <c r="W34" s="17"/>
      <c r="X34" s="18">
        <f t="shared" si="30"/>
        <v>1.165</v>
      </c>
      <c r="Y34" s="18">
        <f t="shared" si="31"/>
        <v>1.95</v>
      </c>
      <c r="Z34" s="18">
        <f t="shared" si="32"/>
        <v>3.1150000000000002</v>
      </c>
      <c r="AA34" s="18">
        <f t="shared" si="33"/>
        <v>0.78499999999999992</v>
      </c>
      <c r="AB34" s="24">
        <f t="shared" si="34"/>
        <v>0</v>
      </c>
      <c r="AC34" s="24">
        <f t="shared" si="35"/>
        <v>5</v>
      </c>
      <c r="AD34" s="19">
        <f t="shared" si="36"/>
        <v>0</v>
      </c>
      <c r="AE34" s="19">
        <f t="shared" si="37"/>
        <v>0</v>
      </c>
      <c r="AF34" s="19">
        <f t="shared" si="38"/>
        <v>0</v>
      </c>
      <c r="AG34" s="19">
        <f t="shared" si="39"/>
        <v>1</v>
      </c>
      <c r="AH34" s="19">
        <f t="shared" si="40"/>
        <v>1</v>
      </c>
      <c r="AI34" s="19">
        <f t="shared" si="41"/>
        <v>1</v>
      </c>
      <c r="AJ34" s="19">
        <f t="shared" si="42"/>
        <v>1</v>
      </c>
      <c r="AK34" s="19">
        <f t="shared" si="43"/>
        <v>1</v>
      </c>
      <c r="AL34" s="19">
        <f t="shared" si="44"/>
        <v>0</v>
      </c>
    </row>
    <row r="35" spans="1:38" ht="13.8" thickBot="1" x14ac:dyDescent="0.3">
      <c r="A35" s="4" t="s">
        <v>87</v>
      </c>
      <c r="B35" s="8">
        <v>0.83</v>
      </c>
      <c r="C35" s="15">
        <v>0.83</v>
      </c>
      <c r="D35" s="8">
        <v>1</v>
      </c>
      <c r="E35" s="10">
        <v>3</v>
      </c>
      <c r="F35" s="11">
        <v>3</v>
      </c>
      <c r="G35" s="12">
        <v>6</v>
      </c>
      <c r="H35" s="13">
        <v>1.5</v>
      </c>
      <c r="I35" s="14">
        <v>6</v>
      </c>
      <c r="J35" s="14" t="s">
        <v>10</v>
      </c>
      <c r="K35" s="5" t="s">
        <v>184</v>
      </c>
      <c r="L35" s="6">
        <v>0.5625</v>
      </c>
      <c r="M35" s="7" t="s">
        <v>185</v>
      </c>
      <c r="N35" s="14" t="s">
        <v>11</v>
      </c>
      <c r="O35" s="14">
        <v>6</v>
      </c>
      <c r="P35" s="13">
        <v>1.17</v>
      </c>
      <c r="Q35" s="12">
        <v>3.67</v>
      </c>
      <c r="R35" s="11">
        <v>1.67</v>
      </c>
      <c r="S35" s="10">
        <v>2</v>
      </c>
      <c r="T35" s="8">
        <v>0.83</v>
      </c>
      <c r="U35" s="15">
        <v>0.67</v>
      </c>
      <c r="V35" s="8">
        <v>0.5</v>
      </c>
      <c r="W35" s="17"/>
      <c r="X35" s="18">
        <f t="shared" si="30"/>
        <v>2.5</v>
      </c>
      <c r="Y35" s="18">
        <f t="shared" si="31"/>
        <v>2.335</v>
      </c>
      <c r="Z35" s="18">
        <f t="shared" si="32"/>
        <v>4.835</v>
      </c>
      <c r="AA35" s="18">
        <f t="shared" si="33"/>
        <v>0.16500000000000004</v>
      </c>
      <c r="AB35" s="24">
        <f t="shared" si="34"/>
        <v>1</v>
      </c>
      <c r="AC35" s="24">
        <f t="shared" si="35"/>
        <v>4</v>
      </c>
      <c r="AD35" s="19">
        <f t="shared" si="36"/>
        <v>0</v>
      </c>
      <c r="AE35" s="19">
        <f t="shared" si="37"/>
        <v>1</v>
      </c>
      <c r="AF35" s="19">
        <f t="shared" si="38"/>
        <v>1</v>
      </c>
      <c r="AG35" s="19">
        <f t="shared" si="39"/>
        <v>1</v>
      </c>
      <c r="AH35" s="19">
        <f t="shared" si="40"/>
        <v>1</v>
      </c>
      <c r="AI35" s="19">
        <f t="shared" si="41"/>
        <v>0</v>
      </c>
      <c r="AJ35" s="19">
        <f t="shared" si="42"/>
        <v>0</v>
      </c>
      <c r="AK35" s="19">
        <f t="shared" si="43"/>
        <v>1</v>
      </c>
      <c r="AL35" s="19">
        <f t="shared" si="44"/>
        <v>1</v>
      </c>
    </row>
    <row r="36" spans="1:38" ht="13.8" thickBot="1" x14ac:dyDescent="0.3">
      <c r="A36" s="4" t="s">
        <v>86</v>
      </c>
      <c r="B36" s="8">
        <v>0.17</v>
      </c>
      <c r="C36" s="15">
        <v>0.67</v>
      </c>
      <c r="D36" s="8">
        <v>1</v>
      </c>
      <c r="E36" s="10">
        <v>1</v>
      </c>
      <c r="F36" s="11">
        <v>1.83</v>
      </c>
      <c r="G36" s="12">
        <v>2.83</v>
      </c>
      <c r="H36" s="13">
        <v>2</v>
      </c>
      <c r="I36" s="14">
        <v>6</v>
      </c>
      <c r="J36" s="14" t="s">
        <v>10</v>
      </c>
      <c r="K36" s="5" t="s">
        <v>186</v>
      </c>
      <c r="L36" s="6">
        <v>0.71875</v>
      </c>
      <c r="M36" s="7" t="s">
        <v>187</v>
      </c>
      <c r="N36" s="14" t="s">
        <v>11</v>
      </c>
      <c r="O36" s="14">
        <v>6</v>
      </c>
      <c r="P36" s="13">
        <v>0.67</v>
      </c>
      <c r="Q36" s="12">
        <v>2</v>
      </c>
      <c r="R36" s="11">
        <v>0.67</v>
      </c>
      <c r="S36" s="10">
        <v>1.33</v>
      </c>
      <c r="T36" s="8">
        <v>0.83</v>
      </c>
      <c r="U36" s="9">
        <v>0.33</v>
      </c>
      <c r="V36" s="8">
        <v>0</v>
      </c>
      <c r="W36" s="17"/>
      <c r="X36" s="18">
        <f t="shared" si="30"/>
        <v>1.58</v>
      </c>
      <c r="Y36" s="18">
        <f t="shared" si="31"/>
        <v>0.83499999999999996</v>
      </c>
      <c r="Z36" s="18">
        <f t="shared" si="32"/>
        <v>2.415</v>
      </c>
      <c r="AA36" s="18">
        <f t="shared" si="33"/>
        <v>0.74500000000000011</v>
      </c>
      <c r="AB36" s="24">
        <f t="shared" si="34"/>
        <v>0</v>
      </c>
      <c r="AC36" s="24">
        <f t="shared" si="35"/>
        <v>5</v>
      </c>
      <c r="AD36" s="19">
        <f t="shared" si="36"/>
        <v>0</v>
      </c>
      <c r="AE36" s="19">
        <f t="shared" si="37"/>
        <v>0</v>
      </c>
      <c r="AF36" s="19">
        <f t="shared" si="38"/>
        <v>0</v>
      </c>
      <c r="AG36" s="19">
        <f t="shared" si="39"/>
        <v>1</v>
      </c>
      <c r="AH36" s="19">
        <f t="shared" si="40"/>
        <v>1</v>
      </c>
      <c r="AI36" s="19">
        <f t="shared" si="41"/>
        <v>1</v>
      </c>
      <c r="AJ36" s="19">
        <f t="shared" si="42"/>
        <v>1</v>
      </c>
      <c r="AK36" s="19">
        <f t="shared" si="43"/>
        <v>0</v>
      </c>
      <c r="AL36" s="19">
        <f t="shared" si="44"/>
        <v>1</v>
      </c>
    </row>
    <row r="37" spans="1:38" ht="19.8" thickBot="1" x14ac:dyDescent="0.3">
      <c r="A37" s="4" t="s">
        <v>86</v>
      </c>
      <c r="B37" s="8">
        <v>0.83</v>
      </c>
      <c r="C37" s="15">
        <v>0.83</v>
      </c>
      <c r="D37" s="8">
        <v>0.83</v>
      </c>
      <c r="E37" s="10">
        <v>1.17</v>
      </c>
      <c r="F37" s="11">
        <v>3.17</v>
      </c>
      <c r="G37" s="12">
        <v>4.33</v>
      </c>
      <c r="H37" s="13">
        <v>2.67</v>
      </c>
      <c r="I37" s="14">
        <v>6</v>
      </c>
      <c r="J37" s="14" t="s">
        <v>10</v>
      </c>
      <c r="K37" s="5" t="s">
        <v>188</v>
      </c>
      <c r="L37" s="6">
        <v>0.71875</v>
      </c>
      <c r="M37" s="7" t="s">
        <v>189</v>
      </c>
      <c r="N37" s="14" t="s">
        <v>11</v>
      </c>
      <c r="O37" s="14">
        <v>5</v>
      </c>
      <c r="P37" s="13">
        <v>0</v>
      </c>
      <c r="Q37" s="12">
        <v>3.6</v>
      </c>
      <c r="R37" s="11">
        <v>1</v>
      </c>
      <c r="S37" s="10">
        <v>2.6</v>
      </c>
      <c r="T37" s="8">
        <v>0.8</v>
      </c>
      <c r="U37" s="15">
        <v>0.6</v>
      </c>
      <c r="V37" s="8">
        <v>0.6</v>
      </c>
      <c r="W37" s="17"/>
      <c r="X37" s="18">
        <f t="shared" si="30"/>
        <v>2.8849999999999998</v>
      </c>
      <c r="Y37" s="18">
        <f t="shared" si="31"/>
        <v>1.085</v>
      </c>
      <c r="Z37" s="18">
        <f t="shared" si="32"/>
        <v>3.9699999999999998</v>
      </c>
      <c r="AA37" s="18">
        <f t="shared" si="33"/>
        <v>1.7999999999999998</v>
      </c>
      <c r="AB37" s="24">
        <f t="shared" si="34"/>
        <v>1</v>
      </c>
      <c r="AC37" s="24">
        <f t="shared" si="35"/>
        <v>6</v>
      </c>
      <c r="AD37" s="19">
        <f t="shared" si="36"/>
        <v>1</v>
      </c>
      <c r="AE37" s="19">
        <f t="shared" si="37"/>
        <v>1</v>
      </c>
      <c r="AF37" s="19">
        <f t="shared" si="38"/>
        <v>1</v>
      </c>
      <c r="AG37" s="19">
        <f t="shared" si="39"/>
        <v>1</v>
      </c>
      <c r="AH37" s="19">
        <f t="shared" si="40"/>
        <v>1</v>
      </c>
      <c r="AI37" s="19">
        <f t="shared" si="41"/>
        <v>1</v>
      </c>
      <c r="AJ37" s="19">
        <f t="shared" si="42"/>
        <v>1</v>
      </c>
      <c r="AK37" s="19">
        <f t="shared" si="43"/>
        <v>1</v>
      </c>
      <c r="AL37" s="19">
        <f t="shared" si="44"/>
        <v>1</v>
      </c>
    </row>
    <row r="38" spans="1:38" ht="13.8" thickBot="1" x14ac:dyDescent="0.3">
      <c r="A38" s="4" t="s">
        <v>86</v>
      </c>
      <c r="B38" s="8">
        <v>0.71</v>
      </c>
      <c r="C38" s="15">
        <v>0.86</v>
      </c>
      <c r="D38" s="8">
        <v>0.86</v>
      </c>
      <c r="E38" s="10">
        <v>2.71</v>
      </c>
      <c r="F38" s="11">
        <v>1.57</v>
      </c>
      <c r="G38" s="12">
        <v>4.29</v>
      </c>
      <c r="H38" s="13">
        <v>1.29</v>
      </c>
      <c r="I38" s="14">
        <v>7</v>
      </c>
      <c r="J38" s="14" t="s">
        <v>10</v>
      </c>
      <c r="K38" s="5" t="s">
        <v>190</v>
      </c>
      <c r="L38" s="6">
        <v>0.71875</v>
      </c>
      <c r="M38" s="7" t="s">
        <v>191</v>
      </c>
      <c r="N38" s="14" t="s">
        <v>11</v>
      </c>
      <c r="O38" s="14">
        <v>6</v>
      </c>
      <c r="P38" s="13">
        <v>1.33</v>
      </c>
      <c r="Q38" s="12">
        <v>5.17</v>
      </c>
      <c r="R38" s="11">
        <v>2.5</v>
      </c>
      <c r="S38" s="10">
        <v>2.67</v>
      </c>
      <c r="T38" s="8">
        <v>1</v>
      </c>
      <c r="U38" s="15">
        <v>1</v>
      </c>
      <c r="V38" s="8">
        <v>1</v>
      </c>
      <c r="W38" s="17"/>
      <c r="X38" s="18">
        <f t="shared" si="30"/>
        <v>2.12</v>
      </c>
      <c r="Y38" s="18">
        <f t="shared" si="31"/>
        <v>2.605</v>
      </c>
      <c r="Z38" s="18">
        <f t="shared" si="32"/>
        <v>4.7249999999999996</v>
      </c>
      <c r="AA38" s="18">
        <f t="shared" si="33"/>
        <v>0.48499999999999988</v>
      </c>
      <c r="AB38" s="24">
        <f t="shared" si="34"/>
        <v>1</v>
      </c>
      <c r="AC38" s="24">
        <f t="shared" si="35"/>
        <v>4</v>
      </c>
      <c r="AD38" s="19">
        <f t="shared" si="36"/>
        <v>0</v>
      </c>
      <c r="AE38" s="19">
        <f t="shared" si="37"/>
        <v>0</v>
      </c>
      <c r="AF38" s="19">
        <f t="shared" si="38"/>
        <v>1</v>
      </c>
      <c r="AG38" s="19">
        <f t="shared" si="39"/>
        <v>1</v>
      </c>
      <c r="AH38" s="19">
        <f t="shared" si="40"/>
        <v>1</v>
      </c>
      <c r="AI38" s="19">
        <f t="shared" si="41"/>
        <v>0</v>
      </c>
      <c r="AJ38" s="19">
        <f t="shared" si="42"/>
        <v>0</v>
      </c>
      <c r="AK38" s="19">
        <f t="shared" si="43"/>
        <v>1</v>
      </c>
      <c r="AL38" s="19">
        <f t="shared" si="44"/>
        <v>1</v>
      </c>
    </row>
    <row r="39" spans="1:38" ht="19.8" thickBot="1" x14ac:dyDescent="0.3">
      <c r="A39" s="4" t="s">
        <v>86</v>
      </c>
      <c r="B39" s="8">
        <v>0.4</v>
      </c>
      <c r="C39" s="9">
        <v>0.4</v>
      </c>
      <c r="D39" s="8">
        <v>1</v>
      </c>
      <c r="E39" s="10">
        <v>1.8</v>
      </c>
      <c r="F39" s="11">
        <v>2</v>
      </c>
      <c r="G39" s="12">
        <v>3.8</v>
      </c>
      <c r="H39" s="13">
        <v>1.6</v>
      </c>
      <c r="I39" s="14">
        <v>5</v>
      </c>
      <c r="J39" s="14" t="s">
        <v>10</v>
      </c>
      <c r="K39" s="5" t="s">
        <v>192</v>
      </c>
      <c r="L39" s="6">
        <v>0.75</v>
      </c>
      <c r="M39" s="7" t="s">
        <v>193</v>
      </c>
      <c r="N39" s="14" t="s">
        <v>11</v>
      </c>
      <c r="O39" s="14">
        <v>6</v>
      </c>
      <c r="P39" s="13">
        <v>0.67</v>
      </c>
      <c r="Q39" s="12">
        <v>2.83</v>
      </c>
      <c r="R39" s="11">
        <v>0.67</v>
      </c>
      <c r="S39" s="10">
        <v>2.17</v>
      </c>
      <c r="T39" s="8">
        <v>0.67</v>
      </c>
      <c r="U39" s="15">
        <v>0.67</v>
      </c>
      <c r="V39" s="8">
        <v>0.33</v>
      </c>
      <c r="W39" s="17"/>
      <c r="X39" s="18">
        <f t="shared" si="30"/>
        <v>2.085</v>
      </c>
      <c r="Y39" s="18">
        <f t="shared" si="31"/>
        <v>1.2350000000000001</v>
      </c>
      <c r="Z39" s="18">
        <f t="shared" si="32"/>
        <v>3.3200000000000003</v>
      </c>
      <c r="AA39" s="18">
        <f t="shared" si="33"/>
        <v>0.84999999999999987</v>
      </c>
      <c r="AB39" s="24">
        <f t="shared" si="34"/>
        <v>0</v>
      </c>
      <c r="AC39" s="24">
        <f t="shared" si="35"/>
        <v>5</v>
      </c>
      <c r="AD39" s="19">
        <f t="shared" si="36"/>
        <v>0</v>
      </c>
      <c r="AE39" s="19">
        <f t="shared" si="37"/>
        <v>1</v>
      </c>
      <c r="AF39" s="19">
        <f t="shared" si="38"/>
        <v>1</v>
      </c>
      <c r="AG39" s="19">
        <f t="shared" si="39"/>
        <v>1</v>
      </c>
      <c r="AH39" s="19">
        <f t="shared" si="40"/>
        <v>1</v>
      </c>
      <c r="AI39" s="19">
        <f t="shared" si="41"/>
        <v>0</v>
      </c>
      <c r="AJ39" s="19">
        <f t="shared" si="42"/>
        <v>1</v>
      </c>
      <c r="AK39" s="19">
        <f t="shared" si="43"/>
        <v>1</v>
      </c>
      <c r="AL39" s="19">
        <f t="shared" si="44"/>
        <v>1</v>
      </c>
    </row>
    <row r="40" spans="1:38" ht="13.8" thickBot="1" x14ac:dyDescent="0.3">
      <c r="A40" s="4" t="s">
        <v>92</v>
      </c>
      <c r="B40" s="8">
        <v>0.6</v>
      </c>
      <c r="C40" s="15">
        <v>0.8</v>
      </c>
      <c r="D40" s="8">
        <v>0.8</v>
      </c>
      <c r="E40" s="10">
        <v>0.4</v>
      </c>
      <c r="F40" s="11">
        <v>3.2</v>
      </c>
      <c r="G40" s="12">
        <v>3.6</v>
      </c>
      <c r="H40" s="13">
        <v>2.4</v>
      </c>
      <c r="I40" s="14">
        <v>5</v>
      </c>
      <c r="J40" s="14" t="s">
        <v>10</v>
      </c>
      <c r="K40" s="5" t="s">
        <v>194</v>
      </c>
      <c r="L40" s="6">
        <v>0.63541666666666663</v>
      </c>
      <c r="M40" s="7" t="s">
        <v>195</v>
      </c>
      <c r="N40" s="14" t="s">
        <v>11</v>
      </c>
      <c r="O40" s="14">
        <v>6</v>
      </c>
      <c r="P40" s="13">
        <v>0.67</v>
      </c>
      <c r="Q40" s="12">
        <v>3.33</v>
      </c>
      <c r="R40" s="11">
        <v>1</v>
      </c>
      <c r="S40" s="10">
        <v>2.33</v>
      </c>
      <c r="T40" s="8">
        <v>1</v>
      </c>
      <c r="U40" s="15">
        <v>0.67</v>
      </c>
      <c r="V40" s="8">
        <v>0.5</v>
      </c>
      <c r="W40" s="17"/>
      <c r="X40" s="18">
        <f t="shared" si="30"/>
        <v>2.7650000000000001</v>
      </c>
      <c r="Y40" s="18">
        <f t="shared" si="31"/>
        <v>0.7</v>
      </c>
      <c r="Z40" s="18">
        <f t="shared" si="32"/>
        <v>3.4649999999999999</v>
      </c>
      <c r="AA40" s="18">
        <f t="shared" si="33"/>
        <v>2.0650000000000004</v>
      </c>
      <c r="AB40" s="24">
        <f t="shared" si="34"/>
        <v>1</v>
      </c>
      <c r="AC40" s="24">
        <f t="shared" si="35"/>
        <v>6</v>
      </c>
      <c r="AD40" s="19">
        <f t="shared" si="36"/>
        <v>1</v>
      </c>
      <c r="AE40" s="19">
        <f t="shared" si="37"/>
        <v>1</v>
      </c>
      <c r="AF40" s="19">
        <f t="shared" si="38"/>
        <v>1</v>
      </c>
      <c r="AG40" s="19">
        <f t="shared" si="39"/>
        <v>1</v>
      </c>
      <c r="AH40" s="19">
        <f t="shared" si="40"/>
        <v>1</v>
      </c>
      <c r="AI40" s="19">
        <f t="shared" si="41"/>
        <v>1</v>
      </c>
      <c r="AJ40" s="19">
        <f t="shared" si="42"/>
        <v>1</v>
      </c>
      <c r="AK40" s="19">
        <f t="shared" si="43"/>
        <v>1</v>
      </c>
      <c r="AL40" s="19">
        <f t="shared" si="44"/>
        <v>1</v>
      </c>
    </row>
    <row r="41" spans="1:38" ht="19.8" thickBot="1" x14ac:dyDescent="0.3">
      <c r="A41" s="4" t="s">
        <v>196</v>
      </c>
      <c r="B41" s="8">
        <v>0.2</v>
      </c>
      <c r="C41" s="15">
        <v>0.8</v>
      </c>
      <c r="D41" s="8">
        <v>0.8</v>
      </c>
      <c r="E41" s="10">
        <v>1</v>
      </c>
      <c r="F41" s="11">
        <v>2.2000000000000002</v>
      </c>
      <c r="G41" s="12">
        <v>3.2</v>
      </c>
      <c r="H41" s="13">
        <v>1.8</v>
      </c>
      <c r="I41" s="14">
        <v>5</v>
      </c>
      <c r="J41" s="14" t="s">
        <v>10</v>
      </c>
      <c r="K41" s="5" t="s">
        <v>197</v>
      </c>
      <c r="L41" s="6">
        <v>0.33333333333333331</v>
      </c>
      <c r="M41" s="7" t="s">
        <v>198</v>
      </c>
      <c r="N41" s="14" t="s">
        <v>11</v>
      </c>
      <c r="O41" s="14">
        <v>5</v>
      </c>
      <c r="P41" s="13">
        <v>2.4</v>
      </c>
      <c r="Q41" s="12">
        <v>1.8</v>
      </c>
      <c r="R41" s="11">
        <v>1.4</v>
      </c>
      <c r="S41" s="10">
        <v>0.4</v>
      </c>
      <c r="T41" s="8">
        <v>0.4</v>
      </c>
      <c r="U41" s="9">
        <v>0.2</v>
      </c>
      <c r="V41" s="8">
        <v>0.2</v>
      </c>
      <c r="W41" s="17"/>
      <c r="X41" s="18">
        <f t="shared" si="30"/>
        <v>1.3</v>
      </c>
      <c r="Y41" s="18">
        <f t="shared" si="31"/>
        <v>1.2</v>
      </c>
      <c r="Z41" s="18">
        <f t="shared" si="32"/>
        <v>2.5</v>
      </c>
      <c r="AA41" s="18">
        <f t="shared" si="33"/>
        <v>0.10000000000000009</v>
      </c>
      <c r="AB41" s="24">
        <f t="shared" si="34"/>
        <v>0</v>
      </c>
      <c r="AC41" s="24">
        <f t="shared" si="35"/>
        <v>2</v>
      </c>
      <c r="AD41" s="19">
        <f t="shared" si="36"/>
        <v>0</v>
      </c>
      <c r="AE41" s="19">
        <f t="shared" si="37"/>
        <v>0</v>
      </c>
      <c r="AF41" s="19">
        <f t="shared" si="38"/>
        <v>0</v>
      </c>
      <c r="AG41" s="19">
        <f t="shared" si="39"/>
        <v>0</v>
      </c>
      <c r="AH41" s="19">
        <f t="shared" si="40"/>
        <v>0</v>
      </c>
      <c r="AI41" s="19">
        <f t="shared" si="41"/>
        <v>1</v>
      </c>
      <c r="AJ41" s="19">
        <f t="shared" si="42"/>
        <v>0</v>
      </c>
      <c r="AK41" s="19">
        <f t="shared" si="43"/>
        <v>0</v>
      </c>
      <c r="AL41" s="19">
        <f t="shared" si="44"/>
        <v>1</v>
      </c>
    </row>
    <row r="42" spans="1:38" ht="19.8" thickBot="1" x14ac:dyDescent="0.3">
      <c r="A42" s="4" t="s">
        <v>199</v>
      </c>
      <c r="B42" s="8">
        <v>0.2</v>
      </c>
      <c r="C42" s="9">
        <v>0.4</v>
      </c>
      <c r="D42" s="8">
        <v>0.8</v>
      </c>
      <c r="E42" s="10">
        <v>1.6</v>
      </c>
      <c r="F42" s="11">
        <v>0.8</v>
      </c>
      <c r="G42" s="12">
        <v>2.4</v>
      </c>
      <c r="H42" s="13">
        <v>0.4</v>
      </c>
      <c r="I42" s="14">
        <v>5</v>
      </c>
      <c r="J42" s="14" t="s">
        <v>10</v>
      </c>
      <c r="K42" s="5" t="s">
        <v>200</v>
      </c>
      <c r="L42" s="6">
        <v>0.625</v>
      </c>
      <c r="M42" s="7" t="s">
        <v>201</v>
      </c>
      <c r="N42" s="14" t="s">
        <v>11</v>
      </c>
      <c r="O42" s="14">
        <v>7</v>
      </c>
      <c r="P42" s="13">
        <v>1.57</v>
      </c>
      <c r="Q42" s="12">
        <v>3.29</v>
      </c>
      <c r="R42" s="11">
        <v>1.57</v>
      </c>
      <c r="S42" s="10">
        <v>1.71</v>
      </c>
      <c r="T42" s="8">
        <v>1</v>
      </c>
      <c r="U42" s="15">
        <v>0.86</v>
      </c>
      <c r="V42" s="8">
        <v>0.43</v>
      </c>
      <c r="W42" s="17"/>
      <c r="X42" s="18">
        <f t="shared" si="30"/>
        <v>1.2549999999999999</v>
      </c>
      <c r="Y42" s="18">
        <f t="shared" si="31"/>
        <v>1.585</v>
      </c>
      <c r="Z42" s="18">
        <f t="shared" si="32"/>
        <v>2.84</v>
      </c>
      <c r="AA42" s="18">
        <f t="shared" si="33"/>
        <v>0.33000000000000007</v>
      </c>
      <c r="AB42" s="24">
        <f t="shared" si="34"/>
        <v>0</v>
      </c>
      <c r="AC42" s="24">
        <f t="shared" si="35"/>
        <v>5</v>
      </c>
      <c r="AD42" s="19">
        <f t="shared" si="36"/>
        <v>0</v>
      </c>
      <c r="AE42" s="19">
        <f t="shared" si="37"/>
        <v>1</v>
      </c>
      <c r="AF42" s="19">
        <f t="shared" si="38"/>
        <v>1</v>
      </c>
      <c r="AG42" s="19">
        <f t="shared" si="39"/>
        <v>1</v>
      </c>
      <c r="AH42" s="19">
        <f t="shared" si="40"/>
        <v>1</v>
      </c>
      <c r="AI42" s="19">
        <f t="shared" si="41"/>
        <v>0</v>
      </c>
      <c r="AJ42" s="19">
        <f t="shared" si="42"/>
        <v>1</v>
      </c>
      <c r="AK42" s="19">
        <f t="shared" si="43"/>
        <v>1</v>
      </c>
      <c r="AL42" s="19">
        <f t="shared" si="44"/>
        <v>1</v>
      </c>
    </row>
    <row r="43" spans="1:38" ht="13.8" thickBot="1" x14ac:dyDescent="0.3">
      <c r="A43" s="4" t="s">
        <v>199</v>
      </c>
      <c r="B43" s="8">
        <v>0</v>
      </c>
      <c r="C43" s="9">
        <v>0.4</v>
      </c>
      <c r="D43" s="8">
        <v>0.8</v>
      </c>
      <c r="E43" s="10">
        <v>1</v>
      </c>
      <c r="F43" s="11">
        <v>1.2</v>
      </c>
      <c r="G43" s="12">
        <v>2.2000000000000002</v>
      </c>
      <c r="H43" s="13">
        <v>1.2</v>
      </c>
      <c r="I43" s="14">
        <v>5</v>
      </c>
      <c r="J43" s="14" t="s">
        <v>10</v>
      </c>
      <c r="K43" s="5" t="s">
        <v>202</v>
      </c>
      <c r="L43" s="6">
        <v>0.625</v>
      </c>
      <c r="M43" s="7" t="s">
        <v>203</v>
      </c>
      <c r="N43" s="14" t="s">
        <v>11</v>
      </c>
      <c r="O43" s="14">
        <v>6</v>
      </c>
      <c r="P43" s="13">
        <v>2</v>
      </c>
      <c r="Q43" s="12">
        <v>3.5</v>
      </c>
      <c r="R43" s="11">
        <v>1.67</v>
      </c>
      <c r="S43" s="10">
        <v>1.83</v>
      </c>
      <c r="T43" s="8">
        <v>0.83</v>
      </c>
      <c r="U43" s="15">
        <v>0.83</v>
      </c>
      <c r="V43" s="8">
        <v>0.5</v>
      </c>
      <c r="W43" s="17"/>
      <c r="X43" s="18">
        <f t="shared" si="30"/>
        <v>1.5150000000000001</v>
      </c>
      <c r="Y43" s="18">
        <f t="shared" si="31"/>
        <v>1.335</v>
      </c>
      <c r="Z43" s="18">
        <f t="shared" si="32"/>
        <v>2.85</v>
      </c>
      <c r="AA43" s="18">
        <f t="shared" si="33"/>
        <v>0.18000000000000016</v>
      </c>
      <c r="AB43" s="24">
        <f t="shared" si="34"/>
        <v>0</v>
      </c>
      <c r="AC43" s="24">
        <f t="shared" si="35"/>
        <v>3</v>
      </c>
      <c r="AD43" s="19">
        <f t="shared" si="36"/>
        <v>0</v>
      </c>
      <c r="AE43" s="19">
        <f t="shared" si="37"/>
        <v>1</v>
      </c>
      <c r="AF43" s="19">
        <f t="shared" si="38"/>
        <v>1</v>
      </c>
      <c r="AG43" s="19">
        <f t="shared" si="39"/>
        <v>0</v>
      </c>
      <c r="AH43" s="19">
        <f t="shared" si="40"/>
        <v>1</v>
      </c>
      <c r="AI43" s="19">
        <f t="shared" si="41"/>
        <v>0</v>
      </c>
      <c r="AJ43" s="19">
        <f t="shared" si="42"/>
        <v>1</v>
      </c>
      <c r="AK43" s="19">
        <f t="shared" si="43"/>
        <v>0</v>
      </c>
      <c r="AL43" s="19">
        <f t="shared" si="44"/>
        <v>1</v>
      </c>
    </row>
    <row r="44" spans="1:38" ht="13.8" thickBot="1" x14ac:dyDescent="0.3">
      <c r="A44" s="4" t="s">
        <v>204</v>
      </c>
      <c r="B44" s="8">
        <v>0</v>
      </c>
      <c r="C44" s="9">
        <v>0.5</v>
      </c>
      <c r="D44" s="8">
        <v>0.5</v>
      </c>
      <c r="E44" s="10">
        <v>1</v>
      </c>
      <c r="F44" s="11">
        <v>0.5</v>
      </c>
      <c r="G44" s="12">
        <v>1.5</v>
      </c>
      <c r="H44" s="13">
        <v>0.5</v>
      </c>
      <c r="I44" s="14">
        <v>2</v>
      </c>
      <c r="J44" s="14" t="s">
        <v>10</v>
      </c>
      <c r="K44" s="5" t="s">
        <v>205</v>
      </c>
      <c r="L44" s="6">
        <v>0.66666666666666663</v>
      </c>
      <c r="M44" s="7" t="s">
        <v>206</v>
      </c>
      <c r="N44" s="14" t="s">
        <v>11</v>
      </c>
      <c r="O44" s="14">
        <v>2</v>
      </c>
      <c r="P44" s="13">
        <v>0.5</v>
      </c>
      <c r="Q44" s="12">
        <v>2.5</v>
      </c>
      <c r="R44" s="11">
        <v>1</v>
      </c>
      <c r="S44" s="10">
        <v>1.5</v>
      </c>
      <c r="T44" s="8">
        <v>1</v>
      </c>
      <c r="U44" s="9">
        <v>0.5</v>
      </c>
      <c r="V44" s="8">
        <v>0</v>
      </c>
      <c r="W44" s="17"/>
      <c r="X44" s="18">
        <f t="shared" si="30"/>
        <v>1</v>
      </c>
      <c r="Y44" s="18">
        <f t="shared" si="31"/>
        <v>1</v>
      </c>
      <c r="Z44" s="18">
        <f t="shared" si="32"/>
        <v>2</v>
      </c>
      <c r="AA44" s="18">
        <f t="shared" si="33"/>
        <v>0</v>
      </c>
      <c r="AB44" s="24">
        <f t="shared" si="34"/>
        <v>0</v>
      </c>
      <c r="AC44" s="24">
        <f t="shared" si="35"/>
        <v>3</v>
      </c>
      <c r="AD44" s="19">
        <f t="shared" si="36"/>
        <v>0</v>
      </c>
      <c r="AE44" s="19">
        <f t="shared" si="37"/>
        <v>0</v>
      </c>
      <c r="AF44" s="19">
        <f t="shared" si="38"/>
        <v>0</v>
      </c>
      <c r="AG44" s="19">
        <f t="shared" si="39"/>
        <v>1</v>
      </c>
      <c r="AH44" s="19">
        <f t="shared" si="40"/>
        <v>0</v>
      </c>
      <c r="AI44" s="19">
        <f t="shared" si="41"/>
        <v>0</v>
      </c>
      <c r="AJ44" s="19">
        <f t="shared" si="42"/>
        <v>1</v>
      </c>
      <c r="AK44" s="19">
        <f t="shared" si="43"/>
        <v>0</v>
      </c>
      <c r="AL44" s="19">
        <f t="shared" si="44"/>
        <v>1</v>
      </c>
    </row>
    <row r="45" spans="1:38" ht="13.8" thickBot="1" x14ac:dyDescent="0.3">
      <c r="A45" s="4" t="s">
        <v>204</v>
      </c>
      <c r="B45" s="8">
        <v>0</v>
      </c>
      <c r="C45" s="9">
        <v>0.5</v>
      </c>
      <c r="D45" s="8">
        <v>0.5</v>
      </c>
      <c r="E45" s="10">
        <v>0.5</v>
      </c>
      <c r="F45" s="11">
        <v>1.5</v>
      </c>
      <c r="G45" s="12">
        <v>2</v>
      </c>
      <c r="H45" s="13">
        <v>3</v>
      </c>
      <c r="I45" s="14">
        <v>2</v>
      </c>
      <c r="J45" s="14" t="s">
        <v>10</v>
      </c>
      <c r="K45" s="5" t="s">
        <v>207</v>
      </c>
      <c r="L45" s="6">
        <v>0.85416666666666663</v>
      </c>
      <c r="M45" s="7" t="s">
        <v>208</v>
      </c>
      <c r="N45" s="14" t="s">
        <v>11</v>
      </c>
      <c r="O45" s="14">
        <v>2</v>
      </c>
      <c r="P45" s="13">
        <v>2</v>
      </c>
      <c r="Q45" s="12">
        <v>3.5</v>
      </c>
      <c r="R45" s="11">
        <v>2.5</v>
      </c>
      <c r="S45" s="10">
        <v>1</v>
      </c>
      <c r="T45" s="8">
        <v>0.5</v>
      </c>
      <c r="U45" s="9">
        <v>0.5</v>
      </c>
      <c r="V45" s="8">
        <v>0.5</v>
      </c>
      <c r="W45" s="17"/>
      <c r="X45" s="18">
        <f t="shared" si="30"/>
        <v>1.25</v>
      </c>
      <c r="Y45" s="18">
        <f t="shared" si="31"/>
        <v>1.5</v>
      </c>
      <c r="Z45" s="18">
        <f t="shared" si="32"/>
        <v>2.75</v>
      </c>
      <c r="AA45" s="18">
        <f t="shared" si="33"/>
        <v>0.25</v>
      </c>
      <c r="AB45" s="24">
        <f t="shared" si="34"/>
        <v>0</v>
      </c>
      <c r="AC45" s="24">
        <f t="shared" si="35"/>
        <v>3</v>
      </c>
      <c r="AD45" s="19">
        <f t="shared" si="36"/>
        <v>0</v>
      </c>
      <c r="AE45" s="19">
        <f t="shared" si="37"/>
        <v>0</v>
      </c>
      <c r="AF45" s="19">
        <f t="shared" si="38"/>
        <v>0</v>
      </c>
      <c r="AG45" s="19">
        <f t="shared" si="39"/>
        <v>0</v>
      </c>
      <c r="AH45" s="19">
        <f t="shared" si="40"/>
        <v>1</v>
      </c>
      <c r="AI45" s="19">
        <f t="shared" si="41"/>
        <v>1</v>
      </c>
      <c r="AJ45" s="19">
        <f t="shared" si="42"/>
        <v>0</v>
      </c>
      <c r="AK45" s="19">
        <f t="shared" si="43"/>
        <v>0</v>
      </c>
      <c r="AL45" s="19">
        <f t="shared" si="44"/>
        <v>1</v>
      </c>
    </row>
    <row r="46" spans="1:38" ht="13.8" thickBot="1" x14ac:dyDescent="0.3">
      <c r="A46" s="4" t="s">
        <v>93</v>
      </c>
      <c r="B46" s="8">
        <v>0.38</v>
      </c>
      <c r="C46" s="15">
        <v>0.75</v>
      </c>
      <c r="D46" s="8">
        <v>0.75</v>
      </c>
      <c r="E46" s="10">
        <v>1.1299999999999999</v>
      </c>
      <c r="F46" s="11">
        <v>2</v>
      </c>
      <c r="G46" s="12">
        <v>3.13</v>
      </c>
      <c r="H46" s="13">
        <v>1.88</v>
      </c>
      <c r="I46" s="14">
        <v>8</v>
      </c>
      <c r="J46" s="14" t="s">
        <v>10</v>
      </c>
      <c r="K46" s="5" t="s">
        <v>209</v>
      </c>
      <c r="L46" s="6">
        <v>0.9375</v>
      </c>
      <c r="M46" s="7" t="s">
        <v>89</v>
      </c>
      <c r="N46" s="14" t="s">
        <v>11</v>
      </c>
      <c r="O46" s="14">
        <v>6</v>
      </c>
      <c r="P46" s="13">
        <v>1.83</v>
      </c>
      <c r="Q46" s="12">
        <v>3.5</v>
      </c>
      <c r="R46" s="11">
        <v>2.17</v>
      </c>
      <c r="S46" s="10">
        <v>1.33</v>
      </c>
      <c r="T46" s="8">
        <v>0.83</v>
      </c>
      <c r="U46" s="9">
        <v>0.5</v>
      </c>
      <c r="V46" s="8">
        <v>0.5</v>
      </c>
      <c r="W46" s="17"/>
      <c r="X46" s="18">
        <f t="shared" si="30"/>
        <v>1.665</v>
      </c>
      <c r="Y46" s="18">
        <f t="shared" si="31"/>
        <v>1.65</v>
      </c>
      <c r="Z46" s="18">
        <f t="shared" si="32"/>
        <v>3.3149999999999999</v>
      </c>
      <c r="AA46" s="18">
        <f t="shared" si="33"/>
        <v>1.5000000000000124E-2</v>
      </c>
      <c r="AB46" s="24">
        <f t="shared" si="34"/>
        <v>1</v>
      </c>
      <c r="AC46" s="24">
        <f t="shared" si="35"/>
        <v>3</v>
      </c>
      <c r="AD46" s="19">
        <f t="shared" si="36"/>
        <v>0</v>
      </c>
      <c r="AE46" s="19">
        <f t="shared" si="37"/>
        <v>1</v>
      </c>
      <c r="AF46" s="19">
        <f t="shared" si="38"/>
        <v>1</v>
      </c>
      <c r="AG46" s="19">
        <f t="shared" si="39"/>
        <v>0</v>
      </c>
      <c r="AH46" s="19">
        <f t="shared" si="40"/>
        <v>1</v>
      </c>
      <c r="AI46" s="19">
        <f t="shared" si="41"/>
        <v>1</v>
      </c>
      <c r="AJ46" s="19">
        <f t="shared" si="42"/>
        <v>0</v>
      </c>
      <c r="AK46" s="19">
        <f t="shared" si="43"/>
        <v>0</v>
      </c>
      <c r="AL46" s="19">
        <f t="shared" si="44"/>
        <v>1</v>
      </c>
    </row>
    <row r="47" spans="1:38" ht="13.8" thickBot="1" x14ac:dyDescent="0.3">
      <c r="A47" s="4" t="s">
        <v>93</v>
      </c>
      <c r="B47" s="8">
        <v>0.33</v>
      </c>
      <c r="C47" s="15">
        <v>0.67</v>
      </c>
      <c r="D47" s="8">
        <v>0.83</v>
      </c>
      <c r="E47" s="10">
        <v>1.17</v>
      </c>
      <c r="F47" s="11">
        <v>1.83</v>
      </c>
      <c r="G47" s="12">
        <v>3</v>
      </c>
      <c r="H47" s="13">
        <v>1.67</v>
      </c>
      <c r="I47" s="14">
        <v>6</v>
      </c>
      <c r="J47" s="14" t="s">
        <v>10</v>
      </c>
      <c r="K47" s="5" t="s">
        <v>210</v>
      </c>
      <c r="L47" s="6">
        <v>0.9375</v>
      </c>
      <c r="M47" s="7" t="s">
        <v>211</v>
      </c>
      <c r="N47" s="14" t="s">
        <v>11</v>
      </c>
      <c r="O47" s="14">
        <v>7</v>
      </c>
      <c r="P47" s="13">
        <v>0.86</v>
      </c>
      <c r="Q47" s="12">
        <v>3.86</v>
      </c>
      <c r="R47" s="11">
        <v>0.71</v>
      </c>
      <c r="S47" s="10">
        <v>3.14</v>
      </c>
      <c r="T47" s="8">
        <v>1</v>
      </c>
      <c r="U47" s="15">
        <v>1</v>
      </c>
      <c r="V47" s="8">
        <v>0.43</v>
      </c>
      <c r="W47" s="17"/>
      <c r="X47" s="18">
        <f t="shared" si="30"/>
        <v>2.4850000000000003</v>
      </c>
      <c r="Y47" s="18">
        <f t="shared" si="31"/>
        <v>0.94</v>
      </c>
      <c r="Z47" s="18">
        <f t="shared" si="32"/>
        <v>3.4250000000000003</v>
      </c>
      <c r="AA47" s="18">
        <f t="shared" si="33"/>
        <v>1.5450000000000004</v>
      </c>
      <c r="AB47" s="24">
        <f t="shared" si="34"/>
        <v>1</v>
      </c>
      <c r="AC47" s="24">
        <f t="shared" si="35"/>
        <v>6</v>
      </c>
      <c r="AD47" s="19">
        <f t="shared" si="36"/>
        <v>1</v>
      </c>
      <c r="AE47" s="19">
        <f t="shared" si="37"/>
        <v>1</v>
      </c>
      <c r="AF47" s="19">
        <f t="shared" si="38"/>
        <v>1</v>
      </c>
      <c r="AG47" s="19">
        <f t="shared" si="39"/>
        <v>1</v>
      </c>
      <c r="AH47" s="19">
        <f t="shared" si="40"/>
        <v>1</v>
      </c>
      <c r="AI47" s="19">
        <f t="shared" si="41"/>
        <v>1</v>
      </c>
      <c r="AJ47" s="19">
        <f t="shared" si="42"/>
        <v>1</v>
      </c>
      <c r="AK47" s="19">
        <f t="shared" si="43"/>
        <v>1</v>
      </c>
      <c r="AL47" s="19">
        <f t="shared" si="44"/>
        <v>1</v>
      </c>
    </row>
    <row r="48" spans="1:38" ht="13.8" thickBot="1" x14ac:dyDescent="0.3">
      <c r="A48" s="4" t="s">
        <v>93</v>
      </c>
      <c r="B48" s="8">
        <v>0.33</v>
      </c>
      <c r="C48" s="9">
        <v>0.5</v>
      </c>
      <c r="D48" s="8">
        <v>1</v>
      </c>
      <c r="E48" s="10">
        <v>1.17</v>
      </c>
      <c r="F48" s="11">
        <v>2</v>
      </c>
      <c r="G48" s="12">
        <v>3.17</v>
      </c>
      <c r="H48" s="13">
        <v>2.17</v>
      </c>
      <c r="I48" s="14">
        <v>6</v>
      </c>
      <c r="J48" s="14" t="s">
        <v>10</v>
      </c>
      <c r="K48" s="5" t="s">
        <v>212</v>
      </c>
      <c r="L48" s="6">
        <v>2.0833333333333332E-2</v>
      </c>
      <c r="M48" s="7" t="s">
        <v>213</v>
      </c>
      <c r="N48" s="14" t="s">
        <v>11</v>
      </c>
      <c r="O48" s="14">
        <v>8</v>
      </c>
      <c r="P48" s="13">
        <v>0.5</v>
      </c>
      <c r="Q48" s="12">
        <v>3.13</v>
      </c>
      <c r="R48" s="11">
        <v>1</v>
      </c>
      <c r="S48" s="10">
        <v>2.13</v>
      </c>
      <c r="T48" s="8">
        <v>1</v>
      </c>
      <c r="U48" s="9">
        <v>0.5</v>
      </c>
      <c r="V48" s="8">
        <v>0.38</v>
      </c>
      <c r="W48" s="17"/>
      <c r="X48" s="18">
        <f t="shared" si="30"/>
        <v>2.0649999999999999</v>
      </c>
      <c r="Y48" s="18">
        <f t="shared" si="31"/>
        <v>1.085</v>
      </c>
      <c r="Z48" s="18">
        <f t="shared" si="32"/>
        <v>3.15</v>
      </c>
      <c r="AA48" s="18">
        <f t="shared" si="33"/>
        <v>0.98</v>
      </c>
      <c r="AB48" s="24">
        <f t="shared" si="34"/>
        <v>1</v>
      </c>
      <c r="AC48" s="24">
        <f t="shared" si="35"/>
        <v>6</v>
      </c>
      <c r="AD48" s="19">
        <f t="shared" si="36"/>
        <v>1</v>
      </c>
      <c r="AE48" s="19">
        <f t="shared" si="37"/>
        <v>1</v>
      </c>
      <c r="AF48" s="19">
        <f t="shared" si="38"/>
        <v>1</v>
      </c>
      <c r="AG48" s="19">
        <f t="shared" si="39"/>
        <v>1</v>
      </c>
      <c r="AH48" s="19">
        <f t="shared" si="40"/>
        <v>1</v>
      </c>
      <c r="AI48" s="19">
        <f t="shared" si="41"/>
        <v>1</v>
      </c>
      <c r="AJ48" s="19">
        <f t="shared" si="42"/>
        <v>1</v>
      </c>
      <c r="AK48" s="19">
        <f t="shared" si="43"/>
        <v>1</v>
      </c>
      <c r="AL48" s="19">
        <f t="shared" si="44"/>
        <v>1</v>
      </c>
    </row>
  </sheetData>
  <autoFilter ref="A1:AF48"/>
  <hyperlinks>
    <hyperlink ref="A2" r:id="rId1" display="https://www.soccerstats.com/latest.asp?league=argentina3"/>
    <hyperlink ref="A3" r:id="rId2" display="https://www.soccerstats.com/latest.asp?league=argentina3"/>
    <hyperlink ref="A4" r:id="rId3" display="https://www.soccerstats.com/latest.asp?league=argentina3"/>
    <hyperlink ref="A5" r:id="rId4" display="https://www.soccerstats.com/latest.asp?league=argentina3"/>
    <hyperlink ref="A6" r:id="rId5" display="https://www.soccerstats.com/latest.asp?league=argentina3"/>
    <hyperlink ref="A7" r:id="rId6" display="https://www.soccerstats.com/latest.asp?league=australia3"/>
    <hyperlink ref="A8" r:id="rId7" display="https://www.soccerstats.com/latest.asp?league=australia3"/>
    <hyperlink ref="A9" r:id="rId8" display="https://www.soccerstats.com/latest.asp?league=australia5"/>
    <hyperlink ref="A10" r:id="rId9" display="https://www.soccerstats.com/latest.asp?league=australia5"/>
    <hyperlink ref="A11" r:id="rId10" display="https://www.soccerstats.com/latest.asp?league=australia6"/>
    <hyperlink ref="A12" r:id="rId11" display="https://www.soccerstats.com/latest.asp?league=australia6"/>
    <hyperlink ref="A13" r:id="rId12" display="https://www.soccerstats.com/latest.asp?league=australia11"/>
    <hyperlink ref="A14" r:id="rId13" display="https://www.soccerstats.com/latest.asp?league=brazil"/>
    <hyperlink ref="A15" r:id="rId14" display="https://www.soccerstats.com/latest.asp?league=brazil"/>
    <hyperlink ref="A16" r:id="rId15" display="https://www.soccerstats.com/latest.asp?league=brazil"/>
    <hyperlink ref="A17" r:id="rId16" display="https://www.soccerstats.com/latest.asp?league=brazil2"/>
    <hyperlink ref="A18" r:id="rId17" display="https://www.soccerstats.com/latest.asp?league=brazil2"/>
    <hyperlink ref="A19" r:id="rId18" display="https://www.soccerstats.com/latest.asp?league=brazil2"/>
    <hyperlink ref="A20" r:id="rId19" display="https://www.soccerstats.com/latest.asp?league=canada"/>
    <hyperlink ref="A21" r:id="rId20" display="https://www.soccerstats.com/latest.asp?league=canada"/>
    <hyperlink ref="A22" r:id="rId21" display="https://www.soccerstats.com/latest.asp?league=china"/>
    <hyperlink ref="A23" r:id="rId22" display="https://www.soccerstats.com/latest.asp?league=china"/>
    <hyperlink ref="A24" r:id="rId23" display="https://www.soccerstats.com/latest.asp?league=china"/>
    <hyperlink ref="A25" r:id="rId24" display="https://www.soccerstats.com/latest.asp?league=china"/>
    <hyperlink ref="A26" r:id="rId25" display="https://www.soccerstats.com/latest.asp?league=china2"/>
    <hyperlink ref="A27" r:id="rId26" display="https://www.soccerstats.com/latest.asp?league=china2"/>
    <hyperlink ref="A28" r:id="rId27" display="https://www.soccerstats.com/latest.asp?league=china2"/>
    <hyperlink ref="A29" r:id="rId28" display="https://www.soccerstats.com/latest.asp?league=china2"/>
    <hyperlink ref="A30" r:id="rId29" display="https://www.soccerstats.com/latest.asp?league=ecuador"/>
    <hyperlink ref="A31" r:id="rId30" display="https://www.soccerstats.com/latest.asp?league=estonia"/>
    <hyperlink ref="A32" r:id="rId31" display="https://www.soccerstats.com/latest.asp?league=finland2"/>
    <hyperlink ref="A33" r:id="rId32" display="https://www.soccerstats.com/latest.asp?league=finland2"/>
    <hyperlink ref="A34" r:id="rId33" display="https://www.soccerstats.com/latest.asp?league=finland5"/>
    <hyperlink ref="A35" r:id="rId34" display="https://www.soccerstats.com/latest.asp?league=finland6"/>
    <hyperlink ref="A36" r:id="rId35" display="https://www.soccerstats.com/latest.asp?league=iceland2"/>
    <hyperlink ref="A37" r:id="rId36" display="https://www.soccerstats.com/latest.asp?league=iceland3"/>
    <hyperlink ref="A38" r:id="rId37" display="https://www.soccerstats.com/latest.asp?league=iceland3"/>
    <hyperlink ref="A39" r:id="rId38" display="https://www.soccerstats.com/latest.asp?league=iceland3"/>
    <hyperlink ref="A40" r:id="rId39" display="https://www.soccerstats.com/latest.asp?league=norway"/>
    <hyperlink ref="A41" r:id="rId40" display="https://www.soccerstats.com/latest.asp?league=southkorea4"/>
    <hyperlink ref="A42" r:id="rId41" display="https://www.soccerstats.com/latest.asp?league=sweden"/>
    <hyperlink ref="A43" r:id="rId42" display="https://www.soccerstats.com/latest.asp?league=sweden"/>
    <hyperlink ref="A44" r:id="rId43" display="https://www.soccerstats.com/latest.asp?league=uruguay2"/>
    <hyperlink ref="A45" r:id="rId44" display="https://www.soccerstats.com/latest.asp?league=uruguay2"/>
    <hyperlink ref="A46" r:id="rId45" display="https://www.soccerstats.com/latest.asp?league=usa"/>
    <hyperlink ref="A47" r:id="rId46" display="https://www.soccerstats.com/latest.asp?league=usa"/>
    <hyperlink ref="A48" r:id="rId47" display="https://www.soccerstats.com/latest.asp?league=usa"/>
  </hyperlinks>
  <pageMargins left="0.511811024" right="0.511811024" top="0.78740157499999996" bottom="0.78740157499999996" header="0.31496062000000002" footer="0.31496062000000002"/>
  <pageSetup paperSize="9" orientation="portrait" r:id="rId48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ilha3"/>
  <dimension ref="B2:F30"/>
  <sheetViews>
    <sheetView showGridLines="0" zoomScale="80" zoomScaleNormal="80" workbookViewId="0">
      <selection activeCell="C23" sqref="C23"/>
    </sheetView>
  </sheetViews>
  <sheetFormatPr defaultColWidth="9" defaultRowHeight="15" customHeight="1" x14ac:dyDescent="0.25"/>
  <cols>
    <col min="1" max="1" width="9" style="26"/>
    <col min="2" max="2" width="25.44140625" style="26" bestFit="1" customWidth="1"/>
    <col min="3" max="3" width="9.5546875" style="26" bestFit="1" customWidth="1"/>
    <col min="4" max="4" width="14.109375" style="26" bestFit="1" customWidth="1"/>
    <col min="5" max="5" width="9.6640625" style="26" bestFit="1" customWidth="1"/>
    <col min="6" max="6" width="8.33203125" style="26" bestFit="1" customWidth="1"/>
    <col min="7" max="16384" width="9" style="26"/>
  </cols>
  <sheetData>
    <row r="2" spans="2:6" ht="15" customHeight="1" x14ac:dyDescent="0.25">
      <c r="B2" s="25"/>
      <c r="C2" s="28" t="s">
        <v>32</v>
      </c>
      <c r="D2" s="28" t="s">
        <v>26</v>
      </c>
      <c r="E2" s="28" t="s">
        <v>27</v>
      </c>
      <c r="F2" s="28" t="s">
        <v>28</v>
      </c>
    </row>
    <row r="3" spans="2:6" ht="15" customHeight="1" x14ac:dyDescent="0.25">
      <c r="B3" s="28" t="s">
        <v>214</v>
      </c>
      <c r="C3" s="29">
        <v>2.92</v>
      </c>
      <c r="D3" s="34">
        <v>1.5</v>
      </c>
      <c r="E3" s="34">
        <v>1.25</v>
      </c>
      <c r="F3" s="30">
        <v>0.63</v>
      </c>
    </row>
    <row r="4" spans="2:6" ht="15" customHeight="1" x14ac:dyDescent="0.25">
      <c r="B4" s="28" t="s">
        <v>211</v>
      </c>
      <c r="C4" s="29">
        <v>2.44</v>
      </c>
      <c r="D4" s="34">
        <v>2.4300000000000002</v>
      </c>
      <c r="E4" s="34">
        <v>1.43</v>
      </c>
      <c r="F4" s="30">
        <v>0.86</v>
      </c>
    </row>
    <row r="5" spans="2:6" ht="15" customHeight="1" x14ac:dyDescent="0.25">
      <c r="B5" s="28" t="s">
        <v>13</v>
      </c>
      <c r="C5" s="29">
        <v>17</v>
      </c>
      <c r="D5" s="25"/>
      <c r="E5" s="25"/>
      <c r="F5" s="25"/>
    </row>
    <row r="6" spans="2:6" ht="15" customHeight="1" x14ac:dyDescent="0.25">
      <c r="B6" s="28" t="s">
        <v>14</v>
      </c>
      <c r="C6" s="29">
        <v>19</v>
      </c>
      <c r="D6" s="25"/>
      <c r="E6" s="25"/>
      <c r="F6" s="25"/>
    </row>
    <row r="8" spans="2:6" ht="15" customHeight="1" x14ac:dyDescent="0.25">
      <c r="B8" s="28" t="s">
        <v>29</v>
      </c>
      <c r="C8" s="29">
        <f>AVERAGE(D3,E4)</f>
        <v>1.4649999999999999</v>
      </c>
    </row>
    <row r="9" spans="2:6" ht="15" customHeight="1" x14ac:dyDescent="0.25">
      <c r="B9" s="28" t="s">
        <v>16</v>
      </c>
      <c r="C9" s="29">
        <f>AVERAGE(D4,E3)</f>
        <v>1.84</v>
      </c>
    </row>
    <row r="10" spans="2:6" ht="15" customHeight="1" x14ac:dyDescent="0.25">
      <c r="B10" s="28" t="s">
        <v>40</v>
      </c>
      <c r="C10" s="30">
        <f>AVERAGE(F3:F4)</f>
        <v>0.745</v>
      </c>
    </row>
    <row r="11" spans="2:6" ht="15" customHeight="1" x14ac:dyDescent="0.25">
      <c r="B11" s="28" t="s">
        <v>30</v>
      </c>
      <c r="C11" s="29">
        <f>SUM(D3:E3)</f>
        <v>2.75</v>
      </c>
    </row>
    <row r="12" spans="2:6" ht="15" customHeight="1" x14ac:dyDescent="0.25">
      <c r="B12" s="28" t="s">
        <v>31</v>
      </c>
      <c r="C12" s="29">
        <f>SUM(D4:E4)</f>
        <v>3.8600000000000003</v>
      </c>
    </row>
    <row r="13" spans="2:6" ht="15" customHeight="1" x14ac:dyDescent="0.25">
      <c r="B13" s="28" t="s">
        <v>41</v>
      </c>
      <c r="C13" s="29">
        <f>AVERAGE(C11:C12)</f>
        <v>3.3050000000000002</v>
      </c>
    </row>
    <row r="15" spans="2:6" ht="15" customHeight="1" x14ac:dyDescent="0.25">
      <c r="B15" s="28" t="s">
        <v>33</v>
      </c>
      <c r="C15" s="28" t="s">
        <v>34</v>
      </c>
      <c r="D15" s="28" t="s">
        <v>43</v>
      </c>
      <c r="E15" s="27" t="s">
        <v>44</v>
      </c>
    </row>
    <row r="16" spans="2:6" ht="15" customHeight="1" x14ac:dyDescent="0.25">
      <c r="B16" s="28" t="s">
        <v>38</v>
      </c>
      <c r="C16" s="25">
        <f>IF(C3&gt;C4,1,0)</f>
        <v>1</v>
      </c>
      <c r="D16" s="25">
        <f>IF(C3&gt;C4,1,0)</f>
        <v>1</v>
      </c>
      <c r="E16" s="25">
        <f>IF(AND(C4&gt;=6,C4&lt;=30),1,0)</f>
        <v>0</v>
      </c>
    </row>
    <row r="17" spans="2:5" ht="15" customHeight="1" x14ac:dyDescent="0.25">
      <c r="B17" s="28" t="s">
        <v>39</v>
      </c>
      <c r="C17" s="25">
        <f>IF(C6&lt;=30,1,0)</f>
        <v>1</v>
      </c>
      <c r="D17" s="25">
        <f>IF(AND(C5&lt;=18,C5&gt;=10),1,0)</f>
        <v>1</v>
      </c>
    </row>
    <row r="18" spans="2:5" ht="15" customHeight="1" x14ac:dyDescent="0.25">
      <c r="B18" s="28" t="s">
        <v>35</v>
      </c>
      <c r="C18" s="25">
        <f>IF(F3&gt;=0.4,1,0)</f>
        <v>1</v>
      </c>
      <c r="D18" s="25">
        <f>IF(F3&gt;=0.4,1,0)</f>
        <v>1</v>
      </c>
      <c r="E18" s="25">
        <f>IF(F3&gt;=0.4,1,0)</f>
        <v>1</v>
      </c>
    </row>
    <row r="19" spans="2:5" ht="15" customHeight="1" x14ac:dyDescent="0.25">
      <c r="B19" s="28" t="s">
        <v>36</v>
      </c>
      <c r="C19" s="25">
        <f>IF(F4:F4&gt;=0.4,1,0)</f>
        <v>1</v>
      </c>
      <c r="D19" s="25">
        <f>IF(F4&gt;=0.4,1,0)</f>
        <v>1</v>
      </c>
      <c r="E19" s="25">
        <f>IF(F4&gt;=0.4,1,0)</f>
        <v>1</v>
      </c>
    </row>
    <row r="20" spans="2:5" ht="15" customHeight="1" x14ac:dyDescent="0.25">
      <c r="B20" s="28" t="s">
        <v>37</v>
      </c>
      <c r="C20" s="25">
        <f>IF(C10&gt;=0.5,1,0)</f>
        <v>1</v>
      </c>
      <c r="D20" s="25">
        <f>IF(C10&gt;=0.5,1,0)</f>
        <v>1</v>
      </c>
      <c r="E20" s="25">
        <f>IF(C10&gt;=0.5,1,0)</f>
        <v>1</v>
      </c>
    </row>
    <row r="21" spans="2:5" ht="15" customHeight="1" x14ac:dyDescent="0.25">
      <c r="B21" s="28" t="s">
        <v>30</v>
      </c>
      <c r="C21" s="25">
        <f>IF(C11&gt;=2.8,1,0)</f>
        <v>0</v>
      </c>
      <c r="D21" s="25"/>
    </row>
    <row r="22" spans="2:5" ht="15" customHeight="1" x14ac:dyDescent="0.25">
      <c r="B22" s="28" t="s">
        <v>31</v>
      </c>
      <c r="C22" s="25">
        <f>IF(C12&gt;=2.8,1,0)</f>
        <v>1</v>
      </c>
      <c r="D22" s="25"/>
    </row>
    <row r="23" spans="2:5" ht="15" customHeight="1" x14ac:dyDescent="0.25">
      <c r="B23" s="28" t="s">
        <v>41</v>
      </c>
      <c r="C23" s="25">
        <f>IF(C13&gt;=2.8,1,0)</f>
        <v>1</v>
      </c>
      <c r="D23" s="25"/>
    </row>
    <row r="24" spans="2:5" ht="15" customHeight="1" x14ac:dyDescent="0.25">
      <c r="B24" s="28" t="s">
        <v>45</v>
      </c>
      <c r="C24" s="25"/>
      <c r="D24" s="25"/>
      <c r="E24" s="25">
        <f>IF(D3&gt;=1.5,1,0)</f>
        <v>1</v>
      </c>
    </row>
    <row r="25" spans="2:5" ht="15" customHeight="1" x14ac:dyDescent="0.25">
      <c r="B25" s="28" t="s">
        <v>46</v>
      </c>
      <c r="C25" s="25"/>
      <c r="D25" s="25">
        <f>IF(E3&gt;=1,1,0)</f>
        <v>1</v>
      </c>
      <c r="E25" s="25">
        <f>IF(E3&lt;=1.3,1,0)</f>
        <v>1</v>
      </c>
    </row>
    <row r="26" spans="2:5" ht="15" customHeight="1" x14ac:dyDescent="0.25">
      <c r="B26" s="28" t="s">
        <v>47</v>
      </c>
      <c r="C26" s="25"/>
      <c r="D26" s="25">
        <f>IF(D4&gt;=1.5,1,0)</f>
        <v>1</v>
      </c>
      <c r="E26" s="25">
        <f>IF(D4&lt;=1.4,1,0)</f>
        <v>0</v>
      </c>
    </row>
    <row r="27" spans="2:5" ht="15" customHeight="1" x14ac:dyDescent="0.25">
      <c r="B27" s="28" t="s">
        <v>48</v>
      </c>
      <c r="E27" s="25">
        <f>IF(E4&gt;=1.4,1,0)</f>
        <v>1</v>
      </c>
    </row>
    <row r="28" spans="2:5" ht="15" customHeight="1" x14ac:dyDescent="0.25">
      <c r="B28" s="28" t="s">
        <v>49</v>
      </c>
      <c r="E28" s="25">
        <f>IF(D4&lt;=E4,1,0)</f>
        <v>0</v>
      </c>
    </row>
    <row r="29" spans="2:5" ht="15" customHeight="1" thickBot="1" x14ac:dyDescent="0.3"/>
    <row r="30" spans="2:5" ht="15" customHeight="1" thickBot="1" x14ac:dyDescent="0.3">
      <c r="B30" s="31" t="s">
        <v>42</v>
      </c>
      <c r="C30" s="32">
        <f>IF(C16=0,0,SUM(C16:C28))</f>
        <v>7</v>
      </c>
      <c r="D30" s="32">
        <f>IF(D16=0,0,SUM(D16:D26))</f>
        <v>7</v>
      </c>
      <c r="E30" s="33">
        <f>SUM(E16:E28)</f>
        <v>6</v>
      </c>
    </row>
  </sheetData>
  <conditionalFormatting sqref="C30">
    <cfRule type="iconSet" priority="15">
      <iconSet iconSet="3Symbols2" showValue="0">
        <cfvo type="percent" val="0"/>
        <cfvo type="num" val="6"/>
        <cfvo type="num" val="8"/>
      </iconSet>
    </cfRule>
  </conditionalFormatting>
  <conditionalFormatting sqref="D30">
    <cfRule type="iconSet" priority="12">
      <iconSet iconSet="3Symbols2" showValue="0">
        <cfvo type="percent" val="0"/>
        <cfvo type="num" val="5"/>
        <cfvo type="num" val="7"/>
      </iconSet>
    </cfRule>
  </conditionalFormatting>
  <conditionalFormatting sqref="E30">
    <cfRule type="iconSet" priority="1">
      <iconSet iconSet="3Symbols2" showValue="0">
        <cfvo type="percent" val="0"/>
        <cfvo type="num" val="7"/>
        <cfvo type="num" val="9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6" id="{0895AE32-973C-4D9B-B123-DBB276EA8380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C16:C24</xm:sqref>
        </x14:conditionalFormatting>
        <x14:conditionalFormatting xmlns:xm="http://schemas.microsoft.com/office/excel/2006/main">
          <x14:cfRule type="iconSet" priority="14" id="{A9375CF8-9E40-465E-B5E4-45F2BD522D8B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D16</xm:sqref>
        </x14:conditionalFormatting>
        <x14:conditionalFormatting xmlns:xm="http://schemas.microsoft.com/office/excel/2006/main">
          <x14:cfRule type="iconSet" priority="13" id="{3F58DB84-A77C-4BB4-BE32-360BD960601E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D18:D20</xm:sqref>
        </x14:conditionalFormatting>
        <x14:conditionalFormatting xmlns:xm="http://schemas.microsoft.com/office/excel/2006/main">
          <x14:cfRule type="iconSet" priority="11" id="{AEA07ADE-0AFB-416B-809D-8B12A6AF9F22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D17</xm:sqref>
        </x14:conditionalFormatting>
        <x14:conditionalFormatting xmlns:xm="http://schemas.microsoft.com/office/excel/2006/main">
          <x14:cfRule type="iconSet" priority="10" id="{021D00C7-C522-4A04-AA96-C183B1CC5B73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D25:D26</xm:sqref>
        </x14:conditionalFormatting>
        <x14:conditionalFormatting xmlns:xm="http://schemas.microsoft.com/office/excel/2006/main">
          <x14:cfRule type="iconSet" priority="9" id="{37E102D0-E34D-4137-90EF-753EDC88902C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E24</xm:sqref>
        </x14:conditionalFormatting>
        <x14:conditionalFormatting xmlns:xm="http://schemas.microsoft.com/office/excel/2006/main">
          <x14:cfRule type="iconSet" priority="8" id="{A79ABE8A-4F00-4021-B4AE-18E0E923D092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E28</xm:sqref>
        </x14:conditionalFormatting>
        <x14:conditionalFormatting xmlns:xm="http://schemas.microsoft.com/office/excel/2006/main">
          <x14:cfRule type="iconSet" priority="7" id="{7C870E5D-D7DB-4A4C-90C1-564B18CBC666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E25</xm:sqref>
        </x14:conditionalFormatting>
        <x14:conditionalFormatting xmlns:xm="http://schemas.microsoft.com/office/excel/2006/main">
          <x14:cfRule type="iconSet" priority="6" id="{1C26AB64-F5B5-4294-8DB8-8609953347A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E26</xm:sqref>
        </x14:conditionalFormatting>
        <x14:conditionalFormatting xmlns:xm="http://schemas.microsoft.com/office/excel/2006/main">
          <x14:cfRule type="iconSet" priority="5" id="{41B97267-3DDE-488D-BDEE-14D296398625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E27</xm:sqref>
        </x14:conditionalFormatting>
        <x14:conditionalFormatting xmlns:xm="http://schemas.microsoft.com/office/excel/2006/main">
          <x14:cfRule type="iconSet" priority="4" id="{6C23D57B-E154-4EFF-8535-0DAE9543D3F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E20</xm:sqref>
        </x14:conditionalFormatting>
        <x14:conditionalFormatting xmlns:xm="http://schemas.microsoft.com/office/excel/2006/main">
          <x14:cfRule type="iconSet" priority="3" id="{BDF8CED6-BF44-4D9E-8697-07D8CCB0FE03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E16</xm:sqref>
        </x14:conditionalFormatting>
        <x14:conditionalFormatting xmlns:xm="http://schemas.microsoft.com/office/excel/2006/main">
          <x14:cfRule type="iconSet" priority="2" id="{7AA53F80-C3D8-4A78-8D84-0CAF174784F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E18:E19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9"/>
  <sheetViews>
    <sheetView showGridLines="0" zoomScale="80" zoomScaleNormal="80" workbookViewId="0">
      <selection activeCell="G7" sqref="G7"/>
    </sheetView>
  </sheetViews>
  <sheetFormatPr defaultRowHeight="15" customHeight="1" x14ac:dyDescent="0.25"/>
  <cols>
    <col min="2" max="2" width="22.77734375" bestFit="1" customWidth="1"/>
    <col min="3" max="6" width="16.77734375" customWidth="1"/>
    <col min="7" max="7" width="61.77734375" bestFit="1" customWidth="1"/>
  </cols>
  <sheetData>
    <row r="2" spans="2:7" ht="15" customHeight="1" x14ac:dyDescent="0.25">
      <c r="B2" s="28" t="s">
        <v>94</v>
      </c>
      <c r="C2" s="67" t="s">
        <v>95</v>
      </c>
      <c r="D2" s="67"/>
      <c r="E2" s="67"/>
      <c r="F2" s="67"/>
      <c r="G2" s="28" t="s">
        <v>96</v>
      </c>
    </row>
    <row r="3" spans="2:7" ht="39.6" x14ac:dyDescent="0.25">
      <c r="B3" s="41" t="s">
        <v>97</v>
      </c>
      <c r="C3" s="42" t="s">
        <v>98</v>
      </c>
      <c r="D3" s="42"/>
      <c r="E3" s="42"/>
      <c r="F3" s="42"/>
      <c r="G3" s="43" t="s">
        <v>99</v>
      </c>
    </row>
    <row r="4" spans="2:7" ht="92.4" x14ac:dyDescent="0.25">
      <c r="B4" s="44" t="s">
        <v>44</v>
      </c>
      <c r="C4" s="45" t="s">
        <v>100</v>
      </c>
      <c r="D4" s="45"/>
      <c r="E4" s="45"/>
      <c r="F4" s="45" t="s">
        <v>101</v>
      </c>
      <c r="G4" s="46" t="s">
        <v>113</v>
      </c>
    </row>
    <row r="5" spans="2:7" ht="15" customHeight="1" x14ac:dyDescent="0.25">
      <c r="B5" s="44" t="s">
        <v>80</v>
      </c>
      <c r="C5" s="45"/>
      <c r="D5" s="45" t="s">
        <v>102</v>
      </c>
      <c r="E5" s="45"/>
      <c r="F5" s="45"/>
      <c r="G5" s="47" t="s">
        <v>103</v>
      </c>
    </row>
    <row r="6" spans="2:7" ht="15" customHeight="1" x14ac:dyDescent="0.25">
      <c r="B6" s="44" t="s">
        <v>104</v>
      </c>
      <c r="C6" s="45"/>
      <c r="D6" s="45"/>
      <c r="E6" s="45" t="s">
        <v>79</v>
      </c>
      <c r="F6" s="45"/>
      <c r="G6" s="47" t="s">
        <v>103</v>
      </c>
    </row>
    <row r="7" spans="2:7" ht="118.8" x14ac:dyDescent="0.25">
      <c r="B7" s="44" t="s">
        <v>105</v>
      </c>
      <c r="C7" s="45"/>
      <c r="D7" s="45"/>
      <c r="E7" s="45"/>
      <c r="F7" s="45" t="s">
        <v>106</v>
      </c>
      <c r="G7" s="46" t="s">
        <v>112</v>
      </c>
    </row>
    <row r="8" spans="2:7" ht="15" customHeight="1" x14ac:dyDescent="0.25">
      <c r="B8" s="44" t="s">
        <v>107</v>
      </c>
      <c r="C8" s="45"/>
      <c r="D8" s="45"/>
      <c r="E8" s="45" t="s">
        <v>79</v>
      </c>
      <c r="F8" s="45"/>
      <c r="G8" s="47"/>
    </row>
    <row r="9" spans="2:7" ht="52.8" x14ac:dyDescent="0.25">
      <c r="B9" s="48" t="s">
        <v>108</v>
      </c>
      <c r="C9" s="49" t="s">
        <v>109</v>
      </c>
      <c r="D9" s="49" t="s">
        <v>102</v>
      </c>
      <c r="E9" s="49"/>
      <c r="F9" s="49"/>
      <c r="G9" s="50" t="s">
        <v>110</v>
      </c>
    </row>
  </sheetData>
  <mergeCells count="1">
    <mergeCell ref="C2:F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jogos</vt:lpstr>
      <vt:lpstr>Jogos do Dia</vt:lpstr>
      <vt:lpstr>07-07</vt:lpstr>
      <vt:lpstr>Análise Individual</vt:lpstr>
      <vt:lpstr>Processos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Alonso</dc:creator>
  <cp:lastModifiedBy>Daniel Alonso</cp:lastModifiedBy>
  <dcterms:created xsi:type="dcterms:W3CDTF">2026-02-12T12:13:15Z</dcterms:created>
  <dcterms:modified xsi:type="dcterms:W3CDTF">2026-08-13T13:18:49Z</dcterms:modified>
</cp:coreProperties>
</file>