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EstaPasta_de_trabalho" defaultThemeVersion="16401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624"/>
  </bookViews>
  <sheets>
    <sheet name="jogos" sheetId="84" r:id="rId1"/>
    <sheet name="Jogos do Dia" sheetId="75" r:id="rId2"/>
    <sheet name="07-07" sheetId="82" r:id="rId3"/>
    <sheet name="Análise Individual" sheetId="69" r:id="rId4"/>
    <sheet name="Processos" sheetId="83" r:id="rId5"/>
  </sheets>
  <definedNames>
    <definedName name="_xlnm._FilterDatabase" localSheetId="2" hidden="1">'07-07'!$A$1:$AF$48</definedName>
    <definedName name="_xlnm._FilterDatabase" localSheetId="1" hidden="1">'Jogos do Dia'!$B$2:$G$2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7" i="69" l="1"/>
  <c r="E19" i="69" l="1"/>
  <c r="E24" i="69"/>
  <c r="E18" i="69"/>
  <c r="D18" i="69"/>
  <c r="AL48" i="82" l="1"/>
  <c r="AK48" i="82"/>
  <c r="AJ48" i="82"/>
  <c r="AI48" i="82"/>
  <c r="AH48" i="82"/>
  <c r="AG48" i="82"/>
  <c r="AF48" i="82"/>
  <c r="AE48" i="82"/>
  <c r="AD48" i="82"/>
  <c r="AB48" i="82"/>
  <c r="Y48" i="82"/>
  <c r="X48" i="82"/>
  <c r="AA48" i="82" s="1"/>
  <c r="AL47" i="82"/>
  <c r="AK47" i="82"/>
  <c r="AJ47" i="82"/>
  <c r="AI47" i="82"/>
  <c r="AH47" i="82"/>
  <c r="AG47" i="82"/>
  <c r="AF47" i="82"/>
  <c r="AE47" i="82"/>
  <c r="AD47" i="82"/>
  <c r="AB47" i="82"/>
  <c r="Y47" i="82"/>
  <c r="X47" i="82"/>
  <c r="AA47" i="82" s="1"/>
  <c r="AL46" i="82"/>
  <c r="AK46" i="82"/>
  <c r="AJ46" i="82"/>
  <c r="AI46" i="82"/>
  <c r="AH46" i="82"/>
  <c r="AG46" i="82"/>
  <c r="AF46" i="82"/>
  <c r="AE46" i="82"/>
  <c r="AD46" i="82"/>
  <c r="AB46" i="82"/>
  <c r="AA46" i="82"/>
  <c r="Z46" i="82"/>
  <c r="Y46" i="82"/>
  <c r="X46" i="82"/>
  <c r="AL45" i="82"/>
  <c r="AK45" i="82"/>
  <c r="AJ45" i="82"/>
  <c r="AI45" i="82"/>
  <c r="AH45" i="82"/>
  <c r="AG45" i="82"/>
  <c r="AC45" i="82" s="1"/>
  <c r="AF45" i="82"/>
  <c r="AE45" i="82"/>
  <c r="AD45" i="82"/>
  <c r="AB45" i="82"/>
  <c r="Y45" i="82"/>
  <c r="X45" i="82"/>
  <c r="AL44" i="82"/>
  <c r="AK44" i="82"/>
  <c r="AJ44" i="82"/>
  <c r="AI44" i="82"/>
  <c r="AH44" i="82"/>
  <c r="AG44" i="82"/>
  <c r="AC44" i="82" s="1"/>
  <c r="AF44" i="82"/>
  <c r="AE44" i="82"/>
  <c r="AD44" i="82"/>
  <c r="AB44" i="82"/>
  <c r="AA44" i="82"/>
  <c r="Y44" i="82"/>
  <c r="X44" i="82"/>
  <c r="Z44" i="82" s="1"/>
  <c r="AL43" i="82"/>
  <c r="AK43" i="82"/>
  <c r="AJ43" i="82"/>
  <c r="AI43" i="82"/>
  <c r="AH43" i="82"/>
  <c r="AG43" i="82"/>
  <c r="AF43" i="82"/>
  <c r="AE43" i="82"/>
  <c r="AD43" i="82"/>
  <c r="AB43" i="82"/>
  <c r="Y43" i="82"/>
  <c r="X43" i="82"/>
  <c r="AL42" i="82"/>
  <c r="AK42" i="82"/>
  <c r="AJ42" i="82"/>
  <c r="AI42" i="82"/>
  <c r="AH42" i="82"/>
  <c r="AG42" i="82"/>
  <c r="AF42" i="82"/>
  <c r="AE42" i="82"/>
  <c r="AD42" i="82"/>
  <c r="AB42" i="82"/>
  <c r="Y42" i="82"/>
  <c r="X42" i="82"/>
  <c r="AA42" i="82" s="1"/>
  <c r="AL41" i="82"/>
  <c r="AK41" i="82"/>
  <c r="AJ41" i="82"/>
  <c r="AI41" i="82"/>
  <c r="AH41" i="82"/>
  <c r="AC41" i="82" s="1"/>
  <c r="AG41" i="82"/>
  <c r="AF41" i="82"/>
  <c r="AE41" i="82"/>
  <c r="AD41" i="82"/>
  <c r="AB41" i="82"/>
  <c r="Y41" i="82"/>
  <c r="X41" i="82"/>
  <c r="AA41" i="82" s="1"/>
  <c r="AL40" i="82"/>
  <c r="AK40" i="82"/>
  <c r="AJ40" i="82"/>
  <c r="AI40" i="82"/>
  <c r="AH40" i="82"/>
  <c r="AG40" i="82"/>
  <c r="AF40" i="82"/>
  <c r="AE40" i="82"/>
  <c r="AD40" i="82"/>
  <c r="AB40" i="82"/>
  <c r="Y40" i="82"/>
  <c r="X40" i="82"/>
  <c r="Z40" i="82" s="1"/>
  <c r="AL39" i="82"/>
  <c r="AK39" i="82"/>
  <c r="AJ39" i="82"/>
  <c r="AI39" i="82"/>
  <c r="AH39" i="82"/>
  <c r="AG39" i="82"/>
  <c r="AF39" i="82"/>
  <c r="AE39" i="82"/>
  <c r="AD39" i="82"/>
  <c r="AB39" i="82"/>
  <c r="Y39" i="82"/>
  <c r="X39" i="82"/>
  <c r="AL38" i="82"/>
  <c r="AK38" i="82"/>
  <c r="AJ38" i="82"/>
  <c r="AI38" i="82"/>
  <c r="AH38" i="82"/>
  <c r="AG38" i="82"/>
  <c r="AF38" i="82"/>
  <c r="AE38" i="82"/>
  <c r="AD38" i="82"/>
  <c r="AB38" i="82"/>
  <c r="Y38" i="82"/>
  <c r="X38" i="82"/>
  <c r="AA38" i="82" s="1"/>
  <c r="AL37" i="82"/>
  <c r="AK37" i="82"/>
  <c r="AJ37" i="82"/>
  <c r="AI37" i="82"/>
  <c r="AH37" i="82"/>
  <c r="AC37" i="82" s="1"/>
  <c r="AG37" i="82"/>
  <c r="AF37" i="82"/>
  <c r="AE37" i="82"/>
  <c r="AD37" i="82"/>
  <c r="AB37" i="82"/>
  <c r="Y37" i="82"/>
  <c r="X37" i="82"/>
  <c r="AL36" i="82"/>
  <c r="AK36" i="82"/>
  <c r="AJ36" i="82"/>
  <c r="AI36" i="82"/>
  <c r="AH36" i="82"/>
  <c r="AG36" i="82"/>
  <c r="AF36" i="82"/>
  <c r="AE36" i="82"/>
  <c r="AD36" i="82"/>
  <c r="AB36" i="82"/>
  <c r="Y36" i="82"/>
  <c r="X36" i="82"/>
  <c r="Z36" i="82" s="1"/>
  <c r="AL35" i="82"/>
  <c r="AK35" i="82"/>
  <c r="AJ35" i="82"/>
  <c r="AI35" i="82"/>
  <c r="AH35" i="82"/>
  <c r="AG35" i="82"/>
  <c r="AF35" i="82"/>
  <c r="AE35" i="82"/>
  <c r="AD35" i="82"/>
  <c r="AB35" i="82"/>
  <c r="Y35" i="82"/>
  <c r="X35" i="82"/>
  <c r="AA35" i="82" s="1"/>
  <c r="AL34" i="82"/>
  <c r="AK34" i="82"/>
  <c r="AJ34" i="82"/>
  <c r="AI34" i="82"/>
  <c r="AH34" i="82"/>
  <c r="AG34" i="82"/>
  <c r="AF34" i="82"/>
  <c r="AE34" i="82"/>
  <c r="AD34" i="82"/>
  <c r="AB34" i="82"/>
  <c r="Y34" i="82"/>
  <c r="X34" i="82"/>
  <c r="Z34" i="82" s="1"/>
  <c r="AL33" i="82"/>
  <c r="AK33" i="82"/>
  <c r="AJ33" i="82"/>
  <c r="AI33" i="82"/>
  <c r="AH33" i="82"/>
  <c r="AG33" i="82"/>
  <c r="AF33" i="82"/>
  <c r="AE33" i="82"/>
  <c r="AD33" i="82"/>
  <c r="AB33" i="82"/>
  <c r="Y33" i="82"/>
  <c r="X33" i="82"/>
  <c r="AA33" i="82" s="1"/>
  <c r="AL32" i="82"/>
  <c r="AK32" i="82"/>
  <c r="AJ32" i="82"/>
  <c r="AI32" i="82"/>
  <c r="AH32" i="82"/>
  <c r="AG32" i="82"/>
  <c r="AF32" i="82"/>
  <c r="AE32" i="82"/>
  <c r="AD32" i="82"/>
  <c r="AB32" i="82"/>
  <c r="Y32" i="82"/>
  <c r="X32" i="82"/>
  <c r="AA32" i="82" s="1"/>
  <c r="AL31" i="82"/>
  <c r="AK31" i="82"/>
  <c r="AJ31" i="82"/>
  <c r="AI31" i="82"/>
  <c r="AH31" i="82"/>
  <c r="AG31" i="82"/>
  <c r="AF31" i="82"/>
  <c r="AE31" i="82"/>
  <c r="AD31" i="82"/>
  <c r="AB31" i="82"/>
  <c r="Y31" i="82"/>
  <c r="X31" i="82"/>
  <c r="AA31" i="82" s="1"/>
  <c r="AL30" i="82"/>
  <c r="AK30" i="82"/>
  <c r="AJ30" i="82"/>
  <c r="AI30" i="82"/>
  <c r="AH30" i="82"/>
  <c r="AG30" i="82"/>
  <c r="AF30" i="82"/>
  <c r="AE30" i="82"/>
  <c r="AD30" i="82"/>
  <c r="AB30" i="82"/>
  <c r="Y30" i="82"/>
  <c r="X30" i="82"/>
  <c r="Z30" i="82" s="1"/>
  <c r="AL29" i="82"/>
  <c r="AK29" i="82"/>
  <c r="AJ29" i="82"/>
  <c r="AI29" i="82"/>
  <c r="AH29" i="82"/>
  <c r="AG29" i="82"/>
  <c r="AF29" i="82"/>
  <c r="AE29" i="82"/>
  <c r="AD29" i="82"/>
  <c r="AB29" i="82"/>
  <c r="Y29" i="82"/>
  <c r="X29" i="82"/>
  <c r="AA29" i="82" s="1"/>
  <c r="AL28" i="82"/>
  <c r="AK28" i="82"/>
  <c r="AJ28" i="82"/>
  <c r="AI28" i="82"/>
  <c r="AH28" i="82"/>
  <c r="AG28" i="82"/>
  <c r="AF28" i="82"/>
  <c r="AE28" i="82"/>
  <c r="AD28" i="82"/>
  <c r="AB28" i="82"/>
  <c r="Y28" i="82"/>
  <c r="X28" i="82"/>
  <c r="AL27" i="82"/>
  <c r="AK27" i="82"/>
  <c r="AJ27" i="82"/>
  <c r="AI27" i="82"/>
  <c r="AH27" i="82"/>
  <c r="AG27" i="82"/>
  <c r="AF27" i="82"/>
  <c r="AE27" i="82"/>
  <c r="AD27" i="82"/>
  <c r="AB27" i="82"/>
  <c r="Y27" i="82"/>
  <c r="X27" i="82"/>
  <c r="AL26" i="82"/>
  <c r="AK26" i="82"/>
  <c r="AJ26" i="82"/>
  <c r="AI26" i="82"/>
  <c r="AH26" i="82"/>
  <c r="AG26" i="82"/>
  <c r="AF26" i="82"/>
  <c r="AE26" i="82"/>
  <c r="AD26" i="82"/>
  <c r="AB26" i="82"/>
  <c r="Y26" i="82"/>
  <c r="X26" i="82"/>
  <c r="Z26" i="82" s="1"/>
  <c r="AL25" i="82"/>
  <c r="AK25" i="82"/>
  <c r="AJ25" i="82"/>
  <c r="AI25" i="82"/>
  <c r="AH25" i="82"/>
  <c r="AG25" i="82"/>
  <c r="AF25" i="82"/>
  <c r="AE25" i="82"/>
  <c r="AD25" i="82"/>
  <c r="AB25" i="82"/>
  <c r="Y25" i="82"/>
  <c r="X25" i="82"/>
  <c r="AL24" i="82"/>
  <c r="AK24" i="82"/>
  <c r="AJ24" i="82"/>
  <c r="AI24" i="82"/>
  <c r="AH24" i="82"/>
  <c r="AG24" i="82"/>
  <c r="AF24" i="82"/>
  <c r="AE24" i="82"/>
  <c r="AD24" i="82"/>
  <c r="AB24" i="82"/>
  <c r="Y24" i="82"/>
  <c r="AA24" i="82" s="1"/>
  <c r="X24" i="82"/>
  <c r="AL23" i="82"/>
  <c r="AK23" i="82"/>
  <c r="AJ23" i="82"/>
  <c r="AI23" i="82"/>
  <c r="AH23" i="82"/>
  <c r="AG23" i="82"/>
  <c r="AF23" i="82"/>
  <c r="AE23" i="82"/>
  <c r="AD23" i="82"/>
  <c r="AB23" i="82"/>
  <c r="Y23" i="82"/>
  <c r="X23" i="82"/>
  <c r="AL22" i="82"/>
  <c r="AK22" i="82"/>
  <c r="AJ22" i="82"/>
  <c r="AI22" i="82"/>
  <c r="AH22" i="82"/>
  <c r="AG22" i="82"/>
  <c r="AF22" i="82"/>
  <c r="AE22" i="82"/>
  <c r="AD22" i="82"/>
  <c r="AB22" i="82"/>
  <c r="Y22" i="82"/>
  <c r="X22" i="82"/>
  <c r="AL21" i="82"/>
  <c r="AK21" i="82"/>
  <c r="AJ21" i="82"/>
  <c r="AI21" i="82"/>
  <c r="AH21" i="82"/>
  <c r="AG21" i="82"/>
  <c r="AF21" i="82"/>
  <c r="AE21" i="82"/>
  <c r="AD21" i="82"/>
  <c r="AB21" i="82"/>
  <c r="Y21" i="82"/>
  <c r="X21" i="82"/>
  <c r="AL20" i="82"/>
  <c r="AK20" i="82"/>
  <c r="AJ20" i="82"/>
  <c r="AI20" i="82"/>
  <c r="AH20" i="82"/>
  <c r="AG20" i="82"/>
  <c r="AF20" i="82"/>
  <c r="AE20" i="82"/>
  <c r="AD20" i="82"/>
  <c r="AB20" i="82"/>
  <c r="Y20" i="82"/>
  <c r="X20" i="82"/>
  <c r="AL19" i="82"/>
  <c r="AK19" i="82"/>
  <c r="AJ19" i="82"/>
  <c r="AI19" i="82"/>
  <c r="AH19" i="82"/>
  <c r="AG19" i="82"/>
  <c r="AF19" i="82"/>
  <c r="AE19" i="82"/>
  <c r="AD19" i="82"/>
  <c r="AB19" i="82"/>
  <c r="Y19" i="82"/>
  <c r="X19" i="82"/>
  <c r="AL18" i="82"/>
  <c r="AK18" i="82"/>
  <c r="AJ18" i="82"/>
  <c r="AI18" i="82"/>
  <c r="AH18" i="82"/>
  <c r="AG18" i="82"/>
  <c r="AF18" i="82"/>
  <c r="AE18" i="82"/>
  <c r="AD18" i="82"/>
  <c r="AB18" i="82"/>
  <c r="Y18" i="82"/>
  <c r="X18" i="82"/>
  <c r="AL17" i="82"/>
  <c r="AK17" i="82"/>
  <c r="AJ17" i="82"/>
  <c r="AI17" i="82"/>
  <c r="AH17" i="82"/>
  <c r="AG17" i="82"/>
  <c r="AF17" i="82"/>
  <c r="AE17" i="82"/>
  <c r="AD17" i="82"/>
  <c r="AB17" i="82"/>
  <c r="Y17" i="82"/>
  <c r="X17" i="82"/>
  <c r="AL16" i="82"/>
  <c r="AK16" i="82"/>
  <c r="AJ16" i="82"/>
  <c r="AI16" i="82"/>
  <c r="AH16" i="82"/>
  <c r="AG16" i="82"/>
  <c r="AF16" i="82"/>
  <c r="AE16" i="82"/>
  <c r="AD16" i="82"/>
  <c r="AB16" i="82"/>
  <c r="Y16" i="82"/>
  <c r="Z16" i="82" s="1"/>
  <c r="X16" i="82"/>
  <c r="AL15" i="82"/>
  <c r="AK15" i="82"/>
  <c r="AJ15" i="82"/>
  <c r="AI15" i="82"/>
  <c r="AH15" i="82"/>
  <c r="AG15" i="82"/>
  <c r="AF15" i="82"/>
  <c r="AE15" i="82"/>
  <c r="AD15" i="82"/>
  <c r="AB15" i="82"/>
  <c r="Y15" i="82"/>
  <c r="X15" i="82"/>
  <c r="AL14" i="82"/>
  <c r="AK14" i="82"/>
  <c r="AJ14" i="82"/>
  <c r="AI14" i="82"/>
  <c r="AH14" i="82"/>
  <c r="AG14" i="82"/>
  <c r="AF14" i="82"/>
  <c r="AE14" i="82"/>
  <c r="AD14" i="82"/>
  <c r="AB14" i="82"/>
  <c r="Y14" i="82"/>
  <c r="X14" i="82"/>
  <c r="Z14" i="82" s="1"/>
  <c r="AL13" i="82"/>
  <c r="AK13" i="82"/>
  <c r="AJ13" i="82"/>
  <c r="AI13" i="82"/>
  <c r="AH13" i="82"/>
  <c r="AG13" i="82"/>
  <c r="AC13" i="82" s="1"/>
  <c r="AF13" i="82"/>
  <c r="AE13" i="82"/>
  <c r="AD13" i="82"/>
  <c r="AB13" i="82"/>
  <c r="Y13" i="82"/>
  <c r="X13" i="82"/>
  <c r="AL12" i="82"/>
  <c r="AK12" i="82"/>
  <c r="AJ12" i="82"/>
  <c r="AI12" i="82"/>
  <c r="AH12" i="82"/>
  <c r="AG12" i="82"/>
  <c r="AC12" i="82" s="1"/>
  <c r="AF12" i="82"/>
  <c r="AE12" i="82"/>
  <c r="AD12" i="82"/>
  <c r="AB12" i="82"/>
  <c r="Y12" i="82"/>
  <c r="X12" i="82"/>
  <c r="Z12" i="82" s="1"/>
  <c r="AL11" i="82"/>
  <c r="AK11" i="82"/>
  <c r="AJ11" i="82"/>
  <c r="AI11" i="82"/>
  <c r="AH11" i="82"/>
  <c r="AG11" i="82"/>
  <c r="AF11" i="82"/>
  <c r="AE11" i="82"/>
  <c r="AD11" i="82"/>
  <c r="AB11" i="82"/>
  <c r="Y11" i="82"/>
  <c r="X11" i="82"/>
  <c r="AA17" i="82" l="1"/>
  <c r="AA18" i="82"/>
  <c r="AA19" i="82"/>
  <c r="Z20" i="82"/>
  <c r="AA21" i="82"/>
  <c r="AA22" i="82"/>
  <c r="AA23" i="82"/>
  <c r="Z24" i="82"/>
  <c r="AC42" i="82"/>
  <c r="AA34" i="82"/>
  <c r="AA36" i="82"/>
  <c r="AA45" i="82"/>
  <c r="AA14" i="82"/>
  <c r="AA26" i="82"/>
  <c r="AA28" i="82"/>
  <c r="AC21" i="82"/>
  <c r="AC22" i="82"/>
  <c r="AC24" i="82"/>
  <c r="AC25" i="82"/>
  <c r="AC17" i="82"/>
  <c r="AC32" i="82"/>
  <c r="AC33" i="82"/>
  <c r="AC29" i="82"/>
  <c r="AC31" i="82"/>
  <c r="AC34" i="82"/>
  <c r="AC23" i="82"/>
  <c r="Z28" i="82"/>
  <c r="AC11" i="82"/>
  <c r="AC43" i="82"/>
  <c r="AC14" i="82"/>
  <c r="AA30" i="82"/>
  <c r="AC35" i="82"/>
  <c r="AC36" i="82"/>
  <c r="AA40" i="82"/>
  <c r="AA39" i="82"/>
  <c r="Z18" i="82"/>
  <c r="AC26" i="82"/>
  <c r="Z22" i="82"/>
  <c r="Z32" i="82"/>
  <c r="AC46" i="82"/>
  <c r="Z38" i="82"/>
  <c r="Z48" i="82"/>
  <c r="AC16" i="82"/>
  <c r="AA11" i="82"/>
  <c r="AA12" i="82"/>
  <c r="AC15" i="82"/>
  <c r="AC27" i="82"/>
  <c r="AC28" i="82"/>
  <c r="Z42" i="82"/>
  <c r="AA43" i="82"/>
  <c r="AA13" i="82"/>
  <c r="AA25" i="82"/>
  <c r="AC38" i="82"/>
  <c r="AC47" i="82"/>
  <c r="AC48" i="82"/>
  <c r="AC18" i="82"/>
  <c r="AC20" i="82"/>
  <c r="AC30" i="82"/>
  <c r="AC39" i="82"/>
  <c r="AC40" i="82"/>
  <c r="AA15" i="82"/>
  <c r="AA16" i="82"/>
  <c r="AC19" i="82"/>
  <c r="AA27" i="82"/>
  <c r="AA37" i="82"/>
  <c r="AA20" i="82"/>
  <c r="Z13" i="82"/>
  <c r="Z17" i="82"/>
  <c r="Z21" i="82"/>
  <c r="Z25" i="82"/>
  <c r="Z29" i="82"/>
  <c r="Z33" i="82"/>
  <c r="Z37" i="82"/>
  <c r="Z41" i="82"/>
  <c r="Z45" i="82"/>
  <c r="Z11" i="82"/>
  <c r="Z15" i="82"/>
  <c r="Z19" i="82"/>
  <c r="Z23" i="82"/>
  <c r="Z27" i="82"/>
  <c r="Z31" i="82"/>
  <c r="Z35" i="82"/>
  <c r="Z39" i="82"/>
  <c r="Z43" i="82"/>
  <c r="Z47" i="82"/>
  <c r="AL10" i="82"/>
  <c r="AK10" i="82"/>
  <c r="AJ10" i="82"/>
  <c r="AI10" i="82"/>
  <c r="AH10" i="82"/>
  <c r="AG10" i="82"/>
  <c r="AF10" i="82"/>
  <c r="AE10" i="82"/>
  <c r="AD10" i="82"/>
  <c r="AB10" i="82"/>
  <c r="Y10" i="82"/>
  <c r="X10" i="82"/>
  <c r="Z10" i="82" s="1"/>
  <c r="AL9" i="82"/>
  <c r="AK9" i="82"/>
  <c r="AJ9" i="82"/>
  <c r="AI9" i="82"/>
  <c r="AH9" i="82"/>
  <c r="AG9" i="82"/>
  <c r="AF9" i="82"/>
  <c r="AE9" i="82"/>
  <c r="AD9" i="82"/>
  <c r="AB9" i="82"/>
  <c r="Y9" i="82"/>
  <c r="X9" i="82"/>
  <c r="AL8" i="82"/>
  <c r="AK8" i="82"/>
  <c r="AJ8" i="82"/>
  <c r="AI8" i="82"/>
  <c r="AH8" i="82"/>
  <c r="AG8" i="82"/>
  <c r="AF8" i="82"/>
  <c r="AE8" i="82"/>
  <c r="AD8" i="82"/>
  <c r="AB8" i="82"/>
  <c r="Y8" i="82"/>
  <c r="X8" i="82"/>
  <c r="Z8" i="82" s="1"/>
  <c r="AL7" i="82"/>
  <c r="AK7" i="82"/>
  <c r="AJ7" i="82"/>
  <c r="AI7" i="82"/>
  <c r="AH7" i="82"/>
  <c r="AG7" i="82"/>
  <c r="AF7" i="82"/>
  <c r="AE7" i="82"/>
  <c r="AD7" i="82"/>
  <c r="AB7" i="82"/>
  <c r="Y7" i="82"/>
  <c r="X7" i="82"/>
  <c r="Z7" i="82" s="1"/>
  <c r="AC8" i="82" l="1"/>
  <c r="AC10" i="82"/>
  <c r="AA10" i="82"/>
  <c r="AC7" i="82"/>
  <c r="AC9" i="82"/>
  <c r="AA8" i="82"/>
  <c r="AA9" i="82"/>
  <c r="AA7" i="82"/>
  <c r="Z9" i="82"/>
  <c r="AL6" i="82"/>
  <c r="AK6" i="82"/>
  <c r="AJ6" i="82"/>
  <c r="AI6" i="82"/>
  <c r="AH6" i="82"/>
  <c r="AG6" i="82"/>
  <c r="AF6" i="82"/>
  <c r="AE6" i="82"/>
  <c r="AD6" i="82"/>
  <c r="AB6" i="82"/>
  <c r="Y6" i="82"/>
  <c r="X6" i="82"/>
  <c r="AL5" i="82"/>
  <c r="AK5" i="82"/>
  <c r="AJ5" i="82"/>
  <c r="AI5" i="82"/>
  <c r="AH5" i="82"/>
  <c r="AG5" i="82"/>
  <c r="AF5" i="82"/>
  <c r="AE5" i="82"/>
  <c r="AD5" i="82"/>
  <c r="AB5" i="82"/>
  <c r="Y5" i="82"/>
  <c r="X5" i="82"/>
  <c r="AL4" i="82"/>
  <c r="AK4" i="82"/>
  <c r="AJ4" i="82"/>
  <c r="AI4" i="82"/>
  <c r="AH4" i="82"/>
  <c r="AG4" i="82"/>
  <c r="AF4" i="82"/>
  <c r="AE4" i="82"/>
  <c r="AD4" i="82"/>
  <c r="AB4" i="82"/>
  <c r="Y4" i="82"/>
  <c r="X4" i="82"/>
  <c r="AL3" i="82"/>
  <c r="AK3" i="82"/>
  <c r="AJ3" i="82"/>
  <c r="AI3" i="82"/>
  <c r="AH3" i="82"/>
  <c r="AG3" i="82"/>
  <c r="AF3" i="82"/>
  <c r="AE3" i="82"/>
  <c r="AD3" i="82"/>
  <c r="AB3" i="82"/>
  <c r="Y3" i="82"/>
  <c r="X3" i="82"/>
  <c r="AL2" i="82"/>
  <c r="AK2" i="82"/>
  <c r="AJ2" i="82"/>
  <c r="AI2" i="82"/>
  <c r="AH2" i="82"/>
  <c r="AG2" i="82"/>
  <c r="AF2" i="82"/>
  <c r="AE2" i="82"/>
  <c r="AD2" i="82"/>
  <c r="AB2" i="82"/>
  <c r="Y2" i="82"/>
  <c r="X2" i="82"/>
  <c r="AA2" i="82" l="1"/>
  <c r="AA3" i="82"/>
  <c r="Z4" i="82"/>
  <c r="AA5" i="82"/>
  <c r="AA6" i="82"/>
  <c r="AC4" i="82"/>
  <c r="AC2" i="82"/>
  <c r="AC3" i="82"/>
  <c r="AA4" i="82"/>
  <c r="AC6" i="82"/>
  <c r="AC5" i="82"/>
  <c r="Z5" i="82"/>
  <c r="Z3" i="82"/>
  <c r="Z2" i="82"/>
  <c r="Z6" i="82"/>
  <c r="C31" i="75" l="1"/>
  <c r="G31" i="75"/>
  <c r="H31" i="75"/>
  <c r="D31" i="75"/>
  <c r="H23" i="75" l="1"/>
  <c r="I23" i="75" s="1"/>
  <c r="H22" i="75"/>
  <c r="I22" i="75" s="1"/>
  <c r="H21" i="75"/>
  <c r="I21" i="75" s="1"/>
  <c r="H19" i="75"/>
  <c r="I19" i="75" s="1"/>
  <c r="J19" i="75" s="1"/>
  <c r="H18" i="75"/>
  <c r="I18" i="75" s="1"/>
  <c r="J18" i="75" s="1"/>
  <c r="H17" i="75"/>
  <c r="I17" i="75" s="1"/>
  <c r="J17" i="75" s="1"/>
  <c r="J21" i="75" l="1"/>
  <c r="J22" i="75"/>
  <c r="J23" i="75"/>
  <c r="D26" i="69" l="1"/>
  <c r="E27" i="69" l="1"/>
  <c r="E16" i="69"/>
  <c r="D25" i="69" l="1"/>
  <c r="E26" i="69" l="1"/>
  <c r="E25" i="69"/>
  <c r="E28" i="69"/>
  <c r="D19" i="69"/>
  <c r="C19" i="69"/>
  <c r="C18" i="69"/>
  <c r="C17" i="69"/>
  <c r="D16" i="69"/>
  <c r="C16" i="69"/>
  <c r="C12" i="69"/>
  <c r="C22" i="69" s="1"/>
  <c r="C11" i="69"/>
  <c r="C21" i="69" s="1"/>
  <c r="C9" i="69"/>
  <c r="C8" i="69"/>
  <c r="C10" i="69"/>
  <c r="D20" i="69" s="1"/>
  <c r="E20" i="69" l="1"/>
  <c r="E30" i="69" s="1"/>
  <c r="D30" i="69"/>
  <c r="C13" i="69"/>
  <c r="C23" i="69" s="1"/>
  <c r="C20" i="69"/>
  <c r="C30" i="69" l="1"/>
</calcChain>
</file>

<file path=xl/sharedStrings.xml><?xml version="1.0" encoding="utf-8"?>
<sst xmlns="http://schemas.openxmlformats.org/spreadsheetml/2006/main" count="10028" uniqueCount="2213">
  <si>
    <t>Country</t>
  </si>
  <si>
    <t>3.5+</t>
  </si>
  <si>
    <t>2.5+</t>
  </si>
  <si>
    <t>1.5+</t>
  </si>
  <si>
    <t>GA</t>
  </si>
  <si>
    <t>GF</t>
  </si>
  <si>
    <t>TG</t>
  </si>
  <si>
    <t>PPG</t>
  </si>
  <si>
    <t>GP</t>
  </si>
  <si>
    <t>scope</t>
  </si>
  <si>
    <t>home</t>
  </si>
  <si>
    <t>away</t>
  </si>
  <si>
    <t>LZ</t>
  </si>
  <si>
    <t>0x1</t>
  </si>
  <si>
    <t>1x0</t>
  </si>
  <si>
    <t>xG Casa</t>
  </si>
  <si>
    <t>xG Visitante</t>
  </si>
  <si>
    <t>Linha de Gols</t>
  </si>
  <si>
    <t>Diff de Gols</t>
  </si>
  <si>
    <t>LZ PTs</t>
  </si>
  <si>
    <t>GS &gt; GM Zebra</t>
  </si>
  <si>
    <t>GM Favorito</t>
  </si>
  <si>
    <t>GS Favorito</t>
  </si>
  <si>
    <t>GM Zebra</t>
  </si>
  <si>
    <t>GS Zebra</t>
  </si>
  <si>
    <t>Média</t>
  </si>
  <si>
    <t>Gols Marcados</t>
  </si>
  <si>
    <t>Sofridos</t>
  </si>
  <si>
    <t>Over 2,5</t>
  </si>
  <si>
    <t>xG Mandante</t>
  </si>
  <si>
    <t>TG Mandante</t>
  </si>
  <si>
    <t>TG Visitante</t>
  </si>
  <si>
    <t>Odds</t>
  </si>
  <si>
    <t>Critérios</t>
  </si>
  <si>
    <t>1x0 Zebra</t>
  </si>
  <si>
    <t>Over 2,5 Mandante</t>
  </si>
  <si>
    <t>Over 2,5 Visitante</t>
  </si>
  <si>
    <t>Média Over 2,5</t>
  </si>
  <si>
    <t>Odds Match Odds</t>
  </si>
  <si>
    <t>Odds CS</t>
  </si>
  <si>
    <t>Over 2,5 Média</t>
  </si>
  <si>
    <t>TG Média</t>
  </si>
  <si>
    <t>Aprovado / Negado</t>
  </si>
  <si>
    <t>0x1 Favorito</t>
  </si>
  <si>
    <t>Lay Zebra</t>
  </si>
  <si>
    <t>Gols Marcados Mandante</t>
  </si>
  <si>
    <t>Gols Sofridos Mandante</t>
  </si>
  <si>
    <t>Gols Marcados Visitante</t>
  </si>
  <si>
    <t>Gols Sofridos Visitante</t>
  </si>
  <si>
    <t>Comparação Gols Visitante</t>
  </si>
  <si>
    <t>Over 0,5</t>
  </si>
  <si>
    <t>Horário</t>
  </si>
  <si>
    <t>Jogo</t>
  </si>
  <si>
    <t>Método</t>
  </si>
  <si>
    <t>0x2</t>
  </si>
  <si>
    <t>1x2</t>
  </si>
  <si>
    <t>Total</t>
  </si>
  <si>
    <t>Red</t>
  </si>
  <si>
    <t>Empate</t>
  </si>
  <si>
    <t>Green</t>
  </si>
  <si>
    <t>EV</t>
  </si>
  <si>
    <t>Stake</t>
  </si>
  <si>
    <t>ROI</t>
  </si>
  <si>
    <t>Sniperback Valida Casa</t>
  </si>
  <si>
    <t>Sniperback Valida Fora</t>
  </si>
  <si>
    <t>2x0</t>
  </si>
  <si>
    <t>2x1</t>
  </si>
  <si>
    <t>Lucro</t>
  </si>
  <si>
    <t>Revalida</t>
  </si>
  <si>
    <t>Data</t>
  </si>
  <si>
    <t>Goias x Operario</t>
  </si>
  <si>
    <t>Moss x Sandness</t>
  </si>
  <si>
    <t>Bryne x Asane</t>
  </si>
  <si>
    <t>Breidablink x KA</t>
  </si>
  <si>
    <t>Super Nova x Auda</t>
  </si>
  <si>
    <t>Tammeka x Narva Trans</t>
  </si>
  <si>
    <t>Odd x Hodd</t>
  </si>
  <si>
    <t>Neutro</t>
  </si>
  <si>
    <t>Tipster</t>
  </si>
  <si>
    <t>Valida</t>
  </si>
  <si>
    <t>Masterlist</t>
  </si>
  <si>
    <t>Ambos</t>
  </si>
  <si>
    <t>Fram x Reikjavik</t>
  </si>
  <si>
    <t>Escalações</t>
  </si>
  <si>
    <t>Ok!</t>
  </si>
  <si>
    <t>Bélgica x Irã</t>
  </si>
  <si>
    <t>  ICE</t>
  </si>
  <si>
    <t>  FIN</t>
  </si>
  <si>
    <t>  ECU</t>
  </si>
  <si>
    <t>Vancouver</t>
  </si>
  <si>
    <t>  BRA</t>
  </si>
  <si>
    <t>  CAN</t>
  </si>
  <si>
    <t>  NOR</t>
  </si>
  <si>
    <t>  USA</t>
  </si>
  <si>
    <t>Métodos</t>
  </si>
  <si>
    <t>Filtros</t>
  </si>
  <si>
    <t>Processo</t>
  </si>
  <si>
    <t>Lay 2x2</t>
  </si>
  <si>
    <t>BnR</t>
  </si>
  <si>
    <t>Lista;
Odd;
Liquidez</t>
  </si>
  <si>
    <t>BnR (a partir de 8)</t>
  </si>
  <si>
    <t>Contraponto</t>
  </si>
  <si>
    <t>Cscore</t>
  </si>
  <si>
    <t>Indicação Telegram</t>
  </si>
  <si>
    <t>Valida 0x1</t>
  </si>
  <si>
    <t>Lay CS</t>
  </si>
  <si>
    <t>Leo Farias</t>
  </si>
  <si>
    <t xml:space="preserve">Revalida / LTD+1x1 </t>
  </si>
  <si>
    <t>Sniperback / Over Limite</t>
  </si>
  <si>
    <t>BnR Robô</t>
  </si>
  <si>
    <t>Jogos ao vivo;
Se vier no BnR Robô, entrar
Se aparecer no Cscore, validar no BnR e chutes no Gol (3x1, 1x3 ou 2x2)</t>
  </si>
  <si>
    <t>Chengdu</t>
  </si>
  <si>
    <t>Cscore:
Odd Visitante &lt;2.6 + Over
Visitante melhor classificado que o mandante
Filtro individual (dados Academia das Apostas)
Race
Valor no Cscore
Escalações
Verifiicar lista SoccerStats para ver se estou perdendo oportunidade</t>
  </si>
  <si>
    <t>Bolsa de Apostas: Odds Fora &gt; 7
Filtro individual (dados Academia das Apostas)
Race
Valor no Cscore;
Escalações;
Verifiicar lista SoccerStats para ver se estou perdendo oportunidade</t>
  </si>
  <si>
    <t> ARG</t>
  </si>
  <si>
    <t>Deportivo Maipu</t>
  </si>
  <si>
    <t>SM Tucuman</t>
  </si>
  <si>
    <t>  ARG</t>
  </si>
  <si>
    <t>Nueva Chicago</t>
  </si>
  <si>
    <t>Agropecuario</t>
  </si>
  <si>
    <t>Ferro Carril</t>
  </si>
  <si>
    <t>Colon Santa Fe</t>
  </si>
  <si>
    <t>Ciudad Bolivar</t>
  </si>
  <si>
    <t>All Boys</t>
  </si>
  <si>
    <t>Temperley</t>
  </si>
  <si>
    <t>A. Rafaela</t>
  </si>
  <si>
    <t>  AUS</t>
  </si>
  <si>
    <t>Bentleigh G.</t>
  </si>
  <si>
    <t>Dandenong City</t>
  </si>
  <si>
    <t>Green Gully</t>
  </si>
  <si>
    <t>Dandenong T.</t>
  </si>
  <si>
    <t>Bayswater</t>
  </si>
  <si>
    <t>Sorrento</t>
  </si>
  <si>
    <t>Perth SC</t>
  </si>
  <si>
    <t>Western Knights</t>
  </si>
  <si>
    <t>Campbelltown</t>
  </si>
  <si>
    <t>Adelaide Comets</t>
  </si>
  <si>
    <t>West Torrens</t>
  </si>
  <si>
    <t>Para Hills</t>
  </si>
  <si>
    <t>Sydney FC B</t>
  </si>
  <si>
    <t>Manly Utd</t>
  </si>
  <si>
    <t>Bahia</t>
  </si>
  <si>
    <t>Chapecoense</t>
  </si>
  <si>
    <t>Fluminense</t>
  </si>
  <si>
    <t>Bragantino</t>
  </si>
  <si>
    <t>Mirassol</t>
  </si>
  <si>
    <t>Gremio</t>
  </si>
  <si>
    <t>America MG</t>
  </si>
  <si>
    <t>Ceara</t>
  </si>
  <si>
    <t>Juventude</t>
  </si>
  <si>
    <t>Cuiaba</t>
  </si>
  <si>
    <t>Sao Bernardo</t>
  </si>
  <si>
    <t>Avai</t>
  </si>
  <si>
    <t>A. Ottawa</t>
  </si>
  <si>
    <t>York Utd</t>
  </si>
  <si>
    <t>Supra du Quebec</t>
  </si>
  <si>
    <t>Vancouver FC</t>
  </si>
  <si>
    <t>  CHI</t>
  </si>
  <si>
    <t>Qingdao West C.</t>
  </si>
  <si>
    <t>Beijing Guoan</t>
  </si>
  <si>
    <t>Liaoning Tieren</t>
  </si>
  <si>
    <t>Henan SL</t>
  </si>
  <si>
    <t>Qingdao Hainiu</t>
  </si>
  <si>
    <t>Yunnan Yukun</t>
  </si>
  <si>
    <t>Shanghai Port</t>
  </si>
  <si>
    <t>Changchun Yatai</t>
  </si>
  <si>
    <t>Wuxi Wugou</t>
  </si>
  <si>
    <t>Suzhou Dongwu</t>
  </si>
  <si>
    <t>Shenzhen J.</t>
  </si>
  <si>
    <t>Foshan Nanshi</t>
  </si>
  <si>
    <t>Nantong Zhiyun</t>
  </si>
  <si>
    <t>S. Gongfu</t>
  </si>
  <si>
    <t>Yanbian Longdin</t>
  </si>
  <si>
    <t>Orense</t>
  </si>
  <si>
    <t>Emelec</t>
  </si>
  <si>
    <t>  EST</t>
  </si>
  <si>
    <t>Flora</t>
  </si>
  <si>
    <t>Nomme Utd</t>
  </si>
  <si>
    <t>KaPa</t>
  </si>
  <si>
    <t>SJK Akatemia</t>
  </si>
  <si>
    <t>Klubi-04</t>
  </si>
  <si>
    <t>Haka</t>
  </si>
  <si>
    <t>GrIFK</t>
  </si>
  <si>
    <t>AIFK</t>
  </si>
  <si>
    <t>Vaajakoski</t>
  </si>
  <si>
    <t>Huima/Urho</t>
  </si>
  <si>
    <t>Fylkir</t>
  </si>
  <si>
    <t>Njardvik</t>
  </si>
  <si>
    <t>Haukar</t>
  </si>
  <si>
    <t>Throttur Vogar</t>
  </si>
  <si>
    <t>KFG</t>
  </si>
  <si>
    <t>Kari</t>
  </si>
  <si>
    <t>Hviti Riddarinn</t>
  </si>
  <si>
    <t>V. Olafsvik</t>
  </si>
  <si>
    <t>Bodo/Glimt</t>
  </si>
  <si>
    <t>Fredrikstad</t>
  </si>
  <si>
    <t>  SOU</t>
  </si>
  <si>
    <t>Suwon FMC W</t>
  </si>
  <si>
    <t>Hwacheon W</t>
  </si>
  <si>
    <t>  SWE</t>
  </si>
  <si>
    <t>IFK Goteborg</t>
  </si>
  <si>
    <t>Brommapojkarna</t>
  </si>
  <si>
    <t>Mjallby</t>
  </si>
  <si>
    <t>Vasteras</t>
  </si>
  <si>
    <t>  URU</t>
  </si>
  <si>
    <t>Albion</t>
  </si>
  <si>
    <t>Juventud</t>
  </si>
  <si>
    <t>Nacional</t>
  </si>
  <si>
    <t>Wanderers</t>
  </si>
  <si>
    <t>Chicago Fire</t>
  </si>
  <si>
    <t>St. Louis City</t>
  </si>
  <si>
    <t>Sporting KC</t>
  </si>
  <si>
    <t>Seattle</t>
  </si>
  <si>
    <t>Portland</t>
  </si>
  <si>
    <t>LA</t>
  </si>
  <si>
    <t>  GER</t>
  </si>
  <si>
    <t>2.00</t>
  </si>
  <si>
    <t>1.00</t>
  </si>
  <si>
    <t>3.00</t>
  </si>
  <si>
    <t>0.00</t>
  </si>
  <si>
    <t>1.50</t>
  </si>
  <si>
    <t>2.50</t>
  </si>
  <si>
    <t>0.75</t>
  </si>
  <si>
    <t>1.75</t>
  </si>
  <si>
    <t>1.33</t>
  </si>
  <si>
    <t>2.25</t>
  </si>
  <si>
    <t>4.00</t>
  </si>
  <si>
    <t>1.40</t>
  </si>
  <si>
    <t>1.11</t>
  </si>
  <si>
    <t>1.56</t>
  </si>
  <si>
    <t>2.56</t>
  </si>
  <si>
    <t>1.89</t>
  </si>
  <si>
    <t>1.44</t>
  </si>
  <si>
    <t>2.10</t>
  </si>
  <si>
    <t>1.80</t>
  </si>
  <si>
    <t>3.90</t>
  </si>
  <si>
    <t>1.88</t>
  </si>
  <si>
    <t>0.63</t>
  </si>
  <si>
    <t>6.00</t>
  </si>
  <si>
    <t>1.63</t>
  </si>
  <si>
    <t>2.13</t>
  </si>
  <si>
    <t>3.44</t>
  </si>
  <si>
    <t>  NET</t>
  </si>
  <si>
    <t>  POR</t>
  </si>
  <si>
    <t>  ENG</t>
  </si>
  <si>
    <t>  SPA</t>
  </si>
  <si>
    <t>3.50</t>
  </si>
  <si>
    <t>0.50</t>
  </si>
  <si>
    <t>0.90</t>
  </si>
  <si>
    <t>1.90</t>
  </si>
  <si>
    <t>1.08</t>
  </si>
  <si>
    <t>1.58</t>
  </si>
  <si>
    <t>2.17</t>
  </si>
  <si>
    <t>  ARM</t>
  </si>
  <si>
    <t>5.50</t>
  </si>
  <si>
    <t>1.18</t>
  </si>
  <si>
    <t>1.64</t>
  </si>
  <si>
    <t>2.82</t>
  </si>
  <si>
    <t>3.36</t>
  </si>
  <si>
    <t>1.73</t>
  </si>
  <si>
    <t>1.36</t>
  </si>
  <si>
    <t>2.27</t>
  </si>
  <si>
    <t>0.64</t>
  </si>
  <si>
    <t>2.91</t>
  </si>
  <si>
    <t>0.91</t>
  </si>
  <si>
    <t>1.27</t>
  </si>
  <si>
    <t>0.40</t>
  </si>
  <si>
    <t>2.20</t>
  </si>
  <si>
    <t>1.60</t>
  </si>
  <si>
    <t>3.70</t>
  </si>
  <si>
    <t>1.20</t>
  </si>
  <si>
    <t>1.30</t>
  </si>
  <si>
    <t>3.80</t>
  </si>
  <si>
    <t>1.70</t>
  </si>
  <si>
    <t>1.10</t>
  </si>
  <si>
    <t>2.80</t>
  </si>
  <si>
    <t>2.90</t>
  </si>
  <si>
    <t>3.20</t>
  </si>
  <si>
    <t>5.00</t>
  </si>
  <si>
    <t>2.30</t>
  </si>
  <si>
    <t>3.10</t>
  </si>
  <si>
    <t>3.40</t>
  </si>
  <si>
    <t>2.60</t>
  </si>
  <si>
    <t>3.60</t>
  </si>
  <si>
    <t>1.22</t>
  </si>
  <si>
    <t>3.56</t>
  </si>
  <si>
    <t>1.38</t>
  </si>
  <si>
    <t>1.62</t>
  </si>
  <si>
    <t>0.83</t>
  </si>
  <si>
    <t>  BEL</t>
  </si>
  <si>
    <t>1.29</t>
  </si>
  <si>
    <t>2.14</t>
  </si>
  <si>
    <t>0.86</t>
  </si>
  <si>
    <t>1.25</t>
  </si>
  <si>
    <t>1.13</t>
  </si>
  <si>
    <t>2.38</t>
  </si>
  <si>
    <t>0.88</t>
  </si>
  <si>
    <t>3.43</t>
  </si>
  <si>
    <t>0.73</t>
  </si>
  <si>
    <t>2.36</t>
  </si>
  <si>
    <t>0.55</t>
  </si>
  <si>
    <t>1.09</t>
  </si>
  <si>
    <t>1.45</t>
  </si>
  <si>
    <t>1.55</t>
  </si>
  <si>
    <t>2.73</t>
  </si>
  <si>
    <t>  BUL</t>
  </si>
  <si>
    <t>0.89</t>
  </si>
  <si>
    <t>2.22</t>
  </si>
  <si>
    <t>0.56</t>
  </si>
  <si>
    <t>2.89</t>
  </si>
  <si>
    <t>0.67</t>
  </si>
  <si>
    <t>1.91</t>
  </si>
  <si>
    <t>2.45</t>
  </si>
  <si>
    <t>0.82</t>
  </si>
  <si>
    <t>2.18</t>
  </si>
  <si>
    <t>2.09</t>
  </si>
  <si>
    <t>  COL</t>
  </si>
  <si>
    <t>Botafogo</t>
  </si>
  <si>
    <t>Rosario Central</t>
  </si>
  <si>
    <t>Corinthians</t>
  </si>
  <si>
    <t>  CRO</t>
  </si>
  <si>
    <t>  CZE</t>
  </si>
  <si>
    <t>  DEN</t>
  </si>
  <si>
    <t>3.33</t>
  </si>
  <si>
    <t>0.78</t>
  </si>
  <si>
    <t>2.67</t>
  </si>
  <si>
    <t>0.44</t>
  </si>
  <si>
    <t>4.50</t>
  </si>
  <si>
    <t>  HUN</t>
  </si>
  <si>
    <t>2.88</t>
  </si>
  <si>
    <t>2.75</t>
  </si>
  <si>
    <t>  JAP</t>
  </si>
  <si>
    <t>3.13</t>
  </si>
  <si>
    <t>2.11</t>
  </si>
  <si>
    <t>2.33</t>
  </si>
  <si>
    <t>0.20</t>
  </si>
  <si>
    <t>  PAR</t>
  </si>
  <si>
    <t>  POL</t>
  </si>
  <si>
    <t>  ROM</t>
  </si>
  <si>
    <t>  RUS</t>
  </si>
  <si>
    <t>3.11</t>
  </si>
  <si>
    <t>2.78</t>
  </si>
  <si>
    <t>3.38</t>
  </si>
  <si>
    <t>1.78</t>
  </si>
  <si>
    <t>1.67</t>
  </si>
  <si>
    <t>3.63</t>
  </si>
  <si>
    <t>3.25</t>
  </si>
  <si>
    <t>0.38</t>
  </si>
  <si>
    <t>1.17</t>
  </si>
  <si>
    <t>3.67</t>
  </si>
  <si>
    <t>1.14</t>
  </si>
  <si>
    <t>3.29</t>
  </si>
  <si>
    <t>1.86</t>
  </si>
  <si>
    <t>0.57</t>
  </si>
  <si>
    <t>2.43</t>
  </si>
  <si>
    <t>  TUR</t>
  </si>
  <si>
    <t>  UKR</t>
  </si>
  <si>
    <t>7.00</t>
  </si>
  <si>
    <t>Telstar</t>
  </si>
  <si>
    <t>Sparta</t>
  </si>
  <si>
    <t>Sporting CP</t>
  </si>
  <si>
    <t>Guimaraes</t>
  </si>
  <si>
    <t>Wolverhampton</t>
  </si>
  <si>
    <t>Blackburn</t>
  </si>
  <si>
    <t>Real Sociedad B</t>
  </si>
  <si>
    <t>Castellon</t>
  </si>
  <si>
    <t>  FRA</t>
  </si>
  <si>
    <t>Annecy</t>
  </si>
  <si>
    <t>Rodez Aveyron</t>
  </si>
  <si>
    <t>Dijon</t>
  </si>
  <si>
    <t>Pau FC</t>
  </si>
  <si>
    <t>Grenoble</t>
  </si>
  <si>
    <t>Metz</t>
  </si>
  <si>
    <t>Guingamp</t>
  </si>
  <si>
    <t>Boulogne</t>
  </si>
  <si>
    <t>Laval</t>
  </si>
  <si>
    <t>Nantes</t>
  </si>
  <si>
    <t>Nancy</t>
  </si>
  <si>
    <t>Montpellier</t>
  </si>
  <si>
    <t>Red Star</t>
  </si>
  <si>
    <t>Sochaux</t>
  </si>
  <si>
    <t>Reims</t>
  </si>
  <si>
    <t>USL Dunkerque</t>
  </si>
  <si>
    <t>Saint-Etienne</t>
  </si>
  <si>
    <t>Clermont</t>
  </si>
  <si>
    <t>Braunschweig</t>
  </si>
  <si>
    <t>Bochum</t>
  </si>
  <si>
    <t>Holstein Kiel</t>
  </si>
  <si>
    <t>Sankt Pauli</t>
  </si>
  <si>
    <t>Almere City</t>
  </si>
  <si>
    <t>Jong PSV</t>
  </si>
  <si>
    <t>FC Eindhoven</t>
  </si>
  <si>
    <t>MVV Maastricht</t>
  </si>
  <si>
    <t>Heracles Almelo</t>
  </si>
  <si>
    <t>FC Den Bosch</t>
  </si>
  <si>
    <t>NAC Breda</t>
  </si>
  <si>
    <t>VVV</t>
  </si>
  <si>
    <t>RKC Waalwijk</t>
  </si>
  <si>
    <t>FC Dordrecht</t>
  </si>
  <si>
    <t>Roda JC</t>
  </si>
  <si>
    <t>Helmond Sport</t>
  </si>
  <si>
    <t>Racing Club</t>
  </si>
  <si>
    <t>Banfield</t>
  </si>
  <si>
    <t>Acassuso</t>
  </si>
  <si>
    <t>Midland</t>
  </si>
  <si>
    <t>D. de Belgrano</t>
  </si>
  <si>
    <t>Gandzasar</t>
  </si>
  <si>
    <t>Shirak</t>
  </si>
  <si>
    <t>Altona Magic</t>
  </si>
  <si>
    <t>3.64</t>
  </si>
  <si>
    <t>Oakleigh C.</t>
  </si>
  <si>
    <t>St. Albans</t>
  </si>
  <si>
    <t>0.30</t>
  </si>
  <si>
    <t>Brisbane Roar B</t>
  </si>
  <si>
    <t>Gold C. Knights</t>
  </si>
  <si>
    <t>Gold C. Utd</t>
  </si>
  <si>
    <t>Eastern Suburbs</t>
  </si>
  <si>
    <t>Moreton City E.</t>
  </si>
  <si>
    <t>Q. Lions</t>
  </si>
  <si>
    <t>4.10</t>
  </si>
  <si>
    <t>Olympic FC</t>
  </si>
  <si>
    <t>Rochedale</t>
  </si>
  <si>
    <t>Peninsula</t>
  </si>
  <si>
    <t>Brisbane City</t>
  </si>
  <si>
    <t>4.60</t>
  </si>
  <si>
    <t>Wynnum Wolves</t>
  </si>
  <si>
    <t>Magic United</t>
  </si>
  <si>
    <t>4.78</t>
  </si>
  <si>
    <t>Stirling</t>
  </si>
  <si>
    <t>1.15</t>
  </si>
  <si>
    <t>2.54</t>
  </si>
  <si>
    <t>St George City</t>
  </si>
  <si>
    <t>LASK Linz</t>
  </si>
  <si>
    <t>Ried</t>
  </si>
  <si>
    <t>WSPG Wels</t>
  </si>
  <si>
    <t>Rapid Wien B</t>
  </si>
  <si>
    <t>St. Polten</t>
  </si>
  <si>
    <t>BW Linz</t>
  </si>
  <si>
    <t>  AZE</t>
  </si>
  <si>
    <t>Kapaz</t>
  </si>
  <si>
    <t>Sabah</t>
  </si>
  <si>
    <t>Turan</t>
  </si>
  <si>
    <t>Qabala</t>
  </si>
  <si>
    <t>Arsenal D.</t>
  </si>
  <si>
    <t>Slavia Mozyr</t>
  </si>
  <si>
    <t>Dnepr Mogilev</t>
  </si>
  <si>
    <t>Belshina</t>
  </si>
  <si>
    <t>0.43</t>
  </si>
  <si>
    <t>Cercle Brugge</t>
  </si>
  <si>
    <t>Sint-Truiden</t>
  </si>
  <si>
    <t>S. Hasselt</t>
  </si>
  <si>
    <t>Dender</t>
  </si>
  <si>
    <t>Seraing</t>
  </si>
  <si>
    <t>Lokeren-Temse</t>
  </si>
  <si>
    <t>  BOS</t>
  </si>
  <si>
    <t>Celik</t>
  </si>
  <si>
    <t>Siroki Brijeg</t>
  </si>
  <si>
    <t>Ponte Preta</t>
  </si>
  <si>
    <t>Nautico</t>
  </si>
  <si>
    <t>Botafogo SP</t>
  </si>
  <si>
    <t>Sport Recife</t>
  </si>
  <si>
    <t>Londrina</t>
  </si>
  <si>
    <t>CSKA 1948 Sofia</t>
  </si>
  <si>
    <t>Cherno More</t>
  </si>
  <si>
    <t>Fratria</t>
  </si>
  <si>
    <t>Beroe</t>
  </si>
  <si>
    <t>U. Concepcion</t>
  </si>
  <si>
    <t>La Serena</t>
  </si>
  <si>
    <t>Curico Unido</t>
  </si>
  <si>
    <t>CD Santa Cruz</t>
  </si>
  <si>
    <t>D. Iquique</t>
  </si>
  <si>
    <t>Copiapo</t>
  </si>
  <si>
    <t>3.73</t>
  </si>
  <si>
    <t>Shandong T.</t>
  </si>
  <si>
    <t>0.36</t>
  </si>
  <si>
    <t>Wuhan Three T.</t>
  </si>
  <si>
    <t>Chongqing T.</t>
  </si>
  <si>
    <t>Llaneros</t>
  </si>
  <si>
    <t>Deportes Tolima</t>
  </si>
  <si>
    <t> COPASU</t>
  </si>
  <si>
    <t>Cienciano</t>
  </si>
  <si>
    <t> LIB</t>
  </si>
  <si>
    <t>Dinamo Zagreb</t>
  </si>
  <si>
    <t>Rudes</t>
  </si>
  <si>
    <t>Dukla Praha</t>
  </si>
  <si>
    <t>Slavia Prague B</t>
  </si>
  <si>
    <t>Kladno</t>
  </si>
  <si>
    <t>Vlasim</t>
  </si>
  <si>
    <t>Viborg</t>
  </si>
  <si>
    <t>AGF Aarhus</t>
  </si>
  <si>
    <t>Aalborg BK</t>
  </si>
  <si>
    <t>Fredericia</t>
  </si>
  <si>
    <t>Kolding IF</t>
  </si>
  <si>
    <t>Vejle BK</t>
  </si>
  <si>
    <t>Hellerup IK</t>
  </si>
  <si>
    <t>FA 2000</t>
  </si>
  <si>
    <t>Brabrand</t>
  </si>
  <si>
    <t>Naestved</t>
  </si>
  <si>
    <t>Nykobing</t>
  </si>
  <si>
    <t>B 93</t>
  </si>
  <si>
    <t>Skive</t>
  </si>
  <si>
    <t>Fremad Amager</t>
  </si>
  <si>
    <t>Dagenham e R.</t>
  </si>
  <si>
    <t>Farnham Town</t>
  </si>
  <si>
    <t>AFC Emley</t>
  </si>
  <si>
    <t>Curzon</t>
  </si>
  <si>
    <t>4.45</t>
  </si>
  <si>
    <t>Tammeka</t>
  </si>
  <si>
    <t>VPS</t>
  </si>
  <si>
    <t>TPS</t>
  </si>
  <si>
    <t>JaPS</t>
  </si>
  <si>
    <t>Amiens</t>
  </si>
  <si>
    <t>La Roche</t>
  </si>
  <si>
    <t>Aubagne</t>
  </si>
  <si>
    <t>SC Bastia</t>
  </si>
  <si>
    <t>Cannes</t>
  </si>
  <si>
    <t>Fleury-Merogis</t>
  </si>
  <si>
    <t>Orleans</t>
  </si>
  <si>
    <t>Rouen</t>
  </si>
  <si>
    <t>Quevilly Rouen</t>
  </si>
  <si>
    <t>Concarneau</t>
  </si>
  <si>
    <t>Thionville L.</t>
  </si>
  <si>
    <t>Caen</t>
  </si>
  <si>
    <t>Valenciennes</t>
  </si>
  <si>
    <t>Bourg-en-Bresse</t>
  </si>
  <si>
    <t>Versailles</t>
  </si>
  <si>
    <t>Le Puy</t>
  </si>
  <si>
    <t>Villefranche</t>
  </si>
  <si>
    <t>Paris 13 A.</t>
  </si>
  <si>
    <t>Wurzburger K.</t>
  </si>
  <si>
    <t>Wehen Wiesbaden</t>
  </si>
  <si>
    <t>Babelsberg</t>
  </si>
  <si>
    <t>RSV Eintracht</t>
  </si>
  <si>
    <t>Chemie Leipzig</t>
  </si>
  <si>
    <t>Carl Zeiss Jena</t>
  </si>
  <si>
    <t>Hertha Berlin B</t>
  </si>
  <si>
    <t>BFC Dynamo</t>
  </si>
  <si>
    <t>Zwickau</t>
  </si>
  <si>
    <t>Luckenwalde</t>
  </si>
  <si>
    <t>Bergisch G.</t>
  </si>
  <si>
    <t>Dortmund B</t>
  </si>
  <si>
    <t>Bonner SC</t>
  </si>
  <si>
    <t>Lotte</t>
  </si>
  <si>
    <t>Schalke 04 B</t>
  </si>
  <si>
    <t>S. Siegen</t>
  </si>
  <si>
    <t>W. Rhynern</t>
  </si>
  <si>
    <t>Wiedenbruck</t>
  </si>
  <si>
    <t>Ulm</t>
  </si>
  <si>
    <t>Kickers Offenb.</t>
  </si>
  <si>
    <t>Augsburg B</t>
  </si>
  <si>
    <t>Vilzing</t>
  </si>
  <si>
    <t>Eichstatt</t>
  </si>
  <si>
    <t>Ansbach</t>
  </si>
  <si>
    <t>Greuther F. B</t>
  </si>
  <si>
    <t>Landsberg</t>
  </si>
  <si>
    <t>Buchbach</t>
  </si>
  <si>
    <t>Aubstadt</t>
  </si>
  <si>
    <t>Eltersdorf</t>
  </si>
  <si>
    <t>Nurnberg B</t>
  </si>
  <si>
    <t>Illertissen</t>
  </si>
  <si>
    <t>Unterhaching</t>
  </si>
  <si>
    <t>Memmingen</t>
  </si>
  <si>
    <t>1860 Munchen</t>
  </si>
  <si>
    <t>Schweinfurt</t>
  </si>
  <si>
    <t>Bayreuth</t>
  </si>
  <si>
    <t>W. Burghausen</t>
  </si>
  <si>
    <t>Schwaben A.</t>
  </si>
  <si>
    <t>Honved</t>
  </si>
  <si>
    <t>Vasas</t>
  </si>
  <si>
    <t>Tokyo Verdy</t>
  </si>
  <si>
    <t>Kashiwa Reysol</t>
  </si>
  <si>
    <t>Rosenborg</t>
  </si>
  <si>
    <t>Viking</t>
  </si>
  <si>
    <t>Bodo/Glimt W</t>
  </si>
  <si>
    <t>Valerenga W</t>
  </si>
  <si>
    <t>D. Recoleta</t>
  </si>
  <si>
    <t>2 de Mayo</t>
  </si>
  <si>
    <t>Legia Warsaw</t>
  </si>
  <si>
    <t>Radomiak Radom</t>
  </si>
  <si>
    <t>Grodzisk M.</t>
  </si>
  <si>
    <t>Stal Rzeszow</t>
  </si>
  <si>
    <t>Ruch Chorzow</t>
  </si>
  <si>
    <t>Lechia Gdansk</t>
  </si>
  <si>
    <t>Gornik Leczna</t>
  </si>
  <si>
    <t>NKP Podhale</t>
  </si>
  <si>
    <t>Académica</t>
  </si>
  <si>
    <t>Feirense</t>
  </si>
  <si>
    <t>Voluntari</t>
  </si>
  <si>
    <t>Petrolul</t>
  </si>
  <si>
    <t>Arges</t>
  </si>
  <si>
    <t>Farul Constanta</t>
  </si>
  <si>
    <t>Orenburg</t>
  </si>
  <si>
    <t>Lokomotiv M.</t>
  </si>
  <si>
    <t>  SAU</t>
  </si>
  <si>
    <t>Neom SC</t>
  </si>
  <si>
    <t>Al Feiha</t>
  </si>
  <si>
    <t>Al Hilal</t>
  </si>
  <si>
    <t>Al Faisaly</t>
  </si>
  <si>
    <t>Al Ittifaq</t>
  </si>
  <si>
    <t>Al Riyadh</t>
  </si>
  <si>
    <t>Stellenbosch</t>
  </si>
  <si>
    <t>Marumo G.</t>
  </si>
  <si>
    <t>Seoul W</t>
  </si>
  <si>
    <t>Gyeongju W</t>
  </si>
  <si>
    <t>Mungyeong W</t>
  </si>
  <si>
    <t>Elfsborg</t>
  </si>
  <si>
    <t>Brage</t>
  </si>
  <si>
    <t>Orebro</t>
  </si>
  <si>
    <t>Landskrona</t>
  </si>
  <si>
    <t>Oddevold</t>
  </si>
  <si>
    <t>AFC Eskilstuna</t>
  </si>
  <si>
    <t>Hammarby Talang</t>
  </si>
  <si>
    <t>Lund</t>
  </si>
  <si>
    <t>Hassleholms IF</t>
  </si>
  <si>
    <t>Vaxjo W</t>
  </si>
  <si>
    <t>Djurgarden W</t>
  </si>
  <si>
    <t>Galatasaray</t>
  </si>
  <si>
    <t>Corum</t>
  </si>
  <si>
    <t>Erokspor</t>
  </si>
  <si>
    <t>Sariyer</t>
  </si>
  <si>
    <t>Episentr</t>
  </si>
  <si>
    <t>Veres</t>
  </si>
  <si>
    <t>Boston River</t>
  </si>
  <si>
    <t>Danubio</t>
  </si>
  <si>
    <t>  WAL</t>
  </si>
  <si>
    <t>Airbus UK</t>
  </si>
  <si>
    <t>Ammanford</t>
  </si>
  <si>
    <t>Cambrian e Clyd</t>
  </si>
  <si>
    <t>Flint</t>
  </si>
  <si>
    <t>Connahs Quay</t>
  </si>
  <si>
    <t>Trefelin</t>
  </si>
  <si>
    <t>Haverfordwest</t>
  </si>
  <si>
    <t>Penybont</t>
  </si>
  <si>
    <t>Llandudno</t>
  </si>
  <si>
    <t>Holywell</t>
  </si>
  <si>
    <t>The New Saints</t>
  </si>
  <si>
    <t>Briton Ferry</t>
  </si>
  <si>
    <t> SPA</t>
  </si>
  <si>
    <t>Alaves</t>
  </si>
  <si>
    <t>Getafe</t>
  </si>
  <si>
    <t>Sevilla FC</t>
  </si>
  <si>
    <t>Rayo Vallecano</t>
  </si>
  <si>
    <t>Willem II</t>
  </si>
  <si>
    <t>NEC Nijmegen</t>
  </si>
  <si>
    <t>FC Utrecht</t>
  </si>
  <si>
    <t>AZ Alkmaar</t>
  </si>
  <si>
    <t>Excelsior</t>
  </si>
  <si>
    <t>PSV Eindhoven</t>
  </si>
  <si>
    <t>Fortuna Sittard</t>
  </si>
  <si>
    <t>Cambuur</t>
  </si>
  <si>
    <t>Alverca</t>
  </si>
  <si>
    <t>Estrela Amadora</t>
  </si>
  <si>
    <t>Academico Viseu</t>
  </si>
  <si>
    <t>Santa Clara</t>
  </si>
  <si>
    <t>Rio Ave</t>
  </si>
  <si>
    <t>FC Porto</t>
  </si>
  <si>
    <t>Bolton</t>
  </si>
  <si>
    <t>Preston</t>
  </si>
  <si>
    <t>Bristol City</t>
  </si>
  <si>
    <t>Millwall</t>
  </si>
  <si>
    <t>Charlton</t>
  </si>
  <si>
    <t>Derby County</t>
  </si>
  <si>
    <t>Middlesbrough</t>
  </si>
  <si>
    <t>Lincoln City</t>
  </si>
  <si>
    <t>Norwich City</t>
  </si>
  <si>
    <t>West Brom</t>
  </si>
  <si>
    <t>Portsmouth</t>
  </si>
  <si>
    <t>QP Rangers</t>
  </si>
  <si>
    <t>Stoke City</t>
  </si>
  <si>
    <t>Swansea City</t>
  </si>
  <si>
    <t>Sheffield Utd</t>
  </si>
  <si>
    <t>Birmingham City</t>
  </si>
  <si>
    <t>Notts County</t>
  </si>
  <si>
    <t>Leicester City</t>
  </si>
  <si>
    <t>Oxford Utd</t>
  </si>
  <si>
    <t>Milton Keynes</t>
  </si>
  <si>
    <t>Reading</t>
  </si>
  <si>
    <t>Luton Town</t>
  </si>
  <si>
    <t>Barnsley</t>
  </si>
  <si>
    <t>Bromley</t>
  </si>
  <si>
    <t>Blackpool</t>
  </si>
  <si>
    <t>Wycombe</t>
  </si>
  <si>
    <t>Bradford</t>
  </si>
  <si>
    <t>Peterborough</t>
  </si>
  <si>
    <t>Burton Albion</t>
  </si>
  <si>
    <t>Stevenage</t>
  </si>
  <si>
    <t>Cambridge Utd</t>
  </si>
  <si>
    <t>Wigan Athletic</t>
  </si>
  <si>
    <t>Huddersfield</t>
  </si>
  <si>
    <t>AFC Wimbledon</t>
  </si>
  <si>
    <t>Leyton Orient</t>
  </si>
  <si>
    <t>Sheffield Wed</t>
  </si>
  <si>
    <t>Mansfield</t>
  </si>
  <si>
    <t>Doncaster</t>
  </si>
  <si>
    <t>Plymouth</t>
  </si>
  <si>
    <t>Stockport</t>
  </si>
  <si>
    <t>Newport</t>
  </si>
  <si>
    <t>Rochdale</t>
  </si>
  <si>
    <t>Oldham</t>
  </si>
  <si>
    <t>Port Vale</t>
  </si>
  <si>
    <t>Accrington</t>
  </si>
  <si>
    <t>Colchester Utd</t>
  </si>
  <si>
    <t>Barnet</t>
  </si>
  <si>
    <t>Salford City</t>
  </si>
  <si>
    <t>Cheltenham</t>
  </si>
  <si>
    <t>Rotherham</t>
  </si>
  <si>
    <t>Chesterfield</t>
  </si>
  <si>
    <t>Fleetwood</t>
  </si>
  <si>
    <t>Crawley Town</t>
  </si>
  <si>
    <t>Crewe Alexandra</t>
  </si>
  <si>
    <t>Gillingham</t>
  </si>
  <si>
    <t>Walsall</t>
  </si>
  <si>
    <t>Grimsby</t>
  </si>
  <si>
    <t>Exeter City</t>
  </si>
  <si>
    <t>Northampton</t>
  </si>
  <si>
    <t>Swindon Town</t>
  </si>
  <si>
    <t>Tranmere</t>
  </si>
  <si>
    <t>Shrewsbury</t>
  </si>
  <si>
    <t>York City</t>
  </si>
  <si>
    <t>Bristol Rovers</t>
  </si>
  <si>
    <t>Aldershot Town</t>
  </si>
  <si>
    <t>Hartlepool</t>
  </si>
  <si>
    <t>Barrow</t>
  </si>
  <si>
    <t>Hornchurch</t>
  </si>
  <si>
    <t>Gateshead FC</t>
  </si>
  <si>
    <t>Woking</t>
  </si>
  <si>
    <t>Halifax Town</t>
  </si>
  <si>
    <t>Boreham Wood</t>
  </si>
  <si>
    <t>Kidderminster</t>
  </si>
  <si>
    <t>Eastleigh</t>
  </si>
  <si>
    <t>Solihull Moors</t>
  </si>
  <si>
    <t>Boston Utd</t>
  </si>
  <si>
    <t>Southend Utd</t>
  </si>
  <si>
    <t>Scunthorpe</t>
  </si>
  <si>
    <t>Sutton Utd</t>
  </si>
  <si>
    <t>Altrincham</t>
  </si>
  <si>
    <t>Tamworth</t>
  </si>
  <si>
    <t>AFC Fylde</t>
  </si>
  <si>
    <t>Wealdstone</t>
  </si>
  <si>
    <t>Harrogate</t>
  </si>
  <si>
    <t>Worthing</t>
  </si>
  <si>
    <t>Forest Green</t>
  </si>
  <si>
    <t>Yeovil Town</t>
  </si>
  <si>
    <t>Carlisle Utd</t>
  </si>
  <si>
    <t>FC Andorra</t>
  </si>
  <si>
    <t>Ceuta</t>
  </si>
  <si>
    <t>Cadiz</t>
  </si>
  <si>
    <t>Celta Vigo B</t>
  </si>
  <si>
    <t>Real Oviedo</t>
  </si>
  <si>
    <t>Granada</t>
  </si>
  <si>
    <t>Mallorca</t>
  </si>
  <si>
    <t>Valladolid</t>
  </si>
  <si>
    <t>Greuther Furth</t>
  </si>
  <si>
    <t>FC Nurnberg</t>
  </si>
  <si>
    <t>Hertha Berlin</t>
  </si>
  <si>
    <t>Heidenheim</t>
  </si>
  <si>
    <t>Osnabruck</t>
  </si>
  <si>
    <t>Magdeburg</t>
  </si>
  <si>
    <t>Kaiserslautern</t>
  </si>
  <si>
    <t>Karlsruher SC</t>
  </si>
  <si>
    <t>FC Volendam</t>
  </si>
  <si>
    <t>TOP Oss</t>
  </si>
  <si>
    <t>Aldosivi</t>
  </si>
  <si>
    <t>Tigre</t>
  </si>
  <si>
    <t>San Lorenzo</t>
  </si>
  <si>
    <t>Union Santa Fe</t>
  </si>
  <si>
    <t>Estudiantes</t>
  </si>
  <si>
    <t>Gimnasia</t>
  </si>
  <si>
    <t>Belgrano</t>
  </si>
  <si>
    <t>I. Rivadavia</t>
  </si>
  <si>
    <t>Newells</t>
  </si>
  <si>
    <t>D. Riestra</t>
  </si>
  <si>
    <t>1.83</t>
  </si>
  <si>
    <t>0.92</t>
  </si>
  <si>
    <t>CA Estudiantes</t>
  </si>
  <si>
    <t>Chacarita J.</t>
  </si>
  <si>
    <t>0.58</t>
  </si>
  <si>
    <t>2.58</t>
  </si>
  <si>
    <t>Deportivo Moron</t>
  </si>
  <si>
    <t>Almagro</t>
  </si>
  <si>
    <t>A. Atlanta</t>
  </si>
  <si>
    <t>2.40</t>
  </si>
  <si>
    <t>San Miguel</t>
  </si>
  <si>
    <t>Colegiales</t>
  </si>
  <si>
    <t>0.45</t>
  </si>
  <si>
    <t>Atletico Mitre</t>
  </si>
  <si>
    <t>CA Guemes</t>
  </si>
  <si>
    <t>Godoy Cruz</t>
  </si>
  <si>
    <t>1.42</t>
  </si>
  <si>
    <t>0.42</t>
  </si>
  <si>
    <t>Quilmes</t>
  </si>
  <si>
    <t>San Telmo</t>
  </si>
  <si>
    <t>Van</t>
  </si>
  <si>
    <t>Ararat-Armenia</t>
  </si>
  <si>
    <t>BKMA</t>
  </si>
  <si>
    <t>Ararat Yerevan</t>
  </si>
  <si>
    <t>2.64</t>
  </si>
  <si>
    <t>Heidelberg Utd</t>
  </si>
  <si>
    <t>Hume City</t>
  </si>
  <si>
    <t>1.82</t>
  </si>
  <si>
    <t>2.70</t>
  </si>
  <si>
    <t>Melbourne C. B</t>
  </si>
  <si>
    <t>South Melbourne</t>
  </si>
  <si>
    <t>George Cross</t>
  </si>
  <si>
    <t>Avondale</t>
  </si>
  <si>
    <t>3.09</t>
  </si>
  <si>
    <t>Armadale</t>
  </si>
  <si>
    <t>Dianella WE</t>
  </si>
  <si>
    <t>4.11</t>
  </si>
  <si>
    <t>O. Kingsway</t>
  </si>
  <si>
    <t>Perth Glory B</t>
  </si>
  <si>
    <t>Fremantle City</t>
  </si>
  <si>
    <t>4.22</t>
  </si>
  <si>
    <t>Perth RedStar</t>
  </si>
  <si>
    <t>4.80</t>
  </si>
  <si>
    <t>Balcatta</t>
  </si>
  <si>
    <t>0.70</t>
  </si>
  <si>
    <t>FK Beograd</t>
  </si>
  <si>
    <t>Adelaide City</t>
  </si>
  <si>
    <t>0.60</t>
  </si>
  <si>
    <t>3.30</t>
  </si>
  <si>
    <t>NE MetroStars</t>
  </si>
  <si>
    <t>Croydon Kings</t>
  </si>
  <si>
    <t>4.20</t>
  </si>
  <si>
    <t>0.80</t>
  </si>
  <si>
    <t>4.90</t>
  </si>
  <si>
    <t>Sturt Lions</t>
  </si>
  <si>
    <t>West Adelaide</t>
  </si>
  <si>
    <t>Playford P.</t>
  </si>
  <si>
    <t>4.40</t>
  </si>
  <si>
    <t>Adelaide Utd B</t>
  </si>
  <si>
    <t>Brindabella</t>
  </si>
  <si>
    <t>Tigers FC</t>
  </si>
  <si>
    <t>3.22</t>
  </si>
  <si>
    <t>OConnor Knight</t>
  </si>
  <si>
    <t>Canberra White</t>
  </si>
  <si>
    <t>4.89</t>
  </si>
  <si>
    <t>Monaro Panthers</t>
  </si>
  <si>
    <t>C. Croatia</t>
  </si>
  <si>
    <t>2.44</t>
  </si>
  <si>
    <t>4.33</t>
  </si>
  <si>
    <t>1.79</t>
  </si>
  <si>
    <t>1.43</t>
  </si>
  <si>
    <t>3.21</t>
  </si>
  <si>
    <t>WS Wanderers B</t>
  </si>
  <si>
    <t>S George Saints</t>
  </si>
  <si>
    <t>0.77</t>
  </si>
  <si>
    <t>2.62</t>
  </si>
  <si>
    <t>1.69</t>
  </si>
  <si>
    <t>2.29</t>
  </si>
  <si>
    <t>NWS Spirit</t>
  </si>
  <si>
    <t>1.92</t>
  </si>
  <si>
    <t>Sydney Olympic</t>
  </si>
  <si>
    <t>Sydney Utd</t>
  </si>
  <si>
    <t>2.21</t>
  </si>
  <si>
    <t>0.93</t>
  </si>
  <si>
    <t>3.46</t>
  </si>
  <si>
    <t>APIA Leichhardt</t>
  </si>
  <si>
    <t>SD Raiders</t>
  </si>
  <si>
    <t>A. Lustenau</t>
  </si>
  <si>
    <t>Wolfsberger AC</t>
  </si>
  <si>
    <t>Sturm Graz</t>
  </si>
  <si>
    <t>Altach</t>
  </si>
  <si>
    <t>Floridsdorfer</t>
  </si>
  <si>
    <t>Amstetten</t>
  </si>
  <si>
    <t>Sturm Graz B</t>
  </si>
  <si>
    <t>Admira Wacker</t>
  </si>
  <si>
    <t>Austria Wien B</t>
  </si>
  <si>
    <t>A. Salzburg</t>
  </si>
  <si>
    <t>Kapfenberger</t>
  </si>
  <si>
    <t>W. Innsbruck</t>
  </si>
  <si>
    <t>Voitsberg</t>
  </si>
  <si>
    <t>Bregenz</t>
  </si>
  <si>
    <t>Araz</t>
  </si>
  <si>
    <t>Imisli</t>
  </si>
  <si>
    <t>Gomel</t>
  </si>
  <si>
    <t>Naftan</t>
  </si>
  <si>
    <t>0.14</t>
  </si>
  <si>
    <t>4.43</t>
  </si>
  <si>
    <t>3.14</t>
  </si>
  <si>
    <t>Neman Grodno</t>
  </si>
  <si>
    <t>FC Minsk</t>
  </si>
  <si>
    <t>0.71</t>
  </si>
  <si>
    <t>BATE Borisov</t>
  </si>
  <si>
    <t>Vitebsk</t>
  </si>
  <si>
    <t>Royale Union SG</t>
  </si>
  <si>
    <t>Zulte-Waregem</t>
  </si>
  <si>
    <t>Kortrijk</t>
  </si>
  <si>
    <t>Antwerp</t>
  </si>
  <si>
    <t>KRC Genk</t>
  </si>
  <si>
    <t>Westerlo</t>
  </si>
  <si>
    <t>OH Leuven</t>
  </si>
  <si>
    <t>Club Brugge</t>
  </si>
  <si>
    <t>Eupen</t>
  </si>
  <si>
    <t>KRC Genk B</t>
  </si>
  <si>
    <t>Patro Eisden</t>
  </si>
  <si>
    <t>Anderlecht B</t>
  </si>
  <si>
    <t>E. Virton</t>
  </si>
  <si>
    <t>Lierse K.</t>
  </si>
  <si>
    <t>Palmeiras</t>
  </si>
  <si>
    <t>Athletico PR</t>
  </si>
  <si>
    <t>Atletico GO</t>
  </si>
  <si>
    <t>Vila Nova</t>
  </si>
  <si>
    <t>Criciuma</t>
  </si>
  <si>
    <t>Goias</t>
  </si>
  <si>
    <t>0.09</t>
  </si>
  <si>
    <t>Fortaleza</t>
  </si>
  <si>
    <t>Amazonas</t>
  </si>
  <si>
    <t>Botafogo PB</t>
  </si>
  <si>
    <t>Volta Redonda</t>
  </si>
  <si>
    <t>Ituano</t>
  </si>
  <si>
    <t>2.63</t>
  </si>
  <si>
    <t>Brusque</t>
  </si>
  <si>
    <t>Inter Limeira</t>
  </si>
  <si>
    <t>Santa Cruz</t>
  </si>
  <si>
    <t>Maranhao</t>
  </si>
  <si>
    <t>1.57</t>
  </si>
  <si>
    <t>Atletico MG W</t>
  </si>
  <si>
    <t>Gremio W</t>
  </si>
  <si>
    <t>Fluminense W</t>
  </si>
  <si>
    <t>America M. W</t>
  </si>
  <si>
    <t>3.57</t>
  </si>
  <si>
    <t>2.86</t>
  </si>
  <si>
    <t>RB Bragantino W</t>
  </si>
  <si>
    <t>Vitória BA W</t>
  </si>
  <si>
    <t>0.13</t>
  </si>
  <si>
    <t>Bahia W</t>
  </si>
  <si>
    <t>Corinthians W</t>
  </si>
  <si>
    <t>2.71</t>
  </si>
  <si>
    <t>1.71</t>
  </si>
  <si>
    <t>Mixto W</t>
  </si>
  <si>
    <t>Cruzeiro W</t>
  </si>
  <si>
    <t>Internacional W</t>
  </si>
  <si>
    <t>Ferroviaria W</t>
  </si>
  <si>
    <t>Slavia Sofia</t>
  </si>
  <si>
    <t>Levski Sofia</t>
  </si>
  <si>
    <t>Ludogorets</t>
  </si>
  <si>
    <t>Botev Plovdiv</t>
  </si>
  <si>
    <t>Pacific</t>
  </si>
  <si>
    <t>0.33</t>
  </si>
  <si>
    <t>Cavalry</t>
  </si>
  <si>
    <t>Forge</t>
  </si>
  <si>
    <t>D. Limache</t>
  </si>
  <si>
    <t>U. de Chile</t>
  </si>
  <si>
    <t>Rangers</t>
  </si>
  <si>
    <t>Magallanes</t>
  </si>
  <si>
    <t>Shenzhen</t>
  </si>
  <si>
    <t>Tianjin JT</t>
  </si>
  <si>
    <t>Zhejiang</t>
  </si>
  <si>
    <t>S. Shenhua</t>
  </si>
  <si>
    <t>Dalian Yingbo</t>
  </si>
  <si>
    <t>Dalian Kuncheng</t>
  </si>
  <si>
    <t>Guangdong GZP</t>
  </si>
  <si>
    <t>Guangxi H.</t>
  </si>
  <si>
    <t>Meizhou Hakka</t>
  </si>
  <si>
    <t>Cucuta</t>
  </si>
  <si>
    <t>R. Aguilas</t>
  </si>
  <si>
    <t>  COS</t>
  </si>
  <si>
    <t>San Carlos</t>
  </si>
  <si>
    <t>Herediano</t>
  </si>
  <si>
    <t>Alajuelense</t>
  </si>
  <si>
    <t>Puntarenas</t>
  </si>
  <si>
    <t>Istra</t>
  </si>
  <si>
    <t>Slaven Belupo</t>
  </si>
  <si>
    <t>Osijek</t>
  </si>
  <si>
    <t>Lok. Zagreb</t>
  </si>
  <si>
    <t>Banik Ostrava</t>
  </si>
  <si>
    <t>Artis Brno</t>
  </si>
  <si>
    <t>Bohemians</t>
  </si>
  <si>
    <t>Jablonec</t>
  </si>
  <si>
    <t>Pardubice</t>
  </si>
  <si>
    <t>Mlada Boleslav</t>
  </si>
  <si>
    <t>Slovacko</t>
  </si>
  <si>
    <t>Sigma Olomouc</t>
  </si>
  <si>
    <t>Slovan Liberec</t>
  </si>
  <si>
    <t>Slavia Prague</t>
  </si>
  <si>
    <t>Sparta Prague</t>
  </si>
  <si>
    <t>Teplice</t>
  </si>
  <si>
    <t>Viktoria Plzen</t>
  </si>
  <si>
    <t>Zlin</t>
  </si>
  <si>
    <t>Zbrojovka Brno</t>
  </si>
  <si>
    <t>Hradec Kralove</t>
  </si>
  <si>
    <t>Arsenal Ceská L</t>
  </si>
  <si>
    <t>Karvina</t>
  </si>
  <si>
    <t>Pribram</t>
  </si>
  <si>
    <t>Prostejov</t>
  </si>
  <si>
    <t>Han. Kromeriz</t>
  </si>
  <si>
    <t>Jihlava</t>
  </si>
  <si>
    <t>Taborsko</t>
  </si>
  <si>
    <t>Opava</t>
  </si>
  <si>
    <t>Hillerod</t>
  </si>
  <si>
    <t>Aarhus Fremad</t>
  </si>
  <si>
    <t>Esbjerg</t>
  </si>
  <si>
    <t>Hobro</t>
  </si>
  <si>
    <t>HB Koge</t>
  </si>
  <si>
    <t>Hvidovre</t>
  </si>
  <si>
    <t>VSK Arhus</t>
  </si>
  <si>
    <t>Thisted</t>
  </si>
  <si>
    <t>Roskilde</t>
  </si>
  <si>
    <t>Middelfart</t>
  </si>
  <si>
    <t>3.17</t>
  </si>
  <si>
    <t>I. del Valle</t>
  </si>
  <si>
    <t>Delfin</t>
  </si>
  <si>
    <t>Manta</t>
  </si>
  <si>
    <t>Leones Norte</t>
  </si>
  <si>
    <t>2.08</t>
  </si>
  <si>
    <t>Guayaquil City</t>
  </si>
  <si>
    <t>Libertad</t>
  </si>
  <si>
    <t>Bedford Town</t>
  </si>
  <si>
    <t>Darlington</t>
  </si>
  <si>
    <t>Brackley Town</t>
  </si>
  <si>
    <t>Hebburn Town</t>
  </si>
  <si>
    <t>Chester</t>
  </si>
  <si>
    <t>Kings Lynn</t>
  </si>
  <si>
    <t>Harborough Town</t>
  </si>
  <si>
    <t>Morecambe</t>
  </si>
  <si>
    <t>Hednesford</t>
  </si>
  <si>
    <t>Scarborough</t>
  </si>
  <si>
    <t>Hereford Utd</t>
  </si>
  <si>
    <t>Marine</t>
  </si>
  <si>
    <t>Macclesfield</t>
  </si>
  <si>
    <t>Radcliffe</t>
  </si>
  <si>
    <t>South Shields</t>
  </si>
  <si>
    <t>Chorley</t>
  </si>
  <si>
    <t>Southport</t>
  </si>
  <si>
    <t>Buxton</t>
  </si>
  <si>
    <t>Spalding Utd</t>
  </si>
  <si>
    <t>Oxford City</t>
  </si>
  <si>
    <t>Spennymoor</t>
  </si>
  <si>
    <t>Merthyr Town</t>
  </si>
  <si>
    <t>Worksop Town</t>
  </si>
  <si>
    <t>Telford Utd</t>
  </si>
  <si>
    <t>AFC Totton</t>
  </si>
  <si>
    <t>Billericay Town</t>
  </si>
  <si>
    <t>Braintree Town</t>
  </si>
  <si>
    <t>Chesham Utd</t>
  </si>
  <si>
    <t>Chelmsford City</t>
  </si>
  <si>
    <t>Truro City</t>
  </si>
  <si>
    <t>Dover Athletic</t>
  </si>
  <si>
    <t>Slough Town</t>
  </si>
  <si>
    <t>Ebbsfleet Utd</t>
  </si>
  <si>
    <t>Folkestone</t>
  </si>
  <si>
    <t>Farnborough</t>
  </si>
  <si>
    <t>Hemel Hempstead</t>
  </si>
  <si>
    <t>Horsham</t>
  </si>
  <si>
    <t>Salisbury</t>
  </si>
  <si>
    <t>Maidenhead Utd</t>
  </si>
  <si>
    <t>Dorking</t>
  </si>
  <si>
    <t>Tonbridge</t>
  </si>
  <si>
    <t>Torquay Utd</t>
  </si>
  <si>
    <t>Walton e H.</t>
  </si>
  <si>
    <t>Maidstone Utd</t>
  </si>
  <si>
    <t>Weston-s.-Mare</t>
  </si>
  <si>
    <t>Hampton e R.</t>
  </si>
  <si>
    <t>Aveley</t>
  </si>
  <si>
    <t>Whitehawk</t>
  </si>
  <si>
    <t>Burgess Hill</t>
  </si>
  <si>
    <t>Leatherhead</t>
  </si>
  <si>
    <t>Carshalton</t>
  </si>
  <si>
    <t>Cray Wanderers</t>
  </si>
  <si>
    <t>Chatham Town</t>
  </si>
  <si>
    <t>Three Bridges</t>
  </si>
  <si>
    <t>Dulwich Hamlet</t>
  </si>
  <si>
    <t>Cheshunt</t>
  </si>
  <si>
    <t>Eastbourne</t>
  </si>
  <si>
    <t>Brentwood Town</t>
  </si>
  <si>
    <t>Enfield Town</t>
  </si>
  <si>
    <t>Ramsgate</t>
  </si>
  <si>
    <t>Maldon.T.</t>
  </si>
  <si>
    <t>Dartford</t>
  </si>
  <si>
    <t>St Albans</t>
  </si>
  <si>
    <t>Lewes</t>
  </si>
  <si>
    <t>Welling Utd</t>
  </si>
  <si>
    <t>Stanway Rovers</t>
  </si>
  <si>
    <t>Whyteleafe</t>
  </si>
  <si>
    <t>Wingate . F.</t>
  </si>
  <si>
    <t>Alfreton Town</t>
  </si>
  <si>
    <t>Avro</t>
  </si>
  <si>
    <t>Bamber Bridge</t>
  </si>
  <si>
    <t>Ashton Utd</t>
  </si>
  <si>
    <t>Bury</t>
  </si>
  <si>
    <t>Rylands</t>
  </si>
  <si>
    <t>FC United</t>
  </si>
  <si>
    <t>Gainsborough</t>
  </si>
  <si>
    <t>Lancaster City</t>
  </si>
  <si>
    <t>Hyde Utd</t>
  </si>
  <si>
    <t>Quorn</t>
  </si>
  <si>
    <t>Redcar Athletic</t>
  </si>
  <si>
    <t>Stockton Town</t>
  </si>
  <si>
    <t>Leek Town</t>
  </si>
  <si>
    <t>Warrington</t>
  </si>
  <si>
    <t>Cleethorpes</t>
  </si>
  <si>
    <t>Whitby Town</t>
  </si>
  <si>
    <t>Ilkeston Town</t>
  </si>
  <si>
    <t>Workington</t>
  </si>
  <si>
    <t>Guiseley</t>
  </si>
  <si>
    <t>Alvechurch</t>
  </si>
  <si>
    <t>Needham Market</t>
  </si>
  <si>
    <t>Banbury Utd</t>
  </si>
  <si>
    <t>Real Bedford</t>
  </si>
  <si>
    <t>Bromsgrove</t>
  </si>
  <si>
    <t>Anstey Nomads</t>
  </si>
  <si>
    <t>Halesowen Town</t>
  </si>
  <si>
    <t>B. Stortford</t>
  </si>
  <si>
    <t>Hitchin Town</t>
  </si>
  <si>
    <t>Redditch Utd</t>
  </si>
  <si>
    <t>Leamington</t>
  </si>
  <si>
    <t>Kettering Town</t>
  </si>
  <si>
    <t>Leighton Town</t>
  </si>
  <si>
    <t>Worcester City</t>
  </si>
  <si>
    <t>Leiston</t>
  </si>
  <si>
    <t>Rushall</t>
  </si>
  <si>
    <t>Peterborough S.</t>
  </si>
  <si>
    <t>Stourbridge</t>
  </si>
  <si>
    <t>Stamford</t>
  </si>
  <si>
    <t>Racing Club War</t>
  </si>
  <si>
    <t>Stratford Town</t>
  </si>
  <si>
    <t>Bury Town</t>
  </si>
  <si>
    <t>Maardu</t>
  </si>
  <si>
    <t>FC Tallinn</t>
  </si>
  <si>
    <t>4.36</t>
  </si>
  <si>
    <t>Tallinna Kalev</t>
  </si>
  <si>
    <t>Elva</t>
  </si>
  <si>
    <t>3.55</t>
  </si>
  <si>
    <t>Tartu Welco</t>
  </si>
  <si>
    <t>Flora B</t>
  </si>
  <si>
    <t>2.55</t>
  </si>
  <si>
    <t>Viimsi</t>
  </si>
  <si>
    <t>Levadia B</t>
  </si>
  <si>
    <t>3.78</t>
  </si>
  <si>
    <t>Mariehamn</t>
  </si>
  <si>
    <t>SJK</t>
  </si>
  <si>
    <t>JIPPO</t>
  </si>
  <si>
    <t>PK-35</t>
  </si>
  <si>
    <t>KTP</t>
  </si>
  <si>
    <t>SalPa</t>
  </si>
  <si>
    <t>Jazz Pori</t>
  </si>
  <si>
    <t>OLS Oulu</t>
  </si>
  <si>
    <t>Rovaniemi</t>
  </si>
  <si>
    <t>Tampere Utd</t>
  </si>
  <si>
    <t>TPV</t>
  </si>
  <si>
    <t>3.88</t>
  </si>
  <si>
    <t>HIFK</t>
  </si>
  <si>
    <t>Atlantis</t>
  </si>
  <si>
    <t>5.38</t>
  </si>
  <si>
    <t>HPS</t>
  </si>
  <si>
    <t>Union Plaani</t>
  </si>
  <si>
    <t>PuiU Helsinki</t>
  </si>
  <si>
    <t>Kiffen</t>
  </si>
  <si>
    <t>3.75</t>
  </si>
  <si>
    <t>EPS</t>
  </si>
  <si>
    <t>4.25</t>
  </si>
  <si>
    <t>Honka</t>
  </si>
  <si>
    <t>P-Iirot</t>
  </si>
  <si>
    <t>MuSa</t>
  </si>
  <si>
    <t>EBK</t>
  </si>
  <si>
    <t>4.13</t>
  </si>
  <si>
    <t>HJS</t>
  </si>
  <si>
    <t>4.75</t>
  </si>
  <si>
    <t>Ilves B</t>
  </si>
  <si>
    <t>NJS</t>
  </si>
  <si>
    <t>4.63</t>
  </si>
  <si>
    <t>VPS B</t>
  </si>
  <si>
    <t>JS Hercules</t>
  </si>
  <si>
    <t>Jaro B</t>
  </si>
  <si>
    <t>5.25</t>
  </si>
  <si>
    <t>GBK Kokkola</t>
  </si>
  <si>
    <t>  GEO</t>
  </si>
  <si>
    <t>Dinamo Tbilisi</t>
  </si>
  <si>
    <t>Rustavi</t>
  </si>
  <si>
    <t>Torpedo Kutaisi</t>
  </si>
  <si>
    <t>Iberia</t>
  </si>
  <si>
    <t>Dusseldorf</t>
  </si>
  <si>
    <t>Hoffenheim B</t>
  </si>
  <si>
    <t>Fortuna Koln</t>
  </si>
  <si>
    <t>Alemannia A.</t>
  </si>
  <si>
    <t>Meppen</t>
  </si>
  <si>
    <t>Grossaspach</t>
  </si>
  <si>
    <t>Preuss. Munster</t>
  </si>
  <si>
    <t>FC Ingolstadt</t>
  </si>
  <si>
    <t>RW Essen</t>
  </si>
  <si>
    <t>Havelse</t>
  </si>
  <si>
    <t>Verl</t>
  </si>
  <si>
    <t>MSV Duisburg</t>
  </si>
  <si>
    <t>Weiche F.</t>
  </si>
  <si>
    <t>Jeddeloh</t>
  </si>
  <si>
    <t>Kickers Emden</t>
  </si>
  <si>
    <t>Eimsbutteler</t>
  </si>
  <si>
    <t>Oldenburg</t>
  </si>
  <si>
    <t>Norderstedt</t>
  </si>
  <si>
    <t>Phonix Lubeck</t>
  </si>
  <si>
    <t>VfB Lubeck</t>
  </si>
  <si>
    <t>BFC Preussen</t>
  </si>
  <si>
    <t>Greifswald</t>
  </si>
  <si>
    <t>RW Erfurt</t>
  </si>
  <si>
    <t>Magdeburg B</t>
  </si>
  <si>
    <t>Chemnitzer FC</t>
  </si>
  <si>
    <t>Erzgebirge Aue</t>
  </si>
  <si>
    <t>Bochum B</t>
  </si>
  <si>
    <t>Oberhausen</t>
  </si>
  <si>
    <t>Mgladbach B</t>
  </si>
  <si>
    <t>Bocholt</t>
  </si>
  <si>
    <t>Rodinghausen</t>
  </si>
  <si>
    <t>Paderborn B</t>
  </si>
  <si>
    <t>Hilden</t>
  </si>
  <si>
    <t>Wattenscheid 09</t>
  </si>
  <si>
    <t>Eintracht F. B</t>
  </si>
  <si>
    <t>S. Kickers</t>
  </si>
  <si>
    <t>Freiberg</t>
  </si>
  <si>
    <t>Homburg</t>
  </si>
  <si>
    <t>Fulda-Lehnerz</t>
  </si>
  <si>
    <t>Sandhausen</t>
  </si>
  <si>
    <t>Steinbach</t>
  </si>
  <si>
    <t>Aalen</t>
  </si>
  <si>
    <t>Walldorf</t>
  </si>
  <si>
    <t>Kaiserslaut. B</t>
  </si>
  <si>
    <t>  GUA</t>
  </si>
  <si>
    <t>Coban Imperial</t>
  </si>
  <si>
    <t>Mixco</t>
  </si>
  <si>
    <t>Guastatoya</t>
  </si>
  <si>
    <t>Municipal</t>
  </si>
  <si>
    <t>Ujpest</t>
  </si>
  <si>
    <t>MTK Budapest</t>
  </si>
  <si>
    <t>Nyiregyhaza</t>
  </si>
  <si>
    <t>Kisvarda</t>
  </si>
  <si>
    <t>DVTK</t>
  </si>
  <si>
    <t>Ajka</t>
  </si>
  <si>
    <t>Kazincbarcika</t>
  </si>
  <si>
    <t>Kozarmisleny</t>
  </si>
  <si>
    <t>Kecskemeti TE</t>
  </si>
  <si>
    <t>Videoton FC</t>
  </si>
  <si>
    <t>Mezokovesd</t>
  </si>
  <si>
    <t>BVSC</t>
  </si>
  <si>
    <t>Nagykanizsai TE</t>
  </si>
  <si>
    <t>Soroksar</t>
  </si>
  <si>
    <t>Szeged</t>
  </si>
  <si>
    <t>Gyirmot</t>
  </si>
  <si>
    <t>Thor Akureyri</t>
  </si>
  <si>
    <t>Keflavik</t>
  </si>
  <si>
    <t>3.89</t>
  </si>
  <si>
    <t>KFA</t>
  </si>
  <si>
    <t>4.38</t>
  </si>
  <si>
    <t>Magni</t>
  </si>
  <si>
    <t>Kormakur/Hvot</t>
  </si>
  <si>
    <t>Selfoss</t>
  </si>
  <si>
    <t>Fjolnir</t>
  </si>
  <si>
    <t>5.29</t>
  </si>
  <si>
    <t>Dalvik.Reynir</t>
  </si>
  <si>
    <t>  IRE</t>
  </si>
  <si>
    <t>Cork City W</t>
  </si>
  <si>
    <t>DLR Waves W</t>
  </si>
  <si>
    <t>0.29</t>
  </si>
  <si>
    <t>Waterford W</t>
  </si>
  <si>
    <t>Galway Utd W</t>
  </si>
  <si>
    <t>Peamount W</t>
  </si>
  <si>
    <t>Shamrock R. W</t>
  </si>
  <si>
    <t>Athlone W</t>
  </si>
  <si>
    <t>Sligo Rovers W</t>
  </si>
  <si>
    <t>Wexford Y. W</t>
  </si>
  <si>
    <t>Treaty Utd W</t>
  </si>
  <si>
    <t>2.83</t>
  </si>
  <si>
    <t>Bohemians W</t>
  </si>
  <si>
    <t>Shelbourne W</t>
  </si>
  <si>
    <t>Kashima Antlers</t>
  </si>
  <si>
    <t>Nagoya G.</t>
  </si>
  <si>
    <t>Mito Hollyhock</t>
  </si>
  <si>
    <t>Gamba Osaka</t>
  </si>
  <si>
    <t>Shimizu S-Pulse</t>
  </si>
  <si>
    <t>Yokohama M.</t>
  </si>
  <si>
    <t>Fagiano Okayama</t>
  </si>
  <si>
    <t>V-V. Nagasaki</t>
  </si>
  <si>
    <t>Avispa Fukuoka</t>
  </si>
  <si>
    <t>Cerezo Osaka</t>
  </si>
  <si>
    <t>JEF Utd Chiba</t>
  </si>
  <si>
    <t>Machida Zelvia</t>
  </si>
  <si>
    <t>K. Frontale</t>
  </si>
  <si>
    <t>Kyoto Sanga</t>
  </si>
  <si>
    <t>Urawa RD</t>
  </si>
  <si>
    <t>S. Hiroshima</t>
  </si>
  <si>
    <t>Vissel Kobe</t>
  </si>
  <si>
    <t>FC Tokyo</t>
  </si>
  <si>
    <t>Blaublitz Akita</t>
  </si>
  <si>
    <t>Kataller Toyama</t>
  </si>
  <si>
    <t>Tochigi City</t>
  </si>
  <si>
    <t>V. Hachinohe</t>
  </si>
  <si>
    <t>Fujieda MYFC</t>
  </si>
  <si>
    <t>Iwaki</t>
  </si>
  <si>
    <t>Albirex Niigata</t>
  </si>
  <si>
    <t>C. Sapporo</t>
  </si>
  <si>
    <t>FC Imabari</t>
  </si>
  <si>
    <t>Omiya Ardija</t>
  </si>
  <si>
    <t>Shonan Bellmare</t>
  </si>
  <si>
    <t>M. Yamagata</t>
  </si>
  <si>
    <t>Vegalta Sendai</t>
  </si>
  <si>
    <t>Oita Trinita</t>
  </si>
  <si>
    <t>Ventforet Kofu</t>
  </si>
  <si>
    <t>T. Miyazaki</t>
  </si>
  <si>
    <t>G. Kitakyushu</t>
  </si>
  <si>
    <t>Kamatamare S.</t>
  </si>
  <si>
    <t>Gifu</t>
  </si>
  <si>
    <t>Kochi United</t>
  </si>
  <si>
    <t>Kusatsu</t>
  </si>
  <si>
    <t>SC Sagamihara</t>
  </si>
  <si>
    <t>R. Kumamoto</t>
  </si>
  <si>
    <t>Tochigi SC</t>
  </si>
  <si>
    <t>R. Yamaguchi</t>
  </si>
  <si>
    <t>FC Ryukyu</t>
  </si>
  <si>
    <t>Z. Kanazawa</t>
  </si>
  <si>
    <t>Fukushima Utd</t>
  </si>
  <si>
    <t>  KAZ</t>
  </si>
  <si>
    <t>Zhenys</t>
  </si>
  <si>
    <t>Zhetysu</t>
  </si>
  <si>
    <t>3.27</t>
  </si>
  <si>
    <t>Kairat Almaty</t>
  </si>
  <si>
    <t>Ulytau</t>
  </si>
  <si>
    <t>Kaisar K.</t>
  </si>
  <si>
    <t>Aktobe</t>
  </si>
  <si>
    <t>Ordabasy</t>
  </si>
  <si>
    <t>Altay</t>
  </si>
  <si>
    <t>  MEX</t>
  </si>
  <si>
    <t>Atlante</t>
  </si>
  <si>
    <t>Toluca</t>
  </si>
  <si>
    <t>  MOL</t>
  </si>
  <si>
    <t>FC Politehnica</t>
  </si>
  <si>
    <t>CSF Balti</t>
  </si>
  <si>
    <t>Dacia-Buiucani</t>
  </si>
  <si>
    <t>Petrocub</t>
  </si>
  <si>
    <t>  MON</t>
  </si>
  <si>
    <t>Sutjeska</t>
  </si>
  <si>
    <t>Otrant</t>
  </si>
  <si>
    <t>HSV Hoek</t>
  </si>
  <si>
    <t>Koninklijke HFC</t>
  </si>
  <si>
    <t>Barendrecht</t>
  </si>
  <si>
    <t>HHC Hardenberg</t>
  </si>
  <si>
    <t>Jong Sparta</t>
  </si>
  <si>
    <t>Raalte</t>
  </si>
  <si>
    <t>Kozakken Boys</t>
  </si>
  <si>
    <t>IJsselmeerv.</t>
  </si>
  <si>
    <t>Quick Boys</t>
  </si>
  <si>
    <t>RKAV Volendam</t>
  </si>
  <si>
    <t>Spakenburg</t>
  </si>
  <si>
    <t>Katwijk</t>
  </si>
  <si>
    <t>AFC</t>
  </si>
  <si>
    <t>Kloetinge</t>
  </si>
  <si>
    <t>Jong Almere C.</t>
  </si>
  <si>
    <t>Rijnsburgse B.</t>
  </si>
  <si>
    <t>De Treffers</t>
  </si>
  <si>
    <t>GVVV</t>
  </si>
  <si>
    <t>Bangor</t>
  </si>
  <si>
    <t>Cliftonville</t>
  </si>
  <si>
    <t>Coleraine</t>
  </si>
  <si>
    <t>Larne</t>
  </si>
  <si>
    <t>Crusaders</t>
  </si>
  <si>
    <t>Ballymena Utd</t>
  </si>
  <si>
    <t>Limavady</t>
  </si>
  <si>
    <t>Carrick Rangers</t>
  </si>
  <si>
    <t>Linfield</t>
  </si>
  <si>
    <t>Glentoran</t>
  </si>
  <si>
    <t>Portadown</t>
  </si>
  <si>
    <t>Dungannon</t>
  </si>
  <si>
    <t>Aresimi</t>
  </si>
  <si>
    <t>Bashkimi</t>
  </si>
  <si>
    <t>Shkendija</t>
  </si>
  <si>
    <t>Bregalnica Stip</t>
  </si>
  <si>
    <t>Sileks</t>
  </si>
  <si>
    <t>FK Skopje</t>
  </si>
  <si>
    <t>Struga</t>
  </si>
  <si>
    <t>Vardar</t>
  </si>
  <si>
    <t>Tikves</t>
  </si>
  <si>
    <t>Shkëndija Haraç</t>
  </si>
  <si>
    <t>KFUM Oslo</t>
  </si>
  <si>
    <t>Lillestrom</t>
  </si>
  <si>
    <t>Bryne</t>
  </si>
  <si>
    <t>Moss</t>
  </si>
  <si>
    <t>Lyn</t>
  </si>
  <si>
    <t>Odd</t>
  </si>
  <si>
    <t>5.11</t>
  </si>
  <si>
    <t>Ranheim</t>
  </si>
  <si>
    <t>Stromsgodset</t>
  </si>
  <si>
    <t>Notodden</t>
  </si>
  <si>
    <t>Brattvag</t>
  </si>
  <si>
    <t>2.57</t>
  </si>
  <si>
    <t>Lysekloster</t>
  </si>
  <si>
    <t>Kvik Halden</t>
  </si>
  <si>
    <t>4.29</t>
  </si>
  <si>
    <t>Mjondalen</t>
  </si>
  <si>
    <t>Eik Tonsberg</t>
  </si>
  <si>
    <t>3.71</t>
  </si>
  <si>
    <t>Vidar</t>
  </si>
  <si>
    <t>Arendal</t>
  </si>
  <si>
    <t>Lorenskog</t>
  </si>
  <si>
    <t>Eidsvold</t>
  </si>
  <si>
    <t>Lyn W</t>
  </si>
  <si>
    <t>Aalesund W</t>
  </si>
  <si>
    <t>Haugesund W</t>
  </si>
  <si>
    <t>Stabaek W</t>
  </si>
  <si>
    <t>LSK Kvinner W</t>
  </si>
  <si>
    <t>Rosenborg W</t>
  </si>
  <si>
    <t>Roa W</t>
  </si>
  <si>
    <t>Molde W</t>
  </si>
  <si>
    <t>Honefoss W</t>
  </si>
  <si>
    <t>Brann W</t>
  </si>
  <si>
    <t>4.17</t>
  </si>
  <si>
    <t>3.83</t>
  </si>
  <si>
    <t>Guarani</t>
  </si>
  <si>
    <t>Rubio Nu</t>
  </si>
  <si>
    <t>S. Trinidense</t>
  </si>
  <si>
    <t>  PER</t>
  </si>
  <si>
    <t>ADT</t>
  </si>
  <si>
    <t>Alianza A.</t>
  </si>
  <si>
    <t>Alianza Lima</t>
  </si>
  <si>
    <t>Cajamarca</t>
  </si>
  <si>
    <t>Atletico Grau</t>
  </si>
  <si>
    <t>Comerciantes U.</t>
  </si>
  <si>
    <t>D. Garcilaso</t>
  </si>
  <si>
    <t>Cusco</t>
  </si>
  <si>
    <t>Juan Pablo II</t>
  </si>
  <si>
    <t>FC Cajamarca</t>
  </si>
  <si>
    <t>Universitario</t>
  </si>
  <si>
    <t>Los Chankas</t>
  </si>
  <si>
    <t>FBC Melgar</t>
  </si>
  <si>
    <t>S. Cristal</t>
  </si>
  <si>
    <t>Sport Huancayo</t>
  </si>
  <si>
    <t>UCV Moquegua</t>
  </si>
  <si>
    <t>Sport Boys</t>
  </si>
  <si>
    <t>Zaglebie Lubin</t>
  </si>
  <si>
    <t>Slask Wroclaw</t>
  </si>
  <si>
    <t>Piast Gliwice</t>
  </si>
  <si>
    <t>Wieczysta K.</t>
  </si>
  <si>
    <t>Widzew Lodz</t>
  </si>
  <si>
    <t>Korona Kielce</t>
  </si>
  <si>
    <t>Chrobry Glogow</t>
  </si>
  <si>
    <t>Podbeskidzie</t>
  </si>
  <si>
    <t>Odra Opole</t>
  </si>
  <si>
    <t>Warta Poznan</t>
  </si>
  <si>
    <t>Pogon Siedlce</t>
  </si>
  <si>
    <t>Polonia Warszaw</t>
  </si>
  <si>
    <t>O. Grudziadz</t>
  </si>
  <si>
    <t>Znicz Pruszkow</t>
  </si>
  <si>
    <t>Slask Wroclaw B</t>
  </si>
  <si>
    <t>Chojniczanka</t>
  </si>
  <si>
    <t>Sokol Kleczew</t>
  </si>
  <si>
    <t>Rekord Bielsko</t>
  </si>
  <si>
    <t>Swit Szczecin</t>
  </si>
  <si>
    <t>Sandecja Nowy</t>
  </si>
  <si>
    <t>Resovia Rzeszow</t>
  </si>
  <si>
    <t>Tychy</t>
  </si>
  <si>
    <t>Torreense</t>
  </si>
  <si>
    <t>Penafiel</t>
  </si>
  <si>
    <t>Uniao de Leiria</t>
  </si>
  <si>
    <t>Benfica B</t>
  </si>
  <si>
    <t>Sporting CP B</t>
  </si>
  <si>
    <t>Chaves</t>
  </si>
  <si>
    <t>Csikszereda</t>
  </si>
  <si>
    <t>Sepsi OSK</t>
  </si>
  <si>
    <t>Rapid Bucharest</t>
  </si>
  <si>
    <t>Din. Bucharest</t>
  </si>
  <si>
    <t>Rodina Moscow</t>
  </si>
  <si>
    <t>Akron</t>
  </si>
  <si>
    <t>CSKA Moscow</t>
  </si>
  <si>
    <t>Fakel Voronezh</t>
  </si>
  <si>
    <t>Rostov</t>
  </si>
  <si>
    <t>Rubin Kazan</t>
  </si>
  <si>
    <t>FC Krasnodar</t>
  </si>
  <si>
    <t>Akhmat Grozny</t>
  </si>
  <si>
    <t>Al Taawon</t>
  </si>
  <si>
    <t>Al Khaleej</t>
  </si>
  <si>
    <t>Al Ittihad</t>
  </si>
  <si>
    <t>Al Kholood</t>
  </si>
  <si>
    <t>Al Nassr</t>
  </si>
  <si>
    <t>Al Fateh</t>
  </si>
  <si>
    <t>  SCO</t>
  </si>
  <si>
    <t>Alloa Athletic</t>
  </si>
  <si>
    <t>Montrose</t>
  </si>
  <si>
    <t>East Kilbride</t>
  </si>
  <si>
    <t>Cove Rangers</t>
  </si>
  <si>
    <t>Hamilton</t>
  </si>
  <si>
    <t>Airdrieonians</t>
  </si>
  <si>
    <t>Peterhead</t>
  </si>
  <si>
    <t>East Fife</t>
  </si>
  <si>
    <t>Annan Athletic</t>
  </si>
  <si>
    <t>Clyde</t>
  </si>
  <si>
    <t>Dumbarton</t>
  </si>
  <si>
    <t>Edinburgh City</t>
  </si>
  <si>
    <t>Elgin City</t>
  </si>
  <si>
    <t>Kelty Hearts</t>
  </si>
  <si>
    <t>Forfar Athletic</t>
  </si>
  <si>
    <t>Stirling Albion</t>
  </si>
  <si>
    <t>Stranraer</t>
  </si>
  <si>
    <t>Spartans</t>
  </si>
  <si>
    <t>  SER</t>
  </si>
  <si>
    <t>R. Surdulica</t>
  </si>
  <si>
    <t>Macva Sabac</t>
  </si>
  <si>
    <t>Z. Pancevo</t>
  </si>
  <si>
    <t>Cukaricki</t>
  </si>
  <si>
    <t>OFK Beograd</t>
  </si>
  <si>
    <t>  SLO</t>
  </si>
  <si>
    <t>Banska Bystrica</t>
  </si>
  <si>
    <t>Zilina</t>
  </si>
  <si>
    <t>S. Bratislava</t>
  </si>
  <si>
    <t>Ruzomberok</t>
  </si>
  <si>
    <t>Skalica</t>
  </si>
  <si>
    <t>FC Kosice</t>
  </si>
  <si>
    <t>8.00</t>
  </si>
  <si>
    <t>Podbrezova</t>
  </si>
  <si>
    <t>Trencin</t>
  </si>
  <si>
    <t>Nafta</t>
  </si>
  <si>
    <t>NK Celje</t>
  </si>
  <si>
    <t>NK Olimpija</t>
  </si>
  <si>
    <t>Maribor</t>
  </si>
  <si>
    <t>AmaZulu</t>
  </si>
  <si>
    <t>Siwelele</t>
  </si>
  <si>
    <t>Kaizer Chiefs</t>
  </si>
  <si>
    <t>Mamelodi S.</t>
  </si>
  <si>
    <t>Sekhukhune</t>
  </si>
  <si>
    <t>Polokwane</t>
  </si>
  <si>
    <t>Durban City</t>
  </si>
  <si>
    <t>Richards Bay</t>
  </si>
  <si>
    <t>Milford</t>
  </si>
  <si>
    <t>Kruger United</t>
  </si>
  <si>
    <t>Gwangju</t>
  </si>
  <si>
    <t>Pohang Steelers</t>
  </si>
  <si>
    <t>Jeju Utd</t>
  </si>
  <si>
    <t>Anyang</t>
  </si>
  <si>
    <t>Seoul</t>
  </si>
  <si>
    <t>Daejeon Citizen</t>
  </si>
  <si>
    <t>Busan IPark</t>
  </si>
  <si>
    <t>Hwaseong</t>
  </si>
  <si>
    <t>Cheongju</t>
  </si>
  <si>
    <t>Jeonnam</t>
  </si>
  <si>
    <t>3.08</t>
  </si>
  <si>
    <t>Gimhae</t>
  </si>
  <si>
    <t>Gyeongnam</t>
  </si>
  <si>
    <t>Suwon Bluewings</t>
  </si>
  <si>
    <t>Suwon City</t>
  </si>
  <si>
    <t>Gangjin Swans W</t>
  </si>
  <si>
    <t>Incheon W</t>
  </si>
  <si>
    <t>Sejong W</t>
  </si>
  <si>
    <t>Sirius</t>
  </si>
  <si>
    <t>Ljungskile</t>
  </si>
  <si>
    <t>Oster</t>
  </si>
  <si>
    <t>GIF Sundsvall</t>
  </si>
  <si>
    <t>Helsingborg</t>
  </si>
  <si>
    <t>United Nordic</t>
  </si>
  <si>
    <t>Varberg BoIS</t>
  </si>
  <si>
    <t>Falkenberg</t>
  </si>
  <si>
    <t>Norrby</t>
  </si>
  <si>
    <t>Sandviken</t>
  </si>
  <si>
    <t>Norrkoping</t>
  </si>
  <si>
    <t>Gefle</t>
  </si>
  <si>
    <t>Umea</t>
  </si>
  <si>
    <t>Karlberg</t>
  </si>
  <si>
    <t>Stocksund</t>
  </si>
  <si>
    <t>Karlstad</t>
  </si>
  <si>
    <t>Assyriska</t>
  </si>
  <si>
    <t>Sollentuna</t>
  </si>
  <si>
    <t>Jarfalla</t>
  </si>
  <si>
    <t>Angelholm</t>
  </si>
  <si>
    <t>Trollhattan</t>
  </si>
  <si>
    <t>Olympic</t>
  </si>
  <si>
    <t>Ariana</t>
  </si>
  <si>
    <t>Kristianstad</t>
  </si>
  <si>
    <t>Tvaaker</t>
  </si>
  <si>
    <t>Laholm</t>
  </si>
  <si>
    <t>Jonkopings</t>
  </si>
  <si>
    <t>0.25</t>
  </si>
  <si>
    <t>AIK W</t>
  </si>
  <si>
    <t>Vittsjo W</t>
  </si>
  <si>
    <t>Uppsala W</t>
  </si>
  <si>
    <t>Malmo FF W</t>
  </si>
  <si>
    <t>Brommapojk. W</t>
  </si>
  <si>
    <t>Hacken W</t>
  </si>
  <si>
    <t>Hammarby W</t>
  </si>
  <si>
    <t>Pitea W</t>
  </si>
  <si>
    <t>Rosengard W</t>
  </si>
  <si>
    <t>Eskilstuna U. W</t>
  </si>
  <si>
    <t>Kasimpasa</t>
  </si>
  <si>
    <t>Trabzonspor</t>
  </si>
  <si>
    <t>Konyaspor</t>
  </si>
  <si>
    <t>Rizespor</t>
  </si>
  <si>
    <t>Gaziantep</t>
  </si>
  <si>
    <t>Alanyaspor</t>
  </si>
  <si>
    <t>Genclerbirligi</t>
  </si>
  <si>
    <t>Fenerbahce</t>
  </si>
  <si>
    <t>F. Karagumruk</t>
  </si>
  <si>
    <t>Umraniyespor</t>
  </si>
  <si>
    <t>Istanbulspor</t>
  </si>
  <si>
    <t>Bodrumspor</t>
  </si>
  <si>
    <t>Bursaspor</t>
  </si>
  <si>
    <t>Igdir</t>
  </si>
  <si>
    <t>Manisa BB</t>
  </si>
  <si>
    <t>Van Spor</t>
  </si>
  <si>
    <t>Kryvbas KR</t>
  </si>
  <si>
    <t>Livyi Bereh</t>
  </si>
  <si>
    <t>Kudrivka</t>
  </si>
  <si>
    <t>Obolon</t>
  </si>
  <si>
    <t>Karpaty Lviv</t>
  </si>
  <si>
    <t>Bukovyna</t>
  </si>
  <si>
    <t>Montevideo City</t>
  </si>
  <si>
    <t>Cerro</t>
  </si>
  <si>
    <t>Racing CM</t>
  </si>
  <si>
    <t>Atlanta Utd</t>
  </si>
  <si>
    <t>New York RB</t>
  </si>
  <si>
    <t>CF Montreal</t>
  </si>
  <si>
    <t>DC United</t>
  </si>
  <si>
    <t>Charlotte</t>
  </si>
  <si>
    <t>Columbus Crew</t>
  </si>
  <si>
    <t>Orlando City</t>
  </si>
  <si>
    <t>Cincinnati</t>
  </si>
  <si>
    <t>4.67</t>
  </si>
  <si>
    <t>Toronto</t>
  </si>
  <si>
    <t>New England</t>
  </si>
  <si>
    <t>Detroit City</t>
  </si>
  <si>
    <t>Loudoun Utd</t>
  </si>
  <si>
    <t>Hartford A.</t>
  </si>
  <si>
    <t>Miami FC</t>
  </si>
  <si>
    <t>Pittsburgh</t>
  </si>
  <si>
    <t>Charleston</t>
  </si>
  <si>
    <t>Sporting JAX</t>
  </si>
  <si>
    <t>Indy Eleven</t>
  </si>
  <si>
    <t>Tampa Bay</t>
  </si>
  <si>
    <t>Rhode Island</t>
  </si>
  <si>
    <t>Charlotte I.</t>
  </si>
  <si>
    <t>Sarasota P.</t>
  </si>
  <si>
    <t>Greenville</t>
  </si>
  <si>
    <t>One Knoxville</t>
  </si>
  <si>
    <t>NY Cosmos</t>
  </si>
  <si>
    <t>Alta</t>
  </si>
  <si>
    <t>Westchester SC</t>
  </si>
  <si>
    <t>Naples</t>
  </si>
  <si>
    <t>Fort Wayne</t>
  </si>
  <si>
    <t>Chattanooga RW</t>
  </si>
  <si>
    <t>Gotham FC W</t>
  </si>
  <si>
    <t>KC Current W</t>
  </si>
  <si>
    <t>San Diego W. W</t>
  </si>
  <si>
    <t>Denver Summit W</t>
  </si>
  <si>
    <t>Seattle Reign W</t>
  </si>
  <si>
    <t>Chicago RS W</t>
  </si>
  <si>
    <t>0.22</t>
  </si>
  <si>
    <t>Utah Royals W</t>
  </si>
  <si>
    <t>Bay FC W</t>
  </si>
  <si>
    <t>R. Louisville W</t>
  </si>
  <si>
    <t>Boston Legacy W</t>
  </si>
  <si>
    <t>DC Power W</t>
  </si>
  <si>
    <t>Carolina A. W</t>
  </si>
  <si>
    <t>Lexington W</t>
  </si>
  <si>
    <t>Brooklyn W</t>
  </si>
  <si>
    <t>F. Lauderdale W</t>
  </si>
  <si>
    <t>Sporting JAX W</t>
  </si>
  <si>
    <t>Barry</t>
  </si>
  <si>
    <t>Cardiff MU</t>
  </si>
  <si>
    <t>Caernarfon</t>
  </si>
  <si>
    <t>Colwyn Bay</t>
  </si>
  <si>
    <t>Racing</t>
  </si>
  <si>
    <t>Villarreal</t>
  </si>
  <si>
    <t>Espanyol</t>
  </si>
  <si>
    <t>Levante</t>
  </si>
  <si>
    <t>Celta Vigo</t>
  </si>
  <si>
    <t>Osasuna</t>
  </si>
  <si>
    <t>ADO Den Haag</t>
  </si>
  <si>
    <t>FC Groningen</t>
  </si>
  <si>
    <t>FC Twente</t>
  </si>
  <si>
    <t>PEC Zwolle</t>
  </si>
  <si>
    <t>Feyenoord</t>
  </si>
  <si>
    <t>Go Ahead Eagles</t>
  </si>
  <si>
    <t>Ajax Amsterdam</t>
  </si>
  <si>
    <t>Heerenveen</t>
  </si>
  <si>
    <t>Estoril</t>
  </si>
  <si>
    <t>Arouca</t>
  </si>
  <si>
    <t>Moreirense</t>
  </si>
  <si>
    <t>Famalicao</t>
  </si>
  <si>
    <t>Maritimo</t>
  </si>
  <si>
    <t>Sporting Braga</t>
  </si>
  <si>
    <t>Gil Vicente</t>
  </si>
  <si>
    <t>Watford</t>
  </si>
  <si>
    <t>Southampton</t>
  </si>
  <si>
    <t>Burnley</t>
  </si>
  <si>
    <t>West Ham Utd</t>
  </si>
  <si>
    <t>Eibar</t>
  </si>
  <si>
    <t>Tenerife</t>
  </si>
  <si>
    <t>Burgos</t>
  </si>
  <si>
    <t>Cordoba</t>
  </si>
  <si>
    <t>Girona</t>
  </si>
  <si>
    <t>Leganes</t>
  </si>
  <si>
    <t>Las Palmas</t>
  </si>
  <si>
    <t>Albacete</t>
  </si>
  <si>
    <t>Bielefeld</t>
  </si>
  <si>
    <t>Energie Cottbus</t>
  </si>
  <si>
    <t>Dynamo Dresden</t>
  </si>
  <si>
    <t>Darmstadt</t>
  </si>
  <si>
    <t>Hannover 96</t>
  </si>
  <si>
    <t>Wolfsburg</t>
  </si>
  <si>
    <t>Platense</t>
  </si>
  <si>
    <t>Boca Juniors</t>
  </si>
  <si>
    <t>Sarmiento</t>
  </si>
  <si>
    <t>Huracan</t>
  </si>
  <si>
    <t>River Plate</t>
  </si>
  <si>
    <t>Argentinos Jrs</t>
  </si>
  <si>
    <t>Barracas C.</t>
  </si>
  <si>
    <t>Central Cordoba</t>
  </si>
  <si>
    <t>Instituto</t>
  </si>
  <si>
    <t>Tristan Suarez</t>
  </si>
  <si>
    <t>Almirante Brown</t>
  </si>
  <si>
    <t>Patronato</t>
  </si>
  <si>
    <t>2.42</t>
  </si>
  <si>
    <t>Gimnasia Jujuy</t>
  </si>
  <si>
    <t>Chaco For Ever</t>
  </si>
  <si>
    <t>Central Norte</t>
  </si>
  <si>
    <t>Gimnasia y Tiro</t>
  </si>
  <si>
    <t>Racing Cordoba</t>
  </si>
  <si>
    <t>SM San Juan</t>
  </si>
  <si>
    <t>D. Madryn</t>
  </si>
  <si>
    <t>Los Andes</t>
  </si>
  <si>
    <t>Sardarapat</t>
  </si>
  <si>
    <t>Pyunik</t>
  </si>
  <si>
    <t>Preston Lions</t>
  </si>
  <si>
    <t>3.91</t>
  </si>
  <si>
    <t>Belmont Swansea</t>
  </si>
  <si>
    <t>Adamstown R.</t>
  </si>
  <si>
    <t>Broadmeadow</t>
  </si>
  <si>
    <t>Charlestown A.</t>
  </si>
  <si>
    <t>Kahibah</t>
  </si>
  <si>
    <t>Cooks Hill Utd</t>
  </si>
  <si>
    <t>Lambton Jaffas</t>
  </si>
  <si>
    <t>Newcastle O.</t>
  </si>
  <si>
    <t>Maitland</t>
  </si>
  <si>
    <t>Edgeworth E.</t>
  </si>
  <si>
    <t>Valentine</t>
  </si>
  <si>
    <t>Weston Bears</t>
  </si>
  <si>
    <t>Belconnen Utd</t>
  </si>
  <si>
    <t>C. Olympic</t>
  </si>
  <si>
    <t>4.44</t>
  </si>
  <si>
    <t>C. Juventus</t>
  </si>
  <si>
    <t>Queanbeyan City</t>
  </si>
  <si>
    <t>1.46</t>
  </si>
  <si>
    <t>1.23</t>
  </si>
  <si>
    <t>2.69</t>
  </si>
  <si>
    <t>Blacktown City</t>
  </si>
  <si>
    <t>UNSW</t>
  </si>
  <si>
    <t>0.46</t>
  </si>
  <si>
    <t>2.77</t>
  </si>
  <si>
    <t>0.85</t>
  </si>
  <si>
    <t>1.85</t>
  </si>
  <si>
    <t>2.31</t>
  </si>
  <si>
    <t>2.23</t>
  </si>
  <si>
    <t>Marconi S.</t>
  </si>
  <si>
    <t>Sutherland S.</t>
  </si>
  <si>
    <t>1.31</t>
  </si>
  <si>
    <t>Rockdale</t>
  </si>
  <si>
    <t>Wollongong W.</t>
  </si>
  <si>
    <t>1.21</t>
  </si>
  <si>
    <t>2.07</t>
  </si>
  <si>
    <t>Hartberg</t>
  </si>
  <si>
    <t>Austria Wien</t>
  </si>
  <si>
    <t>Tirol</t>
  </si>
  <si>
    <t>Salzburg</t>
  </si>
  <si>
    <t>Rapid Wien</t>
  </si>
  <si>
    <t>Grazer AK</t>
  </si>
  <si>
    <t>First Vienna</t>
  </si>
  <si>
    <t>Liefering</t>
  </si>
  <si>
    <t>Sumqayit</t>
  </si>
  <si>
    <t>Neftci</t>
  </si>
  <si>
    <t>Zira</t>
  </si>
  <si>
    <t>Safa</t>
  </si>
  <si>
    <t>ML Vitebsk</t>
  </si>
  <si>
    <t>Baranovichi</t>
  </si>
  <si>
    <t>Dinamo Minsk</t>
  </si>
  <si>
    <t>T. Zhodino</t>
  </si>
  <si>
    <t>Dinamo Brest</t>
  </si>
  <si>
    <t>Isloch</t>
  </si>
  <si>
    <t>Beveren</t>
  </si>
  <si>
    <t>Anderlecht</t>
  </si>
  <si>
    <t>La Louviere</t>
  </si>
  <si>
    <t>Gent</t>
  </si>
  <si>
    <t>KV Mechelen</t>
  </si>
  <si>
    <t>Standard Liege</t>
  </si>
  <si>
    <t>Lommel SK</t>
  </si>
  <si>
    <t>Charleroi</t>
  </si>
  <si>
    <t>Beerschot</t>
  </si>
  <si>
    <t>Jong Gent</t>
  </si>
  <si>
    <t>BSK Banja Luka</t>
  </si>
  <si>
    <t>Velez Mostar</t>
  </si>
  <si>
    <t>R. Bijeljina</t>
  </si>
  <si>
    <t>Zrinjski Mostar</t>
  </si>
  <si>
    <t>Sao Paulo</t>
  </si>
  <si>
    <t>Coritiba</t>
  </si>
  <si>
    <t>Atletico MG</t>
  </si>
  <si>
    <t>Vasco da Gama</t>
  </si>
  <si>
    <t>Santos</t>
  </si>
  <si>
    <t>Flamengo</t>
  </si>
  <si>
    <t>Vitoria</t>
  </si>
  <si>
    <t>Cruzeiro</t>
  </si>
  <si>
    <t>Operario PR</t>
  </si>
  <si>
    <t>Athletic Club</t>
  </si>
  <si>
    <t>CRB</t>
  </si>
  <si>
    <t>Novorizontino</t>
  </si>
  <si>
    <t>Caxias</t>
  </si>
  <si>
    <t>Figueirense</t>
  </si>
  <si>
    <t>Floresta</t>
  </si>
  <si>
    <t>Anapolis</t>
  </si>
  <si>
    <t>Barra FC</t>
  </si>
  <si>
    <t>Itabaiana</t>
  </si>
  <si>
    <t>Confianca</t>
  </si>
  <si>
    <t>Maringa</t>
  </si>
  <si>
    <t>Botafogo W</t>
  </si>
  <si>
    <t>Sao Paulo W</t>
  </si>
  <si>
    <t>Santos W</t>
  </si>
  <si>
    <t>Flamengo W</t>
  </si>
  <si>
    <t>Palmeiras W</t>
  </si>
  <si>
    <t>Juventude W</t>
  </si>
  <si>
    <t>CSKA Sofia</t>
  </si>
  <si>
    <t>Botev Vratsa</t>
  </si>
  <si>
    <t>Lok. Plovdiv</t>
  </si>
  <si>
    <t>Dunav</t>
  </si>
  <si>
    <t>Spartak Pleven</t>
  </si>
  <si>
    <t>Lokomotiv Gorna</t>
  </si>
  <si>
    <t>Sportist Svoge</t>
  </si>
  <si>
    <t>Nesebar</t>
  </si>
  <si>
    <t>Dobrudzha</t>
  </si>
  <si>
    <t>Yantra</t>
  </si>
  <si>
    <t>Etar</t>
  </si>
  <si>
    <t>Rilski Sportist</t>
  </si>
  <si>
    <t>Montana</t>
  </si>
  <si>
    <t>Marek</t>
  </si>
  <si>
    <t>HFX Wanderers</t>
  </si>
  <si>
    <t>Everton</t>
  </si>
  <si>
    <t>Audax Italiano</t>
  </si>
  <si>
    <t>Nublense</t>
  </si>
  <si>
    <t>Union La Calera</t>
  </si>
  <si>
    <t>Cobresal</t>
  </si>
  <si>
    <t>Concepcion</t>
  </si>
  <si>
    <t>Colo-Colo</t>
  </si>
  <si>
    <t>OHiggins</t>
  </si>
  <si>
    <t>Union Espanola</t>
  </si>
  <si>
    <t>San Marcos</t>
  </si>
  <si>
    <t>S. Wanderers</t>
  </si>
  <si>
    <t>Puerto Montt</t>
  </si>
  <si>
    <t>U. San Felipe</t>
  </si>
  <si>
    <t>Cobreloa</t>
  </si>
  <si>
    <t>Shanghai Jiadin</t>
  </si>
  <si>
    <t>Nanjing City</t>
  </si>
  <si>
    <t>Dingnan</t>
  </si>
  <si>
    <t>A. Nacional</t>
  </si>
  <si>
    <t>Santa Fe</t>
  </si>
  <si>
    <t>D. Pereira</t>
  </si>
  <si>
    <t>Jaguares de C.</t>
  </si>
  <si>
    <t>America de Cali</t>
  </si>
  <si>
    <t>Fortaleza CEIF</t>
  </si>
  <si>
    <t>Saprissa</t>
  </si>
  <si>
    <t>Cartagines</t>
  </si>
  <si>
    <t>Zeledon</t>
  </si>
  <si>
    <t>Inter S. Carlos</t>
  </si>
  <si>
    <t>Varazdin</t>
  </si>
  <si>
    <t>Rijeka</t>
  </si>
  <si>
    <t>Gorica</t>
  </si>
  <si>
    <t>Hajduk Split</t>
  </si>
  <si>
    <t>Vikto Zizkov</t>
  </si>
  <si>
    <t>Banik Ostrava B</t>
  </si>
  <si>
    <t>Nordsjaelland</t>
  </si>
  <si>
    <t>Silkeborg</t>
  </si>
  <si>
    <t>Odense BK</t>
  </si>
  <si>
    <t>AC Horsens</t>
  </si>
  <si>
    <t>Lyngby</t>
  </si>
  <si>
    <t>FC Midtjylland</t>
  </si>
  <si>
    <t>Randers FC</t>
  </si>
  <si>
    <t>FC Kobenhavn</t>
  </si>
  <si>
    <t>Vendsyssel</t>
  </si>
  <si>
    <t>AB Copenhagen</t>
  </si>
  <si>
    <t>Mushuc Runa</t>
  </si>
  <si>
    <t>Barcelona SC</t>
  </si>
  <si>
    <t>D. Cuenca</t>
  </si>
  <si>
    <t>Tecnico U.</t>
  </si>
  <si>
    <t>Narva Trans</t>
  </si>
  <si>
    <t>Paide</t>
  </si>
  <si>
    <t>3.18</t>
  </si>
  <si>
    <t>Nomme Kalju</t>
  </si>
  <si>
    <t>Vaprus</t>
  </si>
  <si>
    <t>Kuressaare</t>
  </si>
  <si>
    <t>3.45</t>
  </si>
  <si>
    <t>Harju JK</t>
  </si>
  <si>
    <t>Levadia</t>
  </si>
  <si>
    <t>  FAR</t>
  </si>
  <si>
    <t>HB Torshavn</t>
  </si>
  <si>
    <t>B68 Toftir</t>
  </si>
  <si>
    <t>NSI Runavik</t>
  </si>
  <si>
    <t>Streymur</t>
  </si>
  <si>
    <t>07 Vestur</t>
  </si>
  <si>
    <t>B36 Torshavn</t>
  </si>
  <si>
    <t>AB Argir</t>
  </si>
  <si>
    <t>Klaksvik</t>
  </si>
  <si>
    <t>Skala</t>
  </si>
  <si>
    <t>Vikingur</t>
  </si>
  <si>
    <t>HJK Helsinki</t>
  </si>
  <si>
    <t>Jaro</t>
  </si>
  <si>
    <t>Lahti</t>
  </si>
  <si>
    <t>KuPS</t>
  </si>
  <si>
    <t>Oulu</t>
  </si>
  <si>
    <t>Inter Turku</t>
  </si>
  <si>
    <t>Mikkelin</t>
  </si>
  <si>
    <t>Ekenas IF</t>
  </si>
  <si>
    <t>Inter Turku B</t>
  </si>
  <si>
    <t>KPV Kokkola</t>
  </si>
  <si>
    <t>KuPS Ak.</t>
  </si>
  <si>
    <t>PKKU</t>
  </si>
  <si>
    <t>VJS</t>
  </si>
  <si>
    <t>JJK</t>
  </si>
  <si>
    <t>Reipas</t>
  </si>
  <si>
    <t>PEPO</t>
  </si>
  <si>
    <t>JBK</t>
  </si>
  <si>
    <t>TP-47</t>
  </si>
  <si>
    <t>4.88</t>
  </si>
  <si>
    <t>Narpes Kraft</t>
  </si>
  <si>
    <t>SJK Akatemia B</t>
  </si>
  <si>
    <t>Dila Gori</t>
  </si>
  <si>
    <t>Meshakhte</t>
  </si>
  <si>
    <t>Samgurali</t>
  </si>
  <si>
    <t>Dinamo Batumi</t>
  </si>
  <si>
    <t>Hansa Rostock</t>
  </si>
  <si>
    <t>Mannheim</t>
  </si>
  <si>
    <t>Regensburg</t>
  </si>
  <si>
    <t>Saarbrucken</t>
  </si>
  <si>
    <t>VfB Stuttgart B</t>
  </si>
  <si>
    <t>Viktoria Koln</t>
  </si>
  <si>
    <t>Hamburger SV B</t>
  </si>
  <si>
    <t>Drochtersen.A.</t>
  </si>
  <si>
    <t>Hannover 96 B</t>
  </si>
  <si>
    <t>Delmenhorst</t>
  </si>
  <si>
    <t>St. Pauli B</t>
  </si>
  <si>
    <t>Werder Bremen B</t>
  </si>
  <si>
    <t>Bremer SV</t>
  </si>
  <si>
    <t>HSC Hannover</t>
  </si>
  <si>
    <t>Schoningen</t>
  </si>
  <si>
    <t>Todesfelde</t>
  </si>
  <si>
    <t>Altglienicke</t>
  </si>
  <si>
    <t>Hallescher</t>
  </si>
  <si>
    <t>Tasmania Berlin</t>
  </si>
  <si>
    <t>Lok. Leipzig</t>
  </si>
  <si>
    <t>FC Koln B</t>
  </si>
  <si>
    <t>Gutersloh</t>
  </si>
  <si>
    <t>Freiburg B</t>
  </si>
  <si>
    <t>Hessen Kassel</t>
  </si>
  <si>
    <t>FSV Mainz B</t>
  </si>
  <si>
    <t>FSV Frankfurt</t>
  </si>
  <si>
    <t>VfR Mannheim</t>
  </si>
  <si>
    <t>Eintracht Trier</t>
  </si>
  <si>
    <t>Comunicaciones</t>
  </si>
  <si>
    <t>Malacateco</t>
  </si>
  <si>
    <t>San Pedro</t>
  </si>
  <si>
    <t>Aurora</t>
  </si>
  <si>
    <t>Suchitepequez</t>
  </si>
  <si>
    <t>Marquense</t>
  </si>
  <si>
    <t>Debrecen</t>
  </si>
  <si>
    <t>Gyor</t>
  </si>
  <si>
    <t>Puskas A.</t>
  </si>
  <si>
    <t>Paks</t>
  </si>
  <si>
    <t>Karcag SE</t>
  </si>
  <si>
    <t>Tiszakecske</t>
  </si>
  <si>
    <t>Szentlorinc</t>
  </si>
  <si>
    <t>Csakvari</t>
  </si>
  <si>
    <t>Hafnarfjordur</t>
  </si>
  <si>
    <t>Vikingur R.</t>
  </si>
  <si>
    <t>IBV</t>
  </si>
  <si>
    <t>IA Akranes</t>
  </si>
  <si>
    <t>KR Reykjavik</t>
  </si>
  <si>
    <t>Breidablik</t>
  </si>
  <si>
    <t>Yokohama FC</t>
  </si>
  <si>
    <t>Jubilo Iwata</t>
  </si>
  <si>
    <t>Tokushima V.</t>
  </si>
  <si>
    <t>Sagan Tosu</t>
  </si>
  <si>
    <t>Nara Club</t>
  </si>
  <si>
    <t>Kagoshima Utd</t>
  </si>
  <si>
    <t>Osaka</t>
  </si>
  <si>
    <t>Nagano Parceiro</t>
  </si>
  <si>
    <t>Ehime FC</t>
  </si>
  <si>
    <t>Gainare Tottori</t>
  </si>
  <si>
    <t>Matsumoto Y.</t>
  </si>
  <si>
    <t>Rayluck Shiga</t>
  </si>
  <si>
    <t>Irtysh</t>
  </si>
  <si>
    <t>Tobol</t>
  </si>
  <si>
    <t>0.18</t>
  </si>
  <si>
    <t>Kaspiy Aktau</t>
  </si>
  <si>
    <t>Yelimay Semey</t>
  </si>
  <si>
    <t>Kyzylzhar</t>
  </si>
  <si>
    <t>FC Astana</t>
  </si>
  <si>
    <t>Atyrau</t>
  </si>
  <si>
    <t>Okzhetpes</t>
  </si>
  <si>
    <t>  LIT</t>
  </si>
  <si>
    <t>Kauno Zalgiris</t>
  </si>
  <si>
    <t>TransINVEST</t>
  </si>
  <si>
    <t>Zalgiris</t>
  </si>
  <si>
    <t>Banga</t>
  </si>
  <si>
    <t>Monterrey</t>
  </si>
  <si>
    <t>Juarez</t>
  </si>
  <si>
    <t>Atlas</t>
  </si>
  <si>
    <t>Tigres</t>
  </si>
  <si>
    <t>Pumas UNAM</t>
  </si>
  <si>
    <t>Queretaro</t>
  </si>
  <si>
    <t>CF America</t>
  </si>
  <si>
    <t>A. San Luis</t>
  </si>
  <si>
    <t>Real Sireti</t>
  </si>
  <si>
    <t>S. Tiraspol</t>
  </si>
  <si>
    <t>Zimbru Chisinau</t>
  </si>
  <si>
    <t>Milsami</t>
  </si>
  <si>
    <t>Arsenal Tivat</t>
  </si>
  <si>
    <t>Buducnost</t>
  </si>
  <si>
    <t>Mladost DG</t>
  </si>
  <si>
    <t>Mornar Bar</t>
  </si>
  <si>
    <t>Petrovac</t>
  </si>
  <si>
    <t>Jezero</t>
  </si>
  <si>
    <t>Aalesund</t>
  </si>
  <si>
    <t>Valerenga</t>
  </si>
  <si>
    <t>Brann</t>
  </si>
  <si>
    <t>HamKam</t>
  </si>
  <si>
    <t>Molde</t>
  </si>
  <si>
    <t>Tromso</t>
  </si>
  <si>
    <t>Sarpsborg 08</t>
  </si>
  <si>
    <t>Sandefjord</t>
  </si>
  <si>
    <t>Kristiansund</t>
  </si>
  <si>
    <t>Egersund</t>
  </si>
  <si>
    <t>Stabaek</t>
  </si>
  <si>
    <t>Hodd</t>
  </si>
  <si>
    <t>Strommen</t>
  </si>
  <si>
    <t>Kongsvinger</t>
  </si>
  <si>
    <t>Haugesund</t>
  </si>
  <si>
    <t>5.67</t>
  </si>
  <si>
    <t>Raufoss</t>
  </si>
  <si>
    <t>Asane</t>
  </si>
  <si>
    <t>Sogndal</t>
  </si>
  <si>
    <t>Sandnes Ulf</t>
  </si>
  <si>
    <t>Jerv</t>
  </si>
  <si>
    <t>Pors Grenland</t>
  </si>
  <si>
    <t>Bjarg</t>
  </si>
  <si>
    <t>Sotra</t>
  </si>
  <si>
    <t>Traef</t>
  </si>
  <si>
    <t>Follo</t>
  </si>
  <si>
    <t>Rana</t>
  </si>
  <si>
    <t>4.71</t>
  </si>
  <si>
    <t>Ull/Kisa</t>
  </si>
  <si>
    <t>Trygg/Lade</t>
  </si>
  <si>
    <t>4.14</t>
  </si>
  <si>
    <t>Skeid</t>
  </si>
  <si>
    <t>Levanger</t>
  </si>
  <si>
    <t>Stjordals-Blink</t>
  </si>
  <si>
    <t>Honefoss</t>
  </si>
  <si>
    <t>Grorud</t>
  </si>
  <si>
    <t>Tromsdalen</t>
  </si>
  <si>
    <t>3.86</t>
  </si>
  <si>
    <t>Kjelsas</t>
  </si>
  <si>
    <t>Junkeren</t>
  </si>
  <si>
    <t>Cerro Porteno</t>
  </si>
  <si>
    <t>S. Luqueno</t>
  </si>
  <si>
    <t>Olimpia</t>
  </si>
  <si>
    <t>S. Ameliano</t>
  </si>
  <si>
    <t>Motor Lublin</t>
  </si>
  <si>
    <t>Katowice</t>
  </si>
  <si>
    <t>Cracovia Krakow</t>
  </si>
  <si>
    <t>Rakow C.</t>
  </si>
  <si>
    <t>Gornik Zabrze</t>
  </si>
  <si>
    <t>Wisla Krakow</t>
  </si>
  <si>
    <t>Wisla Plock</t>
  </si>
  <si>
    <t>Lech Poznan</t>
  </si>
  <si>
    <t>LKS Lodz</t>
  </si>
  <si>
    <t>Termalica</t>
  </si>
  <si>
    <t>Stal Mielec</t>
  </si>
  <si>
    <t>Polonia Bytom</t>
  </si>
  <si>
    <t>Skierniewice</t>
  </si>
  <si>
    <t>Miedz Legnica</t>
  </si>
  <si>
    <t>Zawisza Bydgosz</t>
  </si>
  <si>
    <t>Falubaz Zielona</t>
  </si>
  <si>
    <t>Hutnik Krakow</t>
  </si>
  <si>
    <t>Legia Warszawa</t>
  </si>
  <si>
    <t>Stalowa Wola</t>
  </si>
  <si>
    <t>Avia Swidnik</t>
  </si>
  <si>
    <t>Portimonense</t>
  </si>
  <si>
    <t>Vizela</t>
  </si>
  <si>
    <t>Amarante</t>
  </si>
  <si>
    <t>Lusitania FC</t>
  </si>
  <si>
    <t>Leixoes</t>
  </si>
  <si>
    <t>Tondela</t>
  </si>
  <si>
    <t>FC Porto B</t>
  </si>
  <si>
    <t>Farense</t>
  </si>
  <si>
    <t>Cornivul H.</t>
  </si>
  <si>
    <t>CFR Cluj</t>
  </si>
  <si>
    <t>Otelul</t>
  </si>
  <si>
    <t>Univ. Craiova</t>
  </si>
  <si>
    <t>Zenit</t>
  </si>
  <si>
    <t>Dinamo Moscow</t>
  </si>
  <si>
    <t>Krylya Sovetov</t>
  </si>
  <si>
    <t>Makhachkala</t>
  </si>
  <si>
    <t>Baltika</t>
  </si>
  <si>
    <t>Spartak Moscow</t>
  </si>
  <si>
    <t>IMT N. Beograd</t>
  </si>
  <si>
    <t>Radnicki Nis</t>
  </si>
  <si>
    <t>Partizan</t>
  </si>
  <si>
    <t>Radnicki 1923</t>
  </si>
  <si>
    <t>Zemun</t>
  </si>
  <si>
    <t>Mladost Lucani</t>
  </si>
  <si>
    <t>Spartak Trnava</t>
  </si>
  <si>
    <t>Z. Michalovce</t>
  </si>
  <si>
    <t>Komarno</t>
  </si>
  <si>
    <t>DAC Streda</t>
  </si>
  <si>
    <t>Radomlje</t>
  </si>
  <si>
    <t>Aluminij</t>
  </si>
  <si>
    <t>Grosuplje</t>
  </si>
  <si>
    <t>Mura</t>
  </si>
  <si>
    <t>Koper</t>
  </si>
  <si>
    <t>Bravo</t>
  </si>
  <si>
    <t>Chippa Utd</t>
  </si>
  <si>
    <t>Orlando Pirates</t>
  </si>
  <si>
    <t>TS Galaxy</t>
  </si>
  <si>
    <t>Golden Arrows</t>
  </si>
  <si>
    <t>Bucheon FC</t>
  </si>
  <si>
    <t>Jeonbuk</t>
  </si>
  <si>
    <t>Incheon Utd</t>
  </si>
  <si>
    <t>Gimcheon Sangmu</t>
  </si>
  <si>
    <t>Ulsan</t>
  </si>
  <si>
    <t>Gangwon</t>
  </si>
  <si>
    <t>Daegu</t>
  </si>
  <si>
    <t>Asan</t>
  </si>
  <si>
    <t>Gimpo</t>
  </si>
  <si>
    <t>Cheonan City</t>
  </si>
  <si>
    <t>Paju Citizen</t>
  </si>
  <si>
    <t>Seongnam</t>
  </si>
  <si>
    <t>Seoul E-Land</t>
  </si>
  <si>
    <t>Ansan Greeners</t>
  </si>
  <si>
    <t>Orgryte</t>
  </si>
  <si>
    <t>Degerfors</t>
  </si>
  <si>
    <t>Djurgarden</t>
  </si>
  <si>
    <t>AIK</t>
  </si>
  <si>
    <t>GAIS</t>
  </si>
  <si>
    <t>Malmo FF</t>
  </si>
  <si>
    <t>Kalmar</t>
  </si>
  <si>
    <t>Hammarby</t>
  </si>
  <si>
    <t>Varnamo</t>
  </si>
  <si>
    <t>Ostersunds</t>
  </si>
  <si>
    <t>Pitea</t>
  </si>
  <si>
    <t>Vasalund</t>
  </si>
  <si>
    <t>Stockholm Inter</t>
  </si>
  <si>
    <t>Arlanda</t>
  </si>
  <si>
    <t>FBK Karlstad</t>
  </si>
  <si>
    <t>Enkoping</t>
  </si>
  <si>
    <t>Trelleborg</t>
  </si>
  <si>
    <t>Eskilsminne</t>
  </si>
  <si>
    <t>Atvidaberg</t>
  </si>
  <si>
    <t>Skovde AIK</t>
  </si>
  <si>
    <t>Rosengard</t>
  </si>
  <si>
    <t>Utsikten</t>
  </si>
  <si>
    <t>Norrkoping W</t>
  </si>
  <si>
    <t>Kristianstads W</t>
  </si>
  <si>
    <t>Basaksehir</t>
  </si>
  <si>
    <t>Kocaelispor</t>
  </si>
  <si>
    <t>Amed SK</t>
  </si>
  <si>
    <t>Erzurum BB</t>
  </si>
  <si>
    <t>Besiktas</t>
  </si>
  <si>
    <t>Eyupspor</t>
  </si>
  <si>
    <t>Kayserispor</t>
  </si>
  <si>
    <t>Sivasspor</t>
  </si>
  <si>
    <t>Keciorengucu</t>
  </si>
  <si>
    <t>Pendikspor</t>
  </si>
  <si>
    <t>Mardin BB</t>
  </si>
  <si>
    <t>Antalyaspor</t>
  </si>
  <si>
    <t>Muglaspor</t>
  </si>
  <si>
    <t>Bandirmaspor</t>
  </si>
  <si>
    <t>LNZ Cherkasy</t>
  </si>
  <si>
    <t>Chornomorets</t>
  </si>
  <si>
    <t>Metalist 1925</t>
  </si>
  <si>
    <t>Shakhtar</t>
  </si>
  <si>
    <t>Dynamo Kyiv</t>
  </si>
  <si>
    <t>Kolos Kovalivka</t>
  </si>
  <si>
    <t>Progreso</t>
  </si>
  <si>
    <t>D. Maldonado</t>
  </si>
  <si>
    <t>Defensor S.</t>
  </si>
  <si>
    <t>Liverpool M.</t>
  </si>
  <si>
    <t>Penarol</t>
  </si>
  <si>
    <t>Central Espanol</t>
  </si>
  <si>
    <t>Houston Dynamo</t>
  </si>
  <si>
    <t>LA Galaxy</t>
  </si>
  <si>
    <t>Nashville SC</t>
  </si>
  <si>
    <t>Inter Miami</t>
  </si>
  <si>
    <t>Colorado Rapids</t>
  </si>
  <si>
    <t>Real Salt Lake</t>
  </si>
  <si>
    <t>Minnesota Utd</t>
  </si>
  <si>
    <t>Los Angeles FC</t>
  </si>
  <si>
    <t>San Diego</t>
  </si>
  <si>
    <t>SJ Earthquakes</t>
  </si>
  <si>
    <t>New York City</t>
  </si>
  <si>
    <t>Philadelphia</t>
  </si>
  <si>
    <t>Colorado S.</t>
  </si>
  <si>
    <t>Birmingham L.</t>
  </si>
  <si>
    <t>San Antonio</t>
  </si>
  <si>
    <t>El Paso</t>
  </si>
  <si>
    <t>New Mexico</t>
  </si>
  <si>
    <t>FC Tulsa</t>
  </si>
  <si>
    <t>Oakland Roots</t>
  </si>
  <si>
    <t>Monterey Bay</t>
  </si>
  <si>
    <t>Orange County</t>
  </si>
  <si>
    <t>Louisville City</t>
  </si>
  <si>
    <t>Las Vegas L.</t>
  </si>
  <si>
    <t>Brooklyn FC</t>
  </si>
  <si>
    <t>Sacramento R.</t>
  </si>
  <si>
    <t>Lexington</t>
  </si>
  <si>
    <t>Spokane V.</t>
  </si>
  <si>
    <t>Corpus Christi</t>
  </si>
  <si>
    <t>Portland Hearts</t>
  </si>
  <si>
    <t>Forward Madison</t>
  </si>
  <si>
    <t>Union Omaha</t>
  </si>
  <si>
    <t>Richmond K.</t>
  </si>
  <si>
    <t>Portland T. W</t>
  </si>
  <si>
    <t>Orlando Pride W</t>
  </si>
  <si>
    <t>N. Carolina W</t>
  </si>
  <si>
    <t>Houston Dash W</t>
  </si>
  <si>
    <t>Dallas T. W</t>
  </si>
  <si>
    <t>Tampa Bay Sun 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</si>
</sst>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20" x14ac:knownFonts="1">
    <font>
      <sz val="10"/>
      <color theme="1"/>
      <name val="Arial"/>
      <family val="2"/>
    </font>
    <font>
      <sz val="7"/>
      <color rgb="FF444444"/>
      <name val="Segoe UI"/>
      <family val="2"/>
    </font>
    <font>
      <b/>
      <sz val="7"/>
      <color rgb="FF444444"/>
      <name val="Segoe UI"/>
      <family val="2"/>
    </font>
    <font>
      <sz val="8"/>
      <color rgb="FF000000"/>
      <name val="Segoe UI"/>
      <family val="2"/>
    </font>
    <font>
      <sz val="7"/>
      <color rgb="FF111111"/>
      <name val="Segoe UI"/>
      <family val="2"/>
    </font>
    <font>
      <sz val="7.5"/>
      <color rgb="FF808080"/>
      <name val="Segoe UI"/>
      <family val="2"/>
    </font>
    <font>
      <sz val="7"/>
      <color rgb="FF000000"/>
      <name val="Segoe UI"/>
      <family val="2"/>
    </font>
    <font>
      <sz val="7"/>
      <color rgb="FFFF0000"/>
      <name val="Segoe UI"/>
      <family val="2"/>
    </font>
    <font>
      <sz val="7"/>
      <color rgb="FF008000"/>
      <name val="Segoe UI"/>
      <family val="2"/>
    </font>
    <font>
      <b/>
      <sz val="7"/>
      <color rgb="FF000000"/>
      <name val="Segoe UI"/>
      <family val="2"/>
    </font>
    <font>
      <sz val="7"/>
      <color rgb="FF666666"/>
      <name val="Segoe UI"/>
      <family val="2"/>
    </font>
    <font>
      <sz val="7"/>
      <color rgb="FF0000FF"/>
      <name val="Segoe UI"/>
      <family val="2"/>
    </font>
    <font>
      <u/>
      <sz val="10"/>
      <color theme="10"/>
      <name val="Arial"/>
      <family val="2"/>
    </font>
    <font>
      <sz val="8"/>
      <color rgb="FF000000"/>
      <name val="Arial"/>
      <family val="2"/>
    </font>
    <font>
      <sz val="8"/>
      <color theme="1"/>
      <name val="Arial"/>
      <family val="2"/>
    </font>
    <font>
      <b/>
      <sz val="8"/>
      <color rgb="FF444444"/>
      <name val="Arial"/>
      <family val="2"/>
    </font>
    <font>
      <b/>
      <sz val="8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7"/>
      <color theme="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DDDDDD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</borders>
  <cellStyleXfs count="3">
    <xf numFmtId="0" fontId="0" fillId="0" borderId="0"/>
    <xf numFmtId="0" fontId="12" fillId="0" borderId="0" applyNumberFormat="0" applyFill="0" applyBorder="0" applyAlignment="0" applyProtection="0"/>
    <xf numFmtId="9" fontId="18" fillId="0" borderId="0" applyFont="0" applyFill="0" applyBorder="0" applyAlignment="0" applyProtection="0"/>
  </cellStyleXfs>
  <cellXfs count="68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2" fillId="2" borderId="1" xfId="1" applyFill="1" applyBorder="1" applyAlignment="1">
      <alignment vertical="center" wrapText="1"/>
    </xf>
    <xf numFmtId="0" fontId="4" fillId="2" borderId="1" xfId="0" applyFont="1" applyFill="1" applyBorder="1" applyAlignment="1">
      <alignment horizontal="right" vertical="center" wrapText="1"/>
    </xf>
    <xf numFmtId="20" fontId="5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9" fontId="6" fillId="2" borderId="1" xfId="0" applyNumberFormat="1" applyFont="1" applyFill="1" applyBorder="1" applyAlignment="1">
      <alignment horizontal="center" vertical="center" wrapText="1"/>
    </xf>
    <xf numFmtId="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9" fontId="11" fillId="2" borderId="1" xfId="0" applyNumberFormat="1" applyFont="1" applyFill="1" applyBorder="1" applyAlignment="1">
      <alignment horizontal="center" vertical="center" wrapText="1"/>
    </xf>
    <xf numFmtId="0" fontId="2" fillId="3" borderId="0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4" fontId="13" fillId="0" borderId="0" xfId="0" applyNumberFormat="1" applyFont="1" applyFill="1" applyBorder="1" applyAlignment="1">
      <alignment horizontal="center" vertical="center" wrapText="1"/>
    </xf>
    <xf numFmtId="0" fontId="14" fillId="0" borderId="0" xfId="0" applyFont="1" applyFill="1" applyAlignment="1">
      <alignment horizontal="center" vertical="center"/>
    </xf>
    <xf numFmtId="0" fontId="15" fillId="0" borderId="0" xfId="0" applyFont="1" applyFill="1" applyBorder="1" applyAlignment="1">
      <alignment horizontal="center" vertical="center" wrapText="1"/>
    </xf>
    <xf numFmtId="0" fontId="15" fillId="6" borderId="0" xfId="0" applyFont="1" applyFill="1" applyBorder="1" applyAlignment="1">
      <alignment horizontal="center" vertical="center" wrapText="1"/>
    </xf>
    <xf numFmtId="0" fontId="15" fillId="5" borderId="0" xfId="0" applyFont="1" applyFill="1" applyBorder="1" applyAlignment="1">
      <alignment horizontal="center" vertical="center" wrapText="1"/>
    </xf>
    <xf numFmtId="0" fontId="16" fillId="4" borderId="0" xfId="0" applyFont="1" applyFill="1" applyAlignment="1">
      <alignment horizontal="center" vertical="center"/>
    </xf>
    <xf numFmtId="3" fontId="13" fillId="0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7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9" fontId="0" fillId="0" borderId="0" xfId="0" applyNumberFormat="1"/>
    <xf numFmtId="164" fontId="0" fillId="0" borderId="0" xfId="2" applyNumberFormat="1" applyFont="1"/>
    <xf numFmtId="10" fontId="0" fillId="0" borderId="0" xfId="2" applyNumberFormat="1" applyFont="1"/>
    <xf numFmtId="0" fontId="17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left" vertical="center" wrapText="1"/>
    </xf>
    <xf numFmtId="0" fontId="17" fillId="0" borderId="6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0" fillId="0" borderId="6" xfId="0" applyBorder="1" applyAlignment="1">
      <alignment horizontal="left" vertical="center"/>
    </xf>
    <xf numFmtId="0" fontId="17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left" vertical="center" wrapText="1"/>
    </xf>
    <xf numFmtId="0" fontId="12" fillId="3" borderId="1" xfId="1" applyFill="1" applyBorder="1" applyAlignment="1">
      <alignment vertical="center" wrapText="1"/>
    </xf>
    <xf numFmtId="9" fontId="6" fillId="3" borderId="1" xfId="0" applyNumberFormat="1" applyFont="1" applyFill="1" applyBorder="1" applyAlignment="1">
      <alignment horizontal="center" vertical="center" wrapText="1"/>
    </xf>
    <xf numFmtId="9" fontId="7" fillId="3" borderId="1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right" vertical="center" wrapText="1"/>
    </xf>
    <xf numFmtId="20" fontId="5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 wrapText="1"/>
    </xf>
    <xf numFmtId="14" fontId="19" fillId="0" borderId="0" xfId="0" applyNumberFormat="1" applyFont="1"/>
    <xf numFmtId="0" fontId="3" fillId="3" borderId="1" xfId="0" applyFont="1" applyFill="1" applyBorder="1" applyAlignment="1">
      <alignment vertical="center" wrapText="1"/>
    </xf>
    <xf numFmtId="0" fontId="17" fillId="0" borderId="0" xfId="0" applyFont="1" applyAlignment="1">
      <alignment horizontal="center" vertical="center"/>
    </xf>
  </cellXfs>
  <cellStyles count="3">
    <cellStyle name="Hiperlink" xfId="1" builtinId="8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soccerstats.com/h2h.asp?league=bosnia&amp;fmid=8&amp;t1id=6&amp;t2id=3&amp;ly=2026" TargetMode="External"/><Relationship Id="rId671" Type="http://schemas.openxmlformats.org/officeDocument/2006/relationships/hyperlink" Target="https://www.soccerstats.com/h2h.asp?league=england2&amp;fmid=11&amp;t1id=21&amp;t2id=22&amp;ly=2026" TargetMode="External"/><Relationship Id="rId769" Type="http://schemas.openxmlformats.org/officeDocument/2006/relationships/hyperlink" Target="https://www.soccerstats.com/pmatch.asp?league=estonia&amp;stats=112-5-4-2026" TargetMode="External"/><Relationship Id="rId21" Type="http://schemas.openxmlformats.org/officeDocument/2006/relationships/hyperlink" Target="https://www.soccerstats.com/h2h.asp?league=england3&amp;fmid=12&amp;t1id=23&amp;t2id=24&amp;ly=2026" TargetMode="External"/><Relationship Id="rId324" Type="http://schemas.openxmlformats.org/officeDocument/2006/relationships/hyperlink" Target="https://www.soccerstats.com/pmatch.asp?league=kazakhstan&amp;stats=32-8-6-2026" TargetMode="External"/><Relationship Id="rId531" Type="http://schemas.openxmlformats.org/officeDocument/2006/relationships/hyperlink" Target="https://www.soccerstats.com/h2h.asp?league=netherlands2&amp;fmid=16&amp;t1id=12&amp;t2id=17&amp;ly=2026" TargetMode="External"/><Relationship Id="rId629" Type="http://schemas.openxmlformats.org/officeDocument/2006/relationships/hyperlink" Target="https://www.soccerstats.com/h2h.asp?league=poland&amp;fmid=34&amp;t1id=4&amp;t2id=1&amp;ly=2026" TargetMode="External"/><Relationship Id="rId170" Type="http://schemas.openxmlformats.org/officeDocument/2006/relationships/hyperlink" Target="https://www.soccerstats.com/h2h.asp?league=denmark2&amp;fmid=22&amp;t1id=7&amp;t2id=11&amp;ly=2026" TargetMode="External"/><Relationship Id="rId836" Type="http://schemas.openxmlformats.org/officeDocument/2006/relationships/hyperlink" Target="https://www.soccerstats.com/pmatch.asp?league=norway&amp;stats=144-8-3-2026" TargetMode="External"/><Relationship Id="rId268" Type="http://schemas.openxmlformats.org/officeDocument/2006/relationships/hyperlink" Target="https://www.soccerstats.com/pmatch.asp?league=germany5&amp;stats=42-10-11-2027" TargetMode="External"/><Relationship Id="rId475" Type="http://schemas.openxmlformats.org/officeDocument/2006/relationships/hyperlink" Target="https://www.soccerstats.com/pmatch.asp?league=usa2&amp;stats=236-8-7-2026" TargetMode="External"/><Relationship Id="rId682" Type="http://schemas.openxmlformats.org/officeDocument/2006/relationships/hyperlink" Target="https://www.soccerstats.com/pmatch.asp?league=argentina2&amp;stats=65-21-2-2026" TargetMode="External"/><Relationship Id="rId903" Type="http://schemas.openxmlformats.org/officeDocument/2006/relationships/hyperlink" Target="https://www.soccerstats.com/pmatch.asp?league=sweden11&amp;stats=94-2-6-2026" TargetMode="External"/><Relationship Id="rId32" Type="http://schemas.openxmlformats.org/officeDocument/2006/relationships/hyperlink" Target="https://www.soccerstats.com/h2h.asp?league=england4&amp;fmid=12&amp;t1id=23&amp;t2id=24&amp;ly=2026" TargetMode="External"/><Relationship Id="rId128" Type="http://schemas.openxmlformats.org/officeDocument/2006/relationships/hyperlink" Target="https://www.soccerstats.com/pmatch.asp?league=brazil3&amp;stats=165-13-9-2026" TargetMode="External"/><Relationship Id="rId335" Type="http://schemas.openxmlformats.org/officeDocument/2006/relationships/hyperlink" Target="https://www.soccerstats.com/h2h.asp?league=netherlands3&amp;fmid=3&amp;t1id=5&amp;t2id=6&amp;ly=2026" TargetMode="External"/><Relationship Id="rId542" Type="http://schemas.openxmlformats.org/officeDocument/2006/relationships/hyperlink" Target="https://www.soccerstats.com/pmatch.asp?league=australia3&amp;stats=164-13-4-2026" TargetMode="External"/><Relationship Id="rId181" Type="http://schemas.openxmlformats.org/officeDocument/2006/relationships/hyperlink" Target="https://www.soccerstats.com/h2h.asp?league=england6&amp;fmid=20&amp;t1id=10&amp;t2id=1&amp;ly=2026" TargetMode="External"/><Relationship Id="rId402" Type="http://schemas.openxmlformats.org/officeDocument/2006/relationships/hyperlink" Target="https://www.soccerstats.com/h2h.asp?league=scotland3&amp;fmid=12&amp;t1id=1&amp;t2id=10&amp;ly=2026" TargetMode="External"/><Relationship Id="rId847" Type="http://schemas.openxmlformats.org/officeDocument/2006/relationships/hyperlink" Target="https://www.soccerstats.com/pmatch.asp?league=norway3&amp;stats=111-1-3-2026" TargetMode="External"/><Relationship Id="rId279" Type="http://schemas.openxmlformats.org/officeDocument/2006/relationships/hyperlink" Target="https://www.soccerstats.com/h2h.asp?league=guatemala&amp;fmid=19&amp;t1id=8&amp;t2id=3&amp;ly=2026" TargetMode="External"/><Relationship Id="rId486" Type="http://schemas.openxmlformats.org/officeDocument/2006/relationships/hyperlink" Target="https://www.soccerstats.com/pmatch.asp?league=usa6&amp;stats=149-6-7-2026" TargetMode="External"/><Relationship Id="rId693" Type="http://schemas.openxmlformats.org/officeDocument/2006/relationships/hyperlink" Target="https://www.soccerstats.com/pmatch.asp?league=australia7&amp;stats=128-6-10-2026" TargetMode="External"/><Relationship Id="rId707" Type="http://schemas.openxmlformats.org/officeDocument/2006/relationships/hyperlink" Target="https://www.soccerstats.com/h2h.asp?league=austria2&amp;fmid=18&amp;t1id=13&amp;t2id=6&amp;ly=2026" TargetMode="External"/><Relationship Id="rId914" Type="http://schemas.openxmlformats.org/officeDocument/2006/relationships/hyperlink" Target="https://www.soccerstats.com/h2h.asp?league=uruguay3&amp;fmid=5&amp;t1id=9&amp;t2id=10&amp;ly=2026" TargetMode="External"/><Relationship Id="rId43" Type="http://schemas.openxmlformats.org/officeDocument/2006/relationships/hyperlink" Target="https://www.soccerstats.com/h2h.asp?league=england5&amp;fmid=23&amp;t1id=8&amp;t2id=5&amp;ly=2026" TargetMode="External"/><Relationship Id="rId139" Type="http://schemas.openxmlformats.org/officeDocument/2006/relationships/hyperlink" Target="https://www.soccerstats.com/pmatch.asp?league=canada&amp;stats=64-3-5-2026" TargetMode="External"/><Relationship Id="rId346" Type="http://schemas.openxmlformats.org/officeDocument/2006/relationships/hyperlink" Target="https://www.soccerstats.com/h2h.asp?league=northmacedonia&amp;fmid=11&amp;t1id=2&amp;t2id=4&amp;ly=2026" TargetMode="External"/><Relationship Id="rId553" Type="http://schemas.openxmlformats.org/officeDocument/2006/relationships/hyperlink" Target="https://www.soccerstats.com/h2h.asp?league=austria2&amp;fmid=17&amp;t1id=15&amp;t2id=10&amp;ly=2026" TargetMode="External"/><Relationship Id="rId760" Type="http://schemas.openxmlformats.org/officeDocument/2006/relationships/hyperlink" Target="https://www.soccerstats.com/h2h.asp?league=czechrepublic2&amp;fmid=32&amp;t1id=8&amp;t2id=13&amp;ly=2026" TargetMode="External"/><Relationship Id="rId192" Type="http://schemas.openxmlformats.org/officeDocument/2006/relationships/hyperlink" Target="https://www.soccerstats.com/h2h.asp?league=england7&amp;fmid=20&amp;t1id=24&amp;t2id=7&amp;ly=2026" TargetMode="External"/><Relationship Id="rId206" Type="http://schemas.openxmlformats.org/officeDocument/2006/relationships/hyperlink" Target="https://www.soccerstats.com/h2h.asp?league=england8&amp;fmid=438&amp;t1id=12&amp;t2id=9&amp;ly=2026" TargetMode="External"/><Relationship Id="rId413" Type="http://schemas.openxmlformats.org/officeDocument/2006/relationships/hyperlink" Target="https://www.soccerstats.com/h2h.asp?league=serbia&amp;fmid=33&amp;t1id=1&amp;t2id=3&amp;ly=2026" TargetMode="External"/><Relationship Id="rId858" Type="http://schemas.openxmlformats.org/officeDocument/2006/relationships/hyperlink" Target="https://www.soccerstats.com/h2h.asp?league=poland&amp;fmid=35&amp;t1id=10&amp;t2id=11&amp;ly=2026" TargetMode="External"/><Relationship Id="rId497" Type="http://schemas.openxmlformats.org/officeDocument/2006/relationships/hyperlink" Target="https://www.soccerstats.com/pmatch.asp?league=chile2&amp;stats=154-4-9-2026" TargetMode="External"/><Relationship Id="rId620" Type="http://schemas.openxmlformats.org/officeDocument/2006/relationships/hyperlink" Target="https://www.soccerstats.com/h2h.asp?league=germany8&amp;fmid=36&amp;t1id=10&amp;t2id=19&amp;ly=2026" TargetMode="External"/><Relationship Id="rId718" Type="http://schemas.openxmlformats.org/officeDocument/2006/relationships/hyperlink" Target="https://www.soccerstats.com/pmatch.asp?league=brazil&amp;stats=225-7-10-2026" TargetMode="External"/><Relationship Id="rId925" Type="http://schemas.openxmlformats.org/officeDocument/2006/relationships/hyperlink" Target="https://www.soccerstats.com/pmatch.asp?league=usa2&amp;stats=241-14-9-2026" TargetMode="External"/><Relationship Id="rId357" Type="http://schemas.openxmlformats.org/officeDocument/2006/relationships/hyperlink" Target="https://www.soccerstats.com/pmatch.asp?league=norway3&amp;stats=108-13-7-2026" TargetMode="External"/><Relationship Id="rId54" Type="http://schemas.openxmlformats.org/officeDocument/2006/relationships/hyperlink" Target="https://www.soccerstats.com/h2h.asp?league=spain2&amp;fmid=2&amp;t1id=3&amp;t2id=4&amp;ly=2026" TargetMode="External"/><Relationship Id="rId217" Type="http://schemas.openxmlformats.org/officeDocument/2006/relationships/hyperlink" Target="https://www.soccerstats.com/h2h.asp?league=england9&amp;fmid=27&amp;t1id=8&amp;t2id=5&amp;ly=2026" TargetMode="External"/><Relationship Id="rId564" Type="http://schemas.openxmlformats.org/officeDocument/2006/relationships/hyperlink" Target="https://www.soccerstats.com/h2h.asp?league=belgium2&amp;fmid=1&amp;t1id=1&amp;t2id=2&amp;ly=2026" TargetMode="External"/><Relationship Id="rId771" Type="http://schemas.openxmlformats.org/officeDocument/2006/relationships/hyperlink" Target="https://www.soccerstats.com/pmatch.asp?league=estonia&amp;stats=114-1-8-2026" TargetMode="External"/><Relationship Id="rId869" Type="http://schemas.openxmlformats.org/officeDocument/2006/relationships/hyperlink" Target="https://www.soccerstats.com/h2h.asp?league=portugal2&amp;fmid=17&amp;t1id=4&amp;t2id=7&amp;ly=2026" TargetMode="External"/><Relationship Id="rId424" Type="http://schemas.openxmlformats.org/officeDocument/2006/relationships/hyperlink" Target="https://www.soccerstats.com/h2h.asp?league=southafrica&amp;fmid=21&amp;t1id=8&amp;t2id=11&amp;ly=2026" TargetMode="External"/><Relationship Id="rId631" Type="http://schemas.openxmlformats.org/officeDocument/2006/relationships/hyperlink" Target="https://www.soccerstats.com/h2h.asp?league=poland2&amp;fmid=31&amp;t1id=12&amp;t2id=9&amp;ly=2026" TargetMode="External"/><Relationship Id="rId729" Type="http://schemas.openxmlformats.org/officeDocument/2006/relationships/hyperlink" Target="https://www.soccerstats.com/pmatch.asp?league=brazil3&amp;stats=167-15-7-2026" TargetMode="External"/><Relationship Id="rId270" Type="http://schemas.openxmlformats.org/officeDocument/2006/relationships/hyperlink" Target="https://www.soccerstats.com/h2h.asp?league=germany6&amp;fmid=19&amp;t1id=3&amp;t2id=16&amp;ly=2026" TargetMode="External"/><Relationship Id="rId936" Type="http://schemas.openxmlformats.org/officeDocument/2006/relationships/hyperlink" Target="https://www.soccerstats.com/pmatch.asp?league=usa6&amp;stats=154-9-12-2026" TargetMode="External"/><Relationship Id="rId65" Type="http://schemas.openxmlformats.org/officeDocument/2006/relationships/hyperlink" Target="https://www.soccerstats.com/pmatch.asp?league=argentina2&amp;stats=75-27-10-2026" TargetMode="External"/><Relationship Id="rId130" Type="http://schemas.openxmlformats.org/officeDocument/2006/relationships/hyperlink" Target="https://www.soccerstats.com/pmatch.asp?league=brazil3&amp;stats=162-17-1-2026" TargetMode="External"/><Relationship Id="rId368" Type="http://schemas.openxmlformats.org/officeDocument/2006/relationships/hyperlink" Target="https://www.soccerstats.com/pmatch.asp?league=peru2&amp;stats=42-17-12-2026" TargetMode="External"/><Relationship Id="rId575" Type="http://schemas.openxmlformats.org/officeDocument/2006/relationships/hyperlink" Target="https://www.soccerstats.com/pmatch.asp?league=china&amp;stats=177-15-11-2026" TargetMode="External"/><Relationship Id="rId782" Type="http://schemas.openxmlformats.org/officeDocument/2006/relationships/hyperlink" Target="https://www.soccerstats.com/pmatch.asp?league=finland3&amp;stats=118-9-4-2026" TargetMode="External"/><Relationship Id="rId228" Type="http://schemas.openxmlformats.org/officeDocument/2006/relationships/hyperlink" Target="https://www.soccerstats.com/h2h.asp?league=england10&amp;fmid=26&amp;t1id=22&amp;t2id=5&amp;ly=2026" TargetMode="External"/><Relationship Id="rId435" Type="http://schemas.openxmlformats.org/officeDocument/2006/relationships/hyperlink" Target="https://www.soccerstats.com/pmatch.asp?league=sweden&amp;stats=133-4-2-2026" TargetMode="External"/><Relationship Id="rId642" Type="http://schemas.openxmlformats.org/officeDocument/2006/relationships/hyperlink" Target="https://www.soccerstats.com/pmatch.asp?league=southkorea4&amp;stats=63-5-4-2026" TargetMode="External"/><Relationship Id="rId281" Type="http://schemas.openxmlformats.org/officeDocument/2006/relationships/hyperlink" Target="https://www.soccerstats.com/h2h.asp?league=hungary&amp;fmid=22&amp;t1id=12&amp;t2id=1&amp;ly=2026" TargetMode="External"/><Relationship Id="rId502" Type="http://schemas.openxmlformats.org/officeDocument/2006/relationships/hyperlink" Target="https://www.soccerstats.com/leagueview_team.asp?league=copalibertadores&amp;team1id=18&amp;team2id=9&amp;fmid=99" TargetMode="External"/><Relationship Id="rId76" Type="http://schemas.openxmlformats.org/officeDocument/2006/relationships/hyperlink" Target="https://www.soccerstats.com/h2h.asp?league=armenia&amp;fmid=14&amp;t1id=1&amp;t2id=6&amp;ly=2026" TargetMode="External"/><Relationship Id="rId141" Type="http://schemas.openxmlformats.org/officeDocument/2006/relationships/hyperlink" Target="https://www.soccerstats.com/pmatch.asp?league=chile&amp;stats=148-3-1-2026" TargetMode="External"/><Relationship Id="rId379" Type="http://schemas.openxmlformats.org/officeDocument/2006/relationships/hyperlink" Target="https://www.soccerstats.com/h2h.asp?league=poland2&amp;fmid=35&amp;t1id=6&amp;t2id=18&amp;ly=2026" TargetMode="External"/><Relationship Id="rId586" Type="http://schemas.openxmlformats.org/officeDocument/2006/relationships/hyperlink" Target="https://www.soccerstats.com/h2h.asp?league=denmark3&amp;fmid=15&amp;t1id=9&amp;t2id=3&amp;ly=2026" TargetMode="External"/><Relationship Id="rId793" Type="http://schemas.openxmlformats.org/officeDocument/2006/relationships/hyperlink" Target="https://www.soccerstats.com/h2h.asp?league=germany4&amp;fmid=32&amp;t1id=18&amp;t2id=3&amp;ly=2026" TargetMode="External"/><Relationship Id="rId807" Type="http://schemas.openxmlformats.org/officeDocument/2006/relationships/hyperlink" Target="https://www.soccerstats.com/h2h.asp?league=hungary&amp;fmid=23&amp;t1id=5&amp;t2id=4&amp;ly=2026" TargetMode="External"/><Relationship Id="rId7" Type="http://schemas.openxmlformats.org/officeDocument/2006/relationships/hyperlink" Target="https://www.soccerstats.com/h2h.asp?league=portugal&amp;fmid=17&amp;t1id=8&amp;t2id=17&amp;ly=2026" TargetMode="External"/><Relationship Id="rId239" Type="http://schemas.openxmlformats.org/officeDocument/2006/relationships/hyperlink" Target="https://www.soccerstats.com/pmatch.asp?league=finland2&amp;stats=94-1-8-2026" TargetMode="External"/><Relationship Id="rId446" Type="http://schemas.openxmlformats.org/officeDocument/2006/relationships/hyperlink" Target="https://www.soccerstats.com/pmatch.asp?league=sweden4&amp;stats=131-6-3-2026" TargetMode="External"/><Relationship Id="rId653" Type="http://schemas.openxmlformats.org/officeDocument/2006/relationships/hyperlink" Target="https://www.soccerstats.com/h2h.asp?league=wales&amp;fmid=24&amp;t1id=10&amp;t2id=6&amp;ly=2026" TargetMode="External"/><Relationship Id="rId292" Type="http://schemas.openxmlformats.org/officeDocument/2006/relationships/hyperlink" Target="https://www.soccerstats.com/pmatch.asp?league=iceland3&amp;stats=98-5-11-2026" TargetMode="External"/><Relationship Id="rId306" Type="http://schemas.openxmlformats.org/officeDocument/2006/relationships/hyperlink" Target="https://www.soccerstats.com/h2h.asp?league=japan&amp;fmid=18&amp;t1id=18&amp;t2id=20&amp;ly=2026" TargetMode="External"/><Relationship Id="rId860" Type="http://schemas.openxmlformats.org/officeDocument/2006/relationships/hyperlink" Target="https://www.soccerstats.com/h2h.asp?league=poland&amp;fmid=28&amp;t1id=12&amp;t2id=9&amp;ly=2026" TargetMode="External"/><Relationship Id="rId87" Type="http://schemas.openxmlformats.org/officeDocument/2006/relationships/hyperlink" Target="https://www.soccerstats.com/pmatch.asp?league=australia6&amp;stats=128-4-1-2026" TargetMode="External"/><Relationship Id="rId513" Type="http://schemas.openxmlformats.org/officeDocument/2006/relationships/hyperlink" Target="https://www.soccerstats.com/h2h.asp?league=southafrica&amp;fmid=14&amp;t1id=8&amp;t2id=3&amp;ly=2026" TargetMode="External"/><Relationship Id="rId597" Type="http://schemas.openxmlformats.org/officeDocument/2006/relationships/hyperlink" Target="https://www.soccerstats.com/h2h.asp?league=france3&amp;fmid=16&amp;t1id=8&amp;t2id=5&amp;ly=2026" TargetMode="External"/><Relationship Id="rId720" Type="http://schemas.openxmlformats.org/officeDocument/2006/relationships/hyperlink" Target="https://www.soccerstats.com/pmatch.asp?league=brazil&amp;stats=226-13-16-2026" TargetMode="External"/><Relationship Id="rId818" Type="http://schemas.openxmlformats.org/officeDocument/2006/relationships/hyperlink" Target="https://www.soccerstats.com/h2h.asp?league=japan3&amp;fmid=19&amp;t1id=17&amp;t2id=11&amp;ly=2026" TargetMode="External"/><Relationship Id="rId152" Type="http://schemas.openxmlformats.org/officeDocument/2006/relationships/hyperlink" Target="https://www.soccerstats.com/h2h.asp?league=colombia2&amp;fmid=40&amp;t1id=20&amp;t2id=15&amp;ly=2026" TargetMode="External"/><Relationship Id="rId457" Type="http://schemas.openxmlformats.org/officeDocument/2006/relationships/hyperlink" Target="https://www.soccerstats.com/h2h.asp?league=turkey&amp;fmid=4&amp;t1id=7&amp;t2id=8&amp;ly=2026" TargetMode="External"/><Relationship Id="rId664" Type="http://schemas.openxmlformats.org/officeDocument/2006/relationships/hyperlink" Target="https://www.soccerstats.com/h2h.asp?league=netherlands&amp;fmid=17&amp;t1id=12&amp;t2id=5&amp;ly=2026" TargetMode="External"/><Relationship Id="rId871" Type="http://schemas.openxmlformats.org/officeDocument/2006/relationships/hyperlink" Target="https://www.soccerstats.com/h2h.asp?league=portugal2&amp;fmid=13&amp;t1id=8&amp;t2id=11&amp;ly=2026" TargetMode="External"/><Relationship Id="rId14" Type="http://schemas.openxmlformats.org/officeDocument/2006/relationships/hyperlink" Target="https://www.soccerstats.com/h2h.asp?league=england2&amp;fmid=5&amp;t1id=9&amp;t2id=10&amp;ly=2026" TargetMode="External"/><Relationship Id="rId317" Type="http://schemas.openxmlformats.org/officeDocument/2006/relationships/hyperlink" Target="https://www.soccerstats.com/h2h.asp?league=japan3&amp;fmid=11&amp;t1id=2&amp;t2id=14&amp;ly=2026" TargetMode="External"/><Relationship Id="rId524" Type="http://schemas.openxmlformats.org/officeDocument/2006/relationships/hyperlink" Target="https://www.soccerstats.com/h2h.asp?league=france2&amp;fmid=14&amp;t1id=4&amp;t2id=7&amp;ly=2026" TargetMode="External"/><Relationship Id="rId731" Type="http://schemas.openxmlformats.org/officeDocument/2006/relationships/hyperlink" Target="https://www.soccerstats.com/pmatch.asp?league=brazil5&amp;stats=137-15-2-2026" TargetMode="External"/><Relationship Id="rId98" Type="http://schemas.openxmlformats.org/officeDocument/2006/relationships/hyperlink" Target="https://www.soccerstats.com/pmatch.asp?league=australia11&amp;stats=221-12-2-2026" TargetMode="External"/><Relationship Id="rId163" Type="http://schemas.openxmlformats.org/officeDocument/2006/relationships/hyperlink" Target="https://www.soccerstats.com/h2h.asp?league=czechrepublic&amp;fmid=32&amp;t1id=5&amp;t2id=3&amp;ly=2026" TargetMode="External"/><Relationship Id="rId370" Type="http://schemas.openxmlformats.org/officeDocument/2006/relationships/hyperlink" Target="https://www.soccerstats.com/pmatch.asp?league=peru2&amp;stats=41-5-4-2026" TargetMode="External"/><Relationship Id="rId829" Type="http://schemas.openxmlformats.org/officeDocument/2006/relationships/hyperlink" Target="https://www.soccerstats.com/h2h.asp?league=mexico&amp;fmid=32&amp;t1id=18&amp;t2id=7&amp;ly=2026" TargetMode="External"/><Relationship Id="rId230" Type="http://schemas.openxmlformats.org/officeDocument/2006/relationships/hyperlink" Target="https://www.soccerstats.com/h2h.asp?league=england10&amp;fmid=24&amp;t1id=4&amp;t2id=11&amp;ly=2026" TargetMode="External"/><Relationship Id="rId468" Type="http://schemas.openxmlformats.org/officeDocument/2006/relationships/hyperlink" Target="https://www.soccerstats.com/pmatch.asp?league=usa&amp;stats=274-4-8-2026" TargetMode="External"/><Relationship Id="rId675" Type="http://schemas.openxmlformats.org/officeDocument/2006/relationships/hyperlink" Target="https://www.soccerstats.com/h2h.asp?league=spain2&amp;fmid=9&amp;t1id=17&amp;t2id=18&amp;ly=2026" TargetMode="External"/><Relationship Id="rId882" Type="http://schemas.openxmlformats.org/officeDocument/2006/relationships/hyperlink" Target="https://www.soccerstats.com/h2h.asp?league=southafrica&amp;fmid=22&amp;t1id=4&amp;t2id=5&amp;ly=2026" TargetMode="External"/><Relationship Id="rId25" Type="http://schemas.openxmlformats.org/officeDocument/2006/relationships/hyperlink" Target="https://www.soccerstats.com/h2h.asp?league=england3&amp;fmid=8&amp;t1id=15&amp;t2id=16&amp;ly=2026" TargetMode="External"/><Relationship Id="rId328" Type="http://schemas.openxmlformats.org/officeDocument/2006/relationships/hyperlink" Target="https://www.soccerstats.com/h2h.asp?league=moldova&amp;fmid=29&amp;t1id=2&amp;t2id=6&amp;ly=2026" TargetMode="External"/><Relationship Id="rId535" Type="http://schemas.openxmlformats.org/officeDocument/2006/relationships/hyperlink" Target="https://www.soccerstats.com/h2h.asp?league=netherlands2&amp;fmid=12&amp;t1id=4&amp;t2id=9&amp;ly=2026" TargetMode="External"/><Relationship Id="rId742" Type="http://schemas.openxmlformats.org/officeDocument/2006/relationships/hyperlink" Target="https://www.soccerstats.com/pmatch.asp?league=chile&amp;stats=149-15-2-2026" TargetMode="External"/><Relationship Id="rId174" Type="http://schemas.openxmlformats.org/officeDocument/2006/relationships/hyperlink" Target="https://www.soccerstats.com/pmatch.asp?league=ecuador&amp;stats=196-13-3-2026" TargetMode="External"/><Relationship Id="rId381" Type="http://schemas.openxmlformats.org/officeDocument/2006/relationships/hyperlink" Target="https://www.soccerstats.com/h2h.asp?league=poland2&amp;fmid=32&amp;t1id=7&amp;t2id=16&amp;ly=2026" TargetMode="External"/><Relationship Id="rId602" Type="http://schemas.openxmlformats.org/officeDocument/2006/relationships/hyperlink" Target="https://www.soccerstats.com/h2h.asp?league=france3&amp;fmid=18&amp;t1id=4&amp;t2id=2&amp;ly=2026" TargetMode="External"/><Relationship Id="rId241" Type="http://schemas.openxmlformats.org/officeDocument/2006/relationships/hyperlink" Target="https://www.soccerstats.com/pmatch.asp?league=finland3&amp;stats=120-12-6-2026" TargetMode="External"/><Relationship Id="rId479" Type="http://schemas.openxmlformats.org/officeDocument/2006/relationships/hyperlink" Target="https://www.soccerstats.com/pmatch.asp?league=usa3&amp;stats=191-15-4-2026" TargetMode="External"/><Relationship Id="rId686" Type="http://schemas.openxmlformats.org/officeDocument/2006/relationships/hyperlink" Target="https://www.soccerstats.com/pmatch.asp?league=argentina3&amp;stats=446-17-20-2026" TargetMode="External"/><Relationship Id="rId893" Type="http://schemas.openxmlformats.org/officeDocument/2006/relationships/hyperlink" Target="https://www.soccerstats.com/pmatch.asp?league=sweden&amp;stats=136-16-7-2026" TargetMode="External"/><Relationship Id="rId907" Type="http://schemas.openxmlformats.org/officeDocument/2006/relationships/hyperlink" Target="https://www.soccerstats.com/h2h.asp?league=turkey2&amp;fmid=17&amp;t1id=18&amp;t2id=5&amp;ly=2026" TargetMode="External"/><Relationship Id="rId36" Type="http://schemas.openxmlformats.org/officeDocument/2006/relationships/hyperlink" Target="https://www.soccerstats.com/h2h.asp?league=england4&amp;fmid=8&amp;t1id=15&amp;t2id=16&amp;ly=2026" TargetMode="External"/><Relationship Id="rId339" Type="http://schemas.openxmlformats.org/officeDocument/2006/relationships/hyperlink" Target="https://www.soccerstats.com/h2h.asp?league=netherlands3&amp;fmid=9&amp;t1id=17&amp;t2id=18&amp;ly=2026" TargetMode="External"/><Relationship Id="rId546" Type="http://schemas.openxmlformats.org/officeDocument/2006/relationships/hyperlink" Target="https://www.soccerstats.com/pmatch.asp?league=australia4&amp;stats=129-1-10-2026" TargetMode="External"/><Relationship Id="rId753" Type="http://schemas.openxmlformats.org/officeDocument/2006/relationships/hyperlink" Target="https://www.soccerstats.com/h2h.asp?league=colombia2&amp;fmid=41&amp;t1id=6&amp;t2id=16&amp;ly=2026" TargetMode="External"/><Relationship Id="rId101" Type="http://schemas.openxmlformats.org/officeDocument/2006/relationships/hyperlink" Target="https://www.soccerstats.com/h2h.asp?league=austria2&amp;fmid=21&amp;t1id=11&amp;t2id=4&amp;ly=2026" TargetMode="External"/><Relationship Id="rId185" Type="http://schemas.openxmlformats.org/officeDocument/2006/relationships/hyperlink" Target="https://www.soccerstats.com/h2h.asp?league=england6&amp;fmid=16&amp;t1id=16&amp;t2id=21&amp;ly=2026" TargetMode="External"/><Relationship Id="rId406" Type="http://schemas.openxmlformats.org/officeDocument/2006/relationships/hyperlink" Target="https://www.soccerstats.com/h2h.asp?league=scotland4&amp;fmid=12&amp;t1id=3&amp;t2id=1&amp;ly=2026" TargetMode="External"/><Relationship Id="rId392" Type="http://schemas.openxmlformats.org/officeDocument/2006/relationships/hyperlink" Target="https://www.soccerstats.com/h2h.asp?league=russia&amp;fmid=26&amp;t1id=10&amp;t2id=5&amp;ly=2026" TargetMode="External"/><Relationship Id="rId613" Type="http://schemas.openxmlformats.org/officeDocument/2006/relationships/hyperlink" Target="https://www.soccerstats.com/h2h.asp?league=germany7&amp;fmid=10&amp;t1id=2&amp;t2id=5&amp;ly=2026" TargetMode="External"/><Relationship Id="rId697" Type="http://schemas.openxmlformats.org/officeDocument/2006/relationships/hyperlink" Target="https://www.soccerstats.com/pmatch.asp?league=australia7&amp;stats=132-12-3-2026" TargetMode="External"/><Relationship Id="rId820" Type="http://schemas.openxmlformats.org/officeDocument/2006/relationships/hyperlink" Target="https://www.soccerstats.com/pmatch.asp?league=kazakhstan&amp;stats=36-11-4-2026" TargetMode="External"/><Relationship Id="rId918" Type="http://schemas.openxmlformats.org/officeDocument/2006/relationships/hyperlink" Target="https://www.soccerstats.com/pmatch.asp?league=usa&amp;stats=278-11-20-2026" TargetMode="External"/><Relationship Id="rId252" Type="http://schemas.openxmlformats.org/officeDocument/2006/relationships/hyperlink" Target="https://www.soccerstats.com/pmatch.asp?league=finland6&amp;stats=82-1-8-2026" TargetMode="External"/><Relationship Id="rId47" Type="http://schemas.openxmlformats.org/officeDocument/2006/relationships/hyperlink" Target="https://www.soccerstats.com/h2h.asp?league=england5&amp;fmid=19&amp;t1id=10&amp;t2id=17&amp;ly=2026" TargetMode="External"/><Relationship Id="rId112" Type="http://schemas.openxmlformats.org/officeDocument/2006/relationships/hyperlink" Target="https://www.soccerstats.com/h2h.asp?league=belgium&amp;fmid=14&amp;t1id=4&amp;t2id=1&amp;ly=2026" TargetMode="External"/><Relationship Id="rId557" Type="http://schemas.openxmlformats.org/officeDocument/2006/relationships/hyperlink" Target="https://www.soccerstats.com/h2h.asp?league=azerbaijan&amp;fmid=5&amp;t1id=9&amp;t2id=10&amp;ly=2026" TargetMode="External"/><Relationship Id="rId764" Type="http://schemas.openxmlformats.org/officeDocument/2006/relationships/hyperlink" Target="https://www.soccerstats.com/h2h.asp?league=denmark&amp;fmid=21&amp;t1id=11&amp;t2id=7&amp;ly=2026" TargetMode="External"/><Relationship Id="rId196" Type="http://schemas.openxmlformats.org/officeDocument/2006/relationships/hyperlink" Target="https://www.soccerstats.com/h2h.asp?league=england7&amp;fmid=16&amp;t1id=4&amp;t2id=19&amp;ly=2026" TargetMode="External"/><Relationship Id="rId417" Type="http://schemas.openxmlformats.org/officeDocument/2006/relationships/hyperlink" Target="https://www.soccerstats.com/h2h.asp?league=slovakia&amp;fmid=19&amp;t1id=2&amp;t2id=10&amp;ly=2026" TargetMode="External"/><Relationship Id="rId624" Type="http://schemas.openxmlformats.org/officeDocument/2006/relationships/hyperlink" Target="https://www.soccerstats.com/pmatch.asp?league=iceland3&amp;stats=97-4-2-2026" TargetMode="External"/><Relationship Id="rId831" Type="http://schemas.openxmlformats.org/officeDocument/2006/relationships/hyperlink" Target="https://www.soccerstats.com/h2h.asp?league=moldova&amp;fmid=32&amp;t1id=3&amp;t2id=5&amp;ly=2026" TargetMode="External"/><Relationship Id="rId263" Type="http://schemas.openxmlformats.org/officeDocument/2006/relationships/hyperlink" Target="https://www.soccerstats.com/h2h.asp?league=germany4&amp;fmid=31&amp;t1id=10&amp;t2id=17&amp;ly=2026" TargetMode="External"/><Relationship Id="rId470" Type="http://schemas.openxmlformats.org/officeDocument/2006/relationships/hyperlink" Target="https://www.soccerstats.com/pmatch.asp?league=usa&amp;stats=275-2-26-2026" TargetMode="External"/><Relationship Id="rId929" Type="http://schemas.openxmlformats.org/officeDocument/2006/relationships/hyperlink" Target="https://www.soccerstats.com/pmatch.asp?league=usa2&amp;stats=243-15-2-2026" TargetMode="External"/><Relationship Id="rId58" Type="http://schemas.openxmlformats.org/officeDocument/2006/relationships/hyperlink" Target="https://www.soccerstats.com/h2h.asp?league=germany2&amp;fmid=13&amp;t1id=18&amp;t2id=15&amp;ly=2026" TargetMode="External"/><Relationship Id="rId123" Type="http://schemas.openxmlformats.org/officeDocument/2006/relationships/hyperlink" Target="https://www.soccerstats.com/pmatch.asp?league=brazil2&amp;stats=215-14-1-2026" TargetMode="External"/><Relationship Id="rId330" Type="http://schemas.openxmlformats.org/officeDocument/2006/relationships/hyperlink" Target="https://www.soccerstats.com/h2h.asp?league=montenegro&amp;fmid=13&amp;t1id=3&amp;t2id=8&amp;ly=2026" TargetMode="External"/><Relationship Id="rId568" Type="http://schemas.openxmlformats.org/officeDocument/2006/relationships/hyperlink" Target="https://www.soccerstats.com/pmatch.asp?league=brazil2&amp;stats=213-4-18-2026" TargetMode="External"/><Relationship Id="rId775" Type="http://schemas.openxmlformats.org/officeDocument/2006/relationships/hyperlink" Target="https://www.soccerstats.com/pmatch.asp?league=faroeislands&amp;stats=92-7-3-2026" TargetMode="External"/><Relationship Id="rId428" Type="http://schemas.openxmlformats.org/officeDocument/2006/relationships/hyperlink" Target="https://www.soccerstats.com/pmatch.asp?league=southkorea&amp;stats=133-4-11-2026" TargetMode="External"/><Relationship Id="rId635" Type="http://schemas.openxmlformats.org/officeDocument/2006/relationships/hyperlink" Target="https://www.soccerstats.com/pmatch.asp?league=romania&amp;stats=33-4-10-2027" TargetMode="External"/><Relationship Id="rId842" Type="http://schemas.openxmlformats.org/officeDocument/2006/relationships/hyperlink" Target="https://www.soccerstats.com/pmatch.asp?league=norway2&amp;stats=141-11-10-2026" TargetMode="External"/><Relationship Id="rId274" Type="http://schemas.openxmlformats.org/officeDocument/2006/relationships/hyperlink" Target="https://www.soccerstats.com/h2h.asp?league=germany7&amp;fmid=15&amp;t1id=4&amp;t2id=13&amp;ly=2026" TargetMode="External"/><Relationship Id="rId481" Type="http://schemas.openxmlformats.org/officeDocument/2006/relationships/hyperlink" Target="https://www.soccerstats.com/pmatch.asp?league=usa3&amp;stats=190-3-1-2026" TargetMode="External"/><Relationship Id="rId702" Type="http://schemas.openxmlformats.org/officeDocument/2006/relationships/hyperlink" Target="https://www.soccerstats.com/pmatch.asp?league=australia11&amp;stats=224-11-8-2026" TargetMode="External"/><Relationship Id="rId69" Type="http://schemas.openxmlformats.org/officeDocument/2006/relationships/hyperlink" Target="https://www.soccerstats.com/pmatch.asp?league=argentina3&amp;stats=444-36-1-2026" TargetMode="External"/><Relationship Id="rId134" Type="http://schemas.openxmlformats.org/officeDocument/2006/relationships/hyperlink" Target="https://www.soccerstats.com/pmatch.asp?league=brazil5&amp;stats=140-9-4-2026" TargetMode="External"/><Relationship Id="rId579" Type="http://schemas.openxmlformats.org/officeDocument/2006/relationships/hyperlink" Target="https://www.soccerstats.com/leagueview_team.asp?league=copalibertadores&amp;team1id=25&amp;team2id=30&amp;fmid=104" TargetMode="External"/><Relationship Id="rId786" Type="http://schemas.openxmlformats.org/officeDocument/2006/relationships/hyperlink" Target="https://www.soccerstats.com/pmatch.asp?league=finland6&amp;stats=84-7-10-2026" TargetMode="External"/><Relationship Id="rId341" Type="http://schemas.openxmlformats.org/officeDocument/2006/relationships/hyperlink" Target="https://www.soccerstats.com/h2h.asp?league=northernireland&amp;fmid=10&amp;t1id=6&amp;t2id=11&amp;ly=2026" TargetMode="External"/><Relationship Id="rId439" Type="http://schemas.openxmlformats.org/officeDocument/2006/relationships/hyperlink" Target="https://www.soccerstats.com/pmatch.asp?league=sweden2&amp;stats=147-9-5-2026" TargetMode="External"/><Relationship Id="rId646" Type="http://schemas.openxmlformats.org/officeDocument/2006/relationships/hyperlink" Target="https://www.soccerstats.com/pmatch.asp?league=sweden3&amp;stats=129-9-15-2026" TargetMode="External"/><Relationship Id="rId201" Type="http://schemas.openxmlformats.org/officeDocument/2006/relationships/hyperlink" Target="https://www.soccerstats.com/h2h.asp?league=england8&amp;fmid=443&amp;t1id=18&amp;t2id=10&amp;ly=2026" TargetMode="External"/><Relationship Id="rId285" Type="http://schemas.openxmlformats.org/officeDocument/2006/relationships/hyperlink" Target="https://www.soccerstats.com/h2h.asp?league=hungary2&amp;fmid=29&amp;t1id=14&amp;t2id=7&amp;ly=2026" TargetMode="External"/><Relationship Id="rId506" Type="http://schemas.openxmlformats.org/officeDocument/2006/relationships/hyperlink" Target="https://www.soccerstats.com/h2h.asp?league=germany4&amp;fmid=24&amp;t1id=17&amp;t2id=12&amp;ly=2026" TargetMode="External"/><Relationship Id="rId853" Type="http://schemas.openxmlformats.org/officeDocument/2006/relationships/hyperlink" Target="https://www.soccerstats.com/pmatch.asp?league=norway4&amp;stats=112-13-7-2026" TargetMode="External"/><Relationship Id="rId492" Type="http://schemas.openxmlformats.org/officeDocument/2006/relationships/hyperlink" Target="https://www.soccerstats.com/h2h.asp?league=wales&amp;fmid=22&amp;t1id=16&amp;t2id=3&amp;ly=2026" TargetMode="External"/><Relationship Id="rId713" Type="http://schemas.openxmlformats.org/officeDocument/2006/relationships/hyperlink" Target="https://www.soccerstats.com/h2h.asp?league=belgium&amp;fmid=17&amp;t1id=12&amp;t2id=5&amp;ly=2026" TargetMode="External"/><Relationship Id="rId797" Type="http://schemas.openxmlformats.org/officeDocument/2006/relationships/hyperlink" Target="https://www.soccerstats.com/h2h.asp?league=germany4&amp;fmid=33&amp;t1id=12&amp;t2id=5&amp;ly=2026" TargetMode="External"/><Relationship Id="rId920" Type="http://schemas.openxmlformats.org/officeDocument/2006/relationships/hyperlink" Target="https://www.soccerstats.com/pmatch.asp?league=usa&amp;stats=281-6-18-2026" TargetMode="External"/><Relationship Id="rId145" Type="http://schemas.openxmlformats.org/officeDocument/2006/relationships/hyperlink" Target="https://www.soccerstats.com/pmatch.asp?league=china&amp;stats=181-13-1-2026" TargetMode="External"/><Relationship Id="rId352" Type="http://schemas.openxmlformats.org/officeDocument/2006/relationships/hyperlink" Target="https://www.soccerstats.com/pmatch.asp?league=norway2&amp;stats=144-12-4-2026" TargetMode="External"/><Relationship Id="rId212" Type="http://schemas.openxmlformats.org/officeDocument/2006/relationships/hyperlink" Target="https://www.soccerstats.com/h2h.asp?league=england9&amp;fmid=32&amp;t1id=18&amp;t2id=21&amp;ly=2026" TargetMode="External"/><Relationship Id="rId657" Type="http://schemas.openxmlformats.org/officeDocument/2006/relationships/hyperlink" Target="https://www.soccerstats.com/h2h.asp?league=wales&amp;fmid=18&amp;t1id=1&amp;t2id=12&amp;ly=2026" TargetMode="External"/><Relationship Id="rId864" Type="http://schemas.openxmlformats.org/officeDocument/2006/relationships/hyperlink" Target="https://www.soccerstats.com/h2h.asp?league=poland3&amp;fmid=185&amp;t1id=1&amp;t2id=16&amp;ly=2026" TargetMode="External"/><Relationship Id="rId296" Type="http://schemas.openxmlformats.org/officeDocument/2006/relationships/hyperlink" Target="https://www.soccerstats.com/pmatch.asp?league=ireland3&amp;stats=88-11-8-2026" TargetMode="External"/><Relationship Id="rId517" Type="http://schemas.openxmlformats.org/officeDocument/2006/relationships/hyperlink" Target="https://www.soccerstats.com/h2h.asp?league=portugal&amp;fmid=10&amp;t1id=18&amp;t2id=1&amp;ly=2026" TargetMode="External"/><Relationship Id="rId724" Type="http://schemas.openxmlformats.org/officeDocument/2006/relationships/hyperlink" Target="https://www.soccerstats.com/pmatch.asp?league=brazil2&amp;stats=218-10-15-2026" TargetMode="External"/><Relationship Id="rId931" Type="http://schemas.openxmlformats.org/officeDocument/2006/relationships/hyperlink" Target="https://www.soccerstats.com/pmatch.asp?league=usa2&amp;stats=246-19-1-2026" TargetMode="External"/><Relationship Id="rId60" Type="http://schemas.openxmlformats.org/officeDocument/2006/relationships/hyperlink" Target="https://www.soccerstats.com/h2h.asp?league=germany2&amp;fmid=12&amp;t1id=10&amp;t2id=3&amp;ly=2026" TargetMode="External"/><Relationship Id="rId156" Type="http://schemas.openxmlformats.org/officeDocument/2006/relationships/hyperlink" Target="https://www.soccerstats.com/h2h.asp?league=croatia&amp;fmid=11&amp;t1id=2&amp;t2id=4&amp;ly=2026" TargetMode="External"/><Relationship Id="rId363" Type="http://schemas.openxmlformats.org/officeDocument/2006/relationships/hyperlink" Target="https://www.soccerstats.com/pmatch.asp?league=norway11&amp;stats=74-10-12-2026" TargetMode="External"/><Relationship Id="rId570" Type="http://schemas.openxmlformats.org/officeDocument/2006/relationships/hyperlink" Target="https://www.soccerstats.com/h2h.asp?league=bulgaria2&amp;fmid=33&amp;t1id=9&amp;t2id=1&amp;ly=2026" TargetMode="External"/><Relationship Id="rId223" Type="http://schemas.openxmlformats.org/officeDocument/2006/relationships/hyperlink" Target="https://www.soccerstats.com/h2h.asp?league=england10&amp;fmid=31&amp;t1id=14&amp;t2id=21&amp;ly=2026" TargetMode="External"/><Relationship Id="rId430" Type="http://schemas.openxmlformats.org/officeDocument/2006/relationships/hyperlink" Target="https://www.soccerstats.com/pmatch.asp?league=southkorea2&amp;stats=172-5-12-2026" TargetMode="External"/><Relationship Id="rId668" Type="http://schemas.openxmlformats.org/officeDocument/2006/relationships/hyperlink" Target="https://www.soccerstats.com/h2h.asp?league=portugal&amp;fmid=13&amp;t1id=16&amp;t2id=11&amp;ly=2026" TargetMode="External"/><Relationship Id="rId875" Type="http://schemas.openxmlformats.org/officeDocument/2006/relationships/hyperlink" Target="https://www.soccerstats.com/h2h.asp?league=russia&amp;fmid=31&amp;t1id=4&amp;t2id=8&amp;ly=2026" TargetMode="External"/><Relationship Id="rId18" Type="http://schemas.openxmlformats.org/officeDocument/2006/relationships/hyperlink" Target="https://www.soccerstats.com/h2h.asp?league=england3&amp;fmid=3&amp;t1id=5&amp;t2id=6&amp;ly=2026" TargetMode="External"/><Relationship Id="rId528" Type="http://schemas.openxmlformats.org/officeDocument/2006/relationships/hyperlink" Target="https://www.soccerstats.com/h2h.asp?league=france2&amp;fmid=10&amp;t1id=2&amp;t2id=15&amp;ly=2026" TargetMode="External"/><Relationship Id="rId735" Type="http://schemas.openxmlformats.org/officeDocument/2006/relationships/hyperlink" Target="https://www.soccerstats.com/h2h.asp?league=bulgaria2&amp;fmid=32&amp;t1id=12&amp;t2id=7&amp;ly=2026" TargetMode="External"/><Relationship Id="rId167" Type="http://schemas.openxmlformats.org/officeDocument/2006/relationships/hyperlink" Target="https://www.soccerstats.com/h2h.asp?league=czechrepublic2&amp;fmid=30&amp;t1id=1&amp;t2id=7&amp;ly=2026" TargetMode="External"/><Relationship Id="rId374" Type="http://schemas.openxmlformats.org/officeDocument/2006/relationships/hyperlink" Target="https://www.soccerstats.com/pmatch.asp?league=peru2&amp;stats=40-3-18-2026" TargetMode="External"/><Relationship Id="rId581" Type="http://schemas.openxmlformats.org/officeDocument/2006/relationships/hyperlink" Target="https://www.soccerstats.com/h2h.asp?league=czechrepublic2&amp;fmid=26&amp;t1id=3&amp;t2id=11&amp;ly=2026" TargetMode="External"/><Relationship Id="rId71" Type="http://schemas.openxmlformats.org/officeDocument/2006/relationships/hyperlink" Target="https://www.soccerstats.com/pmatch.asp?league=argentina3&amp;stats=448-22-15-2026" TargetMode="External"/><Relationship Id="rId234" Type="http://schemas.openxmlformats.org/officeDocument/2006/relationships/hyperlink" Target="https://www.soccerstats.com/pmatch.asp?league=estonia2&amp;stats=162-1-4-2026" TargetMode="External"/><Relationship Id="rId679" Type="http://schemas.openxmlformats.org/officeDocument/2006/relationships/hyperlink" Target="https://www.soccerstats.com/pmatch.asp?league=argentina2&amp;stats=72-13-30-2026" TargetMode="External"/><Relationship Id="rId802" Type="http://schemas.openxmlformats.org/officeDocument/2006/relationships/hyperlink" Target="https://www.soccerstats.com/h2h.asp?league=germany7&amp;fmid=18&amp;t1id=14&amp;t2id=15&amp;ly=2026" TargetMode="External"/><Relationship Id="rId886" Type="http://schemas.openxmlformats.org/officeDocument/2006/relationships/hyperlink" Target="https://www.soccerstats.com/pmatch.asp?league=southkorea&amp;stats=136-1-2-2026" TargetMode="External"/><Relationship Id="rId2" Type="http://schemas.openxmlformats.org/officeDocument/2006/relationships/hyperlink" Target="https://www.soccerstats.com/h2h.asp?league=spain&amp;fmid=2&amp;t1id=3&amp;t2id=4&amp;ly=2026" TargetMode="External"/><Relationship Id="rId29" Type="http://schemas.openxmlformats.org/officeDocument/2006/relationships/hyperlink" Target="https://www.soccerstats.com/h2h.asp?league=england3&amp;fmid=4&amp;t1id=7&amp;t2id=8&amp;ly=2026" TargetMode="External"/><Relationship Id="rId441" Type="http://schemas.openxmlformats.org/officeDocument/2006/relationships/hyperlink" Target="https://www.soccerstats.com/pmatch.asp?league=sweden3&amp;stats=131-4-16-2026" TargetMode="External"/><Relationship Id="rId539" Type="http://schemas.openxmlformats.org/officeDocument/2006/relationships/hyperlink" Target="https://www.soccerstats.com/pmatch.asp?league=argentina3&amp;stats=433-9-28-2026" TargetMode="External"/><Relationship Id="rId746" Type="http://schemas.openxmlformats.org/officeDocument/2006/relationships/hyperlink" Target="https://www.soccerstats.com/pmatch.asp?league=chile2&amp;stats=168-5-1-2026" TargetMode="External"/><Relationship Id="rId178" Type="http://schemas.openxmlformats.org/officeDocument/2006/relationships/hyperlink" Target="https://www.soccerstats.com/h2h.asp?league=england6&amp;fmid=23&amp;t1id=24&amp;t2id=15&amp;ly=2026" TargetMode="External"/><Relationship Id="rId301" Type="http://schemas.openxmlformats.org/officeDocument/2006/relationships/hyperlink" Target="https://www.soccerstats.com/h2h.asp?league=japan&amp;fmid=12&amp;t1id=14&amp;t2id=3&amp;ly=2026" TargetMode="External"/><Relationship Id="rId82" Type="http://schemas.openxmlformats.org/officeDocument/2006/relationships/hyperlink" Target="https://www.soccerstats.com/pmatch.asp?league=australia5&amp;stats=118-8-5-2026" TargetMode="External"/><Relationship Id="rId385" Type="http://schemas.openxmlformats.org/officeDocument/2006/relationships/hyperlink" Target="https://www.soccerstats.com/h2h.asp?league=poland3&amp;fmid=33&amp;t1id=7&amp;t2id=11&amp;ly=2026" TargetMode="External"/><Relationship Id="rId592" Type="http://schemas.openxmlformats.org/officeDocument/2006/relationships/hyperlink" Target="https://www.soccerstats.com/pmatch.asp?league=estonia&amp;stats=111-2-9-2026" TargetMode="External"/><Relationship Id="rId606" Type="http://schemas.openxmlformats.org/officeDocument/2006/relationships/hyperlink" Target="https://www.soccerstats.com/pmatch.asp?league=germany5&amp;stats=38-13-17-2027" TargetMode="External"/><Relationship Id="rId813" Type="http://schemas.openxmlformats.org/officeDocument/2006/relationships/hyperlink" Target="https://www.soccerstats.com/pmatch.asp?league=iceland&amp;stats=112-9-2-2026" TargetMode="External"/><Relationship Id="rId245" Type="http://schemas.openxmlformats.org/officeDocument/2006/relationships/hyperlink" Target="https://www.soccerstats.com/pmatch.asp?league=finland4&amp;stats=84-8-10-2026" TargetMode="External"/><Relationship Id="rId452" Type="http://schemas.openxmlformats.org/officeDocument/2006/relationships/hyperlink" Target="https://www.soccerstats.com/pmatch.asp?league=sweden11&amp;stats=96-13-5-2026" TargetMode="External"/><Relationship Id="rId897" Type="http://schemas.openxmlformats.org/officeDocument/2006/relationships/hyperlink" Target="https://www.soccerstats.com/pmatch.asp?league=sweden3&amp;stats=135-14-2-2026" TargetMode="External"/><Relationship Id="rId105" Type="http://schemas.openxmlformats.org/officeDocument/2006/relationships/hyperlink" Target="https://www.soccerstats.com/h2h.asp?league=austria2&amp;fmid=22&amp;t1id=3&amp;t2id=2&amp;ly=2026" TargetMode="External"/><Relationship Id="rId312" Type="http://schemas.openxmlformats.org/officeDocument/2006/relationships/hyperlink" Target="https://www.soccerstats.com/h2h.asp?league=japan2&amp;fmid=15&amp;t1id=14&amp;t2id=1&amp;ly=2026" TargetMode="External"/><Relationship Id="rId757" Type="http://schemas.openxmlformats.org/officeDocument/2006/relationships/hyperlink" Target="https://www.soccerstats.com/h2h.asp?league=costarica&amp;fmid=19&amp;t1id=4&amp;t2id=6&amp;ly=2026" TargetMode="External"/><Relationship Id="rId93" Type="http://schemas.openxmlformats.org/officeDocument/2006/relationships/hyperlink" Target="https://www.soccerstats.com/pmatch.asp?league=australia10&amp;stats=101-10-7-2026" TargetMode="External"/><Relationship Id="rId189" Type="http://schemas.openxmlformats.org/officeDocument/2006/relationships/hyperlink" Target="https://www.soccerstats.com/h2h.asp?league=england7&amp;fmid=24&amp;t1id=18&amp;t2id=23&amp;ly=2026" TargetMode="External"/><Relationship Id="rId396" Type="http://schemas.openxmlformats.org/officeDocument/2006/relationships/hyperlink" Target="https://www.soccerstats.com/h2h.asp?league=saudiarabia&amp;fmid=7&amp;t1id=13&amp;t2id=14&amp;ly=2026" TargetMode="External"/><Relationship Id="rId617" Type="http://schemas.openxmlformats.org/officeDocument/2006/relationships/hyperlink" Target="https://www.soccerstats.com/h2h.asp?league=germany8&amp;fmid=31&amp;t1id=6&amp;t2id=1&amp;ly=2026" TargetMode="External"/><Relationship Id="rId824" Type="http://schemas.openxmlformats.org/officeDocument/2006/relationships/hyperlink" Target="https://www.soccerstats.com/pmatch.asp?league=lithuania&amp;stats=131-10-7-2026" TargetMode="External"/><Relationship Id="rId256" Type="http://schemas.openxmlformats.org/officeDocument/2006/relationships/hyperlink" Target="https://www.soccerstats.com/h2h.asp?league=germany3&amp;fmid=16&amp;t1id=2&amp;t2id=15&amp;ly=2026" TargetMode="External"/><Relationship Id="rId463" Type="http://schemas.openxmlformats.org/officeDocument/2006/relationships/hyperlink" Target="https://www.soccerstats.com/h2h.asp?league=ukraine&amp;fmid=19&amp;t1id=15&amp;t2id=10&amp;ly=2026" TargetMode="External"/><Relationship Id="rId670" Type="http://schemas.openxmlformats.org/officeDocument/2006/relationships/hyperlink" Target="https://www.soccerstats.com/h2h.asp?league=england2&amp;fmid=10&amp;t1id=19&amp;t2id=20&amp;ly=2026" TargetMode="External"/><Relationship Id="rId116" Type="http://schemas.openxmlformats.org/officeDocument/2006/relationships/hyperlink" Target="https://www.soccerstats.com/h2h.asp?league=bosnia&amp;fmid=10&amp;t1id=10&amp;t2id=2&amp;ly=2026" TargetMode="External"/><Relationship Id="rId323" Type="http://schemas.openxmlformats.org/officeDocument/2006/relationships/hyperlink" Target="https://www.soccerstats.com/pmatch.asp?league=kazakhstan&amp;stats=33-5-2-2026" TargetMode="External"/><Relationship Id="rId530" Type="http://schemas.openxmlformats.org/officeDocument/2006/relationships/hyperlink" Target="https://www.soccerstats.com/h2h.asp?league=germany2&amp;fmid=11&amp;t1id=8&amp;t2id=17&amp;ly=2026" TargetMode="External"/><Relationship Id="rId768" Type="http://schemas.openxmlformats.org/officeDocument/2006/relationships/hyperlink" Target="https://www.soccerstats.com/pmatch.asp?league=ecuador&amp;stats=197-16-10-2026" TargetMode="External"/><Relationship Id="rId20" Type="http://schemas.openxmlformats.org/officeDocument/2006/relationships/hyperlink" Target="https://www.soccerstats.com/h2h.asp?league=england3&amp;fmid=1&amp;t1id=1&amp;t2id=2&amp;ly=2026" TargetMode="External"/><Relationship Id="rId628" Type="http://schemas.openxmlformats.org/officeDocument/2006/relationships/hyperlink" Target="https://www.soccerstats.com/h2h.asp?league=paraguay2&amp;fmid=26&amp;t1id=7&amp;t2id=1&amp;ly=2026" TargetMode="External"/><Relationship Id="rId835" Type="http://schemas.openxmlformats.org/officeDocument/2006/relationships/hyperlink" Target="https://www.soccerstats.com/pmatch.asp?league=norway&amp;stats=138-9-11-2026" TargetMode="External"/><Relationship Id="rId267" Type="http://schemas.openxmlformats.org/officeDocument/2006/relationships/hyperlink" Target="https://www.soccerstats.com/pmatch.asp?league=germany5&amp;stats=45-3-7-2027" TargetMode="External"/><Relationship Id="rId474" Type="http://schemas.openxmlformats.org/officeDocument/2006/relationships/hyperlink" Target="https://www.soccerstats.com/pmatch.asp?league=usa2&amp;stats=237-6-24-2026" TargetMode="External"/><Relationship Id="rId127" Type="http://schemas.openxmlformats.org/officeDocument/2006/relationships/hyperlink" Target="https://www.soccerstats.com/pmatch.asp?league=brazil3&amp;stats=161-16-5-2026" TargetMode="External"/><Relationship Id="rId681" Type="http://schemas.openxmlformats.org/officeDocument/2006/relationships/hyperlink" Target="https://www.soccerstats.com/pmatch.asp?league=argentina2&amp;stats=61-1-15-2026" TargetMode="External"/><Relationship Id="rId779" Type="http://schemas.openxmlformats.org/officeDocument/2006/relationships/hyperlink" Target="https://www.soccerstats.com/pmatch.asp?league=finland&amp;stats=116-6-8-2026" TargetMode="External"/><Relationship Id="rId902" Type="http://schemas.openxmlformats.org/officeDocument/2006/relationships/hyperlink" Target="https://www.soccerstats.com/pmatch.asp?league=sweden4&amp;stats=134-9-5-2026" TargetMode="External"/><Relationship Id="rId31" Type="http://schemas.openxmlformats.org/officeDocument/2006/relationships/hyperlink" Target="https://www.soccerstats.com/h2h.asp?league=england4&amp;fmid=1&amp;t1id=1&amp;t2id=2&amp;ly=2026" TargetMode="External"/><Relationship Id="rId334" Type="http://schemas.openxmlformats.org/officeDocument/2006/relationships/hyperlink" Target="https://www.soccerstats.com/h2h.asp?league=netherlands3&amp;fmid=4&amp;t1id=7&amp;t2id=8&amp;ly=2026" TargetMode="External"/><Relationship Id="rId541" Type="http://schemas.openxmlformats.org/officeDocument/2006/relationships/hyperlink" Target="https://www.soccerstats.com/pmatch.asp?league=australia3&amp;stats=163-10-2-2026" TargetMode="External"/><Relationship Id="rId639" Type="http://schemas.openxmlformats.org/officeDocument/2006/relationships/hyperlink" Target="https://www.soccerstats.com/h2h.asp?league=saudiarabia&amp;fmid=6&amp;t1id=11&amp;t2id=12&amp;ly=2026" TargetMode="External"/><Relationship Id="rId180" Type="http://schemas.openxmlformats.org/officeDocument/2006/relationships/hyperlink" Target="https://www.soccerstats.com/h2h.asp?league=england6&amp;fmid=21&amp;t1id=14&amp;t2id=7&amp;ly=2026" TargetMode="External"/><Relationship Id="rId278" Type="http://schemas.openxmlformats.org/officeDocument/2006/relationships/hyperlink" Target="https://www.soccerstats.com/h2h.asp?league=guatemala&amp;fmid=18&amp;t1id=10&amp;t2id=4&amp;ly=2026" TargetMode="External"/><Relationship Id="rId401" Type="http://schemas.openxmlformats.org/officeDocument/2006/relationships/hyperlink" Target="https://www.soccerstats.com/h2h.asp?league=scotland3&amp;fmid=13&amp;t1id=4&amp;t2id=8&amp;ly=2026" TargetMode="External"/><Relationship Id="rId846" Type="http://schemas.openxmlformats.org/officeDocument/2006/relationships/hyperlink" Target="https://www.soccerstats.com/pmatch.asp?league=norway3&amp;stats=110-9-5-2026" TargetMode="External"/><Relationship Id="rId485" Type="http://schemas.openxmlformats.org/officeDocument/2006/relationships/hyperlink" Target="https://www.soccerstats.com/pmatch.asp?league=usa6&amp;stats=150-14-16-2026" TargetMode="External"/><Relationship Id="rId692" Type="http://schemas.openxmlformats.org/officeDocument/2006/relationships/hyperlink" Target="https://www.soccerstats.com/pmatch.asp?league=australia3&amp;stats=168-14-11-2026" TargetMode="External"/><Relationship Id="rId706" Type="http://schemas.openxmlformats.org/officeDocument/2006/relationships/hyperlink" Target="https://www.soccerstats.com/h2h.asp?league=austria&amp;fmid=18&amp;t1id=11&amp;t2id=2&amp;ly=2026" TargetMode="External"/><Relationship Id="rId913" Type="http://schemas.openxmlformats.org/officeDocument/2006/relationships/hyperlink" Target="https://www.soccerstats.com/h2h.asp?league=ukraine&amp;fmid=24&amp;t1id=11&amp;t2id=2&amp;ly=2026" TargetMode="External"/><Relationship Id="rId42" Type="http://schemas.openxmlformats.org/officeDocument/2006/relationships/hyperlink" Target="https://www.soccerstats.com/h2h.asp?league=england5&amp;fmid=24&amp;t1id=18&amp;t2id=7&amp;ly=2026" TargetMode="External"/><Relationship Id="rId138" Type="http://schemas.openxmlformats.org/officeDocument/2006/relationships/hyperlink" Target="https://www.soccerstats.com/h2h.asp?league=bulgaria&amp;fmid=30&amp;t1id=7&amp;t2id=13&amp;ly=2026" TargetMode="External"/><Relationship Id="rId345" Type="http://schemas.openxmlformats.org/officeDocument/2006/relationships/hyperlink" Target="https://www.soccerstats.com/h2h.asp?league=northernireland&amp;fmid=6&amp;t1id=8&amp;t2id=5&amp;ly=2026" TargetMode="External"/><Relationship Id="rId552" Type="http://schemas.openxmlformats.org/officeDocument/2006/relationships/hyperlink" Target="https://www.soccerstats.com/h2h.asp?league=austria&amp;fmid=13&amp;t1id=1&amp;t2id=8&amp;ly=2026" TargetMode="External"/><Relationship Id="rId191" Type="http://schemas.openxmlformats.org/officeDocument/2006/relationships/hyperlink" Target="https://www.soccerstats.com/h2h.asp?league=england7&amp;fmid=22&amp;t1id=14&amp;t2id=3&amp;ly=2026" TargetMode="External"/><Relationship Id="rId205" Type="http://schemas.openxmlformats.org/officeDocument/2006/relationships/hyperlink" Target="https://www.soccerstats.com/h2h.asp?league=england8&amp;fmid=439&amp;t1id=20&amp;t2id=17&amp;ly=2026" TargetMode="External"/><Relationship Id="rId412" Type="http://schemas.openxmlformats.org/officeDocument/2006/relationships/hyperlink" Target="https://www.soccerstats.com/h2h.asp?league=serbia&amp;fmid=35&amp;t1id=11&amp;t2id=4&amp;ly=2026" TargetMode="External"/><Relationship Id="rId857" Type="http://schemas.openxmlformats.org/officeDocument/2006/relationships/hyperlink" Target="https://www.soccerstats.com/h2h.asp?league=poland&amp;fmid=36&amp;t1id=14&amp;t2id=16&amp;ly=2026" TargetMode="External"/><Relationship Id="rId289" Type="http://schemas.openxmlformats.org/officeDocument/2006/relationships/hyperlink" Target="https://www.soccerstats.com/pmatch.asp?league=iceland3&amp;stats=99-7-1-2026" TargetMode="External"/><Relationship Id="rId496" Type="http://schemas.openxmlformats.org/officeDocument/2006/relationships/hyperlink" Target="https://www.soccerstats.com/pmatch.asp?league=chile2&amp;stats=160-16-13-2026" TargetMode="External"/><Relationship Id="rId717" Type="http://schemas.openxmlformats.org/officeDocument/2006/relationships/hyperlink" Target="https://www.soccerstats.com/pmatch.asp?league=brazil&amp;stats=221-11-18-2026" TargetMode="External"/><Relationship Id="rId924" Type="http://schemas.openxmlformats.org/officeDocument/2006/relationships/hyperlink" Target="https://www.soccerstats.com/pmatch.asp?league=usa&amp;stats=285-28-10-2026" TargetMode="External"/><Relationship Id="rId53" Type="http://schemas.openxmlformats.org/officeDocument/2006/relationships/hyperlink" Target="https://www.soccerstats.com/h2h.asp?league=england5&amp;fmid=13&amp;t1id=4&amp;t2id=15&amp;ly=2026" TargetMode="External"/><Relationship Id="rId149" Type="http://schemas.openxmlformats.org/officeDocument/2006/relationships/hyperlink" Target="https://www.soccerstats.com/pmatch.asp?league=china2&amp;stats=146-12-16-2026" TargetMode="External"/><Relationship Id="rId356" Type="http://schemas.openxmlformats.org/officeDocument/2006/relationships/hyperlink" Target="https://www.soccerstats.com/pmatch.asp?league=norway3&amp;stats=107-2-10-2026" TargetMode="External"/><Relationship Id="rId563" Type="http://schemas.openxmlformats.org/officeDocument/2006/relationships/hyperlink" Target="https://www.soccerstats.com/h2h.asp?league=belgium&amp;fmid=10&amp;t1id=6&amp;t2id=9&amp;ly=2026" TargetMode="External"/><Relationship Id="rId770" Type="http://schemas.openxmlformats.org/officeDocument/2006/relationships/hyperlink" Target="https://www.soccerstats.com/pmatch.asp?league=estonia&amp;stats=113-10-3-2026" TargetMode="External"/><Relationship Id="rId216" Type="http://schemas.openxmlformats.org/officeDocument/2006/relationships/hyperlink" Target="https://www.soccerstats.com/h2h.asp?league=england9&amp;fmid=28&amp;t1id=20&amp;t2id=3&amp;ly=2026" TargetMode="External"/><Relationship Id="rId423" Type="http://schemas.openxmlformats.org/officeDocument/2006/relationships/hyperlink" Target="https://www.soccerstats.com/h2h.asp?league=southafrica&amp;fmid=19&amp;t1id=7&amp;t2id=12&amp;ly=2026" TargetMode="External"/><Relationship Id="rId868" Type="http://schemas.openxmlformats.org/officeDocument/2006/relationships/hyperlink" Target="https://www.soccerstats.com/h2h.asp?league=portugal2&amp;fmid=12&amp;t1id=6&amp;t2id=1&amp;ly=2026" TargetMode="External"/><Relationship Id="rId630" Type="http://schemas.openxmlformats.org/officeDocument/2006/relationships/hyperlink" Target="https://www.soccerstats.com/h2h.asp?league=poland2&amp;fmid=33&amp;t1id=10&amp;t2id=5&amp;ly=2026" TargetMode="External"/><Relationship Id="rId728" Type="http://schemas.openxmlformats.org/officeDocument/2006/relationships/hyperlink" Target="https://www.soccerstats.com/pmatch.asp?league=brazil3&amp;stats=163-6-18-2026" TargetMode="External"/><Relationship Id="rId935" Type="http://schemas.openxmlformats.org/officeDocument/2006/relationships/hyperlink" Target="https://www.soccerstats.com/pmatch.asp?league=usa6&amp;stats=153-2-13-2026" TargetMode="External"/><Relationship Id="rId64" Type="http://schemas.openxmlformats.org/officeDocument/2006/relationships/hyperlink" Target="https://www.soccerstats.com/pmatch.asp?league=argentina2&amp;stats=68-24-14-2026" TargetMode="External"/><Relationship Id="rId367" Type="http://schemas.openxmlformats.org/officeDocument/2006/relationships/hyperlink" Target="https://www.soccerstats.com/pmatch.asp?league=peru2&amp;stats=44-9-14-2026" TargetMode="External"/><Relationship Id="rId574" Type="http://schemas.openxmlformats.org/officeDocument/2006/relationships/hyperlink" Target="https://www.soccerstats.com/pmatch.asp?league=china&amp;stats=178-3-10-2026" TargetMode="External"/><Relationship Id="rId227" Type="http://schemas.openxmlformats.org/officeDocument/2006/relationships/hyperlink" Target="https://www.soccerstats.com/h2h.asp?league=england10&amp;fmid=27&amp;t1id=8&amp;t2id=2&amp;ly=2026" TargetMode="External"/><Relationship Id="rId781" Type="http://schemas.openxmlformats.org/officeDocument/2006/relationships/hyperlink" Target="https://www.soccerstats.com/pmatch.asp?league=finland2&amp;stats=95-6-4-2026" TargetMode="External"/><Relationship Id="rId879" Type="http://schemas.openxmlformats.org/officeDocument/2006/relationships/hyperlink" Target="https://www.soccerstats.com/h2h.asp?league=slovenia&amp;fmid=23&amp;t1id=5&amp;t2id=9&amp;ly=2026" TargetMode="External"/><Relationship Id="rId434" Type="http://schemas.openxmlformats.org/officeDocument/2006/relationships/hyperlink" Target="https://www.soccerstats.com/pmatch.asp?league=southkorea4&amp;stats=65-3-7-2026" TargetMode="External"/><Relationship Id="rId641" Type="http://schemas.openxmlformats.org/officeDocument/2006/relationships/hyperlink" Target="https://www.soccerstats.com/pmatch.asp?league=southkorea4&amp;stats=64-6-1-2026" TargetMode="External"/><Relationship Id="rId739" Type="http://schemas.openxmlformats.org/officeDocument/2006/relationships/hyperlink" Target="https://www.soccerstats.com/h2h.asp?league=bulgaria2&amp;fmid=30&amp;t1id=6&amp;t2id=10&amp;ly=2026" TargetMode="External"/><Relationship Id="rId280" Type="http://schemas.openxmlformats.org/officeDocument/2006/relationships/hyperlink" Target="https://www.soccerstats.com/h2h.asp?league=hungary&amp;fmid=21&amp;t1id=11&amp;t2id=9&amp;ly=2026" TargetMode="External"/><Relationship Id="rId501" Type="http://schemas.openxmlformats.org/officeDocument/2006/relationships/hyperlink" Target="https://www.soccerstats.com/leagueview_team.asp?league=copalibertadores&amp;team1id=11&amp;team2id=26&amp;fmid=98" TargetMode="External"/><Relationship Id="rId75" Type="http://schemas.openxmlformats.org/officeDocument/2006/relationships/hyperlink" Target="https://www.soccerstats.com/pmatch.asp?league=argentina3&amp;stats=435-16-21-2026" TargetMode="External"/><Relationship Id="rId140" Type="http://schemas.openxmlformats.org/officeDocument/2006/relationships/hyperlink" Target="https://www.soccerstats.com/pmatch.asp?league=canada&amp;stats=65-6-1-2026" TargetMode="External"/><Relationship Id="rId378" Type="http://schemas.openxmlformats.org/officeDocument/2006/relationships/hyperlink" Target="https://www.soccerstats.com/h2h.asp?league=poland&amp;fmid=33&amp;t1id=13&amp;t2id=6&amp;ly=2026" TargetMode="External"/><Relationship Id="rId585" Type="http://schemas.openxmlformats.org/officeDocument/2006/relationships/hyperlink" Target="https://www.soccerstats.com/h2h.asp?league=denmark2&amp;fmid=19&amp;t1id=8&amp;t2id=1&amp;ly=2026" TargetMode="External"/><Relationship Id="rId792" Type="http://schemas.openxmlformats.org/officeDocument/2006/relationships/hyperlink" Target="https://www.soccerstats.com/h2h.asp?league=germany3&amp;fmid=20&amp;t1id=4&amp;t2id=5&amp;ly=2026" TargetMode="External"/><Relationship Id="rId806" Type="http://schemas.openxmlformats.org/officeDocument/2006/relationships/hyperlink" Target="https://www.soccerstats.com/h2h.asp?league=guatemala&amp;fmid=22&amp;t1id=11&amp;t2id=2&amp;ly=2026" TargetMode="External"/><Relationship Id="rId6" Type="http://schemas.openxmlformats.org/officeDocument/2006/relationships/hyperlink" Target="https://www.soccerstats.com/h2h.asp?league=netherlands&amp;fmid=14&amp;t1id=8&amp;t2id=1&amp;ly=2026" TargetMode="External"/><Relationship Id="rId238" Type="http://schemas.openxmlformats.org/officeDocument/2006/relationships/hyperlink" Target="https://www.soccerstats.com/pmatch.asp?league=finland2&amp;stats=93-3-7-2026" TargetMode="External"/><Relationship Id="rId445" Type="http://schemas.openxmlformats.org/officeDocument/2006/relationships/hyperlink" Target="https://www.soccerstats.com/pmatch.asp?league=sweden4&amp;stats=130-1-7-2026" TargetMode="External"/><Relationship Id="rId652" Type="http://schemas.openxmlformats.org/officeDocument/2006/relationships/hyperlink" Target="https://www.soccerstats.com/h2h.asp?league=uruguay3&amp;fmid=1&amp;t1id=1&amp;t2id=2&amp;ly=2026" TargetMode="External"/><Relationship Id="rId291" Type="http://schemas.openxmlformats.org/officeDocument/2006/relationships/hyperlink" Target="https://www.soccerstats.com/pmatch.asp?league=iceland3&amp;stats=100-12-10-2026" TargetMode="External"/><Relationship Id="rId305" Type="http://schemas.openxmlformats.org/officeDocument/2006/relationships/hyperlink" Target="https://www.soccerstats.com/h2h.asp?league=japan&amp;fmid=19&amp;t1id=16&amp;t2id=12&amp;ly=2026" TargetMode="External"/><Relationship Id="rId512" Type="http://schemas.openxmlformats.org/officeDocument/2006/relationships/hyperlink" Target="https://www.soccerstats.com/h2h.asp?league=southafrica&amp;fmid=15&amp;t1id=2&amp;t2id=5&amp;ly=2026" TargetMode="External"/><Relationship Id="rId86" Type="http://schemas.openxmlformats.org/officeDocument/2006/relationships/hyperlink" Target="https://www.soccerstats.com/pmatch.asp?league=australia6&amp;stats=132-11-9-2026" TargetMode="External"/><Relationship Id="rId151" Type="http://schemas.openxmlformats.org/officeDocument/2006/relationships/hyperlink" Target="https://www.soccerstats.com/pmatch.asp?league=china2&amp;stats=148-6-3-2026" TargetMode="External"/><Relationship Id="rId389" Type="http://schemas.openxmlformats.org/officeDocument/2006/relationships/hyperlink" Target="https://www.soccerstats.com/h2h.asp?league=portugal2&amp;fmid=11&amp;t1id=18&amp;t2id=13&amp;ly=2026" TargetMode="External"/><Relationship Id="rId596" Type="http://schemas.openxmlformats.org/officeDocument/2006/relationships/hyperlink" Target="https://www.soccerstats.com/h2h.asp?league=france3&amp;fmid=10&amp;t1id=17&amp;t2id=1&amp;ly=2026" TargetMode="External"/><Relationship Id="rId817" Type="http://schemas.openxmlformats.org/officeDocument/2006/relationships/hyperlink" Target="https://www.soccerstats.com/h2h.asp?league=japan3&amp;fmid=18&amp;t1id=12&amp;t2id=3&amp;ly=2026" TargetMode="External"/><Relationship Id="rId249" Type="http://schemas.openxmlformats.org/officeDocument/2006/relationships/hyperlink" Target="https://www.soccerstats.com/pmatch.asp?league=finland5&amp;stats=85-4-1-2026" TargetMode="External"/><Relationship Id="rId456" Type="http://schemas.openxmlformats.org/officeDocument/2006/relationships/hyperlink" Target="https://www.soccerstats.com/h2h.asp?league=turkey&amp;fmid=5&amp;t1id=9&amp;t2id=10&amp;ly=2026" TargetMode="External"/><Relationship Id="rId663" Type="http://schemas.openxmlformats.org/officeDocument/2006/relationships/hyperlink" Target="https://www.soccerstats.com/h2h.asp?league=netherlands&amp;fmid=16&amp;t1id=18&amp;t2id=13&amp;ly=2026" TargetMode="External"/><Relationship Id="rId870" Type="http://schemas.openxmlformats.org/officeDocument/2006/relationships/hyperlink" Target="https://www.soccerstats.com/h2h.asp?league=portugal2&amp;fmid=14&amp;t1id=16&amp;t2id=3&amp;ly=2026" TargetMode="External"/><Relationship Id="rId13" Type="http://schemas.openxmlformats.org/officeDocument/2006/relationships/hyperlink" Target="https://www.soccerstats.com/h2h.asp?league=england2&amp;fmid=6&amp;t1id=11&amp;t2id=12&amp;ly=2026" TargetMode="External"/><Relationship Id="rId109" Type="http://schemas.openxmlformats.org/officeDocument/2006/relationships/hyperlink" Target="https://www.soccerstats.com/h2h.asp?league=belgium&amp;fmid=11&amp;t1id=8&amp;t2id=13&amp;ly=2026" TargetMode="External"/><Relationship Id="rId316" Type="http://schemas.openxmlformats.org/officeDocument/2006/relationships/hyperlink" Target="https://www.soccerstats.com/h2h.asp?league=japan2&amp;fmid=16&amp;t1id=16&amp;t2id=7&amp;ly=2026" TargetMode="External"/><Relationship Id="rId523" Type="http://schemas.openxmlformats.org/officeDocument/2006/relationships/hyperlink" Target="https://www.soccerstats.com/h2h.asp?league=france2&amp;fmid=15&amp;t1id=12&amp;t2id=17&amp;ly=2026" TargetMode="External"/><Relationship Id="rId97" Type="http://schemas.openxmlformats.org/officeDocument/2006/relationships/hyperlink" Target="https://www.soccerstats.com/pmatch.asp?league=australia11&amp;stats=220-5-15-2026" TargetMode="External"/><Relationship Id="rId730" Type="http://schemas.openxmlformats.org/officeDocument/2006/relationships/hyperlink" Target="https://www.soccerstats.com/pmatch.asp?league=brazil5&amp;stats=138-11-18-2026" TargetMode="External"/><Relationship Id="rId828" Type="http://schemas.openxmlformats.org/officeDocument/2006/relationships/hyperlink" Target="https://www.soccerstats.com/h2h.asp?league=mexico&amp;fmid=31&amp;t1id=11&amp;t2id=17&amp;ly=2026" TargetMode="External"/><Relationship Id="rId162" Type="http://schemas.openxmlformats.org/officeDocument/2006/relationships/hyperlink" Target="https://www.soccerstats.com/h2h.asp?league=czechrepublic&amp;fmid=30&amp;t1id=8&amp;t2id=1&amp;ly=2026" TargetMode="External"/><Relationship Id="rId467" Type="http://schemas.openxmlformats.org/officeDocument/2006/relationships/hyperlink" Target="https://www.soccerstats.com/h2h.asp?league=uruguay3&amp;fmid=4&amp;t1id=7&amp;t2id=8&amp;ly=2026" TargetMode="External"/><Relationship Id="rId674" Type="http://schemas.openxmlformats.org/officeDocument/2006/relationships/hyperlink" Target="https://www.soccerstats.com/h2h.asp?league=spain2&amp;fmid=7&amp;t1id=13&amp;t2id=14&amp;ly=2026" TargetMode="External"/><Relationship Id="rId881" Type="http://schemas.openxmlformats.org/officeDocument/2006/relationships/hyperlink" Target="https://www.soccerstats.com/h2h.asp?league=slovenia&amp;fmid=21&amp;t1id=2&amp;t2id=8&amp;ly=2026" TargetMode="External"/><Relationship Id="rId24" Type="http://schemas.openxmlformats.org/officeDocument/2006/relationships/hyperlink" Target="https://www.soccerstats.com/h2h.asp?league=england3&amp;fmid=9&amp;t1id=17&amp;t2id=18&amp;ly=2026" TargetMode="External"/><Relationship Id="rId327" Type="http://schemas.openxmlformats.org/officeDocument/2006/relationships/hyperlink" Target="https://www.soccerstats.com/h2h.asp?league=mexico&amp;fmid=28&amp;t1id=2&amp;t2id=16&amp;ly=2026" TargetMode="External"/><Relationship Id="rId534" Type="http://schemas.openxmlformats.org/officeDocument/2006/relationships/hyperlink" Target="https://www.soccerstats.com/h2h.asp?league=netherlands2&amp;fmid=13&amp;t1id=6&amp;t2id=1&amp;ly=2026" TargetMode="External"/><Relationship Id="rId741" Type="http://schemas.openxmlformats.org/officeDocument/2006/relationships/hyperlink" Target="https://www.soccerstats.com/pmatch.asp?league=canada&amp;stats=67-7-4-2026" TargetMode="External"/><Relationship Id="rId839" Type="http://schemas.openxmlformats.org/officeDocument/2006/relationships/hyperlink" Target="https://www.soccerstats.com/pmatch.asp?league=norway&amp;stats=143-16-7-2026" TargetMode="External"/><Relationship Id="rId173" Type="http://schemas.openxmlformats.org/officeDocument/2006/relationships/hyperlink" Target="https://www.soccerstats.com/h2h.asp?league=denmark3&amp;fmid=18&amp;t1id=5&amp;t2id=7&amp;ly=2026" TargetMode="External"/><Relationship Id="rId380" Type="http://schemas.openxmlformats.org/officeDocument/2006/relationships/hyperlink" Target="https://www.soccerstats.com/h2h.asp?league=poland2&amp;fmid=34&amp;t1id=3&amp;t2id=2&amp;ly=2026" TargetMode="External"/><Relationship Id="rId601" Type="http://schemas.openxmlformats.org/officeDocument/2006/relationships/hyperlink" Target="https://www.soccerstats.com/h2h.asp?league=france3&amp;fmid=12&amp;t1id=16&amp;t2id=13&amp;ly=2026" TargetMode="External"/><Relationship Id="rId240" Type="http://schemas.openxmlformats.org/officeDocument/2006/relationships/hyperlink" Target="https://www.soccerstats.com/pmatch.asp?league=finland3&amp;stats=115-5-2-2026" TargetMode="External"/><Relationship Id="rId478" Type="http://schemas.openxmlformats.org/officeDocument/2006/relationships/hyperlink" Target="https://www.soccerstats.com/pmatch.asp?league=usa3&amp;stats=193-17-5-2026" TargetMode="External"/><Relationship Id="rId685" Type="http://schemas.openxmlformats.org/officeDocument/2006/relationships/hyperlink" Target="https://www.soccerstats.com/pmatch.asp?league=argentina3&amp;stats=438-25-12-2026" TargetMode="External"/><Relationship Id="rId892" Type="http://schemas.openxmlformats.org/officeDocument/2006/relationships/hyperlink" Target="https://www.soccerstats.com/pmatch.asp?league=sweden&amp;stats=130-1-12-2026" TargetMode="External"/><Relationship Id="rId906" Type="http://schemas.openxmlformats.org/officeDocument/2006/relationships/hyperlink" Target="https://www.soccerstats.com/h2h.asp?league=turkey&amp;fmid=7&amp;t1id=13&amp;t2id=14&amp;ly=2026" TargetMode="External"/><Relationship Id="rId35" Type="http://schemas.openxmlformats.org/officeDocument/2006/relationships/hyperlink" Target="https://www.soccerstats.com/h2h.asp?league=england4&amp;fmid=9&amp;t1id=17&amp;t2id=18&amp;ly=2026" TargetMode="External"/><Relationship Id="rId100" Type="http://schemas.openxmlformats.org/officeDocument/2006/relationships/hyperlink" Target="https://www.soccerstats.com/h2h.asp?league=austria&amp;fmid=15&amp;t1id=4&amp;t2id=12&amp;ly=2026" TargetMode="External"/><Relationship Id="rId338" Type="http://schemas.openxmlformats.org/officeDocument/2006/relationships/hyperlink" Target="https://www.soccerstats.com/h2h.asp?league=netherlands3&amp;fmid=8&amp;t1id=15&amp;t2id=16&amp;ly=2026" TargetMode="External"/><Relationship Id="rId545" Type="http://schemas.openxmlformats.org/officeDocument/2006/relationships/hyperlink" Target="https://www.soccerstats.com/pmatch.asp?league=australia4&amp;stats=131-4-8-2026" TargetMode="External"/><Relationship Id="rId752" Type="http://schemas.openxmlformats.org/officeDocument/2006/relationships/hyperlink" Target="https://www.soccerstats.com/pmatch.asp?league=china2&amp;stats=151-15-5-2026" TargetMode="External"/><Relationship Id="rId184" Type="http://schemas.openxmlformats.org/officeDocument/2006/relationships/hyperlink" Target="https://www.soccerstats.com/h2h.asp?league=england6&amp;fmid=17&amp;t1id=2&amp;t2id=19&amp;ly=2026" TargetMode="External"/><Relationship Id="rId391" Type="http://schemas.openxmlformats.org/officeDocument/2006/relationships/hyperlink" Target="https://www.soccerstats.com/pmatch.asp?league=romania&amp;stats=37-15-12-2027" TargetMode="External"/><Relationship Id="rId405" Type="http://schemas.openxmlformats.org/officeDocument/2006/relationships/hyperlink" Target="https://www.soccerstats.com/h2h.asp?league=scotland4&amp;fmid=13&amp;t1id=6&amp;t2id=4&amp;ly=2026" TargetMode="External"/><Relationship Id="rId612" Type="http://schemas.openxmlformats.org/officeDocument/2006/relationships/hyperlink" Target="https://www.soccerstats.com/h2h.asp?league=germany6&amp;fmid=24&amp;t1id=13&amp;t2id=10&amp;ly=2026" TargetMode="External"/><Relationship Id="rId251" Type="http://schemas.openxmlformats.org/officeDocument/2006/relationships/hyperlink" Target="https://www.soccerstats.com/pmatch.asp?league=finland6&amp;stats=81-9-5-2026" TargetMode="External"/><Relationship Id="rId489" Type="http://schemas.openxmlformats.org/officeDocument/2006/relationships/hyperlink" Target="https://www.soccerstats.com/h2h.asp?league=usa7&amp;fmid=1&amp;t1id=1&amp;t2id=2&amp;ly=2026" TargetMode="External"/><Relationship Id="rId696" Type="http://schemas.openxmlformats.org/officeDocument/2006/relationships/hyperlink" Target="https://www.soccerstats.com/pmatch.asp?league=australia7&amp;stats=130-2-8-2026" TargetMode="External"/><Relationship Id="rId917" Type="http://schemas.openxmlformats.org/officeDocument/2006/relationships/hyperlink" Target="https://www.soccerstats.com/pmatch.asp?league=usa&amp;stats=279-13-27-2026" TargetMode="External"/><Relationship Id="rId46" Type="http://schemas.openxmlformats.org/officeDocument/2006/relationships/hyperlink" Target="https://www.soccerstats.com/h2h.asp?league=england5&amp;fmid=20&amp;t1id=6&amp;t2id=13&amp;ly=2026" TargetMode="External"/><Relationship Id="rId349" Type="http://schemas.openxmlformats.org/officeDocument/2006/relationships/hyperlink" Target="https://www.soccerstats.com/h2h.asp?league=northmacedonia&amp;fmid=14&amp;t1id=5&amp;t2id=9&amp;ly=2026" TargetMode="External"/><Relationship Id="rId556" Type="http://schemas.openxmlformats.org/officeDocument/2006/relationships/hyperlink" Target="https://www.soccerstats.com/h2h.asp?league=azerbaijan&amp;fmid=4&amp;t1id=7&amp;t2id=8&amp;ly=2026" TargetMode="External"/><Relationship Id="rId763" Type="http://schemas.openxmlformats.org/officeDocument/2006/relationships/hyperlink" Target="https://www.soccerstats.com/h2h.asp?league=denmark&amp;fmid=20&amp;t1id=8&amp;t2id=6&amp;ly=2026" TargetMode="External"/><Relationship Id="rId111" Type="http://schemas.openxmlformats.org/officeDocument/2006/relationships/hyperlink" Target="https://www.soccerstats.com/h2h.asp?league=belgium&amp;fmid=13&amp;t1id=14&amp;t2id=7&amp;ly=2026" TargetMode="External"/><Relationship Id="rId195" Type="http://schemas.openxmlformats.org/officeDocument/2006/relationships/hyperlink" Target="https://www.soccerstats.com/h2h.asp?league=england7&amp;fmid=17&amp;t1id=6&amp;t2id=9&amp;ly=2026" TargetMode="External"/><Relationship Id="rId209" Type="http://schemas.openxmlformats.org/officeDocument/2006/relationships/hyperlink" Target="https://www.soccerstats.com/h2h.asp?league=england8&amp;fmid=435&amp;t1id=3&amp;t2id=16&amp;ly=2026" TargetMode="External"/><Relationship Id="rId416" Type="http://schemas.openxmlformats.org/officeDocument/2006/relationships/hyperlink" Target="https://www.soccerstats.com/h2h.asp?league=slovakia&amp;fmid=21&amp;t1id=12&amp;t2id=7&amp;ly=2026" TargetMode="External"/><Relationship Id="rId623" Type="http://schemas.openxmlformats.org/officeDocument/2006/relationships/hyperlink" Target="https://www.soccerstats.com/h2h.asp?league=hungary&amp;fmid=19&amp;t1id=2&amp;t2id=3&amp;ly=2026" TargetMode="External"/><Relationship Id="rId830" Type="http://schemas.openxmlformats.org/officeDocument/2006/relationships/hyperlink" Target="https://www.soccerstats.com/h2h.asp?league=moldova&amp;fmid=31&amp;t1id=4&amp;t2id=8&amp;ly=2026" TargetMode="External"/><Relationship Id="rId928" Type="http://schemas.openxmlformats.org/officeDocument/2006/relationships/hyperlink" Target="https://www.soccerstats.com/pmatch.asp?league=usa2&amp;stats=244-18-17-2026" TargetMode="External"/><Relationship Id="rId57" Type="http://schemas.openxmlformats.org/officeDocument/2006/relationships/hyperlink" Target="https://www.soccerstats.com/h2h.asp?league=spain2&amp;fmid=5&amp;t1id=9&amp;t2id=10&amp;ly=2026" TargetMode="External"/><Relationship Id="rId262" Type="http://schemas.openxmlformats.org/officeDocument/2006/relationships/hyperlink" Target="https://www.soccerstats.com/h2h.asp?league=germany4&amp;fmid=30&amp;t1id=8&amp;t2id=11&amp;ly=2026" TargetMode="External"/><Relationship Id="rId567" Type="http://schemas.openxmlformats.org/officeDocument/2006/relationships/hyperlink" Target="https://www.soccerstats.com/pmatch.asp?league=brazil2&amp;stats=219-12-19-2026" TargetMode="External"/><Relationship Id="rId122" Type="http://schemas.openxmlformats.org/officeDocument/2006/relationships/hyperlink" Target="https://www.soccerstats.com/pmatch.asp?league=brazil&amp;stats=223-6-4-2026" TargetMode="External"/><Relationship Id="rId774" Type="http://schemas.openxmlformats.org/officeDocument/2006/relationships/hyperlink" Target="https://www.soccerstats.com/pmatch.asp?league=faroeislands&amp;stats=91-5-4-2026" TargetMode="External"/><Relationship Id="rId427" Type="http://schemas.openxmlformats.org/officeDocument/2006/relationships/hyperlink" Target="https://www.soccerstats.com/pmatch.asp?league=southkorea&amp;stats=134-9-12-2026" TargetMode="External"/><Relationship Id="rId634" Type="http://schemas.openxmlformats.org/officeDocument/2006/relationships/hyperlink" Target="https://www.soccerstats.com/pmatch.asp?league=romania&amp;stats=36-1-11-2027" TargetMode="External"/><Relationship Id="rId841" Type="http://schemas.openxmlformats.org/officeDocument/2006/relationships/hyperlink" Target="https://www.soccerstats.com/pmatch.asp?league=norway2&amp;stats=142-15-6-2026" TargetMode="External"/><Relationship Id="rId273" Type="http://schemas.openxmlformats.org/officeDocument/2006/relationships/hyperlink" Target="https://www.soccerstats.com/h2h.asp?league=germany7&amp;fmid=11&amp;t1id=12&amp;t2id=1&amp;ly=2026" TargetMode="External"/><Relationship Id="rId480" Type="http://schemas.openxmlformats.org/officeDocument/2006/relationships/hyperlink" Target="https://www.soccerstats.com/pmatch.asp?league=usa3&amp;stats=192-11-7-2026" TargetMode="External"/><Relationship Id="rId701" Type="http://schemas.openxmlformats.org/officeDocument/2006/relationships/hyperlink" Target="https://www.soccerstats.com/pmatch.asp?league=australia11&amp;stats=222-6-16-2026" TargetMode="External"/><Relationship Id="rId68" Type="http://schemas.openxmlformats.org/officeDocument/2006/relationships/hyperlink" Target="https://www.soccerstats.com/pmatch.asp?league=argentina3&amp;stats=439-7-30-2026" TargetMode="External"/><Relationship Id="rId133" Type="http://schemas.openxmlformats.org/officeDocument/2006/relationships/hyperlink" Target="https://www.soccerstats.com/pmatch.asp?league=brazil5&amp;stats=141-13-8-2026" TargetMode="External"/><Relationship Id="rId340" Type="http://schemas.openxmlformats.org/officeDocument/2006/relationships/hyperlink" Target="https://www.soccerstats.com/h2h.asp?league=northernireland&amp;fmid=11&amp;t1id=12&amp;t2id=1&amp;ly=2026" TargetMode="External"/><Relationship Id="rId578" Type="http://schemas.openxmlformats.org/officeDocument/2006/relationships/hyperlink" Target="https://www.soccerstats.com/leagueview_team.asp?league=copasudamericana&amp;team1id=28&amp;team2id=25&amp;fmid=121" TargetMode="External"/><Relationship Id="rId785" Type="http://schemas.openxmlformats.org/officeDocument/2006/relationships/hyperlink" Target="https://www.soccerstats.com/pmatch.asp?league=finland4&amp;stats=85-9-2-2026" TargetMode="External"/><Relationship Id="rId200" Type="http://schemas.openxmlformats.org/officeDocument/2006/relationships/hyperlink" Target="https://www.soccerstats.com/h2h.asp?league=england8&amp;fmid=444&amp;t1id=19&amp;t2id=4&amp;ly=2026" TargetMode="External"/><Relationship Id="rId438" Type="http://schemas.openxmlformats.org/officeDocument/2006/relationships/hyperlink" Target="https://www.soccerstats.com/pmatch.asp?league=sweden2&amp;stats=146-8-11-2026" TargetMode="External"/><Relationship Id="rId645" Type="http://schemas.openxmlformats.org/officeDocument/2006/relationships/hyperlink" Target="https://www.soccerstats.com/pmatch.asp?league=sweden2&amp;stats=152-16-13-2026" TargetMode="External"/><Relationship Id="rId852" Type="http://schemas.openxmlformats.org/officeDocument/2006/relationships/hyperlink" Target="https://www.soccerstats.com/pmatch.asp?league=norway4&amp;stats=111-14-8-2026" TargetMode="External"/><Relationship Id="rId284" Type="http://schemas.openxmlformats.org/officeDocument/2006/relationships/hyperlink" Target="https://www.soccerstats.com/h2h.asp?league=hungary2&amp;fmid=28&amp;t1id=4&amp;t2id=9&amp;ly=2026" TargetMode="External"/><Relationship Id="rId491" Type="http://schemas.openxmlformats.org/officeDocument/2006/relationships/hyperlink" Target="https://www.soccerstats.com/h2h.asp?league=wales&amp;fmid=23&amp;t1id=7&amp;t2id=11&amp;ly=2026" TargetMode="External"/><Relationship Id="rId505" Type="http://schemas.openxmlformats.org/officeDocument/2006/relationships/hyperlink" Target="https://www.soccerstats.com/h2h.asp?league=germany4&amp;fmid=26&amp;t1id=15&amp;t2id=4&amp;ly=2026" TargetMode="External"/><Relationship Id="rId712" Type="http://schemas.openxmlformats.org/officeDocument/2006/relationships/hyperlink" Target="https://www.soccerstats.com/h2h.asp?league=belgium&amp;fmid=16&amp;t1id=16&amp;t2id=11&amp;ly=2026" TargetMode="External"/><Relationship Id="rId79" Type="http://schemas.openxmlformats.org/officeDocument/2006/relationships/hyperlink" Target="https://www.soccerstats.com/pmatch.asp?league=australia3&amp;stats=166-12-6-2026" TargetMode="External"/><Relationship Id="rId144" Type="http://schemas.openxmlformats.org/officeDocument/2006/relationships/hyperlink" Target="https://www.soccerstats.com/pmatch.asp?league=china&amp;stats=182-5-16-2026" TargetMode="External"/><Relationship Id="rId589" Type="http://schemas.openxmlformats.org/officeDocument/2006/relationships/hyperlink" Target="https://www.soccerstats.com/h2h.asp?league=denmark3&amp;fmid=13&amp;t1id=12&amp;t2id=2&amp;ly=2026" TargetMode="External"/><Relationship Id="rId796" Type="http://schemas.openxmlformats.org/officeDocument/2006/relationships/hyperlink" Target="https://www.soccerstats.com/h2h.asp?league=germany4&amp;fmid=34&amp;t1id=15&amp;t2id=9&amp;ly=2026" TargetMode="External"/><Relationship Id="rId351" Type="http://schemas.openxmlformats.org/officeDocument/2006/relationships/hyperlink" Target="https://www.soccerstats.com/pmatch.asp?league=norway&amp;stats=142-13-10-2026" TargetMode="External"/><Relationship Id="rId449" Type="http://schemas.openxmlformats.org/officeDocument/2006/relationships/hyperlink" Target="https://www.soccerstats.com/pmatch.asp?league=sweden11&amp;stats=98-1-4-2026" TargetMode="External"/><Relationship Id="rId656" Type="http://schemas.openxmlformats.org/officeDocument/2006/relationships/hyperlink" Target="https://www.soccerstats.com/h2h.asp?league=wales&amp;fmid=19&amp;t1id=9&amp;t2id=13&amp;ly=2026" TargetMode="External"/><Relationship Id="rId863" Type="http://schemas.openxmlformats.org/officeDocument/2006/relationships/hyperlink" Target="https://www.soccerstats.com/h2h.asp?league=poland2&amp;fmid=29&amp;t1id=13&amp;t2id=17&amp;ly=2026" TargetMode="External"/><Relationship Id="rId211" Type="http://schemas.openxmlformats.org/officeDocument/2006/relationships/hyperlink" Target="https://www.soccerstats.com/h2h.asp?league=england9&amp;fmid=33&amp;t1id=16&amp;t2id=19&amp;ly=2026" TargetMode="External"/><Relationship Id="rId295" Type="http://schemas.openxmlformats.org/officeDocument/2006/relationships/hyperlink" Target="https://www.soccerstats.com/pmatch.asp?league=ireland3&amp;stats=85-3-6-2026" TargetMode="External"/><Relationship Id="rId309" Type="http://schemas.openxmlformats.org/officeDocument/2006/relationships/hyperlink" Target="https://www.soccerstats.com/h2h.asp?league=japan2&amp;fmid=12&amp;t1id=12&amp;t2id=6&amp;ly=2026" TargetMode="External"/><Relationship Id="rId516" Type="http://schemas.openxmlformats.org/officeDocument/2006/relationships/hyperlink" Target="https://www.soccerstats.com/h2h.asp?league=netherlands&amp;fmid=10&amp;t1id=4&amp;t2id=11&amp;ly=2026" TargetMode="External"/><Relationship Id="rId723" Type="http://schemas.openxmlformats.org/officeDocument/2006/relationships/hyperlink" Target="https://www.soccerstats.com/pmatch.asp?league=brazil2&amp;stats=217-13-7-2026" TargetMode="External"/><Relationship Id="rId930" Type="http://schemas.openxmlformats.org/officeDocument/2006/relationships/hyperlink" Target="https://www.soccerstats.com/pmatch.asp?league=usa2&amp;stats=245-16-21-2026" TargetMode="External"/><Relationship Id="rId155" Type="http://schemas.openxmlformats.org/officeDocument/2006/relationships/hyperlink" Target="https://www.soccerstats.com/h2h.asp?league=croatia&amp;fmid=13&amp;t1id=3&amp;t2id=8&amp;ly=2026" TargetMode="External"/><Relationship Id="rId362" Type="http://schemas.openxmlformats.org/officeDocument/2006/relationships/hyperlink" Target="https://www.soccerstats.com/pmatch.asp?league=norway11&amp;stats=70-5-4-2026" TargetMode="External"/><Relationship Id="rId222" Type="http://schemas.openxmlformats.org/officeDocument/2006/relationships/hyperlink" Target="https://www.soccerstats.com/h2h.asp?league=england10&amp;fmid=32&amp;t1id=20&amp;t2id=9&amp;ly=2026" TargetMode="External"/><Relationship Id="rId667" Type="http://schemas.openxmlformats.org/officeDocument/2006/relationships/hyperlink" Target="https://www.soccerstats.com/h2h.asp?league=portugal&amp;fmid=16&amp;t1id=2&amp;t2id=9&amp;ly=2026" TargetMode="External"/><Relationship Id="rId874" Type="http://schemas.openxmlformats.org/officeDocument/2006/relationships/hyperlink" Target="https://www.soccerstats.com/h2h.asp?league=russia&amp;fmid=30&amp;t1id=6&amp;t2id=3&amp;ly=2026" TargetMode="External"/><Relationship Id="rId17" Type="http://schemas.openxmlformats.org/officeDocument/2006/relationships/hyperlink" Target="https://www.soccerstats.com/h2h.asp?league=england2&amp;fmid=9&amp;t1id=17&amp;t2id=18&amp;ly=2026" TargetMode="External"/><Relationship Id="rId527" Type="http://schemas.openxmlformats.org/officeDocument/2006/relationships/hyperlink" Target="https://www.soccerstats.com/h2h.asp?league=france2&amp;fmid=11&amp;t1id=16&amp;t2id=13&amp;ly=2026" TargetMode="External"/><Relationship Id="rId734" Type="http://schemas.openxmlformats.org/officeDocument/2006/relationships/hyperlink" Target="https://www.soccerstats.com/h2h.asp?league=bulgaria&amp;fmid=31&amp;t1id=8&amp;t2id=4&amp;ly=2026" TargetMode="External"/><Relationship Id="rId70" Type="http://schemas.openxmlformats.org/officeDocument/2006/relationships/hyperlink" Target="https://www.soccerstats.com/pmatch.asp?league=argentina3&amp;stats=445-27-10-2026" TargetMode="External"/><Relationship Id="rId166" Type="http://schemas.openxmlformats.org/officeDocument/2006/relationships/hyperlink" Target="https://www.soccerstats.com/h2h.asp?league=czechrepublic2&amp;fmid=29&amp;t1id=12&amp;t2id=9&amp;ly=2026" TargetMode="External"/><Relationship Id="rId331" Type="http://schemas.openxmlformats.org/officeDocument/2006/relationships/hyperlink" Target="https://www.soccerstats.com/h2h.asp?league=netherlands3&amp;fmid=1&amp;t1id=1&amp;t2id=2&amp;ly=2026" TargetMode="External"/><Relationship Id="rId373" Type="http://schemas.openxmlformats.org/officeDocument/2006/relationships/hyperlink" Target="https://www.soccerstats.com/pmatch.asp?league=peru2&amp;stats=43-15-6-2026" TargetMode="External"/><Relationship Id="rId429" Type="http://schemas.openxmlformats.org/officeDocument/2006/relationships/hyperlink" Target="https://www.soccerstats.com/pmatch.asp?league=southkorea2&amp;stats=169-15-8-2026" TargetMode="External"/><Relationship Id="rId580" Type="http://schemas.openxmlformats.org/officeDocument/2006/relationships/hyperlink" Target="https://www.soccerstats.com/h2h.asp?league=croatia&amp;fmid=15&amp;t1id=7&amp;t2id=10&amp;ly=2026" TargetMode="External"/><Relationship Id="rId636" Type="http://schemas.openxmlformats.org/officeDocument/2006/relationships/hyperlink" Target="https://www.soccerstats.com/h2h.asp?league=russia&amp;fmid=25&amp;t1id=11&amp;t2id=13&amp;ly=2026" TargetMode="External"/><Relationship Id="rId801" Type="http://schemas.openxmlformats.org/officeDocument/2006/relationships/hyperlink" Target="https://www.soccerstats.com/h2h.asp?league=germany7&amp;fmid=17&amp;t1id=18&amp;t2id=11&amp;ly=2026" TargetMode="External"/><Relationship Id="rId1" Type="http://schemas.openxmlformats.org/officeDocument/2006/relationships/hyperlink" Target="https://www.soccerstats.com/h2h.asp?league=spain&amp;fmid=1&amp;t1id=1&amp;t2id=2&amp;ly=2026" TargetMode="External"/><Relationship Id="rId233" Type="http://schemas.openxmlformats.org/officeDocument/2006/relationships/hyperlink" Target="https://www.soccerstats.com/pmatch.asp?league=estonia2&amp;stats=164-2-8-2026" TargetMode="External"/><Relationship Id="rId440" Type="http://schemas.openxmlformats.org/officeDocument/2006/relationships/hyperlink" Target="https://www.soccerstats.com/pmatch.asp?league=sweden2&amp;stats=148-14-3-2026" TargetMode="External"/><Relationship Id="rId678" Type="http://schemas.openxmlformats.org/officeDocument/2006/relationships/hyperlink" Target="https://www.soccerstats.com/h2h.asp?league=germany2&amp;fmid=18&amp;t1id=14&amp;t2id=11&amp;ly=2026" TargetMode="External"/><Relationship Id="rId843" Type="http://schemas.openxmlformats.org/officeDocument/2006/relationships/hyperlink" Target="https://www.soccerstats.com/pmatch.asp?league=norway2&amp;stats=138-14-3-2026" TargetMode="External"/><Relationship Id="rId885" Type="http://schemas.openxmlformats.org/officeDocument/2006/relationships/hyperlink" Target="https://www.soccerstats.com/pmatch.asp?league=southkorea&amp;stats=138-3-5-2026" TargetMode="External"/><Relationship Id="rId28" Type="http://schemas.openxmlformats.org/officeDocument/2006/relationships/hyperlink" Target="https://www.soccerstats.com/h2h.asp?league=england3&amp;fmid=5&amp;t1id=9&amp;t2id=10&amp;ly=2026" TargetMode="External"/><Relationship Id="rId275" Type="http://schemas.openxmlformats.org/officeDocument/2006/relationships/hyperlink" Target="https://www.soccerstats.com/h2h.asp?league=germany7&amp;fmid=13&amp;t1id=8&amp;t2id=9&amp;ly=2026" TargetMode="External"/><Relationship Id="rId300" Type="http://schemas.openxmlformats.org/officeDocument/2006/relationships/hyperlink" Target="https://www.soccerstats.com/h2h.asp?league=japan&amp;fmid=13&amp;t1id=2&amp;t2id=9&amp;ly=2026" TargetMode="External"/><Relationship Id="rId482" Type="http://schemas.openxmlformats.org/officeDocument/2006/relationships/hyperlink" Target="https://www.soccerstats.com/pmatch.asp?league=usa3&amp;stats=194-2-16-2026" TargetMode="External"/><Relationship Id="rId538" Type="http://schemas.openxmlformats.org/officeDocument/2006/relationships/hyperlink" Target="https://www.soccerstats.com/pmatch.asp?league=argentina3&amp;stats=450-19-18-2026" TargetMode="External"/><Relationship Id="rId703" Type="http://schemas.openxmlformats.org/officeDocument/2006/relationships/hyperlink" Target="https://www.soccerstats.com/pmatch.asp?league=australia11&amp;stats=223-14-10-2026" TargetMode="External"/><Relationship Id="rId745" Type="http://schemas.openxmlformats.org/officeDocument/2006/relationships/hyperlink" Target="https://www.soccerstats.com/pmatch.asp?league=chile&amp;stats=152-4-10-2026" TargetMode="External"/><Relationship Id="rId910" Type="http://schemas.openxmlformats.org/officeDocument/2006/relationships/hyperlink" Target="https://www.soccerstats.com/h2h.asp?league=turkey2&amp;fmid=11&amp;t1id=12&amp;t2id=3&amp;ly=2026" TargetMode="External"/><Relationship Id="rId81" Type="http://schemas.openxmlformats.org/officeDocument/2006/relationships/hyperlink" Target="https://www.soccerstats.com/pmatch.asp?league=australia5&amp;stats=119-2-10-2026" TargetMode="External"/><Relationship Id="rId135" Type="http://schemas.openxmlformats.org/officeDocument/2006/relationships/hyperlink" Target="https://www.soccerstats.com/pmatch.asp?league=brazil5&amp;stats=136-1-10-2026" TargetMode="External"/><Relationship Id="rId177" Type="http://schemas.openxmlformats.org/officeDocument/2006/relationships/hyperlink" Target="https://www.soccerstats.com/h2h.asp?league=england6&amp;fmid=24&amp;t1id=6&amp;t2id=17&amp;ly=2026" TargetMode="External"/><Relationship Id="rId342" Type="http://schemas.openxmlformats.org/officeDocument/2006/relationships/hyperlink" Target="https://www.soccerstats.com/h2h.asp?league=northernireland&amp;fmid=9&amp;t1id=2&amp;t2id=10&amp;ly=2026" TargetMode="External"/><Relationship Id="rId384" Type="http://schemas.openxmlformats.org/officeDocument/2006/relationships/hyperlink" Target="https://www.soccerstats.com/h2h.asp?league=poland3&amp;fmid=30&amp;t1id=10&amp;t2id=14&amp;ly=2026" TargetMode="External"/><Relationship Id="rId591" Type="http://schemas.openxmlformats.org/officeDocument/2006/relationships/hyperlink" Target="https://www.soccerstats.com/h2h.asp?league=england9&amp;fmid=23&amp;t1id=10&amp;t2id=15&amp;ly=2026" TargetMode="External"/><Relationship Id="rId605" Type="http://schemas.openxmlformats.org/officeDocument/2006/relationships/hyperlink" Target="https://www.soccerstats.com/pmatch.asp?league=germany5&amp;stats=40-14-6-2027" TargetMode="External"/><Relationship Id="rId787" Type="http://schemas.openxmlformats.org/officeDocument/2006/relationships/hyperlink" Target="https://www.soccerstats.com/pmatch.asp?league=finland6&amp;stats=85-2-4-2026" TargetMode="External"/><Relationship Id="rId812" Type="http://schemas.openxmlformats.org/officeDocument/2006/relationships/hyperlink" Target="https://www.soccerstats.com/pmatch.asp?league=iceland&amp;stats=110-5-12-2026" TargetMode="External"/><Relationship Id="rId202" Type="http://schemas.openxmlformats.org/officeDocument/2006/relationships/hyperlink" Target="https://www.soccerstats.com/h2h.asp?league=england8&amp;fmid=442&amp;t1id=22&amp;t2id=2&amp;ly=2026" TargetMode="External"/><Relationship Id="rId244" Type="http://schemas.openxmlformats.org/officeDocument/2006/relationships/hyperlink" Target="https://www.soccerstats.com/pmatch.asp?league=finland4&amp;stats=83-7-4-2026" TargetMode="External"/><Relationship Id="rId647" Type="http://schemas.openxmlformats.org/officeDocument/2006/relationships/hyperlink" Target="https://www.soccerstats.com/pmatch.asp?league=sweden4&amp;stats=129-10-8-2026" TargetMode="External"/><Relationship Id="rId689" Type="http://schemas.openxmlformats.org/officeDocument/2006/relationships/hyperlink" Target="https://www.soccerstats.com/pmatch.asp?league=argentina3&amp;stats=447-11-26-2026" TargetMode="External"/><Relationship Id="rId854" Type="http://schemas.openxmlformats.org/officeDocument/2006/relationships/hyperlink" Target="https://www.soccerstats.com/h2h.asp?league=paraguay2&amp;fmid=30&amp;t1id=11&amp;t2id=8&amp;ly=2026" TargetMode="External"/><Relationship Id="rId896" Type="http://schemas.openxmlformats.org/officeDocument/2006/relationships/hyperlink" Target="https://www.soccerstats.com/pmatch.asp?league=sweden2&amp;stats=151-4-12-2026" TargetMode="External"/><Relationship Id="rId39" Type="http://schemas.openxmlformats.org/officeDocument/2006/relationships/hyperlink" Target="https://www.soccerstats.com/h2h.asp?league=england4&amp;fmid=5&amp;t1id=9&amp;t2id=10&amp;ly=2026" TargetMode="External"/><Relationship Id="rId286" Type="http://schemas.openxmlformats.org/officeDocument/2006/relationships/hyperlink" Target="https://www.soccerstats.com/h2h.asp?league=hungary2&amp;fmid=26&amp;t1id=1&amp;t2id=13&amp;ly=2026" TargetMode="External"/><Relationship Id="rId451" Type="http://schemas.openxmlformats.org/officeDocument/2006/relationships/hyperlink" Target="https://www.soccerstats.com/pmatch.asp?league=sweden11&amp;stats=95-12-11-2026" TargetMode="External"/><Relationship Id="rId493" Type="http://schemas.openxmlformats.org/officeDocument/2006/relationships/hyperlink" Target="https://www.soccerstats.com/pmatch.asp?league=argentina2&amp;stats=57-20-23-2026" TargetMode="External"/><Relationship Id="rId507" Type="http://schemas.openxmlformats.org/officeDocument/2006/relationships/hyperlink" Target="https://www.soccerstats.com/h2h.asp?league=germany4&amp;fmid=20&amp;t1id=9&amp;t2id=14&amp;ly=2026" TargetMode="External"/><Relationship Id="rId549" Type="http://schemas.openxmlformats.org/officeDocument/2006/relationships/hyperlink" Target="https://www.soccerstats.com/pmatch.asp?league=australia4&amp;stats=132-6-3-2026" TargetMode="External"/><Relationship Id="rId714" Type="http://schemas.openxmlformats.org/officeDocument/2006/relationships/hyperlink" Target="https://www.soccerstats.com/h2h.asp?league=belgium&amp;fmid=18&amp;t1id=10&amp;t2id=3&amp;ly=2026" TargetMode="External"/><Relationship Id="rId756" Type="http://schemas.openxmlformats.org/officeDocument/2006/relationships/hyperlink" Target="https://www.soccerstats.com/h2h.asp?league=costarica&amp;fmid=18&amp;t1id=3&amp;t2id=5&amp;ly=2026" TargetMode="External"/><Relationship Id="rId921" Type="http://schemas.openxmlformats.org/officeDocument/2006/relationships/hyperlink" Target="https://www.soccerstats.com/pmatch.asp?league=usa&amp;stats=283-19-23-2026" TargetMode="External"/><Relationship Id="rId50" Type="http://schemas.openxmlformats.org/officeDocument/2006/relationships/hyperlink" Target="https://www.soccerstats.com/h2h.asp?league=england5&amp;fmid=16&amp;t1id=20&amp;t2id=23&amp;ly=2026" TargetMode="External"/><Relationship Id="rId104" Type="http://schemas.openxmlformats.org/officeDocument/2006/relationships/hyperlink" Target="https://www.soccerstats.com/h2h.asp?league=austria2&amp;fmid=23&amp;t1id=5&amp;t2id=1&amp;ly=2026" TargetMode="External"/><Relationship Id="rId146" Type="http://schemas.openxmlformats.org/officeDocument/2006/relationships/hyperlink" Target="https://www.soccerstats.com/pmatch.asp?league=china&amp;stats=183-7-12-2026" TargetMode="External"/><Relationship Id="rId188" Type="http://schemas.openxmlformats.org/officeDocument/2006/relationships/hyperlink" Target="https://www.soccerstats.com/h2h.asp?league=england6&amp;fmid=13&amp;t1id=18&amp;t2id=23&amp;ly=2026" TargetMode="External"/><Relationship Id="rId311" Type="http://schemas.openxmlformats.org/officeDocument/2006/relationships/hyperlink" Target="https://www.soccerstats.com/h2h.asp?league=japan2&amp;fmid=13&amp;t1id=3&amp;t2id=17&amp;ly=2026" TargetMode="External"/><Relationship Id="rId353" Type="http://schemas.openxmlformats.org/officeDocument/2006/relationships/hyperlink" Target="https://www.soccerstats.com/pmatch.asp?league=norway2&amp;stats=140-9-7-2026" TargetMode="External"/><Relationship Id="rId395" Type="http://schemas.openxmlformats.org/officeDocument/2006/relationships/hyperlink" Target="https://www.soccerstats.com/h2h.asp?league=russia&amp;fmid=29&amp;t1id=16&amp;t2id=14&amp;ly=2026" TargetMode="External"/><Relationship Id="rId409" Type="http://schemas.openxmlformats.org/officeDocument/2006/relationships/hyperlink" Target="https://www.soccerstats.com/h2h.asp?league=serbia&amp;fmid=29&amp;t1id=10&amp;t2id=2&amp;ly=2026" TargetMode="External"/><Relationship Id="rId560" Type="http://schemas.openxmlformats.org/officeDocument/2006/relationships/hyperlink" Target="https://www.soccerstats.com/h2h.asp?league=azerbaijan&amp;fmid=1&amp;t1id=1&amp;t2id=2&amp;ly=2026" TargetMode="External"/><Relationship Id="rId798" Type="http://schemas.openxmlformats.org/officeDocument/2006/relationships/hyperlink" Target="https://www.soccerstats.com/pmatch.asp?league=germany5&amp;stats=41-12-16-2027" TargetMode="External"/><Relationship Id="rId92" Type="http://schemas.openxmlformats.org/officeDocument/2006/relationships/hyperlink" Target="https://www.soccerstats.com/pmatch.asp?league=australia10&amp;stats=102-11-9-2026" TargetMode="External"/><Relationship Id="rId213" Type="http://schemas.openxmlformats.org/officeDocument/2006/relationships/hyperlink" Target="https://www.soccerstats.com/h2h.asp?league=england9&amp;fmid=31&amp;t1id=4&amp;t2id=1&amp;ly=2026" TargetMode="External"/><Relationship Id="rId420" Type="http://schemas.openxmlformats.org/officeDocument/2006/relationships/hyperlink" Target="https://www.soccerstats.com/h2h.asp?league=slovenia&amp;fmid=25&amp;t1id=7&amp;t2id=10&amp;ly=2026" TargetMode="External"/><Relationship Id="rId616" Type="http://schemas.openxmlformats.org/officeDocument/2006/relationships/hyperlink" Target="https://www.soccerstats.com/h2h.asp?league=germany8&amp;fmid=35&amp;t1id=18&amp;t2id=9&amp;ly=2026" TargetMode="External"/><Relationship Id="rId658" Type="http://schemas.openxmlformats.org/officeDocument/2006/relationships/hyperlink" Target="https://www.soccerstats.com/h2h.asp?league=wales&amp;fmid=17&amp;t1id=14&amp;t2id=5&amp;ly=2026" TargetMode="External"/><Relationship Id="rId823" Type="http://schemas.openxmlformats.org/officeDocument/2006/relationships/hyperlink" Target="https://www.soccerstats.com/pmatch.asp?league=kazakhstan&amp;stats=39-10-16-2026" TargetMode="External"/><Relationship Id="rId865" Type="http://schemas.openxmlformats.org/officeDocument/2006/relationships/hyperlink" Target="https://www.soccerstats.com/h2h.asp?league=poland3&amp;fmid=29&amp;t1id=9&amp;t2id=13&amp;ly=2026" TargetMode="External"/><Relationship Id="rId255" Type="http://schemas.openxmlformats.org/officeDocument/2006/relationships/hyperlink" Target="https://www.soccerstats.com/pmatch.asp?league=georgia&amp;stats=103-3-1-2026" TargetMode="External"/><Relationship Id="rId297" Type="http://schemas.openxmlformats.org/officeDocument/2006/relationships/hyperlink" Target="https://www.soccerstats.com/pmatch.asp?league=ireland3&amp;stats=90-10-9-2026" TargetMode="External"/><Relationship Id="rId462" Type="http://schemas.openxmlformats.org/officeDocument/2006/relationships/hyperlink" Target="https://www.soccerstats.com/h2h.asp?league=ukraine&amp;fmid=22&amp;t1id=3&amp;t2id=12&amp;ly=2026" TargetMode="External"/><Relationship Id="rId518" Type="http://schemas.openxmlformats.org/officeDocument/2006/relationships/hyperlink" Target="https://www.soccerstats.com/h2h.asp?league=england2&amp;fmid=1&amp;t1id=1&amp;t2id=2&amp;ly=2026" TargetMode="External"/><Relationship Id="rId725" Type="http://schemas.openxmlformats.org/officeDocument/2006/relationships/hyperlink" Target="https://www.soccerstats.com/pmatch.asp?league=brazil2&amp;stats=212-2-17-2026" TargetMode="External"/><Relationship Id="rId932" Type="http://schemas.openxmlformats.org/officeDocument/2006/relationships/hyperlink" Target="https://www.soccerstats.com/pmatch.asp?league=usa3&amp;stats=195-10-13-2026" TargetMode="External"/><Relationship Id="rId115" Type="http://schemas.openxmlformats.org/officeDocument/2006/relationships/hyperlink" Target="https://www.soccerstats.com/h2h.asp?league=belgium2&amp;fmid=5&amp;t1id=9&amp;t2id=10&amp;ly=2026" TargetMode="External"/><Relationship Id="rId157" Type="http://schemas.openxmlformats.org/officeDocument/2006/relationships/hyperlink" Target="https://www.soccerstats.com/h2h.asp?league=czechrepublic&amp;fmid=28&amp;t1id=4&amp;t2id=15&amp;ly=2026" TargetMode="External"/><Relationship Id="rId322" Type="http://schemas.openxmlformats.org/officeDocument/2006/relationships/hyperlink" Target="https://www.soccerstats.com/h2h.asp?league=japan3&amp;fmid=15&amp;t1id=20&amp;t2id=13&amp;ly=2026" TargetMode="External"/><Relationship Id="rId364" Type="http://schemas.openxmlformats.org/officeDocument/2006/relationships/hyperlink" Target="https://www.soccerstats.com/pmatch.asp?league=norway11&amp;stats=71-7-1-2026" TargetMode="External"/><Relationship Id="rId767" Type="http://schemas.openxmlformats.org/officeDocument/2006/relationships/hyperlink" Target="https://www.soccerstats.com/pmatch.asp?league=ecuador&amp;stats=195-11-4-2026" TargetMode="External"/><Relationship Id="rId61" Type="http://schemas.openxmlformats.org/officeDocument/2006/relationships/hyperlink" Target="https://www.soccerstats.com/h2h.asp?league=germany2&amp;fmid=15&amp;t1id=12&amp;t2id=5&amp;ly=2026" TargetMode="External"/><Relationship Id="rId199" Type="http://schemas.openxmlformats.org/officeDocument/2006/relationships/hyperlink" Target="https://www.soccerstats.com/h2h.asp?league=england7&amp;fmid=13&amp;t1id=1&amp;t2id=10&amp;ly=2026" TargetMode="External"/><Relationship Id="rId571" Type="http://schemas.openxmlformats.org/officeDocument/2006/relationships/hyperlink" Target="https://www.soccerstats.com/pmatch.asp?league=chile&amp;stats=145-7-11-2026" TargetMode="External"/><Relationship Id="rId627" Type="http://schemas.openxmlformats.org/officeDocument/2006/relationships/hyperlink" Target="https://www.soccerstats.com/pmatch.asp?league=norway11&amp;stats=73-11-6-2026" TargetMode="External"/><Relationship Id="rId669" Type="http://schemas.openxmlformats.org/officeDocument/2006/relationships/hyperlink" Target="https://www.soccerstats.com/h2h.asp?league=portugal&amp;fmid=15&amp;t1id=10&amp;t2id=13&amp;ly=2026" TargetMode="External"/><Relationship Id="rId834" Type="http://schemas.openxmlformats.org/officeDocument/2006/relationships/hyperlink" Target="https://www.soccerstats.com/h2h.asp?league=montenegro&amp;fmid=14&amp;t1id=5&amp;t2id=9&amp;ly=2026" TargetMode="External"/><Relationship Id="rId876" Type="http://schemas.openxmlformats.org/officeDocument/2006/relationships/hyperlink" Target="https://www.soccerstats.com/h2h.asp?league=russia&amp;fmid=32&amp;t1id=2&amp;t2id=9&amp;ly=2026" TargetMode="External"/><Relationship Id="rId19" Type="http://schemas.openxmlformats.org/officeDocument/2006/relationships/hyperlink" Target="https://www.soccerstats.com/h2h.asp?league=england3&amp;fmid=2&amp;t1id=3&amp;t2id=4&amp;ly=2026" TargetMode="External"/><Relationship Id="rId224" Type="http://schemas.openxmlformats.org/officeDocument/2006/relationships/hyperlink" Target="https://www.soccerstats.com/h2h.asp?league=england10&amp;fmid=30&amp;t1id=18&amp;t2id=19&amp;ly=2026" TargetMode="External"/><Relationship Id="rId266" Type="http://schemas.openxmlformats.org/officeDocument/2006/relationships/hyperlink" Target="https://www.soccerstats.com/pmatch.asp?league=germany5&amp;stats=39-5-15-2027" TargetMode="External"/><Relationship Id="rId431" Type="http://schemas.openxmlformats.org/officeDocument/2006/relationships/hyperlink" Target="https://www.soccerstats.com/pmatch.asp?league=southkorea2&amp;stats=171-1-11-2026" TargetMode="External"/><Relationship Id="rId473" Type="http://schemas.openxmlformats.org/officeDocument/2006/relationships/hyperlink" Target="https://www.soccerstats.com/pmatch.asp?league=usa2&amp;stats=238-23-4-2026" TargetMode="External"/><Relationship Id="rId529" Type="http://schemas.openxmlformats.org/officeDocument/2006/relationships/hyperlink" Target="https://www.soccerstats.com/h2h.asp?league=germany2&amp;fmid=10&amp;t1id=4&amp;t2id=1&amp;ly=2026" TargetMode="External"/><Relationship Id="rId680" Type="http://schemas.openxmlformats.org/officeDocument/2006/relationships/hyperlink" Target="https://www.soccerstats.com/pmatch.asp?league=argentina2&amp;stats=69-8-12-2026" TargetMode="External"/><Relationship Id="rId736" Type="http://schemas.openxmlformats.org/officeDocument/2006/relationships/hyperlink" Target="https://www.soccerstats.com/h2h.asp?league=bulgaria2&amp;fmid=28&amp;t1id=5&amp;t2id=3&amp;ly=2026" TargetMode="External"/><Relationship Id="rId901" Type="http://schemas.openxmlformats.org/officeDocument/2006/relationships/hyperlink" Target="https://www.soccerstats.com/pmatch.asp?league=sweden4&amp;stats=136-13-15-2026" TargetMode="External"/><Relationship Id="rId30" Type="http://schemas.openxmlformats.org/officeDocument/2006/relationships/hyperlink" Target="https://www.soccerstats.com/h2h.asp?league=england4&amp;fmid=2&amp;t1id=3&amp;t2id=4&amp;ly=2026" TargetMode="External"/><Relationship Id="rId126" Type="http://schemas.openxmlformats.org/officeDocument/2006/relationships/hyperlink" Target="https://www.soccerstats.com/pmatch.asp?league=brazil2&amp;stats=211-8-20-2026" TargetMode="External"/><Relationship Id="rId168" Type="http://schemas.openxmlformats.org/officeDocument/2006/relationships/hyperlink" Target="https://www.soccerstats.com/h2h.asp?league=czechrepublic2&amp;fmid=31&amp;t1id=2&amp;t2id=15&amp;ly=2026" TargetMode="External"/><Relationship Id="rId333" Type="http://schemas.openxmlformats.org/officeDocument/2006/relationships/hyperlink" Target="https://www.soccerstats.com/h2h.asp?league=netherlands3&amp;fmid=5&amp;t1id=9&amp;t2id=10&amp;ly=2026" TargetMode="External"/><Relationship Id="rId540" Type="http://schemas.openxmlformats.org/officeDocument/2006/relationships/hyperlink" Target="https://www.soccerstats.com/h2h.asp?league=armenia&amp;fmid=16&amp;t1id=5&amp;t2id=10&amp;ly=2026" TargetMode="External"/><Relationship Id="rId778" Type="http://schemas.openxmlformats.org/officeDocument/2006/relationships/hyperlink" Target="https://www.soccerstats.com/pmatch.asp?league=finland&amp;stats=119-3-5-2026" TargetMode="External"/><Relationship Id="rId72" Type="http://schemas.openxmlformats.org/officeDocument/2006/relationships/hyperlink" Target="https://www.soccerstats.com/pmatch.asp?league=argentina3&amp;stats=434-23-14-2026" TargetMode="External"/><Relationship Id="rId375" Type="http://schemas.openxmlformats.org/officeDocument/2006/relationships/hyperlink" Target="https://www.soccerstats.com/pmatch.asp?league=peru2&amp;stats=38-7-16-2026" TargetMode="External"/><Relationship Id="rId582" Type="http://schemas.openxmlformats.org/officeDocument/2006/relationships/hyperlink" Target="https://www.soccerstats.com/h2h.asp?league=czechrepublic2&amp;fmid=25&amp;t1id=6&amp;t2id=14&amp;ly=2026" TargetMode="External"/><Relationship Id="rId638" Type="http://schemas.openxmlformats.org/officeDocument/2006/relationships/hyperlink" Target="https://www.soccerstats.com/h2h.asp?league=saudiarabia&amp;fmid=5&amp;t1id=9&amp;t2id=10&amp;ly=2026" TargetMode="External"/><Relationship Id="rId803" Type="http://schemas.openxmlformats.org/officeDocument/2006/relationships/hyperlink" Target="https://www.soccerstats.com/h2h.asp?league=germany7&amp;fmid=16&amp;t1id=16&amp;t2id=7&amp;ly=2026" TargetMode="External"/><Relationship Id="rId845" Type="http://schemas.openxmlformats.org/officeDocument/2006/relationships/hyperlink" Target="https://www.soccerstats.com/pmatch.asp?league=norway3&amp;stats=112-6-12-2026" TargetMode="External"/><Relationship Id="rId3" Type="http://schemas.openxmlformats.org/officeDocument/2006/relationships/hyperlink" Target="https://www.soccerstats.com/h2h.asp?league=netherlands&amp;fmid=11&amp;t1id=6&amp;t2id=3&amp;ly=2026" TargetMode="External"/><Relationship Id="rId235" Type="http://schemas.openxmlformats.org/officeDocument/2006/relationships/hyperlink" Target="https://www.soccerstats.com/pmatch.asp?league=estonia2&amp;stats=163-3-5-2026" TargetMode="External"/><Relationship Id="rId277" Type="http://schemas.openxmlformats.org/officeDocument/2006/relationships/hyperlink" Target="https://www.soccerstats.com/h2h.asp?league=germany7&amp;fmid=12&amp;t1id=6&amp;t2id=3&amp;ly=2026" TargetMode="External"/><Relationship Id="rId400" Type="http://schemas.openxmlformats.org/officeDocument/2006/relationships/hyperlink" Target="https://www.soccerstats.com/h2h.asp?league=scotland3&amp;fmid=14&amp;t1id=5&amp;t2id=7&amp;ly=2026" TargetMode="External"/><Relationship Id="rId442" Type="http://schemas.openxmlformats.org/officeDocument/2006/relationships/hyperlink" Target="https://www.soccerstats.com/pmatch.asp?league=sweden3&amp;stats=130-8-6-2026" TargetMode="External"/><Relationship Id="rId484" Type="http://schemas.openxmlformats.org/officeDocument/2006/relationships/hyperlink" Target="https://www.soccerstats.com/pmatch.asp?league=usa6&amp;stats=151-11-8-2026" TargetMode="External"/><Relationship Id="rId705" Type="http://schemas.openxmlformats.org/officeDocument/2006/relationships/hyperlink" Target="https://www.soccerstats.com/h2h.asp?league=austria&amp;fmid=16&amp;t1id=3&amp;t2id=5&amp;ly=2026" TargetMode="External"/><Relationship Id="rId887" Type="http://schemas.openxmlformats.org/officeDocument/2006/relationships/hyperlink" Target="https://www.soccerstats.com/pmatch.asp?league=southkorea2&amp;stats=175-7-13-2026" TargetMode="External"/><Relationship Id="rId137" Type="http://schemas.openxmlformats.org/officeDocument/2006/relationships/hyperlink" Target="https://www.soccerstats.com/h2h.asp?league=bulgaria&amp;fmid=29&amp;t1id=11&amp;t2id=3&amp;ly=2026" TargetMode="External"/><Relationship Id="rId302" Type="http://schemas.openxmlformats.org/officeDocument/2006/relationships/hyperlink" Target="https://www.soccerstats.com/h2h.asp?league=japan&amp;fmid=14&amp;t1id=10&amp;t2id=1&amp;ly=2026" TargetMode="External"/><Relationship Id="rId344" Type="http://schemas.openxmlformats.org/officeDocument/2006/relationships/hyperlink" Target="https://www.soccerstats.com/h2h.asp?league=northernireland&amp;fmid=7&amp;t1id=9&amp;t2id=3&amp;ly=2026" TargetMode="External"/><Relationship Id="rId691" Type="http://schemas.openxmlformats.org/officeDocument/2006/relationships/hyperlink" Target="https://www.soccerstats.com/h2h.asp?league=armenia&amp;fmid=13&amp;t1id=2&amp;t2id=4&amp;ly=2026" TargetMode="External"/><Relationship Id="rId747" Type="http://schemas.openxmlformats.org/officeDocument/2006/relationships/hyperlink" Target="https://www.soccerstats.com/pmatch.asp?league=chile2&amp;stats=161-3-11-2026" TargetMode="External"/><Relationship Id="rId789" Type="http://schemas.openxmlformats.org/officeDocument/2006/relationships/hyperlink" Target="https://www.soccerstats.com/pmatch.asp?league=georgia&amp;stats=102-10-6-2026" TargetMode="External"/><Relationship Id="rId912" Type="http://schemas.openxmlformats.org/officeDocument/2006/relationships/hyperlink" Target="https://www.soccerstats.com/h2h.asp?league=ukraine&amp;fmid=21&amp;t1id=5&amp;t2id=16&amp;ly=2026" TargetMode="External"/><Relationship Id="rId41" Type="http://schemas.openxmlformats.org/officeDocument/2006/relationships/hyperlink" Target="https://www.soccerstats.com/h2h.asp?league=england4&amp;fmid=3&amp;t1id=5&amp;t2id=6&amp;ly=2026" TargetMode="External"/><Relationship Id="rId83" Type="http://schemas.openxmlformats.org/officeDocument/2006/relationships/hyperlink" Target="https://www.soccerstats.com/pmatch.asp?league=australia5&amp;stats=116-4-12-2026" TargetMode="External"/><Relationship Id="rId179" Type="http://schemas.openxmlformats.org/officeDocument/2006/relationships/hyperlink" Target="https://www.soccerstats.com/h2h.asp?league=england6&amp;fmid=22&amp;t1id=20&amp;t2id=13&amp;ly=2026" TargetMode="External"/><Relationship Id="rId386" Type="http://schemas.openxmlformats.org/officeDocument/2006/relationships/hyperlink" Target="https://www.soccerstats.com/h2h.asp?league=poland3&amp;fmid=28&amp;t1id=2&amp;t2id=18&amp;ly=2026" TargetMode="External"/><Relationship Id="rId551" Type="http://schemas.openxmlformats.org/officeDocument/2006/relationships/hyperlink" Target="https://www.soccerstats.com/pmatch.asp?league=australia11&amp;stats=217-1-4-2026" TargetMode="External"/><Relationship Id="rId593" Type="http://schemas.openxmlformats.org/officeDocument/2006/relationships/hyperlink" Target="https://www.soccerstats.com/pmatch.asp?league=finland&amp;stats=115-2-10-2026" TargetMode="External"/><Relationship Id="rId607" Type="http://schemas.openxmlformats.org/officeDocument/2006/relationships/hyperlink" Target="https://www.soccerstats.com/pmatch.asp?league=germany5&amp;stats=43-9-4-2027" TargetMode="External"/><Relationship Id="rId649" Type="http://schemas.openxmlformats.org/officeDocument/2006/relationships/hyperlink" Target="https://www.soccerstats.com/h2h.asp?league=turkey&amp;fmid=1&amp;t1id=1&amp;t2id=2&amp;ly=2026" TargetMode="External"/><Relationship Id="rId814" Type="http://schemas.openxmlformats.org/officeDocument/2006/relationships/hyperlink" Target="https://www.soccerstats.com/h2h.asp?league=japan2&amp;fmid=19&amp;t1id=8&amp;t2id=11&amp;ly=2026" TargetMode="External"/><Relationship Id="rId856" Type="http://schemas.openxmlformats.org/officeDocument/2006/relationships/hyperlink" Target="https://www.soccerstats.com/h2h.asp?league=paraguay2&amp;fmid=25&amp;t1id=5&amp;t2id=3&amp;ly=2026" TargetMode="External"/><Relationship Id="rId190" Type="http://schemas.openxmlformats.org/officeDocument/2006/relationships/hyperlink" Target="https://www.soccerstats.com/h2h.asp?league=england7&amp;fmid=23&amp;t1id=21&amp;t2id=2&amp;ly=2026" TargetMode="External"/><Relationship Id="rId204" Type="http://schemas.openxmlformats.org/officeDocument/2006/relationships/hyperlink" Target="https://www.soccerstats.com/h2h.asp?league=england8&amp;fmid=440&amp;t1id=13&amp;t2id=15&amp;ly=2026" TargetMode="External"/><Relationship Id="rId246" Type="http://schemas.openxmlformats.org/officeDocument/2006/relationships/hyperlink" Target="https://www.soccerstats.com/pmatch.asp?league=finland5&amp;stats=84-6-2-2026" TargetMode="External"/><Relationship Id="rId288" Type="http://schemas.openxmlformats.org/officeDocument/2006/relationships/hyperlink" Target="https://www.soccerstats.com/pmatch.asp?league=iceland&amp;stats=109-8-10-2026" TargetMode="External"/><Relationship Id="rId411" Type="http://schemas.openxmlformats.org/officeDocument/2006/relationships/hyperlink" Target="https://www.soccerstats.com/h2h.asp?league=serbia&amp;fmid=30&amp;t1id=6&amp;t2id=8&amp;ly=2026" TargetMode="External"/><Relationship Id="rId453" Type="http://schemas.openxmlformats.org/officeDocument/2006/relationships/hyperlink" Target="https://www.soccerstats.com/pmatch.asp?league=sweden11&amp;stats=97-14-3-2026" TargetMode="External"/><Relationship Id="rId509" Type="http://schemas.openxmlformats.org/officeDocument/2006/relationships/hyperlink" Target="https://www.soccerstats.com/h2h.asp?league=germany4&amp;fmid=25&amp;t1id=13&amp;t2id=10&amp;ly=2026" TargetMode="External"/><Relationship Id="rId660" Type="http://schemas.openxmlformats.org/officeDocument/2006/relationships/hyperlink" Target="https://www.soccerstats.com/h2h.asp?league=spain&amp;fmid=4&amp;t1id=7&amp;t2id=8&amp;ly=2026" TargetMode="External"/><Relationship Id="rId898" Type="http://schemas.openxmlformats.org/officeDocument/2006/relationships/hyperlink" Target="https://www.soccerstats.com/pmatch.asp?league=sweden3&amp;stats=132-12-1-2026" TargetMode="External"/><Relationship Id="rId106" Type="http://schemas.openxmlformats.org/officeDocument/2006/relationships/hyperlink" Target="https://www.soccerstats.com/pmatch.asp?league=belarus&amp;stats=142-14-9-2026" TargetMode="External"/><Relationship Id="rId313" Type="http://schemas.openxmlformats.org/officeDocument/2006/relationships/hyperlink" Target="https://www.soccerstats.com/h2h.asp?league=japan2&amp;fmid=14&amp;t1id=18&amp;t2id=13&amp;ly=2026" TargetMode="External"/><Relationship Id="rId495" Type="http://schemas.openxmlformats.org/officeDocument/2006/relationships/hyperlink" Target="https://www.soccerstats.com/pmatch.asp?league=australia10&amp;stats=97-11-2-2026" TargetMode="External"/><Relationship Id="rId716" Type="http://schemas.openxmlformats.org/officeDocument/2006/relationships/hyperlink" Target="https://www.soccerstats.com/pmatch.asp?league=brazil&amp;stats=228-15-3-2026" TargetMode="External"/><Relationship Id="rId758" Type="http://schemas.openxmlformats.org/officeDocument/2006/relationships/hyperlink" Target="https://www.soccerstats.com/h2h.asp?league=croatia&amp;fmid=14&amp;t1id=5&amp;t2id=9&amp;ly=2026" TargetMode="External"/><Relationship Id="rId923" Type="http://schemas.openxmlformats.org/officeDocument/2006/relationships/hyperlink" Target="https://www.soccerstats.com/pmatch.asp?league=usa&amp;stats=286-14-25-2026" TargetMode="External"/><Relationship Id="rId10" Type="http://schemas.openxmlformats.org/officeDocument/2006/relationships/hyperlink" Target="https://www.soccerstats.com/h2h.asp?league=england2&amp;fmid=2&amp;t1id=3&amp;t2id=4&amp;ly=2026" TargetMode="External"/><Relationship Id="rId52" Type="http://schemas.openxmlformats.org/officeDocument/2006/relationships/hyperlink" Target="https://www.soccerstats.com/h2h.asp?league=england5&amp;fmid=14&amp;t1id=16&amp;t2id=11&amp;ly=2026" TargetMode="External"/><Relationship Id="rId94" Type="http://schemas.openxmlformats.org/officeDocument/2006/relationships/hyperlink" Target="https://www.soccerstats.com/pmatch.asp?league=australia10&amp;stats=103-1-6-2026" TargetMode="External"/><Relationship Id="rId148" Type="http://schemas.openxmlformats.org/officeDocument/2006/relationships/hyperlink" Target="https://www.soccerstats.com/pmatch.asp?league=china2&amp;stats=145-4-14-2026" TargetMode="External"/><Relationship Id="rId355" Type="http://schemas.openxmlformats.org/officeDocument/2006/relationships/hyperlink" Target="https://www.soccerstats.com/pmatch.asp?league=norway3&amp;stats=106-8-4-2026" TargetMode="External"/><Relationship Id="rId397" Type="http://schemas.openxmlformats.org/officeDocument/2006/relationships/hyperlink" Target="https://www.soccerstats.com/h2h.asp?league=saudiarabia&amp;fmid=9&amp;t1id=17&amp;t2id=18&amp;ly=2026" TargetMode="External"/><Relationship Id="rId520" Type="http://schemas.openxmlformats.org/officeDocument/2006/relationships/hyperlink" Target="https://www.soccerstats.com/h2h.asp?league=france2&amp;fmid=18&amp;t1id=6&amp;t2id=3&amp;ly=2026" TargetMode="External"/><Relationship Id="rId562" Type="http://schemas.openxmlformats.org/officeDocument/2006/relationships/hyperlink" Target="https://www.soccerstats.com/pmatch.asp?league=belarus&amp;stats=140-10-5-2026" TargetMode="External"/><Relationship Id="rId618" Type="http://schemas.openxmlformats.org/officeDocument/2006/relationships/hyperlink" Target="https://www.soccerstats.com/h2h.asp?league=germany8&amp;fmid=29&amp;t1id=14&amp;t2id=8&amp;ly=2026" TargetMode="External"/><Relationship Id="rId825" Type="http://schemas.openxmlformats.org/officeDocument/2006/relationships/hyperlink" Target="https://www.soccerstats.com/pmatch.asp?league=lithuania&amp;stats=132-1-6-2026" TargetMode="External"/><Relationship Id="rId215" Type="http://schemas.openxmlformats.org/officeDocument/2006/relationships/hyperlink" Target="https://www.soccerstats.com/h2h.asp?league=england9&amp;fmid=29&amp;t1id=22&amp;t2id=9&amp;ly=2026" TargetMode="External"/><Relationship Id="rId257" Type="http://schemas.openxmlformats.org/officeDocument/2006/relationships/hyperlink" Target="https://www.soccerstats.com/h2h.asp?league=germany3&amp;fmid=13&amp;t1id=14&amp;t2id=19&amp;ly=2026" TargetMode="External"/><Relationship Id="rId422" Type="http://schemas.openxmlformats.org/officeDocument/2006/relationships/hyperlink" Target="https://www.soccerstats.com/h2h.asp?league=southafrica&amp;fmid=17&amp;t1id=10&amp;t2id=15&amp;ly=2026" TargetMode="External"/><Relationship Id="rId464" Type="http://schemas.openxmlformats.org/officeDocument/2006/relationships/hyperlink" Target="https://www.soccerstats.com/h2h.asp?league=ukraine&amp;fmid=17&amp;t1id=4&amp;t2id=13&amp;ly=2026" TargetMode="External"/><Relationship Id="rId867" Type="http://schemas.openxmlformats.org/officeDocument/2006/relationships/hyperlink" Target="https://www.soccerstats.com/h2h.asp?league=poland3&amp;fmid=34&amp;t1id=6&amp;t2id=15&amp;ly=2026" TargetMode="External"/><Relationship Id="rId299" Type="http://schemas.openxmlformats.org/officeDocument/2006/relationships/hyperlink" Target="https://www.soccerstats.com/pmatch.asp?league=ireland3&amp;stats=87-12-1-2026" TargetMode="External"/><Relationship Id="rId727" Type="http://schemas.openxmlformats.org/officeDocument/2006/relationships/hyperlink" Target="https://www.soccerstats.com/pmatch.asp?league=brazil3&amp;stats=166-12-10-2026" TargetMode="External"/><Relationship Id="rId934" Type="http://schemas.openxmlformats.org/officeDocument/2006/relationships/hyperlink" Target="https://www.soccerstats.com/pmatch.asp?league=usa3&amp;stats=197-18-8-2026" TargetMode="External"/><Relationship Id="rId63" Type="http://schemas.openxmlformats.org/officeDocument/2006/relationships/hyperlink" Target="https://www.soccerstats.com/pmatch.asp?league=argentina2&amp;stats=66-6-18-2026" TargetMode="External"/><Relationship Id="rId159" Type="http://schemas.openxmlformats.org/officeDocument/2006/relationships/hyperlink" Target="https://www.soccerstats.com/h2h.asp?league=czechrepublic&amp;fmid=27&amp;t1id=14&amp;t2id=16&amp;ly=2026" TargetMode="External"/><Relationship Id="rId366" Type="http://schemas.openxmlformats.org/officeDocument/2006/relationships/hyperlink" Target="https://www.soccerstats.com/h2h.asp?league=paraguay2&amp;fmid=28&amp;t1id=12&amp;t2id=4&amp;ly=2026" TargetMode="External"/><Relationship Id="rId573" Type="http://schemas.openxmlformats.org/officeDocument/2006/relationships/hyperlink" Target="https://www.soccerstats.com/pmatch.asp?league=chile2&amp;stats=159-7-12-2026" TargetMode="External"/><Relationship Id="rId780" Type="http://schemas.openxmlformats.org/officeDocument/2006/relationships/hyperlink" Target="https://www.soccerstats.com/pmatch.asp?league=finland&amp;stats=117-12-1-2026" TargetMode="External"/><Relationship Id="rId226" Type="http://schemas.openxmlformats.org/officeDocument/2006/relationships/hyperlink" Target="https://www.soccerstats.com/h2h.asp?league=england10&amp;fmid=28&amp;t1id=10&amp;t2id=15&amp;ly=2026" TargetMode="External"/><Relationship Id="rId433" Type="http://schemas.openxmlformats.org/officeDocument/2006/relationships/hyperlink" Target="https://www.soccerstats.com/pmatch.asp?league=southkorea4&amp;stats=66-8-2-2026" TargetMode="External"/><Relationship Id="rId878" Type="http://schemas.openxmlformats.org/officeDocument/2006/relationships/hyperlink" Target="https://www.soccerstats.com/h2h.asp?league=slovakia&amp;fmid=24&amp;t1id=4&amp;t2id=8&amp;ly=2026" TargetMode="External"/><Relationship Id="rId640" Type="http://schemas.openxmlformats.org/officeDocument/2006/relationships/hyperlink" Target="https://www.soccerstats.com/h2h.asp?league=southafrica&amp;fmid=16&amp;t1id=1&amp;t2id=16&amp;ly=2026" TargetMode="External"/><Relationship Id="rId738" Type="http://schemas.openxmlformats.org/officeDocument/2006/relationships/hyperlink" Target="https://www.soccerstats.com/h2h.asp?league=bulgaria2&amp;fmid=31&amp;t1id=4&amp;t2id=15&amp;ly=2026" TargetMode="External"/><Relationship Id="rId74" Type="http://schemas.openxmlformats.org/officeDocument/2006/relationships/hyperlink" Target="https://www.soccerstats.com/pmatch.asp?league=argentina3&amp;stats=436-29-8-2026" TargetMode="External"/><Relationship Id="rId377" Type="http://schemas.openxmlformats.org/officeDocument/2006/relationships/hyperlink" Target="https://www.soccerstats.com/h2h.asp?league=poland&amp;fmid=32&amp;t1id=18&amp;t2id=2&amp;ly=2026" TargetMode="External"/><Relationship Id="rId500" Type="http://schemas.openxmlformats.org/officeDocument/2006/relationships/hyperlink" Target="https://www.soccerstats.com/leagueview_team.asp?league=copasudamericana&amp;team1id=10&amp;team2id=21&amp;fmid=116" TargetMode="External"/><Relationship Id="rId584" Type="http://schemas.openxmlformats.org/officeDocument/2006/relationships/hyperlink" Target="https://www.soccerstats.com/h2h.asp?league=denmark2&amp;fmid=20&amp;t1id=3&amp;t2id=9&amp;ly=2026" TargetMode="External"/><Relationship Id="rId805" Type="http://schemas.openxmlformats.org/officeDocument/2006/relationships/hyperlink" Target="https://www.soccerstats.com/h2h.asp?league=guatemala&amp;fmid=21&amp;t1id=5&amp;t2id=7&amp;ly=2026" TargetMode="External"/><Relationship Id="rId5" Type="http://schemas.openxmlformats.org/officeDocument/2006/relationships/hyperlink" Target="https://www.soccerstats.com/h2h.asp?league=netherlands&amp;fmid=13&amp;t1id=2&amp;t2id=7&amp;ly=2026" TargetMode="External"/><Relationship Id="rId237" Type="http://schemas.openxmlformats.org/officeDocument/2006/relationships/hyperlink" Target="https://www.soccerstats.com/pmatch.asp?league=finland2&amp;stats=92-9-5-2026" TargetMode="External"/><Relationship Id="rId791" Type="http://schemas.openxmlformats.org/officeDocument/2006/relationships/hyperlink" Target="https://www.soccerstats.com/h2h.asp?league=germany3&amp;fmid=19&amp;t1id=6&amp;t2id=17&amp;ly=2026" TargetMode="External"/><Relationship Id="rId889" Type="http://schemas.openxmlformats.org/officeDocument/2006/relationships/hyperlink" Target="https://www.soccerstats.com/pmatch.asp?league=southkorea2&amp;stats=173-14-16-2026" TargetMode="External"/><Relationship Id="rId444" Type="http://schemas.openxmlformats.org/officeDocument/2006/relationships/hyperlink" Target="https://www.soccerstats.com/pmatch.asp?league=sweden3&amp;stats=134-7-10-2026" TargetMode="External"/><Relationship Id="rId651" Type="http://schemas.openxmlformats.org/officeDocument/2006/relationships/hyperlink" Target="https://www.soccerstats.com/h2h.asp?league=ukraine&amp;fmid=20&amp;t1id=9&amp;t2id=6&amp;ly=2026" TargetMode="External"/><Relationship Id="rId749" Type="http://schemas.openxmlformats.org/officeDocument/2006/relationships/hyperlink" Target="https://www.soccerstats.com/pmatch.asp?league=china2&amp;stats=150-11-10-2026" TargetMode="External"/><Relationship Id="rId290" Type="http://schemas.openxmlformats.org/officeDocument/2006/relationships/hyperlink" Target="https://www.soccerstats.com/pmatch.asp?league=iceland3&amp;stats=101-8-6-2026" TargetMode="External"/><Relationship Id="rId304" Type="http://schemas.openxmlformats.org/officeDocument/2006/relationships/hyperlink" Target="https://www.soccerstats.com/h2h.asp?league=japan&amp;fmid=16&amp;t1id=5&amp;t2id=7&amp;ly=2026" TargetMode="External"/><Relationship Id="rId388" Type="http://schemas.openxmlformats.org/officeDocument/2006/relationships/hyperlink" Target="https://www.soccerstats.com/h2h.asp?league=portugal2&amp;fmid=15&amp;t1id=2&amp;t2id=15&amp;ly=2026" TargetMode="External"/><Relationship Id="rId511" Type="http://schemas.openxmlformats.org/officeDocument/2006/relationships/hyperlink" Target="https://www.soccerstats.com/h2h.asp?league=germany4&amp;fmid=23&amp;t1id=18&amp;t2id=5&amp;ly=2026" TargetMode="External"/><Relationship Id="rId609" Type="http://schemas.openxmlformats.org/officeDocument/2006/relationships/hyperlink" Target="https://www.soccerstats.com/h2h.asp?league=germany6&amp;fmid=23&amp;t1id=11&amp;t2id=8&amp;ly=2026" TargetMode="External"/><Relationship Id="rId85" Type="http://schemas.openxmlformats.org/officeDocument/2006/relationships/hyperlink" Target="https://www.soccerstats.com/pmatch.asp?league=australia5&amp;stats=117-9-11-2026" TargetMode="External"/><Relationship Id="rId150" Type="http://schemas.openxmlformats.org/officeDocument/2006/relationships/hyperlink" Target="https://www.soccerstats.com/pmatch.asp?league=china2&amp;stats=147-1-9-2026" TargetMode="External"/><Relationship Id="rId595" Type="http://schemas.openxmlformats.org/officeDocument/2006/relationships/hyperlink" Target="https://www.soccerstats.com/h2h.asp?league=france3&amp;fmid=17&amp;t1id=6&amp;t2id=3&amp;ly=2026" TargetMode="External"/><Relationship Id="rId816" Type="http://schemas.openxmlformats.org/officeDocument/2006/relationships/hyperlink" Target="https://www.soccerstats.com/h2h.asp?league=japan3&amp;fmid=17&amp;t1id=18&amp;t2id=7&amp;ly=2026" TargetMode="External"/><Relationship Id="rId248" Type="http://schemas.openxmlformats.org/officeDocument/2006/relationships/hyperlink" Target="https://www.soccerstats.com/pmatch.asp?league=finland5&amp;stats=83-10-7-2026" TargetMode="External"/><Relationship Id="rId455" Type="http://schemas.openxmlformats.org/officeDocument/2006/relationships/hyperlink" Target="https://www.soccerstats.com/h2h.asp?league=turkey&amp;fmid=2&amp;t1id=3&amp;t2id=4&amp;ly=2026" TargetMode="External"/><Relationship Id="rId662" Type="http://schemas.openxmlformats.org/officeDocument/2006/relationships/hyperlink" Target="https://www.soccerstats.com/h2h.asp?league=netherlands&amp;fmid=15&amp;t1id=10&amp;t2id=15&amp;ly=2026" TargetMode="External"/><Relationship Id="rId12" Type="http://schemas.openxmlformats.org/officeDocument/2006/relationships/hyperlink" Target="https://www.soccerstats.com/h2h.asp?league=england2&amp;fmid=7&amp;t1id=13&amp;t2id=14&amp;ly=2026" TargetMode="External"/><Relationship Id="rId108" Type="http://schemas.openxmlformats.org/officeDocument/2006/relationships/hyperlink" Target="https://www.soccerstats.com/pmatch.asp?league=belarus&amp;stats=144-16-13-2026" TargetMode="External"/><Relationship Id="rId315" Type="http://schemas.openxmlformats.org/officeDocument/2006/relationships/hyperlink" Target="https://www.soccerstats.com/h2h.asp?league=japan2&amp;fmid=18&amp;t1id=4&amp;t2id=9&amp;ly=2026" TargetMode="External"/><Relationship Id="rId522" Type="http://schemas.openxmlformats.org/officeDocument/2006/relationships/hyperlink" Target="https://www.soccerstats.com/h2h.asp?league=france2&amp;fmid=16&amp;t1id=14&amp;t2id=11&amp;ly=2026" TargetMode="External"/><Relationship Id="rId96" Type="http://schemas.openxmlformats.org/officeDocument/2006/relationships/hyperlink" Target="https://www.soccerstats.com/pmatch.asp?league=australia11&amp;stats=219-3-7-2026" TargetMode="External"/><Relationship Id="rId161" Type="http://schemas.openxmlformats.org/officeDocument/2006/relationships/hyperlink" Target="https://www.soccerstats.com/h2h.asp?league=czechrepublic&amp;fmid=31&amp;t1id=6&amp;t2id=9&amp;ly=2026" TargetMode="External"/><Relationship Id="rId399" Type="http://schemas.openxmlformats.org/officeDocument/2006/relationships/hyperlink" Target="https://www.soccerstats.com/h2h.asp?league=scotland3&amp;fmid=15&amp;t1id=9&amp;t2id=3&amp;ly=2026" TargetMode="External"/><Relationship Id="rId827" Type="http://schemas.openxmlformats.org/officeDocument/2006/relationships/hyperlink" Target="https://www.soccerstats.com/h2h.asp?league=mexico&amp;fmid=30&amp;t1id=6&amp;t2id=4&amp;ly=2026" TargetMode="External"/><Relationship Id="rId259" Type="http://schemas.openxmlformats.org/officeDocument/2006/relationships/hyperlink" Target="https://www.soccerstats.com/h2h.asp?league=germany3&amp;fmid=15&amp;t1id=8&amp;t2id=11&amp;ly=2026" TargetMode="External"/><Relationship Id="rId466" Type="http://schemas.openxmlformats.org/officeDocument/2006/relationships/hyperlink" Target="https://www.soccerstats.com/h2h.asp?league=uruguay3&amp;fmid=3&amp;t1id=5&amp;t2id=6&amp;ly=2026" TargetMode="External"/><Relationship Id="rId673" Type="http://schemas.openxmlformats.org/officeDocument/2006/relationships/hyperlink" Target="https://www.soccerstats.com/h2h.asp?league=spain2&amp;fmid=8&amp;t1id=15&amp;t2id=16&amp;ly=2026" TargetMode="External"/><Relationship Id="rId880" Type="http://schemas.openxmlformats.org/officeDocument/2006/relationships/hyperlink" Target="https://www.soccerstats.com/h2h.asp?league=slovenia&amp;fmid=22&amp;t1id=6&amp;t2id=4&amp;ly=2026" TargetMode="External"/><Relationship Id="rId23" Type="http://schemas.openxmlformats.org/officeDocument/2006/relationships/hyperlink" Target="https://www.soccerstats.com/h2h.asp?league=england3&amp;fmid=10&amp;t1id=19&amp;t2id=20&amp;ly=2026" TargetMode="External"/><Relationship Id="rId119" Type="http://schemas.openxmlformats.org/officeDocument/2006/relationships/hyperlink" Target="https://www.soccerstats.com/h2h.asp?league=bosnia&amp;fmid=9&amp;t1id=4&amp;t2id=1&amp;ly=2026" TargetMode="External"/><Relationship Id="rId326" Type="http://schemas.openxmlformats.org/officeDocument/2006/relationships/hyperlink" Target="https://www.soccerstats.com/pmatch.asp?league=kazakhstan&amp;stats=34-15-13-2026" TargetMode="External"/><Relationship Id="rId533" Type="http://schemas.openxmlformats.org/officeDocument/2006/relationships/hyperlink" Target="https://www.soccerstats.com/h2h.asp?league=netherlands2&amp;fmid=14&amp;t1id=2&amp;t2id=11&amp;ly=2026" TargetMode="External"/><Relationship Id="rId740" Type="http://schemas.openxmlformats.org/officeDocument/2006/relationships/hyperlink" Target="https://www.soccerstats.com/pmatch.asp?league=canada&amp;stats=66-8-2-2026" TargetMode="External"/><Relationship Id="rId838" Type="http://schemas.openxmlformats.org/officeDocument/2006/relationships/hyperlink" Target="https://www.soccerstats.com/pmatch.asp?league=norway&amp;stats=139-1-12-2026" TargetMode="External"/><Relationship Id="rId172" Type="http://schemas.openxmlformats.org/officeDocument/2006/relationships/hyperlink" Target="https://www.soccerstats.com/h2h.asp?league=denmark3&amp;fmid=17&amp;t1id=10&amp;t2id=8&amp;ly=2026" TargetMode="External"/><Relationship Id="rId477" Type="http://schemas.openxmlformats.org/officeDocument/2006/relationships/hyperlink" Target="https://www.soccerstats.com/pmatch.asp?league=usa2&amp;stats=239-10-3-2026" TargetMode="External"/><Relationship Id="rId600" Type="http://schemas.openxmlformats.org/officeDocument/2006/relationships/hyperlink" Target="https://www.soccerstats.com/h2h.asp?league=france3&amp;fmid=11&amp;t1id=18&amp;t2id=15&amp;ly=2026" TargetMode="External"/><Relationship Id="rId684" Type="http://schemas.openxmlformats.org/officeDocument/2006/relationships/hyperlink" Target="https://www.soccerstats.com/pmatch.asp?league=argentina3&amp;stats=440-5-32-2026" TargetMode="External"/><Relationship Id="rId337" Type="http://schemas.openxmlformats.org/officeDocument/2006/relationships/hyperlink" Target="https://www.soccerstats.com/h2h.asp?league=netherlands3&amp;fmid=7&amp;t1id=13&amp;t2id=14&amp;ly=2026" TargetMode="External"/><Relationship Id="rId891" Type="http://schemas.openxmlformats.org/officeDocument/2006/relationships/hyperlink" Target="https://www.soccerstats.com/pmatch.asp?league=sweden&amp;stats=131-14-9-2026" TargetMode="External"/><Relationship Id="rId905" Type="http://schemas.openxmlformats.org/officeDocument/2006/relationships/hyperlink" Target="https://www.soccerstats.com/h2h.asp?league=turkey&amp;fmid=8&amp;t1id=15&amp;t2id=16&amp;ly=2026" TargetMode="External"/><Relationship Id="rId34" Type="http://schemas.openxmlformats.org/officeDocument/2006/relationships/hyperlink" Target="https://www.soccerstats.com/h2h.asp?league=england4&amp;fmid=10&amp;t1id=19&amp;t2id=20&amp;ly=2026" TargetMode="External"/><Relationship Id="rId544" Type="http://schemas.openxmlformats.org/officeDocument/2006/relationships/hyperlink" Target="https://www.soccerstats.com/pmatch.asp?league=australia4&amp;stats=130-11-2-2026" TargetMode="External"/><Relationship Id="rId751" Type="http://schemas.openxmlformats.org/officeDocument/2006/relationships/hyperlink" Target="https://www.soccerstats.com/pmatch.asp?league=china2&amp;stats=152-2-8-2026" TargetMode="External"/><Relationship Id="rId849" Type="http://schemas.openxmlformats.org/officeDocument/2006/relationships/hyperlink" Target="https://www.soccerstats.com/pmatch.asp?league=norway4&amp;stats=108-5-2-2026" TargetMode="External"/><Relationship Id="rId183" Type="http://schemas.openxmlformats.org/officeDocument/2006/relationships/hyperlink" Target="https://www.soccerstats.com/h2h.asp?league=england6&amp;fmid=18&amp;t1id=12&amp;t2id=3&amp;ly=2026" TargetMode="External"/><Relationship Id="rId390" Type="http://schemas.openxmlformats.org/officeDocument/2006/relationships/hyperlink" Target="https://www.soccerstats.com/pmatch.asp?league=romania&amp;stats=35-14-16-2027" TargetMode="External"/><Relationship Id="rId404" Type="http://schemas.openxmlformats.org/officeDocument/2006/relationships/hyperlink" Target="https://www.soccerstats.com/h2h.asp?league=scotland4&amp;fmid=14&amp;t1id=2&amp;t2id=5&amp;ly=2026" TargetMode="External"/><Relationship Id="rId611" Type="http://schemas.openxmlformats.org/officeDocument/2006/relationships/hyperlink" Target="https://www.soccerstats.com/h2h.asp?league=germany6&amp;fmid=26&amp;t1id=17&amp;t2id=14&amp;ly=2026" TargetMode="External"/><Relationship Id="rId250" Type="http://schemas.openxmlformats.org/officeDocument/2006/relationships/hyperlink" Target="https://www.soccerstats.com/pmatch.asp?league=finland5&amp;stats=81-8-3-2026" TargetMode="External"/><Relationship Id="rId488" Type="http://schemas.openxmlformats.org/officeDocument/2006/relationships/hyperlink" Target="https://www.soccerstats.com/h2h.asp?league=usa7&amp;fmid=2&amp;t1id=3&amp;t2id=4&amp;ly=2026" TargetMode="External"/><Relationship Id="rId695" Type="http://schemas.openxmlformats.org/officeDocument/2006/relationships/hyperlink" Target="https://www.soccerstats.com/pmatch.asp?league=australia7&amp;stats=129-1-11-2026" TargetMode="External"/><Relationship Id="rId709" Type="http://schemas.openxmlformats.org/officeDocument/2006/relationships/hyperlink" Target="https://www.soccerstats.com/pmatch.asp?league=belarus&amp;stats=139-8-3-2026" TargetMode="External"/><Relationship Id="rId916" Type="http://schemas.openxmlformats.org/officeDocument/2006/relationships/hyperlink" Target="https://www.soccerstats.com/h2h.asp?league=uruguay3&amp;fmid=7&amp;t1id=13&amp;t2id=14&amp;ly=2026" TargetMode="External"/><Relationship Id="rId45" Type="http://schemas.openxmlformats.org/officeDocument/2006/relationships/hyperlink" Target="https://www.soccerstats.com/h2h.asp?league=england5&amp;fmid=22&amp;t1id=12&amp;t2id=19&amp;ly=2026" TargetMode="External"/><Relationship Id="rId110" Type="http://schemas.openxmlformats.org/officeDocument/2006/relationships/hyperlink" Target="https://www.soccerstats.com/h2h.asp?league=belgium&amp;fmid=12&amp;t1id=2&amp;t2id=17&amp;ly=2026" TargetMode="External"/><Relationship Id="rId348" Type="http://schemas.openxmlformats.org/officeDocument/2006/relationships/hyperlink" Target="https://www.soccerstats.com/h2h.asp?league=northmacedonia&amp;fmid=13&amp;t1id=3&amp;t2id=8&amp;ly=2026" TargetMode="External"/><Relationship Id="rId555" Type="http://schemas.openxmlformats.org/officeDocument/2006/relationships/hyperlink" Target="https://www.soccerstats.com/h2h.asp?league=azerbaijan&amp;fmid=2&amp;t1id=3&amp;t2id=4&amp;ly=2026" TargetMode="External"/><Relationship Id="rId762" Type="http://schemas.openxmlformats.org/officeDocument/2006/relationships/hyperlink" Target="https://www.soccerstats.com/h2h.asp?league=denmark&amp;fmid=19&amp;t1id=2&amp;t2id=9&amp;ly=2026" TargetMode="External"/><Relationship Id="rId194" Type="http://schemas.openxmlformats.org/officeDocument/2006/relationships/hyperlink" Target="https://www.soccerstats.com/h2h.asp?league=england7&amp;fmid=18&amp;t1id=12&amp;t2id=13&amp;ly=2026" TargetMode="External"/><Relationship Id="rId208" Type="http://schemas.openxmlformats.org/officeDocument/2006/relationships/hyperlink" Target="https://www.soccerstats.com/h2h.asp?league=england8&amp;fmid=436&amp;t1id=7&amp;t2id=11&amp;ly=2026" TargetMode="External"/><Relationship Id="rId415" Type="http://schemas.openxmlformats.org/officeDocument/2006/relationships/hyperlink" Target="https://www.soccerstats.com/h2h.asp?league=slovakia&amp;fmid=20&amp;t1id=11&amp;t2id=9&amp;ly=2026" TargetMode="External"/><Relationship Id="rId622" Type="http://schemas.openxmlformats.org/officeDocument/2006/relationships/hyperlink" Target="https://www.soccerstats.com/h2h.asp?league=germany8&amp;fmid=30&amp;t1id=12&amp;t2id=5&amp;ly=2026" TargetMode="External"/><Relationship Id="rId261" Type="http://schemas.openxmlformats.org/officeDocument/2006/relationships/hyperlink" Target="https://www.soccerstats.com/h2h.asp?league=germany3&amp;fmid=17&amp;t1id=20&amp;t2id=9&amp;ly=2026" TargetMode="External"/><Relationship Id="rId499" Type="http://schemas.openxmlformats.org/officeDocument/2006/relationships/hyperlink" Target="https://www.soccerstats.com/leagueview_team.asp?league=copasudamericana&amp;team1id=30&amp;team2id=24&amp;fmid=117" TargetMode="External"/><Relationship Id="rId927" Type="http://schemas.openxmlformats.org/officeDocument/2006/relationships/hyperlink" Target="https://www.soccerstats.com/pmatch.asp?league=usa2&amp;stats=242-25-20-2026" TargetMode="External"/><Relationship Id="rId56" Type="http://schemas.openxmlformats.org/officeDocument/2006/relationships/hyperlink" Target="https://www.soccerstats.com/h2h.asp?league=spain2&amp;fmid=3&amp;t1id=5&amp;t2id=6&amp;ly=2026" TargetMode="External"/><Relationship Id="rId359" Type="http://schemas.openxmlformats.org/officeDocument/2006/relationships/hyperlink" Target="https://www.soccerstats.com/pmatch.asp?league=norway4&amp;stats=106-12-11-2026" TargetMode="External"/><Relationship Id="rId566" Type="http://schemas.openxmlformats.org/officeDocument/2006/relationships/hyperlink" Target="https://www.soccerstats.com/pmatch.asp?league=brazil2&amp;stats=220-16-5-2026" TargetMode="External"/><Relationship Id="rId773" Type="http://schemas.openxmlformats.org/officeDocument/2006/relationships/hyperlink" Target="https://www.soccerstats.com/pmatch.asp?league=faroeislands&amp;stats=95-10-2-2026" TargetMode="External"/><Relationship Id="rId121" Type="http://schemas.openxmlformats.org/officeDocument/2006/relationships/hyperlink" Target="https://www.soccerstats.com/pmatch.asp?league=brazil&amp;stats=230-9-8-2026" TargetMode="External"/><Relationship Id="rId219" Type="http://schemas.openxmlformats.org/officeDocument/2006/relationships/hyperlink" Target="https://www.soccerstats.com/h2h.asp?league=england9&amp;fmid=25&amp;t1id=6&amp;t2id=7&amp;ly=2026" TargetMode="External"/><Relationship Id="rId426" Type="http://schemas.openxmlformats.org/officeDocument/2006/relationships/hyperlink" Target="https://www.soccerstats.com/pmatch.asp?league=southkorea&amp;stats=135-10-6-2026" TargetMode="External"/><Relationship Id="rId633" Type="http://schemas.openxmlformats.org/officeDocument/2006/relationships/hyperlink" Target="https://www.soccerstats.com/h2h.asp?league=portugal2&amp;fmid=18&amp;t1id=14&amp;t2id=9&amp;ly=2026" TargetMode="External"/><Relationship Id="rId840" Type="http://schemas.openxmlformats.org/officeDocument/2006/relationships/hyperlink" Target="https://www.soccerstats.com/pmatch.asp?league=norway2&amp;stats=143-13-2-2026" TargetMode="External"/><Relationship Id="rId938" Type="http://schemas.openxmlformats.org/officeDocument/2006/relationships/hyperlink" Target="https://www.soccerstats.com/h2h.asp?league=azerbaijan&amp;fmid=26&amp;t1id=8&amp;t2id=7&amp;ly=2026" TargetMode="External"/><Relationship Id="rId67" Type="http://schemas.openxmlformats.org/officeDocument/2006/relationships/hyperlink" Target="https://www.soccerstats.com/pmatch.asp?league=argentina2&amp;stats=74-19-29-2026" TargetMode="External"/><Relationship Id="rId272" Type="http://schemas.openxmlformats.org/officeDocument/2006/relationships/hyperlink" Target="https://www.soccerstats.com/h2h.asp?league=germany6&amp;fmid=25&amp;t1id=15&amp;t2id=12&amp;ly=2026" TargetMode="External"/><Relationship Id="rId577" Type="http://schemas.openxmlformats.org/officeDocument/2006/relationships/hyperlink" Target="https://www.soccerstats.com/pmatch.asp?league=colombia2&amp;stats=39-1-11-2026" TargetMode="External"/><Relationship Id="rId700" Type="http://schemas.openxmlformats.org/officeDocument/2006/relationships/hyperlink" Target="https://www.soccerstats.com/pmatch.asp?league=australia10&amp;stats=105-3-5-2026" TargetMode="External"/><Relationship Id="rId132" Type="http://schemas.openxmlformats.org/officeDocument/2006/relationships/hyperlink" Target="https://www.soccerstats.com/pmatch.asp?league=brazil5&amp;stats=144-7-6-2026" TargetMode="External"/><Relationship Id="rId784" Type="http://schemas.openxmlformats.org/officeDocument/2006/relationships/hyperlink" Target="https://www.soccerstats.com/pmatch.asp?league=finland3&amp;stats=119-8-10-2026" TargetMode="External"/><Relationship Id="rId437" Type="http://schemas.openxmlformats.org/officeDocument/2006/relationships/hyperlink" Target="https://www.soccerstats.com/pmatch.asp?league=sweden2&amp;stats=149-7-1-2026" TargetMode="External"/><Relationship Id="rId644" Type="http://schemas.openxmlformats.org/officeDocument/2006/relationships/hyperlink" Target="https://www.soccerstats.com/pmatch.asp?league=sweden2&amp;stats=145-6-15-2026" TargetMode="External"/><Relationship Id="rId851" Type="http://schemas.openxmlformats.org/officeDocument/2006/relationships/hyperlink" Target="https://www.soccerstats.com/pmatch.asp?league=norway4&amp;stats=110-9-4-2026" TargetMode="External"/><Relationship Id="rId283" Type="http://schemas.openxmlformats.org/officeDocument/2006/relationships/hyperlink" Target="https://www.soccerstats.com/h2h.asp?league=hungary2&amp;fmid=25&amp;t1id=8&amp;t2id=10&amp;ly=2026" TargetMode="External"/><Relationship Id="rId490" Type="http://schemas.openxmlformats.org/officeDocument/2006/relationships/hyperlink" Target="https://www.soccerstats.com/h2h.asp?league=usa7&amp;fmid=3&amp;t1id=5&amp;t2id=6&amp;ly=2026" TargetMode="External"/><Relationship Id="rId504" Type="http://schemas.openxmlformats.org/officeDocument/2006/relationships/hyperlink" Target="https://www.soccerstats.com/leagueview_team.asp?league=copalibertadores&amp;team1id=29&amp;team2id=15&amp;fmid=101" TargetMode="External"/><Relationship Id="rId711" Type="http://schemas.openxmlformats.org/officeDocument/2006/relationships/hyperlink" Target="https://www.soccerstats.com/h2h.asp?league=belgium&amp;fmid=15&amp;t1id=18&amp;t2id=15&amp;ly=2026" TargetMode="External"/><Relationship Id="rId78" Type="http://schemas.openxmlformats.org/officeDocument/2006/relationships/hyperlink" Target="https://www.soccerstats.com/pmatch.asp?league=australia3&amp;stats=162-3-1-2026" TargetMode="External"/><Relationship Id="rId143" Type="http://schemas.openxmlformats.org/officeDocument/2006/relationships/hyperlink" Target="https://www.soccerstats.com/pmatch.asp?league=china&amp;stats=180-4-2-2026" TargetMode="External"/><Relationship Id="rId350" Type="http://schemas.openxmlformats.org/officeDocument/2006/relationships/hyperlink" Target="https://www.soccerstats.com/h2h.asp?league=northmacedonia&amp;fmid=12&amp;t1id=1&amp;t2id=6&amp;ly=2026" TargetMode="External"/><Relationship Id="rId588" Type="http://schemas.openxmlformats.org/officeDocument/2006/relationships/hyperlink" Target="https://www.soccerstats.com/h2h.asp?league=denmark3&amp;fmid=14&amp;t1id=1&amp;t2id=4&amp;ly=2026" TargetMode="External"/><Relationship Id="rId795" Type="http://schemas.openxmlformats.org/officeDocument/2006/relationships/hyperlink" Target="https://www.soccerstats.com/h2h.asp?league=germany4&amp;fmid=29&amp;t1id=6&amp;t2id=1&amp;ly=2026" TargetMode="External"/><Relationship Id="rId809" Type="http://schemas.openxmlformats.org/officeDocument/2006/relationships/hyperlink" Target="https://www.soccerstats.com/h2h.asp?league=hungary2&amp;fmid=31&amp;t1id=12&amp;t2id=5&amp;ly=2026" TargetMode="External"/><Relationship Id="rId9" Type="http://schemas.openxmlformats.org/officeDocument/2006/relationships/hyperlink" Target="https://www.soccerstats.com/h2h.asp?league=portugal&amp;fmid=11&amp;t1id=14&amp;t2id=7&amp;ly=2026" TargetMode="External"/><Relationship Id="rId210" Type="http://schemas.openxmlformats.org/officeDocument/2006/relationships/hyperlink" Target="https://www.soccerstats.com/h2h.asp?league=england8&amp;fmid=445&amp;t1id=21&amp;t2id=1&amp;ly=2026" TargetMode="External"/><Relationship Id="rId448" Type="http://schemas.openxmlformats.org/officeDocument/2006/relationships/hyperlink" Target="https://www.soccerstats.com/pmatch.asp?league=sweden4&amp;stats=132-12-14-2026" TargetMode="External"/><Relationship Id="rId655" Type="http://schemas.openxmlformats.org/officeDocument/2006/relationships/hyperlink" Target="https://www.soccerstats.com/h2h.asp?league=wales&amp;fmid=20&amp;t1id=15&amp;t2id=4&amp;ly=2026" TargetMode="External"/><Relationship Id="rId862" Type="http://schemas.openxmlformats.org/officeDocument/2006/relationships/hyperlink" Target="https://www.soccerstats.com/h2h.asp?league=poland2&amp;fmid=30&amp;t1id=14&amp;t2id=1&amp;ly=2026" TargetMode="External"/><Relationship Id="rId294" Type="http://schemas.openxmlformats.org/officeDocument/2006/relationships/hyperlink" Target="https://www.soccerstats.com/pmatch.asp?league=ireland3&amp;stats=86-7-5-2026" TargetMode="External"/><Relationship Id="rId308" Type="http://schemas.openxmlformats.org/officeDocument/2006/relationships/hyperlink" Target="https://www.soccerstats.com/h2h.asp?league=japan&amp;fmid=17&amp;t1id=6&amp;t2id=11&amp;ly=2026" TargetMode="External"/><Relationship Id="rId515" Type="http://schemas.openxmlformats.org/officeDocument/2006/relationships/hyperlink" Target="https://www.soccerstats.com/h2h.asp?league=southafrica&amp;fmid=12&amp;t1id=6&amp;t2id=13&amp;ly=2026" TargetMode="External"/><Relationship Id="rId722" Type="http://schemas.openxmlformats.org/officeDocument/2006/relationships/hyperlink" Target="https://www.soccerstats.com/pmatch.asp?league=brazil&amp;stats=227-17-20-2026" TargetMode="External"/><Relationship Id="rId89" Type="http://schemas.openxmlformats.org/officeDocument/2006/relationships/hyperlink" Target="https://www.soccerstats.com/pmatch.asp?league=australia6&amp;stats=130-12-3-2026" TargetMode="External"/><Relationship Id="rId154" Type="http://schemas.openxmlformats.org/officeDocument/2006/relationships/hyperlink" Target="https://www.soccerstats.com/h2h.asp?league=costarica&amp;fmid=17&amp;t1id=8&amp;t2id=2&amp;ly=2026" TargetMode="External"/><Relationship Id="rId361" Type="http://schemas.openxmlformats.org/officeDocument/2006/relationships/hyperlink" Target="https://www.soccerstats.com/pmatch.asp?league=norway11&amp;stats=72-9-8-2026" TargetMode="External"/><Relationship Id="rId599" Type="http://schemas.openxmlformats.org/officeDocument/2006/relationships/hyperlink" Target="https://www.soccerstats.com/h2h.asp?league=france3&amp;fmid=14&amp;t1id=12&amp;t2id=9&amp;ly=2026" TargetMode="External"/><Relationship Id="rId459" Type="http://schemas.openxmlformats.org/officeDocument/2006/relationships/hyperlink" Target="https://www.soccerstats.com/h2h.asp?league=turkey2&amp;fmid=16&amp;t1id=4&amp;t2id=15&amp;ly=2026" TargetMode="External"/><Relationship Id="rId666" Type="http://schemas.openxmlformats.org/officeDocument/2006/relationships/hyperlink" Target="https://www.soccerstats.com/h2h.asp?league=portugal&amp;fmid=12&amp;t1id=6&amp;t2id=15&amp;ly=2026" TargetMode="External"/><Relationship Id="rId873" Type="http://schemas.openxmlformats.org/officeDocument/2006/relationships/hyperlink" Target="https://www.soccerstats.com/pmatch.asp?league=romania&amp;stats=34-5-7-2027" TargetMode="External"/><Relationship Id="rId16" Type="http://schemas.openxmlformats.org/officeDocument/2006/relationships/hyperlink" Target="https://www.soccerstats.com/h2h.asp?league=england2&amp;fmid=3&amp;t1id=5&amp;t2id=6&amp;ly=2026" TargetMode="External"/><Relationship Id="rId221" Type="http://schemas.openxmlformats.org/officeDocument/2006/relationships/hyperlink" Target="https://www.soccerstats.com/h2h.asp?league=england10&amp;fmid=33&amp;t1id=16&amp;t2id=13&amp;ly=2026" TargetMode="External"/><Relationship Id="rId319" Type="http://schemas.openxmlformats.org/officeDocument/2006/relationships/hyperlink" Target="https://www.soccerstats.com/h2h.asp?league=japan3&amp;fmid=16&amp;t1id=8&amp;t2id=5&amp;ly=2026" TargetMode="External"/><Relationship Id="rId526" Type="http://schemas.openxmlformats.org/officeDocument/2006/relationships/hyperlink" Target="https://www.soccerstats.com/h2h.asp?league=france2&amp;fmid=12&amp;t1id=8&amp;t2id=1&amp;ly=2026" TargetMode="External"/><Relationship Id="rId733" Type="http://schemas.openxmlformats.org/officeDocument/2006/relationships/hyperlink" Target="https://www.soccerstats.com/h2h.asp?league=bulgaria&amp;fmid=33&amp;t1id=12&amp;t2id=9&amp;ly=2026" TargetMode="External"/><Relationship Id="rId165" Type="http://schemas.openxmlformats.org/officeDocument/2006/relationships/hyperlink" Target="https://www.soccerstats.com/h2h.asp?league=czechrepublic2&amp;fmid=28&amp;t1id=4&amp;t2id=16&amp;ly=2026" TargetMode="External"/><Relationship Id="rId372" Type="http://schemas.openxmlformats.org/officeDocument/2006/relationships/hyperlink" Target="https://www.soccerstats.com/pmatch.asp?league=peru2&amp;stats=39-1-10-2026" TargetMode="External"/><Relationship Id="rId677" Type="http://schemas.openxmlformats.org/officeDocument/2006/relationships/hyperlink" Target="https://www.soccerstats.com/h2h.asp?league=germany2&amp;fmid=17&amp;t1id=16&amp;t2id=7&amp;ly=2026" TargetMode="External"/><Relationship Id="rId800" Type="http://schemas.openxmlformats.org/officeDocument/2006/relationships/hyperlink" Target="https://www.soccerstats.com/h2h.asp?league=germany6&amp;fmid=22&amp;t1id=9&amp;t2id=6&amp;ly=2026" TargetMode="External"/><Relationship Id="rId232" Type="http://schemas.openxmlformats.org/officeDocument/2006/relationships/hyperlink" Target="https://www.soccerstats.com/pmatch.asp?league=estonia2&amp;stats=161-10-7-2026" TargetMode="External"/><Relationship Id="rId884" Type="http://schemas.openxmlformats.org/officeDocument/2006/relationships/hyperlink" Target="https://www.soccerstats.com/pmatch.asp?league=southkorea&amp;stats=137-8-7-2026" TargetMode="External"/><Relationship Id="rId27" Type="http://schemas.openxmlformats.org/officeDocument/2006/relationships/hyperlink" Target="https://www.soccerstats.com/h2h.asp?league=england3&amp;fmid=6&amp;t1id=11&amp;t2id=12&amp;ly=2026" TargetMode="External"/><Relationship Id="rId537" Type="http://schemas.openxmlformats.org/officeDocument/2006/relationships/hyperlink" Target="https://www.soccerstats.com/pmatch.asp?league=argentina2&amp;stats=64-9-16-2026" TargetMode="External"/><Relationship Id="rId744" Type="http://schemas.openxmlformats.org/officeDocument/2006/relationships/hyperlink" Target="https://www.soccerstats.com/pmatch.asp?league=chile&amp;stats=151-5-9-2026" TargetMode="External"/><Relationship Id="rId80" Type="http://schemas.openxmlformats.org/officeDocument/2006/relationships/hyperlink" Target="https://www.soccerstats.com/pmatch.asp?league=australia3&amp;stats=167-7-5-2026" TargetMode="External"/><Relationship Id="rId176" Type="http://schemas.openxmlformats.org/officeDocument/2006/relationships/hyperlink" Target="https://www.soccerstats.com/pmatch.asp?league=ecuador&amp;stats=194-14-5-2026" TargetMode="External"/><Relationship Id="rId383" Type="http://schemas.openxmlformats.org/officeDocument/2006/relationships/hyperlink" Target="https://www.soccerstats.com/h2h.asp?league=poland3&amp;fmid=32&amp;t1id=4&amp;t2id=17&amp;ly=2026" TargetMode="External"/><Relationship Id="rId590" Type="http://schemas.openxmlformats.org/officeDocument/2006/relationships/hyperlink" Target="https://www.soccerstats.com/h2h.asp?league=england7&amp;fmid=21&amp;t1id=20&amp;t2id=17&amp;ly=2026" TargetMode="External"/><Relationship Id="rId604" Type="http://schemas.openxmlformats.org/officeDocument/2006/relationships/hyperlink" Target="https://www.soccerstats.com/h2h.asp?league=germany3&amp;fmid=11&amp;t1id=12&amp;t2id=7&amp;ly=2026" TargetMode="External"/><Relationship Id="rId811" Type="http://schemas.openxmlformats.org/officeDocument/2006/relationships/hyperlink" Target="https://www.soccerstats.com/pmatch.asp?league=iceland&amp;stats=111-6-1-2026" TargetMode="External"/><Relationship Id="rId243" Type="http://schemas.openxmlformats.org/officeDocument/2006/relationships/hyperlink" Target="https://www.soccerstats.com/pmatch.asp?league=finland4&amp;stats=82-3-5-2026" TargetMode="External"/><Relationship Id="rId450" Type="http://schemas.openxmlformats.org/officeDocument/2006/relationships/hyperlink" Target="https://www.soccerstats.com/pmatch.asp?league=sweden11&amp;stats=93-8-7-2026" TargetMode="External"/><Relationship Id="rId688" Type="http://schemas.openxmlformats.org/officeDocument/2006/relationships/hyperlink" Target="https://www.soccerstats.com/pmatch.asp?league=argentina3&amp;stats=443-35-2-2026" TargetMode="External"/><Relationship Id="rId895" Type="http://schemas.openxmlformats.org/officeDocument/2006/relationships/hyperlink" Target="https://www.soccerstats.com/pmatch.asp?league=sweden&amp;stats=129-5-3-2026" TargetMode="External"/><Relationship Id="rId909" Type="http://schemas.openxmlformats.org/officeDocument/2006/relationships/hyperlink" Target="https://www.soccerstats.com/h2h.asp?league=turkey2&amp;fmid=12&amp;t1id=8&amp;t2id=9&amp;ly=2026" TargetMode="External"/><Relationship Id="rId38" Type="http://schemas.openxmlformats.org/officeDocument/2006/relationships/hyperlink" Target="https://www.soccerstats.com/h2h.asp?league=england4&amp;fmid=6&amp;t1id=11&amp;t2id=12&amp;ly=2026" TargetMode="External"/><Relationship Id="rId103" Type="http://schemas.openxmlformats.org/officeDocument/2006/relationships/hyperlink" Target="https://www.soccerstats.com/h2h.asp?league=austria2&amp;fmid=24&amp;t1id=7&amp;t2id=16&amp;ly=2026" TargetMode="External"/><Relationship Id="rId310" Type="http://schemas.openxmlformats.org/officeDocument/2006/relationships/hyperlink" Target="https://www.soccerstats.com/h2h.asp?league=japan2&amp;fmid=11&amp;t1id=20&amp;t2id=5&amp;ly=2026" TargetMode="External"/><Relationship Id="rId548" Type="http://schemas.openxmlformats.org/officeDocument/2006/relationships/hyperlink" Target="https://www.soccerstats.com/pmatch.asp?league=australia4&amp;stats=128-7-12-2026" TargetMode="External"/><Relationship Id="rId755" Type="http://schemas.openxmlformats.org/officeDocument/2006/relationships/hyperlink" Target="https://www.soccerstats.com/pmatch.asp?league=colombia2&amp;stats=43-14-18-2026" TargetMode="External"/><Relationship Id="rId91" Type="http://schemas.openxmlformats.org/officeDocument/2006/relationships/hyperlink" Target="https://www.soccerstats.com/pmatch.asp?league=australia6&amp;stats=129-8-6-2026" TargetMode="External"/><Relationship Id="rId187" Type="http://schemas.openxmlformats.org/officeDocument/2006/relationships/hyperlink" Target="https://www.soccerstats.com/h2h.asp?league=england6&amp;fmid=14&amp;t1id=8&amp;t2id=9&amp;ly=2026" TargetMode="External"/><Relationship Id="rId394" Type="http://schemas.openxmlformats.org/officeDocument/2006/relationships/hyperlink" Target="https://www.soccerstats.com/h2h.asp?league=russia&amp;fmid=28&amp;t1id=12&amp;t2id=15&amp;ly=2026" TargetMode="External"/><Relationship Id="rId408" Type="http://schemas.openxmlformats.org/officeDocument/2006/relationships/hyperlink" Target="https://www.soccerstats.com/h2h.asp?league=serbia&amp;fmid=32&amp;t1id=9&amp;t2id=14&amp;ly=2026" TargetMode="External"/><Relationship Id="rId615" Type="http://schemas.openxmlformats.org/officeDocument/2006/relationships/hyperlink" Target="https://www.soccerstats.com/h2h.asp?league=germany8&amp;fmid=28&amp;t1id=3&amp;t2id=11&amp;ly=2026" TargetMode="External"/><Relationship Id="rId822" Type="http://schemas.openxmlformats.org/officeDocument/2006/relationships/hyperlink" Target="https://www.soccerstats.com/pmatch.asp?league=kazakhstan&amp;stats=38-7-1-2026" TargetMode="External"/><Relationship Id="rId254" Type="http://schemas.openxmlformats.org/officeDocument/2006/relationships/hyperlink" Target="https://www.soccerstats.com/pmatch.asp?league=georgia&amp;stats=101-5-8-2026" TargetMode="External"/><Relationship Id="rId699" Type="http://schemas.openxmlformats.org/officeDocument/2006/relationships/hyperlink" Target="https://www.soccerstats.com/pmatch.asp?league=australia10&amp;stats=104-8-4-2026" TargetMode="External"/><Relationship Id="rId49" Type="http://schemas.openxmlformats.org/officeDocument/2006/relationships/hyperlink" Target="https://www.soccerstats.com/h2h.asp?league=england5&amp;fmid=17&amp;t1id=2&amp;t2id=21&amp;ly=2026" TargetMode="External"/><Relationship Id="rId114" Type="http://schemas.openxmlformats.org/officeDocument/2006/relationships/hyperlink" Target="https://www.soccerstats.com/h2h.asp?league=belgium2&amp;fmid=4&amp;t1id=7&amp;t2id=8&amp;ly=2026" TargetMode="External"/><Relationship Id="rId461" Type="http://schemas.openxmlformats.org/officeDocument/2006/relationships/hyperlink" Target="https://www.soccerstats.com/h2h.asp?league=turkey2&amp;fmid=14&amp;t1id=2&amp;t2id=17&amp;ly=2026" TargetMode="External"/><Relationship Id="rId559" Type="http://schemas.openxmlformats.org/officeDocument/2006/relationships/hyperlink" Target="https://www.soccerstats.com/h2h.asp?league=azerbaijan&amp;fmid=6&amp;t1id=11&amp;t2id=12&amp;ly=2026" TargetMode="External"/><Relationship Id="rId766" Type="http://schemas.openxmlformats.org/officeDocument/2006/relationships/hyperlink" Target="https://www.soccerstats.com/pmatch.asp?league=ecuador&amp;stats=200-8-9-2026" TargetMode="External"/><Relationship Id="rId198" Type="http://schemas.openxmlformats.org/officeDocument/2006/relationships/hyperlink" Target="https://www.soccerstats.com/h2h.asp?league=england7&amp;fmid=14&amp;t1id=16&amp;t2id=11&amp;ly=2026" TargetMode="External"/><Relationship Id="rId321" Type="http://schemas.openxmlformats.org/officeDocument/2006/relationships/hyperlink" Target="https://www.soccerstats.com/h2h.asp?league=japan3&amp;fmid=14&amp;t1id=4&amp;t2id=1&amp;ly=2026" TargetMode="External"/><Relationship Id="rId419" Type="http://schemas.openxmlformats.org/officeDocument/2006/relationships/hyperlink" Target="https://www.soccerstats.com/h2h.asp?league=slovenia&amp;fmid=24&amp;t1id=1&amp;t2id=3&amp;ly=2026" TargetMode="External"/><Relationship Id="rId626" Type="http://schemas.openxmlformats.org/officeDocument/2006/relationships/hyperlink" Target="https://www.soccerstats.com/pmatch.asp?league=norway&amp;stats=140-6-4-2026" TargetMode="External"/><Relationship Id="rId833" Type="http://schemas.openxmlformats.org/officeDocument/2006/relationships/hyperlink" Target="https://www.soccerstats.com/h2h.asp?league=montenegro&amp;fmid=15&amp;t1id=7&amp;t2id=10&amp;ly=2026" TargetMode="External"/><Relationship Id="rId265" Type="http://schemas.openxmlformats.org/officeDocument/2006/relationships/hyperlink" Target="https://www.soccerstats.com/h2h.asp?league=germany4&amp;fmid=35&amp;t1id=4&amp;t2id=7&amp;ly=2026" TargetMode="External"/><Relationship Id="rId472" Type="http://schemas.openxmlformats.org/officeDocument/2006/relationships/hyperlink" Target="https://www.soccerstats.com/pmatch.asp?league=usa&amp;stats=276-16-12-2026" TargetMode="External"/><Relationship Id="rId900" Type="http://schemas.openxmlformats.org/officeDocument/2006/relationships/hyperlink" Target="https://www.soccerstats.com/pmatch.asp?league=sweden4&amp;stats=135-2-11-2026" TargetMode="External"/><Relationship Id="rId125" Type="http://schemas.openxmlformats.org/officeDocument/2006/relationships/hyperlink" Target="https://www.soccerstats.com/pmatch.asp?league=brazil2&amp;stats=216-11-3-2026" TargetMode="External"/><Relationship Id="rId332" Type="http://schemas.openxmlformats.org/officeDocument/2006/relationships/hyperlink" Target="https://www.soccerstats.com/h2h.asp?league=netherlands3&amp;fmid=6&amp;t1id=11&amp;t2id=12&amp;ly=2026" TargetMode="External"/><Relationship Id="rId777" Type="http://schemas.openxmlformats.org/officeDocument/2006/relationships/hyperlink" Target="https://www.soccerstats.com/pmatch.asp?league=faroeislands&amp;stats=93-9-6-2026" TargetMode="External"/><Relationship Id="rId637" Type="http://schemas.openxmlformats.org/officeDocument/2006/relationships/hyperlink" Target="https://www.soccerstats.com/h2h.asp?league=saudiarabia&amp;fmid=4&amp;t1id=7&amp;t2id=8&amp;ly=2026" TargetMode="External"/><Relationship Id="rId844" Type="http://schemas.openxmlformats.org/officeDocument/2006/relationships/hyperlink" Target="https://www.soccerstats.com/pmatch.asp?league=norway2&amp;stats=137-8-16-2026" TargetMode="External"/><Relationship Id="rId276" Type="http://schemas.openxmlformats.org/officeDocument/2006/relationships/hyperlink" Target="https://www.soccerstats.com/h2h.asp?league=germany7&amp;fmid=14&amp;t1id=10&amp;t2id=17&amp;ly=2026" TargetMode="External"/><Relationship Id="rId483" Type="http://schemas.openxmlformats.org/officeDocument/2006/relationships/hyperlink" Target="https://www.soccerstats.com/pmatch.asp?league=usa6&amp;stats=148-4-5-2026" TargetMode="External"/><Relationship Id="rId690" Type="http://schemas.openxmlformats.org/officeDocument/2006/relationships/hyperlink" Target="https://www.soccerstats.com/pmatch.asp?league=argentina3&amp;stats=442-6-31-2026" TargetMode="External"/><Relationship Id="rId704" Type="http://schemas.openxmlformats.org/officeDocument/2006/relationships/hyperlink" Target="https://www.soccerstats.com/h2h.asp?league=austria&amp;fmid=17&amp;t1id=6&amp;t2id=10&amp;ly=2026" TargetMode="External"/><Relationship Id="rId911" Type="http://schemas.openxmlformats.org/officeDocument/2006/relationships/hyperlink" Target="https://www.soccerstats.com/h2h.asp?league=ukraine&amp;fmid=18&amp;t1id=14&amp;t2id=7&amp;ly=2026" TargetMode="External"/><Relationship Id="rId40" Type="http://schemas.openxmlformats.org/officeDocument/2006/relationships/hyperlink" Target="https://www.soccerstats.com/h2h.asp?league=england4&amp;fmid=4&amp;t1id=7&amp;t2id=8&amp;ly=2026" TargetMode="External"/><Relationship Id="rId136" Type="http://schemas.openxmlformats.org/officeDocument/2006/relationships/hyperlink" Target="https://www.soccerstats.com/pmatch.asp?league=brazil5&amp;stats=143-17-14-2026" TargetMode="External"/><Relationship Id="rId343" Type="http://schemas.openxmlformats.org/officeDocument/2006/relationships/hyperlink" Target="https://www.soccerstats.com/h2h.asp?league=northernireland&amp;fmid=8&amp;t1id=4&amp;t2id=7&amp;ly=2026" TargetMode="External"/><Relationship Id="rId550" Type="http://schemas.openxmlformats.org/officeDocument/2006/relationships/hyperlink" Target="https://www.soccerstats.com/pmatch.asp?league=australia5&amp;stats=115-1-6-2026" TargetMode="External"/><Relationship Id="rId788" Type="http://schemas.openxmlformats.org/officeDocument/2006/relationships/hyperlink" Target="https://www.soccerstats.com/pmatch.asp?league=georgia&amp;stats=105-7-2-2026" TargetMode="External"/><Relationship Id="rId203" Type="http://schemas.openxmlformats.org/officeDocument/2006/relationships/hyperlink" Target="https://www.soccerstats.com/h2h.asp?league=england8&amp;fmid=441&amp;t1id=8&amp;t2id=5&amp;ly=2026" TargetMode="External"/><Relationship Id="rId648" Type="http://schemas.openxmlformats.org/officeDocument/2006/relationships/hyperlink" Target="https://www.soccerstats.com/pmatch.asp?league=sweden11&amp;stats=92-10-9-2026" TargetMode="External"/><Relationship Id="rId855" Type="http://schemas.openxmlformats.org/officeDocument/2006/relationships/hyperlink" Target="https://www.soccerstats.com/h2h.asp?league=paraguay2&amp;fmid=29&amp;t1id=10&amp;t2id=6&amp;ly=2026" TargetMode="External"/><Relationship Id="rId287" Type="http://schemas.openxmlformats.org/officeDocument/2006/relationships/hyperlink" Target="https://www.soccerstats.com/h2h.asp?league=hungary2&amp;fmid=27&amp;t1id=6&amp;t2id=15&amp;ly=2026" TargetMode="External"/><Relationship Id="rId410" Type="http://schemas.openxmlformats.org/officeDocument/2006/relationships/hyperlink" Target="https://www.soccerstats.com/h2h.asp?league=serbia&amp;fmid=34&amp;t1id=7&amp;t2id=13&amp;ly=2026" TargetMode="External"/><Relationship Id="rId494" Type="http://schemas.openxmlformats.org/officeDocument/2006/relationships/hyperlink" Target="https://www.soccerstats.com/pmatch.asp?league=australia7&amp;stats=91-7-10-2026" TargetMode="External"/><Relationship Id="rId508" Type="http://schemas.openxmlformats.org/officeDocument/2006/relationships/hyperlink" Target="https://www.soccerstats.com/h2h.asp?league=germany4&amp;fmid=22&amp;t1id=11&amp;t2id=6&amp;ly=2026" TargetMode="External"/><Relationship Id="rId715" Type="http://schemas.openxmlformats.org/officeDocument/2006/relationships/hyperlink" Target="https://www.soccerstats.com/h2h.asp?league=belgium2&amp;fmid=6&amp;t1id=11&amp;t2id=12&amp;ly=2026" TargetMode="External"/><Relationship Id="rId922" Type="http://schemas.openxmlformats.org/officeDocument/2006/relationships/hyperlink" Target="https://www.soccerstats.com/pmatch.asp?league=usa&amp;stats=284-21-1-2026" TargetMode="External"/><Relationship Id="rId147" Type="http://schemas.openxmlformats.org/officeDocument/2006/relationships/hyperlink" Target="https://www.soccerstats.com/pmatch.asp?league=china&amp;stats=184-9-8-2026" TargetMode="External"/><Relationship Id="rId354" Type="http://schemas.openxmlformats.org/officeDocument/2006/relationships/hyperlink" Target="https://www.soccerstats.com/pmatch.asp?league=norway2&amp;stats=139-5-1-2026" TargetMode="External"/><Relationship Id="rId799" Type="http://schemas.openxmlformats.org/officeDocument/2006/relationships/hyperlink" Target="https://www.soccerstats.com/pmatch.asp?league=germany5&amp;stats=37-8-2-2027" TargetMode="External"/><Relationship Id="rId51" Type="http://schemas.openxmlformats.org/officeDocument/2006/relationships/hyperlink" Target="https://www.soccerstats.com/h2h.asp?league=england5&amp;fmid=15&amp;t1id=24&amp;t2id=9&amp;ly=2026" TargetMode="External"/><Relationship Id="rId561" Type="http://schemas.openxmlformats.org/officeDocument/2006/relationships/hyperlink" Target="https://www.soccerstats.com/pmatch.asp?league=belarus&amp;stats=141-12-7-2026" TargetMode="External"/><Relationship Id="rId659" Type="http://schemas.openxmlformats.org/officeDocument/2006/relationships/hyperlink" Target="https://www.soccerstats.com/h2h.asp?league=spain&amp;fmid=3&amp;t1id=5&amp;t2id=6&amp;ly=2026" TargetMode="External"/><Relationship Id="rId866" Type="http://schemas.openxmlformats.org/officeDocument/2006/relationships/hyperlink" Target="https://www.soccerstats.com/h2h.asp?league=poland3&amp;fmid=36&amp;t1id=12&amp;t2id=5&amp;ly=2026" TargetMode="External"/><Relationship Id="rId214" Type="http://schemas.openxmlformats.org/officeDocument/2006/relationships/hyperlink" Target="https://www.soccerstats.com/h2h.asp?league=england9&amp;fmid=30&amp;t1id=2&amp;t2id=13&amp;ly=2026" TargetMode="External"/><Relationship Id="rId298" Type="http://schemas.openxmlformats.org/officeDocument/2006/relationships/hyperlink" Target="https://www.soccerstats.com/pmatch.asp?league=ireland3&amp;stats=89-4-2-2026" TargetMode="External"/><Relationship Id="rId421" Type="http://schemas.openxmlformats.org/officeDocument/2006/relationships/hyperlink" Target="https://www.soccerstats.com/h2h.asp?league=southafrica&amp;fmid=18&amp;t1id=2&amp;t2id=13&amp;ly=2026" TargetMode="External"/><Relationship Id="rId519" Type="http://schemas.openxmlformats.org/officeDocument/2006/relationships/hyperlink" Target="https://www.soccerstats.com/h2h.asp?league=spain2&amp;fmid=1&amp;t1id=1&amp;t2id=2&amp;ly=2026" TargetMode="External"/><Relationship Id="rId158" Type="http://schemas.openxmlformats.org/officeDocument/2006/relationships/hyperlink" Target="https://www.soccerstats.com/h2h.asp?league=czechrepublic&amp;fmid=29&amp;t1id=2&amp;t2id=11&amp;ly=2026" TargetMode="External"/><Relationship Id="rId726" Type="http://schemas.openxmlformats.org/officeDocument/2006/relationships/hyperlink" Target="https://www.soccerstats.com/pmatch.asp?league=brazil3&amp;stats=164-4-20-2026" TargetMode="External"/><Relationship Id="rId933" Type="http://schemas.openxmlformats.org/officeDocument/2006/relationships/hyperlink" Target="https://www.soccerstats.com/pmatch.asp?league=usa3&amp;stats=198-12-14-2026" TargetMode="External"/><Relationship Id="rId62" Type="http://schemas.openxmlformats.org/officeDocument/2006/relationships/hyperlink" Target="https://www.soccerstats.com/h2h.asp?league=netherlands2&amp;fmid=17&amp;t1id=18&amp;t2id=5&amp;ly=2026" TargetMode="External"/><Relationship Id="rId365" Type="http://schemas.openxmlformats.org/officeDocument/2006/relationships/hyperlink" Target="https://www.soccerstats.com/h2h.asp?league=paraguay2&amp;fmid=27&amp;t1id=9&amp;t2id=2&amp;ly=2026" TargetMode="External"/><Relationship Id="rId572" Type="http://schemas.openxmlformats.org/officeDocument/2006/relationships/hyperlink" Target="https://www.soccerstats.com/pmatch.asp?league=chile2&amp;stats=155-15-2-2026" TargetMode="External"/><Relationship Id="rId225" Type="http://schemas.openxmlformats.org/officeDocument/2006/relationships/hyperlink" Target="https://www.soccerstats.com/h2h.asp?league=england10&amp;fmid=29&amp;t1id=6&amp;t2id=7&amp;ly=2026" TargetMode="External"/><Relationship Id="rId432" Type="http://schemas.openxmlformats.org/officeDocument/2006/relationships/hyperlink" Target="https://www.soccerstats.com/pmatch.asp?league=southkorea2&amp;stats=170-3-6-2026" TargetMode="External"/><Relationship Id="rId877" Type="http://schemas.openxmlformats.org/officeDocument/2006/relationships/hyperlink" Target="https://www.soccerstats.com/h2h.asp?league=slovakia&amp;fmid=23&amp;t1id=1&amp;t2id=6&amp;ly=2026" TargetMode="External"/><Relationship Id="rId737" Type="http://schemas.openxmlformats.org/officeDocument/2006/relationships/hyperlink" Target="https://www.soccerstats.com/h2h.asp?league=bulgaria2&amp;fmid=29&amp;t1id=17&amp;t2id=11&amp;ly=2026" TargetMode="External"/><Relationship Id="rId73" Type="http://schemas.openxmlformats.org/officeDocument/2006/relationships/hyperlink" Target="https://www.soccerstats.com/pmatch.asp?league=argentina3&amp;stats=441-34-3-2026" TargetMode="External"/><Relationship Id="rId169" Type="http://schemas.openxmlformats.org/officeDocument/2006/relationships/hyperlink" Target="https://www.soccerstats.com/h2h.asp?league=denmark2&amp;fmid=21&amp;t1id=4&amp;t2id=12&amp;ly=2026" TargetMode="External"/><Relationship Id="rId376" Type="http://schemas.openxmlformats.org/officeDocument/2006/relationships/hyperlink" Target="https://www.soccerstats.com/h2h.asp?league=poland&amp;fmid=29&amp;t1id=17&amp;t2id=8&amp;ly=2026" TargetMode="External"/><Relationship Id="rId583" Type="http://schemas.openxmlformats.org/officeDocument/2006/relationships/hyperlink" Target="https://www.soccerstats.com/h2h.asp?league=denmark&amp;fmid=17&amp;t1id=1&amp;t2id=3&amp;ly=2026" TargetMode="External"/><Relationship Id="rId790" Type="http://schemas.openxmlformats.org/officeDocument/2006/relationships/hyperlink" Target="https://www.soccerstats.com/h2h.asp?league=germany3&amp;fmid=18&amp;t1id=16&amp;t2id=1&amp;ly=2026" TargetMode="External"/><Relationship Id="rId804" Type="http://schemas.openxmlformats.org/officeDocument/2006/relationships/hyperlink" Target="https://www.soccerstats.com/h2h.asp?league=guatemala&amp;fmid=20&amp;t1id=12&amp;t2id=9&amp;ly=2026" TargetMode="External"/><Relationship Id="rId4" Type="http://schemas.openxmlformats.org/officeDocument/2006/relationships/hyperlink" Target="https://www.soccerstats.com/h2h.asp?league=netherlands&amp;fmid=12&amp;t1id=16&amp;t2id=9&amp;ly=2026" TargetMode="External"/><Relationship Id="rId236" Type="http://schemas.openxmlformats.org/officeDocument/2006/relationships/hyperlink" Target="https://www.soccerstats.com/pmatch.asp?league=finland&amp;stats=118-9-4-2026" TargetMode="External"/><Relationship Id="rId443" Type="http://schemas.openxmlformats.org/officeDocument/2006/relationships/hyperlink" Target="https://www.soccerstats.com/pmatch.asp?league=sweden3&amp;stats=133-13-11-2026" TargetMode="External"/><Relationship Id="rId650" Type="http://schemas.openxmlformats.org/officeDocument/2006/relationships/hyperlink" Target="https://www.soccerstats.com/h2h.asp?league=turkey2&amp;fmid=15&amp;t1id=6&amp;t2id=11&amp;ly=2026" TargetMode="External"/><Relationship Id="rId888" Type="http://schemas.openxmlformats.org/officeDocument/2006/relationships/hyperlink" Target="https://www.soccerstats.com/pmatch.asp?league=southkorea2&amp;stats=174-17-10-2026" TargetMode="External"/><Relationship Id="rId303" Type="http://schemas.openxmlformats.org/officeDocument/2006/relationships/hyperlink" Target="https://www.soccerstats.com/h2h.asp?league=japan&amp;fmid=15&amp;t1id=8&amp;t2id=19&amp;ly=2026" TargetMode="External"/><Relationship Id="rId748" Type="http://schemas.openxmlformats.org/officeDocument/2006/relationships/hyperlink" Target="https://www.soccerstats.com/pmatch.asp?league=chile2&amp;stats=167-8-13-2026" TargetMode="External"/><Relationship Id="rId84" Type="http://schemas.openxmlformats.org/officeDocument/2006/relationships/hyperlink" Target="https://www.soccerstats.com/pmatch.asp?league=australia5&amp;stats=120-3-7-2026" TargetMode="External"/><Relationship Id="rId387" Type="http://schemas.openxmlformats.org/officeDocument/2006/relationships/hyperlink" Target="https://www.soccerstats.com/h2h.asp?league=portugal2&amp;fmid=10&amp;t1id=12&amp;t2id=5&amp;ly=2026" TargetMode="External"/><Relationship Id="rId510" Type="http://schemas.openxmlformats.org/officeDocument/2006/relationships/hyperlink" Target="https://www.soccerstats.com/h2h.asp?league=germany4&amp;fmid=21&amp;t1id=3&amp;t2id=16&amp;ly=2026" TargetMode="External"/><Relationship Id="rId594" Type="http://schemas.openxmlformats.org/officeDocument/2006/relationships/hyperlink" Target="https://www.soccerstats.com/pmatch.asp?league=finland2&amp;stats=91-10-2-2026" TargetMode="External"/><Relationship Id="rId608" Type="http://schemas.openxmlformats.org/officeDocument/2006/relationships/hyperlink" Target="https://www.soccerstats.com/pmatch.asp?league=germany5&amp;stats=44-18-1-2027" TargetMode="External"/><Relationship Id="rId815" Type="http://schemas.openxmlformats.org/officeDocument/2006/relationships/hyperlink" Target="https://www.soccerstats.com/h2h.asp?league=japan2&amp;fmid=20&amp;t1id=2&amp;t2id=15&amp;ly=2026" TargetMode="External"/><Relationship Id="rId247" Type="http://schemas.openxmlformats.org/officeDocument/2006/relationships/hyperlink" Target="https://www.soccerstats.com/pmatch.asp?league=finland5&amp;stats=82-5-9-2026" TargetMode="External"/><Relationship Id="rId899" Type="http://schemas.openxmlformats.org/officeDocument/2006/relationships/hyperlink" Target="https://www.soccerstats.com/pmatch.asp?league=sweden3&amp;stats=136-3-5-2026" TargetMode="External"/><Relationship Id="rId107" Type="http://schemas.openxmlformats.org/officeDocument/2006/relationships/hyperlink" Target="https://www.soccerstats.com/pmatch.asp?league=belarus&amp;stats=143-15-11-2026" TargetMode="External"/><Relationship Id="rId454" Type="http://schemas.openxmlformats.org/officeDocument/2006/relationships/hyperlink" Target="https://www.soccerstats.com/h2h.asp?league=turkey&amp;fmid=3&amp;t1id=5&amp;t2id=6&amp;ly=2026" TargetMode="External"/><Relationship Id="rId661" Type="http://schemas.openxmlformats.org/officeDocument/2006/relationships/hyperlink" Target="https://www.soccerstats.com/h2h.asp?league=spain&amp;fmid=5&amp;t1id=9&amp;t2id=10&amp;ly=2026" TargetMode="External"/><Relationship Id="rId759" Type="http://schemas.openxmlformats.org/officeDocument/2006/relationships/hyperlink" Target="https://www.soccerstats.com/h2h.asp?league=croatia&amp;fmid=12&amp;t1id=1&amp;t2id=6&amp;ly=2026" TargetMode="External"/><Relationship Id="rId11" Type="http://schemas.openxmlformats.org/officeDocument/2006/relationships/hyperlink" Target="https://www.soccerstats.com/h2h.asp?league=england2&amp;fmid=8&amp;t1id=15&amp;t2id=16&amp;ly=2026" TargetMode="External"/><Relationship Id="rId314" Type="http://schemas.openxmlformats.org/officeDocument/2006/relationships/hyperlink" Target="https://www.soccerstats.com/h2h.asp?league=japan2&amp;fmid=17&amp;t1id=10&amp;t2id=19&amp;ly=2026" TargetMode="External"/><Relationship Id="rId398" Type="http://schemas.openxmlformats.org/officeDocument/2006/relationships/hyperlink" Target="https://www.soccerstats.com/h2h.asp?league=saudiarabia&amp;fmid=8&amp;t1id=15&amp;t2id=16&amp;ly=2026" TargetMode="External"/><Relationship Id="rId521" Type="http://schemas.openxmlformats.org/officeDocument/2006/relationships/hyperlink" Target="https://www.soccerstats.com/h2h.asp?league=france2&amp;fmid=17&amp;t1id=10&amp;t2id=5&amp;ly=2026" TargetMode="External"/><Relationship Id="rId619" Type="http://schemas.openxmlformats.org/officeDocument/2006/relationships/hyperlink" Target="https://www.soccerstats.com/h2h.asp?league=germany8&amp;fmid=32&amp;t1id=4&amp;t2id=17&amp;ly=2026" TargetMode="External"/><Relationship Id="rId95" Type="http://schemas.openxmlformats.org/officeDocument/2006/relationships/hyperlink" Target="https://www.soccerstats.com/pmatch.asp?league=australia11&amp;stats=218-13-9-2026" TargetMode="External"/><Relationship Id="rId160" Type="http://schemas.openxmlformats.org/officeDocument/2006/relationships/hyperlink" Target="https://www.soccerstats.com/h2h.asp?league=czechrepublic&amp;fmid=26&amp;t1id=10&amp;t2id=12&amp;ly=2026" TargetMode="External"/><Relationship Id="rId826" Type="http://schemas.openxmlformats.org/officeDocument/2006/relationships/hyperlink" Target="https://www.soccerstats.com/h2h.asp?league=mexico&amp;fmid=29&amp;t1id=13&amp;t2id=9&amp;ly=2026" TargetMode="External"/><Relationship Id="rId258" Type="http://schemas.openxmlformats.org/officeDocument/2006/relationships/hyperlink" Target="https://www.soccerstats.com/h2h.asp?league=germany3&amp;fmid=12&amp;t1id=10&amp;t2id=13&amp;ly=2026" TargetMode="External"/><Relationship Id="rId465" Type="http://schemas.openxmlformats.org/officeDocument/2006/relationships/hyperlink" Target="https://www.soccerstats.com/h2h.asp?league=uruguay3&amp;fmid=2&amp;t1id=3&amp;t2id=4&amp;ly=2026" TargetMode="External"/><Relationship Id="rId672" Type="http://schemas.openxmlformats.org/officeDocument/2006/relationships/hyperlink" Target="https://www.soccerstats.com/h2h.asp?league=spain2&amp;fmid=6&amp;t1id=11&amp;t2id=12&amp;ly=2026" TargetMode="External"/><Relationship Id="rId22" Type="http://schemas.openxmlformats.org/officeDocument/2006/relationships/hyperlink" Target="https://www.soccerstats.com/h2h.asp?league=england3&amp;fmid=11&amp;t1id=21&amp;t2id=22&amp;ly=2026" TargetMode="External"/><Relationship Id="rId118" Type="http://schemas.openxmlformats.org/officeDocument/2006/relationships/hyperlink" Target="https://www.soccerstats.com/h2h.asp?league=bosnia&amp;fmid=7&amp;t1id=8&amp;t2id=5&amp;ly=2026" TargetMode="External"/><Relationship Id="rId325" Type="http://schemas.openxmlformats.org/officeDocument/2006/relationships/hyperlink" Target="https://www.soccerstats.com/pmatch.asp?league=kazakhstan&amp;stats=35-9-14-2026" TargetMode="External"/><Relationship Id="rId532" Type="http://schemas.openxmlformats.org/officeDocument/2006/relationships/hyperlink" Target="https://www.soccerstats.com/h2h.asp?league=netherlands2&amp;fmid=15&amp;t1id=20&amp;t2id=15&amp;ly=2026" TargetMode="External"/><Relationship Id="rId171" Type="http://schemas.openxmlformats.org/officeDocument/2006/relationships/hyperlink" Target="https://www.soccerstats.com/h2h.asp?league=denmark2&amp;fmid=23&amp;t1id=10&amp;t2id=5&amp;ly=2026" TargetMode="External"/><Relationship Id="rId837" Type="http://schemas.openxmlformats.org/officeDocument/2006/relationships/hyperlink" Target="https://www.soccerstats.com/pmatch.asp?league=norway&amp;stats=141-5-15-2026" TargetMode="External"/><Relationship Id="rId269" Type="http://schemas.openxmlformats.org/officeDocument/2006/relationships/hyperlink" Target="https://www.soccerstats.com/h2h.asp?league=germany6&amp;fmid=21&amp;t1id=7&amp;t2id=2&amp;ly=2026" TargetMode="External"/><Relationship Id="rId476" Type="http://schemas.openxmlformats.org/officeDocument/2006/relationships/hyperlink" Target="https://www.soccerstats.com/pmatch.asp?league=usa2&amp;stats=235-5-22-2026" TargetMode="External"/><Relationship Id="rId683" Type="http://schemas.openxmlformats.org/officeDocument/2006/relationships/hyperlink" Target="https://www.soccerstats.com/pmatch.asp?league=argentina2&amp;stats=67-22-4-2026" TargetMode="External"/><Relationship Id="rId890" Type="http://schemas.openxmlformats.org/officeDocument/2006/relationships/hyperlink" Target="https://www.soccerstats.com/pmatch.asp?league=southkorea2&amp;stats=176-4-2-2026" TargetMode="External"/><Relationship Id="rId904" Type="http://schemas.openxmlformats.org/officeDocument/2006/relationships/hyperlink" Target="https://www.soccerstats.com/h2h.asp?league=turkey&amp;fmid=6&amp;t1id=11&amp;t2id=12&amp;ly=2026" TargetMode="External"/><Relationship Id="rId33" Type="http://schemas.openxmlformats.org/officeDocument/2006/relationships/hyperlink" Target="https://www.soccerstats.com/h2h.asp?league=england4&amp;fmid=11&amp;t1id=21&amp;t2id=22&amp;ly=2026" TargetMode="External"/><Relationship Id="rId129" Type="http://schemas.openxmlformats.org/officeDocument/2006/relationships/hyperlink" Target="https://www.soccerstats.com/pmatch.asp?league=brazil3&amp;stats=168-3-11-2026" TargetMode="External"/><Relationship Id="rId336" Type="http://schemas.openxmlformats.org/officeDocument/2006/relationships/hyperlink" Target="https://www.soccerstats.com/h2h.asp?league=netherlands3&amp;fmid=2&amp;t1id=3&amp;t2id=4&amp;ly=2026" TargetMode="External"/><Relationship Id="rId543" Type="http://schemas.openxmlformats.org/officeDocument/2006/relationships/hyperlink" Target="https://www.soccerstats.com/pmatch.asp?league=australia3&amp;stats=165-9-8-2026" TargetMode="External"/><Relationship Id="rId182" Type="http://schemas.openxmlformats.org/officeDocument/2006/relationships/hyperlink" Target="https://www.soccerstats.com/h2h.asp?league=england6&amp;fmid=19&amp;t1id=22&amp;t2id=11&amp;ly=2026" TargetMode="External"/><Relationship Id="rId403" Type="http://schemas.openxmlformats.org/officeDocument/2006/relationships/hyperlink" Target="https://www.soccerstats.com/h2h.asp?league=scotland4&amp;fmid=15&amp;t1id=9&amp;t2id=7&amp;ly=2026" TargetMode="External"/><Relationship Id="rId750" Type="http://schemas.openxmlformats.org/officeDocument/2006/relationships/hyperlink" Target="https://www.soccerstats.com/pmatch.asp?league=china2&amp;stats=149-13-7-2026" TargetMode="External"/><Relationship Id="rId848" Type="http://schemas.openxmlformats.org/officeDocument/2006/relationships/hyperlink" Target="https://www.soccerstats.com/pmatch.asp?league=norway4&amp;stats=107-3-1-2026" TargetMode="External"/><Relationship Id="rId487" Type="http://schemas.openxmlformats.org/officeDocument/2006/relationships/hyperlink" Target="https://www.soccerstats.com/pmatch.asp?league=usa6&amp;stats=152-10-3-2026" TargetMode="External"/><Relationship Id="rId610" Type="http://schemas.openxmlformats.org/officeDocument/2006/relationships/hyperlink" Target="https://www.soccerstats.com/h2h.asp?league=germany6&amp;fmid=27&amp;t1id=1&amp;t2id=5&amp;ly=2026" TargetMode="External"/><Relationship Id="rId694" Type="http://schemas.openxmlformats.org/officeDocument/2006/relationships/hyperlink" Target="https://www.soccerstats.com/pmatch.asp?league=australia7&amp;stats=131-4-9-2026" TargetMode="External"/><Relationship Id="rId708" Type="http://schemas.openxmlformats.org/officeDocument/2006/relationships/hyperlink" Target="https://www.soccerstats.com/pmatch.asp?league=belarus&amp;stats=137-4-2-2026" TargetMode="External"/><Relationship Id="rId915" Type="http://schemas.openxmlformats.org/officeDocument/2006/relationships/hyperlink" Target="https://www.soccerstats.com/h2h.asp?league=uruguay3&amp;fmid=6&amp;t1id=11&amp;t2id=12&amp;ly=2026" TargetMode="External"/><Relationship Id="rId347" Type="http://schemas.openxmlformats.org/officeDocument/2006/relationships/hyperlink" Target="https://www.soccerstats.com/h2h.asp?league=northmacedonia&amp;fmid=15&amp;t1id=7&amp;t2id=10&amp;ly=2026" TargetMode="External"/><Relationship Id="rId44" Type="http://schemas.openxmlformats.org/officeDocument/2006/relationships/hyperlink" Target="https://www.soccerstats.com/h2h.asp?league=england5&amp;fmid=21&amp;t1id=14&amp;t2id=1&amp;ly=2026" TargetMode="External"/><Relationship Id="rId554" Type="http://schemas.openxmlformats.org/officeDocument/2006/relationships/hyperlink" Target="https://www.soccerstats.com/h2h.asp?league=austria2&amp;fmid=19&amp;t1id=12&amp;t2id=8&amp;ly=2026" TargetMode="External"/><Relationship Id="rId761" Type="http://schemas.openxmlformats.org/officeDocument/2006/relationships/hyperlink" Target="https://www.soccerstats.com/h2h.asp?league=denmark&amp;fmid=18&amp;t1id=10&amp;t2id=12&amp;ly=2026" TargetMode="External"/><Relationship Id="rId859" Type="http://schemas.openxmlformats.org/officeDocument/2006/relationships/hyperlink" Target="https://www.soccerstats.com/h2h.asp?league=poland&amp;fmid=30&amp;t1id=7&amp;t2id=15&amp;ly=2026" TargetMode="External"/><Relationship Id="rId193" Type="http://schemas.openxmlformats.org/officeDocument/2006/relationships/hyperlink" Target="https://www.soccerstats.com/h2h.asp?league=england7&amp;fmid=19&amp;t1id=8&amp;t2id=15&amp;ly=2026" TargetMode="External"/><Relationship Id="rId207" Type="http://schemas.openxmlformats.org/officeDocument/2006/relationships/hyperlink" Target="https://www.soccerstats.com/h2h.asp?league=england8&amp;fmid=437&amp;t1id=14&amp;t2id=6&amp;ly=2026" TargetMode="External"/><Relationship Id="rId414" Type="http://schemas.openxmlformats.org/officeDocument/2006/relationships/hyperlink" Target="https://www.soccerstats.com/h2h.asp?league=serbia&amp;fmid=31&amp;t1id=5&amp;t2id=12&amp;ly=2026" TargetMode="External"/><Relationship Id="rId498" Type="http://schemas.openxmlformats.org/officeDocument/2006/relationships/hyperlink" Target="https://www.soccerstats.com/leagueview_team.asp?league=copasudamericana&amp;team1id=38&amp;team2id=8&amp;fmid=114" TargetMode="External"/><Relationship Id="rId621" Type="http://schemas.openxmlformats.org/officeDocument/2006/relationships/hyperlink" Target="https://www.soccerstats.com/h2h.asp?league=germany8&amp;fmid=34&amp;t1id=2&amp;t2id=15&amp;ly=2026" TargetMode="External"/><Relationship Id="rId260" Type="http://schemas.openxmlformats.org/officeDocument/2006/relationships/hyperlink" Target="https://www.soccerstats.com/h2h.asp?league=germany3&amp;fmid=14&amp;t1id=18&amp;t2id=3&amp;ly=2026" TargetMode="External"/><Relationship Id="rId719" Type="http://schemas.openxmlformats.org/officeDocument/2006/relationships/hyperlink" Target="https://www.soccerstats.com/pmatch.asp?league=brazil&amp;stats=229-14-12-2026" TargetMode="External"/><Relationship Id="rId926" Type="http://schemas.openxmlformats.org/officeDocument/2006/relationships/hyperlink" Target="https://www.soccerstats.com/pmatch.asp?league=usa2&amp;stats=240-11-13-2026" TargetMode="External"/><Relationship Id="rId55" Type="http://schemas.openxmlformats.org/officeDocument/2006/relationships/hyperlink" Target="https://www.soccerstats.com/h2h.asp?league=spain2&amp;fmid=4&amp;t1id=7&amp;t2id=8&amp;ly=2026" TargetMode="External"/><Relationship Id="rId120" Type="http://schemas.openxmlformats.org/officeDocument/2006/relationships/hyperlink" Target="https://www.soccerstats.com/h2h.asp?league=bosnia&amp;fmid=6&amp;t1id=9&amp;t2id=7&amp;ly=2026" TargetMode="External"/><Relationship Id="rId358" Type="http://schemas.openxmlformats.org/officeDocument/2006/relationships/hyperlink" Target="https://www.soccerstats.com/pmatch.asp?league=norway3&amp;stats=109-11-14-2026" TargetMode="External"/><Relationship Id="rId565" Type="http://schemas.openxmlformats.org/officeDocument/2006/relationships/hyperlink" Target="https://www.soccerstats.com/h2h.asp?league=belgium2&amp;fmid=2&amp;t1id=3&amp;t2id=4&amp;ly=2026" TargetMode="External"/><Relationship Id="rId772" Type="http://schemas.openxmlformats.org/officeDocument/2006/relationships/hyperlink" Target="https://www.soccerstats.com/pmatch.asp?league=estonia&amp;stats=115-6-7-2026" TargetMode="External"/><Relationship Id="rId218" Type="http://schemas.openxmlformats.org/officeDocument/2006/relationships/hyperlink" Target="https://www.soccerstats.com/h2h.asp?league=england9&amp;fmid=26&amp;t1id=12&amp;t2id=17&amp;ly=2026" TargetMode="External"/><Relationship Id="rId425" Type="http://schemas.openxmlformats.org/officeDocument/2006/relationships/hyperlink" Target="https://www.soccerstats.com/h2h.asp?league=southafrica&amp;fmid=20&amp;t1id=6&amp;t2id=9&amp;ly=2026" TargetMode="External"/><Relationship Id="rId632" Type="http://schemas.openxmlformats.org/officeDocument/2006/relationships/hyperlink" Target="https://www.soccerstats.com/h2h.asp?league=poland3&amp;fmid=35&amp;t1id=8&amp;t2id=3&amp;ly=2026" TargetMode="External"/><Relationship Id="rId271" Type="http://schemas.openxmlformats.org/officeDocument/2006/relationships/hyperlink" Target="https://www.soccerstats.com/h2h.asp?league=germany6&amp;fmid=20&amp;t1id=4&amp;t2id=18&amp;ly=2026" TargetMode="External"/><Relationship Id="rId937" Type="http://schemas.openxmlformats.org/officeDocument/2006/relationships/hyperlink" Target="https://www.soccerstats.com/h2h.asp?league=usa7&amp;fmid=4&amp;t1id=7&amp;t2id=8&amp;ly=2026" TargetMode="External"/><Relationship Id="rId66" Type="http://schemas.openxmlformats.org/officeDocument/2006/relationships/hyperlink" Target="https://www.soccerstats.com/pmatch.asp?league=argentina2&amp;stats=63-3-26-2026" TargetMode="External"/><Relationship Id="rId131" Type="http://schemas.openxmlformats.org/officeDocument/2006/relationships/hyperlink" Target="https://www.soccerstats.com/pmatch.asp?league=brazil5&amp;stats=139-3-16-2026" TargetMode="External"/><Relationship Id="rId369" Type="http://schemas.openxmlformats.org/officeDocument/2006/relationships/hyperlink" Target="https://www.soccerstats.com/pmatch.asp?league=peru2&amp;stats=37-11-8-2026" TargetMode="External"/><Relationship Id="rId576" Type="http://schemas.openxmlformats.org/officeDocument/2006/relationships/hyperlink" Target="https://www.soccerstats.com/pmatch.asp?league=china&amp;stats=179-14-6-2026" TargetMode="External"/><Relationship Id="rId783" Type="http://schemas.openxmlformats.org/officeDocument/2006/relationships/hyperlink" Target="https://www.soccerstats.com/pmatch.asp?league=finland3&amp;stats=117-11-3-2026" TargetMode="External"/><Relationship Id="rId229" Type="http://schemas.openxmlformats.org/officeDocument/2006/relationships/hyperlink" Target="https://www.soccerstats.com/h2h.asp?league=england10&amp;fmid=25&amp;t1id=12&amp;t2id=3&amp;ly=2026" TargetMode="External"/><Relationship Id="rId436" Type="http://schemas.openxmlformats.org/officeDocument/2006/relationships/hyperlink" Target="https://www.soccerstats.com/pmatch.asp?league=sweden2&amp;stats=150-10-2-2026" TargetMode="External"/><Relationship Id="rId643" Type="http://schemas.openxmlformats.org/officeDocument/2006/relationships/hyperlink" Target="https://www.soccerstats.com/pmatch.asp?league=sweden&amp;stats=132-11-6-2026" TargetMode="External"/><Relationship Id="rId850" Type="http://schemas.openxmlformats.org/officeDocument/2006/relationships/hyperlink" Target="https://www.soccerstats.com/pmatch.asp?league=norway4&amp;stats=109-6-10-2026" TargetMode="External"/><Relationship Id="rId77" Type="http://schemas.openxmlformats.org/officeDocument/2006/relationships/hyperlink" Target="https://www.soccerstats.com/h2h.asp?league=armenia&amp;fmid=18&amp;t1id=9&amp;t2id=12&amp;ly=2026" TargetMode="External"/><Relationship Id="rId282" Type="http://schemas.openxmlformats.org/officeDocument/2006/relationships/hyperlink" Target="https://www.soccerstats.com/h2h.asp?league=hungary2&amp;fmid=30&amp;t1id=2&amp;t2id=3&amp;ly=2026" TargetMode="External"/><Relationship Id="rId503" Type="http://schemas.openxmlformats.org/officeDocument/2006/relationships/hyperlink" Target="https://www.soccerstats.com/leagueview_team.asp?league=copalibertadores&amp;team1id=20&amp;team2id=24&amp;fmid=100" TargetMode="External"/><Relationship Id="rId587" Type="http://schemas.openxmlformats.org/officeDocument/2006/relationships/hyperlink" Target="https://www.soccerstats.com/h2h.asp?league=denmark3&amp;fmid=16&amp;t1id=11&amp;t2id=6&amp;ly=2026" TargetMode="External"/><Relationship Id="rId710" Type="http://schemas.openxmlformats.org/officeDocument/2006/relationships/hyperlink" Target="https://www.soccerstats.com/pmatch.asp?league=belarus&amp;stats=138-6-1-2026" TargetMode="External"/><Relationship Id="rId808" Type="http://schemas.openxmlformats.org/officeDocument/2006/relationships/hyperlink" Target="https://www.soccerstats.com/h2h.asp?league=hungary&amp;fmid=20&amp;t1id=6&amp;t2id=7&amp;ly=2026" TargetMode="External"/><Relationship Id="rId8" Type="http://schemas.openxmlformats.org/officeDocument/2006/relationships/hyperlink" Target="https://www.soccerstats.com/h2h.asp?league=portugal&amp;fmid=18&amp;t1id=4&amp;t2id=5&amp;ly=2026" TargetMode="External"/><Relationship Id="rId142" Type="http://schemas.openxmlformats.org/officeDocument/2006/relationships/hyperlink" Target="https://www.soccerstats.com/pmatch.asp?league=chile2&amp;stats=163-9-16-2026" TargetMode="External"/><Relationship Id="rId447" Type="http://schemas.openxmlformats.org/officeDocument/2006/relationships/hyperlink" Target="https://www.soccerstats.com/pmatch.asp?league=sweden4&amp;stats=133-4-16-2026" TargetMode="External"/><Relationship Id="rId794" Type="http://schemas.openxmlformats.org/officeDocument/2006/relationships/hyperlink" Target="https://www.soccerstats.com/h2h.asp?league=germany4&amp;fmid=28&amp;t1id=16&amp;t2id=14&amp;ly=2026" TargetMode="External"/><Relationship Id="rId654" Type="http://schemas.openxmlformats.org/officeDocument/2006/relationships/hyperlink" Target="https://www.soccerstats.com/h2h.asp?league=wales&amp;fmid=21&amp;t1id=8&amp;t2id=2&amp;ly=2026" TargetMode="External"/><Relationship Id="rId861" Type="http://schemas.openxmlformats.org/officeDocument/2006/relationships/hyperlink" Target="https://www.soccerstats.com/h2h.asp?league=poland2&amp;fmid=28&amp;t1id=8&amp;t2id=11&amp;ly=2026" TargetMode="External"/><Relationship Id="rId293" Type="http://schemas.openxmlformats.org/officeDocument/2006/relationships/hyperlink" Target="https://www.soccerstats.com/pmatch.asp?league=iceland3&amp;stats=102-3-9-2026" TargetMode="External"/><Relationship Id="rId307" Type="http://schemas.openxmlformats.org/officeDocument/2006/relationships/hyperlink" Target="https://www.soccerstats.com/h2h.asp?league=japan&amp;fmid=20&amp;t1id=4&amp;t2id=15&amp;ly=2026" TargetMode="External"/><Relationship Id="rId514" Type="http://schemas.openxmlformats.org/officeDocument/2006/relationships/hyperlink" Target="https://www.soccerstats.com/h2h.asp?league=southafrica&amp;fmid=13&amp;t1id=10&amp;t2id=7&amp;ly=2026" TargetMode="External"/><Relationship Id="rId721" Type="http://schemas.openxmlformats.org/officeDocument/2006/relationships/hyperlink" Target="https://www.soccerstats.com/pmatch.asp?league=brazil&amp;stats=222-1-19-2026" TargetMode="External"/><Relationship Id="rId88" Type="http://schemas.openxmlformats.org/officeDocument/2006/relationships/hyperlink" Target="https://www.soccerstats.com/pmatch.asp?league=australia6&amp;stats=127-2-7-2026" TargetMode="External"/><Relationship Id="rId153" Type="http://schemas.openxmlformats.org/officeDocument/2006/relationships/hyperlink" Target="https://www.soccerstats.com/h2h.asp?league=costarica&amp;fmid=16&amp;t1id=9&amp;t2id=1&amp;ly=2026" TargetMode="External"/><Relationship Id="rId360" Type="http://schemas.openxmlformats.org/officeDocument/2006/relationships/hyperlink" Target="https://www.soccerstats.com/pmatch.asp?league=norway11&amp;stats=75-2-3-2026" TargetMode="External"/><Relationship Id="rId598" Type="http://schemas.openxmlformats.org/officeDocument/2006/relationships/hyperlink" Target="https://www.soccerstats.com/h2h.asp?league=france3&amp;fmid=15&amp;t1id=10&amp;t2id=7&amp;ly=2026" TargetMode="External"/><Relationship Id="rId819" Type="http://schemas.openxmlformats.org/officeDocument/2006/relationships/hyperlink" Target="https://www.soccerstats.com/h2h.asp?league=japan3&amp;fmid=20&amp;t1id=10&amp;t2id=15&amp;ly=2026" TargetMode="External"/><Relationship Id="rId220" Type="http://schemas.openxmlformats.org/officeDocument/2006/relationships/hyperlink" Target="https://www.soccerstats.com/h2h.asp?league=england9&amp;fmid=24&amp;t1id=14&amp;t2id=11&amp;ly=2026" TargetMode="External"/><Relationship Id="rId458" Type="http://schemas.openxmlformats.org/officeDocument/2006/relationships/hyperlink" Target="https://www.soccerstats.com/h2h.asp?league=turkey2&amp;fmid=19&amp;t1id=14&amp;t2id=7&amp;ly=2026" TargetMode="External"/><Relationship Id="rId665" Type="http://schemas.openxmlformats.org/officeDocument/2006/relationships/hyperlink" Target="https://www.soccerstats.com/h2h.asp?league=netherlands&amp;fmid=18&amp;t1id=14&amp;t2id=17&amp;ly=2026" TargetMode="External"/><Relationship Id="rId872" Type="http://schemas.openxmlformats.org/officeDocument/2006/relationships/hyperlink" Target="https://www.soccerstats.com/pmatch.asp?league=romania&amp;stats=39-13-6-2027" TargetMode="External"/><Relationship Id="rId15" Type="http://schemas.openxmlformats.org/officeDocument/2006/relationships/hyperlink" Target="https://www.soccerstats.com/h2h.asp?league=england2&amp;fmid=4&amp;t1id=7&amp;t2id=8&amp;ly=2026" TargetMode="External"/><Relationship Id="rId318" Type="http://schemas.openxmlformats.org/officeDocument/2006/relationships/hyperlink" Target="https://www.soccerstats.com/h2h.asp?league=japan3&amp;fmid=12&amp;t1id=16&amp;t2id=9&amp;ly=2026" TargetMode="External"/><Relationship Id="rId525" Type="http://schemas.openxmlformats.org/officeDocument/2006/relationships/hyperlink" Target="https://www.soccerstats.com/h2h.asp?league=france2&amp;fmid=13&amp;t1id=18&amp;t2id=9&amp;ly=2026" TargetMode="External"/><Relationship Id="rId732" Type="http://schemas.openxmlformats.org/officeDocument/2006/relationships/hyperlink" Target="https://www.soccerstats.com/pmatch.asp?league=brazil5&amp;stats=142-5-12-2026" TargetMode="External"/><Relationship Id="rId99" Type="http://schemas.openxmlformats.org/officeDocument/2006/relationships/hyperlink" Target="https://www.soccerstats.com/h2h.asp?league=austria&amp;fmid=14&amp;t1id=7&amp;t2id=9&amp;ly=2026" TargetMode="External"/><Relationship Id="rId164" Type="http://schemas.openxmlformats.org/officeDocument/2006/relationships/hyperlink" Target="https://www.soccerstats.com/h2h.asp?league=czechrepublic&amp;fmid=25&amp;t1id=7&amp;t2id=13&amp;ly=2026" TargetMode="External"/><Relationship Id="rId371" Type="http://schemas.openxmlformats.org/officeDocument/2006/relationships/hyperlink" Target="https://www.soccerstats.com/pmatch.asp?league=peru2&amp;stats=45-13-2-2026" TargetMode="External"/><Relationship Id="rId469" Type="http://schemas.openxmlformats.org/officeDocument/2006/relationships/hyperlink" Target="https://www.soccerstats.com/pmatch.asp?league=usa&amp;stats=277-24-9-2026" TargetMode="External"/><Relationship Id="rId676" Type="http://schemas.openxmlformats.org/officeDocument/2006/relationships/hyperlink" Target="https://www.soccerstats.com/h2h.asp?league=germany2&amp;fmid=16&amp;t1id=6&amp;t2id=13&amp;ly=2026" TargetMode="External"/><Relationship Id="rId883" Type="http://schemas.openxmlformats.org/officeDocument/2006/relationships/hyperlink" Target="https://www.soccerstats.com/h2h.asp?league=southafrica&amp;fmid=23&amp;t1id=14&amp;t2id=3&amp;ly=2026" TargetMode="External"/><Relationship Id="rId26" Type="http://schemas.openxmlformats.org/officeDocument/2006/relationships/hyperlink" Target="https://www.soccerstats.com/h2h.asp?league=england3&amp;fmid=7&amp;t1id=13&amp;t2id=14&amp;ly=2026" TargetMode="External"/><Relationship Id="rId231" Type="http://schemas.openxmlformats.org/officeDocument/2006/relationships/hyperlink" Target="https://www.soccerstats.com/h2h.asp?league=england10&amp;fmid=23&amp;t1id=1&amp;t2id=17&amp;ly=2026" TargetMode="External"/><Relationship Id="rId329" Type="http://schemas.openxmlformats.org/officeDocument/2006/relationships/hyperlink" Target="https://www.soccerstats.com/h2h.asp?league=moldova&amp;fmid=30&amp;t1id=1&amp;t2id=7&amp;ly=2026" TargetMode="External"/><Relationship Id="rId536" Type="http://schemas.openxmlformats.org/officeDocument/2006/relationships/hyperlink" Target="https://www.soccerstats.com/h2h.asp?league=netherlands2&amp;fmid=11&amp;t1id=8&amp;t2id=13&amp;ly=2026" TargetMode="External"/><Relationship Id="rId175" Type="http://schemas.openxmlformats.org/officeDocument/2006/relationships/hyperlink" Target="https://www.soccerstats.com/pmatch.asp?league=ecuador&amp;stats=193-6-2-2026" TargetMode="External"/><Relationship Id="rId743" Type="http://schemas.openxmlformats.org/officeDocument/2006/relationships/hyperlink" Target="https://www.soccerstats.com/pmatch.asp?league=chile&amp;stats=146-14-16-2026" TargetMode="External"/><Relationship Id="rId382" Type="http://schemas.openxmlformats.org/officeDocument/2006/relationships/hyperlink" Target="https://www.soccerstats.com/h2h.asp?league=poland3&amp;fmid=31&amp;t1id=16&amp;t2id=1&amp;ly=2026" TargetMode="External"/><Relationship Id="rId603" Type="http://schemas.openxmlformats.org/officeDocument/2006/relationships/hyperlink" Target="https://www.soccerstats.com/h2h.asp?league=france3&amp;fmid=13&amp;t1id=14&amp;t2id=11&amp;ly=2026" TargetMode="External"/><Relationship Id="rId687" Type="http://schemas.openxmlformats.org/officeDocument/2006/relationships/hyperlink" Target="https://www.soccerstats.com/pmatch.asp?league=argentina3&amp;stats=437-24-13-2026" TargetMode="External"/><Relationship Id="rId810" Type="http://schemas.openxmlformats.org/officeDocument/2006/relationships/hyperlink" Target="https://www.soccerstats.com/h2h.asp?league=hungary2&amp;fmid=32&amp;t1id=11&amp;t2id=16&amp;ly=2026" TargetMode="External"/><Relationship Id="rId908" Type="http://schemas.openxmlformats.org/officeDocument/2006/relationships/hyperlink" Target="https://www.soccerstats.com/h2h.asp?league=turkey2&amp;fmid=20&amp;t1id=10&amp;t2id=19&amp;ly=2026" TargetMode="External"/><Relationship Id="rId242" Type="http://schemas.openxmlformats.org/officeDocument/2006/relationships/hyperlink" Target="https://www.soccerstats.com/pmatch.asp?league=finland3&amp;stats=116-1-7-2026" TargetMode="External"/><Relationship Id="rId894" Type="http://schemas.openxmlformats.org/officeDocument/2006/relationships/hyperlink" Target="https://www.soccerstats.com/pmatch.asp?league=sweden&amp;stats=135-15-10-2026" TargetMode="External"/><Relationship Id="rId37" Type="http://schemas.openxmlformats.org/officeDocument/2006/relationships/hyperlink" Target="https://www.soccerstats.com/h2h.asp?league=england4&amp;fmid=7&amp;t1id=13&amp;t2id=14&amp;ly=2026" TargetMode="External"/><Relationship Id="rId102" Type="http://schemas.openxmlformats.org/officeDocument/2006/relationships/hyperlink" Target="https://www.soccerstats.com/h2h.asp?league=austria2&amp;fmid=20&amp;t1id=14&amp;t2id=9&amp;ly=2026" TargetMode="External"/><Relationship Id="rId547" Type="http://schemas.openxmlformats.org/officeDocument/2006/relationships/hyperlink" Target="https://www.soccerstats.com/pmatch.asp?league=australia4&amp;stats=127-9-5-2026" TargetMode="External"/><Relationship Id="rId754" Type="http://schemas.openxmlformats.org/officeDocument/2006/relationships/hyperlink" Target="https://www.soccerstats.com/h2h.asp?league=colombia2&amp;fmid=42&amp;t1id=2&amp;t2id=4&amp;ly=2026" TargetMode="External"/><Relationship Id="rId90" Type="http://schemas.openxmlformats.org/officeDocument/2006/relationships/hyperlink" Target="https://www.soccerstats.com/pmatch.asp?league=australia6&amp;stats=131-10-5-2026" TargetMode="External"/><Relationship Id="rId186" Type="http://schemas.openxmlformats.org/officeDocument/2006/relationships/hyperlink" Target="https://www.soccerstats.com/h2h.asp?league=england6&amp;fmid=15&amp;t1id=4&amp;t2id=5&amp;ly=2026" TargetMode="External"/><Relationship Id="rId393" Type="http://schemas.openxmlformats.org/officeDocument/2006/relationships/hyperlink" Target="https://www.soccerstats.com/h2h.asp?league=russia&amp;fmid=27&amp;t1id=1&amp;t2id=7&amp;ly=2026" TargetMode="External"/><Relationship Id="rId407" Type="http://schemas.openxmlformats.org/officeDocument/2006/relationships/hyperlink" Target="https://www.soccerstats.com/h2h.asp?league=scotland4&amp;fmid=11&amp;t1id=8&amp;t2id=10&amp;ly=2026" TargetMode="External"/><Relationship Id="rId614" Type="http://schemas.openxmlformats.org/officeDocument/2006/relationships/hyperlink" Target="https://www.soccerstats.com/h2h.asp?league=germany8&amp;fmid=33&amp;t1id=16&amp;t2id=7&amp;ly=2026" TargetMode="External"/><Relationship Id="rId821" Type="http://schemas.openxmlformats.org/officeDocument/2006/relationships/hyperlink" Target="https://www.soccerstats.com/pmatch.asp?league=kazakhstan&amp;stats=37-3-12-2026" TargetMode="External"/><Relationship Id="rId253" Type="http://schemas.openxmlformats.org/officeDocument/2006/relationships/hyperlink" Target="https://www.soccerstats.com/pmatch.asp?league=finland6&amp;stats=83-3-6-2026" TargetMode="External"/><Relationship Id="rId460" Type="http://schemas.openxmlformats.org/officeDocument/2006/relationships/hyperlink" Target="https://www.soccerstats.com/h2h.asp?league=turkey2&amp;fmid=18&amp;t1id=16&amp;t2id=13&amp;ly=2026" TargetMode="External"/><Relationship Id="rId698" Type="http://schemas.openxmlformats.org/officeDocument/2006/relationships/hyperlink" Target="https://www.soccerstats.com/pmatch.asp?league=australia7&amp;stats=127-5-7-2026" TargetMode="External"/><Relationship Id="rId919" Type="http://schemas.openxmlformats.org/officeDocument/2006/relationships/hyperlink" Target="https://www.soccerstats.com/pmatch.asp?league=usa&amp;stats=282-30-22-2026" TargetMode="External"/><Relationship Id="rId48" Type="http://schemas.openxmlformats.org/officeDocument/2006/relationships/hyperlink" Target="https://www.soccerstats.com/h2h.asp?league=england5&amp;fmid=18&amp;t1id=22&amp;t2id=3&amp;ly=2026" TargetMode="External"/><Relationship Id="rId113" Type="http://schemas.openxmlformats.org/officeDocument/2006/relationships/hyperlink" Target="https://www.soccerstats.com/h2h.asp?league=belgium2&amp;fmid=3&amp;t1id=5&amp;t2id=6&amp;ly=2026" TargetMode="External"/><Relationship Id="rId320" Type="http://schemas.openxmlformats.org/officeDocument/2006/relationships/hyperlink" Target="https://www.soccerstats.com/h2h.asp?league=japan3&amp;fmid=13&amp;t1id=6&amp;t2id=19&amp;ly=2026" TargetMode="External"/><Relationship Id="rId558" Type="http://schemas.openxmlformats.org/officeDocument/2006/relationships/hyperlink" Target="https://www.soccerstats.com/h2h.asp?league=azerbaijan&amp;fmid=3&amp;t1id=5&amp;t2id=6&amp;ly=2026" TargetMode="External"/><Relationship Id="rId765" Type="http://schemas.openxmlformats.org/officeDocument/2006/relationships/hyperlink" Target="https://www.soccerstats.com/h2h.asp?league=denmark2&amp;fmid=24&amp;t1id=6&amp;t2id=2&amp;ly=2026" TargetMode="External"/><Relationship Id="rId197" Type="http://schemas.openxmlformats.org/officeDocument/2006/relationships/hyperlink" Target="https://www.soccerstats.com/h2h.asp?league=england7&amp;fmid=15&amp;t1id=22&amp;t2id=5&amp;ly=2026" TargetMode="External"/><Relationship Id="rId418" Type="http://schemas.openxmlformats.org/officeDocument/2006/relationships/hyperlink" Target="https://www.soccerstats.com/h2h.asp?league=slovakia&amp;fmid=22&amp;t1id=5&amp;t2id=3&amp;ly=2026" TargetMode="External"/><Relationship Id="rId625" Type="http://schemas.openxmlformats.org/officeDocument/2006/relationships/hyperlink" Target="https://www.soccerstats.com/h2h.asp?league=japan&amp;fmid=11&amp;t1id=17&amp;t2id=13&amp;ly=2026" TargetMode="External"/><Relationship Id="rId832" Type="http://schemas.openxmlformats.org/officeDocument/2006/relationships/hyperlink" Target="https://www.soccerstats.com/h2h.asp?league=montenegro&amp;fmid=11&amp;t1id=2&amp;t2id=4&amp;ly=2026" TargetMode="External"/><Relationship Id="rId264" Type="http://schemas.openxmlformats.org/officeDocument/2006/relationships/hyperlink" Target="https://www.soccerstats.com/h2h.asp?league=germany4&amp;fmid=27&amp;t1id=2&amp;t2id=13&amp;ly=2026" TargetMode="External"/><Relationship Id="rId471" Type="http://schemas.openxmlformats.org/officeDocument/2006/relationships/hyperlink" Target="https://www.soccerstats.com/pmatch.asp?league=usa&amp;stats=273-7-3-2026" TargetMode="External"/><Relationship Id="rId59" Type="http://schemas.openxmlformats.org/officeDocument/2006/relationships/hyperlink" Target="https://www.soccerstats.com/h2h.asp?league=germany2&amp;fmid=14&amp;t1id=2&amp;t2id=9&amp;ly=2026" TargetMode="External"/><Relationship Id="rId124" Type="http://schemas.openxmlformats.org/officeDocument/2006/relationships/hyperlink" Target="https://www.soccerstats.com/pmatch.asp?league=brazil2&amp;stats=214-6-9-2026" TargetMode="External"/><Relationship Id="rId569" Type="http://schemas.openxmlformats.org/officeDocument/2006/relationships/hyperlink" Target="https://www.soccerstats.com/h2h.asp?league=bulgaria&amp;fmid=34&amp;t1id=2&amp;t2id=10&amp;ly=2026" TargetMode="External"/><Relationship Id="rId776" Type="http://schemas.openxmlformats.org/officeDocument/2006/relationships/hyperlink" Target="https://www.soccerstats.com/pmatch.asp?league=faroeislands&amp;stats=94-1-8-2026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1025" name="AutoShape 1" descr="SPAIN"/>
        <xdr:cNvSpPr>
          <a:spLocks noChangeAspect="1" noChangeArrowheads="1"/>
        </xdr:cNvSpPr>
      </xdr:nvSpPr>
      <xdr:spPr bwMode="auto">
        <a:xfrm>
          <a:off x="0" y="17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1026" name="AutoShape 2" descr="https://www.soccerstats.com/img/own/sshplogo.png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13411200" y="17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152400</xdr:colOff>
      <xdr:row>2</xdr:row>
      <xdr:rowOff>106680</xdr:rowOff>
    </xdr:to>
    <xdr:sp macro="" textlink="">
      <xdr:nvSpPr>
        <xdr:cNvPr id="1027" name="AutoShape 3" descr="SPAIN"/>
        <xdr:cNvSpPr>
          <a:spLocks noChangeAspect="1" noChangeArrowheads="1"/>
        </xdr:cNvSpPr>
      </xdr:nvSpPr>
      <xdr:spPr bwMode="auto">
        <a:xfrm>
          <a:off x="0" y="350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</xdr:row>
      <xdr:rowOff>0</xdr:rowOff>
    </xdr:from>
    <xdr:to>
      <xdr:col>22</xdr:col>
      <xdr:colOff>304800</xdr:colOff>
      <xdr:row>3</xdr:row>
      <xdr:rowOff>129540</xdr:rowOff>
    </xdr:to>
    <xdr:sp macro="" textlink="">
      <xdr:nvSpPr>
        <xdr:cNvPr id="1028" name="AutoShape 4" descr="https://www.soccerstats.com/img/own/sshplogo.png">
          <a:hlinkClick xmlns:r="http://schemas.openxmlformats.org/officeDocument/2006/relationships" r:id="rId2"/>
        </xdr:cNvPr>
        <xdr:cNvSpPr>
          <a:spLocks noChangeAspect="1" noChangeArrowheads="1"/>
        </xdr:cNvSpPr>
      </xdr:nvSpPr>
      <xdr:spPr bwMode="auto">
        <a:xfrm>
          <a:off x="13411200" y="350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152400</xdr:colOff>
      <xdr:row>3</xdr:row>
      <xdr:rowOff>106680</xdr:rowOff>
    </xdr:to>
    <xdr:sp macro="" textlink="">
      <xdr:nvSpPr>
        <xdr:cNvPr id="1029" name="AutoShape 5" descr="NETHERLANDS"/>
        <xdr:cNvSpPr>
          <a:spLocks noChangeAspect="1" noChangeArrowheads="1"/>
        </xdr:cNvSpPr>
      </xdr:nvSpPr>
      <xdr:spPr bwMode="auto">
        <a:xfrm>
          <a:off x="0" y="601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</xdr:row>
      <xdr:rowOff>0</xdr:rowOff>
    </xdr:from>
    <xdr:to>
      <xdr:col>22</xdr:col>
      <xdr:colOff>304800</xdr:colOff>
      <xdr:row>4</xdr:row>
      <xdr:rowOff>53340</xdr:rowOff>
    </xdr:to>
    <xdr:sp macro="" textlink="">
      <xdr:nvSpPr>
        <xdr:cNvPr id="1030" name="AutoShape 6" descr="https://www.soccerstats.com/img/own/sshplogo.png">
          <a:hlinkClick xmlns:r="http://schemas.openxmlformats.org/officeDocument/2006/relationships" r:id="rId3"/>
        </xdr:cNvPr>
        <xdr:cNvSpPr>
          <a:spLocks noChangeAspect="1" noChangeArrowheads="1"/>
        </xdr:cNvSpPr>
      </xdr:nvSpPr>
      <xdr:spPr bwMode="auto">
        <a:xfrm>
          <a:off x="13411200" y="601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152400</xdr:colOff>
      <xdr:row>4</xdr:row>
      <xdr:rowOff>106680</xdr:rowOff>
    </xdr:to>
    <xdr:sp macro="" textlink="">
      <xdr:nvSpPr>
        <xdr:cNvPr id="1031" name="AutoShape 7" descr="NETHERLANDS"/>
        <xdr:cNvSpPr>
          <a:spLocks noChangeAspect="1" noChangeArrowheads="1"/>
        </xdr:cNvSpPr>
      </xdr:nvSpPr>
      <xdr:spPr bwMode="auto">
        <a:xfrm>
          <a:off x="0" y="853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</xdr:row>
      <xdr:rowOff>0</xdr:rowOff>
    </xdr:from>
    <xdr:to>
      <xdr:col>22</xdr:col>
      <xdr:colOff>304800</xdr:colOff>
      <xdr:row>5</xdr:row>
      <xdr:rowOff>53340</xdr:rowOff>
    </xdr:to>
    <xdr:sp macro="" textlink="">
      <xdr:nvSpPr>
        <xdr:cNvPr id="1032" name="AutoShape 8" descr="https://www.soccerstats.com/img/own/sshplogo.png">
          <a:hlinkClick xmlns:r="http://schemas.openxmlformats.org/officeDocument/2006/relationships" r:id="rId4"/>
        </xdr:cNvPr>
        <xdr:cNvSpPr>
          <a:spLocks noChangeAspect="1" noChangeArrowheads="1"/>
        </xdr:cNvSpPr>
      </xdr:nvSpPr>
      <xdr:spPr bwMode="auto">
        <a:xfrm>
          <a:off x="13411200" y="853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152400</xdr:colOff>
      <xdr:row>5</xdr:row>
      <xdr:rowOff>106680</xdr:rowOff>
    </xdr:to>
    <xdr:sp macro="" textlink="">
      <xdr:nvSpPr>
        <xdr:cNvPr id="1033" name="AutoShape 9" descr="NETHERLANDS"/>
        <xdr:cNvSpPr>
          <a:spLocks noChangeAspect="1" noChangeArrowheads="1"/>
        </xdr:cNvSpPr>
      </xdr:nvSpPr>
      <xdr:spPr bwMode="auto">
        <a:xfrm>
          <a:off x="0" y="1028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304800</xdr:colOff>
      <xdr:row>6</xdr:row>
      <xdr:rowOff>53340</xdr:rowOff>
    </xdr:to>
    <xdr:sp macro="" textlink="">
      <xdr:nvSpPr>
        <xdr:cNvPr id="1034" name="AutoShape 10" descr="https://www.soccerstats.com/img/own/sshplogo.png">
          <a:hlinkClick xmlns:r="http://schemas.openxmlformats.org/officeDocument/2006/relationships" r:id="rId5"/>
        </xdr:cNvPr>
        <xdr:cNvSpPr>
          <a:spLocks noChangeAspect="1" noChangeArrowheads="1"/>
        </xdr:cNvSpPr>
      </xdr:nvSpPr>
      <xdr:spPr bwMode="auto">
        <a:xfrm>
          <a:off x="134112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152400</xdr:colOff>
      <xdr:row>6</xdr:row>
      <xdr:rowOff>106680</xdr:rowOff>
    </xdr:to>
    <xdr:sp macro="" textlink="">
      <xdr:nvSpPr>
        <xdr:cNvPr id="1035" name="AutoShape 11" descr="NETHERLANDS"/>
        <xdr:cNvSpPr>
          <a:spLocks noChangeAspect="1" noChangeArrowheads="1"/>
        </xdr:cNvSpPr>
      </xdr:nvSpPr>
      <xdr:spPr bwMode="auto">
        <a:xfrm>
          <a:off x="0" y="1280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</xdr:row>
      <xdr:rowOff>0</xdr:rowOff>
    </xdr:from>
    <xdr:to>
      <xdr:col>22</xdr:col>
      <xdr:colOff>304800</xdr:colOff>
      <xdr:row>7</xdr:row>
      <xdr:rowOff>129540</xdr:rowOff>
    </xdr:to>
    <xdr:sp macro="" textlink="">
      <xdr:nvSpPr>
        <xdr:cNvPr id="1036" name="AutoShape 12" descr="https://www.soccerstats.com/img/own/sshplogo.png">
          <a:hlinkClick xmlns:r="http://schemas.openxmlformats.org/officeDocument/2006/relationships" r:id="rId6"/>
        </xdr:cNvPr>
        <xdr:cNvSpPr>
          <a:spLocks noChangeAspect="1" noChangeArrowheads="1"/>
        </xdr:cNvSpPr>
      </xdr:nvSpPr>
      <xdr:spPr bwMode="auto">
        <a:xfrm>
          <a:off x="13411200" y="1280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152400</xdr:colOff>
      <xdr:row>7</xdr:row>
      <xdr:rowOff>106680</xdr:rowOff>
    </xdr:to>
    <xdr:sp macro="" textlink="">
      <xdr:nvSpPr>
        <xdr:cNvPr id="1037" name="AutoShape 13" descr="PORTUGAL"/>
        <xdr:cNvSpPr>
          <a:spLocks noChangeAspect="1" noChangeArrowheads="1"/>
        </xdr:cNvSpPr>
      </xdr:nvSpPr>
      <xdr:spPr bwMode="auto">
        <a:xfrm>
          <a:off x="0" y="1531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</xdr:row>
      <xdr:rowOff>0</xdr:rowOff>
    </xdr:from>
    <xdr:to>
      <xdr:col>22</xdr:col>
      <xdr:colOff>304800</xdr:colOff>
      <xdr:row>8</xdr:row>
      <xdr:rowOff>129540</xdr:rowOff>
    </xdr:to>
    <xdr:sp macro="" textlink="">
      <xdr:nvSpPr>
        <xdr:cNvPr id="1038" name="AutoShape 14" descr="https://www.soccerstats.com/img/own/sshplogo.png">
          <a:hlinkClick xmlns:r="http://schemas.openxmlformats.org/officeDocument/2006/relationships" r:id="rId7"/>
        </xdr:cNvPr>
        <xdr:cNvSpPr>
          <a:spLocks noChangeAspect="1" noChangeArrowheads="1"/>
        </xdr:cNvSpPr>
      </xdr:nvSpPr>
      <xdr:spPr bwMode="auto">
        <a:xfrm>
          <a:off x="13411200" y="1531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152400</xdr:colOff>
      <xdr:row>8</xdr:row>
      <xdr:rowOff>106680</xdr:rowOff>
    </xdr:to>
    <xdr:sp macro="" textlink="">
      <xdr:nvSpPr>
        <xdr:cNvPr id="1039" name="AutoShape 15" descr="PORTUGAL"/>
        <xdr:cNvSpPr>
          <a:spLocks noChangeAspect="1" noChangeArrowheads="1"/>
        </xdr:cNvSpPr>
      </xdr:nvSpPr>
      <xdr:spPr bwMode="auto">
        <a:xfrm>
          <a:off x="0" y="1783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</xdr:row>
      <xdr:rowOff>0</xdr:rowOff>
    </xdr:from>
    <xdr:to>
      <xdr:col>22</xdr:col>
      <xdr:colOff>304800</xdr:colOff>
      <xdr:row>9</xdr:row>
      <xdr:rowOff>129540</xdr:rowOff>
    </xdr:to>
    <xdr:sp macro="" textlink="">
      <xdr:nvSpPr>
        <xdr:cNvPr id="1040" name="AutoShape 16" descr="https://www.soccerstats.com/img/own/sshplogo.png">
          <a:hlinkClick xmlns:r="http://schemas.openxmlformats.org/officeDocument/2006/relationships" r:id="rId8"/>
        </xdr:cNvPr>
        <xdr:cNvSpPr>
          <a:spLocks noChangeAspect="1" noChangeArrowheads="1"/>
        </xdr:cNvSpPr>
      </xdr:nvSpPr>
      <xdr:spPr bwMode="auto">
        <a:xfrm>
          <a:off x="13411200" y="1783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152400</xdr:colOff>
      <xdr:row>9</xdr:row>
      <xdr:rowOff>106680</xdr:rowOff>
    </xdr:to>
    <xdr:sp macro="" textlink="">
      <xdr:nvSpPr>
        <xdr:cNvPr id="1041" name="AutoShape 17" descr="PORTUGAL"/>
        <xdr:cNvSpPr>
          <a:spLocks noChangeAspect="1" noChangeArrowheads="1"/>
        </xdr:cNvSpPr>
      </xdr:nvSpPr>
      <xdr:spPr bwMode="auto">
        <a:xfrm>
          <a:off x="0" y="203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</xdr:row>
      <xdr:rowOff>0</xdr:rowOff>
    </xdr:from>
    <xdr:to>
      <xdr:col>22</xdr:col>
      <xdr:colOff>304800</xdr:colOff>
      <xdr:row>10</xdr:row>
      <xdr:rowOff>129540</xdr:rowOff>
    </xdr:to>
    <xdr:sp macro="" textlink="">
      <xdr:nvSpPr>
        <xdr:cNvPr id="1042" name="AutoShape 18" descr="https://www.soccerstats.com/img/own/sshplogo.png">
          <a:hlinkClick xmlns:r="http://schemas.openxmlformats.org/officeDocument/2006/relationships" r:id="rId9"/>
        </xdr:cNvPr>
        <xdr:cNvSpPr>
          <a:spLocks noChangeAspect="1" noChangeArrowheads="1"/>
        </xdr:cNvSpPr>
      </xdr:nvSpPr>
      <xdr:spPr bwMode="auto">
        <a:xfrm>
          <a:off x="13411200" y="203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152400</xdr:colOff>
      <xdr:row>10</xdr:row>
      <xdr:rowOff>106680</xdr:rowOff>
    </xdr:to>
    <xdr:sp macro="" textlink="">
      <xdr:nvSpPr>
        <xdr:cNvPr id="1043" name="AutoShape 19" descr="ENGLAND2"/>
        <xdr:cNvSpPr>
          <a:spLocks noChangeAspect="1" noChangeArrowheads="1"/>
        </xdr:cNvSpPr>
      </xdr:nvSpPr>
      <xdr:spPr bwMode="auto">
        <a:xfrm>
          <a:off x="0" y="2209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</xdr:row>
      <xdr:rowOff>0</xdr:rowOff>
    </xdr:from>
    <xdr:to>
      <xdr:col>22</xdr:col>
      <xdr:colOff>304800</xdr:colOff>
      <xdr:row>11</xdr:row>
      <xdr:rowOff>129540</xdr:rowOff>
    </xdr:to>
    <xdr:sp macro="" textlink="">
      <xdr:nvSpPr>
        <xdr:cNvPr id="1044" name="AutoShape 20" descr="https://www.soccerstats.com/img/own/sshplogo.png">
          <a:hlinkClick xmlns:r="http://schemas.openxmlformats.org/officeDocument/2006/relationships" r:id="rId10"/>
        </xdr:cNvPr>
        <xdr:cNvSpPr>
          <a:spLocks noChangeAspect="1" noChangeArrowheads="1"/>
        </xdr:cNvSpPr>
      </xdr:nvSpPr>
      <xdr:spPr bwMode="auto">
        <a:xfrm>
          <a:off x="13411200" y="2209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152400</xdr:colOff>
      <xdr:row>11</xdr:row>
      <xdr:rowOff>106680</xdr:rowOff>
    </xdr:to>
    <xdr:sp macro="" textlink="">
      <xdr:nvSpPr>
        <xdr:cNvPr id="1045" name="AutoShape 21" descr="ENGLAND2"/>
        <xdr:cNvSpPr>
          <a:spLocks noChangeAspect="1" noChangeArrowheads="1"/>
        </xdr:cNvSpPr>
      </xdr:nvSpPr>
      <xdr:spPr bwMode="auto">
        <a:xfrm>
          <a:off x="0" y="238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</xdr:row>
      <xdr:rowOff>0</xdr:rowOff>
    </xdr:from>
    <xdr:to>
      <xdr:col>22</xdr:col>
      <xdr:colOff>304800</xdr:colOff>
      <xdr:row>12</xdr:row>
      <xdr:rowOff>129540</xdr:rowOff>
    </xdr:to>
    <xdr:sp macro="" textlink="">
      <xdr:nvSpPr>
        <xdr:cNvPr id="1046" name="AutoShape 22" descr="https://www.soccerstats.com/img/own/sshplogo.png">
          <a:hlinkClick xmlns:r="http://schemas.openxmlformats.org/officeDocument/2006/relationships" r:id="rId11"/>
        </xdr:cNvPr>
        <xdr:cNvSpPr>
          <a:spLocks noChangeAspect="1" noChangeArrowheads="1"/>
        </xdr:cNvSpPr>
      </xdr:nvSpPr>
      <xdr:spPr bwMode="auto">
        <a:xfrm>
          <a:off x="13411200" y="238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152400</xdr:colOff>
      <xdr:row>12</xdr:row>
      <xdr:rowOff>106680</xdr:rowOff>
    </xdr:to>
    <xdr:sp macro="" textlink="">
      <xdr:nvSpPr>
        <xdr:cNvPr id="1047" name="AutoShape 23" descr="ENGLAND2"/>
        <xdr:cNvSpPr>
          <a:spLocks noChangeAspect="1" noChangeArrowheads="1"/>
        </xdr:cNvSpPr>
      </xdr:nvSpPr>
      <xdr:spPr bwMode="auto">
        <a:xfrm>
          <a:off x="0" y="2560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</xdr:row>
      <xdr:rowOff>0</xdr:rowOff>
    </xdr:from>
    <xdr:to>
      <xdr:col>22</xdr:col>
      <xdr:colOff>304800</xdr:colOff>
      <xdr:row>13</xdr:row>
      <xdr:rowOff>53340</xdr:rowOff>
    </xdr:to>
    <xdr:sp macro="" textlink="">
      <xdr:nvSpPr>
        <xdr:cNvPr id="1048" name="AutoShape 24" descr="https://www.soccerstats.com/img/own/sshplogo.png">
          <a:hlinkClick xmlns:r="http://schemas.openxmlformats.org/officeDocument/2006/relationships" r:id="rId12"/>
        </xdr:cNvPr>
        <xdr:cNvSpPr>
          <a:spLocks noChangeAspect="1" noChangeArrowheads="1"/>
        </xdr:cNvSpPr>
      </xdr:nvSpPr>
      <xdr:spPr bwMode="auto">
        <a:xfrm>
          <a:off x="13411200" y="256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152400</xdr:colOff>
      <xdr:row>13</xdr:row>
      <xdr:rowOff>106680</xdr:rowOff>
    </xdr:to>
    <xdr:sp macro="" textlink="">
      <xdr:nvSpPr>
        <xdr:cNvPr id="1049" name="AutoShape 25" descr="ENGLAND2"/>
        <xdr:cNvSpPr>
          <a:spLocks noChangeAspect="1" noChangeArrowheads="1"/>
        </xdr:cNvSpPr>
      </xdr:nvSpPr>
      <xdr:spPr bwMode="auto">
        <a:xfrm>
          <a:off x="0" y="2735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</xdr:row>
      <xdr:rowOff>0</xdr:rowOff>
    </xdr:from>
    <xdr:to>
      <xdr:col>22</xdr:col>
      <xdr:colOff>304800</xdr:colOff>
      <xdr:row>14</xdr:row>
      <xdr:rowOff>129540</xdr:rowOff>
    </xdr:to>
    <xdr:sp macro="" textlink="">
      <xdr:nvSpPr>
        <xdr:cNvPr id="1050" name="AutoShape 26" descr="https://www.soccerstats.com/img/own/sshplogo.png">
          <a:hlinkClick xmlns:r="http://schemas.openxmlformats.org/officeDocument/2006/relationships" r:id="rId13"/>
        </xdr:cNvPr>
        <xdr:cNvSpPr>
          <a:spLocks noChangeAspect="1" noChangeArrowheads="1"/>
        </xdr:cNvSpPr>
      </xdr:nvSpPr>
      <xdr:spPr bwMode="auto">
        <a:xfrm>
          <a:off x="13411200" y="2735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152400</xdr:colOff>
      <xdr:row>14</xdr:row>
      <xdr:rowOff>106680</xdr:rowOff>
    </xdr:to>
    <xdr:sp macro="" textlink="">
      <xdr:nvSpPr>
        <xdr:cNvPr id="1051" name="AutoShape 27" descr="ENGLAND2"/>
        <xdr:cNvSpPr>
          <a:spLocks noChangeAspect="1" noChangeArrowheads="1"/>
        </xdr:cNvSpPr>
      </xdr:nvSpPr>
      <xdr:spPr bwMode="auto">
        <a:xfrm>
          <a:off x="0" y="2987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</xdr:row>
      <xdr:rowOff>0</xdr:rowOff>
    </xdr:from>
    <xdr:to>
      <xdr:col>22</xdr:col>
      <xdr:colOff>304800</xdr:colOff>
      <xdr:row>15</xdr:row>
      <xdr:rowOff>53340</xdr:rowOff>
    </xdr:to>
    <xdr:sp macro="" textlink="">
      <xdr:nvSpPr>
        <xdr:cNvPr id="1052" name="AutoShape 28" descr="https://www.soccerstats.com/img/own/sshplogo.png">
          <a:hlinkClick xmlns:r="http://schemas.openxmlformats.org/officeDocument/2006/relationships" r:id="rId14"/>
        </xdr:cNvPr>
        <xdr:cNvSpPr>
          <a:spLocks noChangeAspect="1" noChangeArrowheads="1"/>
        </xdr:cNvSpPr>
      </xdr:nvSpPr>
      <xdr:spPr bwMode="auto">
        <a:xfrm>
          <a:off x="13411200" y="2987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152400</xdr:colOff>
      <xdr:row>15</xdr:row>
      <xdr:rowOff>106680</xdr:rowOff>
    </xdr:to>
    <xdr:sp macro="" textlink="">
      <xdr:nvSpPr>
        <xdr:cNvPr id="1053" name="AutoShape 29" descr="ENGLAND2"/>
        <xdr:cNvSpPr>
          <a:spLocks noChangeAspect="1" noChangeArrowheads="1"/>
        </xdr:cNvSpPr>
      </xdr:nvSpPr>
      <xdr:spPr bwMode="auto">
        <a:xfrm>
          <a:off x="0" y="3162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</xdr:row>
      <xdr:rowOff>0</xdr:rowOff>
    </xdr:from>
    <xdr:to>
      <xdr:col>22</xdr:col>
      <xdr:colOff>304800</xdr:colOff>
      <xdr:row>16</xdr:row>
      <xdr:rowOff>129540</xdr:rowOff>
    </xdr:to>
    <xdr:sp macro="" textlink="">
      <xdr:nvSpPr>
        <xdr:cNvPr id="1054" name="AutoShape 30" descr="https://www.soccerstats.com/img/own/sshplogo.png">
          <a:hlinkClick xmlns:r="http://schemas.openxmlformats.org/officeDocument/2006/relationships" r:id="rId15"/>
        </xdr:cNvPr>
        <xdr:cNvSpPr>
          <a:spLocks noChangeAspect="1" noChangeArrowheads="1"/>
        </xdr:cNvSpPr>
      </xdr:nvSpPr>
      <xdr:spPr bwMode="auto">
        <a:xfrm>
          <a:off x="13411200" y="3162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152400</xdr:colOff>
      <xdr:row>16</xdr:row>
      <xdr:rowOff>106680</xdr:rowOff>
    </xdr:to>
    <xdr:sp macro="" textlink="">
      <xdr:nvSpPr>
        <xdr:cNvPr id="1055" name="AutoShape 31" descr="ENGLAND2"/>
        <xdr:cNvSpPr>
          <a:spLocks noChangeAspect="1" noChangeArrowheads="1"/>
        </xdr:cNvSpPr>
      </xdr:nvSpPr>
      <xdr:spPr bwMode="auto">
        <a:xfrm>
          <a:off x="0" y="3337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</xdr:row>
      <xdr:rowOff>0</xdr:rowOff>
    </xdr:from>
    <xdr:to>
      <xdr:col>22</xdr:col>
      <xdr:colOff>304800</xdr:colOff>
      <xdr:row>17</xdr:row>
      <xdr:rowOff>129540</xdr:rowOff>
    </xdr:to>
    <xdr:sp macro="" textlink="">
      <xdr:nvSpPr>
        <xdr:cNvPr id="1056" name="AutoShape 32" descr="https://www.soccerstats.com/img/own/sshplogo.png">
          <a:hlinkClick xmlns:r="http://schemas.openxmlformats.org/officeDocument/2006/relationships" r:id="rId16"/>
        </xdr:cNvPr>
        <xdr:cNvSpPr>
          <a:spLocks noChangeAspect="1" noChangeArrowheads="1"/>
        </xdr:cNvSpPr>
      </xdr:nvSpPr>
      <xdr:spPr bwMode="auto">
        <a:xfrm>
          <a:off x="13411200" y="3337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152400</xdr:colOff>
      <xdr:row>17</xdr:row>
      <xdr:rowOff>106680</xdr:rowOff>
    </xdr:to>
    <xdr:sp macro="" textlink="">
      <xdr:nvSpPr>
        <xdr:cNvPr id="1057" name="AutoShape 33" descr="ENGLAND2"/>
        <xdr:cNvSpPr>
          <a:spLocks noChangeAspect="1" noChangeArrowheads="1"/>
        </xdr:cNvSpPr>
      </xdr:nvSpPr>
      <xdr:spPr bwMode="auto">
        <a:xfrm>
          <a:off x="0" y="3512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</xdr:row>
      <xdr:rowOff>0</xdr:rowOff>
    </xdr:from>
    <xdr:to>
      <xdr:col>22</xdr:col>
      <xdr:colOff>304800</xdr:colOff>
      <xdr:row>18</xdr:row>
      <xdr:rowOff>53340</xdr:rowOff>
    </xdr:to>
    <xdr:sp macro="" textlink="">
      <xdr:nvSpPr>
        <xdr:cNvPr id="1058" name="AutoShape 34" descr="https://www.soccerstats.com/img/own/sshplogo.png">
          <a:hlinkClick xmlns:r="http://schemas.openxmlformats.org/officeDocument/2006/relationships" r:id="rId17"/>
        </xdr:cNvPr>
        <xdr:cNvSpPr>
          <a:spLocks noChangeAspect="1" noChangeArrowheads="1"/>
        </xdr:cNvSpPr>
      </xdr:nvSpPr>
      <xdr:spPr bwMode="auto">
        <a:xfrm>
          <a:off x="13411200" y="3512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152400</xdr:colOff>
      <xdr:row>18</xdr:row>
      <xdr:rowOff>106680</xdr:rowOff>
    </xdr:to>
    <xdr:sp macro="" textlink="">
      <xdr:nvSpPr>
        <xdr:cNvPr id="1059" name="AutoShape 35" descr="ENGLAND3"/>
        <xdr:cNvSpPr>
          <a:spLocks noChangeAspect="1" noChangeArrowheads="1"/>
        </xdr:cNvSpPr>
      </xdr:nvSpPr>
      <xdr:spPr bwMode="auto">
        <a:xfrm>
          <a:off x="0" y="3764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</xdr:row>
      <xdr:rowOff>0</xdr:rowOff>
    </xdr:from>
    <xdr:to>
      <xdr:col>22</xdr:col>
      <xdr:colOff>304800</xdr:colOff>
      <xdr:row>19</xdr:row>
      <xdr:rowOff>53340</xdr:rowOff>
    </xdr:to>
    <xdr:sp macro="" textlink="">
      <xdr:nvSpPr>
        <xdr:cNvPr id="1060" name="AutoShape 36" descr="https://www.soccerstats.com/img/own/sshplogo.png">
          <a:hlinkClick xmlns:r="http://schemas.openxmlformats.org/officeDocument/2006/relationships" r:id="rId18"/>
        </xdr:cNvPr>
        <xdr:cNvSpPr>
          <a:spLocks noChangeAspect="1" noChangeArrowheads="1"/>
        </xdr:cNvSpPr>
      </xdr:nvSpPr>
      <xdr:spPr bwMode="auto">
        <a:xfrm>
          <a:off x="13411200" y="3764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152400</xdr:colOff>
      <xdr:row>19</xdr:row>
      <xdr:rowOff>106680</xdr:rowOff>
    </xdr:to>
    <xdr:sp macro="" textlink="">
      <xdr:nvSpPr>
        <xdr:cNvPr id="1061" name="AutoShape 37" descr="ENGLAND3"/>
        <xdr:cNvSpPr>
          <a:spLocks noChangeAspect="1" noChangeArrowheads="1"/>
        </xdr:cNvSpPr>
      </xdr:nvSpPr>
      <xdr:spPr bwMode="auto">
        <a:xfrm>
          <a:off x="0" y="3939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</xdr:row>
      <xdr:rowOff>0</xdr:rowOff>
    </xdr:from>
    <xdr:to>
      <xdr:col>22</xdr:col>
      <xdr:colOff>304800</xdr:colOff>
      <xdr:row>20</xdr:row>
      <xdr:rowOff>129540</xdr:rowOff>
    </xdr:to>
    <xdr:sp macro="" textlink="">
      <xdr:nvSpPr>
        <xdr:cNvPr id="1062" name="AutoShape 38" descr="https://www.soccerstats.com/img/own/sshplogo.png">
          <a:hlinkClick xmlns:r="http://schemas.openxmlformats.org/officeDocument/2006/relationships" r:id="rId19"/>
        </xdr:cNvPr>
        <xdr:cNvSpPr>
          <a:spLocks noChangeAspect="1" noChangeArrowheads="1"/>
        </xdr:cNvSpPr>
      </xdr:nvSpPr>
      <xdr:spPr bwMode="auto">
        <a:xfrm>
          <a:off x="13411200" y="3939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152400</xdr:colOff>
      <xdr:row>20</xdr:row>
      <xdr:rowOff>106680</xdr:rowOff>
    </xdr:to>
    <xdr:sp macro="" textlink="">
      <xdr:nvSpPr>
        <xdr:cNvPr id="1063" name="AutoShape 39" descr="ENGLAND3"/>
        <xdr:cNvSpPr>
          <a:spLocks noChangeAspect="1" noChangeArrowheads="1"/>
        </xdr:cNvSpPr>
      </xdr:nvSpPr>
      <xdr:spPr bwMode="auto">
        <a:xfrm>
          <a:off x="0" y="4191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</xdr:row>
      <xdr:rowOff>0</xdr:rowOff>
    </xdr:from>
    <xdr:to>
      <xdr:col>22</xdr:col>
      <xdr:colOff>304800</xdr:colOff>
      <xdr:row>21</xdr:row>
      <xdr:rowOff>129540</xdr:rowOff>
    </xdr:to>
    <xdr:sp macro="" textlink="">
      <xdr:nvSpPr>
        <xdr:cNvPr id="1064" name="AutoShape 40" descr="https://www.soccerstats.com/img/own/sshplogo.png">
          <a:hlinkClick xmlns:r="http://schemas.openxmlformats.org/officeDocument/2006/relationships" r:id="rId20"/>
        </xdr:cNvPr>
        <xdr:cNvSpPr>
          <a:spLocks noChangeAspect="1" noChangeArrowheads="1"/>
        </xdr:cNvSpPr>
      </xdr:nvSpPr>
      <xdr:spPr bwMode="auto">
        <a:xfrm>
          <a:off x="13411200" y="419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152400</xdr:colOff>
      <xdr:row>21</xdr:row>
      <xdr:rowOff>106680</xdr:rowOff>
    </xdr:to>
    <xdr:sp macro="" textlink="">
      <xdr:nvSpPr>
        <xdr:cNvPr id="1065" name="AutoShape 41" descr="ENGLAND3"/>
        <xdr:cNvSpPr>
          <a:spLocks noChangeAspect="1" noChangeArrowheads="1"/>
        </xdr:cNvSpPr>
      </xdr:nvSpPr>
      <xdr:spPr bwMode="auto">
        <a:xfrm>
          <a:off x="0" y="4366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</xdr:row>
      <xdr:rowOff>0</xdr:rowOff>
    </xdr:from>
    <xdr:to>
      <xdr:col>22</xdr:col>
      <xdr:colOff>304800</xdr:colOff>
      <xdr:row>22</xdr:row>
      <xdr:rowOff>53340</xdr:rowOff>
    </xdr:to>
    <xdr:sp macro="" textlink="">
      <xdr:nvSpPr>
        <xdr:cNvPr id="1066" name="AutoShape 42" descr="https://www.soccerstats.com/img/own/sshplogo.png">
          <a:hlinkClick xmlns:r="http://schemas.openxmlformats.org/officeDocument/2006/relationships" r:id="rId21"/>
        </xdr:cNvPr>
        <xdr:cNvSpPr>
          <a:spLocks noChangeAspect="1" noChangeArrowheads="1"/>
        </xdr:cNvSpPr>
      </xdr:nvSpPr>
      <xdr:spPr bwMode="auto">
        <a:xfrm>
          <a:off x="13411200" y="4366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152400</xdr:colOff>
      <xdr:row>22</xdr:row>
      <xdr:rowOff>106680</xdr:rowOff>
    </xdr:to>
    <xdr:sp macro="" textlink="">
      <xdr:nvSpPr>
        <xdr:cNvPr id="1067" name="AutoShape 43" descr="ENGLAND3"/>
        <xdr:cNvSpPr>
          <a:spLocks noChangeAspect="1" noChangeArrowheads="1"/>
        </xdr:cNvSpPr>
      </xdr:nvSpPr>
      <xdr:spPr bwMode="auto">
        <a:xfrm>
          <a:off x="0" y="4541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</xdr:row>
      <xdr:rowOff>0</xdr:rowOff>
    </xdr:from>
    <xdr:to>
      <xdr:col>22</xdr:col>
      <xdr:colOff>304800</xdr:colOff>
      <xdr:row>23</xdr:row>
      <xdr:rowOff>129540</xdr:rowOff>
    </xdr:to>
    <xdr:sp macro="" textlink="">
      <xdr:nvSpPr>
        <xdr:cNvPr id="1068" name="AutoShape 44" descr="https://www.soccerstats.com/img/own/sshplogo.png">
          <a:hlinkClick xmlns:r="http://schemas.openxmlformats.org/officeDocument/2006/relationships" r:id="rId22"/>
        </xdr:cNvPr>
        <xdr:cNvSpPr>
          <a:spLocks noChangeAspect="1" noChangeArrowheads="1"/>
        </xdr:cNvSpPr>
      </xdr:nvSpPr>
      <xdr:spPr bwMode="auto">
        <a:xfrm>
          <a:off x="13411200" y="4541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152400</xdr:colOff>
      <xdr:row>23</xdr:row>
      <xdr:rowOff>106680</xdr:rowOff>
    </xdr:to>
    <xdr:sp macro="" textlink="">
      <xdr:nvSpPr>
        <xdr:cNvPr id="1069" name="AutoShape 45" descr="ENGLAND3"/>
        <xdr:cNvSpPr>
          <a:spLocks noChangeAspect="1" noChangeArrowheads="1"/>
        </xdr:cNvSpPr>
      </xdr:nvSpPr>
      <xdr:spPr bwMode="auto">
        <a:xfrm>
          <a:off x="0" y="4716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</xdr:row>
      <xdr:rowOff>0</xdr:rowOff>
    </xdr:from>
    <xdr:to>
      <xdr:col>22</xdr:col>
      <xdr:colOff>304800</xdr:colOff>
      <xdr:row>24</xdr:row>
      <xdr:rowOff>129540</xdr:rowOff>
    </xdr:to>
    <xdr:sp macro="" textlink="">
      <xdr:nvSpPr>
        <xdr:cNvPr id="1070" name="AutoShape 46" descr="https://www.soccerstats.com/img/own/sshplogo.png">
          <a:hlinkClick xmlns:r="http://schemas.openxmlformats.org/officeDocument/2006/relationships" r:id="rId23"/>
        </xdr:cNvPr>
        <xdr:cNvSpPr>
          <a:spLocks noChangeAspect="1" noChangeArrowheads="1"/>
        </xdr:cNvSpPr>
      </xdr:nvSpPr>
      <xdr:spPr bwMode="auto">
        <a:xfrm>
          <a:off x="13411200" y="4716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071" name="AutoShape 47" descr="ENGLAND3"/>
        <xdr:cNvSpPr>
          <a:spLocks noChangeAspect="1" noChangeArrowheads="1"/>
        </xdr:cNvSpPr>
      </xdr:nvSpPr>
      <xdr:spPr bwMode="auto">
        <a:xfrm>
          <a:off x="0" y="4892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072" name="AutoShape 48" descr="https://www.soccerstats.com/img/own/sshplogo.png">
          <a:hlinkClick xmlns:r="http://schemas.openxmlformats.org/officeDocument/2006/relationships" r:id="rId24"/>
        </xdr:cNvPr>
        <xdr:cNvSpPr>
          <a:spLocks noChangeAspect="1" noChangeArrowheads="1"/>
        </xdr:cNvSpPr>
      </xdr:nvSpPr>
      <xdr:spPr bwMode="auto">
        <a:xfrm>
          <a:off x="13411200" y="4892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073" name="AutoShape 49" descr="ENGLAND3"/>
        <xdr:cNvSpPr>
          <a:spLocks noChangeAspect="1" noChangeArrowheads="1"/>
        </xdr:cNvSpPr>
      </xdr:nvSpPr>
      <xdr:spPr bwMode="auto">
        <a:xfrm>
          <a:off x="0" y="5143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074" name="AutoShape 50" descr="https://www.soccerstats.com/img/own/sshplogo.png">
          <a:hlinkClick xmlns:r="http://schemas.openxmlformats.org/officeDocument/2006/relationships" r:id="rId25"/>
        </xdr:cNvPr>
        <xdr:cNvSpPr>
          <a:spLocks noChangeAspect="1" noChangeArrowheads="1"/>
        </xdr:cNvSpPr>
      </xdr:nvSpPr>
      <xdr:spPr bwMode="auto">
        <a:xfrm>
          <a:off x="13411200" y="51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075" name="AutoShape 51" descr="ENGLAND3"/>
        <xdr:cNvSpPr>
          <a:spLocks noChangeAspect="1" noChangeArrowheads="1"/>
        </xdr:cNvSpPr>
      </xdr:nvSpPr>
      <xdr:spPr bwMode="auto">
        <a:xfrm>
          <a:off x="0" y="5394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076" name="AutoShape 52" descr="https://www.soccerstats.com/img/own/sshplogo.png">
          <a:hlinkClick xmlns:r="http://schemas.openxmlformats.org/officeDocument/2006/relationships" r:id="rId26"/>
        </xdr:cNvPr>
        <xdr:cNvSpPr>
          <a:spLocks noChangeAspect="1" noChangeArrowheads="1"/>
        </xdr:cNvSpPr>
      </xdr:nvSpPr>
      <xdr:spPr bwMode="auto">
        <a:xfrm>
          <a:off x="13411200" y="5394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077" name="AutoShape 53" descr="ENGLAND3"/>
        <xdr:cNvSpPr>
          <a:spLocks noChangeAspect="1" noChangeArrowheads="1"/>
        </xdr:cNvSpPr>
      </xdr:nvSpPr>
      <xdr:spPr bwMode="auto">
        <a:xfrm>
          <a:off x="0" y="5646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078" name="AutoShape 54" descr="https://www.soccerstats.com/img/own/sshplogo.png">
          <a:hlinkClick xmlns:r="http://schemas.openxmlformats.org/officeDocument/2006/relationships" r:id="rId27"/>
        </xdr:cNvPr>
        <xdr:cNvSpPr>
          <a:spLocks noChangeAspect="1" noChangeArrowheads="1"/>
        </xdr:cNvSpPr>
      </xdr:nvSpPr>
      <xdr:spPr bwMode="auto">
        <a:xfrm>
          <a:off x="13411200" y="5646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079" name="AutoShape 55" descr="ENGLAND3"/>
        <xdr:cNvSpPr>
          <a:spLocks noChangeAspect="1" noChangeArrowheads="1"/>
        </xdr:cNvSpPr>
      </xdr:nvSpPr>
      <xdr:spPr bwMode="auto">
        <a:xfrm>
          <a:off x="0" y="5821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080" name="AutoShape 56" descr="https://www.soccerstats.com/img/own/sshplogo.png">
          <a:hlinkClick xmlns:r="http://schemas.openxmlformats.org/officeDocument/2006/relationships" r:id="rId28"/>
        </xdr:cNvPr>
        <xdr:cNvSpPr>
          <a:spLocks noChangeAspect="1" noChangeArrowheads="1"/>
        </xdr:cNvSpPr>
      </xdr:nvSpPr>
      <xdr:spPr bwMode="auto">
        <a:xfrm>
          <a:off x="13411200" y="582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081" name="AutoShape 57" descr="ENGLAND3"/>
        <xdr:cNvSpPr>
          <a:spLocks noChangeAspect="1" noChangeArrowheads="1"/>
        </xdr:cNvSpPr>
      </xdr:nvSpPr>
      <xdr:spPr bwMode="auto">
        <a:xfrm>
          <a:off x="0" y="5996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082" name="AutoShape 58" descr="https://www.soccerstats.com/img/own/sshplogo.png">
          <a:hlinkClick xmlns:r="http://schemas.openxmlformats.org/officeDocument/2006/relationships" r:id="rId29"/>
        </xdr:cNvPr>
        <xdr:cNvSpPr>
          <a:spLocks noChangeAspect="1" noChangeArrowheads="1"/>
        </xdr:cNvSpPr>
      </xdr:nvSpPr>
      <xdr:spPr bwMode="auto">
        <a:xfrm>
          <a:off x="13411200" y="5996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083" name="AutoShape 59" descr="ENGLAND4"/>
        <xdr:cNvSpPr>
          <a:spLocks noChangeAspect="1" noChangeArrowheads="1"/>
        </xdr:cNvSpPr>
      </xdr:nvSpPr>
      <xdr:spPr bwMode="auto">
        <a:xfrm>
          <a:off x="0" y="6172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084" name="AutoShape 60" descr="https://www.soccerstats.com/img/own/sshplogo.png">
          <a:hlinkClick xmlns:r="http://schemas.openxmlformats.org/officeDocument/2006/relationships" r:id="rId30"/>
        </xdr:cNvPr>
        <xdr:cNvSpPr>
          <a:spLocks noChangeAspect="1" noChangeArrowheads="1"/>
        </xdr:cNvSpPr>
      </xdr:nvSpPr>
      <xdr:spPr bwMode="auto">
        <a:xfrm>
          <a:off x="134112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085" name="AutoShape 61" descr="ENGLAND4"/>
        <xdr:cNvSpPr>
          <a:spLocks noChangeAspect="1" noChangeArrowheads="1"/>
        </xdr:cNvSpPr>
      </xdr:nvSpPr>
      <xdr:spPr bwMode="auto">
        <a:xfrm>
          <a:off x="0" y="6347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086" name="AutoShape 62" descr="https://www.soccerstats.com/img/own/sshplogo.png">
          <a:hlinkClick xmlns:r="http://schemas.openxmlformats.org/officeDocument/2006/relationships" r:id="rId31"/>
        </xdr:cNvPr>
        <xdr:cNvSpPr>
          <a:spLocks noChangeAspect="1" noChangeArrowheads="1"/>
        </xdr:cNvSpPr>
      </xdr:nvSpPr>
      <xdr:spPr bwMode="auto">
        <a:xfrm>
          <a:off x="13411200" y="6347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087" name="AutoShape 63" descr="ENGLAND4"/>
        <xdr:cNvSpPr>
          <a:spLocks noChangeAspect="1" noChangeArrowheads="1"/>
        </xdr:cNvSpPr>
      </xdr:nvSpPr>
      <xdr:spPr bwMode="auto">
        <a:xfrm>
          <a:off x="0" y="6522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088" name="AutoShape 64" descr="https://www.soccerstats.com/img/own/sshplogo.png">
          <a:hlinkClick xmlns:r="http://schemas.openxmlformats.org/officeDocument/2006/relationships" r:id="rId32"/>
        </xdr:cNvPr>
        <xdr:cNvSpPr>
          <a:spLocks noChangeAspect="1" noChangeArrowheads="1"/>
        </xdr:cNvSpPr>
      </xdr:nvSpPr>
      <xdr:spPr bwMode="auto">
        <a:xfrm>
          <a:off x="13411200" y="6522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089" name="AutoShape 65" descr="ENGLAND4"/>
        <xdr:cNvSpPr>
          <a:spLocks noChangeAspect="1" noChangeArrowheads="1"/>
        </xdr:cNvSpPr>
      </xdr:nvSpPr>
      <xdr:spPr bwMode="auto">
        <a:xfrm>
          <a:off x="0" y="6774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090" name="AutoShape 66" descr="https://www.soccerstats.com/img/own/sshplogo.png">
          <a:hlinkClick xmlns:r="http://schemas.openxmlformats.org/officeDocument/2006/relationships" r:id="rId33"/>
        </xdr:cNvPr>
        <xdr:cNvSpPr>
          <a:spLocks noChangeAspect="1" noChangeArrowheads="1"/>
        </xdr:cNvSpPr>
      </xdr:nvSpPr>
      <xdr:spPr bwMode="auto">
        <a:xfrm>
          <a:off x="13411200" y="6774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091" name="AutoShape 67" descr="ENGLAND4"/>
        <xdr:cNvSpPr>
          <a:spLocks noChangeAspect="1" noChangeArrowheads="1"/>
        </xdr:cNvSpPr>
      </xdr:nvSpPr>
      <xdr:spPr bwMode="auto">
        <a:xfrm>
          <a:off x="0" y="6949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092" name="AutoShape 68" descr="https://www.soccerstats.com/img/own/sshplogo.png">
          <a:hlinkClick xmlns:r="http://schemas.openxmlformats.org/officeDocument/2006/relationships" r:id="rId34"/>
        </xdr:cNvPr>
        <xdr:cNvSpPr>
          <a:spLocks noChangeAspect="1" noChangeArrowheads="1"/>
        </xdr:cNvSpPr>
      </xdr:nvSpPr>
      <xdr:spPr bwMode="auto">
        <a:xfrm>
          <a:off x="13411200" y="6949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093" name="AutoShape 69" descr="ENGLAND4"/>
        <xdr:cNvSpPr>
          <a:spLocks noChangeAspect="1" noChangeArrowheads="1"/>
        </xdr:cNvSpPr>
      </xdr:nvSpPr>
      <xdr:spPr bwMode="auto">
        <a:xfrm>
          <a:off x="0" y="7124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094" name="AutoShape 70" descr="https://www.soccerstats.com/img/own/sshplogo.png">
          <a:hlinkClick xmlns:r="http://schemas.openxmlformats.org/officeDocument/2006/relationships" r:id="rId35"/>
        </xdr:cNvPr>
        <xdr:cNvSpPr>
          <a:spLocks noChangeAspect="1" noChangeArrowheads="1"/>
        </xdr:cNvSpPr>
      </xdr:nvSpPr>
      <xdr:spPr bwMode="auto">
        <a:xfrm>
          <a:off x="13411200" y="712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095" name="AutoShape 71" descr="ENGLAND4"/>
        <xdr:cNvSpPr>
          <a:spLocks noChangeAspect="1" noChangeArrowheads="1"/>
        </xdr:cNvSpPr>
      </xdr:nvSpPr>
      <xdr:spPr bwMode="auto">
        <a:xfrm>
          <a:off x="0" y="7299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096" name="AutoShape 72" descr="https://www.soccerstats.com/img/own/sshplogo.png">
          <a:hlinkClick xmlns:r="http://schemas.openxmlformats.org/officeDocument/2006/relationships" r:id="rId36"/>
        </xdr:cNvPr>
        <xdr:cNvSpPr>
          <a:spLocks noChangeAspect="1" noChangeArrowheads="1"/>
        </xdr:cNvSpPr>
      </xdr:nvSpPr>
      <xdr:spPr bwMode="auto">
        <a:xfrm>
          <a:off x="13411200" y="7299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097" name="AutoShape 73" descr="ENGLAND4"/>
        <xdr:cNvSpPr>
          <a:spLocks noChangeAspect="1" noChangeArrowheads="1"/>
        </xdr:cNvSpPr>
      </xdr:nvSpPr>
      <xdr:spPr bwMode="auto">
        <a:xfrm>
          <a:off x="0" y="7551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098" name="AutoShape 74" descr="https://www.soccerstats.com/img/own/sshplogo.png">
          <a:hlinkClick xmlns:r="http://schemas.openxmlformats.org/officeDocument/2006/relationships" r:id="rId37"/>
        </xdr:cNvPr>
        <xdr:cNvSpPr>
          <a:spLocks noChangeAspect="1" noChangeArrowheads="1"/>
        </xdr:cNvSpPr>
      </xdr:nvSpPr>
      <xdr:spPr bwMode="auto">
        <a:xfrm>
          <a:off x="13411200" y="7551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099" name="AutoShape 75" descr="ENGLAND4"/>
        <xdr:cNvSpPr>
          <a:spLocks noChangeAspect="1" noChangeArrowheads="1"/>
        </xdr:cNvSpPr>
      </xdr:nvSpPr>
      <xdr:spPr bwMode="auto">
        <a:xfrm>
          <a:off x="0" y="7726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00" name="AutoShape 76" descr="https://www.soccerstats.com/img/own/sshplogo.png">
          <a:hlinkClick xmlns:r="http://schemas.openxmlformats.org/officeDocument/2006/relationships" r:id="rId38"/>
        </xdr:cNvPr>
        <xdr:cNvSpPr>
          <a:spLocks noChangeAspect="1" noChangeArrowheads="1"/>
        </xdr:cNvSpPr>
      </xdr:nvSpPr>
      <xdr:spPr bwMode="auto">
        <a:xfrm>
          <a:off x="13411200" y="7726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01" name="AutoShape 77" descr="ENGLAND4"/>
        <xdr:cNvSpPr>
          <a:spLocks noChangeAspect="1" noChangeArrowheads="1"/>
        </xdr:cNvSpPr>
      </xdr:nvSpPr>
      <xdr:spPr bwMode="auto">
        <a:xfrm>
          <a:off x="0" y="7901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02" name="AutoShape 78" descr="https://www.soccerstats.com/img/own/sshplogo.png">
          <a:hlinkClick xmlns:r="http://schemas.openxmlformats.org/officeDocument/2006/relationships" r:id="rId39"/>
        </xdr:cNvPr>
        <xdr:cNvSpPr>
          <a:spLocks noChangeAspect="1" noChangeArrowheads="1"/>
        </xdr:cNvSpPr>
      </xdr:nvSpPr>
      <xdr:spPr bwMode="auto">
        <a:xfrm>
          <a:off x="13411200" y="7901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03" name="AutoShape 79" descr="ENGLAND4"/>
        <xdr:cNvSpPr>
          <a:spLocks noChangeAspect="1" noChangeArrowheads="1"/>
        </xdr:cNvSpPr>
      </xdr:nvSpPr>
      <xdr:spPr bwMode="auto">
        <a:xfrm>
          <a:off x="0" y="815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04" name="AutoShape 80" descr="https://www.soccerstats.com/img/own/sshplogo.png">
          <a:hlinkClick xmlns:r="http://schemas.openxmlformats.org/officeDocument/2006/relationships" r:id="rId40"/>
        </xdr:cNvPr>
        <xdr:cNvSpPr>
          <a:spLocks noChangeAspect="1" noChangeArrowheads="1"/>
        </xdr:cNvSpPr>
      </xdr:nvSpPr>
      <xdr:spPr bwMode="auto">
        <a:xfrm>
          <a:off x="13411200" y="815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05" name="AutoShape 81" descr="ENGLAND4"/>
        <xdr:cNvSpPr>
          <a:spLocks noChangeAspect="1" noChangeArrowheads="1"/>
        </xdr:cNvSpPr>
      </xdr:nvSpPr>
      <xdr:spPr bwMode="auto">
        <a:xfrm>
          <a:off x="0" y="832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06" name="AutoShape 82" descr="https://www.soccerstats.com/img/own/sshplogo.png">
          <a:hlinkClick xmlns:r="http://schemas.openxmlformats.org/officeDocument/2006/relationships" r:id="rId41"/>
        </xdr:cNvPr>
        <xdr:cNvSpPr>
          <a:spLocks noChangeAspect="1" noChangeArrowheads="1"/>
        </xdr:cNvSpPr>
      </xdr:nvSpPr>
      <xdr:spPr bwMode="auto">
        <a:xfrm>
          <a:off x="13411200" y="832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07" name="AutoShape 83" descr="ENGLAND5"/>
        <xdr:cNvSpPr>
          <a:spLocks noChangeAspect="1" noChangeArrowheads="1"/>
        </xdr:cNvSpPr>
      </xdr:nvSpPr>
      <xdr:spPr bwMode="auto">
        <a:xfrm>
          <a:off x="0" y="8503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08" name="AutoShape 84" descr="https://www.soccerstats.com/img/own/sshplogo.png">
          <a:hlinkClick xmlns:r="http://schemas.openxmlformats.org/officeDocument/2006/relationships" r:id="rId42"/>
        </xdr:cNvPr>
        <xdr:cNvSpPr>
          <a:spLocks noChangeAspect="1" noChangeArrowheads="1"/>
        </xdr:cNvSpPr>
      </xdr:nvSpPr>
      <xdr:spPr bwMode="auto">
        <a:xfrm>
          <a:off x="13411200" y="8503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09" name="AutoShape 85" descr="ENGLAND5"/>
        <xdr:cNvSpPr>
          <a:spLocks noChangeAspect="1" noChangeArrowheads="1"/>
        </xdr:cNvSpPr>
      </xdr:nvSpPr>
      <xdr:spPr bwMode="auto">
        <a:xfrm>
          <a:off x="0" y="8755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10" name="AutoShape 86" descr="https://www.soccerstats.com/img/own/sshplogo.png">
          <a:hlinkClick xmlns:r="http://schemas.openxmlformats.org/officeDocument/2006/relationships" r:id="rId43"/>
        </xdr:cNvPr>
        <xdr:cNvSpPr>
          <a:spLocks noChangeAspect="1" noChangeArrowheads="1"/>
        </xdr:cNvSpPr>
      </xdr:nvSpPr>
      <xdr:spPr bwMode="auto">
        <a:xfrm>
          <a:off x="13411200" y="8755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11" name="AutoShape 87" descr="ENGLAND5"/>
        <xdr:cNvSpPr>
          <a:spLocks noChangeAspect="1" noChangeArrowheads="1"/>
        </xdr:cNvSpPr>
      </xdr:nvSpPr>
      <xdr:spPr bwMode="auto">
        <a:xfrm>
          <a:off x="0" y="893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12" name="AutoShape 88" descr="https://www.soccerstats.com/img/own/sshplogo.png">
          <a:hlinkClick xmlns:r="http://schemas.openxmlformats.org/officeDocument/2006/relationships" r:id="rId44"/>
        </xdr:cNvPr>
        <xdr:cNvSpPr>
          <a:spLocks noChangeAspect="1" noChangeArrowheads="1"/>
        </xdr:cNvSpPr>
      </xdr:nvSpPr>
      <xdr:spPr bwMode="auto">
        <a:xfrm>
          <a:off x="13411200" y="893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13" name="AutoShape 89" descr="ENGLAND5"/>
        <xdr:cNvSpPr>
          <a:spLocks noChangeAspect="1" noChangeArrowheads="1"/>
        </xdr:cNvSpPr>
      </xdr:nvSpPr>
      <xdr:spPr bwMode="auto">
        <a:xfrm>
          <a:off x="0" y="9105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14" name="AutoShape 90" descr="https://www.soccerstats.com/img/own/sshplogo.png">
          <a:hlinkClick xmlns:r="http://schemas.openxmlformats.org/officeDocument/2006/relationships" r:id="rId45"/>
        </xdr:cNvPr>
        <xdr:cNvSpPr>
          <a:spLocks noChangeAspect="1" noChangeArrowheads="1"/>
        </xdr:cNvSpPr>
      </xdr:nvSpPr>
      <xdr:spPr bwMode="auto">
        <a:xfrm>
          <a:off x="13411200" y="9105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15" name="AutoShape 91" descr="ENGLAND5"/>
        <xdr:cNvSpPr>
          <a:spLocks noChangeAspect="1" noChangeArrowheads="1"/>
        </xdr:cNvSpPr>
      </xdr:nvSpPr>
      <xdr:spPr bwMode="auto">
        <a:xfrm>
          <a:off x="0" y="9357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16" name="AutoShape 92" descr="https://www.soccerstats.com/img/own/sshplogo.png">
          <a:hlinkClick xmlns:r="http://schemas.openxmlformats.org/officeDocument/2006/relationships" r:id="rId46"/>
        </xdr:cNvPr>
        <xdr:cNvSpPr>
          <a:spLocks noChangeAspect="1" noChangeArrowheads="1"/>
        </xdr:cNvSpPr>
      </xdr:nvSpPr>
      <xdr:spPr bwMode="auto">
        <a:xfrm>
          <a:off x="13411200" y="9357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17" name="AutoShape 93" descr="ENGLAND5"/>
        <xdr:cNvSpPr>
          <a:spLocks noChangeAspect="1" noChangeArrowheads="1"/>
        </xdr:cNvSpPr>
      </xdr:nvSpPr>
      <xdr:spPr bwMode="auto">
        <a:xfrm>
          <a:off x="0" y="9608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18" name="AutoShape 94" descr="https://www.soccerstats.com/img/own/sshplogo.png">
          <a:hlinkClick xmlns:r="http://schemas.openxmlformats.org/officeDocument/2006/relationships" r:id="rId47"/>
        </xdr:cNvPr>
        <xdr:cNvSpPr>
          <a:spLocks noChangeAspect="1" noChangeArrowheads="1"/>
        </xdr:cNvSpPr>
      </xdr:nvSpPr>
      <xdr:spPr bwMode="auto">
        <a:xfrm>
          <a:off x="13411200" y="9608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19" name="AutoShape 95" descr="ENGLAND5"/>
        <xdr:cNvSpPr>
          <a:spLocks noChangeAspect="1" noChangeArrowheads="1"/>
        </xdr:cNvSpPr>
      </xdr:nvSpPr>
      <xdr:spPr bwMode="auto">
        <a:xfrm>
          <a:off x="0" y="9860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20" name="AutoShape 96" descr="https://www.soccerstats.com/img/own/sshplogo.png">
          <a:hlinkClick xmlns:r="http://schemas.openxmlformats.org/officeDocument/2006/relationships" r:id="rId48"/>
        </xdr:cNvPr>
        <xdr:cNvSpPr>
          <a:spLocks noChangeAspect="1" noChangeArrowheads="1"/>
        </xdr:cNvSpPr>
      </xdr:nvSpPr>
      <xdr:spPr bwMode="auto">
        <a:xfrm>
          <a:off x="13411200" y="9860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21" name="AutoShape 97" descr="ENGLAND5"/>
        <xdr:cNvSpPr>
          <a:spLocks noChangeAspect="1" noChangeArrowheads="1"/>
        </xdr:cNvSpPr>
      </xdr:nvSpPr>
      <xdr:spPr bwMode="auto">
        <a:xfrm>
          <a:off x="0" y="10035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22" name="AutoShape 98" descr="https://www.soccerstats.com/img/own/sshplogo.png">
          <a:hlinkClick xmlns:r="http://schemas.openxmlformats.org/officeDocument/2006/relationships" r:id="rId49"/>
        </xdr:cNvPr>
        <xdr:cNvSpPr>
          <a:spLocks noChangeAspect="1" noChangeArrowheads="1"/>
        </xdr:cNvSpPr>
      </xdr:nvSpPr>
      <xdr:spPr bwMode="auto">
        <a:xfrm>
          <a:off x="13411200" y="10035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23" name="AutoShape 99" descr="ENGLAND5"/>
        <xdr:cNvSpPr>
          <a:spLocks noChangeAspect="1" noChangeArrowheads="1"/>
        </xdr:cNvSpPr>
      </xdr:nvSpPr>
      <xdr:spPr bwMode="auto">
        <a:xfrm>
          <a:off x="0" y="10210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24" name="AutoShape 100" descr="https://www.soccerstats.com/img/own/sshplogo.png">
          <a:hlinkClick xmlns:r="http://schemas.openxmlformats.org/officeDocument/2006/relationships" r:id="rId50"/>
        </xdr:cNvPr>
        <xdr:cNvSpPr>
          <a:spLocks noChangeAspect="1" noChangeArrowheads="1"/>
        </xdr:cNvSpPr>
      </xdr:nvSpPr>
      <xdr:spPr bwMode="auto">
        <a:xfrm>
          <a:off x="13411200" y="1021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25" name="AutoShape 101" descr="ENGLAND5"/>
        <xdr:cNvSpPr>
          <a:spLocks noChangeAspect="1" noChangeArrowheads="1"/>
        </xdr:cNvSpPr>
      </xdr:nvSpPr>
      <xdr:spPr bwMode="auto">
        <a:xfrm>
          <a:off x="0" y="1038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26" name="AutoShape 102" descr="https://www.soccerstats.com/img/own/sshplogo.png">
          <a:hlinkClick xmlns:r="http://schemas.openxmlformats.org/officeDocument/2006/relationships" r:id="rId51"/>
        </xdr:cNvPr>
        <xdr:cNvSpPr>
          <a:spLocks noChangeAspect="1" noChangeArrowheads="1"/>
        </xdr:cNvSpPr>
      </xdr:nvSpPr>
      <xdr:spPr bwMode="auto">
        <a:xfrm>
          <a:off x="13411200" y="10386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27" name="AutoShape 103" descr="ENGLAND5"/>
        <xdr:cNvSpPr>
          <a:spLocks noChangeAspect="1" noChangeArrowheads="1"/>
        </xdr:cNvSpPr>
      </xdr:nvSpPr>
      <xdr:spPr bwMode="auto">
        <a:xfrm>
          <a:off x="0" y="10561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28" name="AutoShape 104" descr="https://www.soccerstats.com/img/own/sshplogo.png">
          <a:hlinkClick xmlns:r="http://schemas.openxmlformats.org/officeDocument/2006/relationships" r:id="rId52"/>
        </xdr:cNvPr>
        <xdr:cNvSpPr>
          <a:spLocks noChangeAspect="1" noChangeArrowheads="1"/>
        </xdr:cNvSpPr>
      </xdr:nvSpPr>
      <xdr:spPr bwMode="auto">
        <a:xfrm>
          <a:off x="13411200" y="10561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29" name="AutoShape 105" descr="ENGLAND5"/>
        <xdr:cNvSpPr>
          <a:spLocks noChangeAspect="1" noChangeArrowheads="1"/>
        </xdr:cNvSpPr>
      </xdr:nvSpPr>
      <xdr:spPr bwMode="auto">
        <a:xfrm>
          <a:off x="0" y="10736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30" name="AutoShape 106" descr="https://www.soccerstats.com/img/own/sshplogo.png">
          <a:hlinkClick xmlns:r="http://schemas.openxmlformats.org/officeDocument/2006/relationships" r:id="rId53"/>
        </xdr:cNvPr>
        <xdr:cNvSpPr>
          <a:spLocks noChangeAspect="1" noChangeArrowheads="1"/>
        </xdr:cNvSpPr>
      </xdr:nvSpPr>
      <xdr:spPr bwMode="auto">
        <a:xfrm>
          <a:off x="13411200" y="10736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31" name="AutoShape 107" descr="SPAIN2"/>
        <xdr:cNvSpPr>
          <a:spLocks noChangeAspect="1" noChangeArrowheads="1"/>
        </xdr:cNvSpPr>
      </xdr:nvSpPr>
      <xdr:spPr bwMode="auto">
        <a:xfrm>
          <a:off x="0" y="10911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32" name="AutoShape 108" descr="https://www.soccerstats.com/img/own/sshplogo.png">
          <a:hlinkClick xmlns:r="http://schemas.openxmlformats.org/officeDocument/2006/relationships" r:id="rId54"/>
        </xdr:cNvPr>
        <xdr:cNvSpPr>
          <a:spLocks noChangeAspect="1" noChangeArrowheads="1"/>
        </xdr:cNvSpPr>
      </xdr:nvSpPr>
      <xdr:spPr bwMode="auto">
        <a:xfrm>
          <a:off x="13411200" y="10911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33" name="AutoShape 109" descr="SPAIN2"/>
        <xdr:cNvSpPr>
          <a:spLocks noChangeAspect="1" noChangeArrowheads="1"/>
        </xdr:cNvSpPr>
      </xdr:nvSpPr>
      <xdr:spPr bwMode="auto">
        <a:xfrm>
          <a:off x="0" y="11087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34" name="AutoShape 110" descr="https://www.soccerstats.com/img/own/sshplogo.png">
          <a:hlinkClick xmlns:r="http://schemas.openxmlformats.org/officeDocument/2006/relationships" r:id="rId55"/>
        </xdr:cNvPr>
        <xdr:cNvSpPr>
          <a:spLocks noChangeAspect="1" noChangeArrowheads="1"/>
        </xdr:cNvSpPr>
      </xdr:nvSpPr>
      <xdr:spPr bwMode="auto">
        <a:xfrm>
          <a:off x="13411200" y="1108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35" name="AutoShape 111" descr="SPAIN2"/>
        <xdr:cNvSpPr>
          <a:spLocks noChangeAspect="1" noChangeArrowheads="1"/>
        </xdr:cNvSpPr>
      </xdr:nvSpPr>
      <xdr:spPr bwMode="auto">
        <a:xfrm>
          <a:off x="0" y="11262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36" name="AutoShape 112" descr="https://www.soccerstats.com/img/own/sshplogo.png">
          <a:hlinkClick xmlns:r="http://schemas.openxmlformats.org/officeDocument/2006/relationships" r:id="rId56"/>
        </xdr:cNvPr>
        <xdr:cNvSpPr>
          <a:spLocks noChangeAspect="1" noChangeArrowheads="1"/>
        </xdr:cNvSpPr>
      </xdr:nvSpPr>
      <xdr:spPr bwMode="auto">
        <a:xfrm>
          <a:off x="13411200" y="11262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37" name="AutoShape 113" descr="SPAIN2"/>
        <xdr:cNvSpPr>
          <a:spLocks noChangeAspect="1" noChangeArrowheads="1"/>
        </xdr:cNvSpPr>
      </xdr:nvSpPr>
      <xdr:spPr bwMode="auto">
        <a:xfrm>
          <a:off x="0" y="11437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38" name="AutoShape 114" descr="https://www.soccerstats.com/img/own/sshplogo.png">
          <a:hlinkClick xmlns:r="http://schemas.openxmlformats.org/officeDocument/2006/relationships" r:id="rId57"/>
        </xdr:cNvPr>
        <xdr:cNvSpPr>
          <a:spLocks noChangeAspect="1" noChangeArrowheads="1"/>
        </xdr:cNvSpPr>
      </xdr:nvSpPr>
      <xdr:spPr bwMode="auto">
        <a:xfrm>
          <a:off x="13411200" y="11437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39" name="AutoShape 115" descr="GERMANY2"/>
        <xdr:cNvSpPr>
          <a:spLocks noChangeAspect="1" noChangeArrowheads="1"/>
        </xdr:cNvSpPr>
      </xdr:nvSpPr>
      <xdr:spPr bwMode="auto">
        <a:xfrm>
          <a:off x="0" y="11612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40" name="AutoShape 116" descr="https://www.soccerstats.com/img/own/sshplogo.png">
          <a:hlinkClick xmlns:r="http://schemas.openxmlformats.org/officeDocument/2006/relationships" r:id="rId58"/>
        </xdr:cNvPr>
        <xdr:cNvSpPr>
          <a:spLocks noChangeAspect="1" noChangeArrowheads="1"/>
        </xdr:cNvSpPr>
      </xdr:nvSpPr>
      <xdr:spPr bwMode="auto">
        <a:xfrm>
          <a:off x="13411200" y="1161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41" name="AutoShape 117" descr="GERMANY2"/>
        <xdr:cNvSpPr>
          <a:spLocks noChangeAspect="1" noChangeArrowheads="1"/>
        </xdr:cNvSpPr>
      </xdr:nvSpPr>
      <xdr:spPr bwMode="auto">
        <a:xfrm>
          <a:off x="0" y="11864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42" name="AutoShape 118" descr="https://www.soccerstats.com/img/own/sshplogo.png">
          <a:hlinkClick xmlns:r="http://schemas.openxmlformats.org/officeDocument/2006/relationships" r:id="rId59"/>
        </xdr:cNvPr>
        <xdr:cNvSpPr>
          <a:spLocks noChangeAspect="1" noChangeArrowheads="1"/>
        </xdr:cNvSpPr>
      </xdr:nvSpPr>
      <xdr:spPr bwMode="auto">
        <a:xfrm>
          <a:off x="13411200" y="11864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43" name="AutoShape 119" descr="GERMANY2"/>
        <xdr:cNvSpPr>
          <a:spLocks noChangeAspect="1" noChangeArrowheads="1"/>
        </xdr:cNvSpPr>
      </xdr:nvSpPr>
      <xdr:spPr bwMode="auto">
        <a:xfrm>
          <a:off x="0" y="12039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44" name="AutoShape 120" descr="https://www.soccerstats.com/img/own/sshplogo.png">
          <a:hlinkClick xmlns:r="http://schemas.openxmlformats.org/officeDocument/2006/relationships" r:id="rId60"/>
        </xdr:cNvPr>
        <xdr:cNvSpPr>
          <a:spLocks noChangeAspect="1" noChangeArrowheads="1"/>
        </xdr:cNvSpPr>
      </xdr:nvSpPr>
      <xdr:spPr bwMode="auto">
        <a:xfrm>
          <a:off x="13411200" y="12039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45" name="AutoShape 121" descr="GERMANY2"/>
        <xdr:cNvSpPr>
          <a:spLocks noChangeAspect="1" noChangeArrowheads="1"/>
        </xdr:cNvSpPr>
      </xdr:nvSpPr>
      <xdr:spPr bwMode="auto">
        <a:xfrm>
          <a:off x="0" y="12214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46" name="AutoShape 122" descr="https://www.soccerstats.com/img/own/sshplogo.png">
          <a:hlinkClick xmlns:r="http://schemas.openxmlformats.org/officeDocument/2006/relationships" r:id="rId61"/>
        </xdr:cNvPr>
        <xdr:cNvSpPr>
          <a:spLocks noChangeAspect="1" noChangeArrowheads="1"/>
        </xdr:cNvSpPr>
      </xdr:nvSpPr>
      <xdr:spPr bwMode="auto">
        <a:xfrm>
          <a:off x="13411200" y="12214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47" name="AutoShape 123" descr="NETHERLANDS2"/>
        <xdr:cNvSpPr>
          <a:spLocks noChangeAspect="1" noChangeArrowheads="1"/>
        </xdr:cNvSpPr>
      </xdr:nvSpPr>
      <xdr:spPr bwMode="auto">
        <a:xfrm>
          <a:off x="0" y="12390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48" name="AutoShape 124" descr="https://www.soccerstats.com/img/own/sshplogo.png">
          <a:hlinkClick xmlns:r="http://schemas.openxmlformats.org/officeDocument/2006/relationships" r:id="rId62"/>
        </xdr:cNvPr>
        <xdr:cNvSpPr>
          <a:spLocks noChangeAspect="1" noChangeArrowheads="1"/>
        </xdr:cNvSpPr>
      </xdr:nvSpPr>
      <xdr:spPr bwMode="auto">
        <a:xfrm>
          <a:off x="13411200" y="12390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49" name="AutoShape 125" descr="ARGENTINA2"/>
        <xdr:cNvSpPr>
          <a:spLocks noChangeAspect="1" noChangeArrowheads="1"/>
        </xdr:cNvSpPr>
      </xdr:nvSpPr>
      <xdr:spPr bwMode="auto">
        <a:xfrm>
          <a:off x="0" y="12565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50" name="AutoShape 126" descr="https://www.soccerstats.com/img/own/sshplogo.png">
          <a:hlinkClick xmlns:r="http://schemas.openxmlformats.org/officeDocument/2006/relationships" r:id="rId63"/>
        </xdr:cNvPr>
        <xdr:cNvSpPr>
          <a:spLocks noChangeAspect="1" noChangeArrowheads="1"/>
        </xdr:cNvSpPr>
      </xdr:nvSpPr>
      <xdr:spPr bwMode="auto">
        <a:xfrm>
          <a:off x="13411200" y="12565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51" name="AutoShape 127" descr="ARGENTINA2"/>
        <xdr:cNvSpPr>
          <a:spLocks noChangeAspect="1" noChangeArrowheads="1"/>
        </xdr:cNvSpPr>
      </xdr:nvSpPr>
      <xdr:spPr bwMode="auto">
        <a:xfrm>
          <a:off x="0" y="1274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52" name="AutoShape 128" descr="https://www.soccerstats.com/img/own/sshplogo.png">
          <a:hlinkClick xmlns:r="http://schemas.openxmlformats.org/officeDocument/2006/relationships" r:id="rId64"/>
        </xdr:cNvPr>
        <xdr:cNvSpPr>
          <a:spLocks noChangeAspect="1" noChangeArrowheads="1"/>
        </xdr:cNvSpPr>
      </xdr:nvSpPr>
      <xdr:spPr bwMode="auto">
        <a:xfrm>
          <a:off x="13411200" y="1274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53" name="AutoShape 129" descr="ARGENTINA2"/>
        <xdr:cNvSpPr>
          <a:spLocks noChangeAspect="1" noChangeArrowheads="1"/>
        </xdr:cNvSpPr>
      </xdr:nvSpPr>
      <xdr:spPr bwMode="auto">
        <a:xfrm>
          <a:off x="0" y="12992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54" name="AutoShape 130" descr="https://www.soccerstats.com/img/own/sshplogo.png">
          <a:hlinkClick xmlns:r="http://schemas.openxmlformats.org/officeDocument/2006/relationships" r:id="rId65"/>
        </xdr:cNvPr>
        <xdr:cNvSpPr>
          <a:spLocks noChangeAspect="1" noChangeArrowheads="1"/>
        </xdr:cNvSpPr>
      </xdr:nvSpPr>
      <xdr:spPr bwMode="auto">
        <a:xfrm>
          <a:off x="13411200" y="12992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55" name="AutoShape 131" descr="ARGENTINA2"/>
        <xdr:cNvSpPr>
          <a:spLocks noChangeAspect="1" noChangeArrowheads="1"/>
        </xdr:cNvSpPr>
      </xdr:nvSpPr>
      <xdr:spPr bwMode="auto">
        <a:xfrm>
          <a:off x="0" y="13167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56" name="AutoShape 132" descr="https://www.soccerstats.com/img/own/sshplogo.png">
          <a:hlinkClick xmlns:r="http://schemas.openxmlformats.org/officeDocument/2006/relationships" r:id="rId66"/>
        </xdr:cNvPr>
        <xdr:cNvSpPr>
          <a:spLocks noChangeAspect="1" noChangeArrowheads="1"/>
        </xdr:cNvSpPr>
      </xdr:nvSpPr>
      <xdr:spPr bwMode="auto">
        <a:xfrm>
          <a:off x="13411200" y="13167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57" name="AutoShape 133" descr="ARGENTINA2"/>
        <xdr:cNvSpPr>
          <a:spLocks noChangeAspect="1" noChangeArrowheads="1"/>
        </xdr:cNvSpPr>
      </xdr:nvSpPr>
      <xdr:spPr bwMode="auto">
        <a:xfrm>
          <a:off x="0" y="13342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58" name="AutoShape 134" descr="https://www.soccerstats.com/img/own/sshplogo.png">
          <a:hlinkClick xmlns:r="http://schemas.openxmlformats.org/officeDocument/2006/relationships" r:id="rId67"/>
        </xdr:cNvPr>
        <xdr:cNvSpPr>
          <a:spLocks noChangeAspect="1" noChangeArrowheads="1"/>
        </xdr:cNvSpPr>
      </xdr:nvSpPr>
      <xdr:spPr bwMode="auto">
        <a:xfrm>
          <a:off x="13411200" y="13342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59" name="AutoShape 135" descr="ARGENTINA3"/>
        <xdr:cNvSpPr>
          <a:spLocks noChangeAspect="1" noChangeArrowheads="1"/>
        </xdr:cNvSpPr>
      </xdr:nvSpPr>
      <xdr:spPr bwMode="auto">
        <a:xfrm>
          <a:off x="0" y="13517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60" name="AutoShape 136" descr="https://www.soccerstats.com/img/own/sshplogo.png">
          <a:hlinkClick xmlns:r="http://schemas.openxmlformats.org/officeDocument/2006/relationships" r:id="rId68"/>
        </xdr:cNvPr>
        <xdr:cNvSpPr>
          <a:spLocks noChangeAspect="1" noChangeArrowheads="1"/>
        </xdr:cNvSpPr>
      </xdr:nvSpPr>
      <xdr:spPr bwMode="auto">
        <a:xfrm>
          <a:off x="13411200" y="13517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61" name="AutoShape 137" descr="ARGENTINA3"/>
        <xdr:cNvSpPr>
          <a:spLocks noChangeAspect="1" noChangeArrowheads="1"/>
        </xdr:cNvSpPr>
      </xdr:nvSpPr>
      <xdr:spPr bwMode="auto">
        <a:xfrm>
          <a:off x="0" y="13769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62" name="AutoShape 138" descr="https://www.soccerstats.com/img/own/sshplogo.png">
          <a:hlinkClick xmlns:r="http://schemas.openxmlformats.org/officeDocument/2006/relationships" r:id="rId69"/>
        </xdr:cNvPr>
        <xdr:cNvSpPr>
          <a:spLocks noChangeAspect="1" noChangeArrowheads="1"/>
        </xdr:cNvSpPr>
      </xdr:nvSpPr>
      <xdr:spPr bwMode="auto">
        <a:xfrm>
          <a:off x="13411200" y="13769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63" name="AutoShape 139" descr="ARGENTINA3"/>
        <xdr:cNvSpPr>
          <a:spLocks noChangeAspect="1" noChangeArrowheads="1"/>
        </xdr:cNvSpPr>
      </xdr:nvSpPr>
      <xdr:spPr bwMode="auto">
        <a:xfrm>
          <a:off x="0" y="14020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64" name="AutoShape 140" descr="https://www.soccerstats.com/img/own/sshplogo.png">
          <a:hlinkClick xmlns:r="http://schemas.openxmlformats.org/officeDocument/2006/relationships" r:id="rId70"/>
        </xdr:cNvPr>
        <xdr:cNvSpPr>
          <a:spLocks noChangeAspect="1" noChangeArrowheads="1"/>
        </xdr:cNvSpPr>
      </xdr:nvSpPr>
      <xdr:spPr bwMode="auto">
        <a:xfrm>
          <a:off x="13411200" y="1402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65" name="AutoShape 141" descr="ARGENTINA3"/>
        <xdr:cNvSpPr>
          <a:spLocks noChangeAspect="1" noChangeArrowheads="1"/>
        </xdr:cNvSpPr>
      </xdr:nvSpPr>
      <xdr:spPr bwMode="auto">
        <a:xfrm>
          <a:off x="0" y="14272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66" name="AutoShape 142" descr="https://www.soccerstats.com/img/own/sshplogo.png">
          <a:hlinkClick xmlns:r="http://schemas.openxmlformats.org/officeDocument/2006/relationships" r:id="rId71"/>
        </xdr:cNvPr>
        <xdr:cNvSpPr>
          <a:spLocks noChangeAspect="1" noChangeArrowheads="1"/>
        </xdr:cNvSpPr>
      </xdr:nvSpPr>
      <xdr:spPr bwMode="auto">
        <a:xfrm>
          <a:off x="13411200" y="14272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67" name="AutoShape 143" descr="ARGENTINA3"/>
        <xdr:cNvSpPr>
          <a:spLocks noChangeAspect="1" noChangeArrowheads="1"/>
        </xdr:cNvSpPr>
      </xdr:nvSpPr>
      <xdr:spPr bwMode="auto">
        <a:xfrm>
          <a:off x="0" y="14447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68" name="AutoShape 144" descr="https://www.soccerstats.com/img/own/sshplogo.png">
          <a:hlinkClick xmlns:r="http://schemas.openxmlformats.org/officeDocument/2006/relationships" r:id="rId72"/>
        </xdr:cNvPr>
        <xdr:cNvSpPr>
          <a:spLocks noChangeAspect="1" noChangeArrowheads="1"/>
        </xdr:cNvSpPr>
      </xdr:nvSpPr>
      <xdr:spPr bwMode="auto">
        <a:xfrm>
          <a:off x="13411200" y="14447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69" name="AutoShape 145" descr="ARGENTINA3"/>
        <xdr:cNvSpPr>
          <a:spLocks noChangeAspect="1" noChangeArrowheads="1"/>
        </xdr:cNvSpPr>
      </xdr:nvSpPr>
      <xdr:spPr bwMode="auto">
        <a:xfrm>
          <a:off x="0" y="14622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70" name="AutoShape 146" descr="https://www.soccerstats.com/img/own/sshplogo.png">
          <a:hlinkClick xmlns:r="http://schemas.openxmlformats.org/officeDocument/2006/relationships" r:id="rId73"/>
        </xdr:cNvPr>
        <xdr:cNvSpPr>
          <a:spLocks noChangeAspect="1" noChangeArrowheads="1"/>
        </xdr:cNvSpPr>
      </xdr:nvSpPr>
      <xdr:spPr bwMode="auto">
        <a:xfrm>
          <a:off x="13411200" y="14622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71" name="AutoShape 147" descr="ARGENTINA3"/>
        <xdr:cNvSpPr>
          <a:spLocks noChangeAspect="1" noChangeArrowheads="1"/>
        </xdr:cNvSpPr>
      </xdr:nvSpPr>
      <xdr:spPr bwMode="auto">
        <a:xfrm>
          <a:off x="0" y="14798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72" name="AutoShape 148" descr="https://www.soccerstats.com/img/own/sshplogo.png">
          <a:hlinkClick xmlns:r="http://schemas.openxmlformats.org/officeDocument/2006/relationships" r:id="rId74"/>
        </xdr:cNvPr>
        <xdr:cNvSpPr>
          <a:spLocks noChangeAspect="1" noChangeArrowheads="1"/>
        </xdr:cNvSpPr>
      </xdr:nvSpPr>
      <xdr:spPr bwMode="auto">
        <a:xfrm>
          <a:off x="13411200" y="14798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73" name="AutoShape 149" descr="ARGENTINA3"/>
        <xdr:cNvSpPr>
          <a:spLocks noChangeAspect="1" noChangeArrowheads="1"/>
        </xdr:cNvSpPr>
      </xdr:nvSpPr>
      <xdr:spPr bwMode="auto">
        <a:xfrm>
          <a:off x="0" y="1504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74" name="AutoShape 150" descr="https://www.soccerstats.com/img/own/sshplogo.png">
          <a:hlinkClick xmlns:r="http://schemas.openxmlformats.org/officeDocument/2006/relationships" r:id="rId75"/>
        </xdr:cNvPr>
        <xdr:cNvSpPr>
          <a:spLocks noChangeAspect="1" noChangeArrowheads="1"/>
        </xdr:cNvSpPr>
      </xdr:nvSpPr>
      <xdr:spPr bwMode="auto">
        <a:xfrm>
          <a:off x="13411200" y="1504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75" name="AutoShape 151" descr="ARMENIA"/>
        <xdr:cNvSpPr>
          <a:spLocks noChangeAspect="1" noChangeArrowheads="1"/>
        </xdr:cNvSpPr>
      </xdr:nvSpPr>
      <xdr:spPr bwMode="auto">
        <a:xfrm>
          <a:off x="0" y="15224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76" name="AutoShape 152" descr="https://www.soccerstats.com/img/own/sshplogo.png">
          <a:hlinkClick xmlns:r="http://schemas.openxmlformats.org/officeDocument/2006/relationships" r:id="rId76"/>
        </xdr:cNvPr>
        <xdr:cNvSpPr>
          <a:spLocks noChangeAspect="1" noChangeArrowheads="1"/>
        </xdr:cNvSpPr>
      </xdr:nvSpPr>
      <xdr:spPr bwMode="auto">
        <a:xfrm>
          <a:off x="13411200" y="15224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77" name="AutoShape 153" descr="ARMENIA"/>
        <xdr:cNvSpPr>
          <a:spLocks noChangeAspect="1" noChangeArrowheads="1"/>
        </xdr:cNvSpPr>
      </xdr:nvSpPr>
      <xdr:spPr bwMode="auto">
        <a:xfrm>
          <a:off x="0" y="1547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78" name="AutoShape 154" descr="https://www.soccerstats.com/img/own/sshplogo.png">
          <a:hlinkClick xmlns:r="http://schemas.openxmlformats.org/officeDocument/2006/relationships" r:id="rId77"/>
        </xdr:cNvPr>
        <xdr:cNvSpPr>
          <a:spLocks noChangeAspect="1" noChangeArrowheads="1"/>
        </xdr:cNvSpPr>
      </xdr:nvSpPr>
      <xdr:spPr bwMode="auto">
        <a:xfrm>
          <a:off x="13411200" y="1547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79" name="AutoShape 155" descr="AUSTRALIA3"/>
        <xdr:cNvSpPr>
          <a:spLocks noChangeAspect="1" noChangeArrowheads="1"/>
        </xdr:cNvSpPr>
      </xdr:nvSpPr>
      <xdr:spPr bwMode="auto">
        <a:xfrm>
          <a:off x="0" y="1572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80" name="AutoShape 156" descr="https://www.soccerstats.com/img/own/sshplogo.png">
          <a:hlinkClick xmlns:r="http://schemas.openxmlformats.org/officeDocument/2006/relationships" r:id="rId78"/>
        </xdr:cNvPr>
        <xdr:cNvSpPr>
          <a:spLocks noChangeAspect="1" noChangeArrowheads="1"/>
        </xdr:cNvSpPr>
      </xdr:nvSpPr>
      <xdr:spPr bwMode="auto">
        <a:xfrm>
          <a:off x="13411200" y="1572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81" name="AutoShape 157" descr="AUSTRALIA3"/>
        <xdr:cNvSpPr>
          <a:spLocks noChangeAspect="1" noChangeArrowheads="1"/>
        </xdr:cNvSpPr>
      </xdr:nvSpPr>
      <xdr:spPr bwMode="auto">
        <a:xfrm>
          <a:off x="0" y="15979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82" name="AutoShape 158" descr="https://www.soccerstats.com/img/own/sshplogo.png">
          <a:hlinkClick xmlns:r="http://schemas.openxmlformats.org/officeDocument/2006/relationships" r:id="rId79"/>
        </xdr:cNvPr>
        <xdr:cNvSpPr>
          <a:spLocks noChangeAspect="1" noChangeArrowheads="1"/>
        </xdr:cNvSpPr>
      </xdr:nvSpPr>
      <xdr:spPr bwMode="auto">
        <a:xfrm>
          <a:off x="13411200" y="15979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83" name="AutoShape 159" descr="AUSTRALIA3"/>
        <xdr:cNvSpPr>
          <a:spLocks noChangeAspect="1" noChangeArrowheads="1"/>
        </xdr:cNvSpPr>
      </xdr:nvSpPr>
      <xdr:spPr bwMode="auto">
        <a:xfrm>
          <a:off x="0" y="16230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84" name="AutoShape 160" descr="https://www.soccerstats.com/img/own/sshplogo.png">
          <a:hlinkClick xmlns:r="http://schemas.openxmlformats.org/officeDocument/2006/relationships" r:id="rId80"/>
        </xdr:cNvPr>
        <xdr:cNvSpPr>
          <a:spLocks noChangeAspect="1" noChangeArrowheads="1"/>
        </xdr:cNvSpPr>
      </xdr:nvSpPr>
      <xdr:spPr bwMode="auto">
        <a:xfrm>
          <a:off x="13411200" y="1623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85" name="AutoShape 161" descr="AUSTRALIA5"/>
        <xdr:cNvSpPr>
          <a:spLocks noChangeAspect="1" noChangeArrowheads="1"/>
        </xdr:cNvSpPr>
      </xdr:nvSpPr>
      <xdr:spPr bwMode="auto">
        <a:xfrm>
          <a:off x="0" y="16405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86" name="AutoShape 162" descr="https://www.soccerstats.com/img/own/sshplogo.png">
          <a:hlinkClick xmlns:r="http://schemas.openxmlformats.org/officeDocument/2006/relationships" r:id="rId81"/>
        </xdr:cNvPr>
        <xdr:cNvSpPr>
          <a:spLocks noChangeAspect="1" noChangeArrowheads="1"/>
        </xdr:cNvSpPr>
      </xdr:nvSpPr>
      <xdr:spPr bwMode="auto">
        <a:xfrm>
          <a:off x="13411200" y="16405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87" name="AutoShape 163" descr="AUSTRALIA5"/>
        <xdr:cNvSpPr>
          <a:spLocks noChangeAspect="1" noChangeArrowheads="1"/>
        </xdr:cNvSpPr>
      </xdr:nvSpPr>
      <xdr:spPr bwMode="auto">
        <a:xfrm>
          <a:off x="0" y="16581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88" name="AutoShape 164" descr="https://www.soccerstats.com/img/own/sshplogo.png">
          <a:hlinkClick xmlns:r="http://schemas.openxmlformats.org/officeDocument/2006/relationships" r:id="rId82"/>
        </xdr:cNvPr>
        <xdr:cNvSpPr>
          <a:spLocks noChangeAspect="1" noChangeArrowheads="1"/>
        </xdr:cNvSpPr>
      </xdr:nvSpPr>
      <xdr:spPr bwMode="auto">
        <a:xfrm>
          <a:off x="13411200" y="16581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89" name="AutoShape 165" descr="AUSTRALIA5"/>
        <xdr:cNvSpPr>
          <a:spLocks noChangeAspect="1" noChangeArrowheads="1"/>
        </xdr:cNvSpPr>
      </xdr:nvSpPr>
      <xdr:spPr bwMode="auto">
        <a:xfrm>
          <a:off x="0" y="16756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90" name="AutoShape 166" descr="https://www.soccerstats.com/img/own/sshplogo.png">
          <a:hlinkClick xmlns:r="http://schemas.openxmlformats.org/officeDocument/2006/relationships" r:id="rId83"/>
        </xdr:cNvPr>
        <xdr:cNvSpPr>
          <a:spLocks noChangeAspect="1" noChangeArrowheads="1"/>
        </xdr:cNvSpPr>
      </xdr:nvSpPr>
      <xdr:spPr bwMode="auto">
        <a:xfrm>
          <a:off x="13411200" y="16756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91" name="AutoShape 167" descr="AUSTRALIA5"/>
        <xdr:cNvSpPr>
          <a:spLocks noChangeAspect="1" noChangeArrowheads="1"/>
        </xdr:cNvSpPr>
      </xdr:nvSpPr>
      <xdr:spPr bwMode="auto">
        <a:xfrm>
          <a:off x="0" y="17007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92" name="AutoShape 168" descr="https://www.soccerstats.com/img/own/sshplogo.png">
          <a:hlinkClick xmlns:r="http://schemas.openxmlformats.org/officeDocument/2006/relationships" r:id="rId84"/>
        </xdr:cNvPr>
        <xdr:cNvSpPr>
          <a:spLocks noChangeAspect="1" noChangeArrowheads="1"/>
        </xdr:cNvSpPr>
      </xdr:nvSpPr>
      <xdr:spPr bwMode="auto">
        <a:xfrm>
          <a:off x="13411200" y="17007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93" name="AutoShape 169" descr="AUSTRALIA5"/>
        <xdr:cNvSpPr>
          <a:spLocks noChangeAspect="1" noChangeArrowheads="1"/>
        </xdr:cNvSpPr>
      </xdr:nvSpPr>
      <xdr:spPr bwMode="auto">
        <a:xfrm>
          <a:off x="0" y="17183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94" name="AutoShape 170" descr="https://www.soccerstats.com/img/own/sshplogo.png">
          <a:hlinkClick xmlns:r="http://schemas.openxmlformats.org/officeDocument/2006/relationships" r:id="rId85"/>
        </xdr:cNvPr>
        <xdr:cNvSpPr>
          <a:spLocks noChangeAspect="1" noChangeArrowheads="1"/>
        </xdr:cNvSpPr>
      </xdr:nvSpPr>
      <xdr:spPr bwMode="auto">
        <a:xfrm>
          <a:off x="13411200" y="1718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95" name="AutoShape 171" descr="AUSTRALIA6"/>
        <xdr:cNvSpPr>
          <a:spLocks noChangeAspect="1" noChangeArrowheads="1"/>
        </xdr:cNvSpPr>
      </xdr:nvSpPr>
      <xdr:spPr bwMode="auto">
        <a:xfrm>
          <a:off x="0" y="17434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96" name="AutoShape 172" descr="https://www.soccerstats.com/img/own/sshplogo.png">
          <a:hlinkClick xmlns:r="http://schemas.openxmlformats.org/officeDocument/2006/relationships" r:id="rId86"/>
        </xdr:cNvPr>
        <xdr:cNvSpPr>
          <a:spLocks noChangeAspect="1" noChangeArrowheads="1"/>
        </xdr:cNvSpPr>
      </xdr:nvSpPr>
      <xdr:spPr bwMode="auto">
        <a:xfrm>
          <a:off x="13411200" y="17434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97" name="AutoShape 173" descr="AUSTRALIA6"/>
        <xdr:cNvSpPr>
          <a:spLocks noChangeAspect="1" noChangeArrowheads="1"/>
        </xdr:cNvSpPr>
      </xdr:nvSpPr>
      <xdr:spPr bwMode="auto">
        <a:xfrm>
          <a:off x="0" y="17609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198" name="AutoShape 174" descr="https://www.soccerstats.com/img/own/sshplogo.png">
          <a:hlinkClick xmlns:r="http://schemas.openxmlformats.org/officeDocument/2006/relationships" r:id="rId87"/>
        </xdr:cNvPr>
        <xdr:cNvSpPr>
          <a:spLocks noChangeAspect="1" noChangeArrowheads="1"/>
        </xdr:cNvSpPr>
      </xdr:nvSpPr>
      <xdr:spPr bwMode="auto">
        <a:xfrm>
          <a:off x="13411200" y="17609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199" name="AutoShape 175" descr="AUSTRALIA6"/>
        <xdr:cNvSpPr>
          <a:spLocks noChangeAspect="1" noChangeArrowheads="1"/>
        </xdr:cNvSpPr>
      </xdr:nvSpPr>
      <xdr:spPr bwMode="auto">
        <a:xfrm>
          <a:off x="0" y="1786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00" name="AutoShape 176" descr="https://www.soccerstats.com/img/own/sshplogo.png">
          <a:hlinkClick xmlns:r="http://schemas.openxmlformats.org/officeDocument/2006/relationships" r:id="rId88"/>
        </xdr:cNvPr>
        <xdr:cNvSpPr>
          <a:spLocks noChangeAspect="1" noChangeArrowheads="1"/>
        </xdr:cNvSpPr>
      </xdr:nvSpPr>
      <xdr:spPr bwMode="auto">
        <a:xfrm>
          <a:off x="13411200" y="1786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01" name="AutoShape 177" descr="AUSTRALIA6"/>
        <xdr:cNvSpPr>
          <a:spLocks noChangeAspect="1" noChangeArrowheads="1"/>
        </xdr:cNvSpPr>
      </xdr:nvSpPr>
      <xdr:spPr bwMode="auto">
        <a:xfrm>
          <a:off x="0" y="18112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02" name="AutoShape 178" descr="https://www.soccerstats.com/img/own/sshplogo.png">
          <a:hlinkClick xmlns:r="http://schemas.openxmlformats.org/officeDocument/2006/relationships" r:id="rId89"/>
        </xdr:cNvPr>
        <xdr:cNvSpPr>
          <a:spLocks noChangeAspect="1" noChangeArrowheads="1"/>
        </xdr:cNvSpPr>
      </xdr:nvSpPr>
      <xdr:spPr bwMode="auto">
        <a:xfrm>
          <a:off x="13411200" y="18112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03" name="AutoShape 179" descr="AUSTRALIA6"/>
        <xdr:cNvSpPr>
          <a:spLocks noChangeAspect="1" noChangeArrowheads="1"/>
        </xdr:cNvSpPr>
      </xdr:nvSpPr>
      <xdr:spPr bwMode="auto">
        <a:xfrm>
          <a:off x="0" y="18364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04" name="AutoShape 180" descr="https://www.soccerstats.com/img/own/sshplogo.png">
          <a:hlinkClick xmlns:r="http://schemas.openxmlformats.org/officeDocument/2006/relationships" r:id="rId90"/>
        </xdr:cNvPr>
        <xdr:cNvSpPr>
          <a:spLocks noChangeAspect="1" noChangeArrowheads="1"/>
        </xdr:cNvSpPr>
      </xdr:nvSpPr>
      <xdr:spPr bwMode="auto">
        <a:xfrm>
          <a:off x="13411200" y="18364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05" name="AutoShape 181" descr="AUSTRALIA6"/>
        <xdr:cNvSpPr>
          <a:spLocks noChangeAspect="1" noChangeArrowheads="1"/>
        </xdr:cNvSpPr>
      </xdr:nvSpPr>
      <xdr:spPr bwMode="auto">
        <a:xfrm>
          <a:off x="0" y="18615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06" name="AutoShape 182" descr="https://www.soccerstats.com/img/own/sshplogo.png">
          <a:hlinkClick xmlns:r="http://schemas.openxmlformats.org/officeDocument/2006/relationships" r:id="rId91"/>
        </xdr:cNvPr>
        <xdr:cNvSpPr>
          <a:spLocks noChangeAspect="1" noChangeArrowheads="1"/>
        </xdr:cNvSpPr>
      </xdr:nvSpPr>
      <xdr:spPr bwMode="auto">
        <a:xfrm>
          <a:off x="13411200" y="18615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07" name="AutoShape 183" descr="AUSTRALIA10"/>
        <xdr:cNvSpPr>
          <a:spLocks noChangeAspect="1" noChangeArrowheads="1"/>
        </xdr:cNvSpPr>
      </xdr:nvSpPr>
      <xdr:spPr bwMode="auto">
        <a:xfrm>
          <a:off x="0" y="18867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08" name="AutoShape 184" descr="https://www.soccerstats.com/img/own/sshplogo.png">
          <a:hlinkClick xmlns:r="http://schemas.openxmlformats.org/officeDocument/2006/relationships" r:id="rId92"/>
        </xdr:cNvPr>
        <xdr:cNvSpPr>
          <a:spLocks noChangeAspect="1" noChangeArrowheads="1"/>
        </xdr:cNvSpPr>
      </xdr:nvSpPr>
      <xdr:spPr bwMode="auto">
        <a:xfrm>
          <a:off x="13411200" y="18867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09" name="AutoShape 185" descr="AUSTRALIA10"/>
        <xdr:cNvSpPr>
          <a:spLocks noChangeAspect="1" noChangeArrowheads="1"/>
        </xdr:cNvSpPr>
      </xdr:nvSpPr>
      <xdr:spPr bwMode="auto">
        <a:xfrm>
          <a:off x="0" y="19118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10" name="AutoShape 186" descr="https://www.soccerstats.com/img/own/sshplogo.png">
          <a:hlinkClick xmlns:r="http://schemas.openxmlformats.org/officeDocument/2006/relationships" r:id="rId93"/>
        </xdr:cNvPr>
        <xdr:cNvSpPr>
          <a:spLocks noChangeAspect="1" noChangeArrowheads="1"/>
        </xdr:cNvSpPr>
      </xdr:nvSpPr>
      <xdr:spPr bwMode="auto">
        <a:xfrm>
          <a:off x="13411200" y="19118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11" name="AutoShape 187" descr="AUSTRALIA10"/>
        <xdr:cNvSpPr>
          <a:spLocks noChangeAspect="1" noChangeArrowheads="1"/>
        </xdr:cNvSpPr>
      </xdr:nvSpPr>
      <xdr:spPr bwMode="auto">
        <a:xfrm>
          <a:off x="0" y="19370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12" name="AutoShape 188" descr="https://www.soccerstats.com/img/own/sshplogo.png">
          <a:hlinkClick xmlns:r="http://schemas.openxmlformats.org/officeDocument/2006/relationships" r:id="rId94"/>
        </xdr:cNvPr>
        <xdr:cNvSpPr>
          <a:spLocks noChangeAspect="1" noChangeArrowheads="1"/>
        </xdr:cNvSpPr>
      </xdr:nvSpPr>
      <xdr:spPr bwMode="auto">
        <a:xfrm>
          <a:off x="13411200" y="19370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13" name="AutoShape 189" descr="AUSTRALIA11"/>
        <xdr:cNvSpPr>
          <a:spLocks noChangeAspect="1" noChangeArrowheads="1"/>
        </xdr:cNvSpPr>
      </xdr:nvSpPr>
      <xdr:spPr bwMode="auto">
        <a:xfrm>
          <a:off x="0" y="19621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14" name="AutoShape 190" descr="https://www.soccerstats.com/img/own/sshplogo.png">
          <a:hlinkClick xmlns:r="http://schemas.openxmlformats.org/officeDocument/2006/relationships" r:id="rId95"/>
        </xdr:cNvPr>
        <xdr:cNvSpPr>
          <a:spLocks noChangeAspect="1" noChangeArrowheads="1"/>
        </xdr:cNvSpPr>
      </xdr:nvSpPr>
      <xdr:spPr bwMode="auto">
        <a:xfrm>
          <a:off x="13411200" y="1962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15" name="AutoShape 191" descr="AUSTRALIA11"/>
        <xdr:cNvSpPr>
          <a:spLocks noChangeAspect="1" noChangeArrowheads="1"/>
        </xdr:cNvSpPr>
      </xdr:nvSpPr>
      <xdr:spPr bwMode="auto">
        <a:xfrm>
          <a:off x="0" y="19872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16" name="AutoShape 192" descr="https://www.soccerstats.com/img/own/sshplogo.png">
          <a:hlinkClick xmlns:r="http://schemas.openxmlformats.org/officeDocument/2006/relationships" r:id="rId96"/>
        </xdr:cNvPr>
        <xdr:cNvSpPr>
          <a:spLocks noChangeAspect="1" noChangeArrowheads="1"/>
        </xdr:cNvSpPr>
      </xdr:nvSpPr>
      <xdr:spPr bwMode="auto">
        <a:xfrm>
          <a:off x="13411200" y="19872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17" name="AutoShape 193" descr="AUSTRALIA11"/>
        <xdr:cNvSpPr>
          <a:spLocks noChangeAspect="1" noChangeArrowheads="1"/>
        </xdr:cNvSpPr>
      </xdr:nvSpPr>
      <xdr:spPr bwMode="auto">
        <a:xfrm>
          <a:off x="0" y="20048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18" name="AutoShape 194" descr="https://www.soccerstats.com/img/own/sshplogo.png">
          <a:hlinkClick xmlns:r="http://schemas.openxmlformats.org/officeDocument/2006/relationships" r:id="rId97"/>
        </xdr:cNvPr>
        <xdr:cNvSpPr>
          <a:spLocks noChangeAspect="1" noChangeArrowheads="1"/>
        </xdr:cNvSpPr>
      </xdr:nvSpPr>
      <xdr:spPr bwMode="auto">
        <a:xfrm>
          <a:off x="13411200" y="20048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19" name="AutoShape 195" descr="AUSTRALIA11"/>
        <xdr:cNvSpPr>
          <a:spLocks noChangeAspect="1" noChangeArrowheads="1"/>
        </xdr:cNvSpPr>
      </xdr:nvSpPr>
      <xdr:spPr bwMode="auto">
        <a:xfrm>
          <a:off x="0" y="20299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20" name="AutoShape 196" descr="https://www.soccerstats.com/img/own/sshplogo.png">
          <a:hlinkClick xmlns:r="http://schemas.openxmlformats.org/officeDocument/2006/relationships" r:id="rId98"/>
        </xdr:cNvPr>
        <xdr:cNvSpPr>
          <a:spLocks noChangeAspect="1" noChangeArrowheads="1"/>
        </xdr:cNvSpPr>
      </xdr:nvSpPr>
      <xdr:spPr bwMode="auto">
        <a:xfrm>
          <a:off x="13411200" y="20299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21" name="AutoShape 197" descr="AUSTRIA"/>
        <xdr:cNvSpPr>
          <a:spLocks noChangeAspect="1" noChangeArrowheads="1"/>
        </xdr:cNvSpPr>
      </xdr:nvSpPr>
      <xdr:spPr bwMode="auto">
        <a:xfrm>
          <a:off x="0" y="20551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22" name="AutoShape 198" descr="https://www.soccerstats.com/img/own/sshplogo.png">
          <a:hlinkClick xmlns:r="http://schemas.openxmlformats.org/officeDocument/2006/relationships" r:id="rId99"/>
        </xdr:cNvPr>
        <xdr:cNvSpPr>
          <a:spLocks noChangeAspect="1" noChangeArrowheads="1"/>
        </xdr:cNvSpPr>
      </xdr:nvSpPr>
      <xdr:spPr bwMode="auto">
        <a:xfrm>
          <a:off x="13411200" y="20551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23" name="AutoShape 199" descr="AUSTRIA"/>
        <xdr:cNvSpPr>
          <a:spLocks noChangeAspect="1" noChangeArrowheads="1"/>
        </xdr:cNvSpPr>
      </xdr:nvSpPr>
      <xdr:spPr bwMode="auto">
        <a:xfrm>
          <a:off x="0" y="20802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24" name="AutoShape 200" descr="https://www.soccerstats.com/img/own/sshplogo.png">
          <a:hlinkClick xmlns:r="http://schemas.openxmlformats.org/officeDocument/2006/relationships" r:id="rId100"/>
        </xdr:cNvPr>
        <xdr:cNvSpPr>
          <a:spLocks noChangeAspect="1" noChangeArrowheads="1"/>
        </xdr:cNvSpPr>
      </xdr:nvSpPr>
      <xdr:spPr bwMode="auto">
        <a:xfrm>
          <a:off x="13411200" y="2080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25" name="AutoShape 201" descr="AUSTRIA2"/>
        <xdr:cNvSpPr>
          <a:spLocks noChangeAspect="1" noChangeArrowheads="1"/>
        </xdr:cNvSpPr>
      </xdr:nvSpPr>
      <xdr:spPr bwMode="auto">
        <a:xfrm>
          <a:off x="0" y="20977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26" name="AutoShape 202" descr="https://www.soccerstats.com/img/own/sshplogo.png">
          <a:hlinkClick xmlns:r="http://schemas.openxmlformats.org/officeDocument/2006/relationships" r:id="rId101"/>
        </xdr:cNvPr>
        <xdr:cNvSpPr>
          <a:spLocks noChangeAspect="1" noChangeArrowheads="1"/>
        </xdr:cNvSpPr>
      </xdr:nvSpPr>
      <xdr:spPr bwMode="auto">
        <a:xfrm>
          <a:off x="13411200" y="20977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27" name="AutoShape 203" descr="AUSTRIA2"/>
        <xdr:cNvSpPr>
          <a:spLocks noChangeAspect="1" noChangeArrowheads="1"/>
        </xdr:cNvSpPr>
      </xdr:nvSpPr>
      <xdr:spPr bwMode="auto">
        <a:xfrm>
          <a:off x="0" y="21153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28" name="AutoShape 204" descr="https://www.soccerstats.com/img/own/sshplogo.png">
          <a:hlinkClick xmlns:r="http://schemas.openxmlformats.org/officeDocument/2006/relationships" r:id="rId102"/>
        </xdr:cNvPr>
        <xdr:cNvSpPr>
          <a:spLocks noChangeAspect="1" noChangeArrowheads="1"/>
        </xdr:cNvSpPr>
      </xdr:nvSpPr>
      <xdr:spPr bwMode="auto">
        <a:xfrm>
          <a:off x="13411200" y="21153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29" name="AutoShape 205" descr="AUSTRIA2"/>
        <xdr:cNvSpPr>
          <a:spLocks noChangeAspect="1" noChangeArrowheads="1"/>
        </xdr:cNvSpPr>
      </xdr:nvSpPr>
      <xdr:spPr bwMode="auto">
        <a:xfrm>
          <a:off x="0" y="21404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30" name="AutoShape 206" descr="https://www.soccerstats.com/img/own/sshplogo.png">
          <a:hlinkClick xmlns:r="http://schemas.openxmlformats.org/officeDocument/2006/relationships" r:id="rId103"/>
        </xdr:cNvPr>
        <xdr:cNvSpPr>
          <a:spLocks noChangeAspect="1" noChangeArrowheads="1"/>
        </xdr:cNvSpPr>
      </xdr:nvSpPr>
      <xdr:spPr bwMode="auto">
        <a:xfrm>
          <a:off x="13411200" y="21404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31" name="AutoShape 207" descr="AUSTRIA2"/>
        <xdr:cNvSpPr>
          <a:spLocks noChangeAspect="1" noChangeArrowheads="1"/>
        </xdr:cNvSpPr>
      </xdr:nvSpPr>
      <xdr:spPr bwMode="auto">
        <a:xfrm>
          <a:off x="0" y="21656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32" name="AutoShape 208" descr="https://www.soccerstats.com/img/own/sshplogo.png">
          <a:hlinkClick xmlns:r="http://schemas.openxmlformats.org/officeDocument/2006/relationships" r:id="rId104"/>
        </xdr:cNvPr>
        <xdr:cNvSpPr>
          <a:spLocks noChangeAspect="1" noChangeArrowheads="1"/>
        </xdr:cNvSpPr>
      </xdr:nvSpPr>
      <xdr:spPr bwMode="auto">
        <a:xfrm>
          <a:off x="13411200" y="21656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33" name="AutoShape 209" descr="AUSTRIA2"/>
        <xdr:cNvSpPr>
          <a:spLocks noChangeAspect="1" noChangeArrowheads="1"/>
        </xdr:cNvSpPr>
      </xdr:nvSpPr>
      <xdr:spPr bwMode="auto">
        <a:xfrm>
          <a:off x="0" y="21831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34" name="AutoShape 210" descr="https://www.soccerstats.com/img/own/sshplogo.png">
          <a:hlinkClick xmlns:r="http://schemas.openxmlformats.org/officeDocument/2006/relationships" r:id="rId105"/>
        </xdr:cNvPr>
        <xdr:cNvSpPr>
          <a:spLocks noChangeAspect="1" noChangeArrowheads="1"/>
        </xdr:cNvSpPr>
      </xdr:nvSpPr>
      <xdr:spPr bwMode="auto">
        <a:xfrm>
          <a:off x="13411200" y="21831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35" name="AutoShape 211" descr="BELARUS"/>
        <xdr:cNvSpPr>
          <a:spLocks noChangeAspect="1" noChangeArrowheads="1"/>
        </xdr:cNvSpPr>
      </xdr:nvSpPr>
      <xdr:spPr bwMode="auto">
        <a:xfrm>
          <a:off x="0" y="22006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36" name="AutoShape 212" descr="https://www.soccerstats.com/img/own/sshplogo.png">
          <a:hlinkClick xmlns:r="http://schemas.openxmlformats.org/officeDocument/2006/relationships" r:id="rId106"/>
        </xdr:cNvPr>
        <xdr:cNvSpPr>
          <a:spLocks noChangeAspect="1" noChangeArrowheads="1"/>
        </xdr:cNvSpPr>
      </xdr:nvSpPr>
      <xdr:spPr bwMode="auto">
        <a:xfrm>
          <a:off x="13411200" y="22006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37" name="AutoShape 213" descr="BELARUS"/>
        <xdr:cNvSpPr>
          <a:spLocks noChangeAspect="1" noChangeArrowheads="1"/>
        </xdr:cNvSpPr>
      </xdr:nvSpPr>
      <xdr:spPr bwMode="auto">
        <a:xfrm>
          <a:off x="0" y="22181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38" name="AutoShape 214" descr="https://www.soccerstats.com/img/own/sshplogo.png">
          <a:hlinkClick xmlns:r="http://schemas.openxmlformats.org/officeDocument/2006/relationships" r:id="rId107"/>
        </xdr:cNvPr>
        <xdr:cNvSpPr>
          <a:spLocks noChangeAspect="1" noChangeArrowheads="1"/>
        </xdr:cNvSpPr>
      </xdr:nvSpPr>
      <xdr:spPr bwMode="auto">
        <a:xfrm>
          <a:off x="13411200" y="22181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39" name="AutoShape 215" descr="BELARUS"/>
        <xdr:cNvSpPr>
          <a:spLocks noChangeAspect="1" noChangeArrowheads="1"/>
        </xdr:cNvSpPr>
      </xdr:nvSpPr>
      <xdr:spPr bwMode="auto">
        <a:xfrm>
          <a:off x="0" y="22433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40" name="AutoShape 216" descr="https://www.soccerstats.com/img/own/sshplogo.png">
          <a:hlinkClick xmlns:r="http://schemas.openxmlformats.org/officeDocument/2006/relationships" r:id="rId108"/>
        </xdr:cNvPr>
        <xdr:cNvSpPr>
          <a:spLocks noChangeAspect="1" noChangeArrowheads="1"/>
        </xdr:cNvSpPr>
      </xdr:nvSpPr>
      <xdr:spPr bwMode="auto">
        <a:xfrm>
          <a:off x="13411200" y="22433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41" name="AutoShape 217" descr="BELGIUM"/>
        <xdr:cNvSpPr>
          <a:spLocks noChangeAspect="1" noChangeArrowheads="1"/>
        </xdr:cNvSpPr>
      </xdr:nvSpPr>
      <xdr:spPr bwMode="auto">
        <a:xfrm>
          <a:off x="0" y="22608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42" name="AutoShape 218" descr="https://www.soccerstats.com/img/own/sshplogo.png">
          <a:hlinkClick xmlns:r="http://schemas.openxmlformats.org/officeDocument/2006/relationships" r:id="rId109"/>
        </xdr:cNvPr>
        <xdr:cNvSpPr>
          <a:spLocks noChangeAspect="1" noChangeArrowheads="1"/>
        </xdr:cNvSpPr>
      </xdr:nvSpPr>
      <xdr:spPr bwMode="auto">
        <a:xfrm>
          <a:off x="13411200" y="22608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43" name="AutoShape 219" descr="BELGIUM"/>
        <xdr:cNvSpPr>
          <a:spLocks noChangeAspect="1" noChangeArrowheads="1"/>
        </xdr:cNvSpPr>
      </xdr:nvSpPr>
      <xdr:spPr bwMode="auto">
        <a:xfrm>
          <a:off x="0" y="22860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44" name="AutoShape 220" descr="https://www.soccerstats.com/img/own/sshplogo.png">
          <a:hlinkClick xmlns:r="http://schemas.openxmlformats.org/officeDocument/2006/relationships" r:id="rId110"/>
        </xdr:cNvPr>
        <xdr:cNvSpPr>
          <a:spLocks noChangeAspect="1" noChangeArrowheads="1"/>
        </xdr:cNvSpPr>
      </xdr:nvSpPr>
      <xdr:spPr bwMode="auto">
        <a:xfrm>
          <a:off x="13411200" y="2286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45" name="AutoShape 221" descr="BELGIUM"/>
        <xdr:cNvSpPr>
          <a:spLocks noChangeAspect="1" noChangeArrowheads="1"/>
        </xdr:cNvSpPr>
      </xdr:nvSpPr>
      <xdr:spPr bwMode="auto">
        <a:xfrm>
          <a:off x="0" y="2303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46" name="AutoShape 222" descr="https://www.soccerstats.com/img/own/sshplogo.png">
          <a:hlinkClick xmlns:r="http://schemas.openxmlformats.org/officeDocument/2006/relationships" r:id="rId111"/>
        </xdr:cNvPr>
        <xdr:cNvSpPr>
          <a:spLocks noChangeAspect="1" noChangeArrowheads="1"/>
        </xdr:cNvSpPr>
      </xdr:nvSpPr>
      <xdr:spPr bwMode="auto">
        <a:xfrm>
          <a:off x="13411200" y="2303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47" name="AutoShape 223" descr="BELGIUM"/>
        <xdr:cNvSpPr>
          <a:spLocks noChangeAspect="1" noChangeArrowheads="1"/>
        </xdr:cNvSpPr>
      </xdr:nvSpPr>
      <xdr:spPr bwMode="auto">
        <a:xfrm>
          <a:off x="0" y="23210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48" name="AutoShape 224" descr="https://www.soccerstats.com/img/own/sshplogo.png">
          <a:hlinkClick xmlns:r="http://schemas.openxmlformats.org/officeDocument/2006/relationships" r:id="rId112"/>
        </xdr:cNvPr>
        <xdr:cNvSpPr>
          <a:spLocks noChangeAspect="1" noChangeArrowheads="1"/>
        </xdr:cNvSpPr>
      </xdr:nvSpPr>
      <xdr:spPr bwMode="auto">
        <a:xfrm>
          <a:off x="13411200" y="23210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49" name="AutoShape 225" descr="BELGIUM2"/>
        <xdr:cNvSpPr>
          <a:spLocks noChangeAspect="1" noChangeArrowheads="1"/>
        </xdr:cNvSpPr>
      </xdr:nvSpPr>
      <xdr:spPr bwMode="auto">
        <a:xfrm>
          <a:off x="0" y="23385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50" name="AutoShape 226" descr="https://www.soccerstats.com/img/own/sshplogo.png">
          <a:hlinkClick xmlns:r="http://schemas.openxmlformats.org/officeDocument/2006/relationships" r:id="rId113"/>
        </xdr:cNvPr>
        <xdr:cNvSpPr>
          <a:spLocks noChangeAspect="1" noChangeArrowheads="1"/>
        </xdr:cNvSpPr>
      </xdr:nvSpPr>
      <xdr:spPr bwMode="auto">
        <a:xfrm>
          <a:off x="13411200" y="23385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51" name="AutoShape 227" descr="BELGIUM2"/>
        <xdr:cNvSpPr>
          <a:spLocks noChangeAspect="1" noChangeArrowheads="1"/>
        </xdr:cNvSpPr>
      </xdr:nvSpPr>
      <xdr:spPr bwMode="auto">
        <a:xfrm>
          <a:off x="0" y="23561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52" name="AutoShape 228" descr="https://www.soccerstats.com/img/own/sshplogo.png">
          <a:hlinkClick xmlns:r="http://schemas.openxmlformats.org/officeDocument/2006/relationships" r:id="rId114"/>
        </xdr:cNvPr>
        <xdr:cNvSpPr>
          <a:spLocks noChangeAspect="1" noChangeArrowheads="1"/>
        </xdr:cNvSpPr>
      </xdr:nvSpPr>
      <xdr:spPr bwMode="auto">
        <a:xfrm>
          <a:off x="13411200" y="23561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53" name="AutoShape 229" descr="BELGIUM2"/>
        <xdr:cNvSpPr>
          <a:spLocks noChangeAspect="1" noChangeArrowheads="1"/>
        </xdr:cNvSpPr>
      </xdr:nvSpPr>
      <xdr:spPr bwMode="auto">
        <a:xfrm>
          <a:off x="0" y="23736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54" name="AutoShape 230" descr="https://www.soccerstats.com/img/own/sshplogo.png">
          <a:hlinkClick xmlns:r="http://schemas.openxmlformats.org/officeDocument/2006/relationships" r:id="rId115"/>
        </xdr:cNvPr>
        <xdr:cNvSpPr>
          <a:spLocks noChangeAspect="1" noChangeArrowheads="1"/>
        </xdr:cNvSpPr>
      </xdr:nvSpPr>
      <xdr:spPr bwMode="auto">
        <a:xfrm>
          <a:off x="13411200" y="2373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55" name="AutoShape 231" descr="BOSNIA"/>
        <xdr:cNvSpPr>
          <a:spLocks noChangeAspect="1" noChangeArrowheads="1"/>
        </xdr:cNvSpPr>
      </xdr:nvSpPr>
      <xdr:spPr bwMode="auto">
        <a:xfrm>
          <a:off x="0" y="23911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56" name="AutoShape 232" descr="https://www.soccerstats.com/img/own/sshplogo.png">
          <a:hlinkClick xmlns:r="http://schemas.openxmlformats.org/officeDocument/2006/relationships" r:id="rId116"/>
        </xdr:cNvPr>
        <xdr:cNvSpPr>
          <a:spLocks noChangeAspect="1" noChangeArrowheads="1"/>
        </xdr:cNvSpPr>
      </xdr:nvSpPr>
      <xdr:spPr bwMode="auto">
        <a:xfrm>
          <a:off x="13411200" y="23911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57" name="AutoShape 233" descr="BOSNIA"/>
        <xdr:cNvSpPr>
          <a:spLocks noChangeAspect="1" noChangeArrowheads="1"/>
        </xdr:cNvSpPr>
      </xdr:nvSpPr>
      <xdr:spPr bwMode="auto">
        <a:xfrm>
          <a:off x="0" y="24163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58" name="AutoShape 234" descr="https://www.soccerstats.com/img/own/sshplogo.png">
          <a:hlinkClick xmlns:r="http://schemas.openxmlformats.org/officeDocument/2006/relationships" r:id="rId117"/>
        </xdr:cNvPr>
        <xdr:cNvSpPr>
          <a:spLocks noChangeAspect="1" noChangeArrowheads="1"/>
        </xdr:cNvSpPr>
      </xdr:nvSpPr>
      <xdr:spPr bwMode="auto">
        <a:xfrm>
          <a:off x="13411200" y="24163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59" name="AutoShape 235" descr="BOSNIA"/>
        <xdr:cNvSpPr>
          <a:spLocks noChangeAspect="1" noChangeArrowheads="1"/>
        </xdr:cNvSpPr>
      </xdr:nvSpPr>
      <xdr:spPr bwMode="auto">
        <a:xfrm>
          <a:off x="0" y="24338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60" name="AutoShape 236" descr="https://www.soccerstats.com/img/own/sshplogo.png">
          <a:hlinkClick xmlns:r="http://schemas.openxmlformats.org/officeDocument/2006/relationships" r:id="rId118"/>
        </xdr:cNvPr>
        <xdr:cNvSpPr>
          <a:spLocks noChangeAspect="1" noChangeArrowheads="1"/>
        </xdr:cNvSpPr>
      </xdr:nvSpPr>
      <xdr:spPr bwMode="auto">
        <a:xfrm>
          <a:off x="13411200" y="24338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61" name="AutoShape 237" descr="BOSNIA"/>
        <xdr:cNvSpPr>
          <a:spLocks noChangeAspect="1" noChangeArrowheads="1"/>
        </xdr:cNvSpPr>
      </xdr:nvSpPr>
      <xdr:spPr bwMode="auto">
        <a:xfrm>
          <a:off x="0" y="24589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62" name="AutoShape 238" descr="https://www.soccerstats.com/img/own/sshplogo.png">
          <a:hlinkClick xmlns:r="http://schemas.openxmlformats.org/officeDocument/2006/relationships" r:id="rId119"/>
        </xdr:cNvPr>
        <xdr:cNvSpPr>
          <a:spLocks noChangeAspect="1" noChangeArrowheads="1"/>
        </xdr:cNvSpPr>
      </xdr:nvSpPr>
      <xdr:spPr bwMode="auto">
        <a:xfrm>
          <a:off x="13411200" y="24589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63" name="AutoShape 239" descr="BOSNIA"/>
        <xdr:cNvSpPr>
          <a:spLocks noChangeAspect="1" noChangeArrowheads="1"/>
        </xdr:cNvSpPr>
      </xdr:nvSpPr>
      <xdr:spPr bwMode="auto">
        <a:xfrm>
          <a:off x="0" y="24841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64" name="AutoShape 240" descr="https://www.soccerstats.com/img/own/sshplogo.png">
          <a:hlinkClick xmlns:r="http://schemas.openxmlformats.org/officeDocument/2006/relationships" r:id="rId120"/>
        </xdr:cNvPr>
        <xdr:cNvSpPr>
          <a:spLocks noChangeAspect="1" noChangeArrowheads="1"/>
        </xdr:cNvSpPr>
      </xdr:nvSpPr>
      <xdr:spPr bwMode="auto">
        <a:xfrm>
          <a:off x="13411200" y="24841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65" name="AutoShape 241" descr="BRAZIL"/>
        <xdr:cNvSpPr>
          <a:spLocks noChangeAspect="1" noChangeArrowheads="1"/>
        </xdr:cNvSpPr>
      </xdr:nvSpPr>
      <xdr:spPr bwMode="auto">
        <a:xfrm>
          <a:off x="0" y="25016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66" name="AutoShape 242" descr="https://www.soccerstats.com/img/own/sshplogo.png">
          <a:hlinkClick xmlns:r="http://schemas.openxmlformats.org/officeDocument/2006/relationships" r:id="rId121"/>
        </xdr:cNvPr>
        <xdr:cNvSpPr>
          <a:spLocks noChangeAspect="1" noChangeArrowheads="1"/>
        </xdr:cNvSpPr>
      </xdr:nvSpPr>
      <xdr:spPr bwMode="auto">
        <a:xfrm>
          <a:off x="13411200" y="25016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67" name="AutoShape 243" descr="BRAZIL"/>
        <xdr:cNvSpPr>
          <a:spLocks noChangeAspect="1" noChangeArrowheads="1"/>
        </xdr:cNvSpPr>
      </xdr:nvSpPr>
      <xdr:spPr bwMode="auto">
        <a:xfrm>
          <a:off x="0" y="25191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68" name="AutoShape 244" descr="https://www.soccerstats.com/img/own/sshplogo.png">
          <a:hlinkClick xmlns:r="http://schemas.openxmlformats.org/officeDocument/2006/relationships" r:id="rId122"/>
        </xdr:cNvPr>
        <xdr:cNvSpPr>
          <a:spLocks noChangeAspect="1" noChangeArrowheads="1"/>
        </xdr:cNvSpPr>
      </xdr:nvSpPr>
      <xdr:spPr bwMode="auto">
        <a:xfrm>
          <a:off x="13411200" y="25191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69" name="AutoShape 245" descr="BRAZIL2"/>
        <xdr:cNvSpPr>
          <a:spLocks noChangeAspect="1" noChangeArrowheads="1"/>
        </xdr:cNvSpPr>
      </xdr:nvSpPr>
      <xdr:spPr bwMode="auto">
        <a:xfrm>
          <a:off x="0" y="25366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70" name="AutoShape 246" descr="https://www.soccerstats.com/img/own/sshplogo.png">
          <a:hlinkClick xmlns:r="http://schemas.openxmlformats.org/officeDocument/2006/relationships" r:id="rId123"/>
        </xdr:cNvPr>
        <xdr:cNvSpPr>
          <a:spLocks noChangeAspect="1" noChangeArrowheads="1"/>
        </xdr:cNvSpPr>
      </xdr:nvSpPr>
      <xdr:spPr bwMode="auto">
        <a:xfrm>
          <a:off x="13411200" y="25366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71" name="AutoShape 247" descr="BRAZIL2"/>
        <xdr:cNvSpPr>
          <a:spLocks noChangeAspect="1" noChangeArrowheads="1"/>
        </xdr:cNvSpPr>
      </xdr:nvSpPr>
      <xdr:spPr bwMode="auto">
        <a:xfrm>
          <a:off x="0" y="25542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72" name="AutoShape 248" descr="https://www.soccerstats.com/img/own/sshplogo.png">
          <a:hlinkClick xmlns:r="http://schemas.openxmlformats.org/officeDocument/2006/relationships" r:id="rId124"/>
        </xdr:cNvPr>
        <xdr:cNvSpPr>
          <a:spLocks noChangeAspect="1" noChangeArrowheads="1"/>
        </xdr:cNvSpPr>
      </xdr:nvSpPr>
      <xdr:spPr bwMode="auto">
        <a:xfrm>
          <a:off x="13411200" y="25542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73" name="AutoShape 249" descr="BRAZIL2"/>
        <xdr:cNvSpPr>
          <a:spLocks noChangeAspect="1" noChangeArrowheads="1"/>
        </xdr:cNvSpPr>
      </xdr:nvSpPr>
      <xdr:spPr bwMode="auto">
        <a:xfrm>
          <a:off x="0" y="25717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74" name="AutoShape 250" descr="https://www.soccerstats.com/img/own/sshplogo.png">
          <a:hlinkClick xmlns:r="http://schemas.openxmlformats.org/officeDocument/2006/relationships" r:id="rId125"/>
        </xdr:cNvPr>
        <xdr:cNvSpPr>
          <a:spLocks noChangeAspect="1" noChangeArrowheads="1"/>
        </xdr:cNvSpPr>
      </xdr:nvSpPr>
      <xdr:spPr bwMode="auto">
        <a:xfrm>
          <a:off x="13411200" y="2571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75" name="AutoShape 251" descr="BRAZIL2"/>
        <xdr:cNvSpPr>
          <a:spLocks noChangeAspect="1" noChangeArrowheads="1"/>
        </xdr:cNvSpPr>
      </xdr:nvSpPr>
      <xdr:spPr bwMode="auto">
        <a:xfrm>
          <a:off x="0" y="25892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76" name="AutoShape 252" descr="https://www.soccerstats.com/img/own/sshplogo.png">
          <a:hlinkClick xmlns:r="http://schemas.openxmlformats.org/officeDocument/2006/relationships" r:id="rId126"/>
        </xdr:cNvPr>
        <xdr:cNvSpPr>
          <a:spLocks noChangeAspect="1" noChangeArrowheads="1"/>
        </xdr:cNvSpPr>
      </xdr:nvSpPr>
      <xdr:spPr bwMode="auto">
        <a:xfrm>
          <a:off x="13411200" y="25892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77" name="AutoShape 253" descr="BRAZIL3"/>
        <xdr:cNvSpPr>
          <a:spLocks noChangeAspect="1" noChangeArrowheads="1"/>
        </xdr:cNvSpPr>
      </xdr:nvSpPr>
      <xdr:spPr bwMode="auto">
        <a:xfrm>
          <a:off x="0" y="26068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78" name="AutoShape 254" descr="https://www.soccerstats.com/img/own/sshplogo.png">
          <a:hlinkClick xmlns:r="http://schemas.openxmlformats.org/officeDocument/2006/relationships" r:id="rId127"/>
        </xdr:cNvPr>
        <xdr:cNvSpPr>
          <a:spLocks noChangeAspect="1" noChangeArrowheads="1"/>
        </xdr:cNvSpPr>
      </xdr:nvSpPr>
      <xdr:spPr bwMode="auto">
        <a:xfrm>
          <a:off x="13411200" y="26068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79" name="AutoShape 255" descr="BRAZIL3"/>
        <xdr:cNvSpPr>
          <a:spLocks noChangeAspect="1" noChangeArrowheads="1"/>
        </xdr:cNvSpPr>
      </xdr:nvSpPr>
      <xdr:spPr bwMode="auto">
        <a:xfrm>
          <a:off x="0" y="26243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80" name="AutoShape 256" descr="https://www.soccerstats.com/img/own/sshplogo.png">
          <a:hlinkClick xmlns:r="http://schemas.openxmlformats.org/officeDocument/2006/relationships" r:id="rId128"/>
        </xdr:cNvPr>
        <xdr:cNvSpPr>
          <a:spLocks noChangeAspect="1" noChangeArrowheads="1"/>
        </xdr:cNvSpPr>
      </xdr:nvSpPr>
      <xdr:spPr bwMode="auto">
        <a:xfrm>
          <a:off x="13411200" y="26243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81" name="AutoShape 257" descr="BRAZIL3"/>
        <xdr:cNvSpPr>
          <a:spLocks noChangeAspect="1" noChangeArrowheads="1"/>
        </xdr:cNvSpPr>
      </xdr:nvSpPr>
      <xdr:spPr bwMode="auto">
        <a:xfrm>
          <a:off x="0" y="26494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82" name="AutoShape 258" descr="https://www.soccerstats.com/img/own/sshplogo.png">
          <a:hlinkClick xmlns:r="http://schemas.openxmlformats.org/officeDocument/2006/relationships" r:id="rId129"/>
        </xdr:cNvPr>
        <xdr:cNvSpPr>
          <a:spLocks noChangeAspect="1" noChangeArrowheads="1"/>
        </xdr:cNvSpPr>
      </xdr:nvSpPr>
      <xdr:spPr bwMode="auto">
        <a:xfrm>
          <a:off x="13411200" y="26494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83" name="AutoShape 259" descr="BRAZIL3"/>
        <xdr:cNvSpPr>
          <a:spLocks noChangeAspect="1" noChangeArrowheads="1"/>
        </xdr:cNvSpPr>
      </xdr:nvSpPr>
      <xdr:spPr bwMode="auto">
        <a:xfrm>
          <a:off x="0" y="26670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84" name="AutoShape 260" descr="https://www.soccerstats.com/img/own/sshplogo.png">
          <a:hlinkClick xmlns:r="http://schemas.openxmlformats.org/officeDocument/2006/relationships" r:id="rId130"/>
        </xdr:cNvPr>
        <xdr:cNvSpPr>
          <a:spLocks noChangeAspect="1" noChangeArrowheads="1"/>
        </xdr:cNvSpPr>
      </xdr:nvSpPr>
      <xdr:spPr bwMode="auto">
        <a:xfrm>
          <a:off x="13411200" y="2667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85" name="AutoShape 261" descr="BRAZIL5"/>
        <xdr:cNvSpPr>
          <a:spLocks noChangeAspect="1" noChangeArrowheads="1"/>
        </xdr:cNvSpPr>
      </xdr:nvSpPr>
      <xdr:spPr bwMode="auto">
        <a:xfrm>
          <a:off x="0" y="2684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86" name="AutoShape 262" descr="https://www.soccerstats.com/img/own/sshplogo.png">
          <a:hlinkClick xmlns:r="http://schemas.openxmlformats.org/officeDocument/2006/relationships" r:id="rId131"/>
        </xdr:cNvPr>
        <xdr:cNvSpPr>
          <a:spLocks noChangeAspect="1" noChangeArrowheads="1"/>
        </xdr:cNvSpPr>
      </xdr:nvSpPr>
      <xdr:spPr bwMode="auto">
        <a:xfrm>
          <a:off x="13411200" y="2684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87" name="AutoShape 263" descr="BRAZIL5"/>
        <xdr:cNvSpPr>
          <a:spLocks noChangeAspect="1" noChangeArrowheads="1"/>
        </xdr:cNvSpPr>
      </xdr:nvSpPr>
      <xdr:spPr bwMode="auto">
        <a:xfrm>
          <a:off x="0" y="27096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88" name="AutoShape 264" descr="https://www.soccerstats.com/img/own/sshplogo.png">
          <a:hlinkClick xmlns:r="http://schemas.openxmlformats.org/officeDocument/2006/relationships" r:id="rId132"/>
        </xdr:cNvPr>
        <xdr:cNvSpPr>
          <a:spLocks noChangeAspect="1" noChangeArrowheads="1"/>
        </xdr:cNvSpPr>
      </xdr:nvSpPr>
      <xdr:spPr bwMode="auto">
        <a:xfrm>
          <a:off x="13411200" y="27096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89" name="AutoShape 265" descr="BRAZIL5"/>
        <xdr:cNvSpPr>
          <a:spLocks noChangeAspect="1" noChangeArrowheads="1"/>
        </xdr:cNvSpPr>
      </xdr:nvSpPr>
      <xdr:spPr bwMode="auto">
        <a:xfrm>
          <a:off x="0" y="27348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90" name="AutoShape 266" descr="https://www.soccerstats.com/img/own/sshplogo.png">
          <a:hlinkClick xmlns:r="http://schemas.openxmlformats.org/officeDocument/2006/relationships" r:id="rId133"/>
        </xdr:cNvPr>
        <xdr:cNvSpPr>
          <a:spLocks noChangeAspect="1" noChangeArrowheads="1"/>
        </xdr:cNvSpPr>
      </xdr:nvSpPr>
      <xdr:spPr bwMode="auto">
        <a:xfrm>
          <a:off x="13411200" y="27348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91" name="AutoShape 267" descr="BRAZIL5"/>
        <xdr:cNvSpPr>
          <a:spLocks noChangeAspect="1" noChangeArrowheads="1"/>
        </xdr:cNvSpPr>
      </xdr:nvSpPr>
      <xdr:spPr bwMode="auto">
        <a:xfrm>
          <a:off x="0" y="27599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92" name="AutoShape 268" descr="https://www.soccerstats.com/img/own/sshplogo.png">
          <a:hlinkClick xmlns:r="http://schemas.openxmlformats.org/officeDocument/2006/relationships" r:id="rId134"/>
        </xdr:cNvPr>
        <xdr:cNvSpPr>
          <a:spLocks noChangeAspect="1" noChangeArrowheads="1"/>
        </xdr:cNvSpPr>
      </xdr:nvSpPr>
      <xdr:spPr bwMode="auto">
        <a:xfrm>
          <a:off x="13411200" y="27599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93" name="AutoShape 269" descr="BRAZIL5"/>
        <xdr:cNvSpPr>
          <a:spLocks noChangeAspect="1" noChangeArrowheads="1"/>
        </xdr:cNvSpPr>
      </xdr:nvSpPr>
      <xdr:spPr bwMode="auto">
        <a:xfrm>
          <a:off x="0" y="27851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94" name="AutoShape 270" descr="https://www.soccerstats.com/img/own/sshplogo.png">
          <a:hlinkClick xmlns:r="http://schemas.openxmlformats.org/officeDocument/2006/relationships" r:id="rId135"/>
        </xdr:cNvPr>
        <xdr:cNvSpPr>
          <a:spLocks noChangeAspect="1" noChangeArrowheads="1"/>
        </xdr:cNvSpPr>
      </xdr:nvSpPr>
      <xdr:spPr bwMode="auto">
        <a:xfrm>
          <a:off x="13411200" y="27851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95" name="AutoShape 271" descr="BRAZIL5"/>
        <xdr:cNvSpPr>
          <a:spLocks noChangeAspect="1" noChangeArrowheads="1"/>
        </xdr:cNvSpPr>
      </xdr:nvSpPr>
      <xdr:spPr bwMode="auto">
        <a:xfrm>
          <a:off x="0" y="28026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96" name="AutoShape 272" descr="https://www.soccerstats.com/img/own/sshplogo.png">
          <a:hlinkClick xmlns:r="http://schemas.openxmlformats.org/officeDocument/2006/relationships" r:id="rId136"/>
        </xdr:cNvPr>
        <xdr:cNvSpPr>
          <a:spLocks noChangeAspect="1" noChangeArrowheads="1"/>
        </xdr:cNvSpPr>
      </xdr:nvSpPr>
      <xdr:spPr bwMode="auto">
        <a:xfrm>
          <a:off x="13411200" y="28026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97" name="AutoShape 273" descr="BULGARIA"/>
        <xdr:cNvSpPr>
          <a:spLocks noChangeAspect="1" noChangeArrowheads="1"/>
        </xdr:cNvSpPr>
      </xdr:nvSpPr>
      <xdr:spPr bwMode="auto">
        <a:xfrm>
          <a:off x="0" y="28277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298" name="AutoShape 274" descr="https://www.soccerstats.com/img/own/sshplogo.png">
          <a:hlinkClick xmlns:r="http://schemas.openxmlformats.org/officeDocument/2006/relationships" r:id="rId137"/>
        </xdr:cNvPr>
        <xdr:cNvSpPr>
          <a:spLocks noChangeAspect="1" noChangeArrowheads="1"/>
        </xdr:cNvSpPr>
      </xdr:nvSpPr>
      <xdr:spPr bwMode="auto">
        <a:xfrm>
          <a:off x="13411200" y="28277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299" name="AutoShape 275" descr="BULGARIA"/>
        <xdr:cNvSpPr>
          <a:spLocks noChangeAspect="1" noChangeArrowheads="1"/>
        </xdr:cNvSpPr>
      </xdr:nvSpPr>
      <xdr:spPr bwMode="auto">
        <a:xfrm>
          <a:off x="0" y="28453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00" name="AutoShape 276" descr="https://www.soccerstats.com/img/own/sshplogo.png">
          <a:hlinkClick xmlns:r="http://schemas.openxmlformats.org/officeDocument/2006/relationships" r:id="rId138"/>
        </xdr:cNvPr>
        <xdr:cNvSpPr>
          <a:spLocks noChangeAspect="1" noChangeArrowheads="1"/>
        </xdr:cNvSpPr>
      </xdr:nvSpPr>
      <xdr:spPr bwMode="auto">
        <a:xfrm>
          <a:off x="13411200" y="28453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01" name="AutoShape 277" descr="CANADA"/>
        <xdr:cNvSpPr>
          <a:spLocks noChangeAspect="1" noChangeArrowheads="1"/>
        </xdr:cNvSpPr>
      </xdr:nvSpPr>
      <xdr:spPr bwMode="auto">
        <a:xfrm>
          <a:off x="0" y="28628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02" name="AutoShape 278" descr="https://www.soccerstats.com/img/own/sshplogo.png">
          <a:hlinkClick xmlns:r="http://schemas.openxmlformats.org/officeDocument/2006/relationships" r:id="rId139"/>
        </xdr:cNvPr>
        <xdr:cNvSpPr>
          <a:spLocks noChangeAspect="1" noChangeArrowheads="1"/>
        </xdr:cNvSpPr>
      </xdr:nvSpPr>
      <xdr:spPr bwMode="auto">
        <a:xfrm>
          <a:off x="13411200" y="2862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03" name="AutoShape 279" descr="CANADA"/>
        <xdr:cNvSpPr>
          <a:spLocks noChangeAspect="1" noChangeArrowheads="1"/>
        </xdr:cNvSpPr>
      </xdr:nvSpPr>
      <xdr:spPr bwMode="auto">
        <a:xfrm>
          <a:off x="0" y="28803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04" name="AutoShape 280" descr="https://www.soccerstats.com/img/own/sshplogo.png">
          <a:hlinkClick xmlns:r="http://schemas.openxmlformats.org/officeDocument/2006/relationships" r:id="rId140"/>
        </xdr:cNvPr>
        <xdr:cNvSpPr>
          <a:spLocks noChangeAspect="1" noChangeArrowheads="1"/>
        </xdr:cNvSpPr>
      </xdr:nvSpPr>
      <xdr:spPr bwMode="auto">
        <a:xfrm>
          <a:off x="13411200" y="28803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05" name="AutoShape 281" descr="CHILE"/>
        <xdr:cNvSpPr>
          <a:spLocks noChangeAspect="1" noChangeArrowheads="1"/>
        </xdr:cNvSpPr>
      </xdr:nvSpPr>
      <xdr:spPr bwMode="auto">
        <a:xfrm>
          <a:off x="0" y="28978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06" name="AutoShape 282" descr="https://www.soccerstats.com/img/own/sshplogo.png">
          <a:hlinkClick xmlns:r="http://schemas.openxmlformats.org/officeDocument/2006/relationships" r:id="rId141"/>
        </xdr:cNvPr>
        <xdr:cNvSpPr>
          <a:spLocks noChangeAspect="1" noChangeArrowheads="1"/>
        </xdr:cNvSpPr>
      </xdr:nvSpPr>
      <xdr:spPr bwMode="auto">
        <a:xfrm>
          <a:off x="13411200" y="28978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07" name="AutoShape 283" descr="CHILE2"/>
        <xdr:cNvSpPr>
          <a:spLocks noChangeAspect="1" noChangeArrowheads="1"/>
        </xdr:cNvSpPr>
      </xdr:nvSpPr>
      <xdr:spPr bwMode="auto">
        <a:xfrm>
          <a:off x="0" y="29154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08" name="AutoShape 284" descr="https://www.soccerstats.com/img/own/sshplogo.png">
          <a:hlinkClick xmlns:r="http://schemas.openxmlformats.org/officeDocument/2006/relationships" r:id="rId142"/>
        </xdr:cNvPr>
        <xdr:cNvSpPr>
          <a:spLocks noChangeAspect="1" noChangeArrowheads="1"/>
        </xdr:cNvSpPr>
      </xdr:nvSpPr>
      <xdr:spPr bwMode="auto">
        <a:xfrm>
          <a:off x="13411200" y="29154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09" name="AutoShape 285" descr="CHINA"/>
        <xdr:cNvSpPr>
          <a:spLocks noChangeAspect="1" noChangeArrowheads="1"/>
        </xdr:cNvSpPr>
      </xdr:nvSpPr>
      <xdr:spPr bwMode="auto">
        <a:xfrm>
          <a:off x="0" y="29329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10" name="AutoShape 286" descr="https://www.soccerstats.com/img/own/sshplogo.png">
          <a:hlinkClick xmlns:r="http://schemas.openxmlformats.org/officeDocument/2006/relationships" r:id="rId143"/>
        </xdr:cNvPr>
        <xdr:cNvSpPr>
          <a:spLocks noChangeAspect="1" noChangeArrowheads="1"/>
        </xdr:cNvSpPr>
      </xdr:nvSpPr>
      <xdr:spPr bwMode="auto">
        <a:xfrm>
          <a:off x="13411200" y="29329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11" name="AutoShape 287" descr="CHINA"/>
        <xdr:cNvSpPr>
          <a:spLocks noChangeAspect="1" noChangeArrowheads="1"/>
        </xdr:cNvSpPr>
      </xdr:nvSpPr>
      <xdr:spPr bwMode="auto">
        <a:xfrm>
          <a:off x="0" y="29580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12" name="AutoShape 288" descr="https://www.soccerstats.com/img/own/sshplogo.png">
          <a:hlinkClick xmlns:r="http://schemas.openxmlformats.org/officeDocument/2006/relationships" r:id="rId144"/>
        </xdr:cNvPr>
        <xdr:cNvSpPr>
          <a:spLocks noChangeAspect="1" noChangeArrowheads="1"/>
        </xdr:cNvSpPr>
      </xdr:nvSpPr>
      <xdr:spPr bwMode="auto">
        <a:xfrm>
          <a:off x="13411200" y="29580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13" name="AutoShape 289" descr="CHINA"/>
        <xdr:cNvSpPr>
          <a:spLocks noChangeAspect="1" noChangeArrowheads="1"/>
        </xdr:cNvSpPr>
      </xdr:nvSpPr>
      <xdr:spPr bwMode="auto">
        <a:xfrm>
          <a:off x="0" y="29832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14" name="AutoShape 290" descr="https://www.soccerstats.com/img/own/sshplogo.png">
          <a:hlinkClick xmlns:r="http://schemas.openxmlformats.org/officeDocument/2006/relationships" r:id="rId145"/>
        </xdr:cNvPr>
        <xdr:cNvSpPr>
          <a:spLocks noChangeAspect="1" noChangeArrowheads="1"/>
        </xdr:cNvSpPr>
      </xdr:nvSpPr>
      <xdr:spPr bwMode="auto">
        <a:xfrm>
          <a:off x="13411200" y="29832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15" name="AutoShape 291" descr="CHINA"/>
        <xdr:cNvSpPr>
          <a:spLocks noChangeAspect="1" noChangeArrowheads="1"/>
        </xdr:cNvSpPr>
      </xdr:nvSpPr>
      <xdr:spPr bwMode="auto">
        <a:xfrm>
          <a:off x="0" y="30007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16" name="AutoShape 292" descr="https://www.soccerstats.com/img/own/sshplogo.png">
          <a:hlinkClick xmlns:r="http://schemas.openxmlformats.org/officeDocument/2006/relationships" r:id="rId146"/>
        </xdr:cNvPr>
        <xdr:cNvSpPr>
          <a:spLocks noChangeAspect="1" noChangeArrowheads="1"/>
        </xdr:cNvSpPr>
      </xdr:nvSpPr>
      <xdr:spPr bwMode="auto">
        <a:xfrm>
          <a:off x="13411200" y="30007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17" name="AutoShape 293" descr="CHINA"/>
        <xdr:cNvSpPr>
          <a:spLocks noChangeAspect="1" noChangeArrowheads="1"/>
        </xdr:cNvSpPr>
      </xdr:nvSpPr>
      <xdr:spPr bwMode="auto">
        <a:xfrm>
          <a:off x="0" y="30182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18" name="AutoShape 294" descr="https://www.soccerstats.com/img/own/sshplogo.png">
          <a:hlinkClick xmlns:r="http://schemas.openxmlformats.org/officeDocument/2006/relationships" r:id="rId147"/>
        </xdr:cNvPr>
        <xdr:cNvSpPr>
          <a:spLocks noChangeAspect="1" noChangeArrowheads="1"/>
        </xdr:cNvSpPr>
      </xdr:nvSpPr>
      <xdr:spPr bwMode="auto">
        <a:xfrm>
          <a:off x="13411200" y="30182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19" name="AutoShape 295" descr="CHINA2"/>
        <xdr:cNvSpPr>
          <a:spLocks noChangeAspect="1" noChangeArrowheads="1"/>
        </xdr:cNvSpPr>
      </xdr:nvSpPr>
      <xdr:spPr bwMode="auto">
        <a:xfrm>
          <a:off x="0" y="30434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20" name="AutoShape 296" descr="https://www.soccerstats.com/img/own/sshplogo.png">
          <a:hlinkClick xmlns:r="http://schemas.openxmlformats.org/officeDocument/2006/relationships" r:id="rId148"/>
        </xdr:cNvPr>
        <xdr:cNvSpPr>
          <a:spLocks noChangeAspect="1" noChangeArrowheads="1"/>
        </xdr:cNvSpPr>
      </xdr:nvSpPr>
      <xdr:spPr bwMode="auto">
        <a:xfrm>
          <a:off x="13411200" y="30434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21" name="AutoShape 297" descr="CHINA2"/>
        <xdr:cNvSpPr>
          <a:spLocks noChangeAspect="1" noChangeArrowheads="1"/>
        </xdr:cNvSpPr>
      </xdr:nvSpPr>
      <xdr:spPr bwMode="auto">
        <a:xfrm>
          <a:off x="0" y="30685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22" name="AutoShape 298" descr="https://www.soccerstats.com/img/own/sshplogo.png">
          <a:hlinkClick xmlns:r="http://schemas.openxmlformats.org/officeDocument/2006/relationships" r:id="rId149"/>
        </xdr:cNvPr>
        <xdr:cNvSpPr>
          <a:spLocks noChangeAspect="1" noChangeArrowheads="1"/>
        </xdr:cNvSpPr>
      </xdr:nvSpPr>
      <xdr:spPr bwMode="auto">
        <a:xfrm>
          <a:off x="13411200" y="30685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23" name="AutoShape 299" descr="CHINA2"/>
        <xdr:cNvSpPr>
          <a:spLocks noChangeAspect="1" noChangeArrowheads="1"/>
        </xdr:cNvSpPr>
      </xdr:nvSpPr>
      <xdr:spPr bwMode="auto">
        <a:xfrm>
          <a:off x="0" y="30937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24" name="AutoShape 300" descr="https://www.soccerstats.com/img/own/sshplogo.png">
          <a:hlinkClick xmlns:r="http://schemas.openxmlformats.org/officeDocument/2006/relationships" r:id="rId150"/>
        </xdr:cNvPr>
        <xdr:cNvSpPr>
          <a:spLocks noChangeAspect="1" noChangeArrowheads="1"/>
        </xdr:cNvSpPr>
      </xdr:nvSpPr>
      <xdr:spPr bwMode="auto">
        <a:xfrm>
          <a:off x="13411200" y="30937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25" name="AutoShape 301" descr="CHINA2"/>
        <xdr:cNvSpPr>
          <a:spLocks noChangeAspect="1" noChangeArrowheads="1"/>
        </xdr:cNvSpPr>
      </xdr:nvSpPr>
      <xdr:spPr bwMode="auto">
        <a:xfrm>
          <a:off x="0" y="3118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26" name="AutoShape 302" descr="https://www.soccerstats.com/img/own/sshplogo.png">
          <a:hlinkClick xmlns:r="http://schemas.openxmlformats.org/officeDocument/2006/relationships" r:id="rId151"/>
        </xdr:cNvPr>
        <xdr:cNvSpPr>
          <a:spLocks noChangeAspect="1" noChangeArrowheads="1"/>
        </xdr:cNvSpPr>
      </xdr:nvSpPr>
      <xdr:spPr bwMode="auto">
        <a:xfrm>
          <a:off x="13411200" y="3118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27" name="AutoShape 303" descr="COLOMBIA2"/>
        <xdr:cNvSpPr>
          <a:spLocks noChangeAspect="1" noChangeArrowheads="1"/>
        </xdr:cNvSpPr>
      </xdr:nvSpPr>
      <xdr:spPr bwMode="auto">
        <a:xfrm>
          <a:off x="0" y="31440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28" name="AutoShape 304" descr="https://www.soccerstats.com/img/own/sshplogo.png">
          <a:hlinkClick xmlns:r="http://schemas.openxmlformats.org/officeDocument/2006/relationships" r:id="rId152"/>
        </xdr:cNvPr>
        <xdr:cNvSpPr>
          <a:spLocks noChangeAspect="1" noChangeArrowheads="1"/>
        </xdr:cNvSpPr>
      </xdr:nvSpPr>
      <xdr:spPr bwMode="auto">
        <a:xfrm>
          <a:off x="13411200" y="31440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29" name="AutoShape 305" descr="COSTARICA"/>
        <xdr:cNvSpPr>
          <a:spLocks noChangeAspect="1" noChangeArrowheads="1"/>
        </xdr:cNvSpPr>
      </xdr:nvSpPr>
      <xdr:spPr bwMode="auto">
        <a:xfrm>
          <a:off x="0" y="31615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30" name="AutoShape 306" descr="https://www.soccerstats.com/img/own/sshplogo.png">
          <a:hlinkClick xmlns:r="http://schemas.openxmlformats.org/officeDocument/2006/relationships" r:id="rId153"/>
        </xdr:cNvPr>
        <xdr:cNvSpPr>
          <a:spLocks noChangeAspect="1" noChangeArrowheads="1"/>
        </xdr:cNvSpPr>
      </xdr:nvSpPr>
      <xdr:spPr bwMode="auto">
        <a:xfrm>
          <a:off x="13411200" y="31615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31" name="AutoShape 307" descr="COSTARICA"/>
        <xdr:cNvSpPr>
          <a:spLocks noChangeAspect="1" noChangeArrowheads="1"/>
        </xdr:cNvSpPr>
      </xdr:nvSpPr>
      <xdr:spPr bwMode="auto">
        <a:xfrm>
          <a:off x="0" y="3179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32" name="AutoShape 308" descr="https://www.soccerstats.com/img/own/sshplogo.png">
          <a:hlinkClick xmlns:r="http://schemas.openxmlformats.org/officeDocument/2006/relationships" r:id="rId154"/>
        </xdr:cNvPr>
        <xdr:cNvSpPr>
          <a:spLocks noChangeAspect="1" noChangeArrowheads="1"/>
        </xdr:cNvSpPr>
      </xdr:nvSpPr>
      <xdr:spPr bwMode="auto">
        <a:xfrm>
          <a:off x="13411200" y="3179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33" name="AutoShape 309" descr="CROATIA"/>
        <xdr:cNvSpPr>
          <a:spLocks noChangeAspect="1" noChangeArrowheads="1"/>
        </xdr:cNvSpPr>
      </xdr:nvSpPr>
      <xdr:spPr bwMode="auto">
        <a:xfrm>
          <a:off x="0" y="31965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34" name="AutoShape 310" descr="https://www.soccerstats.com/img/own/sshplogo.png">
          <a:hlinkClick xmlns:r="http://schemas.openxmlformats.org/officeDocument/2006/relationships" r:id="rId155"/>
        </xdr:cNvPr>
        <xdr:cNvSpPr>
          <a:spLocks noChangeAspect="1" noChangeArrowheads="1"/>
        </xdr:cNvSpPr>
      </xdr:nvSpPr>
      <xdr:spPr bwMode="auto">
        <a:xfrm>
          <a:off x="13411200" y="31965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35" name="AutoShape 311" descr="CROATIA"/>
        <xdr:cNvSpPr>
          <a:spLocks noChangeAspect="1" noChangeArrowheads="1"/>
        </xdr:cNvSpPr>
      </xdr:nvSpPr>
      <xdr:spPr bwMode="auto">
        <a:xfrm>
          <a:off x="0" y="32217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36" name="AutoShape 312" descr="https://www.soccerstats.com/img/own/sshplogo.png">
          <a:hlinkClick xmlns:r="http://schemas.openxmlformats.org/officeDocument/2006/relationships" r:id="rId156"/>
        </xdr:cNvPr>
        <xdr:cNvSpPr>
          <a:spLocks noChangeAspect="1" noChangeArrowheads="1"/>
        </xdr:cNvSpPr>
      </xdr:nvSpPr>
      <xdr:spPr bwMode="auto">
        <a:xfrm>
          <a:off x="13411200" y="32217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37" name="AutoShape 313" descr="CZECHREPUBLIC"/>
        <xdr:cNvSpPr>
          <a:spLocks noChangeAspect="1" noChangeArrowheads="1"/>
        </xdr:cNvSpPr>
      </xdr:nvSpPr>
      <xdr:spPr bwMode="auto">
        <a:xfrm>
          <a:off x="0" y="32392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38" name="AutoShape 314" descr="https://www.soccerstats.com/img/own/sshplogo.png">
          <a:hlinkClick xmlns:r="http://schemas.openxmlformats.org/officeDocument/2006/relationships" r:id="rId157"/>
        </xdr:cNvPr>
        <xdr:cNvSpPr>
          <a:spLocks noChangeAspect="1" noChangeArrowheads="1"/>
        </xdr:cNvSpPr>
      </xdr:nvSpPr>
      <xdr:spPr bwMode="auto">
        <a:xfrm>
          <a:off x="13411200" y="32392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39" name="AutoShape 315" descr="CZECHREPUBLIC"/>
        <xdr:cNvSpPr>
          <a:spLocks noChangeAspect="1" noChangeArrowheads="1"/>
        </xdr:cNvSpPr>
      </xdr:nvSpPr>
      <xdr:spPr bwMode="auto">
        <a:xfrm>
          <a:off x="0" y="32567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40" name="AutoShape 316" descr="https://www.soccerstats.com/img/own/sshplogo.png">
          <a:hlinkClick xmlns:r="http://schemas.openxmlformats.org/officeDocument/2006/relationships" r:id="rId158"/>
        </xdr:cNvPr>
        <xdr:cNvSpPr>
          <a:spLocks noChangeAspect="1" noChangeArrowheads="1"/>
        </xdr:cNvSpPr>
      </xdr:nvSpPr>
      <xdr:spPr bwMode="auto">
        <a:xfrm>
          <a:off x="13411200" y="32567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41" name="AutoShape 317" descr="CZECHREPUBLIC"/>
        <xdr:cNvSpPr>
          <a:spLocks noChangeAspect="1" noChangeArrowheads="1"/>
        </xdr:cNvSpPr>
      </xdr:nvSpPr>
      <xdr:spPr bwMode="auto">
        <a:xfrm>
          <a:off x="0" y="32743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42" name="AutoShape 318" descr="https://www.soccerstats.com/img/own/sshplogo.png">
          <a:hlinkClick xmlns:r="http://schemas.openxmlformats.org/officeDocument/2006/relationships" r:id="rId159"/>
        </xdr:cNvPr>
        <xdr:cNvSpPr>
          <a:spLocks noChangeAspect="1" noChangeArrowheads="1"/>
        </xdr:cNvSpPr>
      </xdr:nvSpPr>
      <xdr:spPr bwMode="auto">
        <a:xfrm>
          <a:off x="13411200" y="32743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43" name="AutoShape 319" descr="CZECHREPUBLIC"/>
        <xdr:cNvSpPr>
          <a:spLocks noChangeAspect="1" noChangeArrowheads="1"/>
        </xdr:cNvSpPr>
      </xdr:nvSpPr>
      <xdr:spPr bwMode="auto">
        <a:xfrm>
          <a:off x="0" y="32994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44" name="AutoShape 320" descr="https://www.soccerstats.com/img/own/sshplogo.png">
          <a:hlinkClick xmlns:r="http://schemas.openxmlformats.org/officeDocument/2006/relationships" r:id="rId160"/>
        </xdr:cNvPr>
        <xdr:cNvSpPr>
          <a:spLocks noChangeAspect="1" noChangeArrowheads="1"/>
        </xdr:cNvSpPr>
      </xdr:nvSpPr>
      <xdr:spPr bwMode="auto">
        <a:xfrm>
          <a:off x="13411200" y="3299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45" name="AutoShape 321" descr="CZECHREPUBLIC"/>
        <xdr:cNvSpPr>
          <a:spLocks noChangeAspect="1" noChangeArrowheads="1"/>
        </xdr:cNvSpPr>
      </xdr:nvSpPr>
      <xdr:spPr bwMode="auto">
        <a:xfrm>
          <a:off x="0" y="3324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46" name="AutoShape 322" descr="https://www.soccerstats.com/img/own/sshplogo.png">
          <a:hlinkClick xmlns:r="http://schemas.openxmlformats.org/officeDocument/2006/relationships" r:id="rId161"/>
        </xdr:cNvPr>
        <xdr:cNvSpPr>
          <a:spLocks noChangeAspect="1" noChangeArrowheads="1"/>
        </xdr:cNvSpPr>
      </xdr:nvSpPr>
      <xdr:spPr bwMode="auto">
        <a:xfrm>
          <a:off x="13411200" y="33246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47" name="AutoShape 323" descr="CZECHREPUBLIC"/>
        <xdr:cNvSpPr>
          <a:spLocks noChangeAspect="1" noChangeArrowheads="1"/>
        </xdr:cNvSpPr>
      </xdr:nvSpPr>
      <xdr:spPr bwMode="auto">
        <a:xfrm>
          <a:off x="0" y="33497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48" name="AutoShape 324" descr="https://www.soccerstats.com/img/own/sshplogo.png">
          <a:hlinkClick xmlns:r="http://schemas.openxmlformats.org/officeDocument/2006/relationships" r:id="rId162"/>
        </xdr:cNvPr>
        <xdr:cNvSpPr>
          <a:spLocks noChangeAspect="1" noChangeArrowheads="1"/>
        </xdr:cNvSpPr>
      </xdr:nvSpPr>
      <xdr:spPr bwMode="auto">
        <a:xfrm>
          <a:off x="13411200" y="33497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49" name="AutoShape 325" descr="CZECHREPUBLIC"/>
        <xdr:cNvSpPr>
          <a:spLocks noChangeAspect="1" noChangeArrowheads="1"/>
        </xdr:cNvSpPr>
      </xdr:nvSpPr>
      <xdr:spPr bwMode="auto">
        <a:xfrm>
          <a:off x="0" y="33672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50" name="AutoShape 326" descr="https://www.soccerstats.com/img/own/sshplogo.png">
          <a:hlinkClick xmlns:r="http://schemas.openxmlformats.org/officeDocument/2006/relationships" r:id="rId163"/>
        </xdr:cNvPr>
        <xdr:cNvSpPr>
          <a:spLocks noChangeAspect="1" noChangeArrowheads="1"/>
        </xdr:cNvSpPr>
      </xdr:nvSpPr>
      <xdr:spPr bwMode="auto">
        <a:xfrm>
          <a:off x="13411200" y="33672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51" name="AutoShape 327" descr="CZECHREPUBLIC"/>
        <xdr:cNvSpPr>
          <a:spLocks noChangeAspect="1" noChangeArrowheads="1"/>
        </xdr:cNvSpPr>
      </xdr:nvSpPr>
      <xdr:spPr bwMode="auto">
        <a:xfrm>
          <a:off x="0" y="33848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52" name="AutoShape 328" descr="https://www.soccerstats.com/img/own/sshplogo.png">
          <a:hlinkClick xmlns:r="http://schemas.openxmlformats.org/officeDocument/2006/relationships" r:id="rId164"/>
        </xdr:cNvPr>
        <xdr:cNvSpPr>
          <a:spLocks noChangeAspect="1" noChangeArrowheads="1"/>
        </xdr:cNvSpPr>
      </xdr:nvSpPr>
      <xdr:spPr bwMode="auto">
        <a:xfrm>
          <a:off x="13411200" y="33848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53" name="AutoShape 329" descr="CZECHREPUBLIC2"/>
        <xdr:cNvSpPr>
          <a:spLocks noChangeAspect="1" noChangeArrowheads="1"/>
        </xdr:cNvSpPr>
      </xdr:nvSpPr>
      <xdr:spPr bwMode="auto">
        <a:xfrm>
          <a:off x="0" y="3409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54" name="AutoShape 330" descr="https://www.soccerstats.com/img/own/sshplogo.png">
          <a:hlinkClick xmlns:r="http://schemas.openxmlformats.org/officeDocument/2006/relationships" r:id="rId165"/>
        </xdr:cNvPr>
        <xdr:cNvSpPr>
          <a:spLocks noChangeAspect="1" noChangeArrowheads="1"/>
        </xdr:cNvSpPr>
      </xdr:nvSpPr>
      <xdr:spPr bwMode="auto">
        <a:xfrm>
          <a:off x="13411200" y="3409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55" name="AutoShape 331" descr="CZECHREPUBLIC2"/>
        <xdr:cNvSpPr>
          <a:spLocks noChangeAspect="1" noChangeArrowheads="1"/>
        </xdr:cNvSpPr>
      </xdr:nvSpPr>
      <xdr:spPr bwMode="auto">
        <a:xfrm>
          <a:off x="0" y="34350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56" name="AutoShape 332" descr="https://www.soccerstats.com/img/own/sshplogo.png">
          <a:hlinkClick xmlns:r="http://schemas.openxmlformats.org/officeDocument/2006/relationships" r:id="rId166"/>
        </xdr:cNvPr>
        <xdr:cNvSpPr>
          <a:spLocks noChangeAspect="1" noChangeArrowheads="1"/>
        </xdr:cNvSpPr>
      </xdr:nvSpPr>
      <xdr:spPr bwMode="auto">
        <a:xfrm>
          <a:off x="13411200" y="34350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57" name="AutoShape 333" descr="CZECHREPUBLIC2"/>
        <xdr:cNvSpPr>
          <a:spLocks noChangeAspect="1" noChangeArrowheads="1"/>
        </xdr:cNvSpPr>
      </xdr:nvSpPr>
      <xdr:spPr bwMode="auto">
        <a:xfrm>
          <a:off x="0" y="3452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58" name="AutoShape 334" descr="https://www.soccerstats.com/img/own/sshplogo.png">
          <a:hlinkClick xmlns:r="http://schemas.openxmlformats.org/officeDocument/2006/relationships" r:id="rId167"/>
        </xdr:cNvPr>
        <xdr:cNvSpPr>
          <a:spLocks noChangeAspect="1" noChangeArrowheads="1"/>
        </xdr:cNvSpPr>
      </xdr:nvSpPr>
      <xdr:spPr bwMode="auto">
        <a:xfrm>
          <a:off x="13411200" y="3452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59" name="AutoShape 335" descr="CZECHREPUBLIC2"/>
        <xdr:cNvSpPr>
          <a:spLocks noChangeAspect="1" noChangeArrowheads="1"/>
        </xdr:cNvSpPr>
      </xdr:nvSpPr>
      <xdr:spPr bwMode="auto">
        <a:xfrm>
          <a:off x="0" y="3477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60" name="AutoShape 336" descr="https://www.soccerstats.com/img/own/sshplogo.png">
          <a:hlinkClick xmlns:r="http://schemas.openxmlformats.org/officeDocument/2006/relationships" r:id="rId168"/>
        </xdr:cNvPr>
        <xdr:cNvSpPr>
          <a:spLocks noChangeAspect="1" noChangeArrowheads="1"/>
        </xdr:cNvSpPr>
      </xdr:nvSpPr>
      <xdr:spPr bwMode="auto">
        <a:xfrm>
          <a:off x="13411200" y="3477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61" name="AutoShape 337" descr="DENMARK2"/>
        <xdr:cNvSpPr>
          <a:spLocks noChangeAspect="1" noChangeArrowheads="1"/>
        </xdr:cNvSpPr>
      </xdr:nvSpPr>
      <xdr:spPr bwMode="auto">
        <a:xfrm>
          <a:off x="0" y="34952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62" name="AutoShape 338" descr="https://www.soccerstats.com/img/own/sshplogo.png">
          <a:hlinkClick xmlns:r="http://schemas.openxmlformats.org/officeDocument/2006/relationships" r:id="rId169"/>
        </xdr:cNvPr>
        <xdr:cNvSpPr>
          <a:spLocks noChangeAspect="1" noChangeArrowheads="1"/>
        </xdr:cNvSpPr>
      </xdr:nvSpPr>
      <xdr:spPr bwMode="auto">
        <a:xfrm>
          <a:off x="13411200" y="34952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63" name="AutoShape 339" descr="DENMARK2"/>
        <xdr:cNvSpPr>
          <a:spLocks noChangeAspect="1" noChangeArrowheads="1"/>
        </xdr:cNvSpPr>
      </xdr:nvSpPr>
      <xdr:spPr bwMode="auto">
        <a:xfrm>
          <a:off x="0" y="35204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64" name="AutoShape 340" descr="https://www.soccerstats.com/img/own/sshplogo.png">
          <a:hlinkClick xmlns:r="http://schemas.openxmlformats.org/officeDocument/2006/relationships" r:id="rId170"/>
        </xdr:cNvPr>
        <xdr:cNvSpPr>
          <a:spLocks noChangeAspect="1" noChangeArrowheads="1"/>
        </xdr:cNvSpPr>
      </xdr:nvSpPr>
      <xdr:spPr bwMode="auto">
        <a:xfrm>
          <a:off x="13411200" y="35204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65" name="AutoShape 341" descr="DENMARK2"/>
        <xdr:cNvSpPr>
          <a:spLocks noChangeAspect="1" noChangeArrowheads="1"/>
        </xdr:cNvSpPr>
      </xdr:nvSpPr>
      <xdr:spPr bwMode="auto">
        <a:xfrm>
          <a:off x="0" y="35379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66" name="AutoShape 342" descr="https://www.soccerstats.com/img/own/sshplogo.png">
          <a:hlinkClick xmlns:r="http://schemas.openxmlformats.org/officeDocument/2006/relationships" r:id="rId171"/>
        </xdr:cNvPr>
        <xdr:cNvSpPr>
          <a:spLocks noChangeAspect="1" noChangeArrowheads="1"/>
        </xdr:cNvSpPr>
      </xdr:nvSpPr>
      <xdr:spPr bwMode="auto">
        <a:xfrm>
          <a:off x="13411200" y="35379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67" name="AutoShape 343" descr="DENMARK3"/>
        <xdr:cNvSpPr>
          <a:spLocks noChangeAspect="1" noChangeArrowheads="1"/>
        </xdr:cNvSpPr>
      </xdr:nvSpPr>
      <xdr:spPr bwMode="auto">
        <a:xfrm>
          <a:off x="0" y="35554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68" name="AutoShape 344" descr="https://www.soccerstats.com/img/own/sshplogo.png">
          <a:hlinkClick xmlns:r="http://schemas.openxmlformats.org/officeDocument/2006/relationships" r:id="rId172"/>
        </xdr:cNvPr>
        <xdr:cNvSpPr>
          <a:spLocks noChangeAspect="1" noChangeArrowheads="1"/>
        </xdr:cNvSpPr>
      </xdr:nvSpPr>
      <xdr:spPr bwMode="auto">
        <a:xfrm>
          <a:off x="13411200" y="35554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69" name="AutoShape 345" descr="DENMARK3"/>
        <xdr:cNvSpPr>
          <a:spLocks noChangeAspect="1" noChangeArrowheads="1"/>
        </xdr:cNvSpPr>
      </xdr:nvSpPr>
      <xdr:spPr bwMode="auto">
        <a:xfrm>
          <a:off x="0" y="35730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70" name="AutoShape 346" descr="https://www.soccerstats.com/img/own/sshplogo.png">
          <a:hlinkClick xmlns:r="http://schemas.openxmlformats.org/officeDocument/2006/relationships" r:id="rId173"/>
        </xdr:cNvPr>
        <xdr:cNvSpPr>
          <a:spLocks noChangeAspect="1" noChangeArrowheads="1"/>
        </xdr:cNvSpPr>
      </xdr:nvSpPr>
      <xdr:spPr bwMode="auto">
        <a:xfrm>
          <a:off x="13411200" y="35730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71" name="AutoShape 347" descr="ECUADOR"/>
        <xdr:cNvSpPr>
          <a:spLocks noChangeAspect="1" noChangeArrowheads="1"/>
        </xdr:cNvSpPr>
      </xdr:nvSpPr>
      <xdr:spPr bwMode="auto">
        <a:xfrm>
          <a:off x="0" y="35905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72" name="AutoShape 348" descr="https://www.soccerstats.com/img/own/sshplogo.png">
          <a:hlinkClick xmlns:r="http://schemas.openxmlformats.org/officeDocument/2006/relationships" r:id="rId174"/>
        </xdr:cNvPr>
        <xdr:cNvSpPr>
          <a:spLocks noChangeAspect="1" noChangeArrowheads="1"/>
        </xdr:cNvSpPr>
      </xdr:nvSpPr>
      <xdr:spPr bwMode="auto">
        <a:xfrm>
          <a:off x="13411200" y="35905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73" name="AutoShape 349" descr="ECUADOR"/>
        <xdr:cNvSpPr>
          <a:spLocks noChangeAspect="1" noChangeArrowheads="1"/>
        </xdr:cNvSpPr>
      </xdr:nvSpPr>
      <xdr:spPr bwMode="auto">
        <a:xfrm>
          <a:off x="0" y="36080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74" name="AutoShape 350" descr="https://www.soccerstats.com/img/own/sshplogo.png">
          <a:hlinkClick xmlns:r="http://schemas.openxmlformats.org/officeDocument/2006/relationships" r:id="rId175"/>
        </xdr:cNvPr>
        <xdr:cNvSpPr>
          <a:spLocks noChangeAspect="1" noChangeArrowheads="1"/>
        </xdr:cNvSpPr>
      </xdr:nvSpPr>
      <xdr:spPr bwMode="auto">
        <a:xfrm>
          <a:off x="13411200" y="36080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75" name="AutoShape 351" descr="ECUADOR"/>
        <xdr:cNvSpPr>
          <a:spLocks noChangeAspect="1" noChangeArrowheads="1"/>
        </xdr:cNvSpPr>
      </xdr:nvSpPr>
      <xdr:spPr bwMode="auto">
        <a:xfrm>
          <a:off x="0" y="36255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76" name="AutoShape 352" descr="https://www.soccerstats.com/img/own/sshplogo.png">
          <a:hlinkClick xmlns:r="http://schemas.openxmlformats.org/officeDocument/2006/relationships" r:id="rId176"/>
        </xdr:cNvPr>
        <xdr:cNvSpPr>
          <a:spLocks noChangeAspect="1" noChangeArrowheads="1"/>
        </xdr:cNvSpPr>
      </xdr:nvSpPr>
      <xdr:spPr bwMode="auto">
        <a:xfrm>
          <a:off x="13411200" y="36255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77" name="AutoShape 353" descr="ENGLAND6"/>
        <xdr:cNvSpPr>
          <a:spLocks noChangeAspect="1" noChangeArrowheads="1"/>
        </xdr:cNvSpPr>
      </xdr:nvSpPr>
      <xdr:spPr bwMode="auto">
        <a:xfrm>
          <a:off x="0" y="36507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78" name="AutoShape 354" descr="https://www.soccerstats.com/img/own/sshplogo.png">
          <a:hlinkClick xmlns:r="http://schemas.openxmlformats.org/officeDocument/2006/relationships" r:id="rId177"/>
        </xdr:cNvPr>
        <xdr:cNvSpPr>
          <a:spLocks noChangeAspect="1" noChangeArrowheads="1"/>
        </xdr:cNvSpPr>
      </xdr:nvSpPr>
      <xdr:spPr bwMode="auto">
        <a:xfrm>
          <a:off x="13411200" y="36507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79" name="AutoShape 355" descr="ENGLAND6"/>
        <xdr:cNvSpPr>
          <a:spLocks noChangeAspect="1" noChangeArrowheads="1"/>
        </xdr:cNvSpPr>
      </xdr:nvSpPr>
      <xdr:spPr bwMode="auto">
        <a:xfrm>
          <a:off x="0" y="36758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80" name="AutoShape 356" descr="https://www.soccerstats.com/img/own/sshplogo.png">
          <a:hlinkClick xmlns:r="http://schemas.openxmlformats.org/officeDocument/2006/relationships" r:id="rId178"/>
        </xdr:cNvPr>
        <xdr:cNvSpPr>
          <a:spLocks noChangeAspect="1" noChangeArrowheads="1"/>
        </xdr:cNvSpPr>
      </xdr:nvSpPr>
      <xdr:spPr bwMode="auto">
        <a:xfrm>
          <a:off x="13411200" y="36758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81" name="AutoShape 357" descr="ENGLAND6"/>
        <xdr:cNvSpPr>
          <a:spLocks noChangeAspect="1" noChangeArrowheads="1"/>
        </xdr:cNvSpPr>
      </xdr:nvSpPr>
      <xdr:spPr bwMode="auto">
        <a:xfrm>
          <a:off x="0" y="37010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82" name="AutoShape 358" descr="https://www.soccerstats.com/img/own/sshplogo.png">
          <a:hlinkClick xmlns:r="http://schemas.openxmlformats.org/officeDocument/2006/relationships" r:id="rId179"/>
        </xdr:cNvPr>
        <xdr:cNvSpPr>
          <a:spLocks noChangeAspect="1" noChangeArrowheads="1"/>
        </xdr:cNvSpPr>
      </xdr:nvSpPr>
      <xdr:spPr bwMode="auto">
        <a:xfrm>
          <a:off x="13411200" y="37010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83" name="AutoShape 359" descr="ENGLAND6"/>
        <xdr:cNvSpPr>
          <a:spLocks noChangeAspect="1" noChangeArrowheads="1"/>
        </xdr:cNvSpPr>
      </xdr:nvSpPr>
      <xdr:spPr bwMode="auto">
        <a:xfrm>
          <a:off x="0" y="37185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84" name="AutoShape 360" descr="https://www.soccerstats.com/img/own/sshplogo.png">
          <a:hlinkClick xmlns:r="http://schemas.openxmlformats.org/officeDocument/2006/relationships" r:id="rId180"/>
        </xdr:cNvPr>
        <xdr:cNvSpPr>
          <a:spLocks noChangeAspect="1" noChangeArrowheads="1"/>
        </xdr:cNvSpPr>
      </xdr:nvSpPr>
      <xdr:spPr bwMode="auto">
        <a:xfrm>
          <a:off x="13411200" y="37185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85" name="AutoShape 361" descr="ENGLAND6"/>
        <xdr:cNvSpPr>
          <a:spLocks noChangeAspect="1" noChangeArrowheads="1"/>
        </xdr:cNvSpPr>
      </xdr:nvSpPr>
      <xdr:spPr bwMode="auto">
        <a:xfrm>
          <a:off x="0" y="37437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86" name="AutoShape 362" descr="https://www.soccerstats.com/img/own/sshplogo.png">
          <a:hlinkClick xmlns:r="http://schemas.openxmlformats.org/officeDocument/2006/relationships" r:id="rId181"/>
        </xdr:cNvPr>
        <xdr:cNvSpPr>
          <a:spLocks noChangeAspect="1" noChangeArrowheads="1"/>
        </xdr:cNvSpPr>
      </xdr:nvSpPr>
      <xdr:spPr bwMode="auto">
        <a:xfrm>
          <a:off x="13411200" y="37437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87" name="AutoShape 363" descr="ENGLAND6"/>
        <xdr:cNvSpPr>
          <a:spLocks noChangeAspect="1" noChangeArrowheads="1"/>
        </xdr:cNvSpPr>
      </xdr:nvSpPr>
      <xdr:spPr bwMode="auto">
        <a:xfrm>
          <a:off x="0" y="37612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88" name="AutoShape 364" descr="https://www.soccerstats.com/img/own/sshplogo.png">
          <a:hlinkClick xmlns:r="http://schemas.openxmlformats.org/officeDocument/2006/relationships" r:id="rId182"/>
        </xdr:cNvPr>
        <xdr:cNvSpPr>
          <a:spLocks noChangeAspect="1" noChangeArrowheads="1"/>
        </xdr:cNvSpPr>
      </xdr:nvSpPr>
      <xdr:spPr bwMode="auto">
        <a:xfrm>
          <a:off x="13411200" y="37612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89" name="AutoShape 365" descr="ENGLAND6"/>
        <xdr:cNvSpPr>
          <a:spLocks noChangeAspect="1" noChangeArrowheads="1"/>
        </xdr:cNvSpPr>
      </xdr:nvSpPr>
      <xdr:spPr bwMode="auto">
        <a:xfrm>
          <a:off x="0" y="37787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90" name="AutoShape 366" descr="https://www.soccerstats.com/img/own/sshplogo.png">
          <a:hlinkClick xmlns:r="http://schemas.openxmlformats.org/officeDocument/2006/relationships" r:id="rId183"/>
        </xdr:cNvPr>
        <xdr:cNvSpPr>
          <a:spLocks noChangeAspect="1" noChangeArrowheads="1"/>
        </xdr:cNvSpPr>
      </xdr:nvSpPr>
      <xdr:spPr bwMode="auto">
        <a:xfrm>
          <a:off x="13411200" y="37787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91" name="AutoShape 367" descr="ENGLAND6"/>
        <xdr:cNvSpPr>
          <a:spLocks noChangeAspect="1" noChangeArrowheads="1"/>
        </xdr:cNvSpPr>
      </xdr:nvSpPr>
      <xdr:spPr bwMode="auto">
        <a:xfrm>
          <a:off x="0" y="37962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92" name="AutoShape 368" descr="https://www.soccerstats.com/img/own/sshplogo.png">
          <a:hlinkClick xmlns:r="http://schemas.openxmlformats.org/officeDocument/2006/relationships" r:id="rId184"/>
        </xdr:cNvPr>
        <xdr:cNvSpPr>
          <a:spLocks noChangeAspect="1" noChangeArrowheads="1"/>
        </xdr:cNvSpPr>
      </xdr:nvSpPr>
      <xdr:spPr bwMode="auto">
        <a:xfrm>
          <a:off x="13411200" y="37962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93" name="AutoShape 369" descr="ENGLAND6"/>
        <xdr:cNvSpPr>
          <a:spLocks noChangeAspect="1" noChangeArrowheads="1"/>
        </xdr:cNvSpPr>
      </xdr:nvSpPr>
      <xdr:spPr bwMode="auto">
        <a:xfrm>
          <a:off x="0" y="38138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94" name="AutoShape 370" descr="https://www.soccerstats.com/img/own/sshplogo.png">
          <a:hlinkClick xmlns:r="http://schemas.openxmlformats.org/officeDocument/2006/relationships" r:id="rId185"/>
        </xdr:cNvPr>
        <xdr:cNvSpPr>
          <a:spLocks noChangeAspect="1" noChangeArrowheads="1"/>
        </xdr:cNvSpPr>
      </xdr:nvSpPr>
      <xdr:spPr bwMode="auto">
        <a:xfrm>
          <a:off x="13411200" y="38138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95" name="AutoShape 371" descr="ENGLAND6"/>
        <xdr:cNvSpPr>
          <a:spLocks noChangeAspect="1" noChangeArrowheads="1"/>
        </xdr:cNvSpPr>
      </xdr:nvSpPr>
      <xdr:spPr bwMode="auto">
        <a:xfrm>
          <a:off x="0" y="38313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96" name="AutoShape 372" descr="https://www.soccerstats.com/img/own/sshplogo.png">
          <a:hlinkClick xmlns:r="http://schemas.openxmlformats.org/officeDocument/2006/relationships" r:id="rId186"/>
        </xdr:cNvPr>
        <xdr:cNvSpPr>
          <a:spLocks noChangeAspect="1" noChangeArrowheads="1"/>
        </xdr:cNvSpPr>
      </xdr:nvSpPr>
      <xdr:spPr bwMode="auto">
        <a:xfrm>
          <a:off x="13411200" y="38313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97" name="AutoShape 373" descr="ENGLAND6"/>
        <xdr:cNvSpPr>
          <a:spLocks noChangeAspect="1" noChangeArrowheads="1"/>
        </xdr:cNvSpPr>
      </xdr:nvSpPr>
      <xdr:spPr bwMode="auto">
        <a:xfrm>
          <a:off x="0" y="38488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398" name="AutoShape 374" descr="https://www.soccerstats.com/img/own/sshplogo.png">
          <a:hlinkClick xmlns:r="http://schemas.openxmlformats.org/officeDocument/2006/relationships" r:id="rId187"/>
        </xdr:cNvPr>
        <xdr:cNvSpPr>
          <a:spLocks noChangeAspect="1" noChangeArrowheads="1"/>
        </xdr:cNvSpPr>
      </xdr:nvSpPr>
      <xdr:spPr bwMode="auto">
        <a:xfrm>
          <a:off x="13411200" y="38488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399" name="AutoShape 375" descr="ENGLAND6"/>
        <xdr:cNvSpPr>
          <a:spLocks noChangeAspect="1" noChangeArrowheads="1"/>
        </xdr:cNvSpPr>
      </xdr:nvSpPr>
      <xdr:spPr bwMode="auto">
        <a:xfrm>
          <a:off x="0" y="38740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00" name="AutoShape 376" descr="https://www.soccerstats.com/img/own/sshplogo.png">
          <a:hlinkClick xmlns:r="http://schemas.openxmlformats.org/officeDocument/2006/relationships" r:id="rId188"/>
        </xdr:cNvPr>
        <xdr:cNvSpPr>
          <a:spLocks noChangeAspect="1" noChangeArrowheads="1"/>
        </xdr:cNvSpPr>
      </xdr:nvSpPr>
      <xdr:spPr bwMode="auto">
        <a:xfrm>
          <a:off x="13411200" y="38740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01" name="AutoShape 377" descr="ENGLAND7"/>
        <xdr:cNvSpPr>
          <a:spLocks noChangeAspect="1" noChangeArrowheads="1"/>
        </xdr:cNvSpPr>
      </xdr:nvSpPr>
      <xdr:spPr bwMode="auto">
        <a:xfrm>
          <a:off x="0" y="38991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02" name="AutoShape 378" descr="https://www.soccerstats.com/img/own/sshplogo.png">
          <a:hlinkClick xmlns:r="http://schemas.openxmlformats.org/officeDocument/2006/relationships" r:id="rId189"/>
        </xdr:cNvPr>
        <xdr:cNvSpPr>
          <a:spLocks noChangeAspect="1" noChangeArrowheads="1"/>
        </xdr:cNvSpPr>
      </xdr:nvSpPr>
      <xdr:spPr bwMode="auto">
        <a:xfrm>
          <a:off x="13411200" y="38991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03" name="AutoShape 379" descr="ENGLAND7"/>
        <xdr:cNvSpPr>
          <a:spLocks noChangeAspect="1" noChangeArrowheads="1"/>
        </xdr:cNvSpPr>
      </xdr:nvSpPr>
      <xdr:spPr bwMode="auto">
        <a:xfrm>
          <a:off x="0" y="39243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04" name="AutoShape 380" descr="https://www.soccerstats.com/img/own/sshplogo.png">
          <a:hlinkClick xmlns:r="http://schemas.openxmlformats.org/officeDocument/2006/relationships" r:id="rId190"/>
        </xdr:cNvPr>
        <xdr:cNvSpPr>
          <a:spLocks noChangeAspect="1" noChangeArrowheads="1"/>
        </xdr:cNvSpPr>
      </xdr:nvSpPr>
      <xdr:spPr bwMode="auto">
        <a:xfrm>
          <a:off x="13411200" y="3924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05" name="AutoShape 381" descr="ENGLAND7"/>
        <xdr:cNvSpPr>
          <a:spLocks noChangeAspect="1" noChangeArrowheads="1"/>
        </xdr:cNvSpPr>
      </xdr:nvSpPr>
      <xdr:spPr bwMode="auto">
        <a:xfrm>
          <a:off x="0" y="39494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06" name="AutoShape 382" descr="https://www.soccerstats.com/img/own/sshplogo.png">
          <a:hlinkClick xmlns:r="http://schemas.openxmlformats.org/officeDocument/2006/relationships" r:id="rId191"/>
        </xdr:cNvPr>
        <xdr:cNvSpPr>
          <a:spLocks noChangeAspect="1" noChangeArrowheads="1"/>
        </xdr:cNvSpPr>
      </xdr:nvSpPr>
      <xdr:spPr bwMode="auto">
        <a:xfrm>
          <a:off x="13411200" y="39494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07" name="AutoShape 383" descr="ENGLAND7"/>
        <xdr:cNvSpPr>
          <a:spLocks noChangeAspect="1" noChangeArrowheads="1"/>
        </xdr:cNvSpPr>
      </xdr:nvSpPr>
      <xdr:spPr bwMode="auto">
        <a:xfrm>
          <a:off x="0" y="39745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08" name="AutoShape 384" descr="https://www.soccerstats.com/img/own/sshplogo.png">
          <a:hlinkClick xmlns:r="http://schemas.openxmlformats.org/officeDocument/2006/relationships" r:id="rId192"/>
        </xdr:cNvPr>
        <xdr:cNvSpPr>
          <a:spLocks noChangeAspect="1" noChangeArrowheads="1"/>
        </xdr:cNvSpPr>
      </xdr:nvSpPr>
      <xdr:spPr bwMode="auto">
        <a:xfrm>
          <a:off x="13411200" y="39745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09" name="AutoShape 385" descr="ENGLAND7"/>
        <xdr:cNvSpPr>
          <a:spLocks noChangeAspect="1" noChangeArrowheads="1"/>
        </xdr:cNvSpPr>
      </xdr:nvSpPr>
      <xdr:spPr bwMode="auto">
        <a:xfrm>
          <a:off x="0" y="39997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10" name="AutoShape 386" descr="https://www.soccerstats.com/img/own/sshplogo.png">
          <a:hlinkClick xmlns:r="http://schemas.openxmlformats.org/officeDocument/2006/relationships" r:id="rId193"/>
        </xdr:cNvPr>
        <xdr:cNvSpPr>
          <a:spLocks noChangeAspect="1" noChangeArrowheads="1"/>
        </xdr:cNvSpPr>
      </xdr:nvSpPr>
      <xdr:spPr bwMode="auto">
        <a:xfrm>
          <a:off x="13411200" y="39997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11" name="AutoShape 387" descr="ENGLAND7"/>
        <xdr:cNvSpPr>
          <a:spLocks noChangeAspect="1" noChangeArrowheads="1"/>
        </xdr:cNvSpPr>
      </xdr:nvSpPr>
      <xdr:spPr bwMode="auto">
        <a:xfrm>
          <a:off x="0" y="40172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12" name="AutoShape 388" descr="https://www.soccerstats.com/img/own/sshplogo.png">
          <a:hlinkClick xmlns:r="http://schemas.openxmlformats.org/officeDocument/2006/relationships" r:id="rId194"/>
        </xdr:cNvPr>
        <xdr:cNvSpPr>
          <a:spLocks noChangeAspect="1" noChangeArrowheads="1"/>
        </xdr:cNvSpPr>
      </xdr:nvSpPr>
      <xdr:spPr bwMode="auto">
        <a:xfrm>
          <a:off x="13411200" y="40172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13" name="AutoShape 389" descr="ENGLAND7"/>
        <xdr:cNvSpPr>
          <a:spLocks noChangeAspect="1" noChangeArrowheads="1"/>
        </xdr:cNvSpPr>
      </xdr:nvSpPr>
      <xdr:spPr bwMode="auto">
        <a:xfrm>
          <a:off x="0" y="40424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14" name="AutoShape 390" descr="https://www.soccerstats.com/img/own/sshplogo.png">
          <a:hlinkClick xmlns:r="http://schemas.openxmlformats.org/officeDocument/2006/relationships" r:id="rId195"/>
        </xdr:cNvPr>
        <xdr:cNvSpPr>
          <a:spLocks noChangeAspect="1" noChangeArrowheads="1"/>
        </xdr:cNvSpPr>
      </xdr:nvSpPr>
      <xdr:spPr bwMode="auto">
        <a:xfrm>
          <a:off x="13411200" y="40424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15" name="AutoShape 391" descr="ENGLAND7"/>
        <xdr:cNvSpPr>
          <a:spLocks noChangeAspect="1" noChangeArrowheads="1"/>
        </xdr:cNvSpPr>
      </xdr:nvSpPr>
      <xdr:spPr bwMode="auto">
        <a:xfrm>
          <a:off x="0" y="40599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16" name="AutoShape 392" descr="https://www.soccerstats.com/img/own/sshplogo.png">
          <a:hlinkClick xmlns:r="http://schemas.openxmlformats.org/officeDocument/2006/relationships" r:id="rId196"/>
        </xdr:cNvPr>
        <xdr:cNvSpPr>
          <a:spLocks noChangeAspect="1" noChangeArrowheads="1"/>
        </xdr:cNvSpPr>
      </xdr:nvSpPr>
      <xdr:spPr bwMode="auto">
        <a:xfrm>
          <a:off x="13411200" y="40599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17" name="AutoShape 393" descr="ENGLAND7"/>
        <xdr:cNvSpPr>
          <a:spLocks noChangeAspect="1" noChangeArrowheads="1"/>
        </xdr:cNvSpPr>
      </xdr:nvSpPr>
      <xdr:spPr bwMode="auto">
        <a:xfrm>
          <a:off x="0" y="40850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18" name="AutoShape 394" descr="https://www.soccerstats.com/img/own/sshplogo.png">
          <a:hlinkClick xmlns:r="http://schemas.openxmlformats.org/officeDocument/2006/relationships" r:id="rId197"/>
        </xdr:cNvPr>
        <xdr:cNvSpPr>
          <a:spLocks noChangeAspect="1" noChangeArrowheads="1"/>
        </xdr:cNvSpPr>
      </xdr:nvSpPr>
      <xdr:spPr bwMode="auto">
        <a:xfrm>
          <a:off x="13411200" y="40850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19" name="AutoShape 395" descr="ENGLAND7"/>
        <xdr:cNvSpPr>
          <a:spLocks noChangeAspect="1" noChangeArrowheads="1"/>
        </xdr:cNvSpPr>
      </xdr:nvSpPr>
      <xdr:spPr bwMode="auto">
        <a:xfrm>
          <a:off x="0" y="41026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20" name="AutoShape 396" descr="https://www.soccerstats.com/img/own/sshplogo.png">
          <a:hlinkClick xmlns:r="http://schemas.openxmlformats.org/officeDocument/2006/relationships" r:id="rId198"/>
        </xdr:cNvPr>
        <xdr:cNvSpPr>
          <a:spLocks noChangeAspect="1" noChangeArrowheads="1"/>
        </xdr:cNvSpPr>
      </xdr:nvSpPr>
      <xdr:spPr bwMode="auto">
        <a:xfrm>
          <a:off x="13411200" y="41026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21" name="AutoShape 397" descr="ENGLAND7"/>
        <xdr:cNvSpPr>
          <a:spLocks noChangeAspect="1" noChangeArrowheads="1"/>
        </xdr:cNvSpPr>
      </xdr:nvSpPr>
      <xdr:spPr bwMode="auto">
        <a:xfrm>
          <a:off x="0" y="41277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22" name="AutoShape 398" descr="https://www.soccerstats.com/img/own/sshplogo.png">
          <a:hlinkClick xmlns:r="http://schemas.openxmlformats.org/officeDocument/2006/relationships" r:id="rId199"/>
        </xdr:cNvPr>
        <xdr:cNvSpPr>
          <a:spLocks noChangeAspect="1" noChangeArrowheads="1"/>
        </xdr:cNvSpPr>
      </xdr:nvSpPr>
      <xdr:spPr bwMode="auto">
        <a:xfrm>
          <a:off x="13411200" y="41277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23" name="AutoShape 399" descr="ENGLAND8"/>
        <xdr:cNvSpPr>
          <a:spLocks noChangeAspect="1" noChangeArrowheads="1"/>
        </xdr:cNvSpPr>
      </xdr:nvSpPr>
      <xdr:spPr bwMode="auto">
        <a:xfrm>
          <a:off x="0" y="41529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24" name="AutoShape 400" descr="https://www.soccerstats.com/img/own/sshplogo.png">
          <a:hlinkClick xmlns:r="http://schemas.openxmlformats.org/officeDocument/2006/relationships" r:id="rId200"/>
        </xdr:cNvPr>
        <xdr:cNvSpPr>
          <a:spLocks noChangeAspect="1" noChangeArrowheads="1"/>
        </xdr:cNvSpPr>
      </xdr:nvSpPr>
      <xdr:spPr bwMode="auto">
        <a:xfrm>
          <a:off x="13411200" y="4152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25" name="AutoShape 401" descr="ENGLAND8"/>
        <xdr:cNvSpPr>
          <a:spLocks noChangeAspect="1" noChangeArrowheads="1"/>
        </xdr:cNvSpPr>
      </xdr:nvSpPr>
      <xdr:spPr bwMode="auto">
        <a:xfrm>
          <a:off x="0" y="41704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26" name="AutoShape 402" descr="https://www.soccerstats.com/img/own/sshplogo.png">
          <a:hlinkClick xmlns:r="http://schemas.openxmlformats.org/officeDocument/2006/relationships" r:id="rId201"/>
        </xdr:cNvPr>
        <xdr:cNvSpPr>
          <a:spLocks noChangeAspect="1" noChangeArrowheads="1"/>
        </xdr:cNvSpPr>
      </xdr:nvSpPr>
      <xdr:spPr bwMode="auto">
        <a:xfrm>
          <a:off x="13411200" y="41704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27" name="AutoShape 403" descr="ENGLAND8"/>
        <xdr:cNvSpPr>
          <a:spLocks noChangeAspect="1" noChangeArrowheads="1"/>
        </xdr:cNvSpPr>
      </xdr:nvSpPr>
      <xdr:spPr bwMode="auto">
        <a:xfrm>
          <a:off x="0" y="41879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28" name="AutoShape 404" descr="https://www.soccerstats.com/img/own/sshplogo.png">
          <a:hlinkClick xmlns:r="http://schemas.openxmlformats.org/officeDocument/2006/relationships" r:id="rId202"/>
        </xdr:cNvPr>
        <xdr:cNvSpPr>
          <a:spLocks noChangeAspect="1" noChangeArrowheads="1"/>
        </xdr:cNvSpPr>
      </xdr:nvSpPr>
      <xdr:spPr bwMode="auto">
        <a:xfrm>
          <a:off x="13411200" y="41879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29" name="AutoShape 405" descr="ENGLAND8"/>
        <xdr:cNvSpPr>
          <a:spLocks noChangeAspect="1" noChangeArrowheads="1"/>
        </xdr:cNvSpPr>
      </xdr:nvSpPr>
      <xdr:spPr bwMode="auto">
        <a:xfrm>
          <a:off x="0" y="42130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30" name="AutoShape 406" descr="https://www.soccerstats.com/img/own/sshplogo.png">
          <a:hlinkClick xmlns:r="http://schemas.openxmlformats.org/officeDocument/2006/relationships" r:id="rId203"/>
        </xdr:cNvPr>
        <xdr:cNvSpPr>
          <a:spLocks noChangeAspect="1" noChangeArrowheads="1"/>
        </xdr:cNvSpPr>
      </xdr:nvSpPr>
      <xdr:spPr bwMode="auto">
        <a:xfrm>
          <a:off x="13411200" y="42130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31" name="AutoShape 407" descr="ENGLAND8"/>
        <xdr:cNvSpPr>
          <a:spLocks noChangeAspect="1" noChangeArrowheads="1"/>
        </xdr:cNvSpPr>
      </xdr:nvSpPr>
      <xdr:spPr bwMode="auto">
        <a:xfrm>
          <a:off x="0" y="42382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32" name="AutoShape 408" descr="https://www.soccerstats.com/img/own/sshplogo.png">
          <a:hlinkClick xmlns:r="http://schemas.openxmlformats.org/officeDocument/2006/relationships" r:id="rId204"/>
        </xdr:cNvPr>
        <xdr:cNvSpPr>
          <a:spLocks noChangeAspect="1" noChangeArrowheads="1"/>
        </xdr:cNvSpPr>
      </xdr:nvSpPr>
      <xdr:spPr bwMode="auto">
        <a:xfrm>
          <a:off x="13411200" y="42382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33" name="AutoShape 409" descr="ENGLAND8"/>
        <xdr:cNvSpPr>
          <a:spLocks noChangeAspect="1" noChangeArrowheads="1"/>
        </xdr:cNvSpPr>
      </xdr:nvSpPr>
      <xdr:spPr bwMode="auto">
        <a:xfrm>
          <a:off x="0" y="42633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34" name="AutoShape 410" descr="https://www.soccerstats.com/img/own/sshplogo.png">
          <a:hlinkClick xmlns:r="http://schemas.openxmlformats.org/officeDocument/2006/relationships" r:id="rId205"/>
        </xdr:cNvPr>
        <xdr:cNvSpPr>
          <a:spLocks noChangeAspect="1" noChangeArrowheads="1"/>
        </xdr:cNvSpPr>
      </xdr:nvSpPr>
      <xdr:spPr bwMode="auto">
        <a:xfrm>
          <a:off x="13411200" y="42633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35" name="AutoShape 411" descr="ENGLAND8"/>
        <xdr:cNvSpPr>
          <a:spLocks noChangeAspect="1" noChangeArrowheads="1"/>
        </xdr:cNvSpPr>
      </xdr:nvSpPr>
      <xdr:spPr bwMode="auto">
        <a:xfrm>
          <a:off x="0" y="42885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36" name="AutoShape 412" descr="https://www.soccerstats.com/img/own/sshplogo.png">
          <a:hlinkClick xmlns:r="http://schemas.openxmlformats.org/officeDocument/2006/relationships" r:id="rId206"/>
        </xdr:cNvPr>
        <xdr:cNvSpPr>
          <a:spLocks noChangeAspect="1" noChangeArrowheads="1"/>
        </xdr:cNvSpPr>
      </xdr:nvSpPr>
      <xdr:spPr bwMode="auto">
        <a:xfrm>
          <a:off x="13411200" y="42885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37" name="AutoShape 413" descr="ENGLAND8"/>
        <xdr:cNvSpPr>
          <a:spLocks noChangeAspect="1" noChangeArrowheads="1"/>
        </xdr:cNvSpPr>
      </xdr:nvSpPr>
      <xdr:spPr bwMode="auto">
        <a:xfrm>
          <a:off x="0" y="43060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38" name="AutoShape 414" descr="https://www.soccerstats.com/img/own/sshplogo.png">
          <a:hlinkClick xmlns:r="http://schemas.openxmlformats.org/officeDocument/2006/relationships" r:id="rId207"/>
        </xdr:cNvPr>
        <xdr:cNvSpPr>
          <a:spLocks noChangeAspect="1" noChangeArrowheads="1"/>
        </xdr:cNvSpPr>
      </xdr:nvSpPr>
      <xdr:spPr bwMode="auto">
        <a:xfrm>
          <a:off x="13411200" y="43060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39" name="AutoShape 415" descr="ENGLAND8"/>
        <xdr:cNvSpPr>
          <a:spLocks noChangeAspect="1" noChangeArrowheads="1"/>
        </xdr:cNvSpPr>
      </xdr:nvSpPr>
      <xdr:spPr bwMode="auto">
        <a:xfrm>
          <a:off x="0" y="43235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40" name="AutoShape 416" descr="https://www.soccerstats.com/img/own/sshplogo.png">
          <a:hlinkClick xmlns:r="http://schemas.openxmlformats.org/officeDocument/2006/relationships" r:id="rId208"/>
        </xdr:cNvPr>
        <xdr:cNvSpPr>
          <a:spLocks noChangeAspect="1" noChangeArrowheads="1"/>
        </xdr:cNvSpPr>
      </xdr:nvSpPr>
      <xdr:spPr bwMode="auto">
        <a:xfrm>
          <a:off x="13411200" y="43235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41" name="AutoShape 417" descr="ENGLAND8"/>
        <xdr:cNvSpPr>
          <a:spLocks noChangeAspect="1" noChangeArrowheads="1"/>
        </xdr:cNvSpPr>
      </xdr:nvSpPr>
      <xdr:spPr bwMode="auto">
        <a:xfrm>
          <a:off x="0" y="43411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42" name="AutoShape 418" descr="https://www.soccerstats.com/img/own/sshplogo.png">
          <a:hlinkClick xmlns:r="http://schemas.openxmlformats.org/officeDocument/2006/relationships" r:id="rId209"/>
        </xdr:cNvPr>
        <xdr:cNvSpPr>
          <a:spLocks noChangeAspect="1" noChangeArrowheads="1"/>
        </xdr:cNvSpPr>
      </xdr:nvSpPr>
      <xdr:spPr bwMode="auto">
        <a:xfrm>
          <a:off x="13411200" y="43411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43" name="AutoShape 419" descr="ENGLAND8"/>
        <xdr:cNvSpPr>
          <a:spLocks noChangeAspect="1" noChangeArrowheads="1"/>
        </xdr:cNvSpPr>
      </xdr:nvSpPr>
      <xdr:spPr bwMode="auto">
        <a:xfrm>
          <a:off x="0" y="43662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44" name="AutoShape 420" descr="https://www.soccerstats.com/img/own/sshplogo.png">
          <a:hlinkClick xmlns:r="http://schemas.openxmlformats.org/officeDocument/2006/relationships" r:id="rId210"/>
        </xdr:cNvPr>
        <xdr:cNvSpPr>
          <a:spLocks noChangeAspect="1" noChangeArrowheads="1"/>
        </xdr:cNvSpPr>
      </xdr:nvSpPr>
      <xdr:spPr bwMode="auto">
        <a:xfrm>
          <a:off x="13411200" y="4366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45" name="AutoShape 421" descr="ENGLAND9"/>
        <xdr:cNvSpPr>
          <a:spLocks noChangeAspect="1" noChangeArrowheads="1"/>
        </xdr:cNvSpPr>
      </xdr:nvSpPr>
      <xdr:spPr bwMode="auto">
        <a:xfrm>
          <a:off x="0" y="43837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46" name="AutoShape 422" descr="https://www.soccerstats.com/img/own/sshplogo.png">
          <a:hlinkClick xmlns:r="http://schemas.openxmlformats.org/officeDocument/2006/relationships" r:id="rId211"/>
        </xdr:cNvPr>
        <xdr:cNvSpPr>
          <a:spLocks noChangeAspect="1" noChangeArrowheads="1"/>
        </xdr:cNvSpPr>
      </xdr:nvSpPr>
      <xdr:spPr bwMode="auto">
        <a:xfrm>
          <a:off x="13411200" y="43837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47" name="AutoShape 423" descr="ENGLAND9"/>
        <xdr:cNvSpPr>
          <a:spLocks noChangeAspect="1" noChangeArrowheads="1"/>
        </xdr:cNvSpPr>
      </xdr:nvSpPr>
      <xdr:spPr bwMode="auto">
        <a:xfrm>
          <a:off x="0" y="44089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48" name="AutoShape 424" descr="https://www.soccerstats.com/img/own/sshplogo.png">
          <a:hlinkClick xmlns:r="http://schemas.openxmlformats.org/officeDocument/2006/relationships" r:id="rId212"/>
        </xdr:cNvPr>
        <xdr:cNvSpPr>
          <a:spLocks noChangeAspect="1" noChangeArrowheads="1"/>
        </xdr:cNvSpPr>
      </xdr:nvSpPr>
      <xdr:spPr bwMode="auto">
        <a:xfrm>
          <a:off x="13411200" y="44089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49" name="AutoShape 425" descr="ENGLAND9"/>
        <xdr:cNvSpPr>
          <a:spLocks noChangeAspect="1" noChangeArrowheads="1"/>
        </xdr:cNvSpPr>
      </xdr:nvSpPr>
      <xdr:spPr bwMode="auto">
        <a:xfrm>
          <a:off x="0" y="44340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50" name="AutoShape 426" descr="https://www.soccerstats.com/img/own/sshplogo.png">
          <a:hlinkClick xmlns:r="http://schemas.openxmlformats.org/officeDocument/2006/relationships" r:id="rId213"/>
        </xdr:cNvPr>
        <xdr:cNvSpPr>
          <a:spLocks noChangeAspect="1" noChangeArrowheads="1"/>
        </xdr:cNvSpPr>
      </xdr:nvSpPr>
      <xdr:spPr bwMode="auto">
        <a:xfrm>
          <a:off x="13411200" y="44340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51" name="AutoShape 427" descr="ENGLAND9"/>
        <xdr:cNvSpPr>
          <a:spLocks noChangeAspect="1" noChangeArrowheads="1"/>
        </xdr:cNvSpPr>
      </xdr:nvSpPr>
      <xdr:spPr bwMode="auto">
        <a:xfrm>
          <a:off x="0" y="44516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52" name="AutoShape 428" descr="https://www.soccerstats.com/img/own/sshplogo.png">
          <a:hlinkClick xmlns:r="http://schemas.openxmlformats.org/officeDocument/2006/relationships" r:id="rId214"/>
        </xdr:cNvPr>
        <xdr:cNvSpPr>
          <a:spLocks noChangeAspect="1" noChangeArrowheads="1"/>
        </xdr:cNvSpPr>
      </xdr:nvSpPr>
      <xdr:spPr bwMode="auto">
        <a:xfrm>
          <a:off x="13411200" y="44516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53" name="AutoShape 429" descr="ENGLAND9"/>
        <xdr:cNvSpPr>
          <a:spLocks noChangeAspect="1" noChangeArrowheads="1"/>
        </xdr:cNvSpPr>
      </xdr:nvSpPr>
      <xdr:spPr bwMode="auto">
        <a:xfrm>
          <a:off x="0" y="44767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54" name="AutoShape 430" descr="https://www.soccerstats.com/img/own/sshplogo.png">
          <a:hlinkClick xmlns:r="http://schemas.openxmlformats.org/officeDocument/2006/relationships" r:id="rId215"/>
        </xdr:cNvPr>
        <xdr:cNvSpPr>
          <a:spLocks noChangeAspect="1" noChangeArrowheads="1"/>
        </xdr:cNvSpPr>
      </xdr:nvSpPr>
      <xdr:spPr bwMode="auto">
        <a:xfrm>
          <a:off x="13411200" y="4476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55" name="AutoShape 431" descr="ENGLAND9"/>
        <xdr:cNvSpPr>
          <a:spLocks noChangeAspect="1" noChangeArrowheads="1"/>
        </xdr:cNvSpPr>
      </xdr:nvSpPr>
      <xdr:spPr bwMode="auto">
        <a:xfrm>
          <a:off x="0" y="45018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56" name="AutoShape 432" descr="https://www.soccerstats.com/img/own/sshplogo.png">
          <a:hlinkClick xmlns:r="http://schemas.openxmlformats.org/officeDocument/2006/relationships" r:id="rId216"/>
        </xdr:cNvPr>
        <xdr:cNvSpPr>
          <a:spLocks noChangeAspect="1" noChangeArrowheads="1"/>
        </xdr:cNvSpPr>
      </xdr:nvSpPr>
      <xdr:spPr bwMode="auto">
        <a:xfrm>
          <a:off x="13411200" y="45018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57" name="AutoShape 433" descr="ENGLAND9"/>
        <xdr:cNvSpPr>
          <a:spLocks noChangeAspect="1" noChangeArrowheads="1"/>
        </xdr:cNvSpPr>
      </xdr:nvSpPr>
      <xdr:spPr bwMode="auto">
        <a:xfrm>
          <a:off x="0" y="45270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58" name="AutoShape 434" descr="https://www.soccerstats.com/img/own/sshplogo.png">
          <a:hlinkClick xmlns:r="http://schemas.openxmlformats.org/officeDocument/2006/relationships" r:id="rId217"/>
        </xdr:cNvPr>
        <xdr:cNvSpPr>
          <a:spLocks noChangeAspect="1" noChangeArrowheads="1"/>
        </xdr:cNvSpPr>
      </xdr:nvSpPr>
      <xdr:spPr bwMode="auto">
        <a:xfrm>
          <a:off x="13411200" y="45270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59" name="AutoShape 435" descr="ENGLAND9"/>
        <xdr:cNvSpPr>
          <a:spLocks noChangeAspect="1" noChangeArrowheads="1"/>
        </xdr:cNvSpPr>
      </xdr:nvSpPr>
      <xdr:spPr bwMode="auto">
        <a:xfrm>
          <a:off x="0" y="45521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60" name="AutoShape 436" descr="https://www.soccerstats.com/img/own/sshplogo.png">
          <a:hlinkClick xmlns:r="http://schemas.openxmlformats.org/officeDocument/2006/relationships" r:id="rId218"/>
        </xdr:cNvPr>
        <xdr:cNvSpPr>
          <a:spLocks noChangeAspect="1" noChangeArrowheads="1"/>
        </xdr:cNvSpPr>
      </xdr:nvSpPr>
      <xdr:spPr bwMode="auto">
        <a:xfrm>
          <a:off x="13411200" y="45521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61" name="AutoShape 437" descr="ENGLAND9"/>
        <xdr:cNvSpPr>
          <a:spLocks noChangeAspect="1" noChangeArrowheads="1"/>
        </xdr:cNvSpPr>
      </xdr:nvSpPr>
      <xdr:spPr bwMode="auto">
        <a:xfrm>
          <a:off x="0" y="45697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62" name="AutoShape 438" descr="https://www.soccerstats.com/img/own/sshplogo.png">
          <a:hlinkClick xmlns:r="http://schemas.openxmlformats.org/officeDocument/2006/relationships" r:id="rId219"/>
        </xdr:cNvPr>
        <xdr:cNvSpPr>
          <a:spLocks noChangeAspect="1" noChangeArrowheads="1"/>
        </xdr:cNvSpPr>
      </xdr:nvSpPr>
      <xdr:spPr bwMode="auto">
        <a:xfrm>
          <a:off x="13411200" y="45697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63" name="AutoShape 439" descr="ENGLAND9"/>
        <xdr:cNvSpPr>
          <a:spLocks noChangeAspect="1" noChangeArrowheads="1"/>
        </xdr:cNvSpPr>
      </xdr:nvSpPr>
      <xdr:spPr bwMode="auto">
        <a:xfrm>
          <a:off x="0" y="45948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64" name="AutoShape 440" descr="https://www.soccerstats.com/img/own/sshplogo.png">
          <a:hlinkClick xmlns:r="http://schemas.openxmlformats.org/officeDocument/2006/relationships" r:id="rId220"/>
        </xdr:cNvPr>
        <xdr:cNvSpPr>
          <a:spLocks noChangeAspect="1" noChangeArrowheads="1"/>
        </xdr:cNvSpPr>
      </xdr:nvSpPr>
      <xdr:spPr bwMode="auto">
        <a:xfrm>
          <a:off x="13411200" y="45948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65" name="AutoShape 441" descr="ENGLAND10"/>
        <xdr:cNvSpPr>
          <a:spLocks noChangeAspect="1" noChangeArrowheads="1"/>
        </xdr:cNvSpPr>
      </xdr:nvSpPr>
      <xdr:spPr bwMode="auto">
        <a:xfrm>
          <a:off x="0" y="46123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66" name="AutoShape 442" descr="https://www.soccerstats.com/img/own/sshplogo.png">
          <a:hlinkClick xmlns:r="http://schemas.openxmlformats.org/officeDocument/2006/relationships" r:id="rId221"/>
        </xdr:cNvPr>
        <xdr:cNvSpPr>
          <a:spLocks noChangeAspect="1" noChangeArrowheads="1"/>
        </xdr:cNvSpPr>
      </xdr:nvSpPr>
      <xdr:spPr bwMode="auto">
        <a:xfrm>
          <a:off x="13411200" y="46123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67" name="AutoShape 443" descr="ENGLAND10"/>
        <xdr:cNvSpPr>
          <a:spLocks noChangeAspect="1" noChangeArrowheads="1"/>
        </xdr:cNvSpPr>
      </xdr:nvSpPr>
      <xdr:spPr bwMode="auto">
        <a:xfrm>
          <a:off x="0" y="46375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68" name="AutoShape 444" descr="https://www.soccerstats.com/img/own/sshplogo.png">
          <a:hlinkClick xmlns:r="http://schemas.openxmlformats.org/officeDocument/2006/relationships" r:id="rId222"/>
        </xdr:cNvPr>
        <xdr:cNvSpPr>
          <a:spLocks noChangeAspect="1" noChangeArrowheads="1"/>
        </xdr:cNvSpPr>
      </xdr:nvSpPr>
      <xdr:spPr bwMode="auto">
        <a:xfrm>
          <a:off x="13411200" y="46375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69" name="AutoShape 445" descr="ENGLAND10"/>
        <xdr:cNvSpPr>
          <a:spLocks noChangeAspect="1" noChangeArrowheads="1"/>
        </xdr:cNvSpPr>
      </xdr:nvSpPr>
      <xdr:spPr bwMode="auto">
        <a:xfrm>
          <a:off x="0" y="46550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70" name="AutoShape 446" descr="https://www.soccerstats.com/img/own/sshplogo.png">
          <a:hlinkClick xmlns:r="http://schemas.openxmlformats.org/officeDocument/2006/relationships" r:id="rId223"/>
        </xdr:cNvPr>
        <xdr:cNvSpPr>
          <a:spLocks noChangeAspect="1" noChangeArrowheads="1"/>
        </xdr:cNvSpPr>
      </xdr:nvSpPr>
      <xdr:spPr bwMode="auto">
        <a:xfrm>
          <a:off x="13411200" y="46550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71" name="AutoShape 447" descr="ENGLAND10"/>
        <xdr:cNvSpPr>
          <a:spLocks noChangeAspect="1" noChangeArrowheads="1"/>
        </xdr:cNvSpPr>
      </xdr:nvSpPr>
      <xdr:spPr bwMode="auto">
        <a:xfrm>
          <a:off x="0" y="46802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72" name="AutoShape 448" descr="https://www.soccerstats.com/img/own/sshplogo.png">
          <a:hlinkClick xmlns:r="http://schemas.openxmlformats.org/officeDocument/2006/relationships" r:id="rId224"/>
        </xdr:cNvPr>
        <xdr:cNvSpPr>
          <a:spLocks noChangeAspect="1" noChangeArrowheads="1"/>
        </xdr:cNvSpPr>
      </xdr:nvSpPr>
      <xdr:spPr bwMode="auto">
        <a:xfrm>
          <a:off x="13411200" y="46802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73" name="AutoShape 449" descr="ENGLAND10"/>
        <xdr:cNvSpPr>
          <a:spLocks noChangeAspect="1" noChangeArrowheads="1"/>
        </xdr:cNvSpPr>
      </xdr:nvSpPr>
      <xdr:spPr bwMode="auto">
        <a:xfrm>
          <a:off x="0" y="47053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74" name="AutoShape 450" descr="https://www.soccerstats.com/img/own/sshplogo.png">
          <a:hlinkClick xmlns:r="http://schemas.openxmlformats.org/officeDocument/2006/relationships" r:id="rId225"/>
        </xdr:cNvPr>
        <xdr:cNvSpPr>
          <a:spLocks noChangeAspect="1" noChangeArrowheads="1"/>
        </xdr:cNvSpPr>
      </xdr:nvSpPr>
      <xdr:spPr bwMode="auto">
        <a:xfrm>
          <a:off x="13411200" y="4705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75" name="AutoShape 451" descr="ENGLAND10"/>
        <xdr:cNvSpPr>
          <a:spLocks noChangeAspect="1" noChangeArrowheads="1"/>
        </xdr:cNvSpPr>
      </xdr:nvSpPr>
      <xdr:spPr bwMode="auto">
        <a:xfrm>
          <a:off x="0" y="47228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76" name="AutoShape 452" descr="https://www.soccerstats.com/img/own/sshplogo.png">
          <a:hlinkClick xmlns:r="http://schemas.openxmlformats.org/officeDocument/2006/relationships" r:id="rId226"/>
        </xdr:cNvPr>
        <xdr:cNvSpPr>
          <a:spLocks noChangeAspect="1" noChangeArrowheads="1"/>
        </xdr:cNvSpPr>
      </xdr:nvSpPr>
      <xdr:spPr bwMode="auto">
        <a:xfrm>
          <a:off x="13411200" y="47228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77" name="AutoShape 453" descr="ENGLAND10"/>
        <xdr:cNvSpPr>
          <a:spLocks noChangeAspect="1" noChangeArrowheads="1"/>
        </xdr:cNvSpPr>
      </xdr:nvSpPr>
      <xdr:spPr bwMode="auto">
        <a:xfrm>
          <a:off x="0" y="47480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78" name="AutoShape 454" descr="https://www.soccerstats.com/img/own/sshplogo.png">
          <a:hlinkClick xmlns:r="http://schemas.openxmlformats.org/officeDocument/2006/relationships" r:id="rId227"/>
        </xdr:cNvPr>
        <xdr:cNvSpPr>
          <a:spLocks noChangeAspect="1" noChangeArrowheads="1"/>
        </xdr:cNvSpPr>
      </xdr:nvSpPr>
      <xdr:spPr bwMode="auto">
        <a:xfrm>
          <a:off x="13411200" y="47480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79" name="AutoShape 455" descr="ENGLAND10"/>
        <xdr:cNvSpPr>
          <a:spLocks noChangeAspect="1" noChangeArrowheads="1"/>
        </xdr:cNvSpPr>
      </xdr:nvSpPr>
      <xdr:spPr bwMode="auto">
        <a:xfrm>
          <a:off x="0" y="47731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80" name="AutoShape 456" descr="https://www.soccerstats.com/img/own/sshplogo.png">
          <a:hlinkClick xmlns:r="http://schemas.openxmlformats.org/officeDocument/2006/relationships" r:id="rId228"/>
        </xdr:cNvPr>
        <xdr:cNvSpPr>
          <a:spLocks noChangeAspect="1" noChangeArrowheads="1"/>
        </xdr:cNvSpPr>
      </xdr:nvSpPr>
      <xdr:spPr bwMode="auto">
        <a:xfrm>
          <a:off x="13411200" y="4773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81" name="AutoShape 457" descr="ENGLAND10"/>
        <xdr:cNvSpPr>
          <a:spLocks noChangeAspect="1" noChangeArrowheads="1"/>
        </xdr:cNvSpPr>
      </xdr:nvSpPr>
      <xdr:spPr bwMode="auto">
        <a:xfrm>
          <a:off x="0" y="47906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82" name="AutoShape 458" descr="https://www.soccerstats.com/img/own/sshplogo.png">
          <a:hlinkClick xmlns:r="http://schemas.openxmlformats.org/officeDocument/2006/relationships" r:id="rId229"/>
        </xdr:cNvPr>
        <xdr:cNvSpPr>
          <a:spLocks noChangeAspect="1" noChangeArrowheads="1"/>
        </xdr:cNvSpPr>
      </xdr:nvSpPr>
      <xdr:spPr bwMode="auto">
        <a:xfrm>
          <a:off x="13411200" y="47906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83" name="AutoShape 459" descr="ENGLAND10"/>
        <xdr:cNvSpPr>
          <a:spLocks noChangeAspect="1" noChangeArrowheads="1"/>
        </xdr:cNvSpPr>
      </xdr:nvSpPr>
      <xdr:spPr bwMode="auto">
        <a:xfrm>
          <a:off x="0" y="48158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84" name="AutoShape 460" descr="https://www.soccerstats.com/img/own/sshplogo.png">
          <a:hlinkClick xmlns:r="http://schemas.openxmlformats.org/officeDocument/2006/relationships" r:id="rId230"/>
        </xdr:cNvPr>
        <xdr:cNvSpPr>
          <a:spLocks noChangeAspect="1" noChangeArrowheads="1"/>
        </xdr:cNvSpPr>
      </xdr:nvSpPr>
      <xdr:spPr bwMode="auto">
        <a:xfrm>
          <a:off x="13411200" y="4815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85" name="AutoShape 461" descr="ENGLAND10"/>
        <xdr:cNvSpPr>
          <a:spLocks noChangeAspect="1" noChangeArrowheads="1"/>
        </xdr:cNvSpPr>
      </xdr:nvSpPr>
      <xdr:spPr bwMode="auto">
        <a:xfrm>
          <a:off x="0" y="48409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86" name="AutoShape 462" descr="https://www.soccerstats.com/img/own/sshplogo.png">
          <a:hlinkClick xmlns:r="http://schemas.openxmlformats.org/officeDocument/2006/relationships" r:id="rId231"/>
        </xdr:cNvPr>
        <xdr:cNvSpPr>
          <a:spLocks noChangeAspect="1" noChangeArrowheads="1"/>
        </xdr:cNvSpPr>
      </xdr:nvSpPr>
      <xdr:spPr bwMode="auto">
        <a:xfrm>
          <a:off x="13411200" y="48409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87" name="AutoShape 463" descr="ESTONIA2"/>
        <xdr:cNvSpPr>
          <a:spLocks noChangeAspect="1" noChangeArrowheads="1"/>
        </xdr:cNvSpPr>
      </xdr:nvSpPr>
      <xdr:spPr bwMode="auto">
        <a:xfrm>
          <a:off x="0" y="48661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88" name="AutoShape 464" descr="https://www.soccerstats.com/img/own/sshplogo.png">
          <a:hlinkClick xmlns:r="http://schemas.openxmlformats.org/officeDocument/2006/relationships" r:id="rId232"/>
        </xdr:cNvPr>
        <xdr:cNvSpPr>
          <a:spLocks noChangeAspect="1" noChangeArrowheads="1"/>
        </xdr:cNvSpPr>
      </xdr:nvSpPr>
      <xdr:spPr bwMode="auto">
        <a:xfrm>
          <a:off x="13411200" y="48661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89" name="AutoShape 465" descr="ESTONIA2"/>
        <xdr:cNvSpPr>
          <a:spLocks noChangeAspect="1" noChangeArrowheads="1"/>
        </xdr:cNvSpPr>
      </xdr:nvSpPr>
      <xdr:spPr bwMode="auto">
        <a:xfrm>
          <a:off x="0" y="48836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90" name="AutoShape 466" descr="https://www.soccerstats.com/img/own/sshplogo.png">
          <a:hlinkClick xmlns:r="http://schemas.openxmlformats.org/officeDocument/2006/relationships" r:id="rId233"/>
        </xdr:cNvPr>
        <xdr:cNvSpPr>
          <a:spLocks noChangeAspect="1" noChangeArrowheads="1"/>
        </xdr:cNvSpPr>
      </xdr:nvSpPr>
      <xdr:spPr bwMode="auto">
        <a:xfrm>
          <a:off x="13411200" y="48836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91" name="AutoShape 467" descr="ESTONIA2"/>
        <xdr:cNvSpPr>
          <a:spLocks noChangeAspect="1" noChangeArrowheads="1"/>
        </xdr:cNvSpPr>
      </xdr:nvSpPr>
      <xdr:spPr bwMode="auto">
        <a:xfrm>
          <a:off x="0" y="49011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92" name="AutoShape 468" descr="https://www.soccerstats.com/img/own/sshplogo.png">
          <a:hlinkClick xmlns:r="http://schemas.openxmlformats.org/officeDocument/2006/relationships" r:id="rId234"/>
        </xdr:cNvPr>
        <xdr:cNvSpPr>
          <a:spLocks noChangeAspect="1" noChangeArrowheads="1"/>
        </xdr:cNvSpPr>
      </xdr:nvSpPr>
      <xdr:spPr bwMode="auto">
        <a:xfrm>
          <a:off x="13411200" y="49011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93" name="AutoShape 469" descr="ESTONIA2"/>
        <xdr:cNvSpPr>
          <a:spLocks noChangeAspect="1" noChangeArrowheads="1"/>
        </xdr:cNvSpPr>
      </xdr:nvSpPr>
      <xdr:spPr bwMode="auto">
        <a:xfrm>
          <a:off x="0" y="49187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94" name="AutoShape 470" descr="https://www.soccerstats.com/img/own/sshplogo.png">
          <a:hlinkClick xmlns:r="http://schemas.openxmlformats.org/officeDocument/2006/relationships" r:id="rId235"/>
        </xdr:cNvPr>
        <xdr:cNvSpPr>
          <a:spLocks noChangeAspect="1" noChangeArrowheads="1"/>
        </xdr:cNvSpPr>
      </xdr:nvSpPr>
      <xdr:spPr bwMode="auto">
        <a:xfrm>
          <a:off x="13411200" y="4918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95" name="AutoShape 471" descr="FINLAND"/>
        <xdr:cNvSpPr>
          <a:spLocks noChangeAspect="1" noChangeArrowheads="1"/>
        </xdr:cNvSpPr>
      </xdr:nvSpPr>
      <xdr:spPr bwMode="auto">
        <a:xfrm>
          <a:off x="0" y="49362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96" name="AutoShape 472" descr="https://www.soccerstats.com/img/own/sshplogo.png">
          <a:hlinkClick xmlns:r="http://schemas.openxmlformats.org/officeDocument/2006/relationships" r:id="rId236"/>
        </xdr:cNvPr>
        <xdr:cNvSpPr>
          <a:spLocks noChangeAspect="1" noChangeArrowheads="1"/>
        </xdr:cNvSpPr>
      </xdr:nvSpPr>
      <xdr:spPr bwMode="auto">
        <a:xfrm>
          <a:off x="13411200" y="49362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97" name="AutoShape 473" descr="FINLAND2"/>
        <xdr:cNvSpPr>
          <a:spLocks noChangeAspect="1" noChangeArrowheads="1"/>
        </xdr:cNvSpPr>
      </xdr:nvSpPr>
      <xdr:spPr bwMode="auto">
        <a:xfrm>
          <a:off x="0" y="49537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498" name="AutoShape 474" descr="https://www.soccerstats.com/img/own/sshplogo.png">
          <a:hlinkClick xmlns:r="http://schemas.openxmlformats.org/officeDocument/2006/relationships" r:id="rId237"/>
        </xdr:cNvPr>
        <xdr:cNvSpPr>
          <a:spLocks noChangeAspect="1" noChangeArrowheads="1"/>
        </xdr:cNvSpPr>
      </xdr:nvSpPr>
      <xdr:spPr bwMode="auto">
        <a:xfrm>
          <a:off x="13411200" y="49537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499" name="AutoShape 475" descr="FINLAND2"/>
        <xdr:cNvSpPr>
          <a:spLocks noChangeAspect="1" noChangeArrowheads="1"/>
        </xdr:cNvSpPr>
      </xdr:nvSpPr>
      <xdr:spPr bwMode="auto">
        <a:xfrm>
          <a:off x="0" y="49712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00" name="AutoShape 476" descr="https://www.soccerstats.com/img/own/sshplogo.png">
          <a:hlinkClick xmlns:r="http://schemas.openxmlformats.org/officeDocument/2006/relationships" r:id="rId238"/>
        </xdr:cNvPr>
        <xdr:cNvSpPr>
          <a:spLocks noChangeAspect="1" noChangeArrowheads="1"/>
        </xdr:cNvSpPr>
      </xdr:nvSpPr>
      <xdr:spPr bwMode="auto">
        <a:xfrm>
          <a:off x="13411200" y="4971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01" name="AutoShape 477" descr="FINLAND2"/>
        <xdr:cNvSpPr>
          <a:spLocks noChangeAspect="1" noChangeArrowheads="1"/>
        </xdr:cNvSpPr>
      </xdr:nvSpPr>
      <xdr:spPr bwMode="auto">
        <a:xfrm>
          <a:off x="0" y="49888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02" name="AutoShape 478" descr="https://www.soccerstats.com/img/own/sshplogo.png">
          <a:hlinkClick xmlns:r="http://schemas.openxmlformats.org/officeDocument/2006/relationships" r:id="rId239"/>
        </xdr:cNvPr>
        <xdr:cNvSpPr>
          <a:spLocks noChangeAspect="1" noChangeArrowheads="1"/>
        </xdr:cNvSpPr>
      </xdr:nvSpPr>
      <xdr:spPr bwMode="auto">
        <a:xfrm>
          <a:off x="13411200" y="4988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03" name="AutoShape 479" descr="FINLAND3"/>
        <xdr:cNvSpPr>
          <a:spLocks noChangeAspect="1" noChangeArrowheads="1"/>
        </xdr:cNvSpPr>
      </xdr:nvSpPr>
      <xdr:spPr bwMode="auto">
        <a:xfrm>
          <a:off x="0" y="5006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04" name="AutoShape 480" descr="https://www.soccerstats.com/img/own/sshplogo.png">
          <a:hlinkClick xmlns:r="http://schemas.openxmlformats.org/officeDocument/2006/relationships" r:id="rId240"/>
        </xdr:cNvPr>
        <xdr:cNvSpPr>
          <a:spLocks noChangeAspect="1" noChangeArrowheads="1"/>
        </xdr:cNvSpPr>
      </xdr:nvSpPr>
      <xdr:spPr bwMode="auto">
        <a:xfrm>
          <a:off x="13411200" y="5006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05" name="AutoShape 481" descr="FINLAND3"/>
        <xdr:cNvSpPr>
          <a:spLocks noChangeAspect="1" noChangeArrowheads="1"/>
        </xdr:cNvSpPr>
      </xdr:nvSpPr>
      <xdr:spPr bwMode="auto">
        <a:xfrm>
          <a:off x="0" y="5023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06" name="AutoShape 482" descr="https://www.soccerstats.com/img/own/sshplogo.png">
          <a:hlinkClick xmlns:r="http://schemas.openxmlformats.org/officeDocument/2006/relationships" r:id="rId241"/>
        </xdr:cNvPr>
        <xdr:cNvSpPr>
          <a:spLocks noChangeAspect="1" noChangeArrowheads="1"/>
        </xdr:cNvSpPr>
      </xdr:nvSpPr>
      <xdr:spPr bwMode="auto">
        <a:xfrm>
          <a:off x="13411200" y="5023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07" name="AutoShape 483" descr="FINLAND3"/>
        <xdr:cNvSpPr>
          <a:spLocks noChangeAspect="1" noChangeArrowheads="1"/>
        </xdr:cNvSpPr>
      </xdr:nvSpPr>
      <xdr:spPr bwMode="auto">
        <a:xfrm>
          <a:off x="0" y="50413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08" name="AutoShape 484" descr="https://www.soccerstats.com/img/own/sshplogo.png">
          <a:hlinkClick xmlns:r="http://schemas.openxmlformats.org/officeDocument/2006/relationships" r:id="rId242"/>
        </xdr:cNvPr>
        <xdr:cNvSpPr>
          <a:spLocks noChangeAspect="1" noChangeArrowheads="1"/>
        </xdr:cNvSpPr>
      </xdr:nvSpPr>
      <xdr:spPr bwMode="auto">
        <a:xfrm>
          <a:off x="13411200" y="50413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09" name="AutoShape 485" descr="FINLAND4"/>
        <xdr:cNvSpPr>
          <a:spLocks noChangeAspect="1" noChangeArrowheads="1"/>
        </xdr:cNvSpPr>
      </xdr:nvSpPr>
      <xdr:spPr bwMode="auto">
        <a:xfrm>
          <a:off x="0" y="50589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10" name="AutoShape 486" descr="https://www.soccerstats.com/img/own/sshplogo.png">
          <a:hlinkClick xmlns:r="http://schemas.openxmlformats.org/officeDocument/2006/relationships" r:id="rId243"/>
        </xdr:cNvPr>
        <xdr:cNvSpPr>
          <a:spLocks noChangeAspect="1" noChangeArrowheads="1"/>
        </xdr:cNvSpPr>
      </xdr:nvSpPr>
      <xdr:spPr bwMode="auto">
        <a:xfrm>
          <a:off x="13411200" y="50589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11" name="AutoShape 487" descr="FINLAND4"/>
        <xdr:cNvSpPr>
          <a:spLocks noChangeAspect="1" noChangeArrowheads="1"/>
        </xdr:cNvSpPr>
      </xdr:nvSpPr>
      <xdr:spPr bwMode="auto">
        <a:xfrm>
          <a:off x="0" y="50764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12" name="AutoShape 488" descr="https://www.soccerstats.com/img/own/sshplogo.png">
          <a:hlinkClick xmlns:r="http://schemas.openxmlformats.org/officeDocument/2006/relationships" r:id="rId244"/>
        </xdr:cNvPr>
        <xdr:cNvSpPr>
          <a:spLocks noChangeAspect="1" noChangeArrowheads="1"/>
        </xdr:cNvSpPr>
      </xdr:nvSpPr>
      <xdr:spPr bwMode="auto">
        <a:xfrm>
          <a:off x="13411200" y="50764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13" name="AutoShape 489" descr="FINLAND4"/>
        <xdr:cNvSpPr>
          <a:spLocks noChangeAspect="1" noChangeArrowheads="1"/>
        </xdr:cNvSpPr>
      </xdr:nvSpPr>
      <xdr:spPr bwMode="auto">
        <a:xfrm>
          <a:off x="0" y="50939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14" name="AutoShape 490" descr="https://www.soccerstats.com/img/own/sshplogo.png">
          <a:hlinkClick xmlns:r="http://schemas.openxmlformats.org/officeDocument/2006/relationships" r:id="rId245"/>
        </xdr:cNvPr>
        <xdr:cNvSpPr>
          <a:spLocks noChangeAspect="1" noChangeArrowheads="1"/>
        </xdr:cNvSpPr>
      </xdr:nvSpPr>
      <xdr:spPr bwMode="auto">
        <a:xfrm>
          <a:off x="13411200" y="50939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15" name="AutoShape 491" descr="FINLAND5"/>
        <xdr:cNvSpPr>
          <a:spLocks noChangeAspect="1" noChangeArrowheads="1"/>
        </xdr:cNvSpPr>
      </xdr:nvSpPr>
      <xdr:spPr bwMode="auto">
        <a:xfrm>
          <a:off x="0" y="51114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16" name="AutoShape 492" descr="https://www.soccerstats.com/img/own/sshplogo.png">
          <a:hlinkClick xmlns:r="http://schemas.openxmlformats.org/officeDocument/2006/relationships" r:id="rId246"/>
        </xdr:cNvPr>
        <xdr:cNvSpPr>
          <a:spLocks noChangeAspect="1" noChangeArrowheads="1"/>
        </xdr:cNvSpPr>
      </xdr:nvSpPr>
      <xdr:spPr bwMode="auto">
        <a:xfrm>
          <a:off x="13411200" y="51114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17" name="AutoShape 493" descr="FINLAND5"/>
        <xdr:cNvSpPr>
          <a:spLocks noChangeAspect="1" noChangeArrowheads="1"/>
        </xdr:cNvSpPr>
      </xdr:nvSpPr>
      <xdr:spPr bwMode="auto">
        <a:xfrm>
          <a:off x="0" y="51290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18" name="AutoShape 494" descr="https://www.soccerstats.com/img/own/sshplogo.png">
          <a:hlinkClick xmlns:r="http://schemas.openxmlformats.org/officeDocument/2006/relationships" r:id="rId247"/>
        </xdr:cNvPr>
        <xdr:cNvSpPr>
          <a:spLocks noChangeAspect="1" noChangeArrowheads="1"/>
        </xdr:cNvSpPr>
      </xdr:nvSpPr>
      <xdr:spPr bwMode="auto">
        <a:xfrm>
          <a:off x="13411200" y="51290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19" name="AutoShape 495" descr="FINLAND5"/>
        <xdr:cNvSpPr>
          <a:spLocks noChangeAspect="1" noChangeArrowheads="1"/>
        </xdr:cNvSpPr>
      </xdr:nvSpPr>
      <xdr:spPr bwMode="auto">
        <a:xfrm>
          <a:off x="0" y="51465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20" name="AutoShape 496" descr="https://www.soccerstats.com/img/own/sshplogo.png">
          <a:hlinkClick xmlns:r="http://schemas.openxmlformats.org/officeDocument/2006/relationships" r:id="rId248"/>
        </xdr:cNvPr>
        <xdr:cNvSpPr>
          <a:spLocks noChangeAspect="1" noChangeArrowheads="1"/>
        </xdr:cNvSpPr>
      </xdr:nvSpPr>
      <xdr:spPr bwMode="auto">
        <a:xfrm>
          <a:off x="13411200" y="51465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21" name="AutoShape 497" descr="FINLAND5"/>
        <xdr:cNvSpPr>
          <a:spLocks noChangeAspect="1" noChangeArrowheads="1"/>
        </xdr:cNvSpPr>
      </xdr:nvSpPr>
      <xdr:spPr bwMode="auto">
        <a:xfrm>
          <a:off x="0" y="51640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22" name="AutoShape 498" descr="https://www.soccerstats.com/img/own/sshplogo.png">
          <a:hlinkClick xmlns:r="http://schemas.openxmlformats.org/officeDocument/2006/relationships" r:id="rId249"/>
        </xdr:cNvPr>
        <xdr:cNvSpPr>
          <a:spLocks noChangeAspect="1" noChangeArrowheads="1"/>
        </xdr:cNvSpPr>
      </xdr:nvSpPr>
      <xdr:spPr bwMode="auto">
        <a:xfrm>
          <a:off x="13411200" y="51640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23" name="AutoShape 499" descr="FINLAND5"/>
        <xdr:cNvSpPr>
          <a:spLocks noChangeAspect="1" noChangeArrowheads="1"/>
        </xdr:cNvSpPr>
      </xdr:nvSpPr>
      <xdr:spPr bwMode="auto">
        <a:xfrm>
          <a:off x="0" y="51816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24" name="AutoShape 500" descr="https://www.soccerstats.com/img/own/sshplogo.png">
          <a:hlinkClick xmlns:r="http://schemas.openxmlformats.org/officeDocument/2006/relationships" r:id="rId250"/>
        </xdr:cNvPr>
        <xdr:cNvSpPr>
          <a:spLocks noChangeAspect="1" noChangeArrowheads="1"/>
        </xdr:cNvSpPr>
      </xdr:nvSpPr>
      <xdr:spPr bwMode="auto">
        <a:xfrm>
          <a:off x="13411200" y="5181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25" name="AutoShape 501" descr="FINLAND6"/>
        <xdr:cNvSpPr>
          <a:spLocks noChangeAspect="1" noChangeArrowheads="1"/>
        </xdr:cNvSpPr>
      </xdr:nvSpPr>
      <xdr:spPr bwMode="auto">
        <a:xfrm>
          <a:off x="0" y="51991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26" name="AutoShape 502" descr="https://www.soccerstats.com/img/own/sshplogo.png">
          <a:hlinkClick xmlns:r="http://schemas.openxmlformats.org/officeDocument/2006/relationships" r:id="rId251"/>
        </xdr:cNvPr>
        <xdr:cNvSpPr>
          <a:spLocks noChangeAspect="1" noChangeArrowheads="1"/>
        </xdr:cNvSpPr>
      </xdr:nvSpPr>
      <xdr:spPr bwMode="auto">
        <a:xfrm>
          <a:off x="13411200" y="51991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27" name="AutoShape 503" descr="FINLAND6"/>
        <xdr:cNvSpPr>
          <a:spLocks noChangeAspect="1" noChangeArrowheads="1"/>
        </xdr:cNvSpPr>
      </xdr:nvSpPr>
      <xdr:spPr bwMode="auto">
        <a:xfrm>
          <a:off x="0" y="52166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28" name="AutoShape 504" descr="https://www.soccerstats.com/img/own/sshplogo.png">
          <a:hlinkClick xmlns:r="http://schemas.openxmlformats.org/officeDocument/2006/relationships" r:id="rId252"/>
        </xdr:cNvPr>
        <xdr:cNvSpPr>
          <a:spLocks noChangeAspect="1" noChangeArrowheads="1"/>
        </xdr:cNvSpPr>
      </xdr:nvSpPr>
      <xdr:spPr bwMode="auto">
        <a:xfrm>
          <a:off x="13411200" y="52166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29" name="AutoShape 505" descr="FINLAND6"/>
        <xdr:cNvSpPr>
          <a:spLocks noChangeAspect="1" noChangeArrowheads="1"/>
        </xdr:cNvSpPr>
      </xdr:nvSpPr>
      <xdr:spPr bwMode="auto">
        <a:xfrm>
          <a:off x="0" y="52341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30" name="AutoShape 506" descr="https://www.soccerstats.com/img/own/sshplogo.png">
          <a:hlinkClick xmlns:r="http://schemas.openxmlformats.org/officeDocument/2006/relationships" r:id="rId253"/>
        </xdr:cNvPr>
        <xdr:cNvSpPr>
          <a:spLocks noChangeAspect="1" noChangeArrowheads="1"/>
        </xdr:cNvSpPr>
      </xdr:nvSpPr>
      <xdr:spPr bwMode="auto">
        <a:xfrm>
          <a:off x="13411200" y="52341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31" name="AutoShape 507" descr="GEORGIA"/>
        <xdr:cNvSpPr>
          <a:spLocks noChangeAspect="1" noChangeArrowheads="1"/>
        </xdr:cNvSpPr>
      </xdr:nvSpPr>
      <xdr:spPr bwMode="auto">
        <a:xfrm>
          <a:off x="0" y="52517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32" name="AutoShape 508" descr="https://www.soccerstats.com/img/own/sshplogo.png">
          <a:hlinkClick xmlns:r="http://schemas.openxmlformats.org/officeDocument/2006/relationships" r:id="rId254"/>
        </xdr:cNvPr>
        <xdr:cNvSpPr>
          <a:spLocks noChangeAspect="1" noChangeArrowheads="1"/>
        </xdr:cNvSpPr>
      </xdr:nvSpPr>
      <xdr:spPr bwMode="auto">
        <a:xfrm>
          <a:off x="13411200" y="52517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33" name="AutoShape 509" descr="GEORGIA"/>
        <xdr:cNvSpPr>
          <a:spLocks noChangeAspect="1" noChangeArrowheads="1"/>
        </xdr:cNvSpPr>
      </xdr:nvSpPr>
      <xdr:spPr bwMode="auto">
        <a:xfrm>
          <a:off x="0" y="52768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34" name="AutoShape 510" descr="https://www.soccerstats.com/img/own/sshplogo.png">
          <a:hlinkClick xmlns:r="http://schemas.openxmlformats.org/officeDocument/2006/relationships" r:id="rId255"/>
        </xdr:cNvPr>
        <xdr:cNvSpPr>
          <a:spLocks noChangeAspect="1" noChangeArrowheads="1"/>
        </xdr:cNvSpPr>
      </xdr:nvSpPr>
      <xdr:spPr bwMode="auto">
        <a:xfrm>
          <a:off x="13411200" y="5276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35" name="AutoShape 511" descr="GERMANY3"/>
        <xdr:cNvSpPr>
          <a:spLocks noChangeAspect="1" noChangeArrowheads="1"/>
        </xdr:cNvSpPr>
      </xdr:nvSpPr>
      <xdr:spPr bwMode="auto">
        <a:xfrm>
          <a:off x="0" y="53019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36" name="AutoShape 512" descr="https://www.soccerstats.com/img/own/sshplogo.png">
          <a:hlinkClick xmlns:r="http://schemas.openxmlformats.org/officeDocument/2006/relationships" r:id="rId256"/>
        </xdr:cNvPr>
        <xdr:cNvSpPr>
          <a:spLocks noChangeAspect="1" noChangeArrowheads="1"/>
        </xdr:cNvSpPr>
      </xdr:nvSpPr>
      <xdr:spPr bwMode="auto">
        <a:xfrm>
          <a:off x="13411200" y="53019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37" name="AutoShape 513" descr="GERMANY3"/>
        <xdr:cNvSpPr>
          <a:spLocks noChangeAspect="1" noChangeArrowheads="1"/>
        </xdr:cNvSpPr>
      </xdr:nvSpPr>
      <xdr:spPr bwMode="auto">
        <a:xfrm>
          <a:off x="0" y="53271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38" name="AutoShape 514" descr="https://www.soccerstats.com/img/own/sshplogo.png">
          <a:hlinkClick xmlns:r="http://schemas.openxmlformats.org/officeDocument/2006/relationships" r:id="rId257"/>
        </xdr:cNvPr>
        <xdr:cNvSpPr>
          <a:spLocks noChangeAspect="1" noChangeArrowheads="1"/>
        </xdr:cNvSpPr>
      </xdr:nvSpPr>
      <xdr:spPr bwMode="auto">
        <a:xfrm>
          <a:off x="13411200" y="53271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39" name="AutoShape 515" descr="GERMANY3"/>
        <xdr:cNvSpPr>
          <a:spLocks noChangeAspect="1" noChangeArrowheads="1"/>
        </xdr:cNvSpPr>
      </xdr:nvSpPr>
      <xdr:spPr bwMode="auto">
        <a:xfrm>
          <a:off x="0" y="53446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40" name="AutoShape 516" descr="https://www.soccerstats.com/img/own/sshplogo.png">
          <a:hlinkClick xmlns:r="http://schemas.openxmlformats.org/officeDocument/2006/relationships" r:id="rId258"/>
        </xdr:cNvPr>
        <xdr:cNvSpPr>
          <a:spLocks noChangeAspect="1" noChangeArrowheads="1"/>
        </xdr:cNvSpPr>
      </xdr:nvSpPr>
      <xdr:spPr bwMode="auto">
        <a:xfrm>
          <a:off x="13411200" y="53446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41" name="AutoShape 517" descr="GERMANY3"/>
        <xdr:cNvSpPr>
          <a:spLocks noChangeAspect="1" noChangeArrowheads="1"/>
        </xdr:cNvSpPr>
      </xdr:nvSpPr>
      <xdr:spPr bwMode="auto">
        <a:xfrm>
          <a:off x="0" y="53621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42" name="AutoShape 518" descr="https://www.soccerstats.com/img/own/sshplogo.png">
          <a:hlinkClick xmlns:r="http://schemas.openxmlformats.org/officeDocument/2006/relationships" r:id="rId259"/>
        </xdr:cNvPr>
        <xdr:cNvSpPr>
          <a:spLocks noChangeAspect="1" noChangeArrowheads="1"/>
        </xdr:cNvSpPr>
      </xdr:nvSpPr>
      <xdr:spPr bwMode="auto">
        <a:xfrm>
          <a:off x="13411200" y="53621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43" name="AutoShape 519" descr="GERMANY3"/>
        <xdr:cNvSpPr>
          <a:spLocks noChangeAspect="1" noChangeArrowheads="1"/>
        </xdr:cNvSpPr>
      </xdr:nvSpPr>
      <xdr:spPr bwMode="auto">
        <a:xfrm>
          <a:off x="0" y="5387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44" name="AutoShape 520" descr="https://www.soccerstats.com/img/own/sshplogo.png">
          <a:hlinkClick xmlns:r="http://schemas.openxmlformats.org/officeDocument/2006/relationships" r:id="rId260"/>
        </xdr:cNvPr>
        <xdr:cNvSpPr>
          <a:spLocks noChangeAspect="1" noChangeArrowheads="1"/>
        </xdr:cNvSpPr>
      </xdr:nvSpPr>
      <xdr:spPr bwMode="auto">
        <a:xfrm>
          <a:off x="13411200" y="5387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45" name="AutoShape 521" descr="GERMANY3"/>
        <xdr:cNvSpPr>
          <a:spLocks noChangeAspect="1" noChangeArrowheads="1"/>
        </xdr:cNvSpPr>
      </xdr:nvSpPr>
      <xdr:spPr bwMode="auto">
        <a:xfrm>
          <a:off x="0" y="5404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46" name="AutoShape 522" descr="https://www.soccerstats.com/img/own/sshplogo.png">
          <a:hlinkClick xmlns:r="http://schemas.openxmlformats.org/officeDocument/2006/relationships" r:id="rId261"/>
        </xdr:cNvPr>
        <xdr:cNvSpPr>
          <a:spLocks noChangeAspect="1" noChangeArrowheads="1"/>
        </xdr:cNvSpPr>
      </xdr:nvSpPr>
      <xdr:spPr bwMode="auto">
        <a:xfrm>
          <a:off x="13411200" y="5404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47" name="AutoShape 523" descr="GERMANY4"/>
        <xdr:cNvSpPr>
          <a:spLocks noChangeAspect="1" noChangeArrowheads="1"/>
        </xdr:cNvSpPr>
      </xdr:nvSpPr>
      <xdr:spPr bwMode="auto">
        <a:xfrm>
          <a:off x="0" y="54300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48" name="AutoShape 524" descr="https://www.soccerstats.com/img/own/sshplogo.png">
          <a:hlinkClick xmlns:r="http://schemas.openxmlformats.org/officeDocument/2006/relationships" r:id="rId262"/>
        </xdr:cNvPr>
        <xdr:cNvSpPr>
          <a:spLocks noChangeAspect="1" noChangeArrowheads="1"/>
        </xdr:cNvSpPr>
      </xdr:nvSpPr>
      <xdr:spPr bwMode="auto">
        <a:xfrm>
          <a:off x="13411200" y="54300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49" name="AutoShape 525" descr="GERMANY4"/>
        <xdr:cNvSpPr>
          <a:spLocks noChangeAspect="1" noChangeArrowheads="1"/>
        </xdr:cNvSpPr>
      </xdr:nvSpPr>
      <xdr:spPr bwMode="auto">
        <a:xfrm>
          <a:off x="0" y="54475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50" name="AutoShape 526" descr="https://www.soccerstats.com/img/own/sshplogo.png">
          <a:hlinkClick xmlns:r="http://schemas.openxmlformats.org/officeDocument/2006/relationships" r:id="rId263"/>
        </xdr:cNvPr>
        <xdr:cNvSpPr>
          <a:spLocks noChangeAspect="1" noChangeArrowheads="1"/>
        </xdr:cNvSpPr>
      </xdr:nvSpPr>
      <xdr:spPr bwMode="auto">
        <a:xfrm>
          <a:off x="13411200" y="54475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51" name="AutoShape 527" descr="GERMANY4"/>
        <xdr:cNvSpPr>
          <a:spLocks noChangeAspect="1" noChangeArrowheads="1"/>
        </xdr:cNvSpPr>
      </xdr:nvSpPr>
      <xdr:spPr bwMode="auto">
        <a:xfrm>
          <a:off x="0" y="54726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52" name="AutoShape 528" descr="https://www.soccerstats.com/img/own/sshplogo.png">
          <a:hlinkClick xmlns:r="http://schemas.openxmlformats.org/officeDocument/2006/relationships" r:id="rId264"/>
        </xdr:cNvPr>
        <xdr:cNvSpPr>
          <a:spLocks noChangeAspect="1" noChangeArrowheads="1"/>
        </xdr:cNvSpPr>
      </xdr:nvSpPr>
      <xdr:spPr bwMode="auto">
        <a:xfrm>
          <a:off x="13411200" y="54726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53" name="AutoShape 529" descr="GERMANY4"/>
        <xdr:cNvSpPr>
          <a:spLocks noChangeAspect="1" noChangeArrowheads="1"/>
        </xdr:cNvSpPr>
      </xdr:nvSpPr>
      <xdr:spPr bwMode="auto">
        <a:xfrm>
          <a:off x="0" y="54902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54" name="AutoShape 530" descr="https://www.soccerstats.com/img/own/sshplogo.png">
          <a:hlinkClick xmlns:r="http://schemas.openxmlformats.org/officeDocument/2006/relationships" r:id="rId265"/>
        </xdr:cNvPr>
        <xdr:cNvSpPr>
          <a:spLocks noChangeAspect="1" noChangeArrowheads="1"/>
        </xdr:cNvSpPr>
      </xdr:nvSpPr>
      <xdr:spPr bwMode="auto">
        <a:xfrm>
          <a:off x="13411200" y="54902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55" name="AutoShape 531" descr="GERMANY5"/>
        <xdr:cNvSpPr>
          <a:spLocks noChangeAspect="1" noChangeArrowheads="1"/>
        </xdr:cNvSpPr>
      </xdr:nvSpPr>
      <xdr:spPr bwMode="auto">
        <a:xfrm>
          <a:off x="0" y="55153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56" name="AutoShape 532" descr="https://www.soccerstats.com/img/own/sshplogo.png">
          <a:hlinkClick xmlns:r="http://schemas.openxmlformats.org/officeDocument/2006/relationships" r:id="rId266"/>
        </xdr:cNvPr>
        <xdr:cNvSpPr>
          <a:spLocks noChangeAspect="1" noChangeArrowheads="1"/>
        </xdr:cNvSpPr>
      </xdr:nvSpPr>
      <xdr:spPr bwMode="auto">
        <a:xfrm>
          <a:off x="13411200" y="55153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57" name="AutoShape 533" descr="GERMANY5"/>
        <xdr:cNvSpPr>
          <a:spLocks noChangeAspect="1" noChangeArrowheads="1"/>
        </xdr:cNvSpPr>
      </xdr:nvSpPr>
      <xdr:spPr bwMode="auto">
        <a:xfrm>
          <a:off x="0" y="55328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58" name="AutoShape 534" descr="https://www.soccerstats.com/img/own/sshplogo.png">
          <a:hlinkClick xmlns:r="http://schemas.openxmlformats.org/officeDocument/2006/relationships" r:id="rId267"/>
        </xdr:cNvPr>
        <xdr:cNvSpPr>
          <a:spLocks noChangeAspect="1" noChangeArrowheads="1"/>
        </xdr:cNvSpPr>
      </xdr:nvSpPr>
      <xdr:spPr bwMode="auto">
        <a:xfrm>
          <a:off x="13411200" y="55328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59" name="AutoShape 535" descr="GERMANY5"/>
        <xdr:cNvSpPr>
          <a:spLocks noChangeAspect="1" noChangeArrowheads="1"/>
        </xdr:cNvSpPr>
      </xdr:nvSpPr>
      <xdr:spPr bwMode="auto">
        <a:xfrm>
          <a:off x="0" y="55504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60" name="AutoShape 536" descr="https://www.soccerstats.com/img/own/sshplogo.png">
          <a:hlinkClick xmlns:r="http://schemas.openxmlformats.org/officeDocument/2006/relationships" r:id="rId268"/>
        </xdr:cNvPr>
        <xdr:cNvSpPr>
          <a:spLocks noChangeAspect="1" noChangeArrowheads="1"/>
        </xdr:cNvSpPr>
      </xdr:nvSpPr>
      <xdr:spPr bwMode="auto">
        <a:xfrm>
          <a:off x="13411200" y="55504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61" name="AutoShape 537" descr="GERMANY6"/>
        <xdr:cNvSpPr>
          <a:spLocks noChangeAspect="1" noChangeArrowheads="1"/>
        </xdr:cNvSpPr>
      </xdr:nvSpPr>
      <xdr:spPr bwMode="auto">
        <a:xfrm>
          <a:off x="0" y="55755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62" name="AutoShape 538" descr="https://www.soccerstats.com/img/own/sshplogo.png">
          <a:hlinkClick xmlns:r="http://schemas.openxmlformats.org/officeDocument/2006/relationships" r:id="rId269"/>
        </xdr:cNvPr>
        <xdr:cNvSpPr>
          <a:spLocks noChangeAspect="1" noChangeArrowheads="1"/>
        </xdr:cNvSpPr>
      </xdr:nvSpPr>
      <xdr:spPr bwMode="auto">
        <a:xfrm>
          <a:off x="13411200" y="55755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63" name="AutoShape 539" descr="GERMANY6"/>
        <xdr:cNvSpPr>
          <a:spLocks noChangeAspect="1" noChangeArrowheads="1"/>
        </xdr:cNvSpPr>
      </xdr:nvSpPr>
      <xdr:spPr bwMode="auto">
        <a:xfrm>
          <a:off x="0" y="55930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64" name="AutoShape 540" descr="https://www.soccerstats.com/img/own/sshplogo.png">
          <a:hlinkClick xmlns:r="http://schemas.openxmlformats.org/officeDocument/2006/relationships" r:id="rId270"/>
        </xdr:cNvPr>
        <xdr:cNvSpPr>
          <a:spLocks noChangeAspect="1" noChangeArrowheads="1"/>
        </xdr:cNvSpPr>
      </xdr:nvSpPr>
      <xdr:spPr bwMode="auto">
        <a:xfrm>
          <a:off x="13411200" y="559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65" name="AutoShape 541" descr="GERMANY6"/>
        <xdr:cNvSpPr>
          <a:spLocks noChangeAspect="1" noChangeArrowheads="1"/>
        </xdr:cNvSpPr>
      </xdr:nvSpPr>
      <xdr:spPr bwMode="auto">
        <a:xfrm>
          <a:off x="0" y="5610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66" name="AutoShape 542" descr="https://www.soccerstats.com/img/own/sshplogo.png">
          <a:hlinkClick xmlns:r="http://schemas.openxmlformats.org/officeDocument/2006/relationships" r:id="rId271"/>
        </xdr:cNvPr>
        <xdr:cNvSpPr>
          <a:spLocks noChangeAspect="1" noChangeArrowheads="1"/>
        </xdr:cNvSpPr>
      </xdr:nvSpPr>
      <xdr:spPr bwMode="auto">
        <a:xfrm>
          <a:off x="13411200" y="56106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67" name="AutoShape 543" descr="GERMANY6"/>
        <xdr:cNvSpPr>
          <a:spLocks noChangeAspect="1" noChangeArrowheads="1"/>
        </xdr:cNvSpPr>
      </xdr:nvSpPr>
      <xdr:spPr bwMode="auto">
        <a:xfrm>
          <a:off x="0" y="56357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68" name="AutoShape 544" descr="https://www.soccerstats.com/img/own/sshplogo.png">
          <a:hlinkClick xmlns:r="http://schemas.openxmlformats.org/officeDocument/2006/relationships" r:id="rId272"/>
        </xdr:cNvPr>
        <xdr:cNvSpPr>
          <a:spLocks noChangeAspect="1" noChangeArrowheads="1"/>
        </xdr:cNvSpPr>
      </xdr:nvSpPr>
      <xdr:spPr bwMode="auto">
        <a:xfrm>
          <a:off x="13411200" y="56357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69" name="AutoShape 545" descr="GERMANY7"/>
        <xdr:cNvSpPr>
          <a:spLocks noChangeAspect="1" noChangeArrowheads="1"/>
        </xdr:cNvSpPr>
      </xdr:nvSpPr>
      <xdr:spPr bwMode="auto">
        <a:xfrm>
          <a:off x="0" y="56608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70" name="AutoShape 546" descr="https://www.soccerstats.com/img/own/sshplogo.png">
          <a:hlinkClick xmlns:r="http://schemas.openxmlformats.org/officeDocument/2006/relationships" r:id="rId273"/>
        </xdr:cNvPr>
        <xdr:cNvSpPr>
          <a:spLocks noChangeAspect="1" noChangeArrowheads="1"/>
        </xdr:cNvSpPr>
      </xdr:nvSpPr>
      <xdr:spPr bwMode="auto">
        <a:xfrm>
          <a:off x="13411200" y="56608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71" name="AutoShape 547" descr="GERMANY7"/>
        <xdr:cNvSpPr>
          <a:spLocks noChangeAspect="1" noChangeArrowheads="1"/>
        </xdr:cNvSpPr>
      </xdr:nvSpPr>
      <xdr:spPr bwMode="auto">
        <a:xfrm>
          <a:off x="0" y="56784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72" name="AutoShape 548" descr="https://www.soccerstats.com/img/own/sshplogo.png">
          <a:hlinkClick xmlns:r="http://schemas.openxmlformats.org/officeDocument/2006/relationships" r:id="rId274"/>
        </xdr:cNvPr>
        <xdr:cNvSpPr>
          <a:spLocks noChangeAspect="1" noChangeArrowheads="1"/>
        </xdr:cNvSpPr>
      </xdr:nvSpPr>
      <xdr:spPr bwMode="auto">
        <a:xfrm>
          <a:off x="13411200" y="56784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73" name="AutoShape 549" descr="GERMANY7"/>
        <xdr:cNvSpPr>
          <a:spLocks noChangeAspect="1" noChangeArrowheads="1"/>
        </xdr:cNvSpPr>
      </xdr:nvSpPr>
      <xdr:spPr bwMode="auto">
        <a:xfrm>
          <a:off x="0" y="5695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74" name="AutoShape 550" descr="https://www.soccerstats.com/img/own/sshplogo.png">
          <a:hlinkClick xmlns:r="http://schemas.openxmlformats.org/officeDocument/2006/relationships" r:id="rId275"/>
        </xdr:cNvPr>
        <xdr:cNvSpPr>
          <a:spLocks noChangeAspect="1" noChangeArrowheads="1"/>
        </xdr:cNvSpPr>
      </xdr:nvSpPr>
      <xdr:spPr bwMode="auto">
        <a:xfrm>
          <a:off x="13411200" y="5695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75" name="AutoShape 551" descr="GERMANY7"/>
        <xdr:cNvSpPr>
          <a:spLocks noChangeAspect="1" noChangeArrowheads="1"/>
        </xdr:cNvSpPr>
      </xdr:nvSpPr>
      <xdr:spPr bwMode="auto">
        <a:xfrm>
          <a:off x="0" y="57210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76" name="AutoShape 552" descr="https://www.soccerstats.com/img/own/sshplogo.png">
          <a:hlinkClick xmlns:r="http://schemas.openxmlformats.org/officeDocument/2006/relationships" r:id="rId276"/>
        </xdr:cNvPr>
        <xdr:cNvSpPr>
          <a:spLocks noChangeAspect="1" noChangeArrowheads="1"/>
        </xdr:cNvSpPr>
      </xdr:nvSpPr>
      <xdr:spPr bwMode="auto">
        <a:xfrm>
          <a:off x="13411200" y="57210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77" name="AutoShape 553" descr="GERMANY7"/>
        <xdr:cNvSpPr>
          <a:spLocks noChangeAspect="1" noChangeArrowheads="1"/>
        </xdr:cNvSpPr>
      </xdr:nvSpPr>
      <xdr:spPr bwMode="auto">
        <a:xfrm>
          <a:off x="0" y="5738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78" name="AutoShape 554" descr="https://www.soccerstats.com/img/own/sshplogo.png">
          <a:hlinkClick xmlns:r="http://schemas.openxmlformats.org/officeDocument/2006/relationships" r:id="rId277"/>
        </xdr:cNvPr>
        <xdr:cNvSpPr>
          <a:spLocks noChangeAspect="1" noChangeArrowheads="1"/>
        </xdr:cNvSpPr>
      </xdr:nvSpPr>
      <xdr:spPr bwMode="auto">
        <a:xfrm>
          <a:off x="13411200" y="5738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79" name="AutoShape 555" descr="GUATEMALA"/>
        <xdr:cNvSpPr>
          <a:spLocks noChangeAspect="1" noChangeArrowheads="1"/>
        </xdr:cNvSpPr>
      </xdr:nvSpPr>
      <xdr:spPr bwMode="auto">
        <a:xfrm>
          <a:off x="0" y="57561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80" name="AutoShape 556" descr="https://www.soccerstats.com/img/own/sshplogo.png">
          <a:hlinkClick xmlns:r="http://schemas.openxmlformats.org/officeDocument/2006/relationships" r:id="rId278"/>
        </xdr:cNvPr>
        <xdr:cNvSpPr>
          <a:spLocks noChangeAspect="1" noChangeArrowheads="1"/>
        </xdr:cNvSpPr>
      </xdr:nvSpPr>
      <xdr:spPr bwMode="auto">
        <a:xfrm>
          <a:off x="13411200" y="57561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81" name="AutoShape 557" descr="GUATEMALA"/>
        <xdr:cNvSpPr>
          <a:spLocks noChangeAspect="1" noChangeArrowheads="1"/>
        </xdr:cNvSpPr>
      </xdr:nvSpPr>
      <xdr:spPr bwMode="auto">
        <a:xfrm>
          <a:off x="0" y="57812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82" name="AutoShape 558" descr="https://www.soccerstats.com/img/own/sshplogo.png">
          <a:hlinkClick xmlns:r="http://schemas.openxmlformats.org/officeDocument/2006/relationships" r:id="rId279"/>
        </xdr:cNvPr>
        <xdr:cNvSpPr>
          <a:spLocks noChangeAspect="1" noChangeArrowheads="1"/>
        </xdr:cNvSpPr>
      </xdr:nvSpPr>
      <xdr:spPr bwMode="auto">
        <a:xfrm>
          <a:off x="13411200" y="57812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83" name="AutoShape 559" descr="HUNGARY"/>
        <xdr:cNvSpPr>
          <a:spLocks noChangeAspect="1" noChangeArrowheads="1"/>
        </xdr:cNvSpPr>
      </xdr:nvSpPr>
      <xdr:spPr bwMode="auto">
        <a:xfrm>
          <a:off x="0" y="57988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84" name="AutoShape 560" descr="https://www.soccerstats.com/img/own/sshplogo.png">
          <a:hlinkClick xmlns:r="http://schemas.openxmlformats.org/officeDocument/2006/relationships" r:id="rId280"/>
        </xdr:cNvPr>
        <xdr:cNvSpPr>
          <a:spLocks noChangeAspect="1" noChangeArrowheads="1"/>
        </xdr:cNvSpPr>
      </xdr:nvSpPr>
      <xdr:spPr bwMode="auto">
        <a:xfrm>
          <a:off x="13411200" y="57988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85" name="AutoShape 561" descr="HUNGARY"/>
        <xdr:cNvSpPr>
          <a:spLocks noChangeAspect="1" noChangeArrowheads="1"/>
        </xdr:cNvSpPr>
      </xdr:nvSpPr>
      <xdr:spPr bwMode="auto">
        <a:xfrm>
          <a:off x="0" y="58239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86" name="AutoShape 562" descr="https://www.soccerstats.com/img/own/sshplogo.png">
          <a:hlinkClick xmlns:r="http://schemas.openxmlformats.org/officeDocument/2006/relationships" r:id="rId281"/>
        </xdr:cNvPr>
        <xdr:cNvSpPr>
          <a:spLocks noChangeAspect="1" noChangeArrowheads="1"/>
        </xdr:cNvSpPr>
      </xdr:nvSpPr>
      <xdr:spPr bwMode="auto">
        <a:xfrm>
          <a:off x="13411200" y="58239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87" name="AutoShape 563" descr="HUNGARY2"/>
        <xdr:cNvSpPr>
          <a:spLocks noChangeAspect="1" noChangeArrowheads="1"/>
        </xdr:cNvSpPr>
      </xdr:nvSpPr>
      <xdr:spPr bwMode="auto">
        <a:xfrm>
          <a:off x="0" y="58414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88" name="AutoShape 564" descr="https://www.soccerstats.com/img/own/sshplogo.png">
          <a:hlinkClick xmlns:r="http://schemas.openxmlformats.org/officeDocument/2006/relationships" r:id="rId282"/>
        </xdr:cNvPr>
        <xdr:cNvSpPr>
          <a:spLocks noChangeAspect="1" noChangeArrowheads="1"/>
        </xdr:cNvSpPr>
      </xdr:nvSpPr>
      <xdr:spPr bwMode="auto">
        <a:xfrm>
          <a:off x="13411200" y="58414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89" name="AutoShape 565" descr="HUNGARY2"/>
        <xdr:cNvSpPr>
          <a:spLocks noChangeAspect="1" noChangeArrowheads="1"/>
        </xdr:cNvSpPr>
      </xdr:nvSpPr>
      <xdr:spPr bwMode="auto">
        <a:xfrm>
          <a:off x="0" y="58590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90" name="AutoShape 566" descr="https://www.soccerstats.com/img/own/sshplogo.png">
          <a:hlinkClick xmlns:r="http://schemas.openxmlformats.org/officeDocument/2006/relationships" r:id="rId283"/>
        </xdr:cNvPr>
        <xdr:cNvSpPr>
          <a:spLocks noChangeAspect="1" noChangeArrowheads="1"/>
        </xdr:cNvSpPr>
      </xdr:nvSpPr>
      <xdr:spPr bwMode="auto">
        <a:xfrm>
          <a:off x="13411200" y="58590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91" name="AutoShape 567" descr="HUNGARY2"/>
        <xdr:cNvSpPr>
          <a:spLocks noChangeAspect="1" noChangeArrowheads="1"/>
        </xdr:cNvSpPr>
      </xdr:nvSpPr>
      <xdr:spPr bwMode="auto">
        <a:xfrm>
          <a:off x="0" y="58765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92" name="AutoShape 568" descr="https://www.soccerstats.com/img/own/sshplogo.png">
          <a:hlinkClick xmlns:r="http://schemas.openxmlformats.org/officeDocument/2006/relationships" r:id="rId284"/>
        </xdr:cNvPr>
        <xdr:cNvSpPr>
          <a:spLocks noChangeAspect="1" noChangeArrowheads="1"/>
        </xdr:cNvSpPr>
      </xdr:nvSpPr>
      <xdr:spPr bwMode="auto">
        <a:xfrm>
          <a:off x="13411200" y="58765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93" name="AutoShape 569" descr="HUNGARY2"/>
        <xdr:cNvSpPr>
          <a:spLocks noChangeAspect="1" noChangeArrowheads="1"/>
        </xdr:cNvSpPr>
      </xdr:nvSpPr>
      <xdr:spPr bwMode="auto">
        <a:xfrm>
          <a:off x="0" y="59016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94" name="AutoShape 570" descr="https://www.soccerstats.com/img/own/sshplogo.png">
          <a:hlinkClick xmlns:r="http://schemas.openxmlformats.org/officeDocument/2006/relationships" r:id="rId285"/>
        </xdr:cNvPr>
        <xdr:cNvSpPr>
          <a:spLocks noChangeAspect="1" noChangeArrowheads="1"/>
        </xdr:cNvSpPr>
      </xdr:nvSpPr>
      <xdr:spPr bwMode="auto">
        <a:xfrm>
          <a:off x="13411200" y="59016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95" name="AutoShape 571" descr="HUNGARY2"/>
        <xdr:cNvSpPr>
          <a:spLocks noChangeAspect="1" noChangeArrowheads="1"/>
        </xdr:cNvSpPr>
      </xdr:nvSpPr>
      <xdr:spPr bwMode="auto">
        <a:xfrm>
          <a:off x="0" y="59192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96" name="AutoShape 572" descr="https://www.soccerstats.com/img/own/sshplogo.png">
          <a:hlinkClick xmlns:r="http://schemas.openxmlformats.org/officeDocument/2006/relationships" r:id="rId286"/>
        </xdr:cNvPr>
        <xdr:cNvSpPr>
          <a:spLocks noChangeAspect="1" noChangeArrowheads="1"/>
        </xdr:cNvSpPr>
      </xdr:nvSpPr>
      <xdr:spPr bwMode="auto">
        <a:xfrm>
          <a:off x="13411200" y="59192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97" name="AutoShape 573" descr="HUNGARY2"/>
        <xdr:cNvSpPr>
          <a:spLocks noChangeAspect="1" noChangeArrowheads="1"/>
        </xdr:cNvSpPr>
      </xdr:nvSpPr>
      <xdr:spPr bwMode="auto">
        <a:xfrm>
          <a:off x="0" y="59443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598" name="AutoShape 574" descr="https://www.soccerstats.com/img/own/sshplogo.png">
          <a:hlinkClick xmlns:r="http://schemas.openxmlformats.org/officeDocument/2006/relationships" r:id="rId287"/>
        </xdr:cNvPr>
        <xdr:cNvSpPr>
          <a:spLocks noChangeAspect="1" noChangeArrowheads="1"/>
        </xdr:cNvSpPr>
      </xdr:nvSpPr>
      <xdr:spPr bwMode="auto">
        <a:xfrm>
          <a:off x="13411200" y="59443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599" name="AutoShape 575" descr="ICELAND"/>
        <xdr:cNvSpPr>
          <a:spLocks noChangeAspect="1" noChangeArrowheads="1"/>
        </xdr:cNvSpPr>
      </xdr:nvSpPr>
      <xdr:spPr bwMode="auto">
        <a:xfrm>
          <a:off x="0" y="59618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00" name="AutoShape 576" descr="https://www.soccerstats.com/img/own/sshplogo.png">
          <a:hlinkClick xmlns:r="http://schemas.openxmlformats.org/officeDocument/2006/relationships" r:id="rId288"/>
        </xdr:cNvPr>
        <xdr:cNvSpPr>
          <a:spLocks noChangeAspect="1" noChangeArrowheads="1"/>
        </xdr:cNvSpPr>
      </xdr:nvSpPr>
      <xdr:spPr bwMode="auto">
        <a:xfrm>
          <a:off x="13411200" y="59618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01" name="AutoShape 577" descr="ICELAND3"/>
        <xdr:cNvSpPr>
          <a:spLocks noChangeAspect="1" noChangeArrowheads="1"/>
        </xdr:cNvSpPr>
      </xdr:nvSpPr>
      <xdr:spPr bwMode="auto">
        <a:xfrm>
          <a:off x="0" y="59794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02" name="AutoShape 578" descr="https://www.soccerstats.com/img/own/sshplogo.png">
          <a:hlinkClick xmlns:r="http://schemas.openxmlformats.org/officeDocument/2006/relationships" r:id="rId289"/>
        </xdr:cNvPr>
        <xdr:cNvSpPr>
          <a:spLocks noChangeAspect="1" noChangeArrowheads="1"/>
        </xdr:cNvSpPr>
      </xdr:nvSpPr>
      <xdr:spPr bwMode="auto">
        <a:xfrm>
          <a:off x="13411200" y="59794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03" name="AutoShape 579" descr="ICELAND3"/>
        <xdr:cNvSpPr>
          <a:spLocks noChangeAspect="1" noChangeArrowheads="1"/>
        </xdr:cNvSpPr>
      </xdr:nvSpPr>
      <xdr:spPr bwMode="auto">
        <a:xfrm>
          <a:off x="0" y="59969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04" name="AutoShape 580" descr="https://www.soccerstats.com/img/own/sshplogo.png">
          <a:hlinkClick xmlns:r="http://schemas.openxmlformats.org/officeDocument/2006/relationships" r:id="rId290"/>
        </xdr:cNvPr>
        <xdr:cNvSpPr>
          <a:spLocks noChangeAspect="1" noChangeArrowheads="1"/>
        </xdr:cNvSpPr>
      </xdr:nvSpPr>
      <xdr:spPr bwMode="auto">
        <a:xfrm>
          <a:off x="13411200" y="5996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05" name="AutoShape 581" descr="ICELAND3"/>
        <xdr:cNvSpPr>
          <a:spLocks noChangeAspect="1" noChangeArrowheads="1"/>
        </xdr:cNvSpPr>
      </xdr:nvSpPr>
      <xdr:spPr bwMode="auto">
        <a:xfrm>
          <a:off x="0" y="60144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06" name="AutoShape 582" descr="https://www.soccerstats.com/img/own/sshplogo.png">
          <a:hlinkClick xmlns:r="http://schemas.openxmlformats.org/officeDocument/2006/relationships" r:id="rId291"/>
        </xdr:cNvPr>
        <xdr:cNvSpPr>
          <a:spLocks noChangeAspect="1" noChangeArrowheads="1"/>
        </xdr:cNvSpPr>
      </xdr:nvSpPr>
      <xdr:spPr bwMode="auto">
        <a:xfrm>
          <a:off x="13411200" y="60144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07" name="AutoShape 583" descr="ICELAND3"/>
        <xdr:cNvSpPr>
          <a:spLocks noChangeAspect="1" noChangeArrowheads="1"/>
        </xdr:cNvSpPr>
      </xdr:nvSpPr>
      <xdr:spPr bwMode="auto">
        <a:xfrm>
          <a:off x="0" y="60396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08" name="AutoShape 584" descr="https://www.soccerstats.com/img/own/sshplogo.png">
          <a:hlinkClick xmlns:r="http://schemas.openxmlformats.org/officeDocument/2006/relationships" r:id="rId292"/>
        </xdr:cNvPr>
        <xdr:cNvSpPr>
          <a:spLocks noChangeAspect="1" noChangeArrowheads="1"/>
        </xdr:cNvSpPr>
      </xdr:nvSpPr>
      <xdr:spPr bwMode="auto">
        <a:xfrm>
          <a:off x="13411200" y="60396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09" name="AutoShape 585" descr="ICELAND3"/>
        <xdr:cNvSpPr>
          <a:spLocks noChangeAspect="1" noChangeArrowheads="1"/>
        </xdr:cNvSpPr>
      </xdr:nvSpPr>
      <xdr:spPr bwMode="auto">
        <a:xfrm>
          <a:off x="0" y="60571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10" name="AutoShape 586" descr="https://www.soccerstats.com/img/own/sshplogo.png">
          <a:hlinkClick xmlns:r="http://schemas.openxmlformats.org/officeDocument/2006/relationships" r:id="rId293"/>
        </xdr:cNvPr>
        <xdr:cNvSpPr>
          <a:spLocks noChangeAspect="1" noChangeArrowheads="1"/>
        </xdr:cNvSpPr>
      </xdr:nvSpPr>
      <xdr:spPr bwMode="auto">
        <a:xfrm>
          <a:off x="13411200" y="60571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11" name="AutoShape 587" descr="IRELAND3"/>
        <xdr:cNvSpPr>
          <a:spLocks noChangeAspect="1" noChangeArrowheads="1"/>
        </xdr:cNvSpPr>
      </xdr:nvSpPr>
      <xdr:spPr bwMode="auto">
        <a:xfrm>
          <a:off x="0" y="60822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12" name="AutoShape 588" descr="https://www.soccerstats.com/img/own/sshplogo.png">
          <a:hlinkClick xmlns:r="http://schemas.openxmlformats.org/officeDocument/2006/relationships" r:id="rId294"/>
        </xdr:cNvPr>
        <xdr:cNvSpPr>
          <a:spLocks noChangeAspect="1" noChangeArrowheads="1"/>
        </xdr:cNvSpPr>
      </xdr:nvSpPr>
      <xdr:spPr bwMode="auto">
        <a:xfrm>
          <a:off x="13411200" y="60822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13" name="AutoShape 589" descr="IRELAND3"/>
        <xdr:cNvSpPr>
          <a:spLocks noChangeAspect="1" noChangeArrowheads="1"/>
        </xdr:cNvSpPr>
      </xdr:nvSpPr>
      <xdr:spPr bwMode="auto">
        <a:xfrm>
          <a:off x="0" y="60998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14" name="AutoShape 590" descr="https://www.soccerstats.com/img/own/sshplogo.png">
          <a:hlinkClick xmlns:r="http://schemas.openxmlformats.org/officeDocument/2006/relationships" r:id="rId295"/>
        </xdr:cNvPr>
        <xdr:cNvSpPr>
          <a:spLocks noChangeAspect="1" noChangeArrowheads="1"/>
        </xdr:cNvSpPr>
      </xdr:nvSpPr>
      <xdr:spPr bwMode="auto">
        <a:xfrm>
          <a:off x="13411200" y="60998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15" name="AutoShape 591" descr="IRELAND3"/>
        <xdr:cNvSpPr>
          <a:spLocks noChangeAspect="1" noChangeArrowheads="1"/>
        </xdr:cNvSpPr>
      </xdr:nvSpPr>
      <xdr:spPr bwMode="auto">
        <a:xfrm>
          <a:off x="0" y="61249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16" name="AutoShape 592" descr="https://www.soccerstats.com/img/own/sshplogo.png">
          <a:hlinkClick xmlns:r="http://schemas.openxmlformats.org/officeDocument/2006/relationships" r:id="rId296"/>
        </xdr:cNvPr>
        <xdr:cNvSpPr>
          <a:spLocks noChangeAspect="1" noChangeArrowheads="1"/>
        </xdr:cNvSpPr>
      </xdr:nvSpPr>
      <xdr:spPr bwMode="auto">
        <a:xfrm>
          <a:off x="13411200" y="61249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17" name="AutoShape 593" descr="IRELAND3"/>
        <xdr:cNvSpPr>
          <a:spLocks noChangeAspect="1" noChangeArrowheads="1"/>
        </xdr:cNvSpPr>
      </xdr:nvSpPr>
      <xdr:spPr bwMode="auto">
        <a:xfrm>
          <a:off x="0" y="61501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18" name="AutoShape 594" descr="https://www.soccerstats.com/img/own/sshplogo.png">
          <a:hlinkClick xmlns:r="http://schemas.openxmlformats.org/officeDocument/2006/relationships" r:id="rId297"/>
        </xdr:cNvPr>
        <xdr:cNvSpPr>
          <a:spLocks noChangeAspect="1" noChangeArrowheads="1"/>
        </xdr:cNvSpPr>
      </xdr:nvSpPr>
      <xdr:spPr bwMode="auto">
        <a:xfrm>
          <a:off x="13411200" y="61501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19" name="AutoShape 595" descr="IRELAND3"/>
        <xdr:cNvSpPr>
          <a:spLocks noChangeAspect="1" noChangeArrowheads="1"/>
        </xdr:cNvSpPr>
      </xdr:nvSpPr>
      <xdr:spPr bwMode="auto">
        <a:xfrm>
          <a:off x="0" y="61752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20" name="AutoShape 596" descr="https://www.soccerstats.com/img/own/sshplogo.png">
          <a:hlinkClick xmlns:r="http://schemas.openxmlformats.org/officeDocument/2006/relationships" r:id="rId298"/>
        </xdr:cNvPr>
        <xdr:cNvSpPr>
          <a:spLocks noChangeAspect="1" noChangeArrowheads="1"/>
        </xdr:cNvSpPr>
      </xdr:nvSpPr>
      <xdr:spPr bwMode="auto">
        <a:xfrm>
          <a:off x="13411200" y="61752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21" name="AutoShape 597" descr="IRELAND3"/>
        <xdr:cNvSpPr>
          <a:spLocks noChangeAspect="1" noChangeArrowheads="1"/>
        </xdr:cNvSpPr>
      </xdr:nvSpPr>
      <xdr:spPr bwMode="auto">
        <a:xfrm>
          <a:off x="0" y="61927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22" name="AutoShape 598" descr="https://www.soccerstats.com/img/own/sshplogo.png">
          <a:hlinkClick xmlns:r="http://schemas.openxmlformats.org/officeDocument/2006/relationships" r:id="rId299"/>
        </xdr:cNvPr>
        <xdr:cNvSpPr>
          <a:spLocks noChangeAspect="1" noChangeArrowheads="1"/>
        </xdr:cNvSpPr>
      </xdr:nvSpPr>
      <xdr:spPr bwMode="auto">
        <a:xfrm>
          <a:off x="13411200" y="61927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23" name="AutoShape 599" descr="JAPAN"/>
        <xdr:cNvSpPr>
          <a:spLocks noChangeAspect="1" noChangeArrowheads="1"/>
        </xdr:cNvSpPr>
      </xdr:nvSpPr>
      <xdr:spPr bwMode="auto">
        <a:xfrm>
          <a:off x="0" y="62179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24" name="AutoShape 600" descr="https://www.soccerstats.com/img/own/sshplogo.png">
          <a:hlinkClick xmlns:r="http://schemas.openxmlformats.org/officeDocument/2006/relationships" r:id="rId300"/>
        </xdr:cNvPr>
        <xdr:cNvSpPr>
          <a:spLocks noChangeAspect="1" noChangeArrowheads="1"/>
        </xdr:cNvSpPr>
      </xdr:nvSpPr>
      <xdr:spPr bwMode="auto">
        <a:xfrm>
          <a:off x="13411200" y="6217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25" name="AutoShape 601" descr="JAPAN"/>
        <xdr:cNvSpPr>
          <a:spLocks noChangeAspect="1" noChangeArrowheads="1"/>
        </xdr:cNvSpPr>
      </xdr:nvSpPr>
      <xdr:spPr bwMode="auto">
        <a:xfrm>
          <a:off x="0" y="62430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26" name="AutoShape 602" descr="https://www.soccerstats.com/img/own/sshplogo.png">
          <a:hlinkClick xmlns:r="http://schemas.openxmlformats.org/officeDocument/2006/relationships" r:id="rId301"/>
        </xdr:cNvPr>
        <xdr:cNvSpPr>
          <a:spLocks noChangeAspect="1" noChangeArrowheads="1"/>
        </xdr:cNvSpPr>
      </xdr:nvSpPr>
      <xdr:spPr bwMode="auto">
        <a:xfrm>
          <a:off x="13411200" y="62430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27" name="AutoShape 603" descr="JAPAN"/>
        <xdr:cNvSpPr>
          <a:spLocks noChangeAspect="1" noChangeArrowheads="1"/>
        </xdr:cNvSpPr>
      </xdr:nvSpPr>
      <xdr:spPr bwMode="auto">
        <a:xfrm>
          <a:off x="0" y="62682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28" name="AutoShape 604" descr="https://www.soccerstats.com/img/own/sshplogo.png">
          <a:hlinkClick xmlns:r="http://schemas.openxmlformats.org/officeDocument/2006/relationships" r:id="rId302"/>
        </xdr:cNvPr>
        <xdr:cNvSpPr>
          <a:spLocks noChangeAspect="1" noChangeArrowheads="1"/>
        </xdr:cNvSpPr>
      </xdr:nvSpPr>
      <xdr:spPr bwMode="auto">
        <a:xfrm>
          <a:off x="13411200" y="62682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29" name="AutoShape 605" descr="JAPAN"/>
        <xdr:cNvSpPr>
          <a:spLocks noChangeAspect="1" noChangeArrowheads="1"/>
        </xdr:cNvSpPr>
      </xdr:nvSpPr>
      <xdr:spPr bwMode="auto">
        <a:xfrm>
          <a:off x="0" y="62933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30" name="AutoShape 606" descr="https://www.soccerstats.com/img/own/sshplogo.png">
          <a:hlinkClick xmlns:r="http://schemas.openxmlformats.org/officeDocument/2006/relationships" r:id="rId303"/>
        </xdr:cNvPr>
        <xdr:cNvSpPr>
          <a:spLocks noChangeAspect="1" noChangeArrowheads="1"/>
        </xdr:cNvSpPr>
      </xdr:nvSpPr>
      <xdr:spPr bwMode="auto">
        <a:xfrm>
          <a:off x="13411200" y="62933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31" name="AutoShape 607" descr="JAPAN"/>
        <xdr:cNvSpPr>
          <a:spLocks noChangeAspect="1" noChangeArrowheads="1"/>
        </xdr:cNvSpPr>
      </xdr:nvSpPr>
      <xdr:spPr bwMode="auto">
        <a:xfrm>
          <a:off x="0" y="63185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32" name="AutoShape 608" descr="https://www.soccerstats.com/img/own/sshplogo.png">
          <a:hlinkClick xmlns:r="http://schemas.openxmlformats.org/officeDocument/2006/relationships" r:id="rId304"/>
        </xdr:cNvPr>
        <xdr:cNvSpPr>
          <a:spLocks noChangeAspect="1" noChangeArrowheads="1"/>
        </xdr:cNvSpPr>
      </xdr:nvSpPr>
      <xdr:spPr bwMode="auto">
        <a:xfrm>
          <a:off x="13411200" y="63185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33" name="AutoShape 609" descr="JAPAN"/>
        <xdr:cNvSpPr>
          <a:spLocks noChangeAspect="1" noChangeArrowheads="1"/>
        </xdr:cNvSpPr>
      </xdr:nvSpPr>
      <xdr:spPr bwMode="auto">
        <a:xfrm>
          <a:off x="0" y="63436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34" name="AutoShape 610" descr="https://www.soccerstats.com/img/own/sshplogo.png">
          <a:hlinkClick xmlns:r="http://schemas.openxmlformats.org/officeDocument/2006/relationships" r:id="rId305"/>
        </xdr:cNvPr>
        <xdr:cNvSpPr>
          <a:spLocks noChangeAspect="1" noChangeArrowheads="1"/>
        </xdr:cNvSpPr>
      </xdr:nvSpPr>
      <xdr:spPr bwMode="auto">
        <a:xfrm>
          <a:off x="13411200" y="6343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35" name="AutoShape 611" descr="JAPAN"/>
        <xdr:cNvSpPr>
          <a:spLocks noChangeAspect="1" noChangeArrowheads="1"/>
        </xdr:cNvSpPr>
      </xdr:nvSpPr>
      <xdr:spPr bwMode="auto">
        <a:xfrm>
          <a:off x="0" y="63687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36" name="AutoShape 612" descr="https://www.soccerstats.com/img/own/sshplogo.png">
          <a:hlinkClick xmlns:r="http://schemas.openxmlformats.org/officeDocument/2006/relationships" r:id="rId306"/>
        </xdr:cNvPr>
        <xdr:cNvSpPr>
          <a:spLocks noChangeAspect="1" noChangeArrowheads="1"/>
        </xdr:cNvSpPr>
      </xdr:nvSpPr>
      <xdr:spPr bwMode="auto">
        <a:xfrm>
          <a:off x="13411200" y="63687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37" name="AutoShape 613" descr="JAPAN"/>
        <xdr:cNvSpPr>
          <a:spLocks noChangeAspect="1" noChangeArrowheads="1"/>
        </xdr:cNvSpPr>
      </xdr:nvSpPr>
      <xdr:spPr bwMode="auto">
        <a:xfrm>
          <a:off x="0" y="63863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38" name="AutoShape 614" descr="https://www.soccerstats.com/img/own/sshplogo.png">
          <a:hlinkClick xmlns:r="http://schemas.openxmlformats.org/officeDocument/2006/relationships" r:id="rId307"/>
        </xdr:cNvPr>
        <xdr:cNvSpPr>
          <a:spLocks noChangeAspect="1" noChangeArrowheads="1"/>
        </xdr:cNvSpPr>
      </xdr:nvSpPr>
      <xdr:spPr bwMode="auto">
        <a:xfrm>
          <a:off x="13411200" y="63863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39" name="AutoShape 615" descr="JAPAN"/>
        <xdr:cNvSpPr>
          <a:spLocks noChangeAspect="1" noChangeArrowheads="1"/>
        </xdr:cNvSpPr>
      </xdr:nvSpPr>
      <xdr:spPr bwMode="auto">
        <a:xfrm>
          <a:off x="0" y="64038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40" name="AutoShape 616" descr="https://www.soccerstats.com/img/own/sshplogo.png">
          <a:hlinkClick xmlns:r="http://schemas.openxmlformats.org/officeDocument/2006/relationships" r:id="rId308"/>
        </xdr:cNvPr>
        <xdr:cNvSpPr>
          <a:spLocks noChangeAspect="1" noChangeArrowheads="1"/>
        </xdr:cNvSpPr>
      </xdr:nvSpPr>
      <xdr:spPr bwMode="auto">
        <a:xfrm>
          <a:off x="13411200" y="64038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41" name="AutoShape 617" descr="JAPAN2"/>
        <xdr:cNvSpPr>
          <a:spLocks noChangeAspect="1" noChangeArrowheads="1"/>
        </xdr:cNvSpPr>
      </xdr:nvSpPr>
      <xdr:spPr bwMode="auto">
        <a:xfrm>
          <a:off x="0" y="64213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42" name="AutoShape 618" descr="https://www.soccerstats.com/img/own/sshplogo.png">
          <a:hlinkClick xmlns:r="http://schemas.openxmlformats.org/officeDocument/2006/relationships" r:id="rId309"/>
        </xdr:cNvPr>
        <xdr:cNvSpPr>
          <a:spLocks noChangeAspect="1" noChangeArrowheads="1"/>
        </xdr:cNvSpPr>
      </xdr:nvSpPr>
      <xdr:spPr bwMode="auto">
        <a:xfrm>
          <a:off x="13411200" y="64213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43" name="AutoShape 619" descr="JAPAN2"/>
        <xdr:cNvSpPr>
          <a:spLocks noChangeAspect="1" noChangeArrowheads="1"/>
        </xdr:cNvSpPr>
      </xdr:nvSpPr>
      <xdr:spPr bwMode="auto">
        <a:xfrm>
          <a:off x="0" y="64465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44" name="AutoShape 620" descr="https://www.soccerstats.com/img/own/sshplogo.png">
          <a:hlinkClick xmlns:r="http://schemas.openxmlformats.org/officeDocument/2006/relationships" r:id="rId310"/>
        </xdr:cNvPr>
        <xdr:cNvSpPr>
          <a:spLocks noChangeAspect="1" noChangeArrowheads="1"/>
        </xdr:cNvSpPr>
      </xdr:nvSpPr>
      <xdr:spPr bwMode="auto">
        <a:xfrm>
          <a:off x="13411200" y="64465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45" name="AutoShape 621" descr="JAPAN2"/>
        <xdr:cNvSpPr>
          <a:spLocks noChangeAspect="1" noChangeArrowheads="1"/>
        </xdr:cNvSpPr>
      </xdr:nvSpPr>
      <xdr:spPr bwMode="auto">
        <a:xfrm>
          <a:off x="0" y="64640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46" name="AutoShape 622" descr="https://www.soccerstats.com/img/own/sshplogo.png">
          <a:hlinkClick xmlns:r="http://schemas.openxmlformats.org/officeDocument/2006/relationships" r:id="rId311"/>
        </xdr:cNvPr>
        <xdr:cNvSpPr>
          <a:spLocks noChangeAspect="1" noChangeArrowheads="1"/>
        </xdr:cNvSpPr>
      </xdr:nvSpPr>
      <xdr:spPr bwMode="auto">
        <a:xfrm>
          <a:off x="13411200" y="64640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47" name="AutoShape 623" descr="JAPAN2"/>
        <xdr:cNvSpPr>
          <a:spLocks noChangeAspect="1" noChangeArrowheads="1"/>
        </xdr:cNvSpPr>
      </xdr:nvSpPr>
      <xdr:spPr bwMode="auto">
        <a:xfrm>
          <a:off x="0" y="64815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48" name="AutoShape 624" descr="https://www.soccerstats.com/img/own/sshplogo.png">
          <a:hlinkClick xmlns:r="http://schemas.openxmlformats.org/officeDocument/2006/relationships" r:id="rId312"/>
        </xdr:cNvPr>
        <xdr:cNvSpPr>
          <a:spLocks noChangeAspect="1" noChangeArrowheads="1"/>
        </xdr:cNvSpPr>
      </xdr:nvSpPr>
      <xdr:spPr bwMode="auto">
        <a:xfrm>
          <a:off x="13411200" y="64815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49" name="AutoShape 625" descr="JAPAN2"/>
        <xdr:cNvSpPr>
          <a:spLocks noChangeAspect="1" noChangeArrowheads="1"/>
        </xdr:cNvSpPr>
      </xdr:nvSpPr>
      <xdr:spPr bwMode="auto">
        <a:xfrm>
          <a:off x="0" y="65067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50" name="AutoShape 626" descr="https://www.soccerstats.com/img/own/sshplogo.png">
          <a:hlinkClick xmlns:r="http://schemas.openxmlformats.org/officeDocument/2006/relationships" r:id="rId313"/>
        </xdr:cNvPr>
        <xdr:cNvSpPr>
          <a:spLocks noChangeAspect="1" noChangeArrowheads="1"/>
        </xdr:cNvSpPr>
      </xdr:nvSpPr>
      <xdr:spPr bwMode="auto">
        <a:xfrm>
          <a:off x="13411200" y="65067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51" name="AutoShape 627" descr="JAPAN2"/>
        <xdr:cNvSpPr>
          <a:spLocks noChangeAspect="1" noChangeArrowheads="1"/>
        </xdr:cNvSpPr>
      </xdr:nvSpPr>
      <xdr:spPr bwMode="auto">
        <a:xfrm>
          <a:off x="0" y="65242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52" name="AutoShape 628" descr="https://www.soccerstats.com/img/own/sshplogo.png">
          <a:hlinkClick xmlns:r="http://schemas.openxmlformats.org/officeDocument/2006/relationships" r:id="rId314"/>
        </xdr:cNvPr>
        <xdr:cNvSpPr>
          <a:spLocks noChangeAspect="1" noChangeArrowheads="1"/>
        </xdr:cNvSpPr>
      </xdr:nvSpPr>
      <xdr:spPr bwMode="auto">
        <a:xfrm>
          <a:off x="13411200" y="65242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53" name="AutoShape 629" descr="JAPAN2"/>
        <xdr:cNvSpPr>
          <a:spLocks noChangeAspect="1" noChangeArrowheads="1"/>
        </xdr:cNvSpPr>
      </xdr:nvSpPr>
      <xdr:spPr bwMode="auto">
        <a:xfrm>
          <a:off x="0" y="65493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54" name="AutoShape 630" descr="https://www.soccerstats.com/img/own/sshplogo.png">
          <a:hlinkClick xmlns:r="http://schemas.openxmlformats.org/officeDocument/2006/relationships" r:id="rId315"/>
        </xdr:cNvPr>
        <xdr:cNvSpPr>
          <a:spLocks noChangeAspect="1" noChangeArrowheads="1"/>
        </xdr:cNvSpPr>
      </xdr:nvSpPr>
      <xdr:spPr bwMode="auto">
        <a:xfrm>
          <a:off x="13411200" y="65493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55" name="AutoShape 631" descr="JAPAN2"/>
        <xdr:cNvSpPr>
          <a:spLocks noChangeAspect="1" noChangeArrowheads="1"/>
        </xdr:cNvSpPr>
      </xdr:nvSpPr>
      <xdr:spPr bwMode="auto">
        <a:xfrm>
          <a:off x="0" y="65745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56" name="AutoShape 632" descr="https://www.soccerstats.com/img/own/sshplogo.png">
          <a:hlinkClick xmlns:r="http://schemas.openxmlformats.org/officeDocument/2006/relationships" r:id="rId316"/>
        </xdr:cNvPr>
        <xdr:cNvSpPr>
          <a:spLocks noChangeAspect="1" noChangeArrowheads="1"/>
        </xdr:cNvSpPr>
      </xdr:nvSpPr>
      <xdr:spPr bwMode="auto">
        <a:xfrm>
          <a:off x="13411200" y="65745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57" name="AutoShape 633" descr="JAPAN3"/>
        <xdr:cNvSpPr>
          <a:spLocks noChangeAspect="1" noChangeArrowheads="1"/>
        </xdr:cNvSpPr>
      </xdr:nvSpPr>
      <xdr:spPr bwMode="auto">
        <a:xfrm>
          <a:off x="0" y="65996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58" name="AutoShape 634" descr="https://www.soccerstats.com/img/own/sshplogo.png">
          <a:hlinkClick xmlns:r="http://schemas.openxmlformats.org/officeDocument/2006/relationships" r:id="rId317"/>
        </xdr:cNvPr>
        <xdr:cNvSpPr>
          <a:spLocks noChangeAspect="1" noChangeArrowheads="1"/>
        </xdr:cNvSpPr>
      </xdr:nvSpPr>
      <xdr:spPr bwMode="auto">
        <a:xfrm>
          <a:off x="13411200" y="65996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59" name="AutoShape 635" descr="JAPAN3"/>
        <xdr:cNvSpPr>
          <a:spLocks noChangeAspect="1" noChangeArrowheads="1"/>
        </xdr:cNvSpPr>
      </xdr:nvSpPr>
      <xdr:spPr bwMode="auto">
        <a:xfrm>
          <a:off x="0" y="66248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60" name="AutoShape 636" descr="https://www.soccerstats.com/img/own/sshplogo.png">
          <a:hlinkClick xmlns:r="http://schemas.openxmlformats.org/officeDocument/2006/relationships" r:id="rId318"/>
        </xdr:cNvPr>
        <xdr:cNvSpPr>
          <a:spLocks noChangeAspect="1" noChangeArrowheads="1"/>
        </xdr:cNvSpPr>
      </xdr:nvSpPr>
      <xdr:spPr bwMode="auto">
        <a:xfrm>
          <a:off x="13411200" y="66248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61" name="AutoShape 637" descr="JAPAN3"/>
        <xdr:cNvSpPr>
          <a:spLocks noChangeAspect="1" noChangeArrowheads="1"/>
        </xdr:cNvSpPr>
      </xdr:nvSpPr>
      <xdr:spPr bwMode="auto">
        <a:xfrm>
          <a:off x="0" y="66423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62" name="AutoShape 638" descr="https://www.soccerstats.com/img/own/sshplogo.png">
          <a:hlinkClick xmlns:r="http://schemas.openxmlformats.org/officeDocument/2006/relationships" r:id="rId319"/>
        </xdr:cNvPr>
        <xdr:cNvSpPr>
          <a:spLocks noChangeAspect="1" noChangeArrowheads="1"/>
        </xdr:cNvSpPr>
      </xdr:nvSpPr>
      <xdr:spPr bwMode="auto">
        <a:xfrm>
          <a:off x="13411200" y="66423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63" name="AutoShape 639" descr="JAPAN3"/>
        <xdr:cNvSpPr>
          <a:spLocks noChangeAspect="1" noChangeArrowheads="1"/>
        </xdr:cNvSpPr>
      </xdr:nvSpPr>
      <xdr:spPr bwMode="auto">
        <a:xfrm>
          <a:off x="0" y="66675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64" name="AutoShape 640" descr="https://www.soccerstats.com/img/own/sshplogo.png">
          <a:hlinkClick xmlns:r="http://schemas.openxmlformats.org/officeDocument/2006/relationships" r:id="rId320"/>
        </xdr:cNvPr>
        <xdr:cNvSpPr>
          <a:spLocks noChangeAspect="1" noChangeArrowheads="1"/>
        </xdr:cNvSpPr>
      </xdr:nvSpPr>
      <xdr:spPr bwMode="auto">
        <a:xfrm>
          <a:off x="13411200" y="6667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65" name="AutoShape 641" descr="JAPAN3"/>
        <xdr:cNvSpPr>
          <a:spLocks noChangeAspect="1" noChangeArrowheads="1"/>
        </xdr:cNvSpPr>
      </xdr:nvSpPr>
      <xdr:spPr bwMode="auto">
        <a:xfrm>
          <a:off x="0" y="66850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66" name="AutoShape 642" descr="https://www.soccerstats.com/img/own/sshplogo.png">
          <a:hlinkClick xmlns:r="http://schemas.openxmlformats.org/officeDocument/2006/relationships" r:id="rId321"/>
        </xdr:cNvPr>
        <xdr:cNvSpPr>
          <a:spLocks noChangeAspect="1" noChangeArrowheads="1"/>
        </xdr:cNvSpPr>
      </xdr:nvSpPr>
      <xdr:spPr bwMode="auto">
        <a:xfrm>
          <a:off x="13411200" y="66850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67" name="AutoShape 643" descr="JAPAN3"/>
        <xdr:cNvSpPr>
          <a:spLocks noChangeAspect="1" noChangeArrowheads="1"/>
        </xdr:cNvSpPr>
      </xdr:nvSpPr>
      <xdr:spPr bwMode="auto">
        <a:xfrm>
          <a:off x="0" y="67025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68" name="AutoShape 644" descr="https://www.soccerstats.com/img/own/sshplogo.png">
          <a:hlinkClick xmlns:r="http://schemas.openxmlformats.org/officeDocument/2006/relationships" r:id="rId322"/>
        </xdr:cNvPr>
        <xdr:cNvSpPr>
          <a:spLocks noChangeAspect="1" noChangeArrowheads="1"/>
        </xdr:cNvSpPr>
      </xdr:nvSpPr>
      <xdr:spPr bwMode="auto">
        <a:xfrm>
          <a:off x="13411200" y="67025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69" name="AutoShape 645" descr="KAZAKHSTAN"/>
        <xdr:cNvSpPr>
          <a:spLocks noChangeAspect="1" noChangeArrowheads="1"/>
        </xdr:cNvSpPr>
      </xdr:nvSpPr>
      <xdr:spPr bwMode="auto">
        <a:xfrm>
          <a:off x="0" y="67276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70" name="AutoShape 646" descr="https://www.soccerstats.com/img/own/sshplogo.png">
          <a:hlinkClick xmlns:r="http://schemas.openxmlformats.org/officeDocument/2006/relationships" r:id="rId323"/>
        </xdr:cNvPr>
        <xdr:cNvSpPr>
          <a:spLocks noChangeAspect="1" noChangeArrowheads="1"/>
        </xdr:cNvSpPr>
      </xdr:nvSpPr>
      <xdr:spPr bwMode="auto">
        <a:xfrm>
          <a:off x="13411200" y="67276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71" name="AutoShape 647" descr="KAZAKHSTAN"/>
        <xdr:cNvSpPr>
          <a:spLocks noChangeAspect="1" noChangeArrowheads="1"/>
        </xdr:cNvSpPr>
      </xdr:nvSpPr>
      <xdr:spPr bwMode="auto">
        <a:xfrm>
          <a:off x="0" y="67452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72" name="AutoShape 648" descr="https://www.soccerstats.com/img/own/sshplogo.png">
          <a:hlinkClick xmlns:r="http://schemas.openxmlformats.org/officeDocument/2006/relationships" r:id="rId324"/>
        </xdr:cNvPr>
        <xdr:cNvSpPr>
          <a:spLocks noChangeAspect="1" noChangeArrowheads="1"/>
        </xdr:cNvSpPr>
      </xdr:nvSpPr>
      <xdr:spPr bwMode="auto">
        <a:xfrm>
          <a:off x="13411200" y="67452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73" name="AutoShape 649" descr="KAZAKHSTAN"/>
        <xdr:cNvSpPr>
          <a:spLocks noChangeAspect="1" noChangeArrowheads="1"/>
        </xdr:cNvSpPr>
      </xdr:nvSpPr>
      <xdr:spPr bwMode="auto">
        <a:xfrm>
          <a:off x="0" y="67627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74" name="AutoShape 650" descr="https://www.soccerstats.com/img/own/sshplogo.png">
          <a:hlinkClick xmlns:r="http://schemas.openxmlformats.org/officeDocument/2006/relationships" r:id="rId325"/>
        </xdr:cNvPr>
        <xdr:cNvSpPr>
          <a:spLocks noChangeAspect="1" noChangeArrowheads="1"/>
        </xdr:cNvSpPr>
      </xdr:nvSpPr>
      <xdr:spPr bwMode="auto">
        <a:xfrm>
          <a:off x="13411200" y="6762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75" name="AutoShape 651" descr="KAZAKHSTAN"/>
        <xdr:cNvSpPr>
          <a:spLocks noChangeAspect="1" noChangeArrowheads="1"/>
        </xdr:cNvSpPr>
      </xdr:nvSpPr>
      <xdr:spPr bwMode="auto">
        <a:xfrm>
          <a:off x="0" y="67802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76" name="AutoShape 652" descr="https://www.soccerstats.com/img/own/sshplogo.png">
          <a:hlinkClick xmlns:r="http://schemas.openxmlformats.org/officeDocument/2006/relationships" r:id="rId326"/>
        </xdr:cNvPr>
        <xdr:cNvSpPr>
          <a:spLocks noChangeAspect="1" noChangeArrowheads="1"/>
        </xdr:cNvSpPr>
      </xdr:nvSpPr>
      <xdr:spPr bwMode="auto">
        <a:xfrm>
          <a:off x="13411200" y="67802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77" name="AutoShape 653" descr="MEXICO"/>
        <xdr:cNvSpPr>
          <a:spLocks noChangeAspect="1" noChangeArrowheads="1"/>
        </xdr:cNvSpPr>
      </xdr:nvSpPr>
      <xdr:spPr bwMode="auto">
        <a:xfrm>
          <a:off x="0" y="67978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78" name="AutoShape 654" descr="https://www.soccerstats.com/img/own/sshplogo.png">
          <a:hlinkClick xmlns:r="http://schemas.openxmlformats.org/officeDocument/2006/relationships" r:id="rId327"/>
        </xdr:cNvPr>
        <xdr:cNvSpPr>
          <a:spLocks noChangeAspect="1" noChangeArrowheads="1"/>
        </xdr:cNvSpPr>
      </xdr:nvSpPr>
      <xdr:spPr bwMode="auto">
        <a:xfrm>
          <a:off x="13411200" y="67978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79" name="AutoShape 655" descr="MOLDOVA"/>
        <xdr:cNvSpPr>
          <a:spLocks noChangeAspect="1" noChangeArrowheads="1"/>
        </xdr:cNvSpPr>
      </xdr:nvSpPr>
      <xdr:spPr bwMode="auto">
        <a:xfrm>
          <a:off x="0" y="68153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80" name="AutoShape 656" descr="https://www.soccerstats.com/img/own/sshplogo.png">
          <a:hlinkClick xmlns:r="http://schemas.openxmlformats.org/officeDocument/2006/relationships" r:id="rId328"/>
        </xdr:cNvPr>
        <xdr:cNvSpPr>
          <a:spLocks noChangeAspect="1" noChangeArrowheads="1"/>
        </xdr:cNvSpPr>
      </xdr:nvSpPr>
      <xdr:spPr bwMode="auto">
        <a:xfrm>
          <a:off x="13411200" y="68153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81" name="AutoShape 657" descr="MOLDOVA"/>
        <xdr:cNvSpPr>
          <a:spLocks noChangeAspect="1" noChangeArrowheads="1"/>
        </xdr:cNvSpPr>
      </xdr:nvSpPr>
      <xdr:spPr bwMode="auto">
        <a:xfrm>
          <a:off x="0" y="68404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82" name="AutoShape 658" descr="https://www.soccerstats.com/img/own/sshplogo.png">
          <a:hlinkClick xmlns:r="http://schemas.openxmlformats.org/officeDocument/2006/relationships" r:id="rId329"/>
        </xdr:cNvPr>
        <xdr:cNvSpPr>
          <a:spLocks noChangeAspect="1" noChangeArrowheads="1"/>
        </xdr:cNvSpPr>
      </xdr:nvSpPr>
      <xdr:spPr bwMode="auto">
        <a:xfrm>
          <a:off x="13411200" y="68404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83" name="AutoShape 659" descr="MONTENEGRO"/>
        <xdr:cNvSpPr>
          <a:spLocks noChangeAspect="1" noChangeArrowheads="1"/>
        </xdr:cNvSpPr>
      </xdr:nvSpPr>
      <xdr:spPr bwMode="auto">
        <a:xfrm>
          <a:off x="0" y="68656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84" name="AutoShape 660" descr="https://www.soccerstats.com/img/own/sshplogo.png">
          <a:hlinkClick xmlns:r="http://schemas.openxmlformats.org/officeDocument/2006/relationships" r:id="rId330"/>
        </xdr:cNvPr>
        <xdr:cNvSpPr>
          <a:spLocks noChangeAspect="1" noChangeArrowheads="1"/>
        </xdr:cNvSpPr>
      </xdr:nvSpPr>
      <xdr:spPr bwMode="auto">
        <a:xfrm>
          <a:off x="13411200" y="68656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85" name="AutoShape 661" descr="NETHERLANDS3"/>
        <xdr:cNvSpPr>
          <a:spLocks noChangeAspect="1" noChangeArrowheads="1"/>
        </xdr:cNvSpPr>
      </xdr:nvSpPr>
      <xdr:spPr bwMode="auto">
        <a:xfrm>
          <a:off x="0" y="68831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86" name="AutoShape 662" descr="https://www.soccerstats.com/img/own/sshplogo.png">
          <a:hlinkClick xmlns:r="http://schemas.openxmlformats.org/officeDocument/2006/relationships" r:id="rId331"/>
        </xdr:cNvPr>
        <xdr:cNvSpPr>
          <a:spLocks noChangeAspect="1" noChangeArrowheads="1"/>
        </xdr:cNvSpPr>
      </xdr:nvSpPr>
      <xdr:spPr bwMode="auto">
        <a:xfrm>
          <a:off x="13411200" y="68831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87" name="AutoShape 663" descr="NETHERLANDS3"/>
        <xdr:cNvSpPr>
          <a:spLocks noChangeAspect="1" noChangeArrowheads="1"/>
        </xdr:cNvSpPr>
      </xdr:nvSpPr>
      <xdr:spPr bwMode="auto">
        <a:xfrm>
          <a:off x="0" y="69082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88" name="AutoShape 664" descr="https://www.soccerstats.com/img/own/sshplogo.png">
          <a:hlinkClick xmlns:r="http://schemas.openxmlformats.org/officeDocument/2006/relationships" r:id="rId332"/>
        </xdr:cNvPr>
        <xdr:cNvSpPr>
          <a:spLocks noChangeAspect="1" noChangeArrowheads="1"/>
        </xdr:cNvSpPr>
      </xdr:nvSpPr>
      <xdr:spPr bwMode="auto">
        <a:xfrm>
          <a:off x="13411200" y="69082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89" name="AutoShape 665" descr="NETHERLANDS3"/>
        <xdr:cNvSpPr>
          <a:spLocks noChangeAspect="1" noChangeArrowheads="1"/>
        </xdr:cNvSpPr>
      </xdr:nvSpPr>
      <xdr:spPr bwMode="auto">
        <a:xfrm>
          <a:off x="0" y="69334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90" name="AutoShape 666" descr="https://www.soccerstats.com/img/own/sshplogo.png">
          <a:hlinkClick xmlns:r="http://schemas.openxmlformats.org/officeDocument/2006/relationships" r:id="rId333"/>
        </xdr:cNvPr>
        <xdr:cNvSpPr>
          <a:spLocks noChangeAspect="1" noChangeArrowheads="1"/>
        </xdr:cNvSpPr>
      </xdr:nvSpPr>
      <xdr:spPr bwMode="auto">
        <a:xfrm>
          <a:off x="13411200" y="69334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91" name="AutoShape 667" descr="NETHERLANDS3"/>
        <xdr:cNvSpPr>
          <a:spLocks noChangeAspect="1" noChangeArrowheads="1"/>
        </xdr:cNvSpPr>
      </xdr:nvSpPr>
      <xdr:spPr bwMode="auto">
        <a:xfrm>
          <a:off x="0" y="69509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92" name="AutoShape 668" descr="https://www.soccerstats.com/img/own/sshplogo.png">
          <a:hlinkClick xmlns:r="http://schemas.openxmlformats.org/officeDocument/2006/relationships" r:id="rId334"/>
        </xdr:cNvPr>
        <xdr:cNvSpPr>
          <a:spLocks noChangeAspect="1" noChangeArrowheads="1"/>
        </xdr:cNvSpPr>
      </xdr:nvSpPr>
      <xdr:spPr bwMode="auto">
        <a:xfrm>
          <a:off x="13411200" y="69509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93" name="AutoShape 669" descr="NETHERLANDS3"/>
        <xdr:cNvSpPr>
          <a:spLocks noChangeAspect="1" noChangeArrowheads="1"/>
        </xdr:cNvSpPr>
      </xdr:nvSpPr>
      <xdr:spPr bwMode="auto">
        <a:xfrm>
          <a:off x="0" y="69761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94" name="AutoShape 670" descr="https://www.soccerstats.com/img/own/sshplogo.png">
          <a:hlinkClick xmlns:r="http://schemas.openxmlformats.org/officeDocument/2006/relationships" r:id="rId335"/>
        </xdr:cNvPr>
        <xdr:cNvSpPr>
          <a:spLocks noChangeAspect="1" noChangeArrowheads="1"/>
        </xdr:cNvSpPr>
      </xdr:nvSpPr>
      <xdr:spPr bwMode="auto">
        <a:xfrm>
          <a:off x="13411200" y="69761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95" name="AutoShape 671" descr="NETHERLANDS3"/>
        <xdr:cNvSpPr>
          <a:spLocks noChangeAspect="1" noChangeArrowheads="1"/>
        </xdr:cNvSpPr>
      </xdr:nvSpPr>
      <xdr:spPr bwMode="auto">
        <a:xfrm>
          <a:off x="0" y="70012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96" name="AutoShape 672" descr="https://www.soccerstats.com/img/own/sshplogo.png">
          <a:hlinkClick xmlns:r="http://schemas.openxmlformats.org/officeDocument/2006/relationships" r:id="rId336"/>
        </xdr:cNvPr>
        <xdr:cNvSpPr>
          <a:spLocks noChangeAspect="1" noChangeArrowheads="1"/>
        </xdr:cNvSpPr>
      </xdr:nvSpPr>
      <xdr:spPr bwMode="auto">
        <a:xfrm>
          <a:off x="13411200" y="70012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97" name="AutoShape 673" descr="NETHERLANDS3"/>
        <xdr:cNvSpPr>
          <a:spLocks noChangeAspect="1" noChangeArrowheads="1"/>
        </xdr:cNvSpPr>
      </xdr:nvSpPr>
      <xdr:spPr bwMode="auto">
        <a:xfrm>
          <a:off x="0" y="70187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698" name="AutoShape 674" descr="https://www.soccerstats.com/img/own/sshplogo.png">
          <a:hlinkClick xmlns:r="http://schemas.openxmlformats.org/officeDocument/2006/relationships" r:id="rId337"/>
        </xdr:cNvPr>
        <xdr:cNvSpPr>
          <a:spLocks noChangeAspect="1" noChangeArrowheads="1"/>
        </xdr:cNvSpPr>
      </xdr:nvSpPr>
      <xdr:spPr bwMode="auto">
        <a:xfrm>
          <a:off x="13411200" y="70187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699" name="AutoShape 675" descr="NETHERLANDS3"/>
        <xdr:cNvSpPr>
          <a:spLocks noChangeAspect="1" noChangeArrowheads="1"/>
        </xdr:cNvSpPr>
      </xdr:nvSpPr>
      <xdr:spPr bwMode="auto">
        <a:xfrm>
          <a:off x="0" y="70363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00" name="AutoShape 676" descr="https://www.soccerstats.com/img/own/sshplogo.png">
          <a:hlinkClick xmlns:r="http://schemas.openxmlformats.org/officeDocument/2006/relationships" r:id="rId338"/>
        </xdr:cNvPr>
        <xdr:cNvSpPr>
          <a:spLocks noChangeAspect="1" noChangeArrowheads="1"/>
        </xdr:cNvSpPr>
      </xdr:nvSpPr>
      <xdr:spPr bwMode="auto">
        <a:xfrm>
          <a:off x="13411200" y="70363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01" name="AutoShape 677" descr="NETHERLANDS3"/>
        <xdr:cNvSpPr>
          <a:spLocks noChangeAspect="1" noChangeArrowheads="1"/>
        </xdr:cNvSpPr>
      </xdr:nvSpPr>
      <xdr:spPr bwMode="auto">
        <a:xfrm>
          <a:off x="0" y="7061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02" name="AutoShape 678" descr="https://www.soccerstats.com/img/own/sshplogo.png">
          <a:hlinkClick xmlns:r="http://schemas.openxmlformats.org/officeDocument/2006/relationships" r:id="rId339"/>
        </xdr:cNvPr>
        <xdr:cNvSpPr>
          <a:spLocks noChangeAspect="1" noChangeArrowheads="1"/>
        </xdr:cNvSpPr>
      </xdr:nvSpPr>
      <xdr:spPr bwMode="auto">
        <a:xfrm>
          <a:off x="13411200" y="7061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03" name="AutoShape 679" descr="NORTHERNIRELAND"/>
        <xdr:cNvSpPr>
          <a:spLocks noChangeAspect="1" noChangeArrowheads="1"/>
        </xdr:cNvSpPr>
      </xdr:nvSpPr>
      <xdr:spPr bwMode="auto">
        <a:xfrm>
          <a:off x="0" y="70789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04" name="AutoShape 680" descr="https://www.soccerstats.com/img/own/sshplogo.png">
          <a:hlinkClick xmlns:r="http://schemas.openxmlformats.org/officeDocument/2006/relationships" r:id="rId340"/>
        </xdr:cNvPr>
        <xdr:cNvSpPr>
          <a:spLocks noChangeAspect="1" noChangeArrowheads="1"/>
        </xdr:cNvSpPr>
      </xdr:nvSpPr>
      <xdr:spPr bwMode="auto">
        <a:xfrm>
          <a:off x="13411200" y="70789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05" name="AutoShape 681" descr="NORTHERNIRELAND"/>
        <xdr:cNvSpPr>
          <a:spLocks noChangeAspect="1" noChangeArrowheads="1"/>
        </xdr:cNvSpPr>
      </xdr:nvSpPr>
      <xdr:spPr bwMode="auto">
        <a:xfrm>
          <a:off x="0" y="7096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06" name="AutoShape 682" descr="https://www.soccerstats.com/img/own/sshplogo.png">
          <a:hlinkClick xmlns:r="http://schemas.openxmlformats.org/officeDocument/2006/relationships" r:id="rId341"/>
        </xdr:cNvPr>
        <xdr:cNvSpPr>
          <a:spLocks noChangeAspect="1" noChangeArrowheads="1"/>
        </xdr:cNvSpPr>
      </xdr:nvSpPr>
      <xdr:spPr bwMode="auto">
        <a:xfrm>
          <a:off x="13411200" y="7096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07" name="AutoShape 683" descr="NORTHERNIRELAND"/>
        <xdr:cNvSpPr>
          <a:spLocks noChangeAspect="1" noChangeArrowheads="1"/>
        </xdr:cNvSpPr>
      </xdr:nvSpPr>
      <xdr:spPr bwMode="auto">
        <a:xfrm>
          <a:off x="0" y="71140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08" name="AutoShape 684" descr="https://www.soccerstats.com/img/own/sshplogo.png">
          <a:hlinkClick xmlns:r="http://schemas.openxmlformats.org/officeDocument/2006/relationships" r:id="rId342"/>
        </xdr:cNvPr>
        <xdr:cNvSpPr>
          <a:spLocks noChangeAspect="1" noChangeArrowheads="1"/>
        </xdr:cNvSpPr>
      </xdr:nvSpPr>
      <xdr:spPr bwMode="auto">
        <a:xfrm>
          <a:off x="13411200" y="7114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09" name="AutoShape 685" descr="NORTHERNIRELAND"/>
        <xdr:cNvSpPr>
          <a:spLocks noChangeAspect="1" noChangeArrowheads="1"/>
        </xdr:cNvSpPr>
      </xdr:nvSpPr>
      <xdr:spPr bwMode="auto">
        <a:xfrm>
          <a:off x="0" y="71391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10" name="AutoShape 686" descr="https://www.soccerstats.com/img/own/sshplogo.png">
          <a:hlinkClick xmlns:r="http://schemas.openxmlformats.org/officeDocument/2006/relationships" r:id="rId343"/>
        </xdr:cNvPr>
        <xdr:cNvSpPr>
          <a:spLocks noChangeAspect="1" noChangeArrowheads="1"/>
        </xdr:cNvSpPr>
      </xdr:nvSpPr>
      <xdr:spPr bwMode="auto">
        <a:xfrm>
          <a:off x="13411200" y="71391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11" name="AutoShape 687" descr="NORTHERNIRELAND"/>
        <xdr:cNvSpPr>
          <a:spLocks noChangeAspect="1" noChangeArrowheads="1"/>
        </xdr:cNvSpPr>
      </xdr:nvSpPr>
      <xdr:spPr bwMode="auto">
        <a:xfrm>
          <a:off x="0" y="71643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12" name="AutoShape 688" descr="https://www.soccerstats.com/img/own/sshplogo.png">
          <a:hlinkClick xmlns:r="http://schemas.openxmlformats.org/officeDocument/2006/relationships" r:id="rId344"/>
        </xdr:cNvPr>
        <xdr:cNvSpPr>
          <a:spLocks noChangeAspect="1" noChangeArrowheads="1"/>
        </xdr:cNvSpPr>
      </xdr:nvSpPr>
      <xdr:spPr bwMode="auto">
        <a:xfrm>
          <a:off x="13411200" y="71643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13" name="AutoShape 689" descr="NORTHERNIRELAND"/>
        <xdr:cNvSpPr>
          <a:spLocks noChangeAspect="1" noChangeArrowheads="1"/>
        </xdr:cNvSpPr>
      </xdr:nvSpPr>
      <xdr:spPr bwMode="auto">
        <a:xfrm>
          <a:off x="0" y="71818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14" name="AutoShape 690" descr="https://www.soccerstats.com/img/own/sshplogo.png">
          <a:hlinkClick xmlns:r="http://schemas.openxmlformats.org/officeDocument/2006/relationships" r:id="rId345"/>
        </xdr:cNvPr>
        <xdr:cNvSpPr>
          <a:spLocks noChangeAspect="1" noChangeArrowheads="1"/>
        </xdr:cNvSpPr>
      </xdr:nvSpPr>
      <xdr:spPr bwMode="auto">
        <a:xfrm>
          <a:off x="13411200" y="7181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15" name="AutoShape 691" descr="NORTHMACEDONIA"/>
        <xdr:cNvSpPr>
          <a:spLocks noChangeAspect="1" noChangeArrowheads="1"/>
        </xdr:cNvSpPr>
      </xdr:nvSpPr>
      <xdr:spPr bwMode="auto">
        <a:xfrm>
          <a:off x="0" y="71993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16" name="AutoShape 692" descr="https://www.soccerstats.com/img/own/sshplogo.png">
          <a:hlinkClick xmlns:r="http://schemas.openxmlformats.org/officeDocument/2006/relationships" r:id="rId346"/>
        </xdr:cNvPr>
        <xdr:cNvSpPr>
          <a:spLocks noChangeAspect="1" noChangeArrowheads="1"/>
        </xdr:cNvSpPr>
      </xdr:nvSpPr>
      <xdr:spPr bwMode="auto">
        <a:xfrm>
          <a:off x="13411200" y="71993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17" name="AutoShape 693" descr="NORTHMACEDONIA"/>
        <xdr:cNvSpPr>
          <a:spLocks noChangeAspect="1" noChangeArrowheads="1"/>
        </xdr:cNvSpPr>
      </xdr:nvSpPr>
      <xdr:spPr bwMode="auto">
        <a:xfrm>
          <a:off x="0" y="72169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18" name="AutoShape 694" descr="https://www.soccerstats.com/img/own/sshplogo.png">
          <a:hlinkClick xmlns:r="http://schemas.openxmlformats.org/officeDocument/2006/relationships" r:id="rId347"/>
        </xdr:cNvPr>
        <xdr:cNvSpPr>
          <a:spLocks noChangeAspect="1" noChangeArrowheads="1"/>
        </xdr:cNvSpPr>
      </xdr:nvSpPr>
      <xdr:spPr bwMode="auto">
        <a:xfrm>
          <a:off x="13411200" y="72169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19" name="AutoShape 695" descr="NORTHMACEDONIA"/>
        <xdr:cNvSpPr>
          <a:spLocks noChangeAspect="1" noChangeArrowheads="1"/>
        </xdr:cNvSpPr>
      </xdr:nvSpPr>
      <xdr:spPr bwMode="auto">
        <a:xfrm>
          <a:off x="0" y="72420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20" name="AutoShape 696" descr="https://www.soccerstats.com/img/own/sshplogo.png">
          <a:hlinkClick xmlns:r="http://schemas.openxmlformats.org/officeDocument/2006/relationships" r:id="rId348"/>
        </xdr:cNvPr>
        <xdr:cNvSpPr>
          <a:spLocks noChangeAspect="1" noChangeArrowheads="1"/>
        </xdr:cNvSpPr>
      </xdr:nvSpPr>
      <xdr:spPr bwMode="auto">
        <a:xfrm>
          <a:off x="13411200" y="72420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21" name="AutoShape 697" descr="NORTHMACEDONIA"/>
        <xdr:cNvSpPr>
          <a:spLocks noChangeAspect="1" noChangeArrowheads="1"/>
        </xdr:cNvSpPr>
      </xdr:nvSpPr>
      <xdr:spPr bwMode="auto">
        <a:xfrm>
          <a:off x="0" y="72595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22" name="AutoShape 698" descr="https://www.soccerstats.com/img/own/sshplogo.png">
          <a:hlinkClick xmlns:r="http://schemas.openxmlformats.org/officeDocument/2006/relationships" r:id="rId349"/>
        </xdr:cNvPr>
        <xdr:cNvSpPr>
          <a:spLocks noChangeAspect="1" noChangeArrowheads="1"/>
        </xdr:cNvSpPr>
      </xdr:nvSpPr>
      <xdr:spPr bwMode="auto">
        <a:xfrm>
          <a:off x="13411200" y="72595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23" name="AutoShape 699" descr="NORTHMACEDONIA"/>
        <xdr:cNvSpPr>
          <a:spLocks noChangeAspect="1" noChangeArrowheads="1"/>
        </xdr:cNvSpPr>
      </xdr:nvSpPr>
      <xdr:spPr bwMode="auto">
        <a:xfrm>
          <a:off x="0" y="72771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24" name="AutoShape 700" descr="https://www.soccerstats.com/img/own/sshplogo.png">
          <a:hlinkClick xmlns:r="http://schemas.openxmlformats.org/officeDocument/2006/relationships" r:id="rId350"/>
        </xdr:cNvPr>
        <xdr:cNvSpPr>
          <a:spLocks noChangeAspect="1" noChangeArrowheads="1"/>
        </xdr:cNvSpPr>
      </xdr:nvSpPr>
      <xdr:spPr bwMode="auto">
        <a:xfrm>
          <a:off x="13411200" y="7277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25" name="AutoShape 701" descr="NORWAY"/>
        <xdr:cNvSpPr>
          <a:spLocks noChangeAspect="1" noChangeArrowheads="1"/>
        </xdr:cNvSpPr>
      </xdr:nvSpPr>
      <xdr:spPr bwMode="auto">
        <a:xfrm>
          <a:off x="0" y="73022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26" name="AutoShape 702" descr="https://www.soccerstats.com/img/own/sshplogo.png">
          <a:hlinkClick xmlns:r="http://schemas.openxmlformats.org/officeDocument/2006/relationships" r:id="rId351"/>
        </xdr:cNvPr>
        <xdr:cNvSpPr>
          <a:spLocks noChangeAspect="1" noChangeArrowheads="1"/>
        </xdr:cNvSpPr>
      </xdr:nvSpPr>
      <xdr:spPr bwMode="auto">
        <a:xfrm>
          <a:off x="13411200" y="73022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27" name="AutoShape 703" descr="NORWAY2"/>
        <xdr:cNvSpPr>
          <a:spLocks noChangeAspect="1" noChangeArrowheads="1"/>
        </xdr:cNvSpPr>
      </xdr:nvSpPr>
      <xdr:spPr bwMode="auto">
        <a:xfrm>
          <a:off x="0" y="73197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28" name="AutoShape 704" descr="https://www.soccerstats.com/img/own/sshplogo.png">
          <a:hlinkClick xmlns:r="http://schemas.openxmlformats.org/officeDocument/2006/relationships" r:id="rId352"/>
        </xdr:cNvPr>
        <xdr:cNvSpPr>
          <a:spLocks noChangeAspect="1" noChangeArrowheads="1"/>
        </xdr:cNvSpPr>
      </xdr:nvSpPr>
      <xdr:spPr bwMode="auto">
        <a:xfrm>
          <a:off x="13411200" y="73197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29" name="AutoShape 705" descr="NORWAY2"/>
        <xdr:cNvSpPr>
          <a:spLocks noChangeAspect="1" noChangeArrowheads="1"/>
        </xdr:cNvSpPr>
      </xdr:nvSpPr>
      <xdr:spPr bwMode="auto">
        <a:xfrm>
          <a:off x="0" y="73372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30" name="AutoShape 706" descr="https://www.soccerstats.com/img/own/sshplogo.png">
          <a:hlinkClick xmlns:r="http://schemas.openxmlformats.org/officeDocument/2006/relationships" r:id="rId353"/>
        </xdr:cNvPr>
        <xdr:cNvSpPr>
          <a:spLocks noChangeAspect="1" noChangeArrowheads="1"/>
        </xdr:cNvSpPr>
      </xdr:nvSpPr>
      <xdr:spPr bwMode="auto">
        <a:xfrm>
          <a:off x="13411200" y="73372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31" name="AutoShape 707" descr="NORWAY2"/>
        <xdr:cNvSpPr>
          <a:spLocks noChangeAspect="1" noChangeArrowheads="1"/>
        </xdr:cNvSpPr>
      </xdr:nvSpPr>
      <xdr:spPr bwMode="auto">
        <a:xfrm>
          <a:off x="0" y="73548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32" name="AutoShape 708" descr="https://www.soccerstats.com/img/own/sshplogo.png">
          <a:hlinkClick xmlns:r="http://schemas.openxmlformats.org/officeDocument/2006/relationships" r:id="rId354"/>
        </xdr:cNvPr>
        <xdr:cNvSpPr>
          <a:spLocks noChangeAspect="1" noChangeArrowheads="1"/>
        </xdr:cNvSpPr>
      </xdr:nvSpPr>
      <xdr:spPr bwMode="auto">
        <a:xfrm>
          <a:off x="13411200" y="73548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33" name="AutoShape 709" descr="NORWAY3"/>
        <xdr:cNvSpPr>
          <a:spLocks noChangeAspect="1" noChangeArrowheads="1"/>
        </xdr:cNvSpPr>
      </xdr:nvSpPr>
      <xdr:spPr bwMode="auto">
        <a:xfrm>
          <a:off x="0" y="73723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34" name="AutoShape 710" descr="https://www.soccerstats.com/img/own/sshplogo.png">
          <a:hlinkClick xmlns:r="http://schemas.openxmlformats.org/officeDocument/2006/relationships" r:id="rId355"/>
        </xdr:cNvPr>
        <xdr:cNvSpPr>
          <a:spLocks noChangeAspect="1" noChangeArrowheads="1"/>
        </xdr:cNvSpPr>
      </xdr:nvSpPr>
      <xdr:spPr bwMode="auto">
        <a:xfrm>
          <a:off x="13411200" y="7372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35" name="AutoShape 711" descr="NORWAY3"/>
        <xdr:cNvSpPr>
          <a:spLocks noChangeAspect="1" noChangeArrowheads="1"/>
        </xdr:cNvSpPr>
      </xdr:nvSpPr>
      <xdr:spPr bwMode="auto">
        <a:xfrm>
          <a:off x="0" y="73898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36" name="AutoShape 712" descr="https://www.soccerstats.com/img/own/sshplogo.png">
          <a:hlinkClick xmlns:r="http://schemas.openxmlformats.org/officeDocument/2006/relationships" r:id="rId356"/>
        </xdr:cNvPr>
        <xdr:cNvSpPr>
          <a:spLocks noChangeAspect="1" noChangeArrowheads="1"/>
        </xdr:cNvSpPr>
      </xdr:nvSpPr>
      <xdr:spPr bwMode="auto">
        <a:xfrm>
          <a:off x="13411200" y="73898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37" name="AutoShape 713" descr="NORWAY3"/>
        <xdr:cNvSpPr>
          <a:spLocks noChangeAspect="1" noChangeArrowheads="1"/>
        </xdr:cNvSpPr>
      </xdr:nvSpPr>
      <xdr:spPr bwMode="auto">
        <a:xfrm>
          <a:off x="0" y="74074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38" name="AutoShape 714" descr="https://www.soccerstats.com/img/own/sshplogo.png">
          <a:hlinkClick xmlns:r="http://schemas.openxmlformats.org/officeDocument/2006/relationships" r:id="rId357"/>
        </xdr:cNvPr>
        <xdr:cNvSpPr>
          <a:spLocks noChangeAspect="1" noChangeArrowheads="1"/>
        </xdr:cNvSpPr>
      </xdr:nvSpPr>
      <xdr:spPr bwMode="auto">
        <a:xfrm>
          <a:off x="13411200" y="74074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39" name="AutoShape 715" descr="NORWAY3"/>
        <xdr:cNvSpPr>
          <a:spLocks noChangeAspect="1" noChangeArrowheads="1"/>
        </xdr:cNvSpPr>
      </xdr:nvSpPr>
      <xdr:spPr bwMode="auto">
        <a:xfrm>
          <a:off x="0" y="74249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40" name="AutoShape 716" descr="https://www.soccerstats.com/img/own/sshplogo.png">
          <a:hlinkClick xmlns:r="http://schemas.openxmlformats.org/officeDocument/2006/relationships" r:id="rId358"/>
        </xdr:cNvPr>
        <xdr:cNvSpPr>
          <a:spLocks noChangeAspect="1" noChangeArrowheads="1"/>
        </xdr:cNvSpPr>
      </xdr:nvSpPr>
      <xdr:spPr bwMode="auto">
        <a:xfrm>
          <a:off x="13411200" y="74249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41" name="AutoShape 717" descr="NORWAY4"/>
        <xdr:cNvSpPr>
          <a:spLocks noChangeAspect="1" noChangeArrowheads="1"/>
        </xdr:cNvSpPr>
      </xdr:nvSpPr>
      <xdr:spPr bwMode="auto">
        <a:xfrm>
          <a:off x="0" y="7442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42" name="AutoShape 718" descr="https://www.soccerstats.com/img/own/sshplogo.png">
          <a:hlinkClick xmlns:r="http://schemas.openxmlformats.org/officeDocument/2006/relationships" r:id="rId359"/>
        </xdr:cNvPr>
        <xdr:cNvSpPr>
          <a:spLocks noChangeAspect="1" noChangeArrowheads="1"/>
        </xdr:cNvSpPr>
      </xdr:nvSpPr>
      <xdr:spPr bwMode="auto">
        <a:xfrm>
          <a:off x="13411200" y="7442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43" name="AutoShape 719" descr="NORWAY11"/>
        <xdr:cNvSpPr>
          <a:spLocks noChangeAspect="1" noChangeArrowheads="1"/>
        </xdr:cNvSpPr>
      </xdr:nvSpPr>
      <xdr:spPr bwMode="auto">
        <a:xfrm>
          <a:off x="0" y="74599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44" name="AutoShape 720" descr="https://www.soccerstats.com/img/own/sshplogo.png">
          <a:hlinkClick xmlns:r="http://schemas.openxmlformats.org/officeDocument/2006/relationships" r:id="rId360"/>
        </xdr:cNvPr>
        <xdr:cNvSpPr>
          <a:spLocks noChangeAspect="1" noChangeArrowheads="1"/>
        </xdr:cNvSpPr>
      </xdr:nvSpPr>
      <xdr:spPr bwMode="auto">
        <a:xfrm>
          <a:off x="13411200" y="74599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45" name="AutoShape 721" descr="NORWAY11"/>
        <xdr:cNvSpPr>
          <a:spLocks noChangeAspect="1" noChangeArrowheads="1"/>
        </xdr:cNvSpPr>
      </xdr:nvSpPr>
      <xdr:spPr bwMode="auto">
        <a:xfrm>
          <a:off x="0" y="7477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46" name="AutoShape 722" descr="https://www.soccerstats.com/img/own/sshplogo.png">
          <a:hlinkClick xmlns:r="http://schemas.openxmlformats.org/officeDocument/2006/relationships" r:id="rId361"/>
        </xdr:cNvPr>
        <xdr:cNvSpPr>
          <a:spLocks noChangeAspect="1" noChangeArrowheads="1"/>
        </xdr:cNvSpPr>
      </xdr:nvSpPr>
      <xdr:spPr bwMode="auto">
        <a:xfrm>
          <a:off x="13411200" y="7477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47" name="AutoShape 723" descr="NORWAY11"/>
        <xdr:cNvSpPr>
          <a:spLocks noChangeAspect="1" noChangeArrowheads="1"/>
        </xdr:cNvSpPr>
      </xdr:nvSpPr>
      <xdr:spPr bwMode="auto">
        <a:xfrm>
          <a:off x="0" y="75026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48" name="AutoShape 724" descr="https://www.soccerstats.com/img/own/sshplogo.png">
          <a:hlinkClick xmlns:r="http://schemas.openxmlformats.org/officeDocument/2006/relationships" r:id="rId362"/>
        </xdr:cNvPr>
        <xdr:cNvSpPr>
          <a:spLocks noChangeAspect="1" noChangeArrowheads="1"/>
        </xdr:cNvSpPr>
      </xdr:nvSpPr>
      <xdr:spPr bwMode="auto">
        <a:xfrm>
          <a:off x="13411200" y="75026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49" name="AutoShape 725" descr="NORWAY11"/>
        <xdr:cNvSpPr>
          <a:spLocks noChangeAspect="1" noChangeArrowheads="1"/>
        </xdr:cNvSpPr>
      </xdr:nvSpPr>
      <xdr:spPr bwMode="auto">
        <a:xfrm>
          <a:off x="0" y="75277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50" name="AutoShape 726" descr="https://www.soccerstats.com/img/own/sshplogo.png">
          <a:hlinkClick xmlns:r="http://schemas.openxmlformats.org/officeDocument/2006/relationships" r:id="rId363"/>
        </xdr:cNvPr>
        <xdr:cNvSpPr>
          <a:spLocks noChangeAspect="1" noChangeArrowheads="1"/>
        </xdr:cNvSpPr>
      </xdr:nvSpPr>
      <xdr:spPr bwMode="auto">
        <a:xfrm>
          <a:off x="13411200" y="75277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51" name="AutoShape 727" descr="NORWAY11"/>
        <xdr:cNvSpPr>
          <a:spLocks noChangeAspect="1" noChangeArrowheads="1"/>
        </xdr:cNvSpPr>
      </xdr:nvSpPr>
      <xdr:spPr bwMode="auto">
        <a:xfrm>
          <a:off x="0" y="75453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52" name="AutoShape 728" descr="https://www.soccerstats.com/img/own/sshplogo.png">
          <a:hlinkClick xmlns:r="http://schemas.openxmlformats.org/officeDocument/2006/relationships" r:id="rId364"/>
        </xdr:cNvPr>
        <xdr:cNvSpPr>
          <a:spLocks noChangeAspect="1" noChangeArrowheads="1"/>
        </xdr:cNvSpPr>
      </xdr:nvSpPr>
      <xdr:spPr bwMode="auto">
        <a:xfrm>
          <a:off x="13411200" y="75453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53" name="AutoShape 729" descr="PARAGUAY2"/>
        <xdr:cNvSpPr>
          <a:spLocks noChangeAspect="1" noChangeArrowheads="1"/>
        </xdr:cNvSpPr>
      </xdr:nvSpPr>
      <xdr:spPr bwMode="auto">
        <a:xfrm>
          <a:off x="0" y="75628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54" name="AutoShape 730" descr="https://www.soccerstats.com/img/own/sshplogo.png">
          <a:hlinkClick xmlns:r="http://schemas.openxmlformats.org/officeDocument/2006/relationships" r:id="rId365"/>
        </xdr:cNvPr>
        <xdr:cNvSpPr>
          <a:spLocks noChangeAspect="1" noChangeArrowheads="1"/>
        </xdr:cNvSpPr>
      </xdr:nvSpPr>
      <xdr:spPr bwMode="auto">
        <a:xfrm>
          <a:off x="13411200" y="7562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55" name="AutoShape 731" descr="PARAGUAY2"/>
        <xdr:cNvSpPr>
          <a:spLocks noChangeAspect="1" noChangeArrowheads="1"/>
        </xdr:cNvSpPr>
      </xdr:nvSpPr>
      <xdr:spPr bwMode="auto">
        <a:xfrm>
          <a:off x="0" y="75803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56" name="AutoShape 732" descr="https://www.soccerstats.com/img/own/sshplogo.png">
          <a:hlinkClick xmlns:r="http://schemas.openxmlformats.org/officeDocument/2006/relationships" r:id="rId366"/>
        </xdr:cNvPr>
        <xdr:cNvSpPr>
          <a:spLocks noChangeAspect="1" noChangeArrowheads="1"/>
        </xdr:cNvSpPr>
      </xdr:nvSpPr>
      <xdr:spPr bwMode="auto">
        <a:xfrm>
          <a:off x="13411200" y="75803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57" name="AutoShape 733" descr="PERU2"/>
        <xdr:cNvSpPr>
          <a:spLocks noChangeAspect="1" noChangeArrowheads="1"/>
        </xdr:cNvSpPr>
      </xdr:nvSpPr>
      <xdr:spPr bwMode="auto">
        <a:xfrm>
          <a:off x="0" y="75979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58" name="AutoShape 734" descr="https://www.soccerstats.com/img/own/sshplogo.png">
          <a:hlinkClick xmlns:r="http://schemas.openxmlformats.org/officeDocument/2006/relationships" r:id="rId367"/>
        </xdr:cNvPr>
        <xdr:cNvSpPr>
          <a:spLocks noChangeAspect="1" noChangeArrowheads="1"/>
        </xdr:cNvSpPr>
      </xdr:nvSpPr>
      <xdr:spPr bwMode="auto">
        <a:xfrm>
          <a:off x="13411200" y="75979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59" name="AutoShape 735" descr="PERU2"/>
        <xdr:cNvSpPr>
          <a:spLocks noChangeAspect="1" noChangeArrowheads="1"/>
        </xdr:cNvSpPr>
      </xdr:nvSpPr>
      <xdr:spPr bwMode="auto">
        <a:xfrm>
          <a:off x="0" y="76154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60" name="AutoShape 736" descr="https://www.soccerstats.com/img/own/sshplogo.png">
          <a:hlinkClick xmlns:r="http://schemas.openxmlformats.org/officeDocument/2006/relationships" r:id="rId368"/>
        </xdr:cNvPr>
        <xdr:cNvSpPr>
          <a:spLocks noChangeAspect="1" noChangeArrowheads="1"/>
        </xdr:cNvSpPr>
      </xdr:nvSpPr>
      <xdr:spPr bwMode="auto">
        <a:xfrm>
          <a:off x="13411200" y="76154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61" name="AutoShape 737" descr="PERU2"/>
        <xdr:cNvSpPr>
          <a:spLocks noChangeAspect="1" noChangeArrowheads="1"/>
        </xdr:cNvSpPr>
      </xdr:nvSpPr>
      <xdr:spPr bwMode="auto">
        <a:xfrm>
          <a:off x="0" y="76329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62" name="AutoShape 738" descr="https://www.soccerstats.com/img/own/sshplogo.png">
          <a:hlinkClick xmlns:r="http://schemas.openxmlformats.org/officeDocument/2006/relationships" r:id="rId369"/>
        </xdr:cNvPr>
        <xdr:cNvSpPr>
          <a:spLocks noChangeAspect="1" noChangeArrowheads="1"/>
        </xdr:cNvSpPr>
      </xdr:nvSpPr>
      <xdr:spPr bwMode="auto">
        <a:xfrm>
          <a:off x="13411200" y="76329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63" name="AutoShape 739" descr="PERU2"/>
        <xdr:cNvSpPr>
          <a:spLocks noChangeAspect="1" noChangeArrowheads="1"/>
        </xdr:cNvSpPr>
      </xdr:nvSpPr>
      <xdr:spPr bwMode="auto">
        <a:xfrm>
          <a:off x="0" y="76581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64" name="AutoShape 740" descr="https://www.soccerstats.com/img/own/sshplogo.png">
          <a:hlinkClick xmlns:r="http://schemas.openxmlformats.org/officeDocument/2006/relationships" r:id="rId370"/>
        </xdr:cNvPr>
        <xdr:cNvSpPr>
          <a:spLocks noChangeAspect="1" noChangeArrowheads="1"/>
        </xdr:cNvSpPr>
      </xdr:nvSpPr>
      <xdr:spPr bwMode="auto">
        <a:xfrm>
          <a:off x="13411200" y="765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65" name="AutoShape 741" descr="PERU2"/>
        <xdr:cNvSpPr>
          <a:spLocks noChangeAspect="1" noChangeArrowheads="1"/>
        </xdr:cNvSpPr>
      </xdr:nvSpPr>
      <xdr:spPr bwMode="auto">
        <a:xfrm>
          <a:off x="0" y="76756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66" name="AutoShape 742" descr="https://www.soccerstats.com/img/own/sshplogo.png">
          <a:hlinkClick xmlns:r="http://schemas.openxmlformats.org/officeDocument/2006/relationships" r:id="rId371"/>
        </xdr:cNvPr>
        <xdr:cNvSpPr>
          <a:spLocks noChangeAspect="1" noChangeArrowheads="1"/>
        </xdr:cNvSpPr>
      </xdr:nvSpPr>
      <xdr:spPr bwMode="auto">
        <a:xfrm>
          <a:off x="13411200" y="76756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67" name="AutoShape 743" descr="PERU2"/>
        <xdr:cNvSpPr>
          <a:spLocks noChangeAspect="1" noChangeArrowheads="1"/>
        </xdr:cNvSpPr>
      </xdr:nvSpPr>
      <xdr:spPr bwMode="auto">
        <a:xfrm>
          <a:off x="0" y="76931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68" name="AutoShape 744" descr="https://www.soccerstats.com/img/own/sshplogo.png">
          <a:hlinkClick xmlns:r="http://schemas.openxmlformats.org/officeDocument/2006/relationships" r:id="rId372"/>
        </xdr:cNvPr>
        <xdr:cNvSpPr>
          <a:spLocks noChangeAspect="1" noChangeArrowheads="1"/>
        </xdr:cNvSpPr>
      </xdr:nvSpPr>
      <xdr:spPr bwMode="auto">
        <a:xfrm>
          <a:off x="13411200" y="76931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69" name="AutoShape 745" descr="PERU2"/>
        <xdr:cNvSpPr>
          <a:spLocks noChangeAspect="1" noChangeArrowheads="1"/>
        </xdr:cNvSpPr>
      </xdr:nvSpPr>
      <xdr:spPr bwMode="auto">
        <a:xfrm>
          <a:off x="0" y="77106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70" name="AutoShape 746" descr="https://www.soccerstats.com/img/own/sshplogo.png">
          <a:hlinkClick xmlns:r="http://schemas.openxmlformats.org/officeDocument/2006/relationships" r:id="rId373"/>
        </xdr:cNvPr>
        <xdr:cNvSpPr>
          <a:spLocks noChangeAspect="1" noChangeArrowheads="1"/>
        </xdr:cNvSpPr>
      </xdr:nvSpPr>
      <xdr:spPr bwMode="auto">
        <a:xfrm>
          <a:off x="13411200" y="77106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71" name="AutoShape 747" descr="PERU2"/>
        <xdr:cNvSpPr>
          <a:spLocks noChangeAspect="1" noChangeArrowheads="1"/>
        </xdr:cNvSpPr>
      </xdr:nvSpPr>
      <xdr:spPr bwMode="auto">
        <a:xfrm>
          <a:off x="0" y="77282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72" name="AutoShape 748" descr="https://www.soccerstats.com/img/own/sshplogo.png">
          <a:hlinkClick xmlns:r="http://schemas.openxmlformats.org/officeDocument/2006/relationships" r:id="rId374"/>
        </xdr:cNvPr>
        <xdr:cNvSpPr>
          <a:spLocks noChangeAspect="1" noChangeArrowheads="1"/>
        </xdr:cNvSpPr>
      </xdr:nvSpPr>
      <xdr:spPr bwMode="auto">
        <a:xfrm>
          <a:off x="13411200" y="77282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73" name="AutoShape 749" descr="PERU2"/>
        <xdr:cNvSpPr>
          <a:spLocks noChangeAspect="1" noChangeArrowheads="1"/>
        </xdr:cNvSpPr>
      </xdr:nvSpPr>
      <xdr:spPr bwMode="auto">
        <a:xfrm>
          <a:off x="0" y="77533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74" name="AutoShape 750" descr="https://www.soccerstats.com/img/own/sshplogo.png">
          <a:hlinkClick xmlns:r="http://schemas.openxmlformats.org/officeDocument/2006/relationships" r:id="rId375"/>
        </xdr:cNvPr>
        <xdr:cNvSpPr>
          <a:spLocks noChangeAspect="1" noChangeArrowheads="1"/>
        </xdr:cNvSpPr>
      </xdr:nvSpPr>
      <xdr:spPr bwMode="auto">
        <a:xfrm>
          <a:off x="13411200" y="7753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75" name="AutoShape 751" descr="POLAND"/>
        <xdr:cNvSpPr>
          <a:spLocks noChangeAspect="1" noChangeArrowheads="1"/>
        </xdr:cNvSpPr>
      </xdr:nvSpPr>
      <xdr:spPr bwMode="auto">
        <a:xfrm>
          <a:off x="0" y="77784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76" name="AutoShape 752" descr="https://www.soccerstats.com/img/own/sshplogo.png">
          <a:hlinkClick xmlns:r="http://schemas.openxmlformats.org/officeDocument/2006/relationships" r:id="rId376"/>
        </xdr:cNvPr>
        <xdr:cNvSpPr>
          <a:spLocks noChangeAspect="1" noChangeArrowheads="1"/>
        </xdr:cNvSpPr>
      </xdr:nvSpPr>
      <xdr:spPr bwMode="auto">
        <a:xfrm>
          <a:off x="13411200" y="77784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77" name="AutoShape 753" descr="POLAND"/>
        <xdr:cNvSpPr>
          <a:spLocks noChangeAspect="1" noChangeArrowheads="1"/>
        </xdr:cNvSpPr>
      </xdr:nvSpPr>
      <xdr:spPr bwMode="auto">
        <a:xfrm>
          <a:off x="0" y="78036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78" name="AutoShape 754" descr="https://www.soccerstats.com/img/own/sshplogo.png">
          <a:hlinkClick xmlns:r="http://schemas.openxmlformats.org/officeDocument/2006/relationships" r:id="rId377"/>
        </xdr:cNvPr>
        <xdr:cNvSpPr>
          <a:spLocks noChangeAspect="1" noChangeArrowheads="1"/>
        </xdr:cNvSpPr>
      </xdr:nvSpPr>
      <xdr:spPr bwMode="auto">
        <a:xfrm>
          <a:off x="13411200" y="78036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79" name="AutoShape 755" descr="POLAND"/>
        <xdr:cNvSpPr>
          <a:spLocks noChangeAspect="1" noChangeArrowheads="1"/>
        </xdr:cNvSpPr>
      </xdr:nvSpPr>
      <xdr:spPr bwMode="auto">
        <a:xfrm>
          <a:off x="0" y="78211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80" name="AutoShape 756" descr="https://www.soccerstats.com/img/own/sshplogo.png">
          <a:hlinkClick xmlns:r="http://schemas.openxmlformats.org/officeDocument/2006/relationships" r:id="rId378"/>
        </xdr:cNvPr>
        <xdr:cNvSpPr>
          <a:spLocks noChangeAspect="1" noChangeArrowheads="1"/>
        </xdr:cNvSpPr>
      </xdr:nvSpPr>
      <xdr:spPr bwMode="auto">
        <a:xfrm>
          <a:off x="13411200" y="7821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81" name="AutoShape 757" descr="POLAND2"/>
        <xdr:cNvSpPr>
          <a:spLocks noChangeAspect="1" noChangeArrowheads="1"/>
        </xdr:cNvSpPr>
      </xdr:nvSpPr>
      <xdr:spPr bwMode="auto">
        <a:xfrm>
          <a:off x="0" y="78386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82" name="AutoShape 758" descr="https://www.soccerstats.com/img/own/sshplogo.png">
          <a:hlinkClick xmlns:r="http://schemas.openxmlformats.org/officeDocument/2006/relationships" r:id="rId379"/>
        </xdr:cNvPr>
        <xdr:cNvSpPr>
          <a:spLocks noChangeAspect="1" noChangeArrowheads="1"/>
        </xdr:cNvSpPr>
      </xdr:nvSpPr>
      <xdr:spPr bwMode="auto">
        <a:xfrm>
          <a:off x="13411200" y="78386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83" name="AutoShape 759" descr="POLAND2"/>
        <xdr:cNvSpPr>
          <a:spLocks noChangeAspect="1" noChangeArrowheads="1"/>
        </xdr:cNvSpPr>
      </xdr:nvSpPr>
      <xdr:spPr bwMode="auto">
        <a:xfrm>
          <a:off x="0" y="78638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84" name="AutoShape 760" descr="https://www.soccerstats.com/img/own/sshplogo.png">
          <a:hlinkClick xmlns:r="http://schemas.openxmlformats.org/officeDocument/2006/relationships" r:id="rId380"/>
        </xdr:cNvPr>
        <xdr:cNvSpPr>
          <a:spLocks noChangeAspect="1" noChangeArrowheads="1"/>
        </xdr:cNvSpPr>
      </xdr:nvSpPr>
      <xdr:spPr bwMode="auto">
        <a:xfrm>
          <a:off x="13411200" y="7863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85" name="AutoShape 761" descr="POLAND2"/>
        <xdr:cNvSpPr>
          <a:spLocks noChangeAspect="1" noChangeArrowheads="1"/>
        </xdr:cNvSpPr>
      </xdr:nvSpPr>
      <xdr:spPr bwMode="auto">
        <a:xfrm>
          <a:off x="0" y="78813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86" name="AutoShape 762" descr="https://www.soccerstats.com/img/own/sshplogo.png">
          <a:hlinkClick xmlns:r="http://schemas.openxmlformats.org/officeDocument/2006/relationships" r:id="rId381"/>
        </xdr:cNvPr>
        <xdr:cNvSpPr>
          <a:spLocks noChangeAspect="1" noChangeArrowheads="1"/>
        </xdr:cNvSpPr>
      </xdr:nvSpPr>
      <xdr:spPr bwMode="auto">
        <a:xfrm>
          <a:off x="13411200" y="78813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87" name="AutoShape 763" descr="POLAND3"/>
        <xdr:cNvSpPr>
          <a:spLocks noChangeAspect="1" noChangeArrowheads="1"/>
        </xdr:cNvSpPr>
      </xdr:nvSpPr>
      <xdr:spPr bwMode="auto">
        <a:xfrm>
          <a:off x="0" y="79065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88" name="AutoShape 764" descr="https://www.soccerstats.com/img/own/sshplogo.png">
          <a:hlinkClick xmlns:r="http://schemas.openxmlformats.org/officeDocument/2006/relationships" r:id="rId382"/>
        </xdr:cNvPr>
        <xdr:cNvSpPr>
          <a:spLocks noChangeAspect="1" noChangeArrowheads="1"/>
        </xdr:cNvSpPr>
      </xdr:nvSpPr>
      <xdr:spPr bwMode="auto">
        <a:xfrm>
          <a:off x="13411200" y="79065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89" name="AutoShape 765" descr="POLAND3"/>
        <xdr:cNvSpPr>
          <a:spLocks noChangeAspect="1" noChangeArrowheads="1"/>
        </xdr:cNvSpPr>
      </xdr:nvSpPr>
      <xdr:spPr bwMode="auto">
        <a:xfrm>
          <a:off x="0" y="79316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90" name="AutoShape 766" descr="https://www.soccerstats.com/img/own/sshplogo.png">
          <a:hlinkClick xmlns:r="http://schemas.openxmlformats.org/officeDocument/2006/relationships" r:id="rId383"/>
        </xdr:cNvPr>
        <xdr:cNvSpPr>
          <a:spLocks noChangeAspect="1" noChangeArrowheads="1"/>
        </xdr:cNvSpPr>
      </xdr:nvSpPr>
      <xdr:spPr bwMode="auto">
        <a:xfrm>
          <a:off x="13411200" y="79316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91" name="AutoShape 767" descr="POLAND3"/>
        <xdr:cNvSpPr>
          <a:spLocks noChangeAspect="1" noChangeArrowheads="1"/>
        </xdr:cNvSpPr>
      </xdr:nvSpPr>
      <xdr:spPr bwMode="auto">
        <a:xfrm>
          <a:off x="0" y="79568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92" name="AutoShape 768" descr="https://www.soccerstats.com/img/own/sshplogo.png">
          <a:hlinkClick xmlns:r="http://schemas.openxmlformats.org/officeDocument/2006/relationships" r:id="rId384"/>
        </xdr:cNvPr>
        <xdr:cNvSpPr>
          <a:spLocks noChangeAspect="1" noChangeArrowheads="1"/>
        </xdr:cNvSpPr>
      </xdr:nvSpPr>
      <xdr:spPr bwMode="auto">
        <a:xfrm>
          <a:off x="13411200" y="79568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93" name="AutoShape 769" descr="POLAND3"/>
        <xdr:cNvSpPr>
          <a:spLocks noChangeAspect="1" noChangeArrowheads="1"/>
        </xdr:cNvSpPr>
      </xdr:nvSpPr>
      <xdr:spPr bwMode="auto">
        <a:xfrm>
          <a:off x="0" y="7981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94" name="AutoShape 770" descr="https://www.soccerstats.com/img/own/sshplogo.png">
          <a:hlinkClick xmlns:r="http://schemas.openxmlformats.org/officeDocument/2006/relationships" r:id="rId385"/>
        </xdr:cNvPr>
        <xdr:cNvSpPr>
          <a:spLocks noChangeAspect="1" noChangeArrowheads="1"/>
        </xdr:cNvSpPr>
      </xdr:nvSpPr>
      <xdr:spPr bwMode="auto">
        <a:xfrm>
          <a:off x="13411200" y="798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95" name="AutoShape 771" descr="POLAND3"/>
        <xdr:cNvSpPr>
          <a:spLocks noChangeAspect="1" noChangeArrowheads="1"/>
        </xdr:cNvSpPr>
      </xdr:nvSpPr>
      <xdr:spPr bwMode="auto">
        <a:xfrm>
          <a:off x="0" y="80070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96" name="AutoShape 772" descr="https://www.soccerstats.com/img/own/sshplogo.png">
          <a:hlinkClick xmlns:r="http://schemas.openxmlformats.org/officeDocument/2006/relationships" r:id="rId386"/>
        </xdr:cNvPr>
        <xdr:cNvSpPr>
          <a:spLocks noChangeAspect="1" noChangeArrowheads="1"/>
        </xdr:cNvSpPr>
      </xdr:nvSpPr>
      <xdr:spPr bwMode="auto">
        <a:xfrm>
          <a:off x="13411200" y="80070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97" name="AutoShape 773" descr="PORTUGAL2"/>
        <xdr:cNvSpPr>
          <a:spLocks noChangeAspect="1" noChangeArrowheads="1"/>
        </xdr:cNvSpPr>
      </xdr:nvSpPr>
      <xdr:spPr bwMode="auto">
        <a:xfrm>
          <a:off x="0" y="80322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798" name="AutoShape 774" descr="https://www.soccerstats.com/img/own/sshplogo.png">
          <a:hlinkClick xmlns:r="http://schemas.openxmlformats.org/officeDocument/2006/relationships" r:id="rId387"/>
        </xdr:cNvPr>
        <xdr:cNvSpPr>
          <a:spLocks noChangeAspect="1" noChangeArrowheads="1"/>
        </xdr:cNvSpPr>
      </xdr:nvSpPr>
      <xdr:spPr bwMode="auto">
        <a:xfrm>
          <a:off x="13411200" y="80322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799" name="AutoShape 775" descr="PORTUGAL2"/>
        <xdr:cNvSpPr>
          <a:spLocks noChangeAspect="1" noChangeArrowheads="1"/>
        </xdr:cNvSpPr>
      </xdr:nvSpPr>
      <xdr:spPr bwMode="auto">
        <a:xfrm>
          <a:off x="0" y="8049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00" name="AutoShape 776" descr="https://www.soccerstats.com/img/own/sshplogo.png">
          <a:hlinkClick xmlns:r="http://schemas.openxmlformats.org/officeDocument/2006/relationships" r:id="rId388"/>
        </xdr:cNvPr>
        <xdr:cNvSpPr>
          <a:spLocks noChangeAspect="1" noChangeArrowheads="1"/>
        </xdr:cNvSpPr>
      </xdr:nvSpPr>
      <xdr:spPr bwMode="auto">
        <a:xfrm>
          <a:off x="13411200" y="8049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01" name="AutoShape 777" descr="PORTUGAL2"/>
        <xdr:cNvSpPr>
          <a:spLocks noChangeAspect="1" noChangeArrowheads="1"/>
        </xdr:cNvSpPr>
      </xdr:nvSpPr>
      <xdr:spPr bwMode="auto">
        <a:xfrm>
          <a:off x="0" y="80749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02" name="AutoShape 778" descr="https://www.soccerstats.com/img/own/sshplogo.png">
          <a:hlinkClick xmlns:r="http://schemas.openxmlformats.org/officeDocument/2006/relationships" r:id="rId389"/>
        </xdr:cNvPr>
        <xdr:cNvSpPr>
          <a:spLocks noChangeAspect="1" noChangeArrowheads="1"/>
        </xdr:cNvSpPr>
      </xdr:nvSpPr>
      <xdr:spPr bwMode="auto">
        <a:xfrm>
          <a:off x="13411200" y="80749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03" name="AutoShape 779" descr="ROMANIA"/>
        <xdr:cNvSpPr>
          <a:spLocks noChangeAspect="1" noChangeArrowheads="1"/>
        </xdr:cNvSpPr>
      </xdr:nvSpPr>
      <xdr:spPr bwMode="auto">
        <a:xfrm>
          <a:off x="0" y="80924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04" name="AutoShape 780" descr="https://www.soccerstats.com/img/own/sshplogo.png">
          <a:hlinkClick xmlns:r="http://schemas.openxmlformats.org/officeDocument/2006/relationships" r:id="rId390"/>
        </xdr:cNvPr>
        <xdr:cNvSpPr>
          <a:spLocks noChangeAspect="1" noChangeArrowheads="1"/>
        </xdr:cNvSpPr>
      </xdr:nvSpPr>
      <xdr:spPr bwMode="auto">
        <a:xfrm>
          <a:off x="13411200" y="80924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05" name="AutoShape 781" descr="ROMANIA"/>
        <xdr:cNvSpPr>
          <a:spLocks noChangeAspect="1" noChangeArrowheads="1"/>
        </xdr:cNvSpPr>
      </xdr:nvSpPr>
      <xdr:spPr bwMode="auto">
        <a:xfrm>
          <a:off x="0" y="81099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06" name="AutoShape 782" descr="https://www.soccerstats.com/img/own/sshplogo.png">
          <a:hlinkClick xmlns:r="http://schemas.openxmlformats.org/officeDocument/2006/relationships" r:id="rId391"/>
        </xdr:cNvPr>
        <xdr:cNvSpPr>
          <a:spLocks noChangeAspect="1" noChangeArrowheads="1"/>
        </xdr:cNvSpPr>
      </xdr:nvSpPr>
      <xdr:spPr bwMode="auto">
        <a:xfrm>
          <a:off x="13411200" y="81099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07" name="AutoShape 783" descr="RUSSIA"/>
        <xdr:cNvSpPr>
          <a:spLocks noChangeAspect="1" noChangeArrowheads="1"/>
        </xdr:cNvSpPr>
      </xdr:nvSpPr>
      <xdr:spPr bwMode="auto">
        <a:xfrm>
          <a:off x="0" y="81351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08" name="AutoShape 784" descr="https://www.soccerstats.com/img/own/sshplogo.png">
          <a:hlinkClick xmlns:r="http://schemas.openxmlformats.org/officeDocument/2006/relationships" r:id="rId392"/>
        </xdr:cNvPr>
        <xdr:cNvSpPr>
          <a:spLocks noChangeAspect="1" noChangeArrowheads="1"/>
        </xdr:cNvSpPr>
      </xdr:nvSpPr>
      <xdr:spPr bwMode="auto">
        <a:xfrm>
          <a:off x="13411200" y="81351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09" name="AutoShape 785" descr="RUSSIA"/>
        <xdr:cNvSpPr>
          <a:spLocks noChangeAspect="1" noChangeArrowheads="1"/>
        </xdr:cNvSpPr>
      </xdr:nvSpPr>
      <xdr:spPr bwMode="auto">
        <a:xfrm>
          <a:off x="0" y="81602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10" name="AutoShape 786" descr="https://www.soccerstats.com/img/own/sshplogo.png">
          <a:hlinkClick xmlns:r="http://schemas.openxmlformats.org/officeDocument/2006/relationships" r:id="rId393"/>
        </xdr:cNvPr>
        <xdr:cNvSpPr>
          <a:spLocks noChangeAspect="1" noChangeArrowheads="1"/>
        </xdr:cNvSpPr>
      </xdr:nvSpPr>
      <xdr:spPr bwMode="auto">
        <a:xfrm>
          <a:off x="13411200" y="81602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11" name="AutoShape 787" descr="RUSSIA"/>
        <xdr:cNvSpPr>
          <a:spLocks noChangeAspect="1" noChangeArrowheads="1"/>
        </xdr:cNvSpPr>
      </xdr:nvSpPr>
      <xdr:spPr bwMode="auto">
        <a:xfrm>
          <a:off x="0" y="81854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12" name="AutoShape 788" descr="https://www.soccerstats.com/img/own/sshplogo.png">
          <a:hlinkClick xmlns:r="http://schemas.openxmlformats.org/officeDocument/2006/relationships" r:id="rId394"/>
        </xdr:cNvPr>
        <xdr:cNvSpPr>
          <a:spLocks noChangeAspect="1" noChangeArrowheads="1"/>
        </xdr:cNvSpPr>
      </xdr:nvSpPr>
      <xdr:spPr bwMode="auto">
        <a:xfrm>
          <a:off x="13411200" y="81854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13" name="AutoShape 789" descr="RUSSIA"/>
        <xdr:cNvSpPr>
          <a:spLocks noChangeAspect="1" noChangeArrowheads="1"/>
        </xdr:cNvSpPr>
      </xdr:nvSpPr>
      <xdr:spPr bwMode="auto">
        <a:xfrm>
          <a:off x="0" y="82029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14" name="AutoShape 790" descr="https://www.soccerstats.com/img/own/sshplogo.png">
          <a:hlinkClick xmlns:r="http://schemas.openxmlformats.org/officeDocument/2006/relationships" r:id="rId395"/>
        </xdr:cNvPr>
        <xdr:cNvSpPr>
          <a:spLocks noChangeAspect="1" noChangeArrowheads="1"/>
        </xdr:cNvSpPr>
      </xdr:nvSpPr>
      <xdr:spPr bwMode="auto">
        <a:xfrm>
          <a:off x="13411200" y="8202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15" name="AutoShape 791" descr="SAUDIARABIA"/>
        <xdr:cNvSpPr>
          <a:spLocks noChangeAspect="1" noChangeArrowheads="1"/>
        </xdr:cNvSpPr>
      </xdr:nvSpPr>
      <xdr:spPr bwMode="auto">
        <a:xfrm>
          <a:off x="0" y="82280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16" name="AutoShape 792" descr="https://www.soccerstats.com/img/own/sshplogo.png">
          <a:hlinkClick xmlns:r="http://schemas.openxmlformats.org/officeDocument/2006/relationships" r:id="rId396"/>
        </xdr:cNvPr>
        <xdr:cNvSpPr>
          <a:spLocks noChangeAspect="1" noChangeArrowheads="1"/>
        </xdr:cNvSpPr>
      </xdr:nvSpPr>
      <xdr:spPr bwMode="auto">
        <a:xfrm>
          <a:off x="13411200" y="82280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17" name="AutoShape 793" descr="SAUDIARABIA"/>
        <xdr:cNvSpPr>
          <a:spLocks noChangeAspect="1" noChangeArrowheads="1"/>
        </xdr:cNvSpPr>
      </xdr:nvSpPr>
      <xdr:spPr bwMode="auto">
        <a:xfrm>
          <a:off x="0" y="82456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18" name="AutoShape 794" descr="https://www.soccerstats.com/img/own/sshplogo.png">
          <a:hlinkClick xmlns:r="http://schemas.openxmlformats.org/officeDocument/2006/relationships" r:id="rId397"/>
        </xdr:cNvPr>
        <xdr:cNvSpPr>
          <a:spLocks noChangeAspect="1" noChangeArrowheads="1"/>
        </xdr:cNvSpPr>
      </xdr:nvSpPr>
      <xdr:spPr bwMode="auto">
        <a:xfrm>
          <a:off x="13411200" y="82456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19" name="AutoShape 795" descr="SAUDIARABIA"/>
        <xdr:cNvSpPr>
          <a:spLocks noChangeAspect="1" noChangeArrowheads="1"/>
        </xdr:cNvSpPr>
      </xdr:nvSpPr>
      <xdr:spPr bwMode="auto">
        <a:xfrm>
          <a:off x="0" y="8263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20" name="AutoShape 796" descr="https://www.soccerstats.com/img/own/sshplogo.png">
          <a:hlinkClick xmlns:r="http://schemas.openxmlformats.org/officeDocument/2006/relationships" r:id="rId398"/>
        </xdr:cNvPr>
        <xdr:cNvSpPr>
          <a:spLocks noChangeAspect="1" noChangeArrowheads="1"/>
        </xdr:cNvSpPr>
      </xdr:nvSpPr>
      <xdr:spPr bwMode="auto">
        <a:xfrm>
          <a:off x="13411200" y="8263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21" name="AutoShape 797" descr="SCOTLAND3"/>
        <xdr:cNvSpPr>
          <a:spLocks noChangeAspect="1" noChangeArrowheads="1"/>
        </xdr:cNvSpPr>
      </xdr:nvSpPr>
      <xdr:spPr bwMode="auto">
        <a:xfrm>
          <a:off x="0" y="82806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22" name="AutoShape 798" descr="https://www.soccerstats.com/img/own/sshplogo.png">
          <a:hlinkClick xmlns:r="http://schemas.openxmlformats.org/officeDocument/2006/relationships" r:id="rId399"/>
        </xdr:cNvPr>
        <xdr:cNvSpPr>
          <a:spLocks noChangeAspect="1" noChangeArrowheads="1"/>
        </xdr:cNvSpPr>
      </xdr:nvSpPr>
      <xdr:spPr bwMode="auto">
        <a:xfrm>
          <a:off x="13411200" y="82806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23" name="AutoShape 799" descr="SCOTLAND3"/>
        <xdr:cNvSpPr>
          <a:spLocks noChangeAspect="1" noChangeArrowheads="1"/>
        </xdr:cNvSpPr>
      </xdr:nvSpPr>
      <xdr:spPr bwMode="auto">
        <a:xfrm>
          <a:off x="0" y="82981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24" name="AutoShape 800" descr="https://www.soccerstats.com/img/own/sshplogo.png">
          <a:hlinkClick xmlns:r="http://schemas.openxmlformats.org/officeDocument/2006/relationships" r:id="rId400"/>
        </xdr:cNvPr>
        <xdr:cNvSpPr>
          <a:spLocks noChangeAspect="1" noChangeArrowheads="1"/>
        </xdr:cNvSpPr>
      </xdr:nvSpPr>
      <xdr:spPr bwMode="auto">
        <a:xfrm>
          <a:off x="13411200" y="8298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25" name="AutoShape 801" descr="SCOTLAND3"/>
        <xdr:cNvSpPr>
          <a:spLocks noChangeAspect="1" noChangeArrowheads="1"/>
        </xdr:cNvSpPr>
      </xdr:nvSpPr>
      <xdr:spPr bwMode="auto">
        <a:xfrm>
          <a:off x="0" y="83157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26" name="AutoShape 802" descr="https://www.soccerstats.com/img/own/sshplogo.png">
          <a:hlinkClick xmlns:r="http://schemas.openxmlformats.org/officeDocument/2006/relationships" r:id="rId401"/>
        </xdr:cNvPr>
        <xdr:cNvSpPr>
          <a:spLocks noChangeAspect="1" noChangeArrowheads="1"/>
        </xdr:cNvSpPr>
      </xdr:nvSpPr>
      <xdr:spPr bwMode="auto">
        <a:xfrm>
          <a:off x="13411200" y="83157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27" name="AutoShape 803" descr="SCOTLAND3"/>
        <xdr:cNvSpPr>
          <a:spLocks noChangeAspect="1" noChangeArrowheads="1"/>
        </xdr:cNvSpPr>
      </xdr:nvSpPr>
      <xdr:spPr bwMode="auto">
        <a:xfrm>
          <a:off x="0" y="83332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28" name="AutoShape 804" descr="https://www.soccerstats.com/img/own/sshplogo.png">
          <a:hlinkClick xmlns:r="http://schemas.openxmlformats.org/officeDocument/2006/relationships" r:id="rId402"/>
        </xdr:cNvPr>
        <xdr:cNvSpPr>
          <a:spLocks noChangeAspect="1" noChangeArrowheads="1"/>
        </xdr:cNvSpPr>
      </xdr:nvSpPr>
      <xdr:spPr bwMode="auto">
        <a:xfrm>
          <a:off x="13411200" y="83332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29" name="AutoShape 805" descr="SCOTLAND4"/>
        <xdr:cNvSpPr>
          <a:spLocks noChangeAspect="1" noChangeArrowheads="1"/>
        </xdr:cNvSpPr>
      </xdr:nvSpPr>
      <xdr:spPr bwMode="auto">
        <a:xfrm>
          <a:off x="0" y="83507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30" name="AutoShape 806" descr="https://www.soccerstats.com/img/own/sshplogo.png">
          <a:hlinkClick xmlns:r="http://schemas.openxmlformats.org/officeDocument/2006/relationships" r:id="rId403"/>
        </xdr:cNvPr>
        <xdr:cNvSpPr>
          <a:spLocks noChangeAspect="1" noChangeArrowheads="1"/>
        </xdr:cNvSpPr>
      </xdr:nvSpPr>
      <xdr:spPr bwMode="auto">
        <a:xfrm>
          <a:off x="13411200" y="83507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31" name="AutoShape 807" descr="SCOTLAND4"/>
        <xdr:cNvSpPr>
          <a:spLocks noChangeAspect="1" noChangeArrowheads="1"/>
        </xdr:cNvSpPr>
      </xdr:nvSpPr>
      <xdr:spPr bwMode="auto">
        <a:xfrm>
          <a:off x="0" y="83759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32" name="AutoShape 808" descr="https://www.soccerstats.com/img/own/sshplogo.png">
          <a:hlinkClick xmlns:r="http://schemas.openxmlformats.org/officeDocument/2006/relationships" r:id="rId404"/>
        </xdr:cNvPr>
        <xdr:cNvSpPr>
          <a:spLocks noChangeAspect="1" noChangeArrowheads="1"/>
        </xdr:cNvSpPr>
      </xdr:nvSpPr>
      <xdr:spPr bwMode="auto">
        <a:xfrm>
          <a:off x="13411200" y="83759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33" name="AutoShape 809" descr="SCOTLAND4"/>
        <xdr:cNvSpPr>
          <a:spLocks noChangeAspect="1" noChangeArrowheads="1"/>
        </xdr:cNvSpPr>
      </xdr:nvSpPr>
      <xdr:spPr bwMode="auto">
        <a:xfrm>
          <a:off x="0" y="84010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34" name="AutoShape 810" descr="https://www.soccerstats.com/img/own/sshplogo.png">
          <a:hlinkClick xmlns:r="http://schemas.openxmlformats.org/officeDocument/2006/relationships" r:id="rId405"/>
        </xdr:cNvPr>
        <xdr:cNvSpPr>
          <a:spLocks noChangeAspect="1" noChangeArrowheads="1"/>
        </xdr:cNvSpPr>
      </xdr:nvSpPr>
      <xdr:spPr bwMode="auto">
        <a:xfrm>
          <a:off x="13411200" y="8401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35" name="AutoShape 811" descr="SCOTLAND4"/>
        <xdr:cNvSpPr>
          <a:spLocks noChangeAspect="1" noChangeArrowheads="1"/>
        </xdr:cNvSpPr>
      </xdr:nvSpPr>
      <xdr:spPr bwMode="auto">
        <a:xfrm>
          <a:off x="0" y="84185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36" name="AutoShape 812" descr="https://www.soccerstats.com/img/own/sshplogo.png">
          <a:hlinkClick xmlns:r="http://schemas.openxmlformats.org/officeDocument/2006/relationships" r:id="rId406"/>
        </xdr:cNvPr>
        <xdr:cNvSpPr>
          <a:spLocks noChangeAspect="1" noChangeArrowheads="1"/>
        </xdr:cNvSpPr>
      </xdr:nvSpPr>
      <xdr:spPr bwMode="auto">
        <a:xfrm>
          <a:off x="13411200" y="84185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37" name="AutoShape 813" descr="SCOTLAND4"/>
        <xdr:cNvSpPr>
          <a:spLocks noChangeAspect="1" noChangeArrowheads="1"/>
        </xdr:cNvSpPr>
      </xdr:nvSpPr>
      <xdr:spPr bwMode="auto">
        <a:xfrm>
          <a:off x="0" y="84437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38" name="AutoShape 814" descr="https://www.soccerstats.com/img/own/sshplogo.png">
          <a:hlinkClick xmlns:r="http://schemas.openxmlformats.org/officeDocument/2006/relationships" r:id="rId407"/>
        </xdr:cNvPr>
        <xdr:cNvSpPr>
          <a:spLocks noChangeAspect="1" noChangeArrowheads="1"/>
        </xdr:cNvSpPr>
      </xdr:nvSpPr>
      <xdr:spPr bwMode="auto">
        <a:xfrm>
          <a:off x="13411200" y="84437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39" name="AutoShape 815" descr="SERBIA"/>
        <xdr:cNvSpPr>
          <a:spLocks noChangeAspect="1" noChangeArrowheads="1"/>
        </xdr:cNvSpPr>
      </xdr:nvSpPr>
      <xdr:spPr bwMode="auto">
        <a:xfrm>
          <a:off x="0" y="84612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40" name="AutoShape 816" descr="https://www.soccerstats.com/img/own/sshplogo.png">
          <a:hlinkClick xmlns:r="http://schemas.openxmlformats.org/officeDocument/2006/relationships" r:id="rId408"/>
        </xdr:cNvPr>
        <xdr:cNvSpPr>
          <a:spLocks noChangeAspect="1" noChangeArrowheads="1"/>
        </xdr:cNvSpPr>
      </xdr:nvSpPr>
      <xdr:spPr bwMode="auto">
        <a:xfrm>
          <a:off x="13411200" y="84612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41" name="AutoShape 817" descr="SERBIA"/>
        <xdr:cNvSpPr>
          <a:spLocks noChangeAspect="1" noChangeArrowheads="1"/>
        </xdr:cNvSpPr>
      </xdr:nvSpPr>
      <xdr:spPr bwMode="auto">
        <a:xfrm>
          <a:off x="0" y="84787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42" name="AutoShape 818" descr="https://www.soccerstats.com/img/own/sshplogo.png">
          <a:hlinkClick xmlns:r="http://schemas.openxmlformats.org/officeDocument/2006/relationships" r:id="rId409"/>
        </xdr:cNvPr>
        <xdr:cNvSpPr>
          <a:spLocks noChangeAspect="1" noChangeArrowheads="1"/>
        </xdr:cNvSpPr>
      </xdr:nvSpPr>
      <xdr:spPr bwMode="auto">
        <a:xfrm>
          <a:off x="13411200" y="84787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43" name="AutoShape 819" descr="SERBIA"/>
        <xdr:cNvSpPr>
          <a:spLocks noChangeAspect="1" noChangeArrowheads="1"/>
        </xdr:cNvSpPr>
      </xdr:nvSpPr>
      <xdr:spPr bwMode="auto">
        <a:xfrm>
          <a:off x="0" y="85039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44" name="AutoShape 820" descr="https://www.soccerstats.com/img/own/sshplogo.png">
          <a:hlinkClick xmlns:r="http://schemas.openxmlformats.org/officeDocument/2006/relationships" r:id="rId410"/>
        </xdr:cNvPr>
        <xdr:cNvSpPr>
          <a:spLocks noChangeAspect="1" noChangeArrowheads="1"/>
        </xdr:cNvSpPr>
      </xdr:nvSpPr>
      <xdr:spPr bwMode="auto">
        <a:xfrm>
          <a:off x="13411200" y="8503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45" name="AutoShape 821" descr="SERBIA"/>
        <xdr:cNvSpPr>
          <a:spLocks noChangeAspect="1" noChangeArrowheads="1"/>
        </xdr:cNvSpPr>
      </xdr:nvSpPr>
      <xdr:spPr bwMode="auto">
        <a:xfrm>
          <a:off x="0" y="85214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46" name="AutoShape 822" descr="https://www.soccerstats.com/img/own/sshplogo.png">
          <a:hlinkClick xmlns:r="http://schemas.openxmlformats.org/officeDocument/2006/relationships" r:id="rId411"/>
        </xdr:cNvPr>
        <xdr:cNvSpPr>
          <a:spLocks noChangeAspect="1" noChangeArrowheads="1"/>
        </xdr:cNvSpPr>
      </xdr:nvSpPr>
      <xdr:spPr bwMode="auto">
        <a:xfrm>
          <a:off x="13411200" y="85214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47" name="AutoShape 823" descr="SERBIA"/>
        <xdr:cNvSpPr>
          <a:spLocks noChangeAspect="1" noChangeArrowheads="1"/>
        </xdr:cNvSpPr>
      </xdr:nvSpPr>
      <xdr:spPr bwMode="auto">
        <a:xfrm>
          <a:off x="0" y="85389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48" name="AutoShape 824" descr="https://www.soccerstats.com/img/own/sshplogo.png">
          <a:hlinkClick xmlns:r="http://schemas.openxmlformats.org/officeDocument/2006/relationships" r:id="rId412"/>
        </xdr:cNvPr>
        <xdr:cNvSpPr>
          <a:spLocks noChangeAspect="1" noChangeArrowheads="1"/>
        </xdr:cNvSpPr>
      </xdr:nvSpPr>
      <xdr:spPr bwMode="auto">
        <a:xfrm>
          <a:off x="13411200" y="85389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49" name="AutoShape 825" descr="SERBIA"/>
        <xdr:cNvSpPr>
          <a:spLocks noChangeAspect="1" noChangeArrowheads="1"/>
        </xdr:cNvSpPr>
      </xdr:nvSpPr>
      <xdr:spPr bwMode="auto">
        <a:xfrm>
          <a:off x="0" y="85564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50" name="AutoShape 826" descr="https://www.soccerstats.com/img/own/sshplogo.png">
          <a:hlinkClick xmlns:r="http://schemas.openxmlformats.org/officeDocument/2006/relationships" r:id="rId413"/>
        </xdr:cNvPr>
        <xdr:cNvSpPr>
          <a:spLocks noChangeAspect="1" noChangeArrowheads="1"/>
        </xdr:cNvSpPr>
      </xdr:nvSpPr>
      <xdr:spPr bwMode="auto">
        <a:xfrm>
          <a:off x="13411200" y="85564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51" name="AutoShape 827" descr="SERBIA"/>
        <xdr:cNvSpPr>
          <a:spLocks noChangeAspect="1" noChangeArrowheads="1"/>
        </xdr:cNvSpPr>
      </xdr:nvSpPr>
      <xdr:spPr bwMode="auto">
        <a:xfrm>
          <a:off x="0" y="85740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52" name="AutoShape 828" descr="https://www.soccerstats.com/img/own/sshplogo.png">
          <a:hlinkClick xmlns:r="http://schemas.openxmlformats.org/officeDocument/2006/relationships" r:id="rId414"/>
        </xdr:cNvPr>
        <xdr:cNvSpPr>
          <a:spLocks noChangeAspect="1" noChangeArrowheads="1"/>
        </xdr:cNvSpPr>
      </xdr:nvSpPr>
      <xdr:spPr bwMode="auto">
        <a:xfrm>
          <a:off x="13411200" y="85740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53" name="AutoShape 829" descr="SLOVAKIA"/>
        <xdr:cNvSpPr>
          <a:spLocks noChangeAspect="1" noChangeArrowheads="1"/>
        </xdr:cNvSpPr>
      </xdr:nvSpPr>
      <xdr:spPr bwMode="auto">
        <a:xfrm>
          <a:off x="0" y="85991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54" name="AutoShape 830" descr="https://www.soccerstats.com/img/own/sshplogo.png">
          <a:hlinkClick xmlns:r="http://schemas.openxmlformats.org/officeDocument/2006/relationships" r:id="rId415"/>
        </xdr:cNvPr>
        <xdr:cNvSpPr>
          <a:spLocks noChangeAspect="1" noChangeArrowheads="1"/>
        </xdr:cNvSpPr>
      </xdr:nvSpPr>
      <xdr:spPr bwMode="auto">
        <a:xfrm>
          <a:off x="13411200" y="8599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55" name="AutoShape 831" descr="SLOVAKIA"/>
        <xdr:cNvSpPr>
          <a:spLocks noChangeAspect="1" noChangeArrowheads="1"/>
        </xdr:cNvSpPr>
      </xdr:nvSpPr>
      <xdr:spPr bwMode="auto">
        <a:xfrm>
          <a:off x="0" y="86243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56" name="AutoShape 832" descr="https://www.soccerstats.com/img/own/sshplogo.png">
          <a:hlinkClick xmlns:r="http://schemas.openxmlformats.org/officeDocument/2006/relationships" r:id="rId416"/>
        </xdr:cNvPr>
        <xdr:cNvSpPr>
          <a:spLocks noChangeAspect="1" noChangeArrowheads="1"/>
        </xdr:cNvSpPr>
      </xdr:nvSpPr>
      <xdr:spPr bwMode="auto">
        <a:xfrm>
          <a:off x="13411200" y="86243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57" name="AutoShape 833" descr="SLOVAKIA"/>
        <xdr:cNvSpPr>
          <a:spLocks noChangeAspect="1" noChangeArrowheads="1"/>
        </xdr:cNvSpPr>
      </xdr:nvSpPr>
      <xdr:spPr bwMode="auto">
        <a:xfrm>
          <a:off x="0" y="86418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58" name="AutoShape 834" descr="https://www.soccerstats.com/img/own/sshplogo.png">
          <a:hlinkClick xmlns:r="http://schemas.openxmlformats.org/officeDocument/2006/relationships" r:id="rId417"/>
        </xdr:cNvPr>
        <xdr:cNvSpPr>
          <a:spLocks noChangeAspect="1" noChangeArrowheads="1"/>
        </xdr:cNvSpPr>
      </xdr:nvSpPr>
      <xdr:spPr bwMode="auto">
        <a:xfrm>
          <a:off x="13411200" y="86418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59" name="AutoShape 835" descr="SLOVAKIA"/>
        <xdr:cNvSpPr>
          <a:spLocks noChangeAspect="1" noChangeArrowheads="1"/>
        </xdr:cNvSpPr>
      </xdr:nvSpPr>
      <xdr:spPr bwMode="auto">
        <a:xfrm>
          <a:off x="0" y="86593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60" name="AutoShape 836" descr="https://www.soccerstats.com/img/own/sshplogo.png">
          <a:hlinkClick xmlns:r="http://schemas.openxmlformats.org/officeDocument/2006/relationships" r:id="rId418"/>
        </xdr:cNvPr>
        <xdr:cNvSpPr>
          <a:spLocks noChangeAspect="1" noChangeArrowheads="1"/>
        </xdr:cNvSpPr>
      </xdr:nvSpPr>
      <xdr:spPr bwMode="auto">
        <a:xfrm>
          <a:off x="13411200" y="86593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61" name="AutoShape 837" descr="SLOVENIA"/>
        <xdr:cNvSpPr>
          <a:spLocks noChangeAspect="1" noChangeArrowheads="1"/>
        </xdr:cNvSpPr>
      </xdr:nvSpPr>
      <xdr:spPr bwMode="auto">
        <a:xfrm>
          <a:off x="0" y="86768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62" name="AutoShape 838" descr="https://www.soccerstats.com/img/own/sshplogo.png">
          <a:hlinkClick xmlns:r="http://schemas.openxmlformats.org/officeDocument/2006/relationships" r:id="rId419"/>
        </xdr:cNvPr>
        <xdr:cNvSpPr>
          <a:spLocks noChangeAspect="1" noChangeArrowheads="1"/>
        </xdr:cNvSpPr>
      </xdr:nvSpPr>
      <xdr:spPr bwMode="auto">
        <a:xfrm>
          <a:off x="13411200" y="86768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63" name="AutoShape 839" descr="SLOVENIA"/>
        <xdr:cNvSpPr>
          <a:spLocks noChangeAspect="1" noChangeArrowheads="1"/>
        </xdr:cNvSpPr>
      </xdr:nvSpPr>
      <xdr:spPr bwMode="auto">
        <a:xfrm>
          <a:off x="0" y="86944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64" name="AutoShape 840" descr="https://www.soccerstats.com/img/own/sshplogo.png">
          <a:hlinkClick xmlns:r="http://schemas.openxmlformats.org/officeDocument/2006/relationships" r:id="rId420"/>
        </xdr:cNvPr>
        <xdr:cNvSpPr>
          <a:spLocks noChangeAspect="1" noChangeArrowheads="1"/>
        </xdr:cNvSpPr>
      </xdr:nvSpPr>
      <xdr:spPr bwMode="auto">
        <a:xfrm>
          <a:off x="13411200" y="86944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65" name="AutoShape 841" descr="SOUTHAFRICA"/>
        <xdr:cNvSpPr>
          <a:spLocks noChangeAspect="1" noChangeArrowheads="1"/>
        </xdr:cNvSpPr>
      </xdr:nvSpPr>
      <xdr:spPr bwMode="auto">
        <a:xfrm>
          <a:off x="0" y="87119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66" name="AutoShape 842" descr="https://www.soccerstats.com/img/own/sshplogo.png">
          <a:hlinkClick xmlns:r="http://schemas.openxmlformats.org/officeDocument/2006/relationships" r:id="rId421"/>
        </xdr:cNvPr>
        <xdr:cNvSpPr>
          <a:spLocks noChangeAspect="1" noChangeArrowheads="1"/>
        </xdr:cNvSpPr>
      </xdr:nvSpPr>
      <xdr:spPr bwMode="auto">
        <a:xfrm>
          <a:off x="13411200" y="87119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67" name="AutoShape 843" descr="SOUTHAFRICA"/>
        <xdr:cNvSpPr>
          <a:spLocks noChangeAspect="1" noChangeArrowheads="1"/>
        </xdr:cNvSpPr>
      </xdr:nvSpPr>
      <xdr:spPr bwMode="auto">
        <a:xfrm>
          <a:off x="0" y="87294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68" name="AutoShape 844" descr="https://www.soccerstats.com/img/own/sshplogo.png">
          <a:hlinkClick xmlns:r="http://schemas.openxmlformats.org/officeDocument/2006/relationships" r:id="rId422"/>
        </xdr:cNvPr>
        <xdr:cNvSpPr>
          <a:spLocks noChangeAspect="1" noChangeArrowheads="1"/>
        </xdr:cNvSpPr>
      </xdr:nvSpPr>
      <xdr:spPr bwMode="auto">
        <a:xfrm>
          <a:off x="13411200" y="87294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69" name="AutoShape 845" descr="SOUTHAFRICA"/>
        <xdr:cNvSpPr>
          <a:spLocks noChangeAspect="1" noChangeArrowheads="1"/>
        </xdr:cNvSpPr>
      </xdr:nvSpPr>
      <xdr:spPr bwMode="auto">
        <a:xfrm>
          <a:off x="0" y="87469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70" name="AutoShape 846" descr="https://www.soccerstats.com/img/own/sshplogo.png">
          <a:hlinkClick xmlns:r="http://schemas.openxmlformats.org/officeDocument/2006/relationships" r:id="rId423"/>
        </xdr:cNvPr>
        <xdr:cNvSpPr>
          <a:spLocks noChangeAspect="1" noChangeArrowheads="1"/>
        </xdr:cNvSpPr>
      </xdr:nvSpPr>
      <xdr:spPr bwMode="auto">
        <a:xfrm>
          <a:off x="13411200" y="87469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71" name="AutoShape 847" descr="SOUTHAFRICA"/>
        <xdr:cNvSpPr>
          <a:spLocks noChangeAspect="1" noChangeArrowheads="1"/>
        </xdr:cNvSpPr>
      </xdr:nvSpPr>
      <xdr:spPr bwMode="auto">
        <a:xfrm>
          <a:off x="0" y="87645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72" name="AutoShape 848" descr="https://www.soccerstats.com/img/own/sshplogo.png">
          <a:hlinkClick xmlns:r="http://schemas.openxmlformats.org/officeDocument/2006/relationships" r:id="rId424"/>
        </xdr:cNvPr>
        <xdr:cNvSpPr>
          <a:spLocks noChangeAspect="1" noChangeArrowheads="1"/>
        </xdr:cNvSpPr>
      </xdr:nvSpPr>
      <xdr:spPr bwMode="auto">
        <a:xfrm>
          <a:off x="13411200" y="87645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73" name="AutoShape 849" descr="SOUTHAFRICA"/>
        <xdr:cNvSpPr>
          <a:spLocks noChangeAspect="1" noChangeArrowheads="1"/>
        </xdr:cNvSpPr>
      </xdr:nvSpPr>
      <xdr:spPr bwMode="auto">
        <a:xfrm>
          <a:off x="0" y="87820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74" name="AutoShape 850" descr="https://www.soccerstats.com/img/own/sshplogo.png">
          <a:hlinkClick xmlns:r="http://schemas.openxmlformats.org/officeDocument/2006/relationships" r:id="rId425"/>
        </xdr:cNvPr>
        <xdr:cNvSpPr>
          <a:spLocks noChangeAspect="1" noChangeArrowheads="1"/>
        </xdr:cNvSpPr>
      </xdr:nvSpPr>
      <xdr:spPr bwMode="auto">
        <a:xfrm>
          <a:off x="13411200" y="8782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75" name="AutoShape 851" descr="SOUTHKOREA"/>
        <xdr:cNvSpPr>
          <a:spLocks noChangeAspect="1" noChangeArrowheads="1"/>
        </xdr:cNvSpPr>
      </xdr:nvSpPr>
      <xdr:spPr bwMode="auto">
        <a:xfrm>
          <a:off x="0" y="87995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76" name="AutoShape 852" descr="https://www.soccerstats.com/img/own/sshplogo.png">
          <a:hlinkClick xmlns:r="http://schemas.openxmlformats.org/officeDocument/2006/relationships" r:id="rId426"/>
        </xdr:cNvPr>
        <xdr:cNvSpPr>
          <a:spLocks noChangeAspect="1" noChangeArrowheads="1"/>
        </xdr:cNvSpPr>
      </xdr:nvSpPr>
      <xdr:spPr bwMode="auto">
        <a:xfrm>
          <a:off x="13411200" y="87995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77" name="AutoShape 853" descr="SOUTHKOREA"/>
        <xdr:cNvSpPr>
          <a:spLocks noChangeAspect="1" noChangeArrowheads="1"/>
        </xdr:cNvSpPr>
      </xdr:nvSpPr>
      <xdr:spPr bwMode="auto">
        <a:xfrm>
          <a:off x="0" y="88247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78" name="AutoShape 854" descr="https://www.soccerstats.com/img/own/sshplogo.png">
          <a:hlinkClick xmlns:r="http://schemas.openxmlformats.org/officeDocument/2006/relationships" r:id="rId427"/>
        </xdr:cNvPr>
        <xdr:cNvSpPr>
          <a:spLocks noChangeAspect="1" noChangeArrowheads="1"/>
        </xdr:cNvSpPr>
      </xdr:nvSpPr>
      <xdr:spPr bwMode="auto">
        <a:xfrm>
          <a:off x="13411200" y="88247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79" name="AutoShape 855" descr="SOUTHKOREA"/>
        <xdr:cNvSpPr>
          <a:spLocks noChangeAspect="1" noChangeArrowheads="1"/>
        </xdr:cNvSpPr>
      </xdr:nvSpPr>
      <xdr:spPr bwMode="auto">
        <a:xfrm>
          <a:off x="0" y="88422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80" name="AutoShape 856" descr="https://www.soccerstats.com/img/own/sshplogo.png">
          <a:hlinkClick xmlns:r="http://schemas.openxmlformats.org/officeDocument/2006/relationships" r:id="rId428"/>
        </xdr:cNvPr>
        <xdr:cNvSpPr>
          <a:spLocks noChangeAspect="1" noChangeArrowheads="1"/>
        </xdr:cNvSpPr>
      </xdr:nvSpPr>
      <xdr:spPr bwMode="auto">
        <a:xfrm>
          <a:off x="13411200" y="88422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81" name="AutoShape 857" descr="SOUTHKOREA2"/>
        <xdr:cNvSpPr>
          <a:spLocks noChangeAspect="1" noChangeArrowheads="1"/>
        </xdr:cNvSpPr>
      </xdr:nvSpPr>
      <xdr:spPr bwMode="auto">
        <a:xfrm>
          <a:off x="0" y="88673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82" name="AutoShape 858" descr="https://www.soccerstats.com/img/own/sshplogo.png">
          <a:hlinkClick xmlns:r="http://schemas.openxmlformats.org/officeDocument/2006/relationships" r:id="rId429"/>
        </xdr:cNvPr>
        <xdr:cNvSpPr>
          <a:spLocks noChangeAspect="1" noChangeArrowheads="1"/>
        </xdr:cNvSpPr>
      </xdr:nvSpPr>
      <xdr:spPr bwMode="auto">
        <a:xfrm>
          <a:off x="13411200" y="88673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83" name="AutoShape 859" descr="SOUTHKOREA2"/>
        <xdr:cNvSpPr>
          <a:spLocks noChangeAspect="1" noChangeArrowheads="1"/>
        </xdr:cNvSpPr>
      </xdr:nvSpPr>
      <xdr:spPr bwMode="auto">
        <a:xfrm>
          <a:off x="0" y="88849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84" name="AutoShape 860" descr="https://www.soccerstats.com/img/own/sshplogo.png">
          <a:hlinkClick xmlns:r="http://schemas.openxmlformats.org/officeDocument/2006/relationships" r:id="rId430"/>
        </xdr:cNvPr>
        <xdr:cNvSpPr>
          <a:spLocks noChangeAspect="1" noChangeArrowheads="1"/>
        </xdr:cNvSpPr>
      </xdr:nvSpPr>
      <xdr:spPr bwMode="auto">
        <a:xfrm>
          <a:off x="13411200" y="888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85" name="AutoShape 861" descr="SOUTHKOREA2"/>
        <xdr:cNvSpPr>
          <a:spLocks noChangeAspect="1" noChangeArrowheads="1"/>
        </xdr:cNvSpPr>
      </xdr:nvSpPr>
      <xdr:spPr bwMode="auto">
        <a:xfrm>
          <a:off x="0" y="89024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86" name="AutoShape 862" descr="https://www.soccerstats.com/img/own/sshplogo.png">
          <a:hlinkClick xmlns:r="http://schemas.openxmlformats.org/officeDocument/2006/relationships" r:id="rId431"/>
        </xdr:cNvPr>
        <xdr:cNvSpPr>
          <a:spLocks noChangeAspect="1" noChangeArrowheads="1"/>
        </xdr:cNvSpPr>
      </xdr:nvSpPr>
      <xdr:spPr bwMode="auto">
        <a:xfrm>
          <a:off x="13411200" y="89024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87" name="AutoShape 863" descr="SOUTHKOREA2"/>
        <xdr:cNvSpPr>
          <a:spLocks noChangeAspect="1" noChangeArrowheads="1"/>
        </xdr:cNvSpPr>
      </xdr:nvSpPr>
      <xdr:spPr bwMode="auto">
        <a:xfrm>
          <a:off x="0" y="89199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88" name="AutoShape 864" descr="https://www.soccerstats.com/img/own/sshplogo.png">
          <a:hlinkClick xmlns:r="http://schemas.openxmlformats.org/officeDocument/2006/relationships" r:id="rId432"/>
        </xdr:cNvPr>
        <xdr:cNvSpPr>
          <a:spLocks noChangeAspect="1" noChangeArrowheads="1"/>
        </xdr:cNvSpPr>
      </xdr:nvSpPr>
      <xdr:spPr bwMode="auto">
        <a:xfrm>
          <a:off x="13411200" y="89199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89" name="AutoShape 865" descr="SOUTHKOREA4"/>
        <xdr:cNvSpPr>
          <a:spLocks noChangeAspect="1" noChangeArrowheads="1"/>
        </xdr:cNvSpPr>
      </xdr:nvSpPr>
      <xdr:spPr bwMode="auto">
        <a:xfrm>
          <a:off x="0" y="89451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90" name="AutoShape 866" descr="https://www.soccerstats.com/img/own/sshplogo.png">
          <a:hlinkClick xmlns:r="http://schemas.openxmlformats.org/officeDocument/2006/relationships" r:id="rId433"/>
        </xdr:cNvPr>
        <xdr:cNvSpPr>
          <a:spLocks noChangeAspect="1" noChangeArrowheads="1"/>
        </xdr:cNvSpPr>
      </xdr:nvSpPr>
      <xdr:spPr bwMode="auto">
        <a:xfrm>
          <a:off x="13411200" y="89451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91" name="AutoShape 867" descr="SOUTHKOREA4"/>
        <xdr:cNvSpPr>
          <a:spLocks noChangeAspect="1" noChangeArrowheads="1"/>
        </xdr:cNvSpPr>
      </xdr:nvSpPr>
      <xdr:spPr bwMode="auto">
        <a:xfrm>
          <a:off x="0" y="89702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92" name="AutoShape 868" descr="https://www.soccerstats.com/img/own/sshplogo.png">
          <a:hlinkClick xmlns:r="http://schemas.openxmlformats.org/officeDocument/2006/relationships" r:id="rId434"/>
        </xdr:cNvPr>
        <xdr:cNvSpPr>
          <a:spLocks noChangeAspect="1" noChangeArrowheads="1"/>
        </xdr:cNvSpPr>
      </xdr:nvSpPr>
      <xdr:spPr bwMode="auto">
        <a:xfrm>
          <a:off x="13411200" y="89702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93" name="AutoShape 869" descr="SWEDEN"/>
        <xdr:cNvSpPr>
          <a:spLocks noChangeAspect="1" noChangeArrowheads="1"/>
        </xdr:cNvSpPr>
      </xdr:nvSpPr>
      <xdr:spPr bwMode="auto">
        <a:xfrm>
          <a:off x="0" y="89877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94" name="AutoShape 870" descr="https://www.soccerstats.com/img/own/sshplogo.png">
          <a:hlinkClick xmlns:r="http://schemas.openxmlformats.org/officeDocument/2006/relationships" r:id="rId435"/>
        </xdr:cNvPr>
        <xdr:cNvSpPr>
          <a:spLocks noChangeAspect="1" noChangeArrowheads="1"/>
        </xdr:cNvSpPr>
      </xdr:nvSpPr>
      <xdr:spPr bwMode="auto">
        <a:xfrm>
          <a:off x="13411200" y="89877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95" name="AutoShape 871" descr="SWEDEN2"/>
        <xdr:cNvSpPr>
          <a:spLocks noChangeAspect="1" noChangeArrowheads="1"/>
        </xdr:cNvSpPr>
      </xdr:nvSpPr>
      <xdr:spPr bwMode="auto">
        <a:xfrm>
          <a:off x="0" y="90053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96" name="AutoShape 872" descr="https://www.soccerstats.com/img/own/sshplogo.png">
          <a:hlinkClick xmlns:r="http://schemas.openxmlformats.org/officeDocument/2006/relationships" r:id="rId436"/>
        </xdr:cNvPr>
        <xdr:cNvSpPr>
          <a:spLocks noChangeAspect="1" noChangeArrowheads="1"/>
        </xdr:cNvSpPr>
      </xdr:nvSpPr>
      <xdr:spPr bwMode="auto">
        <a:xfrm>
          <a:off x="13411200" y="90053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97" name="AutoShape 873" descr="SWEDEN2"/>
        <xdr:cNvSpPr>
          <a:spLocks noChangeAspect="1" noChangeArrowheads="1"/>
        </xdr:cNvSpPr>
      </xdr:nvSpPr>
      <xdr:spPr bwMode="auto">
        <a:xfrm>
          <a:off x="0" y="90228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898" name="AutoShape 874" descr="https://www.soccerstats.com/img/own/sshplogo.png">
          <a:hlinkClick xmlns:r="http://schemas.openxmlformats.org/officeDocument/2006/relationships" r:id="rId437"/>
        </xdr:cNvPr>
        <xdr:cNvSpPr>
          <a:spLocks noChangeAspect="1" noChangeArrowheads="1"/>
        </xdr:cNvSpPr>
      </xdr:nvSpPr>
      <xdr:spPr bwMode="auto">
        <a:xfrm>
          <a:off x="13411200" y="90228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899" name="AutoShape 875" descr="SWEDEN2"/>
        <xdr:cNvSpPr>
          <a:spLocks noChangeAspect="1" noChangeArrowheads="1"/>
        </xdr:cNvSpPr>
      </xdr:nvSpPr>
      <xdr:spPr bwMode="auto">
        <a:xfrm>
          <a:off x="0" y="90403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00" name="AutoShape 876" descr="https://www.soccerstats.com/img/own/sshplogo.png">
          <a:hlinkClick xmlns:r="http://schemas.openxmlformats.org/officeDocument/2006/relationships" r:id="rId438"/>
        </xdr:cNvPr>
        <xdr:cNvSpPr>
          <a:spLocks noChangeAspect="1" noChangeArrowheads="1"/>
        </xdr:cNvSpPr>
      </xdr:nvSpPr>
      <xdr:spPr bwMode="auto">
        <a:xfrm>
          <a:off x="13411200" y="90403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01" name="AutoShape 877" descr="SWEDEN2"/>
        <xdr:cNvSpPr>
          <a:spLocks noChangeAspect="1" noChangeArrowheads="1"/>
        </xdr:cNvSpPr>
      </xdr:nvSpPr>
      <xdr:spPr bwMode="auto">
        <a:xfrm>
          <a:off x="0" y="90655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02" name="AutoShape 878" descr="https://www.soccerstats.com/img/own/sshplogo.png">
          <a:hlinkClick xmlns:r="http://schemas.openxmlformats.org/officeDocument/2006/relationships" r:id="rId439"/>
        </xdr:cNvPr>
        <xdr:cNvSpPr>
          <a:spLocks noChangeAspect="1" noChangeArrowheads="1"/>
        </xdr:cNvSpPr>
      </xdr:nvSpPr>
      <xdr:spPr bwMode="auto">
        <a:xfrm>
          <a:off x="13411200" y="90655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03" name="AutoShape 879" descr="SWEDEN2"/>
        <xdr:cNvSpPr>
          <a:spLocks noChangeAspect="1" noChangeArrowheads="1"/>
        </xdr:cNvSpPr>
      </xdr:nvSpPr>
      <xdr:spPr bwMode="auto">
        <a:xfrm>
          <a:off x="0" y="90830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04" name="AutoShape 880" descr="https://www.soccerstats.com/img/own/sshplogo.png">
          <a:hlinkClick xmlns:r="http://schemas.openxmlformats.org/officeDocument/2006/relationships" r:id="rId440"/>
        </xdr:cNvPr>
        <xdr:cNvSpPr>
          <a:spLocks noChangeAspect="1" noChangeArrowheads="1"/>
        </xdr:cNvSpPr>
      </xdr:nvSpPr>
      <xdr:spPr bwMode="auto">
        <a:xfrm>
          <a:off x="13411200" y="90830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05" name="AutoShape 881" descr="SWEDEN3"/>
        <xdr:cNvSpPr>
          <a:spLocks noChangeAspect="1" noChangeArrowheads="1"/>
        </xdr:cNvSpPr>
      </xdr:nvSpPr>
      <xdr:spPr bwMode="auto">
        <a:xfrm>
          <a:off x="0" y="91005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06" name="AutoShape 882" descr="https://www.soccerstats.com/img/own/sshplogo.png">
          <a:hlinkClick xmlns:r="http://schemas.openxmlformats.org/officeDocument/2006/relationships" r:id="rId441"/>
        </xdr:cNvPr>
        <xdr:cNvSpPr>
          <a:spLocks noChangeAspect="1" noChangeArrowheads="1"/>
        </xdr:cNvSpPr>
      </xdr:nvSpPr>
      <xdr:spPr bwMode="auto">
        <a:xfrm>
          <a:off x="13411200" y="91005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07" name="AutoShape 883" descr="SWEDEN3"/>
        <xdr:cNvSpPr>
          <a:spLocks noChangeAspect="1" noChangeArrowheads="1"/>
        </xdr:cNvSpPr>
      </xdr:nvSpPr>
      <xdr:spPr bwMode="auto">
        <a:xfrm>
          <a:off x="0" y="91180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08" name="AutoShape 884" descr="https://www.soccerstats.com/img/own/sshplogo.png">
          <a:hlinkClick xmlns:r="http://schemas.openxmlformats.org/officeDocument/2006/relationships" r:id="rId442"/>
        </xdr:cNvPr>
        <xdr:cNvSpPr>
          <a:spLocks noChangeAspect="1" noChangeArrowheads="1"/>
        </xdr:cNvSpPr>
      </xdr:nvSpPr>
      <xdr:spPr bwMode="auto">
        <a:xfrm>
          <a:off x="13411200" y="91180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09" name="AutoShape 885" descr="SWEDEN3"/>
        <xdr:cNvSpPr>
          <a:spLocks noChangeAspect="1" noChangeArrowheads="1"/>
        </xdr:cNvSpPr>
      </xdr:nvSpPr>
      <xdr:spPr bwMode="auto">
        <a:xfrm>
          <a:off x="0" y="91356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10" name="AutoShape 886" descr="https://www.soccerstats.com/img/own/sshplogo.png">
          <a:hlinkClick xmlns:r="http://schemas.openxmlformats.org/officeDocument/2006/relationships" r:id="rId443"/>
        </xdr:cNvPr>
        <xdr:cNvSpPr>
          <a:spLocks noChangeAspect="1" noChangeArrowheads="1"/>
        </xdr:cNvSpPr>
      </xdr:nvSpPr>
      <xdr:spPr bwMode="auto">
        <a:xfrm>
          <a:off x="13411200" y="91356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11" name="AutoShape 887" descr="SWEDEN3"/>
        <xdr:cNvSpPr>
          <a:spLocks noChangeAspect="1" noChangeArrowheads="1"/>
        </xdr:cNvSpPr>
      </xdr:nvSpPr>
      <xdr:spPr bwMode="auto">
        <a:xfrm>
          <a:off x="0" y="91531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12" name="AutoShape 888" descr="https://www.soccerstats.com/img/own/sshplogo.png">
          <a:hlinkClick xmlns:r="http://schemas.openxmlformats.org/officeDocument/2006/relationships" r:id="rId444"/>
        </xdr:cNvPr>
        <xdr:cNvSpPr>
          <a:spLocks noChangeAspect="1" noChangeArrowheads="1"/>
        </xdr:cNvSpPr>
      </xdr:nvSpPr>
      <xdr:spPr bwMode="auto">
        <a:xfrm>
          <a:off x="13411200" y="91531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13" name="AutoShape 889" descr="SWEDEN4"/>
        <xdr:cNvSpPr>
          <a:spLocks noChangeAspect="1" noChangeArrowheads="1"/>
        </xdr:cNvSpPr>
      </xdr:nvSpPr>
      <xdr:spPr bwMode="auto">
        <a:xfrm>
          <a:off x="0" y="91706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14" name="AutoShape 890" descr="https://www.soccerstats.com/img/own/sshplogo.png">
          <a:hlinkClick xmlns:r="http://schemas.openxmlformats.org/officeDocument/2006/relationships" r:id="rId445"/>
        </xdr:cNvPr>
        <xdr:cNvSpPr>
          <a:spLocks noChangeAspect="1" noChangeArrowheads="1"/>
        </xdr:cNvSpPr>
      </xdr:nvSpPr>
      <xdr:spPr bwMode="auto">
        <a:xfrm>
          <a:off x="13411200" y="91706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15" name="AutoShape 891" descr="SWEDEN4"/>
        <xdr:cNvSpPr>
          <a:spLocks noChangeAspect="1" noChangeArrowheads="1"/>
        </xdr:cNvSpPr>
      </xdr:nvSpPr>
      <xdr:spPr bwMode="auto">
        <a:xfrm>
          <a:off x="0" y="91881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16" name="AutoShape 892" descr="https://www.soccerstats.com/img/own/sshplogo.png">
          <a:hlinkClick xmlns:r="http://schemas.openxmlformats.org/officeDocument/2006/relationships" r:id="rId446"/>
        </xdr:cNvPr>
        <xdr:cNvSpPr>
          <a:spLocks noChangeAspect="1" noChangeArrowheads="1"/>
        </xdr:cNvSpPr>
      </xdr:nvSpPr>
      <xdr:spPr bwMode="auto">
        <a:xfrm>
          <a:off x="13411200" y="91881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17" name="AutoShape 893" descr="SWEDEN4"/>
        <xdr:cNvSpPr>
          <a:spLocks noChangeAspect="1" noChangeArrowheads="1"/>
        </xdr:cNvSpPr>
      </xdr:nvSpPr>
      <xdr:spPr bwMode="auto">
        <a:xfrm>
          <a:off x="0" y="92057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18" name="AutoShape 894" descr="https://www.soccerstats.com/img/own/sshplogo.png">
          <a:hlinkClick xmlns:r="http://schemas.openxmlformats.org/officeDocument/2006/relationships" r:id="rId447"/>
        </xdr:cNvPr>
        <xdr:cNvSpPr>
          <a:spLocks noChangeAspect="1" noChangeArrowheads="1"/>
        </xdr:cNvSpPr>
      </xdr:nvSpPr>
      <xdr:spPr bwMode="auto">
        <a:xfrm>
          <a:off x="13411200" y="92057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19" name="AutoShape 895" descr="SWEDEN4"/>
        <xdr:cNvSpPr>
          <a:spLocks noChangeAspect="1" noChangeArrowheads="1"/>
        </xdr:cNvSpPr>
      </xdr:nvSpPr>
      <xdr:spPr bwMode="auto">
        <a:xfrm>
          <a:off x="0" y="92232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20" name="AutoShape 896" descr="https://www.soccerstats.com/img/own/sshplogo.png">
          <a:hlinkClick xmlns:r="http://schemas.openxmlformats.org/officeDocument/2006/relationships" r:id="rId448"/>
        </xdr:cNvPr>
        <xdr:cNvSpPr>
          <a:spLocks noChangeAspect="1" noChangeArrowheads="1"/>
        </xdr:cNvSpPr>
      </xdr:nvSpPr>
      <xdr:spPr bwMode="auto">
        <a:xfrm>
          <a:off x="13411200" y="92232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21" name="AutoShape 897" descr="SWEDEN11"/>
        <xdr:cNvSpPr>
          <a:spLocks noChangeAspect="1" noChangeArrowheads="1"/>
        </xdr:cNvSpPr>
      </xdr:nvSpPr>
      <xdr:spPr bwMode="auto">
        <a:xfrm>
          <a:off x="0" y="92407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22" name="AutoShape 898" descr="https://www.soccerstats.com/img/own/sshplogo.png">
          <a:hlinkClick xmlns:r="http://schemas.openxmlformats.org/officeDocument/2006/relationships" r:id="rId449"/>
        </xdr:cNvPr>
        <xdr:cNvSpPr>
          <a:spLocks noChangeAspect="1" noChangeArrowheads="1"/>
        </xdr:cNvSpPr>
      </xdr:nvSpPr>
      <xdr:spPr bwMode="auto">
        <a:xfrm>
          <a:off x="13411200" y="92407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23" name="AutoShape 899" descr="SWEDEN11"/>
        <xdr:cNvSpPr>
          <a:spLocks noChangeAspect="1" noChangeArrowheads="1"/>
        </xdr:cNvSpPr>
      </xdr:nvSpPr>
      <xdr:spPr bwMode="auto">
        <a:xfrm>
          <a:off x="0" y="92583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24" name="AutoShape 900" descr="https://www.soccerstats.com/img/own/sshplogo.png">
          <a:hlinkClick xmlns:r="http://schemas.openxmlformats.org/officeDocument/2006/relationships" r:id="rId450"/>
        </xdr:cNvPr>
        <xdr:cNvSpPr>
          <a:spLocks noChangeAspect="1" noChangeArrowheads="1"/>
        </xdr:cNvSpPr>
      </xdr:nvSpPr>
      <xdr:spPr bwMode="auto">
        <a:xfrm>
          <a:off x="13411200" y="9258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25" name="AutoShape 901" descr="SWEDEN11"/>
        <xdr:cNvSpPr>
          <a:spLocks noChangeAspect="1" noChangeArrowheads="1"/>
        </xdr:cNvSpPr>
      </xdr:nvSpPr>
      <xdr:spPr bwMode="auto">
        <a:xfrm>
          <a:off x="0" y="92758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26" name="AutoShape 902" descr="https://www.soccerstats.com/img/own/sshplogo.png">
          <a:hlinkClick xmlns:r="http://schemas.openxmlformats.org/officeDocument/2006/relationships" r:id="rId451"/>
        </xdr:cNvPr>
        <xdr:cNvSpPr>
          <a:spLocks noChangeAspect="1" noChangeArrowheads="1"/>
        </xdr:cNvSpPr>
      </xdr:nvSpPr>
      <xdr:spPr bwMode="auto">
        <a:xfrm>
          <a:off x="13411200" y="92758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27" name="AutoShape 903" descr="SWEDEN11"/>
        <xdr:cNvSpPr>
          <a:spLocks noChangeAspect="1" noChangeArrowheads="1"/>
        </xdr:cNvSpPr>
      </xdr:nvSpPr>
      <xdr:spPr bwMode="auto">
        <a:xfrm>
          <a:off x="0" y="93009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28" name="AutoShape 904" descr="https://www.soccerstats.com/img/own/sshplogo.png">
          <a:hlinkClick xmlns:r="http://schemas.openxmlformats.org/officeDocument/2006/relationships" r:id="rId452"/>
        </xdr:cNvPr>
        <xdr:cNvSpPr>
          <a:spLocks noChangeAspect="1" noChangeArrowheads="1"/>
        </xdr:cNvSpPr>
      </xdr:nvSpPr>
      <xdr:spPr bwMode="auto">
        <a:xfrm>
          <a:off x="13411200" y="93009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29" name="AutoShape 905" descr="SWEDEN11"/>
        <xdr:cNvSpPr>
          <a:spLocks noChangeAspect="1" noChangeArrowheads="1"/>
        </xdr:cNvSpPr>
      </xdr:nvSpPr>
      <xdr:spPr bwMode="auto">
        <a:xfrm>
          <a:off x="0" y="93261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30" name="AutoShape 906" descr="https://www.soccerstats.com/img/own/sshplogo.png">
          <a:hlinkClick xmlns:r="http://schemas.openxmlformats.org/officeDocument/2006/relationships" r:id="rId453"/>
        </xdr:cNvPr>
        <xdr:cNvSpPr>
          <a:spLocks noChangeAspect="1" noChangeArrowheads="1"/>
        </xdr:cNvSpPr>
      </xdr:nvSpPr>
      <xdr:spPr bwMode="auto">
        <a:xfrm>
          <a:off x="13411200" y="93261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31" name="AutoShape 907" descr="TURKEY"/>
        <xdr:cNvSpPr>
          <a:spLocks noChangeAspect="1" noChangeArrowheads="1"/>
        </xdr:cNvSpPr>
      </xdr:nvSpPr>
      <xdr:spPr bwMode="auto">
        <a:xfrm>
          <a:off x="0" y="93512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32" name="AutoShape 908" descr="https://www.soccerstats.com/img/own/sshplogo.png">
          <a:hlinkClick xmlns:r="http://schemas.openxmlformats.org/officeDocument/2006/relationships" r:id="rId454"/>
        </xdr:cNvPr>
        <xdr:cNvSpPr>
          <a:spLocks noChangeAspect="1" noChangeArrowheads="1"/>
        </xdr:cNvSpPr>
      </xdr:nvSpPr>
      <xdr:spPr bwMode="auto">
        <a:xfrm>
          <a:off x="13411200" y="93512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33" name="AutoShape 909" descr="TURKEY"/>
        <xdr:cNvSpPr>
          <a:spLocks noChangeAspect="1" noChangeArrowheads="1"/>
        </xdr:cNvSpPr>
      </xdr:nvSpPr>
      <xdr:spPr bwMode="auto">
        <a:xfrm>
          <a:off x="0" y="93687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34" name="AutoShape 910" descr="https://www.soccerstats.com/img/own/sshplogo.png">
          <a:hlinkClick xmlns:r="http://schemas.openxmlformats.org/officeDocument/2006/relationships" r:id="rId455"/>
        </xdr:cNvPr>
        <xdr:cNvSpPr>
          <a:spLocks noChangeAspect="1" noChangeArrowheads="1"/>
        </xdr:cNvSpPr>
      </xdr:nvSpPr>
      <xdr:spPr bwMode="auto">
        <a:xfrm>
          <a:off x="13411200" y="93687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35" name="AutoShape 911" descr="TURKEY"/>
        <xdr:cNvSpPr>
          <a:spLocks noChangeAspect="1" noChangeArrowheads="1"/>
        </xdr:cNvSpPr>
      </xdr:nvSpPr>
      <xdr:spPr bwMode="auto">
        <a:xfrm>
          <a:off x="0" y="93863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36" name="AutoShape 912" descr="https://www.soccerstats.com/img/own/sshplogo.png">
          <a:hlinkClick xmlns:r="http://schemas.openxmlformats.org/officeDocument/2006/relationships" r:id="rId456"/>
        </xdr:cNvPr>
        <xdr:cNvSpPr>
          <a:spLocks noChangeAspect="1" noChangeArrowheads="1"/>
        </xdr:cNvSpPr>
      </xdr:nvSpPr>
      <xdr:spPr bwMode="auto">
        <a:xfrm>
          <a:off x="13411200" y="93863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37" name="AutoShape 913" descr="TURKEY"/>
        <xdr:cNvSpPr>
          <a:spLocks noChangeAspect="1" noChangeArrowheads="1"/>
        </xdr:cNvSpPr>
      </xdr:nvSpPr>
      <xdr:spPr bwMode="auto">
        <a:xfrm>
          <a:off x="0" y="94038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38" name="AutoShape 914" descr="https://www.soccerstats.com/img/own/sshplogo.png">
          <a:hlinkClick xmlns:r="http://schemas.openxmlformats.org/officeDocument/2006/relationships" r:id="rId457"/>
        </xdr:cNvPr>
        <xdr:cNvSpPr>
          <a:spLocks noChangeAspect="1" noChangeArrowheads="1"/>
        </xdr:cNvSpPr>
      </xdr:nvSpPr>
      <xdr:spPr bwMode="auto">
        <a:xfrm>
          <a:off x="13411200" y="94038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39" name="AutoShape 915" descr="TURKEY2"/>
        <xdr:cNvSpPr>
          <a:spLocks noChangeAspect="1" noChangeArrowheads="1"/>
        </xdr:cNvSpPr>
      </xdr:nvSpPr>
      <xdr:spPr bwMode="auto">
        <a:xfrm>
          <a:off x="0" y="94213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40" name="AutoShape 916" descr="https://www.soccerstats.com/img/own/sshplogo.png">
          <a:hlinkClick xmlns:r="http://schemas.openxmlformats.org/officeDocument/2006/relationships" r:id="rId458"/>
        </xdr:cNvPr>
        <xdr:cNvSpPr>
          <a:spLocks noChangeAspect="1" noChangeArrowheads="1"/>
        </xdr:cNvSpPr>
      </xdr:nvSpPr>
      <xdr:spPr bwMode="auto">
        <a:xfrm>
          <a:off x="13411200" y="94213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41" name="AutoShape 917" descr="TURKEY2"/>
        <xdr:cNvSpPr>
          <a:spLocks noChangeAspect="1" noChangeArrowheads="1"/>
        </xdr:cNvSpPr>
      </xdr:nvSpPr>
      <xdr:spPr bwMode="auto">
        <a:xfrm>
          <a:off x="0" y="94465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42" name="AutoShape 918" descr="https://www.soccerstats.com/img/own/sshplogo.png">
          <a:hlinkClick xmlns:r="http://schemas.openxmlformats.org/officeDocument/2006/relationships" r:id="rId459"/>
        </xdr:cNvPr>
        <xdr:cNvSpPr>
          <a:spLocks noChangeAspect="1" noChangeArrowheads="1"/>
        </xdr:cNvSpPr>
      </xdr:nvSpPr>
      <xdr:spPr bwMode="auto">
        <a:xfrm>
          <a:off x="13411200" y="94465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43" name="AutoShape 919" descr="TURKEY2"/>
        <xdr:cNvSpPr>
          <a:spLocks noChangeAspect="1" noChangeArrowheads="1"/>
        </xdr:cNvSpPr>
      </xdr:nvSpPr>
      <xdr:spPr bwMode="auto">
        <a:xfrm>
          <a:off x="0" y="94640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44" name="AutoShape 920" descr="https://www.soccerstats.com/img/own/sshplogo.png">
          <a:hlinkClick xmlns:r="http://schemas.openxmlformats.org/officeDocument/2006/relationships" r:id="rId460"/>
        </xdr:cNvPr>
        <xdr:cNvSpPr>
          <a:spLocks noChangeAspect="1" noChangeArrowheads="1"/>
        </xdr:cNvSpPr>
      </xdr:nvSpPr>
      <xdr:spPr bwMode="auto">
        <a:xfrm>
          <a:off x="13411200" y="94640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45" name="AutoShape 921" descr="TURKEY2"/>
        <xdr:cNvSpPr>
          <a:spLocks noChangeAspect="1" noChangeArrowheads="1"/>
        </xdr:cNvSpPr>
      </xdr:nvSpPr>
      <xdr:spPr bwMode="auto">
        <a:xfrm>
          <a:off x="0" y="94815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46" name="AutoShape 922" descr="https://www.soccerstats.com/img/own/sshplogo.png">
          <a:hlinkClick xmlns:r="http://schemas.openxmlformats.org/officeDocument/2006/relationships" r:id="rId461"/>
        </xdr:cNvPr>
        <xdr:cNvSpPr>
          <a:spLocks noChangeAspect="1" noChangeArrowheads="1"/>
        </xdr:cNvSpPr>
      </xdr:nvSpPr>
      <xdr:spPr bwMode="auto">
        <a:xfrm>
          <a:off x="13411200" y="94815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47" name="AutoShape 923" descr="UKRAINE"/>
        <xdr:cNvSpPr>
          <a:spLocks noChangeAspect="1" noChangeArrowheads="1"/>
        </xdr:cNvSpPr>
      </xdr:nvSpPr>
      <xdr:spPr bwMode="auto">
        <a:xfrm>
          <a:off x="0" y="94990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48" name="AutoShape 924" descr="https://www.soccerstats.com/img/own/sshplogo.png">
          <a:hlinkClick xmlns:r="http://schemas.openxmlformats.org/officeDocument/2006/relationships" r:id="rId462"/>
        </xdr:cNvPr>
        <xdr:cNvSpPr>
          <a:spLocks noChangeAspect="1" noChangeArrowheads="1"/>
        </xdr:cNvSpPr>
      </xdr:nvSpPr>
      <xdr:spPr bwMode="auto">
        <a:xfrm>
          <a:off x="13411200" y="94990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49" name="AutoShape 925" descr="UKRAINE"/>
        <xdr:cNvSpPr>
          <a:spLocks noChangeAspect="1" noChangeArrowheads="1"/>
        </xdr:cNvSpPr>
      </xdr:nvSpPr>
      <xdr:spPr bwMode="auto">
        <a:xfrm>
          <a:off x="0" y="95166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50" name="AutoShape 926" descr="https://www.soccerstats.com/img/own/sshplogo.png">
          <a:hlinkClick xmlns:r="http://schemas.openxmlformats.org/officeDocument/2006/relationships" r:id="rId463"/>
        </xdr:cNvPr>
        <xdr:cNvSpPr>
          <a:spLocks noChangeAspect="1" noChangeArrowheads="1"/>
        </xdr:cNvSpPr>
      </xdr:nvSpPr>
      <xdr:spPr bwMode="auto">
        <a:xfrm>
          <a:off x="13411200" y="95166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51" name="AutoShape 927" descr="UKRAINE"/>
        <xdr:cNvSpPr>
          <a:spLocks noChangeAspect="1" noChangeArrowheads="1"/>
        </xdr:cNvSpPr>
      </xdr:nvSpPr>
      <xdr:spPr bwMode="auto">
        <a:xfrm>
          <a:off x="0" y="95341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52" name="AutoShape 928" descr="https://www.soccerstats.com/img/own/sshplogo.png">
          <a:hlinkClick xmlns:r="http://schemas.openxmlformats.org/officeDocument/2006/relationships" r:id="rId464"/>
        </xdr:cNvPr>
        <xdr:cNvSpPr>
          <a:spLocks noChangeAspect="1" noChangeArrowheads="1"/>
        </xdr:cNvSpPr>
      </xdr:nvSpPr>
      <xdr:spPr bwMode="auto">
        <a:xfrm>
          <a:off x="13411200" y="95341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53" name="AutoShape 929" descr="URUGUAY3"/>
        <xdr:cNvSpPr>
          <a:spLocks noChangeAspect="1" noChangeArrowheads="1"/>
        </xdr:cNvSpPr>
      </xdr:nvSpPr>
      <xdr:spPr bwMode="auto">
        <a:xfrm>
          <a:off x="0" y="95516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54" name="AutoShape 930" descr="https://www.soccerstats.com/img/own/sshplogo.png">
          <a:hlinkClick xmlns:r="http://schemas.openxmlformats.org/officeDocument/2006/relationships" r:id="rId465"/>
        </xdr:cNvPr>
        <xdr:cNvSpPr>
          <a:spLocks noChangeAspect="1" noChangeArrowheads="1"/>
        </xdr:cNvSpPr>
      </xdr:nvSpPr>
      <xdr:spPr bwMode="auto">
        <a:xfrm>
          <a:off x="13411200" y="95516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55" name="AutoShape 931" descr="URUGUAY3"/>
        <xdr:cNvSpPr>
          <a:spLocks noChangeAspect="1" noChangeArrowheads="1"/>
        </xdr:cNvSpPr>
      </xdr:nvSpPr>
      <xdr:spPr bwMode="auto">
        <a:xfrm>
          <a:off x="0" y="95768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56" name="AutoShape 932" descr="https://www.soccerstats.com/img/own/sshplogo.png">
          <a:hlinkClick xmlns:r="http://schemas.openxmlformats.org/officeDocument/2006/relationships" r:id="rId466"/>
        </xdr:cNvPr>
        <xdr:cNvSpPr>
          <a:spLocks noChangeAspect="1" noChangeArrowheads="1"/>
        </xdr:cNvSpPr>
      </xdr:nvSpPr>
      <xdr:spPr bwMode="auto">
        <a:xfrm>
          <a:off x="13411200" y="95768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57" name="AutoShape 933" descr="URUGUAY3"/>
        <xdr:cNvSpPr>
          <a:spLocks noChangeAspect="1" noChangeArrowheads="1"/>
        </xdr:cNvSpPr>
      </xdr:nvSpPr>
      <xdr:spPr bwMode="auto">
        <a:xfrm>
          <a:off x="0" y="95943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58" name="AutoShape 934" descr="https://www.soccerstats.com/img/own/sshplogo.png">
          <a:hlinkClick xmlns:r="http://schemas.openxmlformats.org/officeDocument/2006/relationships" r:id="rId467"/>
        </xdr:cNvPr>
        <xdr:cNvSpPr>
          <a:spLocks noChangeAspect="1" noChangeArrowheads="1"/>
        </xdr:cNvSpPr>
      </xdr:nvSpPr>
      <xdr:spPr bwMode="auto">
        <a:xfrm>
          <a:off x="13411200" y="95943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59" name="AutoShape 935" descr="USA"/>
        <xdr:cNvSpPr>
          <a:spLocks noChangeAspect="1" noChangeArrowheads="1"/>
        </xdr:cNvSpPr>
      </xdr:nvSpPr>
      <xdr:spPr bwMode="auto">
        <a:xfrm>
          <a:off x="0" y="96118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60" name="AutoShape 936" descr="https://www.soccerstats.com/img/own/sshplogo.png">
          <a:hlinkClick xmlns:r="http://schemas.openxmlformats.org/officeDocument/2006/relationships" r:id="rId468"/>
        </xdr:cNvPr>
        <xdr:cNvSpPr>
          <a:spLocks noChangeAspect="1" noChangeArrowheads="1"/>
        </xdr:cNvSpPr>
      </xdr:nvSpPr>
      <xdr:spPr bwMode="auto">
        <a:xfrm>
          <a:off x="13411200" y="96118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61" name="AutoShape 937" descr="USA"/>
        <xdr:cNvSpPr>
          <a:spLocks noChangeAspect="1" noChangeArrowheads="1"/>
        </xdr:cNvSpPr>
      </xdr:nvSpPr>
      <xdr:spPr bwMode="auto">
        <a:xfrm>
          <a:off x="0" y="96293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62" name="AutoShape 938" descr="https://www.soccerstats.com/img/own/sshplogo.png">
          <a:hlinkClick xmlns:r="http://schemas.openxmlformats.org/officeDocument/2006/relationships" r:id="rId469"/>
        </xdr:cNvPr>
        <xdr:cNvSpPr>
          <a:spLocks noChangeAspect="1" noChangeArrowheads="1"/>
        </xdr:cNvSpPr>
      </xdr:nvSpPr>
      <xdr:spPr bwMode="auto">
        <a:xfrm>
          <a:off x="13411200" y="96293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63" name="AutoShape 939" descr="USA"/>
        <xdr:cNvSpPr>
          <a:spLocks noChangeAspect="1" noChangeArrowheads="1"/>
        </xdr:cNvSpPr>
      </xdr:nvSpPr>
      <xdr:spPr bwMode="auto">
        <a:xfrm>
          <a:off x="0" y="96469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64" name="AutoShape 940" descr="https://www.soccerstats.com/img/own/sshplogo.png">
          <a:hlinkClick xmlns:r="http://schemas.openxmlformats.org/officeDocument/2006/relationships" r:id="rId470"/>
        </xdr:cNvPr>
        <xdr:cNvSpPr>
          <a:spLocks noChangeAspect="1" noChangeArrowheads="1"/>
        </xdr:cNvSpPr>
      </xdr:nvSpPr>
      <xdr:spPr bwMode="auto">
        <a:xfrm>
          <a:off x="13411200" y="9646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65" name="AutoShape 941" descr="USA"/>
        <xdr:cNvSpPr>
          <a:spLocks noChangeAspect="1" noChangeArrowheads="1"/>
        </xdr:cNvSpPr>
      </xdr:nvSpPr>
      <xdr:spPr bwMode="auto">
        <a:xfrm>
          <a:off x="0" y="96720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66" name="AutoShape 942" descr="https://www.soccerstats.com/img/own/sshplogo.png">
          <a:hlinkClick xmlns:r="http://schemas.openxmlformats.org/officeDocument/2006/relationships" r:id="rId471"/>
        </xdr:cNvPr>
        <xdr:cNvSpPr>
          <a:spLocks noChangeAspect="1" noChangeArrowheads="1"/>
        </xdr:cNvSpPr>
      </xdr:nvSpPr>
      <xdr:spPr bwMode="auto">
        <a:xfrm>
          <a:off x="13411200" y="96720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67" name="AutoShape 943" descr="USA"/>
        <xdr:cNvSpPr>
          <a:spLocks noChangeAspect="1" noChangeArrowheads="1"/>
        </xdr:cNvSpPr>
      </xdr:nvSpPr>
      <xdr:spPr bwMode="auto">
        <a:xfrm>
          <a:off x="0" y="96895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68" name="AutoShape 944" descr="https://www.soccerstats.com/img/own/sshplogo.png">
          <a:hlinkClick xmlns:r="http://schemas.openxmlformats.org/officeDocument/2006/relationships" r:id="rId472"/>
        </xdr:cNvPr>
        <xdr:cNvSpPr>
          <a:spLocks noChangeAspect="1" noChangeArrowheads="1"/>
        </xdr:cNvSpPr>
      </xdr:nvSpPr>
      <xdr:spPr bwMode="auto">
        <a:xfrm>
          <a:off x="13411200" y="96895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69" name="AutoShape 945" descr="USA2"/>
        <xdr:cNvSpPr>
          <a:spLocks noChangeAspect="1" noChangeArrowheads="1"/>
        </xdr:cNvSpPr>
      </xdr:nvSpPr>
      <xdr:spPr bwMode="auto">
        <a:xfrm>
          <a:off x="0" y="97071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70" name="AutoShape 946" descr="https://www.soccerstats.com/img/own/sshplogo.png">
          <a:hlinkClick xmlns:r="http://schemas.openxmlformats.org/officeDocument/2006/relationships" r:id="rId473"/>
        </xdr:cNvPr>
        <xdr:cNvSpPr>
          <a:spLocks noChangeAspect="1" noChangeArrowheads="1"/>
        </xdr:cNvSpPr>
      </xdr:nvSpPr>
      <xdr:spPr bwMode="auto">
        <a:xfrm>
          <a:off x="13411200" y="97071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71" name="AutoShape 947" descr="USA2"/>
        <xdr:cNvSpPr>
          <a:spLocks noChangeAspect="1" noChangeArrowheads="1"/>
        </xdr:cNvSpPr>
      </xdr:nvSpPr>
      <xdr:spPr bwMode="auto">
        <a:xfrm>
          <a:off x="0" y="97246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72" name="AutoShape 948" descr="https://www.soccerstats.com/img/own/sshplogo.png">
          <a:hlinkClick xmlns:r="http://schemas.openxmlformats.org/officeDocument/2006/relationships" r:id="rId474"/>
        </xdr:cNvPr>
        <xdr:cNvSpPr>
          <a:spLocks noChangeAspect="1" noChangeArrowheads="1"/>
        </xdr:cNvSpPr>
      </xdr:nvSpPr>
      <xdr:spPr bwMode="auto">
        <a:xfrm>
          <a:off x="13411200" y="97246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73" name="AutoShape 949" descr="USA2"/>
        <xdr:cNvSpPr>
          <a:spLocks noChangeAspect="1" noChangeArrowheads="1"/>
        </xdr:cNvSpPr>
      </xdr:nvSpPr>
      <xdr:spPr bwMode="auto">
        <a:xfrm>
          <a:off x="0" y="97421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74" name="AutoShape 950" descr="https://www.soccerstats.com/img/own/sshplogo.png">
          <a:hlinkClick xmlns:r="http://schemas.openxmlformats.org/officeDocument/2006/relationships" r:id="rId475"/>
        </xdr:cNvPr>
        <xdr:cNvSpPr>
          <a:spLocks noChangeAspect="1" noChangeArrowheads="1"/>
        </xdr:cNvSpPr>
      </xdr:nvSpPr>
      <xdr:spPr bwMode="auto">
        <a:xfrm>
          <a:off x="13411200" y="9742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75" name="AutoShape 951" descr="USA2"/>
        <xdr:cNvSpPr>
          <a:spLocks noChangeAspect="1" noChangeArrowheads="1"/>
        </xdr:cNvSpPr>
      </xdr:nvSpPr>
      <xdr:spPr bwMode="auto">
        <a:xfrm>
          <a:off x="0" y="97596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76" name="AutoShape 952" descr="https://www.soccerstats.com/img/own/sshplogo.png">
          <a:hlinkClick xmlns:r="http://schemas.openxmlformats.org/officeDocument/2006/relationships" r:id="rId476"/>
        </xdr:cNvPr>
        <xdr:cNvSpPr>
          <a:spLocks noChangeAspect="1" noChangeArrowheads="1"/>
        </xdr:cNvSpPr>
      </xdr:nvSpPr>
      <xdr:spPr bwMode="auto">
        <a:xfrm>
          <a:off x="13411200" y="97596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77" name="AutoShape 953" descr="USA2"/>
        <xdr:cNvSpPr>
          <a:spLocks noChangeAspect="1" noChangeArrowheads="1"/>
        </xdr:cNvSpPr>
      </xdr:nvSpPr>
      <xdr:spPr bwMode="auto">
        <a:xfrm>
          <a:off x="0" y="97772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78" name="AutoShape 954" descr="https://www.soccerstats.com/img/own/sshplogo.png">
          <a:hlinkClick xmlns:r="http://schemas.openxmlformats.org/officeDocument/2006/relationships" r:id="rId477"/>
        </xdr:cNvPr>
        <xdr:cNvSpPr>
          <a:spLocks noChangeAspect="1" noChangeArrowheads="1"/>
        </xdr:cNvSpPr>
      </xdr:nvSpPr>
      <xdr:spPr bwMode="auto">
        <a:xfrm>
          <a:off x="13411200" y="97772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79" name="AutoShape 955" descr="USA3"/>
        <xdr:cNvSpPr>
          <a:spLocks noChangeAspect="1" noChangeArrowheads="1"/>
        </xdr:cNvSpPr>
      </xdr:nvSpPr>
      <xdr:spPr bwMode="auto">
        <a:xfrm>
          <a:off x="0" y="97947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80" name="AutoShape 956" descr="https://www.soccerstats.com/img/own/sshplogo.png">
          <a:hlinkClick xmlns:r="http://schemas.openxmlformats.org/officeDocument/2006/relationships" r:id="rId478"/>
        </xdr:cNvPr>
        <xdr:cNvSpPr>
          <a:spLocks noChangeAspect="1" noChangeArrowheads="1"/>
        </xdr:cNvSpPr>
      </xdr:nvSpPr>
      <xdr:spPr bwMode="auto">
        <a:xfrm>
          <a:off x="13411200" y="97947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81" name="AutoShape 957" descr="USA3"/>
        <xdr:cNvSpPr>
          <a:spLocks noChangeAspect="1" noChangeArrowheads="1"/>
        </xdr:cNvSpPr>
      </xdr:nvSpPr>
      <xdr:spPr bwMode="auto">
        <a:xfrm>
          <a:off x="0" y="98122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82" name="AutoShape 958" descr="https://www.soccerstats.com/img/own/sshplogo.png">
          <a:hlinkClick xmlns:r="http://schemas.openxmlformats.org/officeDocument/2006/relationships" r:id="rId479"/>
        </xdr:cNvPr>
        <xdr:cNvSpPr>
          <a:spLocks noChangeAspect="1" noChangeArrowheads="1"/>
        </xdr:cNvSpPr>
      </xdr:nvSpPr>
      <xdr:spPr bwMode="auto">
        <a:xfrm>
          <a:off x="13411200" y="98122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83" name="AutoShape 959" descr="USA3"/>
        <xdr:cNvSpPr>
          <a:spLocks noChangeAspect="1" noChangeArrowheads="1"/>
        </xdr:cNvSpPr>
      </xdr:nvSpPr>
      <xdr:spPr bwMode="auto">
        <a:xfrm>
          <a:off x="0" y="98298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84" name="AutoShape 960" descr="https://www.soccerstats.com/img/own/sshplogo.png">
          <a:hlinkClick xmlns:r="http://schemas.openxmlformats.org/officeDocument/2006/relationships" r:id="rId480"/>
        </xdr:cNvPr>
        <xdr:cNvSpPr>
          <a:spLocks noChangeAspect="1" noChangeArrowheads="1"/>
        </xdr:cNvSpPr>
      </xdr:nvSpPr>
      <xdr:spPr bwMode="auto">
        <a:xfrm>
          <a:off x="13411200" y="9829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85" name="AutoShape 961" descr="USA3"/>
        <xdr:cNvSpPr>
          <a:spLocks noChangeAspect="1" noChangeArrowheads="1"/>
        </xdr:cNvSpPr>
      </xdr:nvSpPr>
      <xdr:spPr bwMode="auto">
        <a:xfrm>
          <a:off x="0" y="98473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86" name="AutoShape 962" descr="https://www.soccerstats.com/img/own/sshplogo.png">
          <a:hlinkClick xmlns:r="http://schemas.openxmlformats.org/officeDocument/2006/relationships" r:id="rId481"/>
        </xdr:cNvPr>
        <xdr:cNvSpPr>
          <a:spLocks noChangeAspect="1" noChangeArrowheads="1"/>
        </xdr:cNvSpPr>
      </xdr:nvSpPr>
      <xdr:spPr bwMode="auto">
        <a:xfrm>
          <a:off x="13411200" y="98473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87" name="AutoShape 963" descr="USA3"/>
        <xdr:cNvSpPr>
          <a:spLocks noChangeAspect="1" noChangeArrowheads="1"/>
        </xdr:cNvSpPr>
      </xdr:nvSpPr>
      <xdr:spPr bwMode="auto">
        <a:xfrm>
          <a:off x="0" y="98724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88" name="AutoShape 964" descr="https://www.soccerstats.com/img/own/sshplogo.png">
          <a:hlinkClick xmlns:r="http://schemas.openxmlformats.org/officeDocument/2006/relationships" r:id="rId482"/>
        </xdr:cNvPr>
        <xdr:cNvSpPr>
          <a:spLocks noChangeAspect="1" noChangeArrowheads="1"/>
        </xdr:cNvSpPr>
      </xdr:nvSpPr>
      <xdr:spPr bwMode="auto">
        <a:xfrm>
          <a:off x="13411200" y="98724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89" name="AutoShape 965" descr="USA6"/>
        <xdr:cNvSpPr>
          <a:spLocks noChangeAspect="1" noChangeArrowheads="1"/>
        </xdr:cNvSpPr>
      </xdr:nvSpPr>
      <xdr:spPr bwMode="auto">
        <a:xfrm>
          <a:off x="0" y="98976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90" name="AutoShape 966" descr="https://www.soccerstats.com/img/own/sshplogo.png">
          <a:hlinkClick xmlns:r="http://schemas.openxmlformats.org/officeDocument/2006/relationships" r:id="rId483"/>
        </xdr:cNvPr>
        <xdr:cNvSpPr>
          <a:spLocks noChangeAspect="1" noChangeArrowheads="1"/>
        </xdr:cNvSpPr>
      </xdr:nvSpPr>
      <xdr:spPr bwMode="auto">
        <a:xfrm>
          <a:off x="13411200" y="98976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91" name="AutoShape 967" descr="USA6"/>
        <xdr:cNvSpPr>
          <a:spLocks noChangeAspect="1" noChangeArrowheads="1"/>
        </xdr:cNvSpPr>
      </xdr:nvSpPr>
      <xdr:spPr bwMode="auto">
        <a:xfrm>
          <a:off x="0" y="99227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92" name="AutoShape 968" descr="https://www.soccerstats.com/img/own/sshplogo.png">
          <a:hlinkClick xmlns:r="http://schemas.openxmlformats.org/officeDocument/2006/relationships" r:id="rId484"/>
        </xdr:cNvPr>
        <xdr:cNvSpPr>
          <a:spLocks noChangeAspect="1" noChangeArrowheads="1"/>
        </xdr:cNvSpPr>
      </xdr:nvSpPr>
      <xdr:spPr bwMode="auto">
        <a:xfrm>
          <a:off x="13411200" y="99227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93" name="AutoShape 969" descr="USA6"/>
        <xdr:cNvSpPr>
          <a:spLocks noChangeAspect="1" noChangeArrowheads="1"/>
        </xdr:cNvSpPr>
      </xdr:nvSpPr>
      <xdr:spPr bwMode="auto">
        <a:xfrm>
          <a:off x="0" y="99479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94" name="AutoShape 970" descr="https://www.soccerstats.com/img/own/sshplogo.png">
          <a:hlinkClick xmlns:r="http://schemas.openxmlformats.org/officeDocument/2006/relationships" r:id="rId485"/>
        </xdr:cNvPr>
        <xdr:cNvSpPr>
          <a:spLocks noChangeAspect="1" noChangeArrowheads="1"/>
        </xdr:cNvSpPr>
      </xdr:nvSpPr>
      <xdr:spPr bwMode="auto">
        <a:xfrm>
          <a:off x="13411200" y="9947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95" name="AutoShape 971" descr="USA6"/>
        <xdr:cNvSpPr>
          <a:spLocks noChangeAspect="1" noChangeArrowheads="1"/>
        </xdr:cNvSpPr>
      </xdr:nvSpPr>
      <xdr:spPr bwMode="auto">
        <a:xfrm>
          <a:off x="0" y="99730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96" name="AutoShape 972" descr="https://www.soccerstats.com/img/own/sshplogo.png">
          <a:hlinkClick xmlns:r="http://schemas.openxmlformats.org/officeDocument/2006/relationships" r:id="rId486"/>
        </xdr:cNvPr>
        <xdr:cNvSpPr>
          <a:spLocks noChangeAspect="1" noChangeArrowheads="1"/>
        </xdr:cNvSpPr>
      </xdr:nvSpPr>
      <xdr:spPr bwMode="auto">
        <a:xfrm>
          <a:off x="13411200" y="99730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97" name="AutoShape 973" descr="USA6"/>
        <xdr:cNvSpPr>
          <a:spLocks noChangeAspect="1" noChangeArrowheads="1"/>
        </xdr:cNvSpPr>
      </xdr:nvSpPr>
      <xdr:spPr bwMode="auto">
        <a:xfrm>
          <a:off x="0" y="99982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1998" name="AutoShape 974" descr="https://www.soccerstats.com/img/own/sshplogo.png">
          <a:hlinkClick xmlns:r="http://schemas.openxmlformats.org/officeDocument/2006/relationships" r:id="rId487"/>
        </xdr:cNvPr>
        <xdr:cNvSpPr>
          <a:spLocks noChangeAspect="1" noChangeArrowheads="1"/>
        </xdr:cNvSpPr>
      </xdr:nvSpPr>
      <xdr:spPr bwMode="auto">
        <a:xfrm>
          <a:off x="13411200" y="99982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1999" name="AutoShape 975" descr="USA7"/>
        <xdr:cNvSpPr>
          <a:spLocks noChangeAspect="1" noChangeArrowheads="1"/>
        </xdr:cNvSpPr>
      </xdr:nvSpPr>
      <xdr:spPr bwMode="auto">
        <a:xfrm>
          <a:off x="0" y="100233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2000" name="AutoShape 976" descr="https://www.soccerstats.com/img/own/sshplogo.png">
          <a:hlinkClick xmlns:r="http://schemas.openxmlformats.org/officeDocument/2006/relationships" r:id="rId488"/>
        </xdr:cNvPr>
        <xdr:cNvSpPr>
          <a:spLocks noChangeAspect="1" noChangeArrowheads="1"/>
        </xdr:cNvSpPr>
      </xdr:nvSpPr>
      <xdr:spPr bwMode="auto">
        <a:xfrm>
          <a:off x="13411200" y="100233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2001" name="AutoShape 977" descr="USA7"/>
        <xdr:cNvSpPr>
          <a:spLocks noChangeAspect="1" noChangeArrowheads="1"/>
        </xdr:cNvSpPr>
      </xdr:nvSpPr>
      <xdr:spPr bwMode="auto">
        <a:xfrm>
          <a:off x="0" y="100408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2002" name="AutoShape 978" descr="https://www.soccerstats.com/img/own/sshplogo.png">
          <a:hlinkClick xmlns:r="http://schemas.openxmlformats.org/officeDocument/2006/relationships" r:id="rId489"/>
        </xdr:cNvPr>
        <xdr:cNvSpPr>
          <a:spLocks noChangeAspect="1" noChangeArrowheads="1"/>
        </xdr:cNvSpPr>
      </xdr:nvSpPr>
      <xdr:spPr bwMode="auto">
        <a:xfrm>
          <a:off x="13411200" y="100408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2003" name="AutoShape 979" descr="USA7"/>
        <xdr:cNvSpPr>
          <a:spLocks noChangeAspect="1" noChangeArrowheads="1"/>
        </xdr:cNvSpPr>
      </xdr:nvSpPr>
      <xdr:spPr bwMode="auto">
        <a:xfrm>
          <a:off x="0" y="100584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2004" name="AutoShape 980" descr="https://www.soccerstats.com/img/own/sshplogo.png">
          <a:hlinkClick xmlns:r="http://schemas.openxmlformats.org/officeDocument/2006/relationships" r:id="rId490"/>
        </xdr:cNvPr>
        <xdr:cNvSpPr>
          <a:spLocks noChangeAspect="1" noChangeArrowheads="1"/>
        </xdr:cNvSpPr>
      </xdr:nvSpPr>
      <xdr:spPr bwMode="auto">
        <a:xfrm>
          <a:off x="13411200" y="10058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2005" name="AutoShape 981" descr="WALES"/>
        <xdr:cNvSpPr>
          <a:spLocks noChangeAspect="1" noChangeArrowheads="1"/>
        </xdr:cNvSpPr>
      </xdr:nvSpPr>
      <xdr:spPr bwMode="auto">
        <a:xfrm>
          <a:off x="0" y="100835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2006" name="AutoShape 982" descr="https://www.soccerstats.com/img/own/sshplogo.png">
          <a:hlinkClick xmlns:r="http://schemas.openxmlformats.org/officeDocument/2006/relationships" r:id="rId491"/>
        </xdr:cNvPr>
        <xdr:cNvSpPr>
          <a:spLocks noChangeAspect="1" noChangeArrowheads="1"/>
        </xdr:cNvSpPr>
      </xdr:nvSpPr>
      <xdr:spPr bwMode="auto">
        <a:xfrm>
          <a:off x="13411200" y="10083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2007" name="AutoShape 983" descr="WALES"/>
        <xdr:cNvSpPr>
          <a:spLocks noChangeAspect="1" noChangeArrowheads="1"/>
        </xdr:cNvSpPr>
      </xdr:nvSpPr>
      <xdr:spPr bwMode="auto">
        <a:xfrm>
          <a:off x="0" y="101010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2008" name="AutoShape 984" descr="https://www.soccerstats.com/img/own/sshplogo.png">
          <a:hlinkClick xmlns:r="http://schemas.openxmlformats.org/officeDocument/2006/relationships" r:id="rId492"/>
        </xdr:cNvPr>
        <xdr:cNvSpPr>
          <a:spLocks noChangeAspect="1" noChangeArrowheads="1"/>
        </xdr:cNvSpPr>
      </xdr:nvSpPr>
      <xdr:spPr bwMode="auto">
        <a:xfrm>
          <a:off x="13411200" y="101010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009" name="AutoShape 985" descr="ARGENTINA2"/>
        <xdr:cNvSpPr>
          <a:spLocks noChangeAspect="1" noChangeArrowheads="1"/>
        </xdr:cNvSpPr>
      </xdr:nvSpPr>
      <xdr:spPr bwMode="auto">
        <a:xfrm>
          <a:off x="0" y="17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010" name="AutoShape 986" descr="https://www.soccerstats.com/img/own/sshplogo.png">
          <a:hlinkClick xmlns:r="http://schemas.openxmlformats.org/officeDocument/2006/relationships" r:id="rId493"/>
        </xdr:cNvPr>
        <xdr:cNvSpPr>
          <a:spLocks noChangeAspect="1" noChangeArrowheads="1"/>
        </xdr:cNvSpPr>
      </xdr:nvSpPr>
      <xdr:spPr bwMode="auto">
        <a:xfrm>
          <a:off x="13411200" y="17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152400</xdr:colOff>
      <xdr:row>2</xdr:row>
      <xdr:rowOff>106680</xdr:rowOff>
    </xdr:to>
    <xdr:sp macro="" textlink="">
      <xdr:nvSpPr>
        <xdr:cNvPr id="2011" name="AutoShape 987" descr="AUSTRALIA7"/>
        <xdr:cNvSpPr>
          <a:spLocks noChangeAspect="1" noChangeArrowheads="1"/>
        </xdr:cNvSpPr>
      </xdr:nvSpPr>
      <xdr:spPr bwMode="auto">
        <a:xfrm>
          <a:off x="0" y="426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</xdr:row>
      <xdr:rowOff>0</xdr:rowOff>
    </xdr:from>
    <xdr:to>
      <xdr:col>22</xdr:col>
      <xdr:colOff>304800</xdr:colOff>
      <xdr:row>3</xdr:row>
      <xdr:rowOff>129540</xdr:rowOff>
    </xdr:to>
    <xdr:sp macro="" textlink="">
      <xdr:nvSpPr>
        <xdr:cNvPr id="2012" name="AutoShape 988" descr="https://www.soccerstats.com/img/own/sshplogo.png">
          <a:hlinkClick xmlns:r="http://schemas.openxmlformats.org/officeDocument/2006/relationships" r:id="rId494"/>
        </xdr:cNvPr>
        <xdr:cNvSpPr>
          <a:spLocks noChangeAspect="1" noChangeArrowheads="1"/>
        </xdr:cNvSpPr>
      </xdr:nvSpPr>
      <xdr:spPr bwMode="auto">
        <a:xfrm>
          <a:off x="13411200" y="426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152400</xdr:colOff>
      <xdr:row>3</xdr:row>
      <xdr:rowOff>106680</xdr:rowOff>
    </xdr:to>
    <xdr:sp macro="" textlink="">
      <xdr:nvSpPr>
        <xdr:cNvPr id="2013" name="AutoShape 989" descr="AUSTRALIA10"/>
        <xdr:cNvSpPr>
          <a:spLocks noChangeAspect="1" noChangeArrowheads="1"/>
        </xdr:cNvSpPr>
      </xdr:nvSpPr>
      <xdr:spPr bwMode="auto">
        <a:xfrm>
          <a:off x="0" y="678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</xdr:row>
      <xdr:rowOff>0</xdr:rowOff>
    </xdr:from>
    <xdr:to>
      <xdr:col>22</xdr:col>
      <xdr:colOff>304800</xdr:colOff>
      <xdr:row>4</xdr:row>
      <xdr:rowOff>53340</xdr:rowOff>
    </xdr:to>
    <xdr:sp macro="" textlink="">
      <xdr:nvSpPr>
        <xdr:cNvPr id="2014" name="AutoShape 990" descr="https://www.soccerstats.com/img/own/sshplogo.png">
          <a:hlinkClick xmlns:r="http://schemas.openxmlformats.org/officeDocument/2006/relationships" r:id="rId495"/>
        </xdr:cNvPr>
        <xdr:cNvSpPr>
          <a:spLocks noChangeAspect="1" noChangeArrowheads="1"/>
        </xdr:cNvSpPr>
      </xdr:nvSpPr>
      <xdr:spPr bwMode="auto">
        <a:xfrm>
          <a:off x="13411200" y="678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152400</xdr:colOff>
      <xdr:row>4</xdr:row>
      <xdr:rowOff>106680</xdr:rowOff>
    </xdr:to>
    <xdr:sp macro="" textlink="">
      <xdr:nvSpPr>
        <xdr:cNvPr id="2015" name="AutoShape 991" descr="CHILE2"/>
        <xdr:cNvSpPr>
          <a:spLocks noChangeAspect="1" noChangeArrowheads="1"/>
        </xdr:cNvSpPr>
      </xdr:nvSpPr>
      <xdr:spPr bwMode="auto">
        <a:xfrm>
          <a:off x="0" y="929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</xdr:row>
      <xdr:rowOff>0</xdr:rowOff>
    </xdr:from>
    <xdr:to>
      <xdr:col>22</xdr:col>
      <xdr:colOff>304800</xdr:colOff>
      <xdr:row>5</xdr:row>
      <xdr:rowOff>53340</xdr:rowOff>
    </xdr:to>
    <xdr:sp macro="" textlink="">
      <xdr:nvSpPr>
        <xdr:cNvPr id="2016" name="AutoShape 992" descr="https://www.soccerstats.com/img/own/sshplogo.png">
          <a:hlinkClick xmlns:r="http://schemas.openxmlformats.org/officeDocument/2006/relationships" r:id="rId496"/>
        </xdr:cNvPr>
        <xdr:cNvSpPr>
          <a:spLocks noChangeAspect="1" noChangeArrowheads="1"/>
        </xdr:cNvSpPr>
      </xdr:nvSpPr>
      <xdr:spPr bwMode="auto">
        <a:xfrm>
          <a:off x="13411200" y="929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152400</xdr:colOff>
      <xdr:row>5</xdr:row>
      <xdr:rowOff>106680</xdr:rowOff>
    </xdr:to>
    <xdr:sp macro="" textlink="">
      <xdr:nvSpPr>
        <xdr:cNvPr id="2017" name="AutoShape 993" descr="CHILE2"/>
        <xdr:cNvSpPr>
          <a:spLocks noChangeAspect="1" noChangeArrowheads="1"/>
        </xdr:cNvSpPr>
      </xdr:nvSpPr>
      <xdr:spPr bwMode="auto">
        <a:xfrm>
          <a:off x="0" y="1104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304800</xdr:colOff>
      <xdr:row>6</xdr:row>
      <xdr:rowOff>53340</xdr:rowOff>
    </xdr:to>
    <xdr:sp macro="" textlink="">
      <xdr:nvSpPr>
        <xdr:cNvPr id="2018" name="AutoShape 994" descr="https://www.soccerstats.com/img/own/sshplogo.png">
          <a:hlinkClick xmlns:r="http://schemas.openxmlformats.org/officeDocument/2006/relationships" r:id="rId497"/>
        </xdr:cNvPr>
        <xdr:cNvSpPr>
          <a:spLocks noChangeAspect="1" noChangeArrowheads="1"/>
        </xdr:cNvSpPr>
      </xdr:nvSpPr>
      <xdr:spPr bwMode="auto">
        <a:xfrm>
          <a:off x="13411200" y="1104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</xdr:row>
      <xdr:rowOff>0</xdr:rowOff>
    </xdr:from>
    <xdr:to>
      <xdr:col>22</xdr:col>
      <xdr:colOff>304800</xdr:colOff>
      <xdr:row>7</xdr:row>
      <xdr:rowOff>129540</xdr:rowOff>
    </xdr:to>
    <xdr:sp macro="" textlink="">
      <xdr:nvSpPr>
        <xdr:cNvPr id="2019" name="AutoShape 995" descr="https://www.soccerstats.com/img/own/sshplogo.png">
          <a:hlinkClick xmlns:r="http://schemas.openxmlformats.org/officeDocument/2006/relationships" r:id="rId498" tooltip="Bolivar vs Sao Paulo"/>
        </xdr:cNvPr>
        <xdr:cNvSpPr>
          <a:spLocks noChangeAspect="1" noChangeArrowheads="1"/>
        </xdr:cNvSpPr>
      </xdr:nvSpPr>
      <xdr:spPr bwMode="auto">
        <a:xfrm>
          <a:off x="13411200" y="1280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</xdr:row>
      <xdr:rowOff>0</xdr:rowOff>
    </xdr:from>
    <xdr:to>
      <xdr:col>22</xdr:col>
      <xdr:colOff>304800</xdr:colOff>
      <xdr:row>8</xdr:row>
      <xdr:rowOff>129540</xdr:rowOff>
    </xdr:to>
    <xdr:sp macro="" textlink="">
      <xdr:nvSpPr>
        <xdr:cNvPr id="2020" name="AutoShape 996" descr="https://www.soccerstats.com/img/own/sshplogo.png">
          <a:hlinkClick xmlns:r="http://schemas.openxmlformats.org/officeDocument/2006/relationships" r:id="rId499" tooltip="Bragantino vs Atletico MG"/>
        </xdr:cNvPr>
        <xdr:cNvSpPr>
          <a:spLocks noChangeAspect="1" noChangeArrowheads="1"/>
        </xdr:cNvSpPr>
      </xdr:nvSpPr>
      <xdr:spPr bwMode="auto">
        <a:xfrm>
          <a:off x="13411200" y="1623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</xdr:row>
      <xdr:rowOff>0</xdr:rowOff>
    </xdr:from>
    <xdr:to>
      <xdr:col>22</xdr:col>
      <xdr:colOff>304800</xdr:colOff>
      <xdr:row>9</xdr:row>
      <xdr:rowOff>129540</xdr:rowOff>
    </xdr:to>
    <xdr:sp macro="" textlink="">
      <xdr:nvSpPr>
        <xdr:cNvPr id="2021" name="AutoShape 997" descr="https://www.soccerstats.com/img/own/sshplogo.png">
          <a:hlinkClick xmlns:r="http://schemas.openxmlformats.org/officeDocument/2006/relationships" r:id="rId500" tooltip="Tigre vs Montevideo City"/>
        </xdr:cNvPr>
        <xdr:cNvSpPr>
          <a:spLocks noChangeAspect="1" noChangeArrowheads="1"/>
        </xdr:cNvSpPr>
      </xdr:nvSpPr>
      <xdr:spPr bwMode="auto">
        <a:xfrm>
          <a:off x="13411200" y="1965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</xdr:row>
      <xdr:rowOff>0</xdr:rowOff>
    </xdr:from>
    <xdr:to>
      <xdr:col>22</xdr:col>
      <xdr:colOff>304800</xdr:colOff>
      <xdr:row>10</xdr:row>
      <xdr:rowOff>129540</xdr:rowOff>
    </xdr:to>
    <xdr:sp macro="" textlink="">
      <xdr:nvSpPr>
        <xdr:cNvPr id="2022" name="AutoShape 998" descr="https://www.soccerstats.com/img/own/sshplogo.png">
          <a:hlinkClick xmlns:r="http://schemas.openxmlformats.org/officeDocument/2006/relationships" r:id="rId501" tooltip="Deportes Tolima vs I. del Valle"/>
        </xdr:cNvPr>
        <xdr:cNvSpPr>
          <a:spLocks noChangeAspect="1" noChangeArrowheads="1"/>
        </xdr:cNvSpPr>
      </xdr:nvSpPr>
      <xdr:spPr bwMode="auto">
        <a:xfrm>
          <a:off x="13411200" y="2308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</xdr:row>
      <xdr:rowOff>0</xdr:rowOff>
    </xdr:from>
    <xdr:to>
      <xdr:col>22</xdr:col>
      <xdr:colOff>304800</xdr:colOff>
      <xdr:row>11</xdr:row>
      <xdr:rowOff>129540</xdr:rowOff>
    </xdr:to>
    <xdr:sp macro="" textlink="">
      <xdr:nvSpPr>
        <xdr:cNvPr id="2023" name="AutoShape 999" descr="https://www.soccerstats.com/img/own/sshplogo.png">
          <a:hlinkClick xmlns:r="http://schemas.openxmlformats.org/officeDocument/2006/relationships" r:id="rId502" tooltip="Estudiantes vs U. Catolica"/>
        </xdr:cNvPr>
        <xdr:cNvSpPr>
          <a:spLocks noChangeAspect="1" noChangeArrowheads="1"/>
        </xdr:cNvSpPr>
      </xdr:nvSpPr>
      <xdr:spPr bwMode="auto">
        <a:xfrm>
          <a:off x="13411200" y="256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</xdr:row>
      <xdr:rowOff>0</xdr:rowOff>
    </xdr:from>
    <xdr:to>
      <xdr:col>22</xdr:col>
      <xdr:colOff>304800</xdr:colOff>
      <xdr:row>12</xdr:row>
      <xdr:rowOff>129540</xdr:rowOff>
    </xdr:to>
    <xdr:sp macro="" textlink="">
      <xdr:nvSpPr>
        <xdr:cNvPr id="2024" name="AutoShape 1000" descr="https://www.soccerstats.com/img/own/sshplogo.png">
          <a:hlinkClick xmlns:r="http://schemas.openxmlformats.org/officeDocument/2006/relationships" r:id="rId503" tooltip="Palmeiras vs Cerro Porteno"/>
        </xdr:cNvPr>
        <xdr:cNvSpPr>
          <a:spLocks noChangeAspect="1" noChangeArrowheads="1"/>
        </xdr:cNvSpPr>
      </xdr:nvSpPr>
      <xdr:spPr bwMode="auto">
        <a:xfrm>
          <a:off x="13411200" y="2735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</xdr:row>
      <xdr:rowOff>0</xdr:rowOff>
    </xdr:from>
    <xdr:to>
      <xdr:col>22</xdr:col>
      <xdr:colOff>304800</xdr:colOff>
      <xdr:row>13</xdr:row>
      <xdr:rowOff>53340</xdr:rowOff>
    </xdr:to>
    <xdr:sp macro="" textlink="">
      <xdr:nvSpPr>
        <xdr:cNvPr id="2025" name="AutoShape 1001" descr="https://www.soccerstats.com/img/own/sshplogo.png">
          <a:hlinkClick xmlns:r="http://schemas.openxmlformats.org/officeDocument/2006/relationships" r:id="rId504" tooltip="Platense vs Coquimbo Unido"/>
        </xdr:cNvPr>
        <xdr:cNvSpPr>
          <a:spLocks noChangeAspect="1" noChangeArrowheads="1"/>
        </xdr:cNvSpPr>
      </xdr:nvSpPr>
      <xdr:spPr bwMode="auto">
        <a:xfrm>
          <a:off x="13411200" y="2987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152400</xdr:colOff>
      <xdr:row>13</xdr:row>
      <xdr:rowOff>106680</xdr:rowOff>
    </xdr:to>
    <xdr:sp macro="" textlink="">
      <xdr:nvSpPr>
        <xdr:cNvPr id="2026" name="AutoShape 1002" descr="GERMANY4"/>
        <xdr:cNvSpPr>
          <a:spLocks noChangeAspect="1" noChangeArrowheads="1"/>
        </xdr:cNvSpPr>
      </xdr:nvSpPr>
      <xdr:spPr bwMode="auto">
        <a:xfrm>
          <a:off x="0" y="3238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</xdr:row>
      <xdr:rowOff>0</xdr:rowOff>
    </xdr:from>
    <xdr:to>
      <xdr:col>22</xdr:col>
      <xdr:colOff>304800</xdr:colOff>
      <xdr:row>14</xdr:row>
      <xdr:rowOff>129540</xdr:rowOff>
    </xdr:to>
    <xdr:sp macro="" textlink="">
      <xdr:nvSpPr>
        <xdr:cNvPr id="2027" name="AutoShape 1003" descr="https://www.soccerstats.com/img/own/sshplogo.png">
          <a:hlinkClick xmlns:r="http://schemas.openxmlformats.org/officeDocument/2006/relationships" r:id="rId505"/>
        </xdr:cNvPr>
        <xdr:cNvSpPr>
          <a:spLocks noChangeAspect="1" noChangeArrowheads="1"/>
        </xdr:cNvSpPr>
      </xdr:nvSpPr>
      <xdr:spPr bwMode="auto">
        <a:xfrm>
          <a:off x="13411200" y="32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152400</xdr:colOff>
      <xdr:row>14</xdr:row>
      <xdr:rowOff>106680</xdr:rowOff>
    </xdr:to>
    <xdr:sp macro="" textlink="">
      <xdr:nvSpPr>
        <xdr:cNvPr id="2028" name="AutoShape 1004" descr="GERMANY4"/>
        <xdr:cNvSpPr>
          <a:spLocks noChangeAspect="1" noChangeArrowheads="1"/>
        </xdr:cNvSpPr>
      </xdr:nvSpPr>
      <xdr:spPr bwMode="auto">
        <a:xfrm>
          <a:off x="0" y="3489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</xdr:row>
      <xdr:rowOff>0</xdr:rowOff>
    </xdr:from>
    <xdr:to>
      <xdr:col>22</xdr:col>
      <xdr:colOff>304800</xdr:colOff>
      <xdr:row>15</xdr:row>
      <xdr:rowOff>53340</xdr:rowOff>
    </xdr:to>
    <xdr:sp macro="" textlink="">
      <xdr:nvSpPr>
        <xdr:cNvPr id="2029" name="AutoShape 1005" descr="https://www.soccerstats.com/img/own/sshplogo.png">
          <a:hlinkClick xmlns:r="http://schemas.openxmlformats.org/officeDocument/2006/relationships" r:id="rId506"/>
        </xdr:cNvPr>
        <xdr:cNvSpPr>
          <a:spLocks noChangeAspect="1" noChangeArrowheads="1"/>
        </xdr:cNvSpPr>
      </xdr:nvSpPr>
      <xdr:spPr bwMode="auto">
        <a:xfrm>
          <a:off x="13411200" y="3489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152400</xdr:colOff>
      <xdr:row>15</xdr:row>
      <xdr:rowOff>106680</xdr:rowOff>
    </xdr:to>
    <xdr:sp macro="" textlink="">
      <xdr:nvSpPr>
        <xdr:cNvPr id="2030" name="AutoShape 1006" descr="GERMANY4"/>
        <xdr:cNvSpPr>
          <a:spLocks noChangeAspect="1" noChangeArrowheads="1"/>
        </xdr:cNvSpPr>
      </xdr:nvSpPr>
      <xdr:spPr bwMode="auto">
        <a:xfrm>
          <a:off x="0" y="3665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</xdr:row>
      <xdr:rowOff>0</xdr:rowOff>
    </xdr:from>
    <xdr:to>
      <xdr:col>22</xdr:col>
      <xdr:colOff>304800</xdr:colOff>
      <xdr:row>16</xdr:row>
      <xdr:rowOff>129540</xdr:rowOff>
    </xdr:to>
    <xdr:sp macro="" textlink="">
      <xdr:nvSpPr>
        <xdr:cNvPr id="2031" name="AutoShape 1007" descr="https://www.soccerstats.com/img/own/sshplogo.png">
          <a:hlinkClick xmlns:r="http://schemas.openxmlformats.org/officeDocument/2006/relationships" r:id="rId507"/>
        </xdr:cNvPr>
        <xdr:cNvSpPr>
          <a:spLocks noChangeAspect="1" noChangeArrowheads="1"/>
        </xdr:cNvSpPr>
      </xdr:nvSpPr>
      <xdr:spPr bwMode="auto">
        <a:xfrm>
          <a:off x="13411200" y="3665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152400</xdr:colOff>
      <xdr:row>16</xdr:row>
      <xdr:rowOff>106680</xdr:rowOff>
    </xdr:to>
    <xdr:sp macro="" textlink="">
      <xdr:nvSpPr>
        <xdr:cNvPr id="2032" name="AutoShape 1008" descr="GERMANY4"/>
        <xdr:cNvSpPr>
          <a:spLocks noChangeAspect="1" noChangeArrowheads="1"/>
        </xdr:cNvSpPr>
      </xdr:nvSpPr>
      <xdr:spPr bwMode="auto">
        <a:xfrm>
          <a:off x="0" y="3916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</xdr:row>
      <xdr:rowOff>0</xdr:rowOff>
    </xdr:from>
    <xdr:to>
      <xdr:col>22</xdr:col>
      <xdr:colOff>304800</xdr:colOff>
      <xdr:row>17</xdr:row>
      <xdr:rowOff>129540</xdr:rowOff>
    </xdr:to>
    <xdr:sp macro="" textlink="">
      <xdr:nvSpPr>
        <xdr:cNvPr id="2033" name="AutoShape 1009" descr="https://www.soccerstats.com/img/own/sshplogo.png">
          <a:hlinkClick xmlns:r="http://schemas.openxmlformats.org/officeDocument/2006/relationships" r:id="rId508"/>
        </xdr:cNvPr>
        <xdr:cNvSpPr>
          <a:spLocks noChangeAspect="1" noChangeArrowheads="1"/>
        </xdr:cNvSpPr>
      </xdr:nvSpPr>
      <xdr:spPr bwMode="auto">
        <a:xfrm>
          <a:off x="13411200" y="3916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152400</xdr:colOff>
      <xdr:row>17</xdr:row>
      <xdr:rowOff>106680</xdr:rowOff>
    </xdr:to>
    <xdr:sp macro="" textlink="">
      <xdr:nvSpPr>
        <xdr:cNvPr id="2034" name="AutoShape 1010" descr="GERMANY4"/>
        <xdr:cNvSpPr>
          <a:spLocks noChangeAspect="1" noChangeArrowheads="1"/>
        </xdr:cNvSpPr>
      </xdr:nvSpPr>
      <xdr:spPr bwMode="auto">
        <a:xfrm>
          <a:off x="0" y="4091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</xdr:row>
      <xdr:rowOff>0</xdr:rowOff>
    </xdr:from>
    <xdr:to>
      <xdr:col>22</xdr:col>
      <xdr:colOff>304800</xdr:colOff>
      <xdr:row>18</xdr:row>
      <xdr:rowOff>53340</xdr:rowOff>
    </xdr:to>
    <xdr:sp macro="" textlink="">
      <xdr:nvSpPr>
        <xdr:cNvPr id="2035" name="AutoShape 1011" descr="https://www.soccerstats.com/img/own/sshplogo.png">
          <a:hlinkClick xmlns:r="http://schemas.openxmlformats.org/officeDocument/2006/relationships" r:id="rId509"/>
        </xdr:cNvPr>
        <xdr:cNvSpPr>
          <a:spLocks noChangeAspect="1" noChangeArrowheads="1"/>
        </xdr:cNvSpPr>
      </xdr:nvSpPr>
      <xdr:spPr bwMode="auto">
        <a:xfrm>
          <a:off x="13411200" y="4091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152400</xdr:colOff>
      <xdr:row>18</xdr:row>
      <xdr:rowOff>106680</xdr:rowOff>
    </xdr:to>
    <xdr:sp macro="" textlink="">
      <xdr:nvSpPr>
        <xdr:cNvPr id="2036" name="AutoShape 1012" descr="GERMANY4"/>
        <xdr:cNvSpPr>
          <a:spLocks noChangeAspect="1" noChangeArrowheads="1"/>
        </xdr:cNvSpPr>
      </xdr:nvSpPr>
      <xdr:spPr bwMode="auto">
        <a:xfrm>
          <a:off x="0" y="434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</xdr:row>
      <xdr:rowOff>0</xdr:rowOff>
    </xdr:from>
    <xdr:to>
      <xdr:col>22</xdr:col>
      <xdr:colOff>304800</xdr:colOff>
      <xdr:row>19</xdr:row>
      <xdr:rowOff>53340</xdr:rowOff>
    </xdr:to>
    <xdr:sp macro="" textlink="">
      <xdr:nvSpPr>
        <xdr:cNvPr id="2037" name="AutoShape 1013" descr="https://www.soccerstats.com/img/own/sshplogo.png">
          <a:hlinkClick xmlns:r="http://schemas.openxmlformats.org/officeDocument/2006/relationships" r:id="rId510"/>
        </xdr:cNvPr>
        <xdr:cNvSpPr>
          <a:spLocks noChangeAspect="1" noChangeArrowheads="1"/>
        </xdr:cNvSpPr>
      </xdr:nvSpPr>
      <xdr:spPr bwMode="auto">
        <a:xfrm>
          <a:off x="13411200" y="434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152400</xdr:colOff>
      <xdr:row>19</xdr:row>
      <xdr:rowOff>106680</xdr:rowOff>
    </xdr:to>
    <xdr:sp macro="" textlink="">
      <xdr:nvSpPr>
        <xdr:cNvPr id="2038" name="AutoShape 1014" descr="GERMANY4"/>
        <xdr:cNvSpPr>
          <a:spLocks noChangeAspect="1" noChangeArrowheads="1"/>
        </xdr:cNvSpPr>
      </xdr:nvSpPr>
      <xdr:spPr bwMode="auto">
        <a:xfrm>
          <a:off x="0" y="4594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</xdr:row>
      <xdr:rowOff>0</xdr:rowOff>
    </xdr:from>
    <xdr:to>
      <xdr:col>22</xdr:col>
      <xdr:colOff>304800</xdr:colOff>
      <xdr:row>20</xdr:row>
      <xdr:rowOff>129540</xdr:rowOff>
    </xdr:to>
    <xdr:sp macro="" textlink="">
      <xdr:nvSpPr>
        <xdr:cNvPr id="2039" name="AutoShape 1015" descr="https://www.soccerstats.com/img/own/sshplogo.png">
          <a:hlinkClick xmlns:r="http://schemas.openxmlformats.org/officeDocument/2006/relationships" r:id="rId511"/>
        </xdr:cNvPr>
        <xdr:cNvSpPr>
          <a:spLocks noChangeAspect="1" noChangeArrowheads="1"/>
        </xdr:cNvSpPr>
      </xdr:nvSpPr>
      <xdr:spPr bwMode="auto">
        <a:xfrm>
          <a:off x="13411200" y="4594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152400</xdr:colOff>
      <xdr:row>20</xdr:row>
      <xdr:rowOff>106680</xdr:rowOff>
    </xdr:to>
    <xdr:sp macro="" textlink="">
      <xdr:nvSpPr>
        <xdr:cNvPr id="2040" name="AutoShape 1016" descr="SOUTHAFRICA"/>
        <xdr:cNvSpPr>
          <a:spLocks noChangeAspect="1" noChangeArrowheads="1"/>
        </xdr:cNvSpPr>
      </xdr:nvSpPr>
      <xdr:spPr bwMode="auto">
        <a:xfrm>
          <a:off x="0" y="4846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</xdr:row>
      <xdr:rowOff>0</xdr:rowOff>
    </xdr:from>
    <xdr:to>
      <xdr:col>22</xdr:col>
      <xdr:colOff>304800</xdr:colOff>
      <xdr:row>21</xdr:row>
      <xdr:rowOff>129540</xdr:rowOff>
    </xdr:to>
    <xdr:sp macro="" textlink="">
      <xdr:nvSpPr>
        <xdr:cNvPr id="2041" name="AutoShape 1017" descr="https://www.soccerstats.com/img/own/sshplogo.png">
          <a:hlinkClick xmlns:r="http://schemas.openxmlformats.org/officeDocument/2006/relationships" r:id="rId512"/>
        </xdr:cNvPr>
        <xdr:cNvSpPr>
          <a:spLocks noChangeAspect="1" noChangeArrowheads="1"/>
        </xdr:cNvSpPr>
      </xdr:nvSpPr>
      <xdr:spPr bwMode="auto">
        <a:xfrm>
          <a:off x="13411200" y="4846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152400</xdr:colOff>
      <xdr:row>21</xdr:row>
      <xdr:rowOff>106680</xdr:rowOff>
    </xdr:to>
    <xdr:sp macro="" textlink="">
      <xdr:nvSpPr>
        <xdr:cNvPr id="2042" name="AutoShape 1018" descr="SOUTHAFRICA"/>
        <xdr:cNvSpPr>
          <a:spLocks noChangeAspect="1" noChangeArrowheads="1"/>
        </xdr:cNvSpPr>
      </xdr:nvSpPr>
      <xdr:spPr bwMode="auto">
        <a:xfrm>
          <a:off x="0" y="5097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</xdr:row>
      <xdr:rowOff>0</xdr:rowOff>
    </xdr:from>
    <xdr:to>
      <xdr:col>22</xdr:col>
      <xdr:colOff>304800</xdr:colOff>
      <xdr:row>22</xdr:row>
      <xdr:rowOff>53340</xdr:rowOff>
    </xdr:to>
    <xdr:sp macro="" textlink="">
      <xdr:nvSpPr>
        <xdr:cNvPr id="2043" name="AutoShape 1019" descr="https://www.soccerstats.com/img/own/sshplogo.png">
          <a:hlinkClick xmlns:r="http://schemas.openxmlformats.org/officeDocument/2006/relationships" r:id="rId513"/>
        </xdr:cNvPr>
        <xdr:cNvSpPr>
          <a:spLocks noChangeAspect="1" noChangeArrowheads="1"/>
        </xdr:cNvSpPr>
      </xdr:nvSpPr>
      <xdr:spPr bwMode="auto">
        <a:xfrm>
          <a:off x="13411200" y="5097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152400</xdr:colOff>
      <xdr:row>22</xdr:row>
      <xdr:rowOff>106680</xdr:rowOff>
    </xdr:to>
    <xdr:sp macro="" textlink="">
      <xdr:nvSpPr>
        <xdr:cNvPr id="2044" name="AutoShape 1020" descr="SOUTHAFRICA"/>
        <xdr:cNvSpPr>
          <a:spLocks noChangeAspect="1" noChangeArrowheads="1"/>
        </xdr:cNvSpPr>
      </xdr:nvSpPr>
      <xdr:spPr bwMode="auto">
        <a:xfrm>
          <a:off x="0" y="5349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</xdr:row>
      <xdr:rowOff>0</xdr:rowOff>
    </xdr:from>
    <xdr:to>
      <xdr:col>22</xdr:col>
      <xdr:colOff>304800</xdr:colOff>
      <xdr:row>23</xdr:row>
      <xdr:rowOff>129540</xdr:rowOff>
    </xdr:to>
    <xdr:sp macro="" textlink="">
      <xdr:nvSpPr>
        <xdr:cNvPr id="2045" name="AutoShape 1021" descr="https://www.soccerstats.com/img/own/sshplogo.png">
          <a:hlinkClick xmlns:r="http://schemas.openxmlformats.org/officeDocument/2006/relationships" r:id="rId514"/>
        </xdr:cNvPr>
        <xdr:cNvSpPr>
          <a:spLocks noChangeAspect="1" noChangeArrowheads="1"/>
        </xdr:cNvSpPr>
      </xdr:nvSpPr>
      <xdr:spPr bwMode="auto">
        <a:xfrm>
          <a:off x="13411200" y="5349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152400</xdr:colOff>
      <xdr:row>23</xdr:row>
      <xdr:rowOff>106680</xdr:rowOff>
    </xdr:to>
    <xdr:sp macro="" textlink="">
      <xdr:nvSpPr>
        <xdr:cNvPr id="2046" name="AutoShape 1022" descr="SOUTHAFRICA"/>
        <xdr:cNvSpPr>
          <a:spLocks noChangeAspect="1" noChangeArrowheads="1"/>
        </xdr:cNvSpPr>
      </xdr:nvSpPr>
      <xdr:spPr bwMode="auto">
        <a:xfrm>
          <a:off x="0" y="5524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</xdr:row>
      <xdr:rowOff>0</xdr:rowOff>
    </xdr:from>
    <xdr:to>
      <xdr:col>22</xdr:col>
      <xdr:colOff>304800</xdr:colOff>
      <xdr:row>24</xdr:row>
      <xdr:rowOff>129540</xdr:rowOff>
    </xdr:to>
    <xdr:sp macro="" textlink="">
      <xdr:nvSpPr>
        <xdr:cNvPr id="2047" name="AutoShape 1023" descr="https://www.soccerstats.com/img/own/sshplogo.png">
          <a:hlinkClick xmlns:r="http://schemas.openxmlformats.org/officeDocument/2006/relationships" r:id="rId515"/>
        </xdr:cNvPr>
        <xdr:cNvSpPr>
          <a:spLocks noChangeAspect="1" noChangeArrowheads="1"/>
        </xdr:cNvSpPr>
      </xdr:nvSpPr>
      <xdr:spPr bwMode="auto">
        <a:xfrm>
          <a:off x="13411200" y="552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" name="AutoShape 1" descr="NETHERLANDS"/>
        <xdr:cNvSpPr>
          <a:spLocks noChangeAspect="1" noChangeArrowheads="1"/>
        </xdr:cNvSpPr>
      </xdr:nvSpPr>
      <xdr:spPr bwMode="auto">
        <a:xfrm>
          <a:off x="0" y="17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" name="AutoShape 2" descr="https://www.soccerstats.com/img/own/sshplogo.png">
          <a:hlinkClick xmlns:r="http://schemas.openxmlformats.org/officeDocument/2006/relationships" r:id="rId516"/>
        </xdr:cNvPr>
        <xdr:cNvSpPr>
          <a:spLocks noChangeAspect="1" noChangeArrowheads="1"/>
        </xdr:cNvSpPr>
      </xdr:nvSpPr>
      <xdr:spPr bwMode="auto">
        <a:xfrm>
          <a:off x="13411200" y="17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152400</xdr:colOff>
      <xdr:row>2</xdr:row>
      <xdr:rowOff>106680</xdr:rowOff>
    </xdr:to>
    <xdr:sp macro="" textlink="">
      <xdr:nvSpPr>
        <xdr:cNvPr id="4" name="AutoShape 3" descr="PORTUGAL"/>
        <xdr:cNvSpPr>
          <a:spLocks noChangeAspect="1" noChangeArrowheads="1"/>
        </xdr:cNvSpPr>
      </xdr:nvSpPr>
      <xdr:spPr bwMode="auto">
        <a:xfrm>
          <a:off x="0" y="350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</xdr:row>
      <xdr:rowOff>0</xdr:rowOff>
    </xdr:from>
    <xdr:to>
      <xdr:col>22</xdr:col>
      <xdr:colOff>304800</xdr:colOff>
      <xdr:row>3</xdr:row>
      <xdr:rowOff>129540</xdr:rowOff>
    </xdr:to>
    <xdr:sp macro="" textlink="">
      <xdr:nvSpPr>
        <xdr:cNvPr id="5" name="AutoShape 4" descr="https://www.soccerstats.com/img/own/sshplogo.png">
          <a:hlinkClick xmlns:r="http://schemas.openxmlformats.org/officeDocument/2006/relationships" r:id="rId517"/>
        </xdr:cNvPr>
        <xdr:cNvSpPr>
          <a:spLocks noChangeAspect="1" noChangeArrowheads="1"/>
        </xdr:cNvSpPr>
      </xdr:nvSpPr>
      <xdr:spPr bwMode="auto">
        <a:xfrm>
          <a:off x="13411200" y="350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152400</xdr:colOff>
      <xdr:row>3</xdr:row>
      <xdr:rowOff>106680</xdr:rowOff>
    </xdr:to>
    <xdr:sp macro="" textlink="">
      <xdr:nvSpPr>
        <xdr:cNvPr id="6" name="AutoShape 5" descr="ENGLAND2"/>
        <xdr:cNvSpPr>
          <a:spLocks noChangeAspect="1" noChangeArrowheads="1"/>
        </xdr:cNvSpPr>
      </xdr:nvSpPr>
      <xdr:spPr bwMode="auto">
        <a:xfrm>
          <a:off x="0" y="525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</xdr:row>
      <xdr:rowOff>0</xdr:rowOff>
    </xdr:from>
    <xdr:to>
      <xdr:col>22</xdr:col>
      <xdr:colOff>304800</xdr:colOff>
      <xdr:row>4</xdr:row>
      <xdr:rowOff>53340</xdr:rowOff>
    </xdr:to>
    <xdr:sp macro="" textlink="">
      <xdr:nvSpPr>
        <xdr:cNvPr id="7" name="AutoShape 6" descr="https://www.soccerstats.com/img/own/sshplogo.png">
          <a:hlinkClick xmlns:r="http://schemas.openxmlformats.org/officeDocument/2006/relationships" r:id="rId518"/>
        </xdr:cNvPr>
        <xdr:cNvSpPr>
          <a:spLocks noChangeAspect="1" noChangeArrowheads="1"/>
        </xdr:cNvSpPr>
      </xdr:nvSpPr>
      <xdr:spPr bwMode="auto">
        <a:xfrm>
          <a:off x="13411200" y="525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152400</xdr:colOff>
      <xdr:row>4</xdr:row>
      <xdr:rowOff>106680</xdr:rowOff>
    </xdr:to>
    <xdr:sp macro="" textlink="">
      <xdr:nvSpPr>
        <xdr:cNvPr id="8" name="AutoShape 7" descr="SPAIN2"/>
        <xdr:cNvSpPr>
          <a:spLocks noChangeAspect="1" noChangeArrowheads="1"/>
        </xdr:cNvSpPr>
      </xdr:nvSpPr>
      <xdr:spPr bwMode="auto">
        <a:xfrm>
          <a:off x="0" y="777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</xdr:row>
      <xdr:rowOff>0</xdr:rowOff>
    </xdr:from>
    <xdr:to>
      <xdr:col>22</xdr:col>
      <xdr:colOff>304800</xdr:colOff>
      <xdr:row>5</xdr:row>
      <xdr:rowOff>53340</xdr:rowOff>
    </xdr:to>
    <xdr:sp macro="" textlink="">
      <xdr:nvSpPr>
        <xdr:cNvPr id="9" name="AutoShape 8" descr="https://www.soccerstats.com/img/own/sshplogo.png">
          <a:hlinkClick xmlns:r="http://schemas.openxmlformats.org/officeDocument/2006/relationships" r:id="rId519"/>
        </xdr:cNvPr>
        <xdr:cNvSpPr>
          <a:spLocks noChangeAspect="1" noChangeArrowheads="1"/>
        </xdr:cNvSpPr>
      </xdr:nvSpPr>
      <xdr:spPr bwMode="auto">
        <a:xfrm>
          <a:off x="13411200" y="777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152400</xdr:colOff>
      <xdr:row>5</xdr:row>
      <xdr:rowOff>106680</xdr:rowOff>
    </xdr:to>
    <xdr:sp macro="" textlink="">
      <xdr:nvSpPr>
        <xdr:cNvPr id="10" name="AutoShape 9" descr="FRANCE2"/>
        <xdr:cNvSpPr>
          <a:spLocks noChangeAspect="1" noChangeArrowheads="1"/>
        </xdr:cNvSpPr>
      </xdr:nvSpPr>
      <xdr:spPr bwMode="auto">
        <a:xfrm>
          <a:off x="0" y="1028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304800</xdr:colOff>
      <xdr:row>6</xdr:row>
      <xdr:rowOff>53340</xdr:rowOff>
    </xdr:to>
    <xdr:sp macro="" textlink="">
      <xdr:nvSpPr>
        <xdr:cNvPr id="11" name="AutoShape 10" descr="https://www.soccerstats.com/img/own/sshplogo.png">
          <a:hlinkClick xmlns:r="http://schemas.openxmlformats.org/officeDocument/2006/relationships" r:id="rId520"/>
        </xdr:cNvPr>
        <xdr:cNvSpPr>
          <a:spLocks noChangeAspect="1" noChangeArrowheads="1"/>
        </xdr:cNvSpPr>
      </xdr:nvSpPr>
      <xdr:spPr bwMode="auto">
        <a:xfrm>
          <a:off x="134112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152400</xdr:colOff>
      <xdr:row>6</xdr:row>
      <xdr:rowOff>106680</xdr:rowOff>
    </xdr:to>
    <xdr:sp macro="" textlink="">
      <xdr:nvSpPr>
        <xdr:cNvPr id="12" name="AutoShape 11" descr="FRANCE2"/>
        <xdr:cNvSpPr>
          <a:spLocks noChangeAspect="1" noChangeArrowheads="1"/>
        </xdr:cNvSpPr>
      </xdr:nvSpPr>
      <xdr:spPr bwMode="auto">
        <a:xfrm>
          <a:off x="0" y="1280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</xdr:row>
      <xdr:rowOff>0</xdr:rowOff>
    </xdr:from>
    <xdr:to>
      <xdr:col>22</xdr:col>
      <xdr:colOff>304800</xdr:colOff>
      <xdr:row>7</xdr:row>
      <xdr:rowOff>129540</xdr:rowOff>
    </xdr:to>
    <xdr:sp macro="" textlink="">
      <xdr:nvSpPr>
        <xdr:cNvPr id="13" name="AutoShape 12" descr="https://www.soccerstats.com/img/own/sshplogo.png">
          <a:hlinkClick xmlns:r="http://schemas.openxmlformats.org/officeDocument/2006/relationships" r:id="rId521"/>
        </xdr:cNvPr>
        <xdr:cNvSpPr>
          <a:spLocks noChangeAspect="1" noChangeArrowheads="1"/>
        </xdr:cNvSpPr>
      </xdr:nvSpPr>
      <xdr:spPr bwMode="auto">
        <a:xfrm>
          <a:off x="13411200" y="1280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152400</xdr:colOff>
      <xdr:row>7</xdr:row>
      <xdr:rowOff>106680</xdr:rowOff>
    </xdr:to>
    <xdr:sp macro="" textlink="">
      <xdr:nvSpPr>
        <xdr:cNvPr id="14" name="AutoShape 13" descr="FRANCE2"/>
        <xdr:cNvSpPr>
          <a:spLocks noChangeAspect="1" noChangeArrowheads="1"/>
        </xdr:cNvSpPr>
      </xdr:nvSpPr>
      <xdr:spPr bwMode="auto">
        <a:xfrm>
          <a:off x="0" y="1455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</xdr:row>
      <xdr:rowOff>0</xdr:rowOff>
    </xdr:from>
    <xdr:to>
      <xdr:col>22</xdr:col>
      <xdr:colOff>304800</xdr:colOff>
      <xdr:row>8</xdr:row>
      <xdr:rowOff>129540</xdr:rowOff>
    </xdr:to>
    <xdr:sp macro="" textlink="">
      <xdr:nvSpPr>
        <xdr:cNvPr id="15" name="AutoShape 14" descr="https://www.soccerstats.com/img/own/sshplogo.png">
          <a:hlinkClick xmlns:r="http://schemas.openxmlformats.org/officeDocument/2006/relationships" r:id="rId522"/>
        </xdr:cNvPr>
        <xdr:cNvSpPr>
          <a:spLocks noChangeAspect="1" noChangeArrowheads="1"/>
        </xdr:cNvSpPr>
      </xdr:nvSpPr>
      <xdr:spPr bwMode="auto">
        <a:xfrm>
          <a:off x="13411200" y="1455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152400</xdr:colOff>
      <xdr:row>8</xdr:row>
      <xdr:rowOff>106680</xdr:rowOff>
    </xdr:to>
    <xdr:sp macro="" textlink="">
      <xdr:nvSpPr>
        <xdr:cNvPr id="16" name="AutoShape 15" descr="FRANCE2"/>
        <xdr:cNvSpPr>
          <a:spLocks noChangeAspect="1" noChangeArrowheads="1"/>
        </xdr:cNvSpPr>
      </xdr:nvSpPr>
      <xdr:spPr bwMode="auto">
        <a:xfrm>
          <a:off x="0" y="1630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</xdr:row>
      <xdr:rowOff>0</xdr:rowOff>
    </xdr:from>
    <xdr:to>
      <xdr:col>22</xdr:col>
      <xdr:colOff>304800</xdr:colOff>
      <xdr:row>9</xdr:row>
      <xdr:rowOff>129540</xdr:rowOff>
    </xdr:to>
    <xdr:sp macro="" textlink="">
      <xdr:nvSpPr>
        <xdr:cNvPr id="17" name="AutoShape 16" descr="https://www.soccerstats.com/img/own/sshplogo.png">
          <a:hlinkClick xmlns:r="http://schemas.openxmlformats.org/officeDocument/2006/relationships" r:id="rId523"/>
        </xdr:cNvPr>
        <xdr:cNvSpPr>
          <a:spLocks noChangeAspect="1" noChangeArrowheads="1"/>
        </xdr:cNvSpPr>
      </xdr:nvSpPr>
      <xdr:spPr bwMode="auto">
        <a:xfrm>
          <a:off x="13411200" y="1630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152400</xdr:colOff>
      <xdr:row>9</xdr:row>
      <xdr:rowOff>106680</xdr:rowOff>
    </xdr:to>
    <xdr:sp macro="" textlink="">
      <xdr:nvSpPr>
        <xdr:cNvPr id="18" name="AutoShape 17" descr="FRANCE2"/>
        <xdr:cNvSpPr>
          <a:spLocks noChangeAspect="1" noChangeArrowheads="1"/>
        </xdr:cNvSpPr>
      </xdr:nvSpPr>
      <xdr:spPr bwMode="auto">
        <a:xfrm>
          <a:off x="0" y="1805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</xdr:row>
      <xdr:rowOff>0</xdr:rowOff>
    </xdr:from>
    <xdr:to>
      <xdr:col>22</xdr:col>
      <xdr:colOff>304800</xdr:colOff>
      <xdr:row>10</xdr:row>
      <xdr:rowOff>129540</xdr:rowOff>
    </xdr:to>
    <xdr:sp macro="" textlink="">
      <xdr:nvSpPr>
        <xdr:cNvPr id="19" name="AutoShape 18" descr="https://www.soccerstats.com/img/own/sshplogo.png">
          <a:hlinkClick xmlns:r="http://schemas.openxmlformats.org/officeDocument/2006/relationships" r:id="rId524"/>
        </xdr:cNvPr>
        <xdr:cNvSpPr>
          <a:spLocks noChangeAspect="1" noChangeArrowheads="1"/>
        </xdr:cNvSpPr>
      </xdr:nvSpPr>
      <xdr:spPr bwMode="auto">
        <a:xfrm>
          <a:off x="13411200" y="1805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152400</xdr:colOff>
      <xdr:row>10</xdr:row>
      <xdr:rowOff>106680</xdr:rowOff>
    </xdr:to>
    <xdr:sp macro="" textlink="">
      <xdr:nvSpPr>
        <xdr:cNvPr id="20" name="AutoShape 19" descr="FRANCE2"/>
        <xdr:cNvSpPr>
          <a:spLocks noChangeAspect="1" noChangeArrowheads="1"/>
        </xdr:cNvSpPr>
      </xdr:nvSpPr>
      <xdr:spPr bwMode="auto">
        <a:xfrm>
          <a:off x="0" y="1981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</xdr:row>
      <xdr:rowOff>0</xdr:rowOff>
    </xdr:from>
    <xdr:to>
      <xdr:col>22</xdr:col>
      <xdr:colOff>304800</xdr:colOff>
      <xdr:row>11</xdr:row>
      <xdr:rowOff>129540</xdr:rowOff>
    </xdr:to>
    <xdr:sp macro="" textlink="">
      <xdr:nvSpPr>
        <xdr:cNvPr id="21" name="AutoShape 20" descr="https://www.soccerstats.com/img/own/sshplogo.png">
          <a:hlinkClick xmlns:r="http://schemas.openxmlformats.org/officeDocument/2006/relationships" r:id="rId525"/>
        </xdr:cNvPr>
        <xdr:cNvSpPr>
          <a:spLocks noChangeAspect="1" noChangeArrowheads="1"/>
        </xdr:cNvSpPr>
      </xdr:nvSpPr>
      <xdr:spPr bwMode="auto">
        <a:xfrm>
          <a:off x="13411200" y="1981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152400</xdr:colOff>
      <xdr:row>11</xdr:row>
      <xdr:rowOff>106680</xdr:rowOff>
    </xdr:to>
    <xdr:sp macro="" textlink="">
      <xdr:nvSpPr>
        <xdr:cNvPr id="22" name="AutoShape 21" descr="FRANCE2"/>
        <xdr:cNvSpPr>
          <a:spLocks noChangeAspect="1" noChangeArrowheads="1"/>
        </xdr:cNvSpPr>
      </xdr:nvSpPr>
      <xdr:spPr bwMode="auto">
        <a:xfrm>
          <a:off x="0" y="2156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</xdr:row>
      <xdr:rowOff>0</xdr:rowOff>
    </xdr:from>
    <xdr:to>
      <xdr:col>22</xdr:col>
      <xdr:colOff>304800</xdr:colOff>
      <xdr:row>12</xdr:row>
      <xdr:rowOff>129540</xdr:rowOff>
    </xdr:to>
    <xdr:sp macro="" textlink="">
      <xdr:nvSpPr>
        <xdr:cNvPr id="23" name="AutoShape 22" descr="https://www.soccerstats.com/img/own/sshplogo.png">
          <a:hlinkClick xmlns:r="http://schemas.openxmlformats.org/officeDocument/2006/relationships" r:id="rId526"/>
        </xdr:cNvPr>
        <xdr:cNvSpPr>
          <a:spLocks noChangeAspect="1" noChangeArrowheads="1"/>
        </xdr:cNvSpPr>
      </xdr:nvSpPr>
      <xdr:spPr bwMode="auto">
        <a:xfrm>
          <a:off x="13411200" y="2156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152400</xdr:colOff>
      <xdr:row>12</xdr:row>
      <xdr:rowOff>106680</xdr:rowOff>
    </xdr:to>
    <xdr:sp macro="" textlink="">
      <xdr:nvSpPr>
        <xdr:cNvPr id="24" name="AutoShape 23" descr="FRANCE2"/>
        <xdr:cNvSpPr>
          <a:spLocks noChangeAspect="1" noChangeArrowheads="1"/>
        </xdr:cNvSpPr>
      </xdr:nvSpPr>
      <xdr:spPr bwMode="auto">
        <a:xfrm>
          <a:off x="0" y="2331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</xdr:row>
      <xdr:rowOff>0</xdr:rowOff>
    </xdr:from>
    <xdr:to>
      <xdr:col>22</xdr:col>
      <xdr:colOff>304800</xdr:colOff>
      <xdr:row>13</xdr:row>
      <xdr:rowOff>53340</xdr:rowOff>
    </xdr:to>
    <xdr:sp macro="" textlink="">
      <xdr:nvSpPr>
        <xdr:cNvPr id="25" name="AutoShape 24" descr="https://www.soccerstats.com/img/own/sshplogo.png">
          <a:hlinkClick xmlns:r="http://schemas.openxmlformats.org/officeDocument/2006/relationships" r:id="rId527"/>
        </xdr:cNvPr>
        <xdr:cNvSpPr>
          <a:spLocks noChangeAspect="1" noChangeArrowheads="1"/>
        </xdr:cNvSpPr>
      </xdr:nvSpPr>
      <xdr:spPr bwMode="auto">
        <a:xfrm>
          <a:off x="13411200" y="2331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152400</xdr:colOff>
      <xdr:row>13</xdr:row>
      <xdr:rowOff>106680</xdr:rowOff>
    </xdr:to>
    <xdr:sp macro="" textlink="">
      <xdr:nvSpPr>
        <xdr:cNvPr id="26" name="AutoShape 25" descr="FRANCE2"/>
        <xdr:cNvSpPr>
          <a:spLocks noChangeAspect="1" noChangeArrowheads="1"/>
        </xdr:cNvSpPr>
      </xdr:nvSpPr>
      <xdr:spPr bwMode="auto">
        <a:xfrm>
          <a:off x="0" y="2583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</xdr:row>
      <xdr:rowOff>0</xdr:rowOff>
    </xdr:from>
    <xdr:to>
      <xdr:col>22</xdr:col>
      <xdr:colOff>304800</xdr:colOff>
      <xdr:row>14</xdr:row>
      <xdr:rowOff>129540</xdr:rowOff>
    </xdr:to>
    <xdr:sp macro="" textlink="">
      <xdr:nvSpPr>
        <xdr:cNvPr id="27" name="AutoShape 26" descr="https://www.soccerstats.com/img/own/sshplogo.png">
          <a:hlinkClick xmlns:r="http://schemas.openxmlformats.org/officeDocument/2006/relationships" r:id="rId528"/>
        </xdr:cNvPr>
        <xdr:cNvSpPr>
          <a:spLocks noChangeAspect="1" noChangeArrowheads="1"/>
        </xdr:cNvSpPr>
      </xdr:nvSpPr>
      <xdr:spPr bwMode="auto">
        <a:xfrm>
          <a:off x="13411200" y="2583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152400</xdr:colOff>
      <xdr:row>14</xdr:row>
      <xdr:rowOff>106680</xdr:rowOff>
    </xdr:to>
    <xdr:sp macro="" textlink="">
      <xdr:nvSpPr>
        <xdr:cNvPr id="28" name="AutoShape 27" descr="GERMANY2"/>
        <xdr:cNvSpPr>
          <a:spLocks noChangeAspect="1" noChangeArrowheads="1"/>
        </xdr:cNvSpPr>
      </xdr:nvSpPr>
      <xdr:spPr bwMode="auto">
        <a:xfrm>
          <a:off x="0" y="2758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</xdr:row>
      <xdr:rowOff>0</xdr:rowOff>
    </xdr:from>
    <xdr:to>
      <xdr:col>22</xdr:col>
      <xdr:colOff>304800</xdr:colOff>
      <xdr:row>15</xdr:row>
      <xdr:rowOff>53340</xdr:rowOff>
    </xdr:to>
    <xdr:sp macro="" textlink="">
      <xdr:nvSpPr>
        <xdr:cNvPr id="29" name="AutoShape 28" descr="https://www.soccerstats.com/img/own/sshplogo.png">
          <a:hlinkClick xmlns:r="http://schemas.openxmlformats.org/officeDocument/2006/relationships" r:id="rId529"/>
        </xdr:cNvPr>
        <xdr:cNvSpPr>
          <a:spLocks noChangeAspect="1" noChangeArrowheads="1"/>
        </xdr:cNvSpPr>
      </xdr:nvSpPr>
      <xdr:spPr bwMode="auto">
        <a:xfrm>
          <a:off x="13411200" y="2758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152400</xdr:colOff>
      <xdr:row>15</xdr:row>
      <xdr:rowOff>106680</xdr:rowOff>
    </xdr:to>
    <xdr:sp macro="" textlink="">
      <xdr:nvSpPr>
        <xdr:cNvPr id="30" name="AutoShape 29" descr="GERMANY2"/>
        <xdr:cNvSpPr>
          <a:spLocks noChangeAspect="1" noChangeArrowheads="1"/>
        </xdr:cNvSpPr>
      </xdr:nvSpPr>
      <xdr:spPr bwMode="auto">
        <a:xfrm>
          <a:off x="0" y="3009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</xdr:row>
      <xdr:rowOff>0</xdr:rowOff>
    </xdr:from>
    <xdr:to>
      <xdr:col>22</xdr:col>
      <xdr:colOff>304800</xdr:colOff>
      <xdr:row>16</xdr:row>
      <xdr:rowOff>129540</xdr:rowOff>
    </xdr:to>
    <xdr:sp macro="" textlink="">
      <xdr:nvSpPr>
        <xdr:cNvPr id="31" name="AutoShape 30" descr="https://www.soccerstats.com/img/own/sshplogo.png">
          <a:hlinkClick xmlns:r="http://schemas.openxmlformats.org/officeDocument/2006/relationships" r:id="rId530"/>
        </xdr:cNvPr>
        <xdr:cNvSpPr>
          <a:spLocks noChangeAspect="1" noChangeArrowheads="1"/>
        </xdr:cNvSpPr>
      </xdr:nvSpPr>
      <xdr:spPr bwMode="auto">
        <a:xfrm>
          <a:off x="13411200" y="3009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152400</xdr:colOff>
      <xdr:row>16</xdr:row>
      <xdr:rowOff>106680</xdr:rowOff>
    </xdr:to>
    <xdr:sp macro="" textlink="">
      <xdr:nvSpPr>
        <xdr:cNvPr id="32" name="AutoShape 31" descr="NETHERLANDS2"/>
        <xdr:cNvSpPr>
          <a:spLocks noChangeAspect="1" noChangeArrowheads="1"/>
        </xdr:cNvSpPr>
      </xdr:nvSpPr>
      <xdr:spPr bwMode="auto">
        <a:xfrm>
          <a:off x="0" y="3185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</xdr:row>
      <xdr:rowOff>0</xdr:rowOff>
    </xdr:from>
    <xdr:to>
      <xdr:col>22</xdr:col>
      <xdr:colOff>304800</xdr:colOff>
      <xdr:row>17</xdr:row>
      <xdr:rowOff>129540</xdr:rowOff>
    </xdr:to>
    <xdr:sp macro="" textlink="">
      <xdr:nvSpPr>
        <xdr:cNvPr id="33" name="AutoShape 32" descr="https://www.soccerstats.com/img/own/sshplogo.png">
          <a:hlinkClick xmlns:r="http://schemas.openxmlformats.org/officeDocument/2006/relationships" r:id="rId531"/>
        </xdr:cNvPr>
        <xdr:cNvSpPr>
          <a:spLocks noChangeAspect="1" noChangeArrowheads="1"/>
        </xdr:cNvSpPr>
      </xdr:nvSpPr>
      <xdr:spPr bwMode="auto">
        <a:xfrm>
          <a:off x="13411200" y="3185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152400</xdr:colOff>
      <xdr:row>17</xdr:row>
      <xdr:rowOff>106680</xdr:rowOff>
    </xdr:to>
    <xdr:sp macro="" textlink="">
      <xdr:nvSpPr>
        <xdr:cNvPr id="34" name="AutoShape 33" descr="NETHERLANDS2"/>
        <xdr:cNvSpPr>
          <a:spLocks noChangeAspect="1" noChangeArrowheads="1"/>
        </xdr:cNvSpPr>
      </xdr:nvSpPr>
      <xdr:spPr bwMode="auto">
        <a:xfrm>
          <a:off x="0" y="3360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</xdr:row>
      <xdr:rowOff>0</xdr:rowOff>
    </xdr:from>
    <xdr:to>
      <xdr:col>22</xdr:col>
      <xdr:colOff>304800</xdr:colOff>
      <xdr:row>18</xdr:row>
      <xdr:rowOff>53340</xdr:rowOff>
    </xdr:to>
    <xdr:sp macro="" textlink="">
      <xdr:nvSpPr>
        <xdr:cNvPr id="35" name="AutoShape 34" descr="https://www.soccerstats.com/img/own/sshplogo.png">
          <a:hlinkClick xmlns:r="http://schemas.openxmlformats.org/officeDocument/2006/relationships" r:id="rId532"/>
        </xdr:cNvPr>
        <xdr:cNvSpPr>
          <a:spLocks noChangeAspect="1" noChangeArrowheads="1"/>
        </xdr:cNvSpPr>
      </xdr:nvSpPr>
      <xdr:spPr bwMode="auto">
        <a:xfrm>
          <a:off x="13411200" y="3360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152400</xdr:colOff>
      <xdr:row>18</xdr:row>
      <xdr:rowOff>106680</xdr:rowOff>
    </xdr:to>
    <xdr:sp macro="" textlink="">
      <xdr:nvSpPr>
        <xdr:cNvPr id="36" name="AutoShape 35" descr="NETHERLANDS2"/>
        <xdr:cNvSpPr>
          <a:spLocks noChangeAspect="1" noChangeArrowheads="1"/>
        </xdr:cNvSpPr>
      </xdr:nvSpPr>
      <xdr:spPr bwMode="auto">
        <a:xfrm>
          <a:off x="0" y="3611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</xdr:row>
      <xdr:rowOff>0</xdr:rowOff>
    </xdr:from>
    <xdr:to>
      <xdr:col>22</xdr:col>
      <xdr:colOff>304800</xdr:colOff>
      <xdr:row>19</xdr:row>
      <xdr:rowOff>53340</xdr:rowOff>
    </xdr:to>
    <xdr:sp macro="" textlink="">
      <xdr:nvSpPr>
        <xdr:cNvPr id="37" name="AutoShape 36" descr="https://www.soccerstats.com/img/own/sshplogo.png">
          <a:hlinkClick xmlns:r="http://schemas.openxmlformats.org/officeDocument/2006/relationships" r:id="rId533"/>
        </xdr:cNvPr>
        <xdr:cNvSpPr>
          <a:spLocks noChangeAspect="1" noChangeArrowheads="1"/>
        </xdr:cNvSpPr>
      </xdr:nvSpPr>
      <xdr:spPr bwMode="auto">
        <a:xfrm>
          <a:off x="13411200" y="3611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152400</xdr:colOff>
      <xdr:row>19</xdr:row>
      <xdr:rowOff>106680</xdr:rowOff>
    </xdr:to>
    <xdr:sp macro="" textlink="">
      <xdr:nvSpPr>
        <xdr:cNvPr id="38" name="AutoShape 37" descr="NETHERLANDS2"/>
        <xdr:cNvSpPr>
          <a:spLocks noChangeAspect="1" noChangeArrowheads="1"/>
        </xdr:cNvSpPr>
      </xdr:nvSpPr>
      <xdr:spPr bwMode="auto">
        <a:xfrm>
          <a:off x="0" y="3863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</xdr:row>
      <xdr:rowOff>0</xdr:rowOff>
    </xdr:from>
    <xdr:to>
      <xdr:col>22</xdr:col>
      <xdr:colOff>304800</xdr:colOff>
      <xdr:row>20</xdr:row>
      <xdr:rowOff>129540</xdr:rowOff>
    </xdr:to>
    <xdr:sp macro="" textlink="">
      <xdr:nvSpPr>
        <xdr:cNvPr id="39" name="AutoShape 38" descr="https://www.soccerstats.com/img/own/sshplogo.png">
          <a:hlinkClick xmlns:r="http://schemas.openxmlformats.org/officeDocument/2006/relationships" r:id="rId534"/>
        </xdr:cNvPr>
        <xdr:cNvSpPr>
          <a:spLocks noChangeAspect="1" noChangeArrowheads="1"/>
        </xdr:cNvSpPr>
      </xdr:nvSpPr>
      <xdr:spPr bwMode="auto">
        <a:xfrm>
          <a:off x="13411200" y="3863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152400</xdr:colOff>
      <xdr:row>20</xdr:row>
      <xdr:rowOff>106680</xdr:rowOff>
    </xdr:to>
    <xdr:sp macro="" textlink="">
      <xdr:nvSpPr>
        <xdr:cNvPr id="40" name="AutoShape 39" descr="NETHERLANDS2"/>
        <xdr:cNvSpPr>
          <a:spLocks noChangeAspect="1" noChangeArrowheads="1"/>
        </xdr:cNvSpPr>
      </xdr:nvSpPr>
      <xdr:spPr bwMode="auto">
        <a:xfrm>
          <a:off x="0" y="4038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</xdr:row>
      <xdr:rowOff>0</xdr:rowOff>
    </xdr:from>
    <xdr:to>
      <xdr:col>22</xdr:col>
      <xdr:colOff>304800</xdr:colOff>
      <xdr:row>21</xdr:row>
      <xdr:rowOff>129540</xdr:rowOff>
    </xdr:to>
    <xdr:sp macro="" textlink="">
      <xdr:nvSpPr>
        <xdr:cNvPr id="41" name="AutoShape 40" descr="https://www.soccerstats.com/img/own/sshplogo.png">
          <a:hlinkClick xmlns:r="http://schemas.openxmlformats.org/officeDocument/2006/relationships" r:id="rId535"/>
        </xdr:cNvPr>
        <xdr:cNvSpPr>
          <a:spLocks noChangeAspect="1" noChangeArrowheads="1"/>
        </xdr:cNvSpPr>
      </xdr:nvSpPr>
      <xdr:spPr bwMode="auto">
        <a:xfrm>
          <a:off x="13411200" y="4038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152400</xdr:colOff>
      <xdr:row>21</xdr:row>
      <xdr:rowOff>106680</xdr:rowOff>
    </xdr:to>
    <xdr:sp macro="" textlink="">
      <xdr:nvSpPr>
        <xdr:cNvPr id="42" name="AutoShape 41" descr="NETHERLANDS2"/>
        <xdr:cNvSpPr>
          <a:spLocks noChangeAspect="1" noChangeArrowheads="1"/>
        </xdr:cNvSpPr>
      </xdr:nvSpPr>
      <xdr:spPr bwMode="auto">
        <a:xfrm>
          <a:off x="0" y="4213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</xdr:row>
      <xdr:rowOff>0</xdr:rowOff>
    </xdr:from>
    <xdr:to>
      <xdr:col>22</xdr:col>
      <xdr:colOff>304800</xdr:colOff>
      <xdr:row>22</xdr:row>
      <xdr:rowOff>53340</xdr:rowOff>
    </xdr:to>
    <xdr:sp macro="" textlink="">
      <xdr:nvSpPr>
        <xdr:cNvPr id="43" name="AutoShape 42" descr="https://www.soccerstats.com/img/own/sshplogo.png">
          <a:hlinkClick xmlns:r="http://schemas.openxmlformats.org/officeDocument/2006/relationships" r:id="rId536"/>
        </xdr:cNvPr>
        <xdr:cNvSpPr>
          <a:spLocks noChangeAspect="1" noChangeArrowheads="1"/>
        </xdr:cNvSpPr>
      </xdr:nvSpPr>
      <xdr:spPr bwMode="auto">
        <a:xfrm>
          <a:off x="13411200" y="4213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152400</xdr:colOff>
      <xdr:row>22</xdr:row>
      <xdr:rowOff>106680</xdr:rowOff>
    </xdr:to>
    <xdr:sp macro="" textlink="">
      <xdr:nvSpPr>
        <xdr:cNvPr id="44" name="AutoShape 43" descr="ARGENTINA2"/>
        <xdr:cNvSpPr>
          <a:spLocks noChangeAspect="1" noChangeArrowheads="1"/>
        </xdr:cNvSpPr>
      </xdr:nvSpPr>
      <xdr:spPr bwMode="auto">
        <a:xfrm>
          <a:off x="0" y="4465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</xdr:row>
      <xdr:rowOff>0</xdr:rowOff>
    </xdr:from>
    <xdr:to>
      <xdr:col>22</xdr:col>
      <xdr:colOff>304800</xdr:colOff>
      <xdr:row>23</xdr:row>
      <xdr:rowOff>129540</xdr:rowOff>
    </xdr:to>
    <xdr:sp macro="" textlink="">
      <xdr:nvSpPr>
        <xdr:cNvPr id="45" name="AutoShape 44" descr="https://www.soccerstats.com/img/own/sshplogo.png">
          <a:hlinkClick xmlns:r="http://schemas.openxmlformats.org/officeDocument/2006/relationships" r:id="rId537"/>
        </xdr:cNvPr>
        <xdr:cNvSpPr>
          <a:spLocks noChangeAspect="1" noChangeArrowheads="1"/>
        </xdr:cNvSpPr>
      </xdr:nvSpPr>
      <xdr:spPr bwMode="auto">
        <a:xfrm>
          <a:off x="13411200" y="4465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152400</xdr:colOff>
      <xdr:row>23</xdr:row>
      <xdr:rowOff>106680</xdr:rowOff>
    </xdr:to>
    <xdr:sp macro="" textlink="">
      <xdr:nvSpPr>
        <xdr:cNvPr id="46" name="AutoShape 45" descr="ARGENTINA3"/>
        <xdr:cNvSpPr>
          <a:spLocks noChangeAspect="1" noChangeArrowheads="1"/>
        </xdr:cNvSpPr>
      </xdr:nvSpPr>
      <xdr:spPr bwMode="auto">
        <a:xfrm>
          <a:off x="0" y="4640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</xdr:row>
      <xdr:rowOff>0</xdr:rowOff>
    </xdr:from>
    <xdr:to>
      <xdr:col>22</xdr:col>
      <xdr:colOff>304800</xdr:colOff>
      <xdr:row>24</xdr:row>
      <xdr:rowOff>129540</xdr:rowOff>
    </xdr:to>
    <xdr:sp macro="" textlink="">
      <xdr:nvSpPr>
        <xdr:cNvPr id="47" name="AutoShape 46" descr="https://www.soccerstats.com/img/own/sshplogo.png">
          <a:hlinkClick xmlns:r="http://schemas.openxmlformats.org/officeDocument/2006/relationships" r:id="rId538"/>
        </xdr:cNvPr>
        <xdr:cNvSpPr>
          <a:spLocks noChangeAspect="1" noChangeArrowheads="1"/>
        </xdr:cNvSpPr>
      </xdr:nvSpPr>
      <xdr:spPr bwMode="auto">
        <a:xfrm>
          <a:off x="13411200" y="4640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48" name="AutoShape 47" descr="ARGENTINA3"/>
        <xdr:cNvSpPr>
          <a:spLocks noChangeAspect="1" noChangeArrowheads="1"/>
        </xdr:cNvSpPr>
      </xdr:nvSpPr>
      <xdr:spPr bwMode="auto">
        <a:xfrm>
          <a:off x="0" y="4815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49" name="AutoShape 48" descr="https://www.soccerstats.com/img/own/sshplogo.png">
          <a:hlinkClick xmlns:r="http://schemas.openxmlformats.org/officeDocument/2006/relationships" r:id="rId539"/>
        </xdr:cNvPr>
        <xdr:cNvSpPr>
          <a:spLocks noChangeAspect="1" noChangeArrowheads="1"/>
        </xdr:cNvSpPr>
      </xdr:nvSpPr>
      <xdr:spPr bwMode="auto">
        <a:xfrm>
          <a:off x="13411200" y="4815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152400</xdr:colOff>
      <xdr:row>25</xdr:row>
      <xdr:rowOff>106680</xdr:rowOff>
    </xdr:to>
    <xdr:sp macro="" textlink="">
      <xdr:nvSpPr>
        <xdr:cNvPr id="50" name="AutoShape 49" descr="ARMENIA"/>
        <xdr:cNvSpPr>
          <a:spLocks noChangeAspect="1" noChangeArrowheads="1"/>
        </xdr:cNvSpPr>
      </xdr:nvSpPr>
      <xdr:spPr bwMode="auto">
        <a:xfrm>
          <a:off x="0" y="5067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25</xdr:row>
      <xdr:rowOff>0</xdr:rowOff>
    </xdr:from>
    <xdr:to>
      <xdr:col>22</xdr:col>
      <xdr:colOff>304800</xdr:colOff>
      <xdr:row>26</xdr:row>
      <xdr:rowOff>129540</xdr:rowOff>
    </xdr:to>
    <xdr:sp macro="" textlink="">
      <xdr:nvSpPr>
        <xdr:cNvPr id="51" name="AutoShape 50" descr="https://www.soccerstats.com/img/own/sshplogo.png">
          <a:hlinkClick xmlns:r="http://schemas.openxmlformats.org/officeDocument/2006/relationships" r:id="rId540"/>
        </xdr:cNvPr>
        <xdr:cNvSpPr>
          <a:spLocks noChangeAspect="1" noChangeArrowheads="1"/>
        </xdr:cNvSpPr>
      </xdr:nvSpPr>
      <xdr:spPr bwMode="auto">
        <a:xfrm>
          <a:off x="13411200" y="5067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152400</xdr:colOff>
      <xdr:row>26</xdr:row>
      <xdr:rowOff>106680</xdr:rowOff>
    </xdr:to>
    <xdr:sp macro="" textlink="">
      <xdr:nvSpPr>
        <xdr:cNvPr id="52" name="AutoShape 51" descr="AUSTRALIA3"/>
        <xdr:cNvSpPr>
          <a:spLocks noChangeAspect="1" noChangeArrowheads="1"/>
        </xdr:cNvSpPr>
      </xdr:nvSpPr>
      <xdr:spPr bwMode="auto">
        <a:xfrm>
          <a:off x="0" y="5242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26</xdr:row>
      <xdr:rowOff>0</xdr:rowOff>
    </xdr:from>
    <xdr:to>
      <xdr:col>22</xdr:col>
      <xdr:colOff>304800</xdr:colOff>
      <xdr:row>27</xdr:row>
      <xdr:rowOff>53340</xdr:rowOff>
    </xdr:to>
    <xdr:sp macro="" textlink="">
      <xdr:nvSpPr>
        <xdr:cNvPr id="53" name="AutoShape 52" descr="https://www.soccerstats.com/img/own/sshplogo.png">
          <a:hlinkClick xmlns:r="http://schemas.openxmlformats.org/officeDocument/2006/relationships" r:id="rId541"/>
        </xdr:cNvPr>
        <xdr:cNvSpPr>
          <a:spLocks noChangeAspect="1" noChangeArrowheads="1"/>
        </xdr:cNvSpPr>
      </xdr:nvSpPr>
      <xdr:spPr bwMode="auto">
        <a:xfrm>
          <a:off x="13411200" y="5242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152400</xdr:colOff>
      <xdr:row>27</xdr:row>
      <xdr:rowOff>106680</xdr:rowOff>
    </xdr:to>
    <xdr:sp macro="" textlink="">
      <xdr:nvSpPr>
        <xdr:cNvPr id="54" name="AutoShape 53" descr="AUSTRALIA3"/>
        <xdr:cNvSpPr>
          <a:spLocks noChangeAspect="1" noChangeArrowheads="1"/>
        </xdr:cNvSpPr>
      </xdr:nvSpPr>
      <xdr:spPr bwMode="auto">
        <a:xfrm>
          <a:off x="0" y="5494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27</xdr:row>
      <xdr:rowOff>0</xdr:rowOff>
    </xdr:from>
    <xdr:to>
      <xdr:col>22</xdr:col>
      <xdr:colOff>304800</xdr:colOff>
      <xdr:row>28</xdr:row>
      <xdr:rowOff>129540</xdr:rowOff>
    </xdr:to>
    <xdr:sp macro="" textlink="">
      <xdr:nvSpPr>
        <xdr:cNvPr id="55" name="AutoShape 54" descr="https://www.soccerstats.com/img/own/sshplogo.png">
          <a:hlinkClick xmlns:r="http://schemas.openxmlformats.org/officeDocument/2006/relationships" r:id="rId542"/>
        </xdr:cNvPr>
        <xdr:cNvSpPr>
          <a:spLocks noChangeAspect="1" noChangeArrowheads="1"/>
        </xdr:cNvSpPr>
      </xdr:nvSpPr>
      <xdr:spPr bwMode="auto">
        <a:xfrm>
          <a:off x="13411200" y="5494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152400</xdr:colOff>
      <xdr:row>28</xdr:row>
      <xdr:rowOff>106680</xdr:rowOff>
    </xdr:to>
    <xdr:sp macro="" textlink="">
      <xdr:nvSpPr>
        <xdr:cNvPr id="56" name="AutoShape 55" descr="AUSTRALIA3"/>
        <xdr:cNvSpPr>
          <a:spLocks noChangeAspect="1" noChangeArrowheads="1"/>
        </xdr:cNvSpPr>
      </xdr:nvSpPr>
      <xdr:spPr bwMode="auto">
        <a:xfrm>
          <a:off x="0" y="5669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28</xdr:row>
      <xdr:rowOff>0</xdr:rowOff>
    </xdr:from>
    <xdr:to>
      <xdr:col>22</xdr:col>
      <xdr:colOff>304800</xdr:colOff>
      <xdr:row>29</xdr:row>
      <xdr:rowOff>129540</xdr:rowOff>
    </xdr:to>
    <xdr:sp macro="" textlink="">
      <xdr:nvSpPr>
        <xdr:cNvPr id="57" name="AutoShape 56" descr="https://www.soccerstats.com/img/own/sshplogo.png">
          <a:hlinkClick xmlns:r="http://schemas.openxmlformats.org/officeDocument/2006/relationships" r:id="rId543"/>
        </xdr:cNvPr>
        <xdr:cNvSpPr>
          <a:spLocks noChangeAspect="1" noChangeArrowheads="1"/>
        </xdr:cNvSpPr>
      </xdr:nvSpPr>
      <xdr:spPr bwMode="auto">
        <a:xfrm>
          <a:off x="13411200" y="5669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152400</xdr:colOff>
      <xdr:row>29</xdr:row>
      <xdr:rowOff>106680</xdr:rowOff>
    </xdr:to>
    <xdr:sp macro="" textlink="">
      <xdr:nvSpPr>
        <xdr:cNvPr id="58" name="AutoShape 57" descr="AUSTRALIA4"/>
        <xdr:cNvSpPr>
          <a:spLocks noChangeAspect="1" noChangeArrowheads="1"/>
        </xdr:cNvSpPr>
      </xdr:nvSpPr>
      <xdr:spPr bwMode="auto">
        <a:xfrm>
          <a:off x="0" y="584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</xdr:row>
      <xdr:rowOff>0</xdr:rowOff>
    </xdr:from>
    <xdr:to>
      <xdr:col>22</xdr:col>
      <xdr:colOff>304800</xdr:colOff>
      <xdr:row>30</xdr:row>
      <xdr:rowOff>53340</xdr:rowOff>
    </xdr:to>
    <xdr:sp macro="" textlink="">
      <xdr:nvSpPr>
        <xdr:cNvPr id="59" name="AutoShape 58" descr="https://www.soccerstats.com/img/own/sshplogo.png">
          <a:hlinkClick xmlns:r="http://schemas.openxmlformats.org/officeDocument/2006/relationships" r:id="rId544"/>
        </xdr:cNvPr>
        <xdr:cNvSpPr>
          <a:spLocks noChangeAspect="1" noChangeArrowheads="1"/>
        </xdr:cNvSpPr>
      </xdr:nvSpPr>
      <xdr:spPr bwMode="auto">
        <a:xfrm>
          <a:off x="13411200" y="584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152400</xdr:colOff>
      <xdr:row>30</xdr:row>
      <xdr:rowOff>106680</xdr:rowOff>
    </xdr:to>
    <xdr:sp macro="" textlink="">
      <xdr:nvSpPr>
        <xdr:cNvPr id="60" name="AutoShape 59" descr="AUSTRALIA4"/>
        <xdr:cNvSpPr>
          <a:spLocks noChangeAspect="1" noChangeArrowheads="1"/>
        </xdr:cNvSpPr>
      </xdr:nvSpPr>
      <xdr:spPr bwMode="auto">
        <a:xfrm>
          <a:off x="0" y="6096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30</xdr:row>
      <xdr:rowOff>0</xdr:rowOff>
    </xdr:from>
    <xdr:to>
      <xdr:col>22</xdr:col>
      <xdr:colOff>304800</xdr:colOff>
      <xdr:row>31</xdr:row>
      <xdr:rowOff>53340</xdr:rowOff>
    </xdr:to>
    <xdr:sp macro="" textlink="">
      <xdr:nvSpPr>
        <xdr:cNvPr id="61" name="AutoShape 60" descr="https://www.soccerstats.com/img/own/sshplogo.png">
          <a:hlinkClick xmlns:r="http://schemas.openxmlformats.org/officeDocument/2006/relationships" r:id="rId545"/>
        </xdr:cNvPr>
        <xdr:cNvSpPr>
          <a:spLocks noChangeAspect="1" noChangeArrowheads="1"/>
        </xdr:cNvSpPr>
      </xdr:nvSpPr>
      <xdr:spPr bwMode="auto">
        <a:xfrm>
          <a:off x="13411200" y="609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152400</xdr:colOff>
      <xdr:row>31</xdr:row>
      <xdr:rowOff>106680</xdr:rowOff>
    </xdr:to>
    <xdr:sp macro="" textlink="">
      <xdr:nvSpPr>
        <xdr:cNvPr id="62" name="AutoShape 61" descr="AUSTRALIA4"/>
        <xdr:cNvSpPr>
          <a:spLocks noChangeAspect="1" noChangeArrowheads="1"/>
        </xdr:cNvSpPr>
      </xdr:nvSpPr>
      <xdr:spPr bwMode="auto">
        <a:xfrm>
          <a:off x="0" y="6347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31</xdr:row>
      <xdr:rowOff>0</xdr:rowOff>
    </xdr:from>
    <xdr:to>
      <xdr:col>22</xdr:col>
      <xdr:colOff>304800</xdr:colOff>
      <xdr:row>32</xdr:row>
      <xdr:rowOff>53340</xdr:rowOff>
    </xdr:to>
    <xdr:sp macro="" textlink="">
      <xdr:nvSpPr>
        <xdr:cNvPr id="63" name="AutoShape 62" descr="https://www.soccerstats.com/img/own/sshplogo.png">
          <a:hlinkClick xmlns:r="http://schemas.openxmlformats.org/officeDocument/2006/relationships" r:id="rId546"/>
        </xdr:cNvPr>
        <xdr:cNvSpPr>
          <a:spLocks noChangeAspect="1" noChangeArrowheads="1"/>
        </xdr:cNvSpPr>
      </xdr:nvSpPr>
      <xdr:spPr bwMode="auto">
        <a:xfrm>
          <a:off x="13411200" y="6347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152400</xdr:colOff>
      <xdr:row>32</xdr:row>
      <xdr:rowOff>106680</xdr:rowOff>
    </xdr:to>
    <xdr:sp macro="" textlink="">
      <xdr:nvSpPr>
        <xdr:cNvPr id="1024" name="AutoShape 63" descr="AUSTRALIA4"/>
        <xdr:cNvSpPr>
          <a:spLocks noChangeAspect="1" noChangeArrowheads="1"/>
        </xdr:cNvSpPr>
      </xdr:nvSpPr>
      <xdr:spPr bwMode="auto">
        <a:xfrm>
          <a:off x="0" y="6598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32</xdr:row>
      <xdr:rowOff>0</xdr:rowOff>
    </xdr:from>
    <xdr:to>
      <xdr:col>22</xdr:col>
      <xdr:colOff>304800</xdr:colOff>
      <xdr:row>33</xdr:row>
      <xdr:rowOff>129540</xdr:rowOff>
    </xdr:to>
    <xdr:sp macro="" textlink="">
      <xdr:nvSpPr>
        <xdr:cNvPr id="2048" name="AutoShape 64" descr="https://www.soccerstats.com/img/own/sshplogo.png">
          <a:hlinkClick xmlns:r="http://schemas.openxmlformats.org/officeDocument/2006/relationships" r:id="rId547"/>
        </xdr:cNvPr>
        <xdr:cNvSpPr>
          <a:spLocks noChangeAspect="1" noChangeArrowheads="1"/>
        </xdr:cNvSpPr>
      </xdr:nvSpPr>
      <xdr:spPr bwMode="auto">
        <a:xfrm>
          <a:off x="13411200" y="6598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152400</xdr:colOff>
      <xdr:row>33</xdr:row>
      <xdr:rowOff>106680</xdr:rowOff>
    </xdr:to>
    <xdr:sp macro="" textlink="">
      <xdr:nvSpPr>
        <xdr:cNvPr id="2049" name="AutoShape 65" descr="AUSTRALIA4"/>
        <xdr:cNvSpPr>
          <a:spLocks noChangeAspect="1" noChangeArrowheads="1"/>
        </xdr:cNvSpPr>
      </xdr:nvSpPr>
      <xdr:spPr bwMode="auto">
        <a:xfrm>
          <a:off x="0" y="6774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33</xdr:row>
      <xdr:rowOff>0</xdr:rowOff>
    </xdr:from>
    <xdr:to>
      <xdr:col>22</xdr:col>
      <xdr:colOff>304800</xdr:colOff>
      <xdr:row>34</xdr:row>
      <xdr:rowOff>129540</xdr:rowOff>
    </xdr:to>
    <xdr:sp macro="" textlink="">
      <xdr:nvSpPr>
        <xdr:cNvPr id="2050" name="AutoShape 66" descr="https://www.soccerstats.com/img/own/sshplogo.png">
          <a:hlinkClick xmlns:r="http://schemas.openxmlformats.org/officeDocument/2006/relationships" r:id="rId548"/>
        </xdr:cNvPr>
        <xdr:cNvSpPr>
          <a:spLocks noChangeAspect="1" noChangeArrowheads="1"/>
        </xdr:cNvSpPr>
      </xdr:nvSpPr>
      <xdr:spPr bwMode="auto">
        <a:xfrm>
          <a:off x="13411200" y="6774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152400</xdr:colOff>
      <xdr:row>34</xdr:row>
      <xdr:rowOff>106680</xdr:rowOff>
    </xdr:to>
    <xdr:sp macro="" textlink="">
      <xdr:nvSpPr>
        <xdr:cNvPr id="2051" name="AutoShape 67" descr="AUSTRALIA4"/>
        <xdr:cNvSpPr>
          <a:spLocks noChangeAspect="1" noChangeArrowheads="1"/>
        </xdr:cNvSpPr>
      </xdr:nvSpPr>
      <xdr:spPr bwMode="auto">
        <a:xfrm>
          <a:off x="0" y="6949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34</xdr:row>
      <xdr:rowOff>0</xdr:rowOff>
    </xdr:from>
    <xdr:to>
      <xdr:col>22</xdr:col>
      <xdr:colOff>304800</xdr:colOff>
      <xdr:row>35</xdr:row>
      <xdr:rowOff>53340</xdr:rowOff>
    </xdr:to>
    <xdr:sp macro="" textlink="">
      <xdr:nvSpPr>
        <xdr:cNvPr id="2052" name="AutoShape 68" descr="https://www.soccerstats.com/img/own/sshplogo.png">
          <a:hlinkClick xmlns:r="http://schemas.openxmlformats.org/officeDocument/2006/relationships" r:id="rId549"/>
        </xdr:cNvPr>
        <xdr:cNvSpPr>
          <a:spLocks noChangeAspect="1" noChangeArrowheads="1"/>
        </xdr:cNvSpPr>
      </xdr:nvSpPr>
      <xdr:spPr bwMode="auto">
        <a:xfrm>
          <a:off x="13411200" y="6949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152400</xdr:colOff>
      <xdr:row>35</xdr:row>
      <xdr:rowOff>106680</xdr:rowOff>
    </xdr:to>
    <xdr:sp macro="" textlink="">
      <xdr:nvSpPr>
        <xdr:cNvPr id="2053" name="AutoShape 69" descr="AUSTRALIA5"/>
        <xdr:cNvSpPr>
          <a:spLocks noChangeAspect="1" noChangeArrowheads="1"/>
        </xdr:cNvSpPr>
      </xdr:nvSpPr>
      <xdr:spPr bwMode="auto">
        <a:xfrm>
          <a:off x="0" y="7200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35</xdr:row>
      <xdr:rowOff>0</xdr:rowOff>
    </xdr:from>
    <xdr:to>
      <xdr:col>22</xdr:col>
      <xdr:colOff>304800</xdr:colOff>
      <xdr:row>36</xdr:row>
      <xdr:rowOff>129540</xdr:rowOff>
    </xdr:to>
    <xdr:sp macro="" textlink="">
      <xdr:nvSpPr>
        <xdr:cNvPr id="2054" name="AutoShape 70" descr="https://www.soccerstats.com/img/own/sshplogo.png">
          <a:hlinkClick xmlns:r="http://schemas.openxmlformats.org/officeDocument/2006/relationships" r:id="rId550"/>
        </xdr:cNvPr>
        <xdr:cNvSpPr>
          <a:spLocks noChangeAspect="1" noChangeArrowheads="1"/>
        </xdr:cNvSpPr>
      </xdr:nvSpPr>
      <xdr:spPr bwMode="auto">
        <a:xfrm>
          <a:off x="13411200" y="7200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152400</xdr:colOff>
      <xdr:row>36</xdr:row>
      <xdr:rowOff>106680</xdr:rowOff>
    </xdr:to>
    <xdr:sp macro="" textlink="">
      <xdr:nvSpPr>
        <xdr:cNvPr id="2055" name="AutoShape 71" descr="AUSTRALIA11"/>
        <xdr:cNvSpPr>
          <a:spLocks noChangeAspect="1" noChangeArrowheads="1"/>
        </xdr:cNvSpPr>
      </xdr:nvSpPr>
      <xdr:spPr bwMode="auto">
        <a:xfrm>
          <a:off x="0" y="7376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36</xdr:row>
      <xdr:rowOff>0</xdr:rowOff>
    </xdr:from>
    <xdr:to>
      <xdr:col>22</xdr:col>
      <xdr:colOff>304800</xdr:colOff>
      <xdr:row>37</xdr:row>
      <xdr:rowOff>53340</xdr:rowOff>
    </xdr:to>
    <xdr:sp macro="" textlink="">
      <xdr:nvSpPr>
        <xdr:cNvPr id="2056" name="AutoShape 72" descr="https://www.soccerstats.com/img/own/sshplogo.png">
          <a:hlinkClick xmlns:r="http://schemas.openxmlformats.org/officeDocument/2006/relationships" r:id="rId551"/>
        </xdr:cNvPr>
        <xdr:cNvSpPr>
          <a:spLocks noChangeAspect="1" noChangeArrowheads="1"/>
        </xdr:cNvSpPr>
      </xdr:nvSpPr>
      <xdr:spPr bwMode="auto">
        <a:xfrm>
          <a:off x="13411200" y="7376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152400</xdr:colOff>
      <xdr:row>37</xdr:row>
      <xdr:rowOff>106680</xdr:rowOff>
    </xdr:to>
    <xdr:sp macro="" textlink="">
      <xdr:nvSpPr>
        <xdr:cNvPr id="2057" name="AutoShape 73" descr="AUSTRIA"/>
        <xdr:cNvSpPr>
          <a:spLocks noChangeAspect="1" noChangeArrowheads="1"/>
        </xdr:cNvSpPr>
      </xdr:nvSpPr>
      <xdr:spPr bwMode="auto">
        <a:xfrm>
          <a:off x="0" y="7627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37</xdr:row>
      <xdr:rowOff>0</xdr:rowOff>
    </xdr:from>
    <xdr:to>
      <xdr:col>22</xdr:col>
      <xdr:colOff>304800</xdr:colOff>
      <xdr:row>38</xdr:row>
      <xdr:rowOff>129540</xdr:rowOff>
    </xdr:to>
    <xdr:sp macro="" textlink="">
      <xdr:nvSpPr>
        <xdr:cNvPr id="2058" name="AutoShape 74" descr="https://www.soccerstats.com/img/own/sshplogo.png">
          <a:hlinkClick xmlns:r="http://schemas.openxmlformats.org/officeDocument/2006/relationships" r:id="rId552"/>
        </xdr:cNvPr>
        <xdr:cNvSpPr>
          <a:spLocks noChangeAspect="1" noChangeArrowheads="1"/>
        </xdr:cNvSpPr>
      </xdr:nvSpPr>
      <xdr:spPr bwMode="auto">
        <a:xfrm>
          <a:off x="13411200" y="7627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152400</xdr:colOff>
      <xdr:row>38</xdr:row>
      <xdr:rowOff>106680</xdr:rowOff>
    </xdr:to>
    <xdr:sp macro="" textlink="">
      <xdr:nvSpPr>
        <xdr:cNvPr id="2059" name="AutoShape 75" descr="AUSTRIA2"/>
        <xdr:cNvSpPr>
          <a:spLocks noChangeAspect="1" noChangeArrowheads="1"/>
        </xdr:cNvSpPr>
      </xdr:nvSpPr>
      <xdr:spPr bwMode="auto">
        <a:xfrm>
          <a:off x="0" y="7802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38</xdr:row>
      <xdr:rowOff>0</xdr:rowOff>
    </xdr:from>
    <xdr:to>
      <xdr:col>22</xdr:col>
      <xdr:colOff>304800</xdr:colOff>
      <xdr:row>39</xdr:row>
      <xdr:rowOff>129540</xdr:rowOff>
    </xdr:to>
    <xdr:sp macro="" textlink="">
      <xdr:nvSpPr>
        <xdr:cNvPr id="2060" name="AutoShape 76" descr="https://www.soccerstats.com/img/own/sshplogo.png">
          <a:hlinkClick xmlns:r="http://schemas.openxmlformats.org/officeDocument/2006/relationships" r:id="rId553"/>
        </xdr:cNvPr>
        <xdr:cNvSpPr>
          <a:spLocks noChangeAspect="1" noChangeArrowheads="1"/>
        </xdr:cNvSpPr>
      </xdr:nvSpPr>
      <xdr:spPr bwMode="auto">
        <a:xfrm>
          <a:off x="13411200" y="780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152400</xdr:colOff>
      <xdr:row>39</xdr:row>
      <xdr:rowOff>106680</xdr:rowOff>
    </xdr:to>
    <xdr:sp macro="" textlink="">
      <xdr:nvSpPr>
        <xdr:cNvPr id="2061" name="AutoShape 77" descr="AUSTRIA2"/>
        <xdr:cNvSpPr>
          <a:spLocks noChangeAspect="1" noChangeArrowheads="1"/>
        </xdr:cNvSpPr>
      </xdr:nvSpPr>
      <xdr:spPr bwMode="auto">
        <a:xfrm>
          <a:off x="0" y="7978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39</xdr:row>
      <xdr:rowOff>0</xdr:rowOff>
    </xdr:from>
    <xdr:to>
      <xdr:col>22</xdr:col>
      <xdr:colOff>304800</xdr:colOff>
      <xdr:row>40</xdr:row>
      <xdr:rowOff>129540</xdr:rowOff>
    </xdr:to>
    <xdr:sp macro="" textlink="">
      <xdr:nvSpPr>
        <xdr:cNvPr id="2062" name="AutoShape 78" descr="https://www.soccerstats.com/img/own/sshplogo.png">
          <a:hlinkClick xmlns:r="http://schemas.openxmlformats.org/officeDocument/2006/relationships" r:id="rId554"/>
        </xdr:cNvPr>
        <xdr:cNvSpPr>
          <a:spLocks noChangeAspect="1" noChangeArrowheads="1"/>
        </xdr:cNvSpPr>
      </xdr:nvSpPr>
      <xdr:spPr bwMode="auto">
        <a:xfrm>
          <a:off x="13411200" y="797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152400</xdr:colOff>
      <xdr:row>40</xdr:row>
      <xdr:rowOff>106680</xdr:rowOff>
    </xdr:to>
    <xdr:sp macro="" textlink="">
      <xdr:nvSpPr>
        <xdr:cNvPr id="2063" name="AutoShape 79" descr="AZERBAIJAN"/>
        <xdr:cNvSpPr>
          <a:spLocks noChangeAspect="1" noChangeArrowheads="1"/>
        </xdr:cNvSpPr>
      </xdr:nvSpPr>
      <xdr:spPr bwMode="auto">
        <a:xfrm>
          <a:off x="0" y="815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40</xdr:row>
      <xdr:rowOff>0</xdr:rowOff>
    </xdr:from>
    <xdr:to>
      <xdr:col>22</xdr:col>
      <xdr:colOff>304800</xdr:colOff>
      <xdr:row>41</xdr:row>
      <xdr:rowOff>129540</xdr:rowOff>
    </xdr:to>
    <xdr:sp macro="" textlink="">
      <xdr:nvSpPr>
        <xdr:cNvPr id="2064" name="AutoShape 80" descr="https://www.soccerstats.com/img/own/sshplogo.png">
          <a:hlinkClick xmlns:r="http://schemas.openxmlformats.org/officeDocument/2006/relationships" r:id="rId555"/>
        </xdr:cNvPr>
        <xdr:cNvSpPr>
          <a:spLocks noChangeAspect="1" noChangeArrowheads="1"/>
        </xdr:cNvSpPr>
      </xdr:nvSpPr>
      <xdr:spPr bwMode="auto">
        <a:xfrm>
          <a:off x="13411200" y="815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152400</xdr:colOff>
      <xdr:row>41</xdr:row>
      <xdr:rowOff>106680</xdr:rowOff>
    </xdr:to>
    <xdr:sp macro="" textlink="">
      <xdr:nvSpPr>
        <xdr:cNvPr id="2065" name="AutoShape 81" descr="AZERBAIJAN"/>
        <xdr:cNvSpPr>
          <a:spLocks noChangeAspect="1" noChangeArrowheads="1"/>
        </xdr:cNvSpPr>
      </xdr:nvSpPr>
      <xdr:spPr bwMode="auto">
        <a:xfrm>
          <a:off x="0" y="832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41</xdr:row>
      <xdr:rowOff>0</xdr:rowOff>
    </xdr:from>
    <xdr:to>
      <xdr:col>22</xdr:col>
      <xdr:colOff>304800</xdr:colOff>
      <xdr:row>42</xdr:row>
      <xdr:rowOff>129540</xdr:rowOff>
    </xdr:to>
    <xdr:sp macro="" textlink="">
      <xdr:nvSpPr>
        <xdr:cNvPr id="2066" name="AutoShape 82" descr="https://www.soccerstats.com/img/own/sshplogo.png">
          <a:hlinkClick xmlns:r="http://schemas.openxmlformats.org/officeDocument/2006/relationships" r:id="rId556"/>
        </xdr:cNvPr>
        <xdr:cNvSpPr>
          <a:spLocks noChangeAspect="1" noChangeArrowheads="1"/>
        </xdr:cNvSpPr>
      </xdr:nvSpPr>
      <xdr:spPr bwMode="auto">
        <a:xfrm>
          <a:off x="13411200" y="832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152400</xdr:colOff>
      <xdr:row>42</xdr:row>
      <xdr:rowOff>106680</xdr:rowOff>
    </xdr:to>
    <xdr:sp macro="" textlink="">
      <xdr:nvSpPr>
        <xdr:cNvPr id="2067" name="AutoShape 83" descr="AZERBAIJAN"/>
        <xdr:cNvSpPr>
          <a:spLocks noChangeAspect="1" noChangeArrowheads="1"/>
        </xdr:cNvSpPr>
      </xdr:nvSpPr>
      <xdr:spPr bwMode="auto">
        <a:xfrm>
          <a:off x="0" y="8503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42</xdr:row>
      <xdr:rowOff>0</xdr:rowOff>
    </xdr:from>
    <xdr:to>
      <xdr:col>22</xdr:col>
      <xdr:colOff>304800</xdr:colOff>
      <xdr:row>43</xdr:row>
      <xdr:rowOff>129540</xdr:rowOff>
    </xdr:to>
    <xdr:sp macro="" textlink="">
      <xdr:nvSpPr>
        <xdr:cNvPr id="2068" name="AutoShape 84" descr="https://www.soccerstats.com/img/own/sshplogo.png">
          <a:hlinkClick xmlns:r="http://schemas.openxmlformats.org/officeDocument/2006/relationships" r:id="rId557"/>
        </xdr:cNvPr>
        <xdr:cNvSpPr>
          <a:spLocks noChangeAspect="1" noChangeArrowheads="1"/>
        </xdr:cNvSpPr>
      </xdr:nvSpPr>
      <xdr:spPr bwMode="auto">
        <a:xfrm>
          <a:off x="13411200" y="8503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152400</xdr:colOff>
      <xdr:row>43</xdr:row>
      <xdr:rowOff>106680</xdr:rowOff>
    </xdr:to>
    <xdr:sp macro="" textlink="">
      <xdr:nvSpPr>
        <xdr:cNvPr id="2069" name="AutoShape 85" descr="AZERBAIJAN"/>
        <xdr:cNvSpPr>
          <a:spLocks noChangeAspect="1" noChangeArrowheads="1"/>
        </xdr:cNvSpPr>
      </xdr:nvSpPr>
      <xdr:spPr bwMode="auto">
        <a:xfrm>
          <a:off x="0" y="8679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43</xdr:row>
      <xdr:rowOff>0</xdr:rowOff>
    </xdr:from>
    <xdr:to>
      <xdr:col>22</xdr:col>
      <xdr:colOff>304800</xdr:colOff>
      <xdr:row>44</xdr:row>
      <xdr:rowOff>53340</xdr:rowOff>
    </xdr:to>
    <xdr:sp macro="" textlink="">
      <xdr:nvSpPr>
        <xdr:cNvPr id="2070" name="AutoShape 86" descr="https://www.soccerstats.com/img/own/sshplogo.png">
          <a:hlinkClick xmlns:r="http://schemas.openxmlformats.org/officeDocument/2006/relationships" r:id="rId558"/>
        </xdr:cNvPr>
        <xdr:cNvSpPr>
          <a:spLocks noChangeAspect="1" noChangeArrowheads="1"/>
        </xdr:cNvSpPr>
      </xdr:nvSpPr>
      <xdr:spPr bwMode="auto">
        <a:xfrm>
          <a:off x="13411200" y="8679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152400</xdr:colOff>
      <xdr:row>44</xdr:row>
      <xdr:rowOff>106680</xdr:rowOff>
    </xdr:to>
    <xdr:sp macro="" textlink="">
      <xdr:nvSpPr>
        <xdr:cNvPr id="2071" name="AutoShape 87" descr="AZERBAIJAN"/>
        <xdr:cNvSpPr>
          <a:spLocks noChangeAspect="1" noChangeArrowheads="1"/>
        </xdr:cNvSpPr>
      </xdr:nvSpPr>
      <xdr:spPr bwMode="auto">
        <a:xfrm>
          <a:off x="0" y="8854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44</xdr:row>
      <xdr:rowOff>0</xdr:rowOff>
    </xdr:from>
    <xdr:to>
      <xdr:col>22</xdr:col>
      <xdr:colOff>304800</xdr:colOff>
      <xdr:row>45</xdr:row>
      <xdr:rowOff>53340</xdr:rowOff>
    </xdr:to>
    <xdr:sp macro="" textlink="">
      <xdr:nvSpPr>
        <xdr:cNvPr id="2072" name="AutoShape 88" descr="https://www.soccerstats.com/img/own/sshplogo.png">
          <a:hlinkClick xmlns:r="http://schemas.openxmlformats.org/officeDocument/2006/relationships" r:id="rId559"/>
        </xdr:cNvPr>
        <xdr:cNvSpPr>
          <a:spLocks noChangeAspect="1" noChangeArrowheads="1"/>
        </xdr:cNvSpPr>
      </xdr:nvSpPr>
      <xdr:spPr bwMode="auto">
        <a:xfrm>
          <a:off x="13411200" y="8854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152400</xdr:colOff>
      <xdr:row>45</xdr:row>
      <xdr:rowOff>106680</xdr:rowOff>
    </xdr:to>
    <xdr:sp macro="" textlink="">
      <xdr:nvSpPr>
        <xdr:cNvPr id="2073" name="AutoShape 89" descr="AZERBAIJAN"/>
        <xdr:cNvSpPr>
          <a:spLocks noChangeAspect="1" noChangeArrowheads="1"/>
        </xdr:cNvSpPr>
      </xdr:nvSpPr>
      <xdr:spPr bwMode="auto">
        <a:xfrm>
          <a:off x="0" y="9029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45</xdr:row>
      <xdr:rowOff>0</xdr:rowOff>
    </xdr:from>
    <xdr:to>
      <xdr:col>22</xdr:col>
      <xdr:colOff>304800</xdr:colOff>
      <xdr:row>46</xdr:row>
      <xdr:rowOff>129540</xdr:rowOff>
    </xdr:to>
    <xdr:sp macro="" textlink="">
      <xdr:nvSpPr>
        <xdr:cNvPr id="2074" name="AutoShape 90" descr="https://www.soccerstats.com/img/own/sshplogo.png">
          <a:hlinkClick xmlns:r="http://schemas.openxmlformats.org/officeDocument/2006/relationships" r:id="rId560"/>
        </xdr:cNvPr>
        <xdr:cNvSpPr>
          <a:spLocks noChangeAspect="1" noChangeArrowheads="1"/>
        </xdr:cNvSpPr>
      </xdr:nvSpPr>
      <xdr:spPr bwMode="auto">
        <a:xfrm>
          <a:off x="13411200" y="9029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152400</xdr:colOff>
      <xdr:row>46</xdr:row>
      <xdr:rowOff>106680</xdr:rowOff>
    </xdr:to>
    <xdr:sp macro="" textlink="">
      <xdr:nvSpPr>
        <xdr:cNvPr id="2075" name="AutoShape 91" descr="BELARUS"/>
        <xdr:cNvSpPr>
          <a:spLocks noChangeAspect="1" noChangeArrowheads="1"/>
        </xdr:cNvSpPr>
      </xdr:nvSpPr>
      <xdr:spPr bwMode="auto">
        <a:xfrm>
          <a:off x="0" y="9204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46</xdr:row>
      <xdr:rowOff>0</xdr:rowOff>
    </xdr:from>
    <xdr:to>
      <xdr:col>22</xdr:col>
      <xdr:colOff>304800</xdr:colOff>
      <xdr:row>47</xdr:row>
      <xdr:rowOff>53340</xdr:rowOff>
    </xdr:to>
    <xdr:sp macro="" textlink="">
      <xdr:nvSpPr>
        <xdr:cNvPr id="2076" name="AutoShape 92" descr="https://www.soccerstats.com/img/own/sshplogo.png">
          <a:hlinkClick xmlns:r="http://schemas.openxmlformats.org/officeDocument/2006/relationships" r:id="rId561"/>
        </xdr:cNvPr>
        <xdr:cNvSpPr>
          <a:spLocks noChangeAspect="1" noChangeArrowheads="1"/>
        </xdr:cNvSpPr>
      </xdr:nvSpPr>
      <xdr:spPr bwMode="auto">
        <a:xfrm>
          <a:off x="13411200" y="9204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152400</xdr:colOff>
      <xdr:row>47</xdr:row>
      <xdr:rowOff>106680</xdr:rowOff>
    </xdr:to>
    <xdr:sp macro="" textlink="">
      <xdr:nvSpPr>
        <xdr:cNvPr id="2077" name="AutoShape 93" descr="BELARUS"/>
        <xdr:cNvSpPr>
          <a:spLocks noChangeAspect="1" noChangeArrowheads="1"/>
        </xdr:cNvSpPr>
      </xdr:nvSpPr>
      <xdr:spPr bwMode="auto">
        <a:xfrm>
          <a:off x="0" y="9380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47</xdr:row>
      <xdr:rowOff>0</xdr:rowOff>
    </xdr:from>
    <xdr:to>
      <xdr:col>22</xdr:col>
      <xdr:colOff>304800</xdr:colOff>
      <xdr:row>48</xdr:row>
      <xdr:rowOff>129540</xdr:rowOff>
    </xdr:to>
    <xdr:sp macro="" textlink="">
      <xdr:nvSpPr>
        <xdr:cNvPr id="2078" name="AutoShape 94" descr="https://www.soccerstats.com/img/own/sshplogo.png">
          <a:hlinkClick xmlns:r="http://schemas.openxmlformats.org/officeDocument/2006/relationships" r:id="rId562"/>
        </xdr:cNvPr>
        <xdr:cNvSpPr>
          <a:spLocks noChangeAspect="1" noChangeArrowheads="1"/>
        </xdr:cNvSpPr>
      </xdr:nvSpPr>
      <xdr:spPr bwMode="auto">
        <a:xfrm>
          <a:off x="13411200" y="9380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152400</xdr:colOff>
      <xdr:row>48</xdr:row>
      <xdr:rowOff>106680</xdr:rowOff>
    </xdr:to>
    <xdr:sp macro="" textlink="">
      <xdr:nvSpPr>
        <xdr:cNvPr id="2079" name="AutoShape 95" descr="BELGIUM"/>
        <xdr:cNvSpPr>
          <a:spLocks noChangeAspect="1" noChangeArrowheads="1"/>
        </xdr:cNvSpPr>
      </xdr:nvSpPr>
      <xdr:spPr bwMode="auto">
        <a:xfrm>
          <a:off x="0" y="9631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48</xdr:row>
      <xdr:rowOff>0</xdr:rowOff>
    </xdr:from>
    <xdr:to>
      <xdr:col>22</xdr:col>
      <xdr:colOff>304800</xdr:colOff>
      <xdr:row>49</xdr:row>
      <xdr:rowOff>129540</xdr:rowOff>
    </xdr:to>
    <xdr:sp macro="" textlink="">
      <xdr:nvSpPr>
        <xdr:cNvPr id="2080" name="AutoShape 96" descr="https://www.soccerstats.com/img/own/sshplogo.png">
          <a:hlinkClick xmlns:r="http://schemas.openxmlformats.org/officeDocument/2006/relationships" r:id="rId563"/>
        </xdr:cNvPr>
        <xdr:cNvSpPr>
          <a:spLocks noChangeAspect="1" noChangeArrowheads="1"/>
        </xdr:cNvSpPr>
      </xdr:nvSpPr>
      <xdr:spPr bwMode="auto">
        <a:xfrm>
          <a:off x="13411200" y="963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152400</xdr:colOff>
      <xdr:row>49</xdr:row>
      <xdr:rowOff>106680</xdr:rowOff>
    </xdr:to>
    <xdr:sp macro="" textlink="">
      <xdr:nvSpPr>
        <xdr:cNvPr id="2081" name="AutoShape 97" descr="BELGIUM2"/>
        <xdr:cNvSpPr>
          <a:spLocks noChangeAspect="1" noChangeArrowheads="1"/>
        </xdr:cNvSpPr>
      </xdr:nvSpPr>
      <xdr:spPr bwMode="auto">
        <a:xfrm>
          <a:off x="0" y="9883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49</xdr:row>
      <xdr:rowOff>0</xdr:rowOff>
    </xdr:from>
    <xdr:to>
      <xdr:col>22</xdr:col>
      <xdr:colOff>304800</xdr:colOff>
      <xdr:row>50</xdr:row>
      <xdr:rowOff>129540</xdr:rowOff>
    </xdr:to>
    <xdr:sp macro="" textlink="">
      <xdr:nvSpPr>
        <xdr:cNvPr id="2082" name="AutoShape 98" descr="https://www.soccerstats.com/img/own/sshplogo.png">
          <a:hlinkClick xmlns:r="http://schemas.openxmlformats.org/officeDocument/2006/relationships" r:id="rId564"/>
        </xdr:cNvPr>
        <xdr:cNvSpPr>
          <a:spLocks noChangeAspect="1" noChangeArrowheads="1"/>
        </xdr:cNvSpPr>
      </xdr:nvSpPr>
      <xdr:spPr bwMode="auto">
        <a:xfrm>
          <a:off x="13411200" y="9883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152400</xdr:colOff>
      <xdr:row>50</xdr:row>
      <xdr:rowOff>106680</xdr:rowOff>
    </xdr:to>
    <xdr:sp macro="" textlink="">
      <xdr:nvSpPr>
        <xdr:cNvPr id="2083" name="AutoShape 99" descr="BELGIUM2"/>
        <xdr:cNvSpPr>
          <a:spLocks noChangeAspect="1" noChangeArrowheads="1"/>
        </xdr:cNvSpPr>
      </xdr:nvSpPr>
      <xdr:spPr bwMode="auto">
        <a:xfrm>
          <a:off x="0" y="10058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50</xdr:row>
      <xdr:rowOff>0</xdr:rowOff>
    </xdr:from>
    <xdr:to>
      <xdr:col>22</xdr:col>
      <xdr:colOff>304800</xdr:colOff>
      <xdr:row>51</xdr:row>
      <xdr:rowOff>129540</xdr:rowOff>
    </xdr:to>
    <xdr:sp macro="" textlink="">
      <xdr:nvSpPr>
        <xdr:cNvPr id="2084" name="AutoShape 100" descr="https://www.soccerstats.com/img/own/sshplogo.png">
          <a:hlinkClick xmlns:r="http://schemas.openxmlformats.org/officeDocument/2006/relationships" r:id="rId565"/>
        </xdr:cNvPr>
        <xdr:cNvSpPr>
          <a:spLocks noChangeAspect="1" noChangeArrowheads="1"/>
        </xdr:cNvSpPr>
      </xdr:nvSpPr>
      <xdr:spPr bwMode="auto">
        <a:xfrm>
          <a:off x="13411200" y="1005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152400</xdr:colOff>
      <xdr:row>51</xdr:row>
      <xdr:rowOff>106680</xdr:rowOff>
    </xdr:to>
    <xdr:sp macro="" textlink="">
      <xdr:nvSpPr>
        <xdr:cNvPr id="2085" name="AutoShape 101" descr="BRAZIL2"/>
        <xdr:cNvSpPr>
          <a:spLocks noChangeAspect="1" noChangeArrowheads="1"/>
        </xdr:cNvSpPr>
      </xdr:nvSpPr>
      <xdr:spPr bwMode="auto">
        <a:xfrm>
          <a:off x="0" y="10309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51</xdr:row>
      <xdr:rowOff>0</xdr:rowOff>
    </xdr:from>
    <xdr:to>
      <xdr:col>22</xdr:col>
      <xdr:colOff>304800</xdr:colOff>
      <xdr:row>52</xdr:row>
      <xdr:rowOff>53340</xdr:rowOff>
    </xdr:to>
    <xdr:sp macro="" textlink="">
      <xdr:nvSpPr>
        <xdr:cNvPr id="2086" name="AutoShape 102" descr="https://www.soccerstats.com/img/own/sshplogo.png">
          <a:hlinkClick xmlns:r="http://schemas.openxmlformats.org/officeDocument/2006/relationships" r:id="rId566"/>
        </xdr:cNvPr>
        <xdr:cNvSpPr>
          <a:spLocks noChangeAspect="1" noChangeArrowheads="1"/>
        </xdr:cNvSpPr>
      </xdr:nvSpPr>
      <xdr:spPr bwMode="auto">
        <a:xfrm>
          <a:off x="13411200" y="10309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152400</xdr:colOff>
      <xdr:row>52</xdr:row>
      <xdr:rowOff>106680</xdr:rowOff>
    </xdr:to>
    <xdr:sp macro="" textlink="">
      <xdr:nvSpPr>
        <xdr:cNvPr id="2087" name="AutoShape 103" descr="BRAZIL2"/>
        <xdr:cNvSpPr>
          <a:spLocks noChangeAspect="1" noChangeArrowheads="1"/>
        </xdr:cNvSpPr>
      </xdr:nvSpPr>
      <xdr:spPr bwMode="auto">
        <a:xfrm>
          <a:off x="0" y="10485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52</xdr:row>
      <xdr:rowOff>0</xdr:rowOff>
    </xdr:from>
    <xdr:to>
      <xdr:col>22</xdr:col>
      <xdr:colOff>304800</xdr:colOff>
      <xdr:row>53</xdr:row>
      <xdr:rowOff>129540</xdr:rowOff>
    </xdr:to>
    <xdr:sp macro="" textlink="">
      <xdr:nvSpPr>
        <xdr:cNvPr id="2088" name="AutoShape 104" descr="https://www.soccerstats.com/img/own/sshplogo.png">
          <a:hlinkClick xmlns:r="http://schemas.openxmlformats.org/officeDocument/2006/relationships" r:id="rId567"/>
        </xdr:cNvPr>
        <xdr:cNvSpPr>
          <a:spLocks noChangeAspect="1" noChangeArrowheads="1"/>
        </xdr:cNvSpPr>
      </xdr:nvSpPr>
      <xdr:spPr bwMode="auto">
        <a:xfrm>
          <a:off x="13411200" y="10485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152400</xdr:colOff>
      <xdr:row>53</xdr:row>
      <xdr:rowOff>106680</xdr:rowOff>
    </xdr:to>
    <xdr:sp macro="" textlink="">
      <xdr:nvSpPr>
        <xdr:cNvPr id="2089" name="AutoShape 105" descr="BRAZIL2"/>
        <xdr:cNvSpPr>
          <a:spLocks noChangeAspect="1" noChangeArrowheads="1"/>
        </xdr:cNvSpPr>
      </xdr:nvSpPr>
      <xdr:spPr bwMode="auto">
        <a:xfrm>
          <a:off x="0" y="10660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53</xdr:row>
      <xdr:rowOff>0</xdr:rowOff>
    </xdr:from>
    <xdr:to>
      <xdr:col>22</xdr:col>
      <xdr:colOff>304800</xdr:colOff>
      <xdr:row>54</xdr:row>
      <xdr:rowOff>53340</xdr:rowOff>
    </xdr:to>
    <xdr:sp macro="" textlink="">
      <xdr:nvSpPr>
        <xdr:cNvPr id="2090" name="AutoShape 106" descr="https://www.soccerstats.com/img/own/sshplogo.png">
          <a:hlinkClick xmlns:r="http://schemas.openxmlformats.org/officeDocument/2006/relationships" r:id="rId568"/>
        </xdr:cNvPr>
        <xdr:cNvSpPr>
          <a:spLocks noChangeAspect="1" noChangeArrowheads="1"/>
        </xdr:cNvSpPr>
      </xdr:nvSpPr>
      <xdr:spPr bwMode="auto">
        <a:xfrm>
          <a:off x="13411200" y="10660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152400</xdr:colOff>
      <xdr:row>54</xdr:row>
      <xdr:rowOff>106680</xdr:rowOff>
    </xdr:to>
    <xdr:sp macro="" textlink="">
      <xdr:nvSpPr>
        <xdr:cNvPr id="2091" name="AutoShape 107" descr="BULGARIA"/>
        <xdr:cNvSpPr>
          <a:spLocks noChangeAspect="1" noChangeArrowheads="1"/>
        </xdr:cNvSpPr>
      </xdr:nvSpPr>
      <xdr:spPr bwMode="auto">
        <a:xfrm>
          <a:off x="0" y="10835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54</xdr:row>
      <xdr:rowOff>0</xdr:rowOff>
    </xdr:from>
    <xdr:to>
      <xdr:col>22</xdr:col>
      <xdr:colOff>304800</xdr:colOff>
      <xdr:row>55</xdr:row>
      <xdr:rowOff>53340</xdr:rowOff>
    </xdr:to>
    <xdr:sp macro="" textlink="">
      <xdr:nvSpPr>
        <xdr:cNvPr id="2092" name="AutoShape 108" descr="https://www.soccerstats.com/img/own/sshplogo.png">
          <a:hlinkClick xmlns:r="http://schemas.openxmlformats.org/officeDocument/2006/relationships" r:id="rId569"/>
        </xdr:cNvPr>
        <xdr:cNvSpPr>
          <a:spLocks noChangeAspect="1" noChangeArrowheads="1"/>
        </xdr:cNvSpPr>
      </xdr:nvSpPr>
      <xdr:spPr bwMode="auto">
        <a:xfrm>
          <a:off x="13411200" y="10835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152400</xdr:colOff>
      <xdr:row>55</xdr:row>
      <xdr:rowOff>106680</xdr:rowOff>
    </xdr:to>
    <xdr:sp macro="" textlink="">
      <xdr:nvSpPr>
        <xdr:cNvPr id="2093" name="AutoShape 109" descr="BULGARIA2"/>
        <xdr:cNvSpPr>
          <a:spLocks noChangeAspect="1" noChangeArrowheads="1"/>
        </xdr:cNvSpPr>
      </xdr:nvSpPr>
      <xdr:spPr bwMode="auto">
        <a:xfrm>
          <a:off x="0" y="11087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55</xdr:row>
      <xdr:rowOff>0</xdr:rowOff>
    </xdr:from>
    <xdr:to>
      <xdr:col>22</xdr:col>
      <xdr:colOff>304800</xdr:colOff>
      <xdr:row>56</xdr:row>
      <xdr:rowOff>129540</xdr:rowOff>
    </xdr:to>
    <xdr:sp macro="" textlink="">
      <xdr:nvSpPr>
        <xdr:cNvPr id="2094" name="AutoShape 110" descr="https://www.soccerstats.com/img/own/sshplogo.png">
          <a:hlinkClick xmlns:r="http://schemas.openxmlformats.org/officeDocument/2006/relationships" r:id="rId570"/>
        </xdr:cNvPr>
        <xdr:cNvSpPr>
          <a:spLocks noChangeAspect="1" noChangeArrowheads="1"/>
        </xdr:cNvSpPr>
      </xdr:nvSpPr>
      <xdr:spPr bwMode="auto">
        <a:xfrm>
          <a:off x="13411200" y="1108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152400</xdr:colOff>
      <xdr:row>56</xdr:row>
      <xdr:rowOff>106680</xdr:rowOff>
    </xdr:to>
    <xdr:sp macro="" textlink="">
      <xdr:nvSpPr>
        <xdr:cNvPr id="2095" name="AutoShape 111" descr="CHILE"/>
        <xdr:cNvSpPr>
          <a:spLocks noChangeAspect="1" noChangeArrowheads="1"/>
        </xdr:cNvSpPr>
      </xdr:nvSpPr>
      <xdr:spPr bwMode="auto">
        <a:xfrm>
          <a:off x="0" y="11262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56</xdr:row>
      <xdr:rowOff>0</xdr:rowOff>
    </xdr:from>
    <xdr:to>
      <xdr:col>22</xdr:col>
      <xdr:colOff>304800</xdr:colOff>
      <xdr:row>57</xdr:row>
      <xdr:rowOff>53340</xdr:rowOff>
    </xdr:to>
    <xdr:sp macro="" textlink="">
      <xdr:nvSpPr>
        <xdr:cNvPr id="2096" name="AutoShape 112" descr="https://www.soccerstats.com/img/own/sshplogo.png">
          <a:hlinkClick xmlns:r="http://schemas.openxmlformats.org/officeDocument/2006/relationships" r:id="rId571"/>
        </xdr:cNvPr>
        <xdr:cNvSpPr>
          <a:spLocks noChangeAspect="1" noChangeArrowheads="1"/>
        </xdr:cNvSpPr>
      </xdr:nvSpPr>
      <xdr:spPr bwMode="auto">
        <a:xfrm>
          <a:off x="13411200" y="11262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152400</xdr:colOff>
      <xdr:row>57</xdr:row>
      <xdr:rowOff>106680</xdr:rowOff>
    </xdr:to>
    <xdr:sp macro="" textlink="">
      <xdr:nvSpPr>
        <xdr:cNvPr id="2097" name="AutoShape 113" descr="CHILE2"/>
        <xdr:cNvSpPr>
          <a:spLocks noChangeAspect="1" noChangeArrowheads="1"/>
        </xdr:cNvSpPr>
      </xdr:nvSpPr>
      <xdr:spPr bwMode="auto">
        <a:xfrm>
          <a:off x="0" y="11513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57</xdr:row>
      <xdr:rowOff>0</xdr:rowOff>
    </xdr:from>
    <xdr:to>
      <xdr:col>22</xdr:col>
      <xdr:colOff>304800</xdr:colOff>
      <xdr:row>58</xdr:row>
      <xdr:rowOff>53340</xdr:rowOff>
    </xdr:to>
    <xdr:sp macro="" textlink="">
      <xdr:nvSpPr>
        <xdr:cNvPr id="2098" name="AutoShape 114" descr="https://www.soccerstats.com/img/own/sshplogo.png">
          <a:hlinkClick xmlns:r="http://schemas.openxmlformats.org/officeDocument/2006/relationships" r:id="rId572"/>
        </xdr:cNvPr>
        <xdr:cNvSpPr>
          <a:spLocks noChangeAspect="1" noChangeArrowheads="1"/>
        </xdr:cNvSpPr>
      </xdr:nvSpPr>
      <xdr:spPr bwMode="auto">
        <a:xfrm>
          <a:off x="13411200" y="11513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152400</xdr:colOff>
      <xdr:row>58</xdr:row>
      <xdr:rowOff>106680</xdr:rowOff>
    </xdr:to>
    <xdr:sp macro="" textlink="">
      <xdr:nvSpPr>
        <xdr:cNvPr id="2099" name="AutoShape 115" descr="CHILE2"/>
        <xdr:cNvSpPr>
          <a:spLocks noChangeAspect="1" noChangeArrowheads="1"/>
        </xdr:cNvSpPr>
      </xdr:nvSpPr>
      <xdr:spPr bwMode="auto">
        <a:xfrm>
          <a:off x="0" y="11765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58</xdr:row>
      <xdr:rowOff>0</xdr:rowOff>
    </xdr:from>
    <xdr:to>
      <xdr:col>22</xdr:col>
      <xdr:colOff>304800</xdr:colOff>
      <xdr:row>59</xdr:row>
      <xdr:rowOff>53340</xdr:rowOff>
    </xdr:to>
    <xdr:sp macro="" textlink="">
      <xdr:nvSpPr>
        <xdr:cNvPr id="2100" name="AutoShape 116" descr="https://www.soccerstats.com/img/own/sshplogo.png">
          <a:hlinkClick xmlns:r="http://schemas.openxmlformats.org/officeDocument/2006/relationships" r:id="rId573"/>
        </xdr:cNvPr>
        <xdr:cNvSpPr>
          <a:spLocks noChangeAspect="1" noChangeArrowheads="1"/>
        </xdr:cNvSpPr>
      </xdr:nvSpPr>
      <xdr:spPr bwMode="auto">
        <a:xfrm>
          <a:off x="13411200" y="11765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152400</xdr:colOff>
      <xdr:row>59</xdr:row>
      <xdr:rowOff>106680</xdr:rowOff>
    </xdr:to>
    <xdr:sp macro="" textlink="">
      <xdr:nvSpPr>
        <xdr:cNvPr id="2101" name="AutoShape 117" descr="CHINA"/>
        <xdr:cNvSpPr>
          <a:spLocks noChangeAspect="1" noChangeArrowheads="1"/>
        </xdr:cNvSpPr>
      </xdr:nvSpPr>
      <xdr:spPr bwMode="auto">
        <a:xfrm>
          <a:off x="0" y="11940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59</xdr:row>
      <xdr:rowOff>0</xdr:rowOff>
    </xdr:from>
    <xdr:to>
      <xdr:col>22</xdr:col>
      <xdr:colOff>304800</xdr:colOff>
      <xdr:row>60</xdr:row>
      <xdr:rowOff>53340</xdr:rowOff>
    </xdr:to>
    <xdr:sp macro="" textlink="">
      <xdr:nvSpPr>
        <xdr:cNvPr id="2102" name="AutoShape 118" descr="https://www.soccerstats.com/img/own/sshplogo.png">
          <a:hlinkClick xmlns:r="http://schemas.openxmlformats.org/officeDocument/2006/relationships" r:id="rId574"/>
        </xdr:cNvPr>
        <xdr:cNvSpPr>
          <a:spLocks noChangeAspect="1" noChangeArrowheads="1"/>
        </xdr:cNvSpPr>
      </xdr:nvSpPr>
      <xdr:spPr bwMode="auto">
        <a:xfrm>
          <a:off x="13411200" y="11940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152400</xdr:colOff>
      <xdr:row>60</xdr:row>
      <xdr:rowOff>106680</xdr:rowOff>
    </xdr:to>
    <xdr:sp macro="" textlink="">
      <xdr:nvSpPr>
        <xdr:cNvPr id="2103" name="AutoShape 119" descr="CHINA"/>
        <xdr:cNvSpPr>
          <a:spLocks noChangeAspect="1" noChangeArrowheads="1"/>
        </xdr:cNvSpPr>
      </xdr:nvSpPr>
      <xdr:spPr bwMode="auto">
        <a:xfrm>
          <a:off x="0" y="12192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60</xdr:row>
      <xdr:rowOff>0</xdr:rowOff>
    </xdr:from>
    <xdr:to>
      <xdr:col>22</xdr:col>
      <xdr:colOff>304800</xdr:colOff>
      <xdr:row>60</xdr:row>
      <xdr:rowOff>304800</xdr:rowOff>
    </xdr:to>
    <xdr:sp macro="" textlink="">
      <xdr:nvSpPr>
        <xdr:cNvPr id="2104" name="AutoShape 120" descr="https://www.soccerstats.com/img/own/sshplogo.png">
          <a:hlinkClick xmlns:r="http://schemas.openxmlformats.org/officeDocument/2006/relationships" r:id="rId575"/>
        </xdr:cNvPr>
        <xdr:cNvSpPr>
          <a:spLocks noChangeAspect="1" noChangeArrowheads="1"/>
        </xdr:cNvSpPr>
      </xdr:nvSpPr>
      <xdr:spPr bwMode="auto">
        <a:xfrm>
          <a:off x="13411200" y="1219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152400</xdr:colOff>
      <xdr:row>61</xdr:row>
      <xdr:rowOff>106680</xdr:rowOff>
    </xdr:to>
    <xdr:sp macro="" textlink="">
      <xdr:nvSpPr>
        <xdr:cNvPr id="2105" name="AutoShape 121" descr="CHINA"/>
        <xdr:cNvSpPr>
          <a:spLocks noChangeAspect="1" noChangeArrowheads="1"/>
        </xdr:cNvSpPr>
      </xdr:nvSpPr>
      <xdr:spPr bwMode="auto">
        <a:xfrm>
          <a:off x="0" y="12443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61</xdr:row>
      <xdr:rowOff>0</xdr:rowOff>
    </xdr:from>
    <xdr:to>
      <xdr:col>22</xdr:col>
      <xdr:colOff>304800</xdr:colOff>
      <xdr:row>62</xdr:row>
      <xdr:rowOff>53340</xdr:rowOff>
    </xdr:to>
    <xdr:sp macro="" textlink="">
      <xdr:nvSpPr>
        <xdr:cNvPr id="2106" name="AutoShape 122" descr="https://www.soccerstats.com/img/own/sshplogo.png">
          <a:hlinkClick xmlns:r="http://schemas.openxmlformats.org/officeDocument/2006/relationships" r:id="rId576"/>
        </xdr:cNvPr>
        <xdr:cNvSpPr>
          <a:spLocks noChangeAspect="1" noChangeArrowheads="1"/>
        </xdr:cNvSpPr>
      </xdr:nvSpPr>
      <xdr:spPr bwMode="auto">
        <a:xfrm>
          <a:off x="13411200" y="12443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152400</xdr:colOff>
      <xdr:row>62</xdr:row>
      <xdr:rowOff>106680</xdr:rowOff>
    </xdr:to>
    <xdr:sp macro="" textlink="">
      <xdr:nvSpPr>
        <xdr:cNvPr id="2107" name="AutoShape 123" descr="COLOMBIA2"/>
        <xdr:cNvSpPr>
          <a:spLocks noChangeAspect="1" noChangeArrowheads="1"/>
        </xdr:cNvSpPr>
      </xdr:nvSpPr>
      <xdr:spPr bwMode="auto">
        <a:xfrm>
          <a:off x="0" y="12694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62</xdr:row>
      <xdr:rowOff>0</xdr:rowOff>
    </xdr:from>
    <xdr:to>
      <xdr:col>22</xdr:col>
      <xdr:colOff>304800</xdr:colOff>
      <xdr:row>63</xdr:row>
      <xdr:rowOff>53340</xdr:rowOff>
    </xdr:to>
    <xdr:sp macro="" textlink="">
      <xdr:nvSpPr>
        <xdr:cNvPr id="2108" name="AutoShape 124" descr="https://www.soccerstats.com/img/own/sshplogo.png">
          <a:hlinkClick xmlns:r="http://schemas.openxmlformats.org/officeDocument/2006/relationships" r:id="rId577"/>
        </xdr:cNvPr>
        <xdr:cNvSpPr>
          <a:spLocks noChangeAspect="1" noChangeArrowheads="1"/>
        </xdr:cNvSpPr>
      </xdr:nvSpPr>
      <xdr:spPr bwMode="auto">
        <a:xfrm>
          <a:off x="13411200" y="12694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63</xdr:row>
      <xdr:rowOff>0</xdr:rowOff>
    </xdr:from>
    <xdr:to>
      <xdr:col>22</xdr:col>
      <xdr:colOff>304800</xdr:colOff>
      <xdr:row>64</xdr:row>
      <xdr:rowOff>53340</xdr:rowOff>
    </xdr:to>
    <xdr:sp macro="" textlink="">
      <xdr:nvSpPr>
        <xdr:cNvPr id="2109" name="AutoShape 125" descr="https://www.soccerstats.com/img/own/sshplogo.png">
          <a:hlinkClick xmlns:r="http://schemas.openxmlformats.org/officeDocument/2006/relationships" r:id="rId578" tooltip="Cienciano vs Botafogo"/>
        </xdr:cNvPr>
        <xdr:cNvSpPr>
          <a:spLocks noChangeAspect="1" noChangeArrowheads="1"/>
        </xdr:cNvSpPr>
      </xdr:nvSpPr>
      <xdr:spPr bwMode="auto">
        <a:xfrm>
          <a:off x="13411200" y="12946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64</xdr:row>
      <xdr:rowOff>0</xdr:rowOff>
    </xdr:from>
    <xdr:to>
      <xdr:col>22</xdr:col>
      <xdr:colOff>304800</xdr:colOff>
      <xdr:row>65</xdr:row>
      <xdr:rowOff>129540</xdr:rowOff>
    </xdr:to>
    <xdr:sp macro="" textlink="">
      <xdr:nvSpPr>
        <xdr:cNvPr id="2110" name="AutoShape 126" descr="https://www.soccerstats.com/img/own/sshplogo.png">
          <a:hlinkClick xmlns:r="http://schemas.openxmlformats.org/officeDocument/2006/relationships" r:id="rId579" tooltip="Rosario Central vs Corinthians"/>
        </xdr:cNvPr>
        <xdr:cNvSpPr>
          <a:spLocks noChangeAspect="1" noChangeArrowheads="1"/>
        </xdr:cNvSpPr>
      </xdr:nvSpPr>
      <xdr:spPr bwMode="auto">
        <a:xfrm>
          <a:off x="13411200" y="13289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152400</xdr:colOff>
      <xdr:row>65</xdr:row>
      <xdr:rowOff>106680</xdr:rowOff>
    </xdr:to>
    <xdr:sp macro="" textlink="">
      <xdr:nvSpPr>
        <xdr:cNvPr id="2111" name="AutoShape 127" descr="CROATIA"/>
        <xdr:cNvSpPr>
          <a:spLocks noChangeAspect="1" noChangeArrowheads="1"/>
        </xdr:cNvSpPr>
      </xdr:nvSpPr>
      <xdr:spPr bwMode="auto">
        <a:xfrm>
          <a:off x="0" y="13540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65</xdr:row>
      <xdr:rowOff>0</xdr:rowOff>
    </xdr:from>
    <xdr:to>
      <xdr:col>22</xdr:col>
      <xdr:colOff>304800</xdr:colOff>
      <xdr:row>66</xdr:row>
      <xdr:rowOff>129540</xdr:rowOff>
    </xdr:to>
    <xdr:sp macro="" textlink="">
      <xdr:nvSpPr>
        <xdr:cNvPr id="2112" name="AutoShape 128" descr="https://www.soccerstats.com/img/own/sshplogo.png">
          <a:hlinkClick xmlns:r="http://schemas.openxmlformats.org/officeDocument/2006/relationships" r:id="rId580"/>
        </xdr:cNvPr>
        <xdr:cNvSpPr>
          <a:spLocks noChangeAspect="1" noChangeArrowheads="1"/>
        </xdr:cNvSpPr>
      </xdr:nvSpPr>
      <xdr:spPr bwMode="auto">
        <a:xfrm>
          <a:off x="13411200" y="13540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152400</xdr:colOff>
      <xdr:row>66</xdr:row>
      <xdr:rowOff>106680</xdr:rowOff>
    </xdr:to>
    <xdr:sp macro="" textlink="">
      <xdr:nvSpPr>
        <xdr:cNvPr id="2113" name="AutoShape 129" descr="CZECHREPUBLIC2"/>
        <xdr:cNvSpPr>
          <a:spLocks noChangeAspect="1" noChangeArrowheads="1"/>
        </xdr:cNvSpPr>
      </xdr:nvSpPr>
      <xdr:spPr bwMode="auto">
        <a:xfrm>
          <a:off x="0" y="13792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66</xdr:row>
      <xdr:rowOff>0</xdr:rowOff>
    </xdr:from>
    <xdr:to>
      <xdr:col>22</xdr:col>
      <xdr:colOff>304800</xdr:colOff>
      <xdr:row>67</xdr:row>
      <xdr:rowOff>129540</xdr:rowOff>
    </xdr:to>
    <xdr:sp macro="" textlink="">
      <xdr:nvSpPr>
        <xdr:cNvPr id="2114" name="AutoShape 130" descr="https://www.soccerstats.com/img/own/sshplogo.png">
          <a:hlinkClick xmlns:r="http://schemas.openxmlformats.org/officeDocument/2006/relationships" r:id="rId581"/>
        </xdr:cNvPr>
        <xdr:cNvSpPr>
          <a:spLocks noChangeAspect="1" noChangeArrowheads="1"/>
        </xdr:cNvSpPr>
      </xdr:nvSpPr>
      <xdr:spPr bwMode="auto">
        <a:xfrm>
          <a:off x="13411200" y="1379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152400</xdr:colOff>
      <xdr:row>67</xdr:row>
      <xdr:rowOff>106680</xdr:rowOff>
    </xdr:to>
    <xdr:sp macro="" textlink="">
      <xdr:nvSpPr>
        <xdr:cNvPr id="2115" name="AutoShape 131" descr="CZECHREPUBLIC2"/>
        <xdr:cNvSpPr>
          <a:spLocks noChangeAspect="1" noChangeArrowheads="1"/>
        </xdr:cNvSpPr>
      </xdr:nvSpPr>
      <xdr:spPr bwMode="auto">
        <a:xfrm>
          <a:off x="0" y="14043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67</xdr:row>
      <xdr:rowOff>0</xdr:rowOff>
    </xdr:from>
    <xdr:to>
      <xdr:col>22</xdr:col>
      <xdr:colOff>304800</xdr:colOff>
      <xdr:row>68</xdr:row>
      <xdr:rowOff>129540</xdr:rowOff>
    </xdr:to>
    <xdr:sp macro="" textlink="">
      <xdr:nvSpPr>
        <xdr:cNvPr id="2116" name="AutoShape 132" descr="https://www.soccerstats.com/img/own/sshplogo.png">
          <a:hlinkClick xmlns:r="http://schemas.openxmlformats.org/officeDocument/2006/relationships" r:id="rId582"/>
        </xdr:cNvPr>
        <xdr:cNvSpPr>
          <a:spLocks noChangeAspect="1" noChangeArrowheads="1"/>
        </xdr:cNvSpPr>
      </xdr:nvSpPr>
      <xdr:spPr bwMode="auto">
        <a:xfrm>
          <a:off x="13411200" y="14043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152400</xdr:colOff>
      <xdr:row>68</xdr:row>
      <xdr:rowOff>106680</xdr:rowOff>
    </xdr:to>
    <xdr:sp macro="" textlink="">
      <xdr:nvSpPr>
        <xdr:cNvPr id="2117" name="AutoShape 133" descr="DENMARK"/>
        <xdr:cNvSpPr>
          <a:spLocks noChangeAspect="1" noChangeArrowheads="1"/>
        </xdr:cNvSpPr>
      </xdr:nvSpPr>
      <xdr:spPr bwMode="auto">
        <a:xfrm>
          <a:off x="0" y="14218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68</xdr:row>
      <xdr:rowOff>0</xdr:rowOff>
    </xdr:from>
    <xdr:to>
      <xdr:col>22</xdr:col>
      <xdr:colOff>304800</xdr:colOff>
      <xdr:row>69</xdr:row>
      <xdr:rowOff>129540</xdr:rowOff>
    </xdr:to>
    <xdr:sp macro="" textlink="">
      <xdr:nvSpPr>
        <xdr:cNvPr id="2118" name="AutoShape 134" descr="https://www.soccerstats.com/img/own/sshplogo.png">
          <a:hlinkClick xmlns:r="http://schemas.openxmlformats.org/officeDocument/2006/relationships" r:id="rId583"/>
        </xdr:cNvPr>
        <xdr:cNvSpPr>
          <a:spLocks noChangeAspect="1" noChangeArrowheads="1"/>
        </xdr:cNvSpPr>
      </xdr:nvSpPr>
      <xdr:spPr bwMode="auto">
        <a:xfrm>
          <a:off x="13411200" y="14218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152400</xdr:colOff>
      <xdr:row>69</xdr:row>
      <xdr:rowOff>106680</xdr:rowOff>
    </xdr:to>
    <xdr:sp macro="" textlink="">
      <xdr:nvSpPr>
        <xdr:cNvPr id="2119" name="AutoShape 135" descr="DENMARK2"/>
        <xdr:cNvSpPr>
          <a:spLocks noChangeAspect="1" noChangeArrowheads="1"/>
        </xdr:cNvSpPr>
      </xdr:nvSpPr>
      <xdr:spPr bwMode="auto">
        <a:xfrm>
          <a:off x="0" y="14394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69</xdr:row>
      <xdr:rowOff>0</xdr:rowOff>
    </xdr:from>
    <xdr:to>
      <xdr:col>22</xdr:col>
      <xdr:colOff>304800</xdr:colOff>
      <xdr:row>70</xdr:row>
      <xdr:rowOff>129540</xdr:rowOff>
    </xdr:to>
    <xdr:sp macro="" textlink="">
      <xdr:nvSpPr>
        <xdr:cNvPr id="2120" name="AutoShape 136" descr="https://www.soccerstats.com/img/own/sshplogo.png">
          <a:hlinkClick xmlns:r="http://schemas.openxmlformats.org/officeDocument/2006/relationships" r:id="rId584"/>
        </xdr:cNvPr>
        <xdr:cNvSpPr>
          <a:spLocks noChangeAspect="1" noChangeArrowheads="1"/>
        </xdr:cNvSpPr>
      </xdr:nvSpPr>
      <xdr:spPr bwMode="auto">
        <a:xfrm>
          <a:off x="13411200" y="14394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152400</xdr:colOff>
      <xdr:row>70</xdr:row>
      <xdr:rowOff>106680</xdr:rowOff>
    </xdr:to>
    <xdr:sp macro="" textlink="">
      <xdr:nvSpPr>
        <xdr:cNvPr id="2121" name="AutoShape 137" descr="DENMARK2"/>
        <xdr:cNvSpPr>
          <a:spLocks noChangeAspect="1" noChangeArrowheads="1"/>
        </xdr:cNvSpPr>
      </xdr:nvSpPr>
      <xdr:spPr bwMode="auto">
        <a:xfrm>
          <a:off x="0" y="14569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70</xdr:row>
      <xdr:rowOff>0</xdr:rowOff>
    </xdr:from>
    <xdr:to>
      <xdr:col>22</xdr:col>
      <xdr:colOff>304800</xdr:colOff>
      <xdr:row>71</xdr:row>
      <xdr:rowOff>129540</xdr:rowOff>
    </xdr:to>
    <xdr:sp macro="" textlink="">
      <xdr:nvSpPr>
        <xdr:cNvPr id="2122" name="AutoShape 138" descr="https://www.soccerstats.com/img/own/sshplogo.png">
          <a:hlinkClick xmlns:r="http://schemas.openxmlformats.org/officeDocument/2006/relationships" r:id="rId585"/>
        </xdr:cNvPr>
        <xdr:cNvSpPr>
          <a:spLocks noChangeAspect="1" noChangeArrowheads="1"/>
        </xdr:cNvSpPr>
      </xdr:nvSpPr>
      <xdr:spPr bwMode="auto">
        <a:xfrm>
          <a:off x="13411200" y="14569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152400</xdr:colOff>
      <xdr:row>71</xdr:row>
      <xdr:rowOff>106680</xdr:rowOff>
    </xdr:to>
    <xdr:sp macro="" textlink="">
      <xdr:nvSpPr>
        <xdr:cNvPr id="2123" name="AutoShape 139" descr="DENMARK3"/>
        <xdr:cNvSpPr>
          <a:spLocks noChangeAspect="1" noChangeArrowheads="1"/>
        </xdr:cNvSpPr>
      </xdr:nvSpPr>
      <xdr:spPr bwMode="auto">
        <a:xfrm>
          <a:off x="0" y="14744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71</xdr:row>
      <xdr:rowOff>0</xdr:rowOff>
    </xdr:from>
    <xdr:to>
      <xdr:col>22</xdr:col>
      <xdr:colOff>304800</xdr:colOff>
      <xdr:row>72</xdr:row>
      <xdr:rowOff>53340</xdr:rowOff>
    </xdr:to>
    <xdr:sp macro="" textlink="">
      <xdr:nvSpPr>
        <xdr:cNvPr id="2124" name="AutoShape 140" descr="https://www.soccerstats.com/img/own/sshplogo.png">
          <a:hlinkClick xmlns:r="http://schemas.openxmlformats.org/officeDocument/2006/relationships" r:id="rId586"/>
        </xdr:cNvPr>
        <xdr:cNvSpPr>
          <a:spLocks noChangeAspect="1" noChangeArrowheads="1"/>
        </xdr:cNvSpPr>
      </xdr:nvSpPr>
      <xdr:spPr bwMode="auto">
        <a:xfrm>
          <a:off x="13411200" y="1474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152400</xdr:colOff>
      <xdr:row>72</xdr:row>
      <xdr:rowOff>106680</xdr:rowOff>
    </xdr:to>
    <xdr:sp macro="" textlink="">
      <xdr:nvSpPr>
        <xdr:cNvPr id="2125" name="AutoShape 141" descr="DENMARK3"/>
        <xdr:cNvSpPr>
          <a:spLocks noChangeAspect="1" noChangeArrowheads="1"/>
        </xdr:cNvSpPr>
      </xdr:nvSpPr>
      <xdr:spPr bwMode="auto">
        <a:xfrm>
          <a:off x="0" y="14919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72</xdr:row>
      <xdr:rowOff>0</xdr:rowOff>
    </xdr:from>
    <xdr:to>
      <xdr:col>22</xdr:col>
      <xdr:colOff>304800</xdr:colOff>
      <xdr:row>73</xdr:row>
      <xdr:rowOff>53340</xdr:rowOff>
    </xdr:to>
    <xdr:sp macro="" textlink="">
      <xdr:nvSpPr>
        <xdr:cNvPr id="2126" name="AutoShape 142" descr="https://www.soccerstats.com/img/own/sshplogo.png">
          <a:hlinkClick xmlns:r="http://schemas.openxmlformats.org/officeDocument/2006/relationships" r:id="rId587"/>
        </xdr:cNvPr>
        <xdr:cNvSpPr>
          <a:spLocks noChangeAspect="1" noChangeArrowheads="1"/>
        </xdr:cNvSpPr>
      </xdr:nvSpPr>
      <xdr:spPr bwMode="auto">
        <a:xfrm>
          <a:off x="13411200" y="14919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152400</xdr:colOff>
      <xdr:row>73</xdr:row>
      <xdr:rowOff>106680</xdr:rowOff>
    </xdr:to>
    <xdr:sp macro="" textlink="">
      <xdr:nvSpPr>
        <xdr:cNvPr id="2127" name="AutoShape 143" descr="DENMARK3"/>
        <xdr:cNvSpPr>
          <a:spLocks noChangeAspect="1" noChangeArrowheads="1"/>
        </xdr:cNvSpPr>
      </xdr:nvSpPr>
      <xdr:spPr bwMode="auto">
        <a:xfrm>
          <a:off x="0" y="15095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73</xdr:row>
      <xdr:rowOff>0</xdr:rowOff>
    </xdr:from>
    <xdr:to>
      <xdr:col>22</xdr:col>
      <xdr:colOff>304800</xdr:colOff>
      <xdr:row>74</xdr:row>
      <xdr:rowOff>129540</xdr:rowOff>
    </xdr:to>
    <xdr:sp macro="" textlink="">
      <xdr:nvSpPr>
        <xdr:cNvPr id="2128" name="AutoShape 144" descr="https://www.soccerstats.com/img/own/sshplogo.png">
          <a:hlinkClick xmlns:r="http://schemas.openxmlformats.org/officeDocument/2006/relationships" r:id="rId588"/>
        </xdr:cNvPr>
        <xdr:cNvSpPr>
          <a:spLocks noChangeAspect="1" noChangeArrowheads="1"/>
        </xdr:cNvSpPr>
      </xdr:nvSpPr>
      <xdr:spPr bwMode="auto">
        <a:xfrm>
          <a:off x="13411200" y="15095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152400</xdr:colOff>
      <xdr:row>74</xdr:row>
      <xdr:rowOff>106680</xdr:rowOff>
    </xdr:to>
    <xdr:sp macro="" textlink="">
      <xdr:nvSpPr>
        <xdr:cNvPr id="2129" name="AutoShape 145" descr="DENMARK3"/>
        <xdr:cNvSpPr>
          <a:spLocks noChangeAspect="1" noChangeArrowheads="1"/>
        </xdr:cNvSpPr>
      </xdr:nvSpPr>
      <xdr:spPr bwMode="auto">
        <a:xfrm>
          <a:off x="0" y="15270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74</xdr:row>
      <xdr:rowOff>0</xdr:rowOff>
    </xdr:from>
    <xdr:to>
      <xdr:col>22</xdr:col>
      <xdr:colOff>304800</xdr:colOff>
      <xdr:row>75</xdr:row>
      <xdr:rowOff>129540</xdr:rowOff>
    </xdr:to>
    <xdr:sp macro="" textlink="">
      <xdr:nvSpPr>
        <xdr:cNvPr id="2130" name="AutoShape 146" descr="https://www.soccerstats.com/img/own/sshplogo.png">
          <a:hlinkClick xmlns:r="http://schemas.openxmlformats.org/officeDocument/2006/relationships" r:id="rId589"/>
        </xdr:cNvPr>
        <xdr:cNvSpPr>
          <a:spLocks noChangeAspect="1" noChangeArrowheads="1"/>
        </xdr:cNvSpPr>
      </xdr:nvSpPr>
      <xdr:spPr bwMode="auto">
        <a:xfrm>
          <a:off x="13411200" y="15270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152400</xdr:colOff>
      <xdr:row>75</xdr:row>
      <xdr:rowOff>106680</xdr:rowOff>
    </xdr:to>
    <xdr:sp macro="" textlink="">
      <xdr:nvSpPr>
        <xdr:cNvPr id="2131" name="AutoShape 147" descr="ENGLAND7"/>
        <xdr:cNvSpPr>
          <a:spLocks noChangeAspect="1" noChangeArrowheads="1"/>
        </xdr:cNvSpPr>
      </xdr:nvSpPr>
      <xdr:spPr bwMode="auto">
        <a:xfrm>
          <a:off x="0" y="15521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75</xdr:row>
      <xdr:rowOff>0</xdr:rowOff>
    </xdr:from>
    <xdr:to>
      <xdr:col>22</xdr:col>
      <xdr:colOff>304800</xdr:colOff>
      <xdr:row>76</xdr:row>
      <xdr:rowOff>129540</xdr:rowOff>
    </xdr:to>
    <xdr:sp macro="" textlink="">
      <xdr:nvSpPr>
        <xdr:cNvPr id="2132" name="AutoShape 148" descr="https://www.soccerstats.com/img/own/sshplogo.png">
          <a:hlinkClick xmlns:r="http://schemas.openxmlformats.org/officeDocument/2006/relationships" r:id="rId590"/>
        </xdr:cNvPr>
        <xdr:cNvSpPr>
          <a:spLocks noChangeAspect="1" noChangeArrowheads="1"/>
        </xdr:cNvSpPr>
      </xdr:nvSpPr>
      <xdr:spPr bwMode="auto">
        <a:xfrm>
          <a:off x="13411200" y="15521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152400</xdr:colOff>
      <xdr:row>76</xdr:row>
      <xdr:rowOff>106680</xdr:rowOff>
    </xdr:to>
    <xdr:sp macro="" textlink="">
      <xdr:nvSpPr>
        <xdr:cNvPr id="2133" name="AutoShape 149" descr="ENGLAND9"/>
        <xdr:cNvSpPr>
          <a:spLocks noChangeAspect="1" noChangeArrowheads="1"/>
        </xdr:cNvSpPr>
      </xdr:nvSpPr>
      <xdr:spPr bwMode="auto">
        <a:xfrm>
          <a:off x="0" y="1577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76</xdr:row>
      <xdr:rowOff>0</xdr:rowOff>
    </xdr:from>
    <xdr:to>
      <xdr:col>22</xdr:col>
      <xdr:colOff>304800</xdr:colOff>
      <xdr:row>77</xdr:row>
      <xdr:rowOff>129540</xdr:rowOff>
    </xdr:to>
    <xdr:sp macro="" textlink="">
      <xdr:nvSpPr>
        <xdr:cNvPr id="2134" name="AutoShape 150" descr="https://www.soccerstats.com/img/own/sshplogo.png">
          <a:hlinkClick xmlns:r="http://schemas.openxmlformats.org/officeDocument/2006/relationships" r:id="rId591"/>
        </xdr:cNvPr>
        <xdr:cNvSpPr>
          <a:spLocks noChangeAspect="1" noChangeArrowheads="1"/>
        </xdr:cNvSpPr>
      </xdr:nvSpPr>
      <xdr:spPr bwMode="auto">
        <a:xfrm>
          <a:off x="13411200" y="1577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152400</xdr:colOff>
      <xdr:row>77</xdr:row>
      <xdr:rowOff>106680</xdr:rowOff>
    </xdr:to>
    <xdr:sp macro="" textlink="">
      <xdr:nvSpPr>
        <xdr:cNvPr id="2135" name="AutoShape 151" descr="ESTONIA"/>
        <xdr:cNvSpPr>
          <a:spLocks noChangeAspect="1" noChangeArrowheads="1"/>
        </xdr:cNvSpPr>
      </xdr:nvSpPr>
      <xdr:spPr bwMode="auto">
        <a:xfrm>
          <a:off x="0" y="1594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77</xdr:row>
      <xdr:rowOff>0</xdr:rowOff>
    </xdr:from>
    <xdr:to>
      <xdr:col>22</xdr:col>
      <xdr:colOff>304800</xdr:colOff>
      <xdr:row>78</xdr:row>
      <xdr:rowOff>129540</xdr:rowOff>
    </xdr:to>
    <xdr:sp macro="" textlink="">
      <xdr:nvSpPr>
        <xdr:cNvPr id="2136" name="AutoShape 152" descr="https://www.soccerstats.com/img/own/sshplogo.png">
          <a:hlinkClick xmlns:r="http://schemas.openxmlformats.org/officeDocument/2006/relationships" r:id="rId592"/>
        </xdr:cNvPr>
        <xdr:cNvSpPr>
          <a:spLocks noChangeAspect="1" noChangeArrowheads="1"/>
        </xdr:cNvSpPr>
      </xdr:nvSpPr>
      <xdr:spPr bwMode="auto">
        <a:xfrm>
          <a:off x="13411200" y="1594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152400</xdr:colOff>
      <xdr:row>78</xdr:row>
      <xdr:rowOff>106680</xdr:rowOff>
    </xdr:to>
    <xdr:sp macro="" textlink="">
      <xdr:nvSpPr>
        <xdr:cNvPr id="2137" name="AutoShape 153" descr="FINLAND"/>
        <xdr:cNvSpPr>
          <a:spLocks noChangeAspect="1" noChangeArrowheads="1"/>
        </xdr:cNvSpPr>
      </xdr:nvSpPr>
      <xdr:spPr bwMode="auto">
        <a:xfrm>
          <a:off x="0" y="16123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78</xdr:row>
      <xdr:rowOff>0</xdr:rowOff>
    </xdr:from>
    <xdr:to>
      <xdr:col>22</xdr:col>
      <xdr:colOff>304800</xdr:colOff>
      <xdr:row>79</xdr:row>
      <xdr:rowOff>129540</xdr:rowOff>
    </xdr:to>
    <xdr:sp macro="" textlink="">
      <xdr:nvSpPr>
        <xdr:cNvPr id="2138" name="AutoShape 154" descr="https://www.soccerstats.com/img/own/sshplogo.png">
          <a:hlinkClick xmlns:r="http://schemas.openxmlformats.org/officeDocument/2006/relationships" r:id="rId593"/>
        </xdr:cNvPr>
        <xdr:cNvSpPr>
          <a:spLocks noChangeAspect="1" noChangeArrowheads="1"/>
        </xdr:cNvSpPr>
      </xdr:nvSpPr>
      <xdr:spPr bwMode="auto">
        <a:xfrm>
          <a:off x="13411200" y="16123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152400</xdr:colOff>
      <xdr:row>79</xdr:row>
      <xdr:rowOff>106680</xdr:rowOff>
    </xdr:to>
    <xdr:sp macro="" textlink="">
      <xdr:nvSpPr>
        <xdr:cNvPr id="2139" name="AutoShape 155" descr="FINLAND2"/>
        <xdr:cNvSpPr>
          <a:spLocks noChangeAspect="1" noChangeArrowheads="1"/>
        </xdr:cNvSpPr>
      </xdr:nvSpPr>
      <xdr:spPr bwMode="auto">
        <a:xfrm>
          <a:off x="0" y="16299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79</xdr:row>
      <xdr:rowOff>0</xdr:rowOff>
    </xdr:from>
    <xdr:to>
      <xdr:col>22</xdr:col>
      <xdr:colOff>304800</xdr:colOff>
      <xdr:row>80</xdr:row>
      <xdr:rowOff>53340</xdr:rowOff>
    </xdr:to>
    <xdr:sp macro="" textlink="">
      <xdr:nvSpPr>
        <xdr:cNvPr id="2140" name="AutoShape 156" descr="https://www.soccerstats.com/img/own/sshplogo.png">
          <a:hlinkClick xmlns:r="http://schemas.openxmlformats.org/officeDocument/2006/relationships" r:id="rId594"/>
        </xdr:cNvPr>
        <xdr:cNvSpPr>
          <a:spLocks noChangeAspect="1" noChangeArrowheads="1"/>
        </xdr:cNvSpPr>
      </xdr:nvSpPr>
      <xdr:spPr bwMode="auto">
        <a:xfrm>
          <a:off x="13411200" y="16299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152400</xdr:colOff>
      <xdr:row>80</xdr:row>
      <xdr:rowOff>106680</xdr:rowOff>
    </xdr:to>
    <xdr:sp macro="" textlink="">
      <xdr:nvSpPr>
        <xdr:cNvPr id="2141" name="AutoShape 157" descr="FRANCE3"/>
        <xdr:cNvSpPr>
          <a:spLocks noChangeAspect="1" noChangeArrowheads="1"/>
        </xdr:cNvSpPr>
      </xdr:nvSpPr>
      <xdr:spPr bwMode="auto">
        <a:xfrm>
          <a:off x="0" y="16474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80</xdr:row>
      <xdr:rowOff>0</xdr:rowOff>
    </xdr:from>
    <xdr:to>
      <xdr:col>22</xdr:col>
      <xdr:colOff>304800</xdr:colOff>
      <xdr:row>81</xdr:row>
      <xdr:rowOff>129540</xdr:rowOff>
    </xdr:to>
    <xdr:sp macro="" textlink="">
      <xdr:nvSpPr>
        <xdr:cNvPr id="2142" name="AutoShape 158" descr="https://www.soccerstats.com/img/own/sshplogo.png">
          <a:hlinkClick xmlns:r="http://schemas.openxmlformats.org/officeDocument/2006/relationships" r:id="rId595"/>
        </xdr:cNvPr>
        <xdr:cNvSpPr>
          <a:spLocks noChangeAspect="1" noChangeArrowheads="1"/>
        </xdr:cNvSpPr>
      </xdr:nvSpPr>
      <xdr:spPr bwMode="auto">
        <a:xfrm>
          <a:off x="13411200" y="16474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152400</xdr:colOff>
      <xdr:row>81</xdr:row>
      <xdr:rowOff>106680</xdr:rowOff>
    </xdr:to>
    <xdr:sp macro="" textlink="">
      <xdr:nvSpPr>
        <xdr:cNvPr id="2143" name="AutoShape 159" descr="FRANCE3"/>
        <xdr:cNvSpPr>
          <a:spLocks noChangeAspect="1" noChangeArrowheads="1"/>
        </xdr:cNvSpPr>
      </xdr:nvSpPr>
      <xdr:spPr bwMode="auto">
        <a:xfrm>
          <a:off x="0" y="16649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81</xdr:row>
      <xdr:rowOff>0</xdr:rowOff>
    </xdr:from>
    <xdr:to>
      <xdr:col>22</xdr:col>
      <xdr:colOff>304800</xdr:colOff>
      <xdr:row>82</xdr:row>
      <xdr:rowOff>53340</xdr:rowOff>
    </xdr:to>
    <xdr:sp macro="" textlink="">
      <xdr:nvSpPr>
        <xdr:cNvPr id="2144" name="AutoShape 160" descr="https://www.soccerstats.com/img/own/sshplogo.png">
          <a:hlinkClick xmlns:r="http://schemas.openxmlformats.org/officeDocument/2006/relationships" r:id="rId596"/>
        </xdr:cNvPr>
        <xdr:cNvSpPr>
          <a:spLocks noChangeAspect="1" noChangeArrowheads="1"/>
        </xdr:cNvSpPr>
      </xdr:nvSpPr>
      <xdr:spPr bwMode="auto">
        <a:xfrm>
          <a:off x="13411200" y="16649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152400</xdr:colOff>
      <xdr:row>82</xdr:row>
      <xdr:rowOff>106680</xdr:rowOff>
    </xdr:to>
    <xdr:sp macro="" textlink="">
      <xdr:nvSpPr>
        <xdr:cNvPr id="2145" name="AutoShape 161" descr="FRANCE3"/>
        <xdr:cNvSpPr>
          <a:spLocks noChangeAspect="1" noChangeArrowheads="1"/>
        </xdr:cNvSpPr>
      </xdr:nvSpPr>
      <xdr:spPr bwMode="auto">
        <a:xfrm>
          <a:off x="0" y="16824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82</xdr:row>
      <xdr:rowOff>0</xdr:rowOff>
    </xdr:from>
    <xdr:to>
      <xdr:col>22</xdr:col>
      <xdr:colOff>304800</xdr:colOff>
      <xdr:row>83</xdr:row>
      <xdr:rowOff>129540</xdr:rowOff>
    </xdr:to>
    <xdr:sp macro="" textlink="">
      <xdr:nvSpPr>
        <xdr:cNvPr id="2146" name="AutoShape 162" descr="https://www.soccerstats.com/img/own/sshplogo.png">
          <a:hlinkClick xmlns:r="http://schemas.openxmlformats.org/officeDocument/2006/relationships" r:id="rId597"/>
        </xdr:cNvPr>
        <xdr:cNvSpPr>
          <a:spLocks noChangeAspect="1" noChangeArrowheads="1"/>
        </xdr:cNvSpPr>
      </xdr:nvSpPr>
      <xdr:spPr bwMode="auto">
        <a:xfrm>
          <a:off x="13411200" y="16824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152400</xdr:colOff>
      <xdr:row>83</xdr:row>
      <xdr:rowOff>106680</xdr:rowOff>
    </xdr:to>
    <xdr:sp macro="" textlink="">
      <xdr:nvSpPr>
        <xdr:cNvPr id="2147" name="AutoShape 163" descr="FRANCE3"/>
        <xdr:cNvSpPr>
          <a:spLocks noChangeAspect="1" noChangeArrowheads="1"/>
        </xdr:cNvSpPr>
      </xdr:nvSpPr>
      <xdr:spPr bwMode="auto">
        <a:xfrm>
          <a:off x="0" y="17076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83</xdr:row>
      <xdr:rowOff>0</xdr:rowOff>
    </xdr:from>
    <xdr:to>
      <xdr:col>22</xdr:col>
      <xdr:colOff>304800</xdr:colOff>
      <xdr:row>84</xdr:row>
      <xdr:rowOff>53340</xdr:rowOff>
    </xdr:to>
    <xdr:sp macro="" textlink="">
      <xdr:nvSpPr>
        <xdr:cNvPr id="2148" name="AutoShape 164" descr="https://www.soccerstats.com/img/own/sshplogo.png">
          <a:hlinkClick xmlns:r="http://schemas.openxmlformats.org/officeDocument/2006/relationships" r:id="rId598"/>
        </xdr:cNvPr>
        <xdr:cNvSpPr>
          <a:spLocks noChangeAspect="1" noChangeArrowheads="1"/>
        </xdr:cNvSpPr>
      </xdr:nvSpPr>
      <xdr:spPr bwMode="auto">
        <a:xfrm>
          <a:off x="13411200" y="17076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152400</xdr:colOff>
      <xdr:row>84</xdr:row>
      <xdr:rowOff>106680</xdr:rowOff>
    </xdr:to>
    <xdr:sp macro="" textlink="">
      <xdr:nvSpPr>
        <xdr:cNvPr id="2149" name="AutoShape 165" descr="FRANCE3"/>
        <xdr:cNvSpPr>
          <a:spLocks noChangeAspect="1" noChangeArrowheads="1"/>
        </xdr:cNvSpPr>
      </xdr:nvSpPr>
      <xdr:spPr bwMode="auto">
        <a:xfrm>
          <a:off x="0" y="17251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84</xdr:row>
      <xdr:rowOff>0</xdr:rowOff>
    </xdr:from>
    <xdr:to>
      <xdr:col>22</xdr:col>
      <xdr:colOff>304800</xdr:colOff>
      <xdr:row>85</xdr:row>
      <xdr:rowOff>129540</xdr:rowOff>
    </xdr:to>
    <xdr:sp macro="" textlink="">
      <xdr:nvSpPr>
        <xdr:cNvPr id="2150" name="AutoShape 166" descr="https://www.soccerstats.com/img/own/sshplogo.png">
          <a:hlinkClick xmlns:r="http://schemas.openxmlformats.org/officeDocument/2006/relationships" r:id="rId599"/>
        </xdr:cNvPr>
        <xdr:cNvSpPr>
          <a:spLocks noChangeAspect="1" noChangeArrowheads="1"/>
        </xdr:cNvSpPr>
      </xdr:nvSpPr>
      <xdr:spPr bwMode="auto">
        <a:xfrm>
          <a:off x="13411200" y="1725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152400</xdr:colOff>
      <xdr:row>85</xdr:row>
      <xdr:rowOff>106680</xdr:rowOff>
    </xdr:to>
    <xdr:sp macro="" textlink="">
      <xdr:nvSpPr>
        <xdr:cNvPr id="2151" name="AutoShape 167" descr="FRANCE3"/>
        <xdr:cNvSpPr>
          <a:spLocks noChangeAspect="1" noChangeArrowheads="1"/>
        </xdr:cNvSpPr>
      </xdr:nvSpPr>
      <xdr:spPr bwMode="auto">
        <a:xfrm>
          <a:off x="0" y="17503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85</xdr:row>
      <xdr:rowOff>0</xdr:rowOff>
    </xdr:from>
    <xdr:to>
      <xdr:col>22</xdr:col>
      <xdr:colOff>304800</xdr:colOff>
      <xdr:row>86</xdr:row>
      <xdr:rowOff>129540</xdr:rowOff>
    </xdr:to>
    <xdr:sp macro="" textlink="">
      <xdr:nvSpPr>
        <xdr:cNvPr id="2152" name="AutoShape 168" descr="https://www.soccerstats.com/img/own/sshplogo.png">
          <a:hlinkClick xmlns:r="http://schemas.openxmlformats.org/officeDocument/2006/relationships" r:id="rId600"/>
        </xdr:cNvPr>
        <xdr:cNvSpPr>
          <a:spLocks noChangeAspect="1" noChangeArrowheads="1"/>
        </xdr:cNvSpPr>
      </xdr:nvSpPr>
      <xdr:spPr bwMode="auto">
        <a:xfrm>
          <a:off x="13411200" y="17503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152400</xdr:colOff>
      <xdr:row>86</xdr:row>
      <xdr:rowOff>106680</xdr:rowOff>
    </xdr:to>
    <xdr:sp macro="" textlink="">
      <xdr:nvSpPr>
        <xdr:cNvPr id="2153" name="AutoShape 169" descr="FRANCE3"/>
        <xdr:cNvSpPr>
          <a:spLocks noChangeAspect="1" noChangeArrowheads="1"/>
        </xdr:cNvSpPr>
      </xdr:nvSpPr>
      <xdr:spPr bwMode="auto">
        <a:xfrm>
          <a:off x="0" y="17678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86</xdr:row>
      <xdr:rowOff>0</xdr:rowOff>
    </xdr:from>
    <xdr:to>
      <xdr:col>22</xdr:col>
      <xdr:colOff>304800</xdr:colOff>
      <xdr:row>87</xdr:row>
      <xdr:rowOff>53340</xdr:rowOff>
    </xdr:to>
    <xdr:sp macro="" textlink="">
      <xdr:nvSpPr>
        <xdr:cNvPr id="2154" name="AutoShape 170" descr="https://www.soccerstats.com/img/own/sshplogo.png">
          <a:hlinkClick xmlns:r="http://schemas.openxmlformats.org/officeDocument/2006/relationships" r:id="rId601"/>
        </xdr:cNvPr>
        <xdr:cNvSpPr>
          <a:spLocks noChangeAspect="1" noChangeArrowheads="1"/>
        </xdr:cNvSpPr>
      </xdr:nvSpPr>
      <xdr:spPr bwMode="auto">
        <a:xfrm>
          <a:off x="13411200" y="1767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152400</xdr:colOff>
      <xdr:row>87</xdr:row>
      <xdr:rowOff>106680</xdr:rowOff>
    </xdr:to>
    <xdr:sp macro="" textlink="">
      <xdr:nvSpPr>
        <xdr:cNvPr id="2155" name="AutoShape 171" descr="FRANCE3"/>
        <xdr:cNvSpPr>
          <a:spLocks noChangeAspect="1" noChangeArrowheads="1"/>
        </xdr:cNvSpPr>
      </xdr:nvSpPr>
      <xdr:spPr bwMode="auto">
        <a:xfrm>
          <a:off x="0" y="17929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87</xdr:row>
      <xdr:rowOff>0</xdr:rowOff>
    </xdr:from>
    <xdr:to>
      <xdr:col>22</xdr:col>
      <xdr:colOff>304800</xdr:colOff>
      <xdr:row>88</xdr:row>
      <xdr:rowOff>129540</xdr:rowOff>
    </xdr:to>
    <xdr:sp macro="" textlink="">
      <xdr:nvSpPr>
        <xdr:cNvPr id="2156" name="AutoShape 172" descr="https://www.soccerstats.com/img/own/sshplogo.png">
          <a:hlinkClick xmlns:r="http://schemas.openxmlformats.org/officeDocument/2006/relationships" r:id="rId602"/>
        </xdr:cNvPr>
        <xdr:cNvSpPr>
          <a:spLocks noChangeAspect="1" noChangeArrowheads="1"/>
        </xdr:cNvSpPr>
      </xdr:nvSpPr>
      <xdr:spPr bwMode="auto">
        <a:xfrm>
          <a:off x="13411200" y="17929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152400</xdr:colOff>
      <xdr:row>88</xdr:row>
      <xdr:rowOff>106680</xdr:rowOff>
    </xdr:to>
    <xdr:sp macro="" textlink="">
      <xdr:nvSpPr>
        <xdr:cNvPr id="2157" name="AutoShape 173" descr="FRANCE3"/>
        <xdr:cNvSpPr>
          <a:spLocks noChangeAspect="1" noChangeArrowheads="1"/>
        </xdr:cNvSpPr>
      </xdr:nvSpPr>
      <xdr:spPr bwMode="auto">
        <a:xfrm>
          <a:off x="0" y="18105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88</xdr:row>
      <xdr:rowOff>0</xdr:rowOff>
    </xdr:from>
    <xdr:to>
      <xdr:col>22</xdr:col>
      <xdr:colOff>304800</xdr:colOff>
      <xdr:row>89</xdr:row>
      <xdr:rowOff>53340</xdr:rowOff>
    </xdr:to>
    <xdr:sp macro="" textlink="">
      <xdr:nvSpPr>
        <xdr:cNvPr id="2158" name="AutoShape 174" descr="https://www.soccerstats.com/img/own/sshplogo.png">
          <a:hlinkClick xmlns:r="http://schemas.openxmlformats.org/officeDocument/2006/relationships" r:id="rId603"/>
        </xdr:cNvPr>
        <xdr:cNvSpPr>
          <a:spLocks noChangeAspect="1" noChangeArrowheads="1"/>
        </xdr:cNvSpPr>
      </xdr:nvSpPr>
      <xdr:spPr bwMode="auto">
        <a:xfrm>
          <a:off x="13411200" y="18105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152400</xdr:colOff>
      <xdr:row>89</xdr:row>
      <xdr:rowOff>106680</xdr:rowOff>
    </xdr:to>
    <xdr:sp macro="" textlink="">
      <xdr:nvSpPr>
        <xdr:cNvPr id="2159" name="AutoShape 175" descr="GERMANY3"/>
        <xdr:cNvSpPr>
          <a:spLocks noChangeAspect="1" noChangeArrowheads="1"/>
        </xdr:cNvSpPr>
      </xdr:nvSpPr>
      <xdr:spPr bwMode="auto">
        <a:xfrm>
          <a:off x="0" y="18280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89</xdr:row>
      <xdr:rowOff>0</xdr:rowOff>
    </xdr:from>
    <xdr:to>
      <xdr:col>22</xdr:col>
      <xdr:colOff>304800</xdr:colOff>
      <xdr:row>90</xdr:row>
      <xdr:rowOff>53340</xdr:rowOff>
    </xdr:to>
    <xdr:sp macro="" textlink="">
      <xdr:nvSpPr>
        <xdr:cNvPr id="2160" name="AutoShape 176" descr="https://www.soccerstats.com/img/own/sshplogo.png">
          <a:hlinkClick xmlns:r="http://schemas.openxmlformats.org/officeDocument/2006/relationships" r:id="rId604"/>
        </xdr:cNvPr>
        <xdr:cNvSpPr>
          <a:spLocks noChangeAspect="1" noChangeArrowheads="1"/>
        </xdr:cNvSpPr>
      </xdr:nvSpPr>
      <xdr:spPr bwMode="auto">
        <a:xfrm>
          <a:off x="13411200" y="18280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152400</xdr:colOff>
      <xdr:row>90</xdr:row>
      <xdr:rowOff>106680</xdr:rowOff>
    </xdr:to>
    <xdr:sp macro="" textlink="">
      <xdr:nvSpPr>
        <xdr:cNvPr id="2161" name="AutoShape 177" descr="GERMANY5"/>
        <xdr:cNvSpPr>
          <a:spLocks noChangeAspect="1" noChangeArrowheads="1"/>
        </xdr:cNvSpPr>
      </xdr:nvSpPr>
      <xdr:spPr bwMode="auto">
        <a:xfrm>
          <a:off x="0" y="18531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90</xdr:row>
      <xdr:rowOff>0</xdr:rowOff>
    </xdr:from>
    <xdr:to>
      <xdr:col>22</xdr:col>
      <xdr:colOff>304800</xdr:colOff>
      <xdr:row>91</xdr:row>
      <xdr:rowOff>129540</xdr:rowOff>
    </xdr:to>
    <xdr:sp macro="" textlink="">
      <xdr:nvSpPr>
        <xdr:cNvPr id="2162" name="AutoShape 178" descr="https://www.soccerstats.com/img/own/sshplogo.png">
          <a:hlinkClick xmlns:r="http://schemas.openxmlformats.org/officeDocument/2006/relationships" r:id="rId605"/>
        </xdr:cNvPr>
        <xdr:cNvSpPr>
          <a:spLocks noChangeAspect="1" noChangeArrowheads="1"/>
        </xdr:cNvSpPr>
      </xdr:nvSpPr>
      <xdr:spPr bwMode="auto">
        <a:xfrm>
          <a:off x="13411200" y="18531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152400</xdr:colOff>
      <xdr:row>91</xdr:row>
      <xdr:rowOff>106680</xdr:rowOff>
    </xdr:to>
    <xdr:sp macro="" textlink="">
      <xdr:nvSpPr>
        <xdr:cNvPr id="2163" name="AutoShape 179" descr="GERMANY5"/>
        <xdr:cNvSpPr>
          <a:spLocks noChangeAspect="1" noChangeArrowheads="1"/>
        </xdr:cNvSpPr>
      </xdr:nvSpPr>
      <xdr:spPr bwMode="auto">
        <a:xfrm>
          <a:off x="0" y="18707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91</xdr:row>
      <xdr:rowOff>0</xdr:rowOff>
    </xdr:from>
    <xdr:to>
      <xdr:col>22</xdr:col>
      <xdr:colOff>304800</xdr:colOff>
      <xdr:row>92</xdr:row>
      <xdr:rowOff>129540</xdr:rowOff>
    </xdr:to>
    <xdr:sp macro="" textlink="">
      <xdr:nvSpPr>
        <xdr:cNvPr id="2164" name="AutoShape 180" descr="https://www.soccerstats.com/img/own/sshplogo.png">
          <a:hlinkClick xmlns:r="http://schemas.openxmlformats.org/officeDocument/2006/relationships" r:id="rId606"/>
        </xdr:cNvPr>
        <xdr:cNvSpPr>
          <a:spLocks noChangeAspect="1" noChangeArrowheads="1"/>
        </xdr:cNvSpPr>
      </xdr:nvSpPr>
      <xdr:spPr bwMode="auto">
        <a:xfrm>
          <a:off x="13411200" y="1870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152400</xdr:colOff>
      <xdr:row>92</xdr:row>
      <xdr:rowOff>106680</xdr:rowOff>
    </xdr:to>
    <xdr:sp macro="" textlink="">
      <xdr:nvSpPr>
        <xdr:cNvPr id="2165" name="AutoShape 181" descr="GERMANY5"/>
        <xdr:cNvSpPr>
          <a:spLocks noChangeAspect="1" noChangeArrowheads="1"/>
        </xdr:cNvSpPr>
      </xdr:nvSpPr>
      <xdr:spPr bwMode="auto">
        <a:xfrm>
          <a:off x="0" y="18958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92</xdr:row>
      <xdr:rowOff>0</xdr:rowOff>
    </xdr:from>
    <xdr:to>
      <xdr:col>22</xdr:col>
      <xdr:colOff>304800</xdr:colOff>
      <xdr:row>93</xdr:row>
      <xdr:rowOff>129540</xdr:rowOff>
    </xdr:to>
    <xdr:sp macro="" textlink="">
      <xdr:nvSpPr>
        <xdr:cNvPr id="2166" name="AutoShape 182" descr="https://www.soccerstats.com/img/own/sshplogo.png">
          <a:hlinkClick xmlns:r="http://schemas.openxmlformats.org/officeDocument/2006/relationships" r:id="rId607"/>
        </xdr:cNvPr>
        <xdr:cNvSpPr>
          <a:spLocks noChangeAspect="1" noChangeArrowheads="1"/>
        </xdr:cNvSpPr>
      </xdr:nvSpPr>
      <xdr:spPr bwMode="auto">
        <a:xfrm>
          <a:off x="13411200" y="18958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152400</xdr:colOff>
      <xdr:row>93</xdr:row>
      <xdr:rowOff>106680</xdr:rowOff>
    </xdr:to>
    <xdr:sp macro="" textlink="">
      <xdr:nvSpPr>
        <xdr:cNvPr id="2167" name="AutoShape 183" descr="GERMANY5"/>
        <xdr:cNvSpPr>
          <a:spLocks noChangeAspect="1" noChangeArrowheads="1"/>
        </xdr:cNvSpPr>
      </xdr:nvSpPr>
      <xdr:spPr bwMode="auto">
        <a:xfrm>
          <a:off x="0" y="19210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93</xdr:row>
      <xdr:rowOff>0</xdr:rowOff>
    </xdr:from>
    <xdr:to>
      <xdr:col>22</xdr:col>
      <xdr:colOff>304800</xdr:colOff>
      <xdr:row>94</xdr:row>
      <xdr:rowOff>129540</xdr:rowOff>
    </xdr:to>
    <xdr:sp macro="" textlink="">
      <xdr:nvSpPr>
        <xdr:cNvPr id="2168" name="AutoShape 184" descr="https://www.soccerstats.com/img/own/sshplogo.png">
          <a:hlinkClick xmlns:r="http://schemas.openxmlformats.org/officeDocument/2006/relationships" r:id="rId608"/>
        </xdr:cNvPr>
        <xdr:cNvSpPr>
          <a:spLocks noChangeAspect="1" noChangeArrowheads="1"/>
        </xdr:cNvSpPr>
      </xdr:nvSpPr>
      <xdr:spPr bwMode="auto">
        <a:xfrm>
          <a:off x="13411200" y="19210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152400</xdr:colOff>
      <xdr:row>94</xdr:row>
      <xdr:rowOff>106680</xdr:rowOff>
    </xdr:to>
    <xdr:sp macro="" textlink="">
      <xdr:nvSpPr>
        <xdr:cNvPr id="2169" name="AutoShape 185" descr="GERMANY6"/>
        <xdr:cNvSpPr>
          <a:spLocks noChangeAspect="1" noChangeArrowheads="1"/>
        </xdr:cNvSpPr>
      </xdr:nvSpPr>
      <xdr:spPr bwMode="auto">
        <a:xfrm>
          <a:off x="0" y="19385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94</xdr:row>
      <xdr:rowOff>0</xdr:rowOff>
    </xdr:from>
    <xdr:to>
      <xdr:col>22</xdr:col>
      <xdr:colOff>304800</xdr:colOff>
      <xdr:row>95</xdr:row>
      <xdr:rowOff>129540</xdr:rowOff>
    </xdr:to>
    <xdr:sp macro="" textlink="">
      <xdr:nvSpPr>
        <xdr:cNvPr id="2170" name="AutoShape 186" descr="https://www.soccerstats.com/img/own/sshplogo.png">
          <a:hlinkClick xmlns:r="http://schemas.openxmlformats.org/officeDocument/2006/relationships" r:id="rId609"/>
        </xdr:cNvPr>
        <xdr:cNvSpPr>
          <a:spLocks noChangeAspect="1" noChangeArrowheads="1"/>
        </xdr:cNvSpPr>
      </xdr:nvSpPr>
      <xdr:spPr bwMode="auto">
        <a:xfrm>
          <a:off x="13411200" y="19385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152400</xdr:colOff>
      <xdr:row>95</xdr:row>
      <xdr:rowOff>106680</xdr:rowOff>
    </xdr:to>
    <xdr:sp macro="" textlink="">
      <xdr:nvSpPr>
        <xdr:cNvPr id="2171" name="AutoShape 187" descr="GERMANY6"/>
        <xdr:cNvSpPr>
          <a:spLocks noChangeAspect="1" noChangeArrowheads="1"/>
        </xdr:cNvSpPr>
      </xdr:nvSpPr>
      <xdr:spPr bwMode="auto">
        <a:xfrm>
          <a:off x="0" y="19560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95</xdr:row>
      <xdr:rowOff>0</xdr:rowOff>
    </xdr:from>
    <xdr:to>
      <xdr:col>22</xdr:col>
      <xdr:colOff>304800</xdr:colOff>
      <xdr:row>96</xdr:row>
      <xdr:rowOff>53340</xdr:rowOff>
    </xdr:to>
    <xdr:sp macro="" textlink="">
      <xdr:nvSpPr>
        <xdr:cNvPr id="2172" name="AutoShape 188" descr="https://www.soccerstats.com/img/own/sshplogo.png">
          <a:hlinkClick xmlns:r="http://schemas.openxmlformats.org/officeDocument/2006/relationships" r:id="rId610"/>
        </xdr:cNvPr>
        <xdr:cNvSpPr>
          <a:spLocks noChangeAspect="1" noChangeArrowheads="1"/>
        </xdr:cNvSpPr>
      </xdr:nvSpPr>
      <xdr:spPr bwMode="auto">
        <a:xfrm>
          <a:off x="13411200" y="19560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152400</xdr:colOff>
      <xdr:row>96</xdr:row>
      <xdr:rowOff>106680</xdr:rowOff>
    </xdr:to>
    <xdr:sp macro="" textlink="">
      <xdr:nvSpPr>
        <xdr:cNvPr id="2173" name="AutoShape 189" descr="GERMANY6"/>
        <xdr:cNvSpPr>
          <a:spLocks noChangeAspect="1" noChangeArrowheads="1"/>
        </xdr:cNvSpPr>
      </xdr:nvSpPr>
      <xdr:spPr bwMode="auto">
        <a:xfrm>
          <a:off x="0" y="19735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96</xdr:row>
      <xdr:rowOff>0</xdr:rowOff>
    </xdr:from>
    <xdr:to>
      <xdr:col>22</xdr:col>
      <xdr:colOff>304800</xdr:colOff>
      <xdr:row>97</xdr:row>
      <xdr:rowOff>129540</xdr:rowOff>
    </xdr:to>
    <xdr:sp macro="" textlink="">
      <xdr:nvSpPr>
        <xdr:cNvPr id="2174" name="AutoShape 190" descr="https://www.soccerstats.com/img/own/sshplogo.png">
          <a:hlinkClick xmlns:r="http://schemas.openxmlformats.org/officeDocument/2006/relationships" r:id="rId611"/>
        </xdr:cNvPr>
        <xdr:cNvSpPr>
          <a:spLocks noChangeAspect="1" noChangeArrowheads="1"/>
        </xdr:cNvSpPr>
      </xdr:nvSpPr>
      <xdr:spPr bwMode="auto">
        <a:xfrm>
          <a:off x="13411200" y="19735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152400</xdr:colOff>
      <xdr:row>97</xdr:row>
      <xdr:rowOff>106680</xdr:rowOff>
    </xdr:to>
    <xdr:sp macro="" textlink="">
      <xdr:nvSpPr>
        <xdr:cNvPr id="2175" name="AutoShape 191" descr="GERMANY6"/>
        <xdr:cNvSpPr>
          <a:spLocks noChangeAspect="1" noChangeArrowheads="1"/>
        </xdr:cNvSpPr>
      </xdr:nvSpPr>
      <xdr:spPr bwMode="auto">
        <a:xfrm>
          <a:off x="0" y="19911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97</xdr:row>
      <xdr:rowOff>0</xdr:rowOff>
    </xdr:from>
    <xdr:to>
      <xdr:col>22</xdr:col>
      <xdr:colOff>304800</xdr:colOff>
      <xdr:row>98</xdr:row>
      <xdr:rowOff>129540</xdr:rowOff>
    </xdr:to>
    <xdr:sp macro="" textlink="">
      <xdr:nvSpPr>
        <xdr:cNvPr id="2176" name="AutoShape 192" descr="https://www.soccerstats.com/img/own/sshplogo.png">
          <a:hlinkClick xmlns:r="http://schemas.openxmlformats.org/officeDocument/2006/relationships" r:id="rId612"/>
        </xdr:cNvPr>
        <xdr:cNvSpPr>
          <a:spLocks noChangeAspect="1" noChangeArrowheads="1"/>
        </xdr:cNvSpPr>
      </xdr:nvSpPr>
      <xdr:spPr bwMode="auto">
        <a:xfrm>
          <a:off x="13411200" y="1991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152400</xdr:colOff>
      <xdr:row>98</xdr:row>
      <xdr:rowOff>106680</xdr:rowOff>
    </xdr:to>
    <xdr:sp macro="" textlink="">
      <xdr:nvSpPr>
        <xdr:cNvPr id="2177" name="AutoShape 193" descr="GERMANY7"/>
        <xdr:cNvSpPr>
          <a:spLocks noChangeAspect="1" noChangeArrowheads="1"/>
        </xdr:cNvSpPr>
      </xdr:nvSpPr>
      <xdr:spPr bwMode="auto">
        <a:xfrm>
          <a:off x="0" y="20086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98</xdr:row>
      <xdr:rowOff>0</xdr:rowOff>
    </xdr:from>
    <xdr:to>
      <xdr:col>22</xdr:col>
      <xdr:colOff>304800</xdr:colOff>
      <xdr:row>99</xdr:row>
      <xdr:rowOff>129540</xdr:rowOff>
    </xdr:to>
    <xdr:sp macro="" textlink="">
      <xdr:nvSpPr>
        <xdr:cNvPr id="2178" name="AutoShape 194" descr="https://www.soccerstats.com/img/own/sshplogo.png">
          <a:hlinkClick xmlns:r="http://schemas.openxmlformats.org/officeDocument/2006/relationships" r:id="rId613"/>
        </xdr:cNvPr>
        <xdr:cNvSpPr>
          <a:spLocks noChangeAspect="1" noChangeArrowheads="1"/>
        </xdr:cNvSpPr>
      </xdr:nvSpPr>
      <xdr:spPr bwMode="auto">
        <a:xfrm>
          <a:off x="13411200" y="20086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152400</xdr:colOff>
      <xdr:row>99</xdr:row>
      <xdr:rowOff>106680</xdr:rowOff>
    </xdr:to>
    <xdr:sp macro="" textlink="">
      <xdr:nvSpPr>
        <xdr:cNvPr id="2179" name="AutoShape 195" descr="GERMANY8"/>
        <xdr:cNvSpPr>
          <a:spLocks noChangeAspect="1" noChangeArrowheads="1"/>
        </xdr:cNvSpPr>
      </xdr:nvSpPr>
      <xdr:spPr bwMode="auto">
        <a:xfrm>
          <a:off x="0" y="20337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99</xdr:row>
      <xdr:rowOff>0</xdr:rowOff>
    </xdr:from>
    <xdr:to>
      <xdr:col>22</xdr:col>
      <xdr:colOff>304800</xdr:colOff>
      <xdr:row>100</xdr:row>
      <xdr:rowOff>129540</xdr:rowOff>
    </xdr:to>
    <xdr:sp macro="" textlink="">
      <xdr:nvSpPr>
        <xdr:cNvPr id="2180" name="AutoShape 196" descr="https://www.soccerstats.com/img/own/sshplogo.png">
          <a:hlinkClick xmlns:r="http://schemas.openxmlformats.org/officeDocument/2006/relationships" r:id="rId614"/>
        </xdr:cNvPr>
        <xdr:cNvSpPr>
          <a:spLocks noChangeAspect="1" noChangeArrowheads="1"/>
        </xdr:cNvSpPr>
      </xdr:nvSpPr>
      <xdr:spPr bwMode="auto">
        <a:xfrm>
          <a:off x="13411200" y="20337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152400</xdr:colOff>
      <xdr:row>100</xdr:row>
      <xdr:rowOff>106680</xdr:rowOff>
    </xdr:to>
    <xdr:sp macro="" textlink="">
      <xdr:nvSpPr>
        <xdr:cNvPr id="2181" name="AutoShape 197" descr="GERMANY8"/>
        <xdr:cNvSpPr>
          <a:spLocks noChangeAspect="1" noChangeArrowheads="1"/>
        </xdr:cNvSpPr>
      </xdr:nvSpPr>
      <xdr:spPr bwMode="auto">
        <a:xfrm>
          <a:off x="0" y="20513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100</xdr:row>
      <xdr:rowOff>0</xdr:rowOff>
    </xdr:from>
    <xdr:to>
      <xdr:col>22</xdr:col>
      <xdr:colOff>304800</xdr:colOff>
      <xdr:row>101</xdr:row>
      <xdr:rowOff>129540</xdr:rowOff>
    </xdr:to>
    <xdr:sp macro="" textlink="">
      <xdr:nvSpPr>
        <xdr:cNvPr id="2182" name="AutoShape 198" descr="https://www.soccerstats.com/img/own/sshplogo.png">
          <a:hlinkClick xmlns:r="http://schemas.openxmlformats.org/officeDocument/2006/relationships" r:id="rId615"/>
        </xdr:cNvPr>
        <xdr:cNvSpPr>
          <a:spLocks noChangeAspect="1" noChangeArrowheads="1"/>
        </xdr:cNvSpPr>
      </xdr:nvSpPr>
      <xdr:spPr bwMode="auto">
        <a:xfrm>
          <a:off x="13411200" y="20513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152400</xdr:colOff>
      <xdr:row>101</xdr:row>
      <xdr:rowOff>106680</xdr:rowOff>
    </xdr:to>
    <xdr:sp macro="" textlink="">
      <xdr:nvSpPr>
        <xdr:cNvPr id="2183" name="AutoShape 199" descr="GERMANY8"/>
        <xdr:cNvSpPr>
          <a:spLocks noChangeAspect="1" noChangeArrowheads="1"/>
        </xdr:cNvSpPr>
      </xdr:nvSpPr>
      <xdr:spPr bwMode="auto">
        <a:xfrm>
          <a:off x="0" y="20688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101</xdr:row>
      <xdr:rowOff>0</xdr:rowOff>
    </xdr:from>
    <xdr:to>
      <xdr:col>22</xdr:col>
      <xdr:colOff>304800</xdr:colOff>
      <xdr:row>102</xdr:row>
      <xdr:rowOff>129540</xdr:rowOff>
    </xdr:to>
    <xdr:sp macro="" textlink="">
      <xdr:nvSpPr>
        <xdr:cNvPr id="2184" name="AutoShape 200" descr="https://www.soccerstats.com/img/own/sshplogo.png">
          <a:hlinkClick xmlns:r="http://schemas.openxmlformats.org/officeDocument/2006/relationships" r:id="rId616"/>
        </xdr:cNvPr>
        <xdr:cNvSpPr>
          <a:spLocks noChangeAspect="1" noChangeArrowheads="1"/>
        </xdr:cNvSpPr>
      </xdr:nvSpPr>
      <xdr:spPr bwMode="auto">
        <a:xfrm>
          <a:off x="13411200" y="2068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152400</xdr:colOff>
      <xdr:row>102</xdr:row>
      <xdr:rowOff>106680</xdr:rowOff>
    </xdr:to>
    <xdr:sp macro="" textlink="">
      <xdr:nvSpPr>
        <xdr:cNvPr id="2185" name="AutoShape 201" descr="GERMANY8"/>
        <xdr:cNvSpPr>
          <a:spLocks noChangeAspect="1" noChangeArrowheads="1"/>
        </xdr:cNvSpPr>
      </xdr:nvSpPr>
      <xdr:spPr bwMode="auto">
        <a:xfrm>
          <a:off x="0" y="20863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102</xdr:row>
      <xdr:rowOff>0</xdr:rowOff>
    </xdr:from>
    <xdr:to>
      <xdr:col>22</xdr:col>
      <xdr:colOff>304800</xdr:colOff>
      <xdr:row>103</xdr:row>
      <xdr:rowOff>53340</xdr:rowOff>
    </xdr:to>
    <xdr:sp macro="" textlink="">
      <xdr:nvSpPr>
        <xdr:cNvPr id="2186" name="AutoShape 202" descr="https://www.soccerstats.com/img/own/sshplogo.png">
          <a:hlinkClick xmlns:r="http://schemas.openxmlformats.org/officeDocument/2006/relationships" r:id="rId617"/>
        </xdr:cNvPr>
        <xdr:cNvSpPr>
          <a:spLocks noChangeAspect="1" noChangeArrowheads="1"/>
        </xdr:cNvSpPr>
      </xdr:nvSpPr>
      <xdr:spPr bwMode="auto">
        <a:xfrm>
          <a:off x="13411200" y="20863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152400</xdr:colOff>
      <xdr:row>103</xdr:row>
      <xdr:rowOff>106680</xdr:rowOff>
    </xdr:to>
    <xdr:sp macro="" textlink="">
      <xdr:nvSpPr>
        <xdr:cNvPr id="2187" name="AutoShape 203" descr="GERMANY8"/>
        <xdr:cNvSpPr>
          <a:spLocks noChangeAspect="1" noChangeArrowheads="1"/>
        </xdr:cNvSpPr>
      </xdr:nvSpPr>
      <xdr:spPr bwMode="auto">
        <a:xfrm>
          <a:off x="0" y="21038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103</xdr:row>
      <xdr:rowOff>0</xdr:rowOff>
    </xdr:from>
    <xdr:to>
      <xdr:col>22</xdr:col>
      <xdr:colOff>304800</xdr:colOff>
      <xdr:row>104</xdr:row>
      <xdr:rowOff>129540</xdr:rowOff>
    </xdr:to>
    <xdr:sp macro="" textlink="">
      <xdr:nvSpPr>
        <xdr:cNvPr id="2188" name="AutoShape 204" descr="https://www.soccerstats.com/img/own/sshplogo.png">
          <a:hlinkClick xmlns:r="http://schemas.openxmlformats.org/officeDocument/2006/relationships" r:id="rId618"/>
        </xdr:cNvPr>
        <xdr:cNvSpPr>
          <a:spLocks noChangeAspect="1" noChangeArrowheads="1"/>
        </xdr:cNvSpPr>
      </xdr:nvSpPr>
      <xdr:spPr bwMode="auto">
        <a:xfrm>
          <a:off x="13411200" y="21038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152400</xdr:colOff>
      <xdr:row>104</xdr:row>
      <xdr:rowOff>106680</xdr:rowOff>
    </xdr:to>
    <xdr:sp macro="" textlink="">
      <xdr:nvSpPr>
        <xdr:cNvPr id="2189" name="AutoShape 205" descr="GERMANY8"/>
        <xdr:cNvSpPr>
          <a:spLocks noChangeAspect="1" noChangeArrowheads="1"/>
        </xdr:cNvSpPr>
      </xdr:nvSpPr>
      <xdr:spPr bwMode="auto">
        <a:xfrm>
          <a:off x="0" y="21214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104</xdr:row>
      <xdr:rowOff>0</xdr:rowOff>
    </xdr:from>
    <xdr:to>
      <xdr:col>22</xdr:col>
      <xdr:colOff>304800</xdr:colOff>
      <xdr:row>105</xdr:row>
      <xdr:rowOff>53340</xdr:rowOff>
    </xdr:to>
    <xdr:sp macro="" textlink="">
      <xdr:nvSpPr>
        <xdr:cNvPr id="2190" name="AutoShape 206" descr="https://www.soccerstats.com/img/own/sshplogo.png">
          <a:hlinkClick xmlns:r="http://schemas.openxmlformats.org/officeDocument/2006/relationships" r:id="rId619"/>
        </xdr:cNvPr>
        <xdr:cNvSpPr>
          <a:spLocks noChangeAspect="1" noChangeArrowheads="1"/>
        </xdr:cNvSpPr>
      </xdr:nvSpPr>
      <xdr:spPr bwMode="auto">
        <a:xfrm>
          <a:off x="13411200" y="21214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152400</xdr:colOff>
      <xdr:row>105</xdr:row>
      <xdr:rowOff>106680</xdr:rowOff>
    </xdr:to>
    <xdr:sp macro="" textlink="">
      <xdr:nvSpPr>
        <xdr:cNvPr id="2191" name="AutoShape 207" descr="GERMANY8"/>
        <xdr:cNvSpPr>
          <a:spLocks noChangeAspect="1" noChangeArrowheads="1"/>
        </xdr:cNvSpPr>
      </xdr:nvSpPr>
      <xdr:spPr bwMode="auto">
        <a:xfrm>
          <a:off x="0" y="21389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105</xdr:row>
      <xdr:rowOff>0</xdr:rowOff>
    </xdr:from>
    <xdr:to>
      <xdr:col>22</xdr:col>
      <xdr:colOff>304800</xdr:colOff>
      <xdr:row>106</xdr:row>
      <xdr:rowOff>129540</xdr:rowOff>
    </xdr:to>
    <xdr:sp macro="" textlink="">
      <xdr:nvSpPr>
        <xdr:cNvPr id="2192" name="AutoShape 208" descr="https://www.soccerstats.com/img/own/sshplogo.png">
          <a:hlinkClick xmlns:r="http://schemas.openxmlformats.org/officeDocument/2006/relationships" r:id="rId620"/>
        </xdr:cNvPr>
        <xdr:cNvSpPr>
          <a:spLocks noChangeAspect="1" noChangeArrowheads="1"/>
        </xdr:cNvSpPr>
      </xdr:nvSpPr>
      <xdr:spPr bwMode="auto">
        <a:xfrm>
          <a:off x="13411200" y="21389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152400</xdr:colOff>
      <xdr:row>106</xdr:row>
      <xdr:rowOff>106680</xdr:rowOff>
    </xdr:to>
    <xdr:sp macro="" textlink="">
      <xdr:nvSpPr>
        <xdr:cNvPr id="2193" name="AutoShape 209" descr="GERMANY8"/>
        <xdr:cNvSpPr>
          <a:spLocks noChangeAspect="1" noChangeArrowheads="1"/>
        </xdr:cNvSpPr>
      </xdr:nvSpPr>
      <xdr:spPr bwMode="auto">
        <a:xfrm>
          <a:off x="0" y="21640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106</xdr:row>
      <xdr:rowOff>0</xdr:rowOff>
    </xdr:from>
    <xdr:to>
      <xdr:col>22</xdr:col>
      <xdr:colOff>304800</xdr:colOff>
      <xdr:row>107</xdr:row>
      <xdr:rowOff>53340</xdr:rowOff>
    </xdr:to>
    <xdr:sp macro="" textlink="">
      <xdr:nvSpPr>
        <xdr:cNvPr id="2194" name="AutoShape 210" descr="https://www.soccerstats.com/img/own/sshplogo.png">
          <a:hlinkClick xmlns:r="http://schemas.openxmlformats.org/officeDocument/2006/relationships" r:id="rId621"/>
        </xdr:cNvPr>
        <xdr:cNvSpPr>
          <a:spLocks noChangeAspect="1" noChangeArrowheads="1"/>
        </xdr:cNvSpPr>
      </xdr:nvSpPr>
      <xdr:spPr bwMode="auto">
        <a:xfrm>
          <a:off x="13411200" y="2164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152400</xdr:colOff>
      <xdr:row>107</xdr:row>
      <xdr:rowOff>106680</xdr:rowOff>
    </xdr:to>
    <xdr:sp macro="" textlink="">
      <xdr:nvSpPr>
        <xdr:cNvPr id="2195" name="AutoShape 211" descr="GERMANY8"/>
        <xdr:cNvSpPr>
          <a:spLocks noChangeAspect="1" noChangeArrowheads="1"/>
        </xdr:cNvSpPr>
      </xdr:nvSpPr>
      <xdr:spPr bwMode="auto">
        <a:xfrm>
          <a:off x="0" y="2181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107</xdr:row>
      <xdr:rowOff>0</xdr:rowOff>
    </xdr:from>
    <xdr:to>
      <xdr:col>22</xdr:col>
      <xdr:colOff>304800</xdr:colOff>
      <xdr:row>108</xdr:row>
      <xdr:rowOff>53340</xdr:rowOff>
    </xdr:to>
    <xdr:sp macro="" textlink="">
      <xdr:nvSpPr>
        <xdr:cNvPr id="2196" name="AutoShape 212" descr="https://www.soccerstats.com/img/own/sshplogo.png">
          <a:hlinkClick xmlns:r="http://schemas.openxmlformats.org/officeDocument/2006/relationships" r:id="rId622"/>
        </xdr:cNvPr>
        <xdr:cNvSpPr>
          <a:spLocks noChangeAspect="1" noChangeArrowheads="1"/>
        </xdr:cNvSpPr>
      </xdr:nvSpPr>
      <xdr:spPr bwMode="auto">
        <a:xfrm>
          <a:off x="13411200" y="21816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152400</xdr:colOff>
      <xdr:row>108</xdr:row>
      <xdr:rowOff>106680</xdr:rowOff>
    </xdr:to>
    <xdr:sp macro="" textlink="">
      <xdr:nvSpPr>
        <xdr:cNvPr id="2197" name="AutoShape 213" descr="HUNGARY"/>
        <xdr:cNvSpPr>
          <a:spLocks noChangeAspect="1" noChangeArrowheads="1"/>
        </xdr:cNvSpPr>
      </xdr:nvSpPr>
      <xdr:spPr bwMode="auto">
        <a:xfrm>
          <a:off x="0" y="22067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108</xdr:row>
      <xdr:rowOff>0</xdr:rowOff>
    </xdr:from>
    <xdr:to>
      <xdr:col>22</xdr:col>
      <xdr:colOff>304800</xdr:colOff>
      <xdr:row>109</xdr:row>
      <xdr:rowOff>129540</xdr:rowOff>
    </xdr:to>
    <xdr:sp macro="" textlink="">
      <xdr:nvSpPr>
        <xdr:cNvPr id="2198" name="AutoShape 214" descr="https://www.soccerstats.com/img/own/sshplogo.png">
          <a:hlinkClick xmlns:r="http://schemas.openxmlformats.org/officeDocument/2006/relationships" r:id="rId623"/>
        </xdr:cNvPr>
        <xdr:cNvSpPr>
          <a:spLocks noChangeAspect="1" noChangeArrowheads="1"/>
        </xdr:cNvSpPr>
      </xdr:nvSpPr>
      <xdr:spPr bwMode="auto">
        <a:xfrm>
          <a:off x="13411200" y="22067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152400</xdr:colOff>
      <xdr:row>109</xdr:row>
      <xdr:rowOff>106680</xdr:rowOff>
    </xdr:to>
    <xdr:sp macro="" textlink="">
      <xdr:nvSpPr>
        <xdr:cNvPr id="2199" name="AutoShape 215" descr="ICELAND3"/>
        <xdr:cNvSpPr>
          <a:spLocks noChangeAspect="1" noChangeArrowheads="1"/>
        </xdr:cNvSpPr>
      </xdr:nvSpPr>
      <xdr:spPr bwMode="auto">
        <a:xfrm>
          <a:off x="0" y="22242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109</xdr:row>
      <xdr:rowOff>0</xdr:rowOff>
    </xdr:from>
    <xdr:to>
      <xdr:col>22</xdr:col>
      <xdr:colOff>304800</xdr:colOff>
      <xdr:row>110</xdr:row>
      <xdr:rowOff>53340</xdr:rowOff>
    </xdr:to>
    <xdr:sp macro="" textlink="">
      <xdr:nvSpPr>
        <xdr:cNvPr id="2200" name="AutoShape 216" descr="https://www.soccerstats.com/img/own/sshplogo.png">
          <a:hlinkClick xmlns:r="http://schemas.openxmlformats.org/officeDocument/2006/relationships" r:id="rId624"/>
        </xdr:cNvPr>
        <xdr:cNvSpPr>
          <a:spLocks noChangeAspect="1" noChangeArrowheads="1"/>
        </xdr:cNvSpPr>
      </xdr:nvSpPr>
      <xdr:spPr bwMode="auto">
        <a:xfrm>
          <a:off x="13411200" y="22242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152400</xdr:colOff>
      <xdr:row>110</xdr:row>
      <xdr:rowOff>106680</xdr:rowOff>
    </xdr:to>
    <xdr:sp macro="" textlink="">
      <xdr:nvSpPr>
        <xdr:cNvPr id="2201" name="AutoShape 217" descr="JAPAN"/>
        <xdr:cNvSpPr>
          <a:spLocks noChangeAspect="1" noChangeArrowheads="1"/>
        </xdr:cNvSpPr>
      </xdr:nvSpPr>
      <xdr:spPr bwMode="auto">
        <a:xfrm>
          <a:off x="0" y="22494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110</xdr:row>
      <xdr:rowOff>0</xdr:rowOff>
    </xdr:from>
    <xdr:to>
      <xdr:col>22</xdr:col>
      <xdr:colOff>304800</xdr:colOff>
      <xdr:row>111</xdr:row>
      <xdr:rowOff>129540</xdr:rowOff>
    </xdr:to>
    <xdr:sp macro="" textlink="">
      <xdr:nvSpPr>
        <xdr:cNvPr id="2202" name="AutoShape 218" descr="https://www.soccerstats.com/img/own/sshplogo.png">
          <a:hlinkClick xmlns:r="http://schemas.openxmlformats.org/officeDocument/2006/relationships" r:id="rId625"/>
        </xdr:cNvPr>
        <xdr:cNvSpPr>
          <a:spLocks noChangeAspect="1" noChangeArrowheads="1"/>
        </xdr:cNvSpPr>
      </xdr:nvSpPr>
      <xdr:spPr bwMode="auto">
        <a:xfrm>
          <a:off x="13411200" y="22494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152400</xdr:colOff>
      <xdr:row>111</xdr:row>
      <xdr:rowOff>106680</xdr:rowOff>
    </xdr:to>
    <xdr:sp macro="" textlink="">
      <xdr:nvSpPr>
        <xdr:cNvPr id="2203" name="AutoShape 219" descr="NORWAY"/>
        <xdr:cNvSpPr>
          <a:spLocks noChangeAspect="1" noChangeArrowheads="1"/>
        </xdr:cNvSpPr>
      </xdr:nvSpPr>
      <xdr:spPr bwMode="auto">
        <a:xfrm>
          <a:off x="0" y="22745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111</xdr:row>
      <xdr:rowOff>0</xdr:rowOff>
    </xdr:from>
    <xdr:to>
      <xdr:col>22</xdr:col>
      <xdr:colOff>304800</xdr:colOff>
      <xdr:row>112</xdr:row>
      <xdr:rowOff>53340</xdr:rowOff>
    </xdr:to>
    <xdr:sp macro="" textlink="">
      <xdr:nvSpPr>
        <xdr:cNvPr id="2204" name="AutoShape 220" descr="https://www.soccerstats.com/img/own/sshplogo.png">
          <a:hlinkClick xmlns:r="http://schemas.openxmlformats.org/officeDocument/2006/relationships" r:id="rId626"/>
        </xdr:cNvPr>
        <xdr:cNvSpPr>
          <a:spLocks noChangeAspect="1" noChangeArrowheads="1"/>
        </xdr:cNvSpPr>
      </xdr:nvSpPr>
      <xdr:spPr bwMode="auto">
        <a:xfrm>
          <a:off x="13411200" y="2274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152400</xdr:colOff>
      <xdr:row>112</xdr:row>
      <xdr:rowOff>106680</xdr:rowOff>
    </xdr:to>
    <xdr:sp macro="" textlink="">
      <xdr:nvSpPr>
        <xdr:cNvPr id="2205" name="AutoShape 221" descr="NORWAY11"/>
        <xdr:cNvSpPr>
          <a:spLocks noChangeAspect="1" noChangeArrowheads="1"/>
        </xdr:cNvSpPr>
      </xdr:nvSpPr>
      <xdr:spPr bwMode="auto">
        <a:xfrm>
          <a:off x="0" y="22920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112</xdr:row>
      <xdr:rowOff>0</xdr:rowOff>
    </xdr:from>
    <xdr:to>
      <xdr:col>22</xdr:col>
      <xdr:colOff>304800</xdr:colOff>
      <xdr:row>113</xdr:row>
      <xdr:rowOff>129540</xdr:rowOff>
    </xdr:to>
    <xdr:sp macro="" textlink="">
      <xdr:nvSpPr>
        <xdr:cNvPr id="2206" name="AutoShape 222" descr="https://www.soccerstats.com/img/own/sshplogo.png">
          <a:hlinkClick xmlns:r="http://schemas.openxmlformats.org/officeDocument/2006/relationships" r:id="rId627"/>
        </xdr:cNvPr>
        <xdr:cNvSpPr>
          <a:spLocks noChangeAspect="1" noChangeArrowheads="1"/>
        </xdr:cNvSpPr>
      </xdr:nvSpPr>
      <xdr:spPr bwMode="auto">
        <a:xfrm>
          <a:off x="13411200" y="22920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152400</xdr:colOff>
      <xdr:row>113</xdr:row>
      <xdr:rowOff>106680</xdr:rowOff>
    </xdr:to>
    <xdr:sp macro="" textlink="">
      <xdr:nvSpPr>
        <xdr:cNvPr id="2207" name="AutoShape 223" descr="PARAGUAY2"/>
        <xdr:cNvSpPr>
          <a:spLocks noChangeAspect="1" noChangeArrowheads="1"/>
        </xdr:cNvSpPr>
      </xdr:nvSpPr>
      <xdr:spPr bwMode="auto">
        <a:xfrm>
          <a:off x="0" y="23172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113</xdr:row>
      <xdr:rowOff>0</xdr:rowOff>
    </xdr:from>
    <xdr:to>
      <xdr:col>22</xdr:col>
      <xdr:colOff>304800</xdr:colOff>
      <xdr:row>114</xdr:row>
      <xdr:rowOff>53340</xdr:rowOff>
    </xdr:to>
    <xdr:sp macro="" textlink="">
      <xdr:nvSpPr>
        <xdr:cNvPr id="2208" name="AutoShape 224" descr="https://www.soccerstats.com/img/own/sshplogo.png">
          <a:hlinkClick xmlns:r="http://schemas.openxmlformats.org/officeDocument/2006/relationships" r:id="rId628"/>
        </xdr:cNvPr>
        <xdr:cNvSpPr>
          <a:spLocks noChangeAspect="1" noChangeArrowheads="1"/>
        </xdr:cNvSpPr>
      </xdr:nvSpPr>
      <xdr:spPr bwMode="auto">
        <a:xfrm>
          <a:off x="13411200" y="23172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152400</xdr:colOff>
      <xdr:row>114</xdr:row>
      <xdr:rowOff>106680</xdr:rowOff>
    </xdr:to>
    <xdr:sp macro="" textlink="">
      <xdr:nvSpPr>
        <xdr:cNvPr id="2209" name="AutoShape 225" descr="POLAND"/>
        <xdr:cNvSpPr>
          <a:spLocks noChangeAspect="1" noChangeArrowheads="1"/>
        </xdr:cNvSpPr>
      </xdr:nvSpPr>
      <xdr:spPr bwMode="auto">
        <a:xfrm>
          <a:off x="0" y="2334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114</xdr:row>
      <xdr:rowOff>0</xdr:rowOff>
    </xdr:from>
    <xdr:to>
      <xdr:col>22</xdr:col>
      <xdr:colOff>304800</xdr:colOff>
      <xdr:row>115</xdr:row>
      <xdr:rowOff>53340</xdr:rowOff>
    </xdr:to>
    <xdr:sp macro="" textlink="">
      <xdr:nvSpPr>
        <xdr:cNvPr id="2210" name="AutoShape 226" descr="https://www.soccerstats.com/img/own/sshplogo.png">
          <a:hlinkClick xmlns:r="http://schemas.openxmlformats.org/officeDocument/2006/relationships" r:id="rId629"/>
        </xdr:cNvPr>
        <xdr:cNvSpPr>
          <a:spLocks noChangeAspect="1" noChangeArrowheads="1"/>
        </xdr:cNvSpPr>
      </xdr:nvSpPr>
      <xdr:spPr bwMode="auto">
        <a:xfrm>
          <a:off x="13411200" y="2334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152400</xdr:colOff>
      <xdr:row>115</xdr:row>
      <xdr:rowOff>106680</xdr:rowOff>
    </xdr:to>
    <xdr:sp macro="" textlink="">
      <xdr:nvSpPr>
        <xdr:cNvPr id="2211" name="AutoShape 227" descr="POLAND2"/>
        <xdr:cNvSpPr>
          <a:spLocks noChangeAspect="1" noChangeArrowheads="1"/>
        </xdr:cNvSpPr>
      </xdr:nvSpPr>
      <xdr:spPr bwMode="auto">
        <a:xfrm>
          <a:off x="0" y="23599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115</xdr:row>
      <xdr:rowOff>0</xdr:rowOff>
    </xdr:from>
    <xdr:to>
      <xdr:col>22</xdr:col>
      <xdr:colOff>304800</xdr:colOff>
      <xdr:row>116</xdr:row>
      <xdr:rowOff>129540</xdr:rowOff>
    </xdr:to>
    <xdr:sp macro="" textlink="">
      <xdr:nvSpPr>
        <xdr:cNvPr id="2212" name="AutoShape 228" descr="https://www.soccerstats.com/img/own/sshplogo.png">
          <a:hlinkClick xmlns:r="http://schemas.openxmlformats.org/officeDocument/2006/relationships" r:id="rId630"/>
        </xdr:cNvPr>
        <xdr:cNvSpPr>
          <a:spLocks noChangeAspect="1" noChangeArrowheads="1"/>
        </xdr:cNvSpPr>
      </xdr:nvSpPr>
      <xdr:spPr bwMode="auto">
        <a:xfrm>
          <a:off x="13411200" y="23599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152400</xdr:colOff>
      <xdr:row>116</xdr:row>
      <xdr:rowOff>106680</xdr:rowOff>
    </xdr:to>
    <xdr:sp macro="" textlink="">
      <xdr:nvSpPr>
        <xdr:cNvPr id="2213" name="AutoShape 229" descr="POLAND2"/>
        <xdr:cNvSpPr>
          <a:spLocks noChangeAspect="1" noChangeArrowheads="1"/>
        </xdr:cNvSpPr>
      </xdr:nvSpPr>
      <xdr:spPr bwMode="auto">
        <a:xfrm>
          <a:off x="0" y="23774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116</xdr:row>
      <xdr:rowOff>0</xdr:rowOff>
    </xdr:from>
    <xdr:to>
      <xdr:col>22</xdr:col>
      <xdr:colOff>304800</xdr:colOff>
      <xdr:row>117</xdr:row>
      <xdr:rowOff>129540</xdr:rowOff>
    </xdr:to>
    <xdr:sp macro="" textlink="">
      <xdr:nvSpPr>
        <xdr:cNvPr id="2214" name="AutoShape 230" descr="https://www.soccerstats.com/img/own/sshplogo.png">
          <a:hlinkClick xmlns:r="http://schemas.openxmlformats.org/officeDocument/2006/relationships" r:id="rId631"/>
        </xdr:cNvPr>
        <xdr:cNvSpPr>
          <a:spLocks noChangeAspect="1" noChangeArrowheads="1"/>
        </xdr:cNvSpPr>
      </xdr:nvSpPr>
      <xdr:spPr bwMode="auto">
        <a:xfrm>
          <a:off x="13411200" y="23774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152400</xdr:colOff>
      <xdr:row>117</xdr:row>
      <xdr:rowOff>106680</xdr:rowOff>
    </xdr:to>
    <xdr:sp macro="" textlink="">
      <xdr:nvSpPr>
        <xdr:cNvPr id="2215" name="AutoShape 231" descr="POLAND3"/>
        <xdr:cNvSpPr>
          <a:spLocks noChangeAspect="1" noChangeArrowheads="1"/>
        </xdr:cNvSpPr>
      </xdr:nvSpPr>
      <xdr:spPr bwMode="auto">
        <a:xfrm>
          <a:off x="0" y="24025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117</xdr:row>
      <xdr:rowOff>0</xdr:rowOff>
    </xdr:from>
    <xdr:to>
      <xdr:col>22</xdr:col>
      <xdr:colOff>304800</xdr:colOff>
      <xdr:row>118</xdr:row>
      <xdr:rowOff>53340</xdr:rowOff>
    </xdr:to>
    <xdr:sp macro="" textlink="">
      <xdr:nvSpPr>
        <xdr:cNvPr id="2216" name="AutoShape 232" descr="https://www.soccerstats.com/img/own/sshplogo.png">
          <a:hlinkClick xmlns:r="http://schemas.openxmlformats.org/officeDocument/2006/relationships" r:id="rId632"/>
        </xdr:cNvPr>
        <xdr:cNvSpPr>
          <a:spLocks noChangeAspect="1" noChangeArrowheads="1"/>
        </xdr:cNvSpPr>
      </xdr:nvSpPr>
      <xdr:spPr bwMode="auto">
        <a:xfrm>
          <a:off x="13411200" y="24025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152400</xdr:colOff>
      <xdr:row>118</xdr:row>
      <xdr:rowOff>106680</xdr:rowOff>
    </xdr:to>
    <xdr:sp macro="" textlink="">
      <xdr:nvSpPr>
        <xdr:cNvPr id="2217" name="AutoShape 233" descr="PORTUGAL2"/>
        <xdr:cNvSpPr>
          <a:spLocks noChangeAspect="1" noChangeArrowheads="1"/>
        </xdr:cNvSpPr>
      </xdr:nvSpPr>
      <xdr:spPr bwMode="auto">
        <a:xfrm>
          <a:off x="0" y="24277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118</xdr:row>
      <xdr:rowOff>0</xdr:rowOff>
    </xdr:from>
    <xdr:to>
      <xdr:col>22</xdr:col>
      <xdr:colOff>304800</xdr:colOff>
      <xdr:row>119</xdr:row>
      <xdr:rowOff>53340</xdr:rowOff>
    </xdr:to>
    <xdr:sp macro="" textlink="">
      <xdr:nvSpPr>
        <xdr:cNvPr id="2218" name="AutoShape 234" descr="https://www.soccerstats.com/img/own/sshplogo.png">
          <a:hlinkClick xmlns:r="http://schemas.openxmlformats.org/officeDocument/2006/relationships" r:id="rId633"/>
        </xdr:cNvPr>
        <xdr:cNvSpPr>
          <a:spLocks noChangeAspect="1" noChangeArrowheads="1"/>
        </xdr:cNvSpPr>
      </xdr:nvSpPr>
      <xdr:spPr bwMode="auto">
        <a:xfrm>
          <a:off x="13411200" y="24277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152400</xdr:colOff>
      <xdr:row>119</xdr:row>
      <xdr:rowOff>106680</xdr:rowOff>
    </xdr:to>
    <xdr:sp macro="" textlink="">
      <xdr:nvSpPr>
        <xdr:cNvPr id="2219" name="AutoShape 235" descr="ROMANIA"/>
        <xdr:cNvSpPr>
          <a:spLocks noChangeAspect="1" noChangeArrowheads="1"/>
        </xdr:cNvSpPr>
      </xdr:nvSpPr>
      <xdr:spPr bwMode="auto">
        <a:xfrm>
          <a:off x="0" y="24452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119</xdr:row>
      <xdr:rowOff>0</xdr:rowOff>
    </xdr:from>
    <xdr:to>
      <xdr:col>22</xdr:col>
      <xdr:colOff>304800</xdr:colOff>
      <xdr:row>120</xdr:row>
      <xdr:rowOff>129540</xdr:rowOff>
    </xdr:to>
    <xdr:sp macro="" textlink="">
      <xdr:nvSpPr>
        <xdr:cNvPr id="2220" name="AutoShape 236" descr="https://www.soccerstats.com/img/own/sshplogo.png">
          <a:hlinkClick xmlns:r="http://schemas.openxmlformats.org/officeDocument/2006/relationships" r:id="rId634"/>
        </xdr:cNvPr>
        <xdr:cNvSpPr>
          <a:spLocks noChangeAspect="1" noChangeArrowheads="1"/>
        </xdr:cNvSpPr>
      </xdr:nvSpPr>
      <xdr:spPr bwMode="auto">
        <a:xfrm>
          <a:off x="13411200" y="24452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152400</xdr:colOff>
      <xdr:row>120</xdr:row>
      <xdr:rowOff>106680</xdr:rowOff>
    </xdr:to>
    <xdr:sp macro="" textlink="">
      <xdr:nvSpPr>
        <xdr:cNvPr id="2221" name="AutoShape 237" descr="ROMANIA"/>
        <xdr:cNvSpPr>
          <a:spLocks noChangeAspect="1" noChangeArrowheads="1"/>
        </xdr:cNvSpPr>
      </xdr:nvSpPr>
      <xdr:spPr bwMode="auto">
        <a:xfrm>
          <a:off x="0" y="24627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120</xdr:row>
      <xdr:rowOff>0</xdr:rowOff>
    </xdr:from>
    <xdr:to>
      <xdr:col>22</xdr:col>
      <xdr:colOff>304800</xdr:colOff>
      <xdr:row>121</xdr:row>
      <xdr:rowOff>129540</xdr:rowOff>
    </xdr:to>
    <xdr:sp macro="" textlink="">
      <xdr:nvSpPr>
        <xdr:cNvPr id="2222" name="AutoShape 238" descr="https://www.soccerstats.com/img/own/sshplogo.png">
          <a:hlinkClick xmlns:r="http://schemas.openxmlformats.org/officeDocument/2006/relationships" r:id="rId635"/>
        </xdr:cNvPr>
        <xdr:cNvSpPr>
          <a:spLocks noChangeAspect="1" noChangeArrowheads="1"/>
        </xdr:cNvSpPr>
      </xdr:nvSpPr>
      <xdr:spPr bwMode="auto">
        <a:xfrm>
          <a:off x="13411200" y="24627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152400</xdr:colOff>
      <xdr:row>121</xdr:row>
      <xdr:rowOff>106680</xdr:rowOff>
    </xdr:to>
    <xdr:sp macro="" textlink="">
      <xdr:nvSpPr>
        <xdr:cNvPr id="2223" name="AutoShape 239" descr="RUSSIA"/>
        <xdr:cNvSpPr>
          <a:spLocks noChangeAspect="1" noChangeArrowheads="1"/>
        </xdr:cNvSpPr>
      </xdr:nvSpPr>
      <xdr:spPr bwMode="auto">
        <a:xfrm>
          <a:off x="0" y="24879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121</xdr:row>
      <xdr:rowOff>0</xdr:rowOff>
    </xdr:from>
    <xdr:to>
      <xdr:col>22</xdr:col>
      <xdr:colOff>304800</xdr:colOff>
      <xdr:row>122</xdr:row>
      <xdr:rowOff>129540</xdr:rowOff>
    </xdr:to>
    <xdr:sp macro="" textlink="">
      <xdr:nvSpPr>
        <xdr:cNvPr id="2224" name="AutoShape 240" descr="https://www.soccerstats.com/img/own/sshplogo.png">
          <a:hlinkClick xmlns:r="http://schemas.openxmlformats.org/officeDocument/2006/relationships" r:id="rId636"/>
        </xdr:cNvPr>
        <xdr:cNvSpPr>
          <a:spLocks noChangeAspect="1" noChangeArrowheads="1"/>
        </xdr:cNvSpPr>
      </xdr:nvSpPr>
      <xdr:spPr bwMode="auto">
        <a:xfrm>
          <a:off x="13411200" y="2487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152400</xdr:colOff>
      <xdr:row>122</xdr:row>
      <xdr:rowOff>106680</xdr:rowOff>
    </xdr:to>
    <xdr:sp macro="" textlink="">
      <xdr:nvSpPr>
        <xdr:cNvPr id="2225" name="AutoShape 241" descr="SAUDIARABIA"/>
        <xdr:cNvSpPr>
          <a:spLocks noChangeAspect="1" noChangeArrowheads="1"/>
        </xdr:cNvSpPr>
      </xdr:nvSpPr>
      <xdr:spPr bwMode="auto">
        <a:xfrm>
          <a:off x="0" y="25130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122</xdr:row>
      <xdr:rowOff>0</xdr:rowOff>
    </xdr:from>
    <xdr:to>
      <xdr:col>22</xdr:col>
      <xdr:colOff>304800</xdr:colOff>
      <xdr:row>123</xdr:row>
      <xdr:rowOff>129540</xdr:rowOff>
    </xdr:to>
    <xdr:sp macro="" textlink="">
      <xdr:nvSpPr>
        <xdr:cNvPr id="2226" name="AutoShape 242" descr="https://www.soccerstats.com/img/own/sshplogo.png">
          <a:hlinkClick xmlns:r="http://schemas.openxmlformats.org/officeDocument/2006/relationships" r:id="rId637"/>
        </xdr:cNvPr>
        <xdr:cNvSpPr>
          <a:spLocks noChangeAspect="1" noChangeArrowheads="1"/>
        </xdr:cNvSpPr>
      </xdr:nvSpPr>
      <xdr:spPr bwMode="auto">
        <a:xfrm>
          <a:off x="13411200" y="25130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152400</xdr:colOff>
      <xdr:row>123</xdr:row>
      <xdr:rowOff>106680</xdr:rowOff>
    </xdr:to>
    <xdr:sp macro="" textlink="">
      <xdr:nvSpPr>
        <xdr:cNvPr id="2227" name="AutoShape 243" descr="SAUDIARABIA"/>
        <xdr:cNvSpPr>
          <a:spLocks noChangeAspect="1" noChangeArrowheads="1"/>
        </xdr:cNvSpPr>
      </xdr:nvSpPr>
      <xdr:spPr bwMode="auto">
        <a:xfrm>
          <a:off x="0" y="25306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123</xdr:row>
      <xdr:rowOff>0</xdr:rowOff>
    </xdr:from>
    <xdr:to>
      <xdr:col>22</xdr:col>
      <xdr:colOff>304800</xdr:colOff>
      <xdr:row>124</xdr:row>
      <xdr:rowOff>129540</xdr:rowOff>
    </xdr:to>
    <xdr:sp macro="" textlink="">
      <xdr:nvSpPr>
        <xdr:cNvPr id="2228" name="AutoShape 244" descr="https://www.soccerstats.com/img/own/sshplogo.png">
          <a:hlinkClick xmlns:r="http://schemas.openxmlformats.org/officeDocument/2006/relationships" r:id="rId638"/>
        </xdr:cNvPr>
        <xdr:cNvSpPr>
          <a:spLocks noChangeAspect="1" noChangeArrowheads="1"/>
        </xdr:cNvSpPr>
      </xdr:nvSpPr>
      <xdr:spPr bwMode="auto">
        <a:xfrm>
          <a:off x="13411200" y="25306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152400</xdr:colOff>
      <xdr:row>124</xdr:row>
      <xdr:rowOff>106680</xdr:rowOff>
    </xdr:to>
    <xdr:sp macro="" textlink="">
      <xdr:nvSpPr>
        <xdr:cNvPr id="2229" name="AutoShape 245" descr="SAUDIARABIA"/>
        <xdr:cNvSpPr>
          <a:spLocks noChangeAspect="1" noChangeArrowheads="1"/>
        </xdr:cNvSpPr>
      </xdr:nvSpPr>
      <xdr:spPr bwMode="auto">
        <a:xfrm>
          <a:off x="0" y="2548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124</xdr:row>
      <xdr:rowOff>0</xdr:rowOff>
    </xdr:from>
    <xdr:to>
      <xdr:col>22</xdr:col>
      <xdr:colOff>304800</xdr:colOff>
      <xdr:row>125</xdr:row>
      <xdr:rowOff>53340</xdr:rowOff>
    </xdr:to>
    <xdr:sp macro="" textlink="">
      <xdr:nvSpPr>
        <xdr:cNvPr id="2230" name="AutoShape 246" descr="https://www.soccerstats.com/img/own/sshplogo.png">
          <a:hlinkClick xmlns:r="http://schemas.openxmlformats.org/officeDocument/2006/relationships" r:id="rId639"/>
        </xdr:cNvPr>
        <xdr:cNvSpPr>
          <a:spLocks noChangeAspect="1" noChangeArrowheads="1"/>
        </xdr:cNvSpPr>
      </xdr:nvSpPr>
      <xdr:spPr bwMode="auto">
        <a:xfrm>
          <a:off x="13411200" y="2548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152400</xdr:colOff>
      <xdr:row>125</xdr:row>
      <xdr:rowOff>106680</xdr:rowOff>
    </xdr:to>
    <xdr:sp macro="" textlink="">
      <xdr:nvSpPr>
        <xdr:cNvPr id="2231" name="AutoShape 247" descr="SOUTHAFRICA"/>
        <xdr:cNvSpPr>
          <a:spLocks noChangeAspect="1" noChangeArrowheads="1"/>
        </xdr:cNvSpPr>
      </xdr:nvSpPr>
      <xdr:spPr bwMode="auto">
        <a:xfrm>
          <a:off x="0" y="25656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125</xdr:row>
      <xdr:rowOff>0</xdr:rowOff>
    </xdr:from>
    <xdr:to>
      <xdr:col>22</xdr:col>
      <xdr:colOff>304800</xdr:colOff>
      <xdr:row>126</xdr:row>
      <xdr:rowOff>129540</xdr:rowOff>
    </xdr:to>
    <xdr:sp macro="" textlink="">
      <xdr:nvSpPr>
        <xdr:cNvPr id="2232" name="AutoShape 248" descr="https://www.soccerstats.com/img/own/sshplogo.png">
          <a:hlinkClick xmlns:r="http://schemas.openxmlformats.org/officeDocument/2006/relationships" r:id="rId640"/>
        </xdr:cNvPr>
        <xdr:cNvSpPr>
          <a:spLocks noChangeAspect="1" noChangeArrowheads="1"/>
        </xdr:cNvSpPr>
      </xdr:nvSpPr>
      <xdr:spPr bwMode="auto">
        <a:xfrm>
          <a:off x="13411200" y="25656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152400</xdr:colOff>
      <xdr:row>126</xdr:row>
      <xdr:rowOff>106680</xdr:rowOff>
    </xdr:to>
    <xdr:sp macro="" textlink="">
      <xdr:nvSpPr>
        <xdr:cNvPr id="2233" name="AutoShape 249" descr="SOUTHKOREA4"/>
        <xdr:cNvSpPr>
          <a:spLocks noChangeAspect="1" noChangeArrowheads="1"/>
        </xdr:cNvSpPr>
      </xdr:nvSpPr>
      <xdr:spPr bwMode="auto">
        <a:xfrm>
          <a:off x="0" y="25831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126</xdr:row>
      <xdr:rowOff>0</xdr:rowOff>
    </xdr:from>
    <xdr:to>
      <xdr:col>22</xdr:col>
      <xdr:colOff>304800</xdr:colOff>
      <xdr:row>127</xdr:row>
      <xdr:rowOff>129540</xdr:rowOff>
    </xdr:to>
    <xdr:sp macro="" textlink="">
      <xdr:nvSpPr>
        <xdr:cNvPr id="2234" name="AutoShape 250" descr="https://www.soccerstats.com/img/own/sshplogo.png">
          <a:hlinkClick xmlns:r="http://schemas.openxmlformats.org/officeDocument/2006/relationships" r:id="rId641"/>
        </xdr:cNvPr>
        <xdr:cNvSpPr>
          <a:spLocks noChangeAspect="1" noChangeArrowheads="1"/>
        </xdr:cNvSpPr>
      </xdr:nvSpPr>
      <xdr:spPr bwMode="auto">
        <a:xfrm>
          <a:off x="13411200" y="2583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152400</xdr:colOff>
      <xdr:row>127</xdr:row>
      <xdr:rowOff>106680</xdr:rowOff>
    </xdr:to>
    <xdr:sp macro="" textlink="">
      <xdr:nvSpPr>
        <xdr:cNvPr id="2235" name="AutoShape 251" descr="SOUTHKOREA4"/>
        <xdr:cNvSpPr>
          <a:spLocks noChangeAspect="1" noChangeArrowheads="1"/>
        </xdr:cNvSpPr>
      </xdr:nvSpPr>
      <xdr:spPr bwMode="auto">
        <a:xfrm>
          <a:off x="0" y="26007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127</xdr:row>
      <xdr:rowOff>0</xdr:rowOff>
    </xdr:from>
    <xdr:to>
      <xdr:col>22</xdr:col>
      <xdr:colOff>304800</xdr:colOff>
      <xdr:row>128</xdr:row>
      <xdr:rowOff>129540</xdr:rowOff>
    </xdr:to>
    <xdr:sp macro="" textlink="">
      <xdr:nvSpPr>
        <xdr:cNvPr id="2236" name="AutoShape 252" descr="https://www.soccerstats.com/img/own/sshplogo.png">
          <a:hlinkClick xmlns:r="http://schemas.openxmlformats.org/officeDocument/2006/relationships" r:id="rId642"/>
        </xdr:cNvPr>
        <xdr:cNvSpPr>
          <a:spLocks noChangeAspect="1" noChangeArrowheads="1"/>
        </xdr:cNvSpPr>
      </xdr:nvSpPr>
      <xdr:spPr bwMode="auto">
        <a:xfrm>
          <a:off x="13411200" y="26007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152400</xdr:colOff>
      <xdr:row>128</xdr:row>
      <xdr:rowOff>106680</xdr:rowOff>
    </xdr:to>
    <xdr:sp macro="" textlink="">
      <xdr:nvSpPr>
        <xdr:cNvPr id="2237" name="AutoShape 253" descr="SWEDEN"/>
        <xdr:cNvSpPr>
          <a:spLocks noChangeAspect="1" noChangeArrowheads="1"/>
        </xdr:cNvSpPr>
      </xdr:nvSpPr>
      <xdr:spPr bwMode="auto">
        <a:xfrm>
          <a:off x="0" y="26258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128</xdr:row>
      <xdr:rowOff>0</xdr:rowOff>
    </xdr:from>
    <xdr:to>
      <xdr:col>22</xdr:col>
      <xdr:colOff>304800</xdr:colOff>
      <xdr:row>129</xdr:row>
      <xdr:rowOff>53340</xdr:rowOff>
    </xdr:to>
    <xdr:sp macro="" textlink="">
      <xdr:nvSpPr>
        <xdr:cNvPr id="2238" name="AutoShape 254" descr="https://www.soccerstats.com/img/own/sshplogo.png">
          <a:hlinkClick xmlns:r="http://schemas.openxmlformats.org/officeDocument/2006/relationships" r:id="rId643"/>
        </xdr:cNvPr>
        <xdr:cNvSpPr>
          <a:spLocks noChangeAspect="1" noChangeArrowheads="1"/>
        </xdr:cNvSpPr>
      </xdr:nvSpPr>
      <xdr:spPr bwMode="auto">
        <a:xfrm>
          <a:off x="13411200" y="26258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152400</xdr:colOff>
      <xdr:row>129</xdr:row>
      <xdr:rowOff>106680</xdr:rowOff>
    </xdr:to>
    <xdr:sp macro="" textlink="">
      <xdr:nvSpPr>
        <xdr:cNvPr id="2239" name="AutoShape 255" descr="SWEDEN2"/>
        <xdr:cNvSpPr>
          <a:spLocks noChangeAspect="1" noChangeArrowheads="1"/>
        </xdr:cNvSpPr>
      </xdr:nvSpPr>
      <xdr:spPr bwMode="auto">
        <a:xfrm>
          <a:off x="0" y="26433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129</xdr:row>
      <xdr:rowOff>0</xdr:rowOff>
    </xdr:from>
    <xdr:to>
      <xdr:col>22</xdr:col>
      <xdr:colOff>304800</xdr:colOff>
      <xdr:row>130</xdr:row>
      <xdr:rowOff>53340</xdr:rowOff>
    </xdr:to>
    <xdr:sp macro="" textlink="">
      <xdr:nvSpPr>
        <xdr:cNvPr id="2240" name="AutoShape 256" descr="https://www.soccerstats.com/img/own/sshplogo.png">
          <a:hlinkClick xmlns:r="http://schemas.openxmlformats.org/officeDocument/2006/relationships" r:id="rId644"/>
        </xdr:cNvPr>
        <xdr:cNvSpPr>
          <a:spLocks noChangeAspect="1" noChangeArrowheads="1"/>
        </xdr:cNvSpPr>
      </xdr:nvSpPr>
      <xdr:spPr bwMode="auto">
        <a:xfrm>
          <a:off x="13411200" y="26433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152400</xdr:colOff>
      <xdr:row>130</xdr:row>
      <xdr:rowOff>106680</xdr:rowOff>
    </xdr:to>
    <xdr:sp macro="" textlink="">
      <xdr:nvSpPr>
        <xdr:cNvPr id="2241" name="AutoShape 257" descr="SWEDEN2"/>
        <xdr:cNvSpPr>
          <a:spLocks noChangeAspect="1" noChangeArrowheads="1"/>
        </xdr:cNvSpPr>
      </xdr:nvSpPr>
      <xdr:spPr bwMode="auto">
        <a:xfrm>
          <a:off x="0" y="26609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130</xdr:row>
      <xdr:rowOff>0</xdr:rowOff>
    </xdr:from>
    <xdr:to>
      <xdr:col>22</xdr:col>
      <xdr:colOff>304800</xdr:colOff>
      <xdr:row>131</xdr:row>
      <xdr:rowOff>129540</xdr:rowOff>
    </xdr:to>
    <xdr:sp macro="" textlink="">
      <xdr:nvSpPr>
        <xdr:cNvPr id="2242" name="AutoShape 258" descr="https://www.soccerstats.com/img/own/sshplogo.png">
          <a:hlinkClick xmlns:r="http://schemas.openxmlformats.org/officeDocument/2006/relationships" r:id="rId645"/>
        </xdr:cNvPr>
        <xdr:cNvSpPr>
          <a:spLocks noChangeAspect="1" noChangeArrowheads="1"/>
        </xdr:cNvSpPr>
      </xdr:nvSpPr>
      <xdr:spPr bwMode="auto">
        <a:xfrm>
          <a:off x="13411200" y="26609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152400</xdr:colOff>
      <xdr:row>131</xdr:row>
      <xdr:rowOff>106680</xdr:rowOff>
    </xdr:to>
    <xdr:sp macro="" textlink="">
      <xdr:nvSpPr>
        <xdr:cNvPr id="2243" name="AutoShape 259" descr="SWEDEN3"/>
        <xdr:cNvSpPr>
          <a:spLocks noChangeAspect="1" noChangeArrowheads="1"/>
        </xdr:cNvSpPr>
      </xdr:nvSpPr>
      <xdr:spPr bwMode="auto">
        <a:xfrm>
          <a:off x="0" y="26784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131</xdr:row>
      <xdr:rowOff>0</xdr:rowOff>
    </xdr:from>
    <xdr:to>
      <xdr:col>22</xdr:col>
      <xdr:colOff>304800</xdr:colOff>
      <xdr:row>132</xdr:row>
      <xdr:rowOff>129540</xdr:rowOff>
    </xdr:to>
    <xdr:sp macro="" textlink="">
      <xdr:nvSpPr>
        <xdr:cNvPr id="2244" name="AutoShape 260" descr="https://www.soccerstats.com/img/own/sshplogo.png">
          <a:hlinkClick xmlns:r="http://schemas.openxmlformats.org/officeDocument/2006/relationships" r:id="rId646"/>
        </xdr:cNvPr>
        <xdr:cNvSpPr>
          <a:spLocks noChangeAspect="1" noChangeArrowheads="1"/>
        </xdr:cNvSpPr>
      </xdr:nvSpPr>
      <xdr:spPr bwMode="auto">
        <a:xfrm>
          <a:off x="13411200" y="2678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152400</xdr:colOff>
      <xdr:row>132</xdr:row>
      <xdr:rowOff>106680</xdr:rowOff>
    </xdr:to>
    <xdr:sp macro="" textlink="">
      <xdr:nvSpPr>
        <xdr:cNvPr id="2245" name="AutoShape 261" descr="SWEDEN4"/>
        <xdr:cNvSpPr>
          <a:spLocks noChangeAspect="1" noChangeArrowheads="1"/>
        </xdr:cNvSpPr>
      </xdr:nvSpPr>
      <xdr:spPr bwMode="auto">
        <a:xfrm>
          <a:off x="0" y="27035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132</xdr:row>
      <xdr:rowOff>0</xdr:rowOff>
    </xdr:from>
    <xdr:to>
      <xdr:col>22</xdr:col>
      <xdr:colOff>304800</xdr:colOff>
      <xdr:row>133</xdr:row>
      <xdr:rowOff>129540</xdr:rowOff>
    </xdr:to>
    <xdr:sp macro="" textlink="">
      <xdr:nvSpPr>
        <xdr:cNvPr id="2246" name="AutoShape 262" descr="https://www.soccerstats.com/img/own/sshplogo.png">
          <a:hlinkClick xmlns:r="http://schemas.openxmlformats.org/officeDocument/2006/relationships" r:id="rId647"/>
        </xdr:cNvPr>
        <xdr:cNvSpPr>
          <a:spLocks noChangeAspect="1" noChangeArrowheads="1"/>
        </xdr:cNvSpPr>
      </xdr:nvSpPr>
      <xdr:spPr bwMode="auto">
        <a:xfrm>
          <a:off x="13411200" y="27035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152400</xdr:colOff>
      <xdr:row>133</xdr:row>
      <xdr:rowOff>106680</xdr:rowOff>
    </xdr:to>
    <xdr:sp macro="" textlink="">
      <xdr:nvSpPr>
        <xdr:cNvPr id="2247" name="AutoShape 263" descr="SWEDEN11"/>
        <xdr:cNvSpPr>
          <a:spLocks noChangeAspect="1" noChangeArrowheads="1"/>
        </xdr:cNvSpPr>
      </xdr:nvSpPr>
      <xdr:spPr bwMode="auto">
        <a:xfrm>
          <a:off x="0" y="27287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133</xdr:row>
      <xdr:rowOff>0</xdr:rowOff>
    </xdr:from>
    <xdr:to>
      <xdr:col>22</xdr:col>
      <xdr:colOff>304800</xdr:colOff>
      <xdr:row>134</xdr:row>
      <xdr:rowOff>129540</xdr:rowOff>
    </xdr:to>
    <xdr:sp macro="" textlink="">
      <xdr:nvSpPr>
        <xdr:cNvPr id="2248" name="AutoShape 264" descr="https://www.soccerstats.com/img/own/sshplogo.png">
          <a:hlinkClick xmlns:r="http://schemas.openxmlformats.org/officeDocument/2006/relationships" r:id="rId648"/>
        </xdr:cNvPr>
        <xdr:cNvSpPr>
          <a:spLocks noChangeAspect="1" noChangeArrowheads="1"/>
        </xdr:cNvSpPr>
      </xdr:nvSpPr>
      <xdr:spPr bwMode="auto">
        <a:xfrm>
          <a:off x="13411200" y="27287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152400</xdr:colOff>
      <xdr:row>134</xdr:row>
      <xdr:rowOff>106680</xdr:rowOff>
    </xdr:to>
    <xdr:sp macro="" textlink="">
      <xdr:nvSpPr>
        <xdr:cNvPr id="2249" name="AutoShape 265" descr="TURKEY"/>
        <xdr:cNvSpPr>
          <a:spLocks noChangeAspect="1" noChangeArrowheads="1"/>
        </xdr:cNvSpPr>
      </xdr:nvSpPr>
      <xdr:spPr bwMode="auto">
        <a:xfrm>
          <a:off x="0" y="27462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134</xdr:row>
      <xdr:rowOff>0</xdr:rowOff>
    </xdr:from>
    <xdr:to>
      <xdr:col>22</xdr:col>
      <xdr:colOff>304800</xdr:colOff>
      <xdr:row>135</xdr:row>
      <xdr:rowOff>129540</xdr:rowOff>
    </xdr:to>
    <xdr:sp macro="" textlink="">
      <xdr:nvSpPr>
        <xdr:cNvPr id="2250" name="AutoShape 266" descr="https://www.soccerstats.com/img/own/sshplogo.png">
          <a:hlinkClick xmlns:r="http://schemas.openxmlformats.org/officeDocument/2006/relationships" r:id="rId649"/>
        </xdr:cNvPr>
        <xdr:cNvSpPr>
          <a:spLocks noChangeAspect="1" noChangeArrowheads="1"/>
        </xdr:cNvSpPr>
      </xdr:nvSpPr>
      <xdr:spPr bwMode="auto">
        <a:xfrm>
          <a:off x="13411200" y="27462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152400</xdr:colOff>
      <xdr:row>135</xdr:row>
      <xdr:rowOff>106680</xdr:rowOff>
    </xdr:to>
    <xdr:sp macro="" textlink="">
      <xdr:nvSpPr>
        <xdr:cNvPr id="2251" name="AutoShape 267" descr="TURKEY2"/>
        <xdr:cNvSpPr>
          <a:spLocks noChangeAspect="1" noChangeArrowheads="1"/>
        </xdr:cNvSpPr>
      </xdr:nvSpPr>
      <xdr:spPr bwMode="auto">
        <a:xfrm>
          <a:off x="0" y="27637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135</xdr:row>
      <xdr:rowOff>0</xdr:rowOff>
    </xdr:from>
    <xdr:to>
      <xdr:col>22</xdr:col>
      <xdr:colOff>304800</xdr:colOff>
      <xdr:row>136</xdr:row>
      <xdr:rowOff>129540</xdr:rowOff>
    </xdr:to>
    <xdr:sp macro="" textlink="">
      <xdr:nvSpPr>
        <xdr:cNvPr id="2252" name="AutoShape 268" descr="https://www.soccerstats.com/img/own/sshplogo.png">
          <a:hlinkClick xmlns:r="http://schemas.openxmlformats.org/officeDocument/2006/relationships" r:id="rId650"/>
        </xdr:cNvPr>
        <xdr:cNvSpPr>
          <a:spLocks noChangeAspect="1" noChangeArrowheads="1"/>
        </xdr:cNvSpPr>
      </xdr:nvSpPr>
      <xdr:spPr bwMode="auto">
        <a:xfrm>
          <a:off x="13411200" y="27637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152400</xdr:colOff>
      <xdr:row>136</xdr:row>
      <xdr:rowOff>106680</xdr:rowOff>
    </xdr:to>
    <xdr:sp macro="" textlink="">
      <xdr:nvSpPr>
        <xdr:cNvPr id="2253" name="AutoShape 269" descr="UKRAINE"/>
        <xdr:cNvSpPr>
          <a:spLocks noChangeAspect="1" noChangeArrowheads="1"/>
        </xdr:cNvSpPr>
      </xdr:nvSpPr>
      <xdr:spPr bwMode="auto">
        <a:xfrm>
          <a:off x="0" y="27813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136</xdr:row>
      <xdr:rowOff>0</xdr:rowOff>
    </xdr:from>
    <xdr:to>
      <xdr:col>22</xdr:col>
      <xdr:colOff>304800</xdr:colOff>
      <xdr:row>137</xdr:row>
      <xdr:rowOff>53340</xdr:rowOff>
    </xdr:to>
    <xdr:sp macro="" textlink="">
      <xdr:nvSpPr>
        <xdr:cNvPr id="2254" name="AutoShape 270" descr="https://www.soccerstats.com/img/own/sshplogo.png">
          <a:hlinkClick xmlns:r="http://schemas.openxmlformats.org/officeDocument/2006/relationships" r:id="rId651"/>
        </xdr:cNvPr>
        <xdr:cNvSpPr>
          <a:spLocks noChangeAspect="1" noChangeArrowheads="1"/>
        </xdr:cNvSpPr>
      </xdr:nvSpPr>
      <xdr:spPr bwMode="auto">
        <a:xfrm>
          <a:off x="13411200" y="2781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152400</xdr:colOff>
      <xdr:row>137</xdr:row>
      <xdr:rowOff>106680</xdr:rowOff>
    </xdr:to>
    <xdr:sp macro="" textlink="">
      <xdr:nvSpPr>
        <xdr:cNvPr id="2255" name="AutoShape 271" descr="URUGUAY3"/>
        <xdr:cNvSpPr>
          <a:spLocks noChangeAspect="1" noChangeArrowheads="1"/>
        </xdr:cNvSpPr>
      </xdr:nvSpPr>
      <xdr:spPr bwMode="auto">
        <a:xfrm>
          <a:off x="0" y="27988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137</xdr:row>
      <xdr:rowOff>0</xdr:rowOff>
    </xdr:from>
    <xdr:to>
      <xdr:col>22</xdr:col>
      <xdr:colOff>304800</xdr:colOff>
      <xdr:row>138</xdr:row>
      <xdr:rowOff>53340</xdr:rowOff>
    </xdr:to>
    <xdr:sp macro="" textlink="">
      <xdr:nvSpPr>
        <xdr:cNvPr id="2256" name="AutoShape 272" descr="https://www.soccerstats.com/img/own/sshplogo.png">
          <a:hlinkClick xmlns:r="http://schemas.openxmlformats.org/officeDocument/2006/relationships" r:id="rId652"/>
        </xdr:cNvPr>
        <xdr:cNvSpPr>
          <a:spLocks noChangeAspect="1" noChangeArrowheads="1"/>
        </xdr:cNvSpPr>
      </xdr:nvSpPr>
      <xdr:spPr bwMode="auto">
        <a:xfrm>
          <a:off x="13411200" y="27988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152400</xdr:colOff>
      <xdr:row>138</xdr:row>
      <xdr:rowOff>106680</xdr:rowOff>
    </xdr:to>
    <xdr:sp macro="" textlink="">
      <xdr:nvSpPr>
        <xdr:cNvPr id="2257" name="AutoShape 273" descr="WALES"/>
        <xdr:cNvSpPr>
          <a:spLocks noChangeAspect="1" noChangeArrowheads="1"/>
        </xdr:cNvSpPr>
      </xdr:nvSpPr>
      <xdr:spPr bwMode="auto">
        <a:xfrm>
          <a:off x="0" y="28163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138</xdr:row>
      <xdr:rowOff>0</xdr:rowOff>
    </xdr:from>
    <xdr:to>
      <xdr:col>22</xdr:col>
      <xdr:colOff>304800</xdr:colOff>
      <xdr:row>139</xdr:row>
      <xdr:rowOff>53340</xdr:rowOff>
    </xdr:to>
    <xdr:sp macro="" textlink="">
      <xdr:nvSpPr>
        <xdr:cNvPr id="2258" name="AutoShape 274" descr="https://www.soccerstats.com/img/own/sshplogo.png">
          <a:hlinkClick xmlns:r="http://schemas.openxmlformats.org/officeDocument/2006/relationships" r:id="rId653"/>
        </xdr:cNvPr>
        <xdr:cNvSpPr>
          <a:spLocks noChangeAspect="1" noChangeArrowheads="1"/>
        </xdr:cNvSpPr>
      </xdr:nvSpPr>
      <xdr:spPr bwMode="auto">
        <a:xfrm>
          <a:off x="13411200" y="28163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152400</xdr:colOff>
      <xdr:row>139</xdr:row>
      <xdr:rowOff>106680</xdr:rowOff>
    </xdr:to>
    <xdr:sp macro="" textlink="">
      <xdr:nvSpPr>
        <xdr:cNvPr id="2259" name="AutoShape 275" descr="WALES"/>
        <xdr:cNvSpPr>
          <a:spLocks noChangeAspect="1" noChangeArrowheads="1"/>
        </xdr:cNvSpPr>
      </xdr:nvSpPr>
      <xdr:spPr bwMode="auto">
        <a:xfrm>
          <a:off x="0" y="28338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139</xdr:row>
      <xdr:rowOff>0</xdr:rowOff>
    </xdr:from>
    <xdr:to>
      <xdr:col>22</xdr:col>
      <xdr:colOff>304800</xdr:colOff>
      <xdr:row>140</xdr:row>
      <xdr:rowOff>129540</xdr:rowOff>
    </xdr:to>
    <xdr:sp macro="" textlink="">
      <xdr:nvSpPr>
        <xdr:cNvPr id="2260" name="AutoShape 276" descr="https://www.soccerstats.com/img/own/sshplogo.png">
          <a:hlinkClick xmlns:r="http://schemas.openxmlformats.org/officeDocument/2006/relationships" r:id="rId654"/>
        </xdr:cNvPr>
        <xdr:cNvSpPr>
          <a:spLocks noChangeAspect="1" noChangeArrowheads="1"/>
        </xdr:cNvSpPr>
      </xdr:nvSpPr>
      <xdr:spPr bwMode="auto">
        <a:xfrm>
          <a:off x="13411200" y="28338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152400</xdr:colOff>
      <xdr:row>140</xdr:row>
      <xdr:rowOff>106680</xdr:rowOff>
    </xdr:to>
    <xdr:sp macro="" textlink="">
      <xdr:nvSpPr>
        <xdr:cNvPr id="2261" name="AutoShape 277" descr="WALES"/>
        <xdr:cNvSpPr>
          <a:spLocks noChangeAspect="1" noChangeArrowheads="1"/>
        </xdr:cNvSpPr>
      </xdr:nvSpPr>
      <xdr:spPr bwMode="auto">
        <a:xfrm>
          <a:off x="0" y="28590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140</xdr:row>
      <xdr:rowOff>0</xdr:rowOff>
    </xdr:from>
    <xdr:to>
      <xdr:col>22</xdr:col>
      <xdr:colOff>304800</xdr:colOff>
      <xdr:row>141</xdr:row>
      <xdr:rowOff>53340</xdr:rowOff>
    </xdr:to>
    <xdr:sp macro="" textlink="">
      <xdr:nvSpPr>
        <xdr:cNvPr id="2262" name="AutoShape 278" descr="https://www.soccerstats.com/img/own/sshplogo.png">
          <a:hlinkClick xmlns:r="http://schemas.openxmlformats.org/officeDocument/2006/relationships" r:id="rId655"/>
        </xdr:cNvPr>
        <xdr:cNvSpPr>
          <a:spLocks noChangeAspect="1" noChangeArrowheads="1"/>
        </xdr:cNvSpPr>
      </xdr:nvSpPr>
      <xdr:spPr bwMode="auto">
        <a:xfrm>
          <a:off x="13411200" y="28590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263" name="AutoShape 279" descr="WALES"/>
        <xdr:cNvSpPr>
          <a:spLocks noChangeAspect="1" noChangeArrowheads="1"/>
        </xdr:cNvSpPr>
      </xdr:nvSpPr>
      <xdr:spPr bwMode="auto">
        <a:xfrm>
          <a:off x="0" y="28841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264" name="AutoShape 280" descr="https://www.soccerstats.com/img/own/sshplogo.png">
          <a:hlinkClick xmlns:r="http://schemas.openxmlformats.org/officeDocument/2006/relationships" r:id="rId656"/>
        </xdr:cNvPr>
        <xdr:cNvSpPr>
          <a:spLocks noChangeAspect="1" noChangeArrowheads="1"/>
        </xdr:cNvSpPr>
      </xdr:nvSpPr>
      <xdr:spPr bwMode="auto">
        <a:xfrm>
          <a:off x="13411200" y="2884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265" name="AutoShape 281" descr="WALES"/>
        <xdr:cNvSpPr>
          <a:spLocks noChangeAspect="1" noChangeArrowheads="1"/>
        </xdr:cNvSpPr>
      </xdr:nvSpPr>
      <xdr:spPr bwMode="auto">
        <a:xfrm>
          <a:off x="0" y="29093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266" name="AutoShape 282" descr="https://www.soccerstats.com/img/own/sshplogo.png">
          <a:hlinkClick xmlns:r="http://schemas.openxmlformats.org/officeDocument/2006/relationships" r:id="rId657"/>
        </xdr:cNvPr>
        <xdr:cNvSpPr>
          <a:spLocks noChangeAspect="1" noChangeArrowheads="1"/>
        </xdr:cNvSpPr>
      </xdr:nvSpPr>
      <xdr:spPr bwMode="auto">
        <a:xfrm>
          <a:off x="13411200" y="29093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267" name="AutoShape 283" descr="WALES"/>
        <xdr:cNvSpPr>
          <a:spLocks noChangeAspect="1" noChangeArrowheads="1"/>
        </xdr:cNvSpPr>
      </xdr:nvSpPr>
      <xdr:spPr bwMode="auto">
        <a:xfrm>
          <a:off x="0" y="29268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268" name="AutoShape 284" descr="https://www.soccerstats.com/img/own/sshplogo.png">
          <a:hlinkClick xmlns:r="http://schemas.openxmlformats.org/officeDocument/2006/relationships" r:id="rId658"/>
        </xdr:cNvPr>
        <xdr:cNvSpPr>
          <a:spLocks noChangeAspect="1" noChangeArrowheads="1"/>
        </xdr:cNvSpPr>
      </xdr:nvSpPr>
      <xdr:spPr bwMode="auto">
        <a:xfrm>
          <a:off x="13411200" y="29268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2269" name="AutoShape 1" descr="SPAIN"/>
        <xdr:cNvSpPr>
          <a:spLocks noChangeAspect="1" noChangeArrowheads="1"/>
        </xdr:cNvSpPr>
      </xdr:nvSpPr>
      <xdr:spPr bwMode="auto">
        <a:xfrm>
          <a:off x="0" y="17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2270" name="AutoShape 2" descr="https://www.soccerstats.com/img/own/sshplogo.png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13411200" y="17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152400</xdr:colOff>
      <xdr:row>2</xdr:row>
      <xdr:rowOff>106680</xdr:rowOff>
    </xdr:to>
    <xdr:sp macro="" textlink="">
      <xdr:nvSpPr>
        <xdr:cNvPr id="2271" name="AutoShape 3" descr="SPAIN"/>
        <xdr:cNvSpPr>
          <a:spLocks noChangeAspect="1" noChangeArrowheads="1"/>
        </xdr:cNvSpPr>
      </xdr:nvSpPr>
      <xdr:spPr bwMode="auto">
        <a:xfrm>
          <a:off x="0" y="350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</xdr:row>
      <xdr:rowOff>0</xdr:rowOff>
    </xdr:from>
    <xdr:to>
      <xdr:col>22</xdr:col>
      <xdr:colOff>304800</xdr:colOff>
      <xdr:row>3</xdr:row>
      <xdr:rowOff>129540</xdr:rowOff>
    </xdr:to>
    <xdr:sp macro="" textlink="">
      <xdr:nvSpPr>
        <xdr:cNvPr id="2272" name="AutoShape 4" descr="https://www.soccerstats.com/img/own/sshplogo.png">
          <a:hlinkClick xmlns:r="http://schemas.openxmlformats.org/officeDocument/2006/relationships" r:id="rId2"/>
        </xdr:cNvPr>
        <xdr:cNvSpPr>
          <a:spLocks noChangeAspect="1" noChangeArrowheads="1"/>
        </xdr:cNvSpPr>
      </xdr:nvSpPr>
      <xdr:spPr bwMode="auto">
        <a:xfrm>
          <a:off x="13411200" y="350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152400</xdr:colOff>
      <xdr:row>3</xdr:row>
      <xdr:rowOff>106680</xdr:rowOff>
    </xdr:to>
    <xdr:sp macro="" textlink="">
      <xdr:nvSpPr>
        <xdr:cNvPr id="2273" name="AutoShape 5" descr="NETHERLANDS"/>
        <xdr:cNvSpPr>
          <a:spLocks noChangeAspect="1" noChangeArrowheads="1"/>
        </xdr:cNvSpPr>
      </xdr:nvSpPr>
      <xdr:spPr bwMode="auto">
        <a:xfrm>
          <a:off x="0" y="601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</xdr:row>
      <xdr:rowOff>0</xdr:rowOff>
    </xdr:from>
    <xdr:to>
      <xdr:col>22</xdr:col>
      <xdr:colOff>304800</xdr:colOff>
      <xdr:row>4</xdr:row>
      <xdr:rowOff>53340</xdr:rowOff>
    </xdr:to>
    <xdr:sp macro="" textlink="">
      <xdr:nvSpPr>
        <xdr:cNvPr id="2274" name="AutoShape 6" descr="https://www.soccerstats.com/img/own/sshplogo.png">
          <a:hlinkClick xmlns:r="http://schemas.openxmlformats.org/officeDocument/2006/relationships" r:id="rId3"/>
        </xdr:cNvPr>
        <xdr:cNvSpPr>
          <a:spLocks noChangeAspect="1" noChangeArrowheads="1"/>
        </xdr:cNvSpPr>
      </xdr:nvSpPr>
      <xdr:spPr bwMode="auto">
        <a:xfrm>
          <a:off x="13411200" y="601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152400</xdr:colOff>
      <xdr:row>4</xdr:row>
      <xdr:rowOff>106680</xdr:rowOff>
    </xdr:to>
    <xdr:sp macro="" textlink="">
      <xdr:nvSpPr>
        <xdr:cNvPr id="2275" name="AutoShape 7" descr="NETHERLANDS"/>
        <xdr:cNvSpPr>
          <a:spLocks noChangeAspect="1" noChangeArrowheads="1"/>
        </xdr:cNvSpPr>
      </xdr:nvSpPr>
      <xdr:spPr bwMode="auto">
        <a:xfrm>
          <a:off x="0" y="853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</xdr:row>
      <xdr:rowOff>0</xdr:rowOff>
    </xdr:from>
    <xdr:to>
      <xdr:col>22</xdr:col>
      <xdr:colOff>304800</xdr:colOff>
      <xdr:row>5</xdr:row>
      <xdr:rowOff>53340</xdr:rowOff>
    </xdr:to>
    <xdr:sp macro="" textlink="">
      <xdr:nvSpPr>
        <xdr:cNvPr id="2276" name="AutoShape 8" descr="https://www.soccerstats.com/img/own/sshplogo.png">
          <a:hlinkClick xmlns:r="http://schemas.openxmlformats.org/officeDocument/2006/relationships" r:id="rId4"/>
        </xdr:cNvPr>
        <xdr:cNvSpPr>
          <a:spLocks noChangeAspect="1" noChangeArrowheads="1"/>
        </xdr:cNvSpPr>
      </xdr:nvSpPr>
      <xdr:spPr bwMode="auto">
        <a:xfrm>
          <a:off x="13411200" y="853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152400</xdr:colOff>
      <xdr:row>5</xdr:row>
      <xdr:rowOff>106680</xdr:rowOff>
    </xdr:to>
    <xdr:sp macro="" textlink="">
      <xdr:nvSpPr>
        <xdr:cNvPr id="2277" name="AutoShape 9" descr="NETHERLANDS"/>
        <xdr:cNvSpPr>
          <a:spLocks noChangeAspect="1" noChangeArrowheads="1"/>
        </xdr:cNvSpPr>
      </xdr:nvSpPr>
      <xdr:spPr bwMode="auto">
        <a:xfrm>
          <a:off x="0" y="1028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304800</xdr:colOff>
      <xdr:row>6</xdr:row>
      <xdr:rowOff>53340</xdr:rowOff>
    </xdr:to>
    <xdr:sp macro="" textlink="">
      <xdr:nvSpPr>
        <xdr:cNvPr id="2278" name="AutoShape 10" descr="https://www.soccerstats.com/img/own/sshplogo.png">
          <a:hlinkClick xmlns:r="http://schemas.openxmlformats.org/officeDocument/2006/relationships" r:id="rId5"/>
        </xdr:cNvPr>
        <xdr:cNvSpPr>
          <a:spLocks noChangeAspect="1" noChangeArrowheads="1"/>
        </xdr:cNvSpPr>
      </xdr:nvSpPr>
      <xdr:spPr bwMode="auto">
        <a:xfrm>
          <a:off x="134112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152400</xdr:colOff>
      <xdr:row>6</xdr:row>
      <xdr:rowOff>106680</xdr:rowOff>
    </xdr:to>
    <xdr:sp macro="" textlink="">
      <xdr:nvSpPr>
        <xdr:cNvPr id="2279" name="AutoShape 11" descr="NETHERLANDS"/>
        <xdr:cNvSpPr>
          <a:spLocks noChangeAspect="1" noChangeArrowheads="1"/>
        </xdr:cNvSpPr>
      </xdr:nvSpPr>
      <xdr:spPr bwMode="auto">
        <a:xfrm>
          <a:off x="0" y="1280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</xdr:row>
      <xdr:rowOff>0</xdr:rowOff>
    </xdr:from>
    <xdr:to>
      <xdr:col>22</xdr:col>
      <xdr:colOff>304800</xdr:colOff>
      <xdr:row>7</xdr:row>
      <xdr:rowOff>129540</xdr:rowOff>
    </xdr:to>
    <xdr:sp macro="" textlink="">
      <xdr:nvSpPr>
        <xdr:cNvPr id="2280" name="AutoShape 12" descr="https://www.soccerstats.com/img/own/sshplogo.png">
          <a:hlinkClick xmlns:r="http://schemas.openxmlformats.org/officeDocument/2006/relationships" r:id="rId6"/>
        </xdr:cNvPr>
        <xdr:cNvSpPr>
          <a:spLocks noChangeAspect="1" noChangeArrowheads="1"/>
        </xdr:cNvSpPr>
      </xdr:nvSpPr>
      <xdr:spPr bwMode="auto">
        <a:xfrm>
          <a:off x="13411200" y="1280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152400</xdr:colOff>
      <xdr:row>7</xdr:row>
      <xdr:rowOff>106680</xdr:rowOff>
    </xdr:to>
    <xdr:sp macro="" textlink="">
      <xdr:nvSpPr>
        <xdr:cNvPr id="2281" name="AutoShape 13" descr="PORTUGAL"/>
        <xdr:cNvSpPr>
          <a:spLocks noChangeAspect="1" noChangeArrowheads="1"/>
        </xdr:cNvSpPr>
      </xdr:nvSpPr>
      <xdr:spPr bwMode="auto">
        <a:xfrm>
          <a:off x="0" y="1531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</xdr:row>
      <xdr:rowOff>0</xdr:rowOff>
    </xdr:from>
    <xdr:to>
      <xdr:col>22</xdr:col>
      <xdr:colOff>304800</xdr:colOff>
      <xdr:row>8</xdr:row>
      <xdr:rowOff>129540</xdr:rowOff>
    </xdr:to>
    <xdr:sp macro="" textlink="">
      <xdr:nvSpPr>
        <xdr:cNvPr id="2282" name="AutoShape 14" descr="https://www.soccerstats.com/img/own/sshplogo.png">
          <a:hlinkClick xmlns:r="http://schemas.openxmlformats.org/officeDocument/2006/relationships" r:id="rId7"/>
        </xdr:cNvPr>
        <xdr:cNvSpPr>
          <a:spLocks noChangeAspect="1" noChangeArrowheads="1"/>
        </xdr:cNvSpPr>
      </xdr:nvSpPr>
      <xdr:spPr bwMode="auto">
        <a:xfrm>
          <a:off x="13411200" y="1531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152400</xdr:colOff>
      <xdr:row>8</xdr:row>
      <xdr:rowOff>106680</xdr:rowOff>
    </xdr:to>
    <xdr:sp macro="" textlink="">
      <xdr:nvSpPr>
        <xdr:cNvPr id="2283" name="AutoShape 15" descr="PORTUGAL"/>
        <xdr:cNvSpPr>
          <a:spLocks noChangeAspect="1" noChangeArrowheads="1"/>
        </xdr:cNvSpPr>
      </xdr:nvSpPr>
      <xdr:spPr bwMode="auto">
        <a:xfrm>
          <a:off x="0" y="1783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</xdr:row>
      <xdr:rowOff>0</xdr:rowOff>
    </xdr:from>
    <xdr:to>
      <xdr:col>22</xdr:col>
      <xdr:colOff>304800</xdr:colOff>
      <xdr:row>9</xdr:row>
      <xdr:rowOff>129540</xdr:rowOff>
    </xdr:to>
    <xdr:sp macro="" textlink="">
      <xdr:nvSpPr>
        <xdr:cNvPr id="2284" name="AutoShape 16" descr="https://www.soccerstats.com/img/own/sshplogo.png">
          <a:hlinkClick xmlns:r="http://schemas.openxmlformats.org/officeDocument/2006/relationships" r:id="rId8"/>
        </xdr:cNvPr>
        <xdr:cNvSpPr>
          <a:spLocks noChangeAspect="1" noChangeArrowheads="1"/>
        </xdr:cNvSpPr>
      </xdr:nvSpPr>
      <xdr:spPr bwMode="auto">
        <a:xfrm>
          <a:off x="13411200" y="1783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152400</xdr:colOff>
      <xdr:row>9</xdr:row>
      <xdr:rowOff>106680</xdr:rowOff>
    </xdr:to>
    <xdr:sp macro="" textlink="">
      <xdr:nvSpPr>
        <xdr:cNvPr id="2285" name="AutoShape 17" descr="PORTUGAL"/>
        <xdr:cNvSpPr>
          <a:spLocks noChangeAspect="1" noChangeArrowheads="1"/>
        </xdr:cNvSpPr>
      </xdr:nvSpPr>
      <xdr:spPr bwMode="auto">
        <a:xfrm>
          <a:off x="0" y="203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</xdr:row>
      <xdr:rowOff>0</xdr:rowOff>
    </xdr:from>
    <xdr:to>
      <xdr:col>22</xdr:col>
      <xdr:colOff>304800</xdr:colOff>
      <xdr:row>10</xdr:row>
      <xdr:rowOff>129540</xdr:rowOff>
    </xdr:to>
    <xdr:sp macro="" textlink="">
      <xdr:nvSpPr>
        <xdr:cNvPr id="2286" name="AutoShape 18" descr="https://www.soccerstats.com/img/own/sshplogo.png">
          <a:hlinkClick xmlns:r="http://schemas.openxmlformats.org/officeDocument/2006/relationships" r:id="rId9"/>
        </xdr:cNvPr>
        <xdr:cNvSpPr>
          <a:spLocks noChangeAspect="1" noChangeArrowheads="1"/>
        </xdr:cNvSpPr>
      </xdr:nvSpPr>
      <xdr:spPr bwMode="auto">
        <a:xfrm>
          <a:off x="13411200" y="203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152400</xdr:colOff>
      <xdr:row>10</xdr:row>
      <xdr:rowOff>106680</xdr:rowOff>
    </xdr:to>
    <xdr:sp macro="" textlink="">
      <xdr:nvSpPr>
        <xdr:cNvPr id="2287" name="AutoShape 19" descr="ENGLAND2"/>
        <xdr:cNvSpPr>
          <a:spLocks noChangeAspect="1" noChangeArrowheads="1"/>
        </xdr:cNvSpPr>
      </xdr:nvSpPr>
      <xdr:spPr bwMode="auto">
        <a:xfrm>
          <a:off x="0" y="2209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</xdr:row>
      <xdr:rowOff>0</xdr:rowOff>
    </xdr:from>
    <xdr:to>
      <xdr:col>22</xdr:col>
      <xdr:colOff>304800</xdr:colOff>
      <xdr:row>11</xdr:row>
      <xdr:rowOff>129540</xdr:rowOff>
    </xdr:to>
    <xdr:sp macro="" textlink="">
      <xdr:nvSpPr>
        <xdr:cNvPr id="2288" name="AutoShape 20" descr="https://www.soccerstats.com/img/own/sshplogo.png">
          <a:hlinkClick xmlns:r="http://schemas.openxmlformats.org/officeDocument/2006/relationships" r:id="rId10"/>
        </xdr:cNvPr>
        <xdr:cNvSpPr>
          <a:spLocks noChangeAspect="1" noChangeArrowheads="1"/>
        </xdr:cNvSpPr>
      </xdr:nvSpPr>
      <xdr:spPr bwMode="auto">
        <a:xfrm>
          <a:off x="13411200" y="2209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152400</xdr:colOff>
      <xdr:row>11</xdr:row>
      <xdr:rowOff>106680</xdr:rowOff>
    </xdr:to>
    <xdr:sp macro="" textlink="">
      <xdr:nvSpPr>
        <xdr:cNvPr id="2289" name="AutoShape 21" descr="ENGLAND2"/>
        <xdr:cNvSpPr>
          <a:spLocks noChangeAspect="1" noChangeArrowheads="1"/>
        </xdr:cNvSpPr>
      </xdr:nvSpPr>
      <xdr:spPr bwMode="auto">
        <a:xfrm>
          <a:off x="0" y="238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</xdr:row>
      <xdr:rowOff>0</xdr:rowOff>
    </xdr:from>
    <xdr:to>
      <xdr:col>22</xdr:col>
      <xdr:colOff>304800</xdr:colOff>
      <xdr:row>12</xdr:row>
      <xdr:rowOff>129540</xdr:rowOff>
    </xdr:to>
    <xdr:sp macro="" textlink="">
      <xdr:nvSpPr>
        <xdr:cNvPr id="2290" name="AutoShape 22" descr="https://www.soccerstats.com/img/own/sshplogo.png">
          <a:hlinkClick xmlns:r="http://schemas.openxmlformats.org/officeDocument/2006/relationships" r:id="rId11"/>
        </xdr:cNvPr>
        <xdr:cNvSpPr>
          <a:spLocks noChangeAspect="1" noChangeArrowheads="1"/>
        </xdr:cNvSpPr>
      </xdr:nvSpPr>
      <xdr:spPr bwMode="auto">
        <a:xfrm>
          <a:off x="13411200" y="238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152400</xdr:colOff>
      <xdr:row>12</xdr:row>
      <xdr:rowOff>106680</xdr:rowOff>
    </xdr:to>
    <xdr:sp macro="" textlink="">
      <xdr:nvSpPr>
        <xdr:cNvPr id="2291" name="AutoShape 23" descr="ENGLAND2"/>
        <xdr:cNvSpPr>
          <a:spLocks noChangeAspect="1" noChangeArrowheads="1"/>
        </xdr:cNvSpPr>
      </xdr:nvSpPr>
      <xdr:spPr bwMode="auto">
        <a:xfrm>
          <a:off x="0" y="2560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</xdr:row>
      <xdr:rowOff>0</xdr:rowOff>
    </xdr:from>
    <xdr:to>
      <xdr:col>22</xdr:col>
      <xdr:colOff>304800</xdr:colOff>
      <xdr:row>13</xdr:row>
      <xdr:rowOff>53340</xdr:rowOff>
    </xdr:to>
    <xdr:sp macro="" textlink="">
      <xdr:nvSpPr>
        <xdr:cNvPr id="2292" name="AutoShape 24" descr="https://www.soccerstats.com/img/own/sshplogo.png">
          <a:hlinkClick xmlns:r="http://schemas.openxmlformats.org/officeDocument/2006/relationships" r:id="rId12"/>
        </xdr:cNvPr>
        <xdr:cNvSpPr>
          <a:spLocks noChangeAspect="1" noChangeArrowheads="1"/>
        </xdr:cNvSpPr>
      </xdr:nvSpPr>
      <xdr:spPr bwMode="auto">
        <a:xfrm>
          <a:off x="13411200" y="256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152400</xdr:colOff>
      <xdr:row>13</xdr:row>
      <xdr:rowOff>106680</xdr:rowOff>
    </xdr:to>
    <xdr:sp macro="" textlink="">
      <xdr:nvSpPr>
        <xdr:cNvPr id="2293" name="AutoShape 25" descr="ENGLAND2"/>
        <xdr:cNvSpPr>
          <a:spLocks noChangeAspect="1" noChangeArrowheads="1"/>
        </xdr:cNvSpPr>
      </xdr:nvSpPr>
      <xdr:spPr bwMode="auto">
        <a:xfrm>
          <a:off x="0" y="2735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</xdr:row>
      <xdr:rowOff>0</xdr:rowOff>
    </xdr:from>
    <xdr:to>
      <xdr:col>22</xdr:col>
      <xdr:colOff>304800</xdr:colOff>
      <xdr:row>14</xdr:row>
      <xdr:rowOff>129540</xdr:rowOff>
    </xdr:to>
    <xdr:sp macro="" textlink="">
      <xdr:nvSpPr>
        <xdr:cNvPr id="2294" name="AutoShape 26" descr="https://www.soccerstats.com/img/own/sshplogo.png">
          <a:hlinkClick xmlns:r="http://schemas.openxmlformats.org/officeDocument/2006/relationships" r:id="rId13"/>
        </xdr:cNvPr>
        <xdr:cNvSpPr>
          <a:spLocks noChangeAspect="1" noChangeArrowheads="1"/>
        </xdr:cNvSpPr>
      </xdr:nvSpPr>
      <xdr:spPr bwMode="auto">
        <a:xfrm>
          <a:off x="13411200" y="2735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152400</xdr:colOff>
      <xdr:row>14</xdr:row>
      <xdr:rowOff>106680</xdr:rowOff>
    </xdr:to>
    <xdr:sp macro="" textlink="">
      <xdr:nvSpPr>
        <xdr:cNvPr id="2295" name="AutoShape 27" descr="ENGLAND2"/>
        <xdr:cNvSpPr>
          <a:spLocks noChangeAspect="1" noChangeArrowheads="1"/>
        </xdr:cNvSpPr>
      </xdr:nvSpPr>
      <xdr:spPr bwMode="auto">
        <a:xfrm>
          <a:off x="0" y="2987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</xdr:row>
      <xdr:rowOff>0</xdr:rowOff>
    </xdr:from>
    <xdr:to>
      <xdr:col>22</xdr:col>
      <xdr:colOff>304800</xdr:colOff>
      <xdr:row>15</xdr:row>
      <xdr:rowOff>53340</xdr:rowOff>
    </xdr:to>
    <xdr:sp macro="" textlink="">
      <xdr:nvSpPr>
        <xdr:cNvPr id="2296" name="AutoShape 28" descr="https://www.soccerstats.com/img/own/sshplogo.png">
          <a:hlinkClick xmlns:r="http://schemas.openxmlformats.org/officeDocument/2006/relationships" r:id="rId14"/>
        </xdr:cNvPr>
        <xdr:cNvSpPr>
          <a:spLocks noChangeAspect="1" noChangeArrowheads="1"/>
        </xdr:cNvSpPr>
      </xdr:nvSpPr>
      <xdr:spPr bwMode="auto">
        <a:xfrm>
          <a:off x="13411200" y="2987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152400</xdr:colOff>
      <xdr:row>15</xdr:row>
      <xdr:rowOff>106680</xdr:rowOff>
    </xdr:to>
    <xdr:sp macro="" textlink="">
      <xdr:nvSpPr>
        <xdr:cNvPr id="2297" name="AutoShape 29" descr="ENGLAND2"/>
        <xdr:cNvSpPr>
          <a:spLocks noChangeAspect="1" noChangeArrowheads="1"/>
        </xdr:cNvSpPr>
      </xdr:nvSpPr>
      <xdr:spPr bwMode="auto">
        <a:xfrm>
          <a:off x="0" y="3162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</xdr:row>
      <xdr:rowOff>0</xdr:rowOff>
    </xdr:from>
    <xdr:to>
      <xdr:col>22</xdr:col>
      <xdr:colOff>304800</xdr:colOff>
      <xdr:row>16</xdr:row>
      <xdr:rowOff>129540</xdr:rowOff>
    </xdr:to>
    <xdr:sp macro="" textlink="">
      <xdr:nvSpPr>
        <xdr:cNvPr id="2298" name="AutoShape 30" descr="https://www.soccerstats.com/img/own/sshplogo.png">
          <a:hlinkClick xmlns:r="http://schemas.openxmlformats.org/officeDocument/2006/relationships" r:id="rId15"/>
        </xdr:cNvPr>
        <xdr:cNvSpPr>
          <a:spLocks noChangeAspect="1" noChangeArrowheads="1"/>
        </xdr:cNvSpPr>
      </xdr:nvSpPr>
      <xdr:spPr bwMode="auto">
        <a:xfrm>
          <a:off x="13411200" y="3162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152400</xdr:colOff>
      <xdr:row>16</xdr:row>
      <xdr:rowOff>106680</xdr:rowOff>
    </xdr:to>
    <xdr:sp macro="" textlink="">
      <xdr:nvSpPr>
        <xdr:cNvPr id="2299" name="AutoShape 31" descr="ENGLAND2"/>
        <xdr:cNvSpPr>
          <a:spLocks noChangeAspect="1" noChangeArrowheads="1"/>
        </xdr:cNvSpPr>
      </xdr:nvSpPr>
      <xdr:spPr bwMode="auto">
        <a:xfrm>
          <a:off x="0" y="3337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</xdr:row>
      <xdr:rowOff>0</xdr:rowOff>
    </xdr:from>
    <xdr:to>
      <xdr:col>22</xdr:col>
      <xdr:colOff>304800</xdr:colOff>
      <xdr:row>17</xdr:row>
      <xdr:rowOff>129540</xdr:rowOff>
    </xdr:to>
    <xdr:sp macro="" textlink="">
      <xdr:nvSpPr>
        <xdr:cNvPr id="2300" name="AutoShape 32" descr="https://www.soccerstats.com/img/own/sshplogo.png">
          <a:hlinkClick xmlns:r="http://schemas.openxmlformats.org/officeDocument/2006/relationships" r:id="rId16"/>
        </xdr:cNvPr>
        <xdr:cNvSpPr>
          <a:spLocks noChangeAspect="1" noChangeArrowheads="1"/>
        </xdr:cNvSpPr>
      </xdr:nvSpPr>
      <xdr:spPr bwMode="auto">
        <a:xfrm>
          <a:off x="13411200" y="3337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152400</xdr:colOff>
      <xdr:row>17</xdr:row>
      <xdr:rowOff>106680</xdr:rowOff>
    </xdr:to>
    <xdr:sp macro="" textlink="">
      <xdr:nvSpPr>
        <xdr:cNvPr id="2301" name="AutoShape 33" descr="ENGLAND2"/>
        <xdr:cNvSpPr>
          <a:spLocks noChangeAspect="1" noChangeArrowheads="1"/>
        </xdr:cNvSpPr>
      </xdr:nvSpPr>
      <xdr:spPr bwMode="auto">
        <a:xfrm>
          <a:off x="0" y="3512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</xdr:row>
      <xdr:rowOff>0</xdr:rowOff>
    </xdr:from>
    <xdr:to>
      <xdr:col>22</xdr:col>
      <xdr:colOff>304800</xdr:colOff>
      <xdr:row>18</xdr:row>
      <xdr:rowOff>53340</xdr:rowOff>
    </xdr:to>
    <xdr:sp macro="" textlink="">
      <xdr:nvSpPr>
        <xdr:cNvPr id="2302" name="AutoShape 34" descr="https://www.soccerstats.com/img/own/sshplogo.png">
          <a:hlinkClick xmlns:r="http://schemas.openxmlformats.org/officeDocument/2006/relationships" r:id="rId17"/>
        </xdr:cNvPr>
        <xdr:cNvSpPr>
          <a:spLocks noChangeAspect="1" noChangeArrowheads="1"/>
        </xdr:cNvSpPr>
      </xdr:nvSpPr>
      <xdr:spPr bwMode="auto">
        <a:xfrm>
          <a:off x="13411200" y="3512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152400</xdr:colOff>
      <xdr:row>18</xdr:row>
      <xdr:rowOff>106680</xdr:rowOff>
    </xdr:to>
    <xdr:sp macro="" textlink="">
      <xdr:nvSpPr>
        <xdr:cNvPr id="2303" name="AutoShape 35" descr="ENGLAND3"/>
        <xdr:cNvSpPr>
          <a:spLocks noChangeAspect="1" noChangeArrowheads="1"/>
        </xdr:cNvSpPr>
      </xdr:nvSpPr>
      <xdr:spPr bwMode="auto">
        <a:xfrm>
          <a:off x="0" y="3764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</xdr:row>
      <xdr:rowOff>0</xdr:rowOff>
    </xdr:from>
    <xdr:to>
      <xdr:col>22</xdr:col>
      <xdr:colOff>304800</xdr:colOff>
      <xdr:row>19</xdr:row>
      <xdr:rowOff>53340</xdr:rowOff>
    </xdr:to>
    <xdr:sp macro="" textlink="">
      <xdr:nvSpPr>
        <xdr:cNvPr id="2304" name="AutoShape 36" descr="https://www.soccerstats.com/img/own/sshplogo.png">
          <a:hlinkClick xmlns:r="http://schemas.openxmlformats.org/officeDocument/2006/relationships" r:id="rId18"/>
        </xdr:cNvPr>
        <xdr:cNvSpPr>
          <a:spLocks noChangeAspect="1" noChangeArrowheads="1"/>
        </xdr:cNvSpPr>
      </xdr:nvSpPr>
      <xdr:spPr bwMode="auto">
        <a:xfrm>
          <a:off x="13411200" y="3764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152400</xdr:colOff>
      <xdr:row>19</xdr:row>
      <xdr:rowOff>106680</xdr:rowOff>
    </xdr:to>
    <xdr:sp macro="" textlink="">
      <xdr:nvSpPr>
        <xdr:cNvPr id="2305" name="AutoShape 37" descr="ENGLAND3"/>
        <xdr:cNvSpPr>
          <a:spLocks noChangeAspect="1" noChangeArrowheads="1"/>
        </xdr:cNvSpPr>
      </xdr:nvSpPr>
      <xdr:spPr bwMode="auto">
        <a:xfrm>
          <a:off x="0" y="3939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</xdr:row>
      <xdr:rowOff>0</xdr:rowOff>
    </xdr:from>
    <xdr:to>
      <xdr:col>22</xdr:col>
      <xdr:colOff>304800</xdr:colOff>
      <xdr:row>20</xdr:row>
      <xdr:rowOff>129540</xdr:rowOff>
    </xdr:to>
    <xdr:sp macro="" textlink="">
      <xdr:nvSpPr>
        <xdr:cNvPr id="2306" name="AutoShape 38" descr="https://www.soccerstats.com/img/own/sshplogo.png">
          <a:hlinkClick xmlns:r="http://schemas.openxmlformats.org/officeDocument/2006/relationships" r:id="rId19"/>
        </xdr:cNvPr>
        <xdr:cNvSpPr>
          <a:spLocks noChangeAspect="1" noChangeArrowheads="1"/>
        </xdr:cNvSpPr>
      </xdr:nvSpPr>
      <xdr:spPr bwMode="auto">
        <a:xfrm>
          <a:off x="13411200" y="3939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152400</xdr:colOff>
      <xdr:row>20</xdr:row>
      <xdr:rowOff>106680</xdr:rowOff>
    </xdr:to>
    <xdr:sp macro="" textlink="">
      <xdr:nvSpPr>
        <xdr:cNvPr id="2307" name="AutoShape 39" descr="ENGLAND3"/>
        <xdr:cNvSpPr>
          <a:spLocks noChangeAspect="1" noChangeArrowheads="1"/>
        </xdr:cNvSpPr>
      </xdr:nvSpPr>
      <xdr:spPr bwMode="auto">
        <a:xfrm>
          <a:off x="0" y="4191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</xdr:row>
      <xdr:rowOff>0</xdr:rowOff>
    </xdr:from>
    <xdr:to>
      <xdr:col>22</xdr:col>
      <xdr:colOff>304800</xdr:colOff>
      <xdr:row>21</xdr:row>
      <xdr:rowOff>129540</xdr:rowOff>
    </xdr:to>
    <xdr:sp macro="" textlink="">
      <xdr:nvSpPr>
        <xdr:cNvPr id="2308" name="AutoShape 40" descr="https://www.soccerstats.com/img/own/sshplogo.png">
          <a:hlinkClick xmlns:r="http://schemas.openxmlformats.org/officeDocument/2006/relationships" r:id="rId20"/>
        </xdr:cNvPr>
        <xdr:cNvSpPr>
          <a:spLocks noChangeAspect="1" noChangeArrowheads="1"/>
        </xdr:cNvSpPr>
      </xdr:nvSpPr>
      <xdr:spPr bwMode="auto">
        <a:xfrm>
          <a:off x="13411200" y="419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152400</xdr:colOff>
      <xdr:row>21</xdr:row>
      <xdr:rowOff>106680</xdr:rowOff>
    </xdr:to>
    <xdr:sp macro="" textlink="">
      <xdr:nvSpPr>
        <xdr:cNvPr id="2309" name="AutoShape 41" descr="ENGLAND3"/>
        <xdr:cNvSpPr>
          <a:spLocks noChangeAspect="1" noChangeArrowheads="1"/>
        </xdr:cNvSpPr>
      </xdr:nvSpPr>
      <xdr:spPr bwMode="auto">
        <a:xfrm>
          <a:off x="0" y="4366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</xdr:row>
      <xdr:rowOff>0</xdr:rowOff>
    </xdr:from>
    <xdr:to>
      <xdr:col>22</xdr:col>
      <xdr:colOff>304800</xdr:colOff>
      <xdr:row>22</xdr:row>
      <xdr:rowOff>53340</xdr:rowOff>
    </xdr:to>
    <xdr:sp macro="" textlink="">
      <xdr:nvSpPr>
        <xdr:cNvPr id="2310" name="AutoShape 42" descr="https://www.soccerstats.com/img/own/sshplogo.png">
          <a:hlinkClick xmlns:r="http://schemas.openxmlformats.org/officeDocument/2006/relationships" r:id="rId21"/>
        </xdr:cNvPr>
        <xdr:cNvSpPr>
          <a:spLocks noChangeAspect="1" noChangeArrowheads="1"/>
        </xdr:cNvSpPr>
      </xdr:nvSpPr>
      <xdr:spPr bwMode="auto">
        <a:xfrm>
          <a:off x="13411200" y="4366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152400</xdr:colOff>
      <xdr:row>22</xdr:row>
      <xdr:rowOff>106680</xdr:rowOff>
    </xdr:to>
    <xdr:sp macro="" textlink="">
      <xdr:nvSpPr>
        <xdr:cNvPr id="2311" name="AutoShape 43" descr="ENGLAND3"/>
        <xdr:cNvSpPr>
          <a:spLocks noChangeAspect="1" noChangeArrowheads="1"/>
        </xdr:cNvSpPr>
      </xdr:nvSpPr>
      <xdr:spPr bwMode="auto">
        <a:xfrm>
          <a:off x="0" y="4541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</xdr:row>
      <xdr:rowOff>0</xdr:rowOff>
    </xdr:from>
    <xdr:to>
      <xdr:col>22</xdr:col>
      <xdr:colOff>304800</xdr:colOff>
      <xdr:row>23</xdr:row>
      <xdr:rowOff>129540</xdr:rowOff>
    </xdr:to>
    <xdr:sp macro="" textlink="">
      <xdr:nvSpPr>
        <xdr:cNvPr id="2312" name="AutoShape 44" descr="https://www.soccerstats.com/img/own/sshplogo.png">
          <a:hlinkClick xmlns:r="http://schemas.openxmlformats.org/officeDocument/2006/relationships" r:id="rId22"/>
        </xdr:cNvPr>
        <xdr:cNvSpPr>
          <a:spLocks noChangeAspect="1" noChangeArrowheads="1"/>
        </xdr:cNvSpPr>
      </xdr:nvSpPr>
      <xdr:spPr bwMode="auto">
        <a:xfrm>
          <a:off x="13411200" y="4541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152400</xdr:colOff>
      <xdr:row>23</xdr:row>
      <xdr:rowOff>106680</xdr:rowOff>
    </xdr:to>
    <xdr:sp macro="" textlink="">
      <xdr:nvSpPr>
        <xdr:cNvPr id="2313" name="AutoShape 45" descr="ENGLAND3"/>
        <xdr:cNvSpPr>
          <a:spLocks noChangeAspect="1" noChangeArrowheads="1"/>
        </xdr:cNvSpPr>
      </xdr:nvSpPr>
      <xdr:spPr bwMode="auto">
        <a:xfrm>
          <a:off x="0" y="4716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</xdr:row>
      <xdr:rowOff>0</xdr:rowOff>
    </xdr:from>
    <xdr:to>
      <xdr:col>22</xdr:col>
      <xdr:colOff>304800</xdr:colOff>
      <xdr:row>24</xdr:row>
      <xdr:rowOff>129540</xdr:rowOff>
    </xdr:to>
    <xdr:sp macro="" textlink="">
      <xdr:nvSpPr>
        <xdr:cNvPr id="2314" name="AutoShape 46" descr="https://www.soccerstats.com/img/own/sshplogo.png">
          <a:hlinkClick xmlns:r="http://schemas.openxmlformats.org/officeDocument/2006/relationships" r:id="rId23"/>
        </xdr:cNvPr>
        <xdr:cNvSpPr>
          <a:spLocks noChangeAspect="1" noChangeArrowheads="1"/>
        </xdr:cNvSpPr>
      </xdr:nvSpPr>
      <xdr:spPr bwMode="auto">
        <a:xfrm>
          <a:off x="13411200" y="4716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2315" name="AutoShape 47" descr="ENGLAND3"/>
        <xdr:cNvSpPr>
          <a:spLocks noChangeAspect="1" noChangeArrowheads="1"/>
        </xdr:cNvSpPr>
      </xdr:nvSpPr>
      <xdr:spPr bwMode="auto">
        <a:xfrm>
          <a:off x="0" y="4892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2316" name="AutoShape 48" descr="https://www.soccerstats.com/img/own/sshplogo.png">
          <a:hlinkClick xmlns:r="http://schemas.openxmlformats.org/officeDocument/2006/relationships" r:id="rId24"/>
        </xdr:cNvPr>
        <xdr:cNvSpPr>
          <a:spLocks noChangeAspect="1" noChangeArrowheads="1"/>
        </xdr:cNvSpPr>
      </xdr:nvSpPr>
      <xdr:spPr bwMode="auto">
        <a:xfrm>
          <a:off x="13411200" y="4892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152400</xdr:colOff>
      <xdr:row>25</xdr:row>
      <xdr:rowOff>106680</xdr:rowOff>
    </xdr:to>
    <xdr:sp macro="" textlink="">
      <xdr:nvSpPr>
        <xdr:cNvPr id="2317" name="AutoShape 49" descr="ENGLAND3"/>
        <xdr:cNvSpPr>
          <a:spLocks noChangeAspect="1" noChangeArrowheads="1"/>
        </xdr:cNvSpPr>
      </xdr:nvSpPr>
      <xdr:spPr bwMode="auto">
        <a:xfrm>
          <a:off x="0" y="5143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25</xdr:row>
      <xdr:rowOff>0</xdr:rowOff>
    </xdr:from>
    <xdr:to>
      <xdr:col>22</xdr:col>
      <xdr:colOff>304800</xdr:colOff>
      <xdr:row>26</xdr:row>
      <xdr:rowOff>129540</xdr:rowOff>
    </xdr:to>
    <xdr:sp macro="" textlink="">
      <xdr:nvSpPr>
        <xdr:cNvPr id="2318" name="AutoShape 50" descr="https://www.soccerstats.com/img/own/sshplogo.png">
          <a:hlinkClick xmlns:r="http://schemas.openxmlformats.org/officeDocument/2006/relationships" r:id="rId25"/>
        </xdr:cNvPr>
        <xdr:cNvSpPr>
          <a:spLocks noChangeAspect="1" noChangeArrowheads="1"/>
        </xdr:cNvSpPr>
      </xdr:nvSpPr>
      <xdr:spPr bwMode="auto">
        <a:xfrm>
          <a:off x="13411200" y="51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152400</xdr:colOff>
      <xdr:row>26</xdr:row>
      <xdr:rowOff>106680</xdr:rowOff>
    </xdr:to>
    <xdr:sp macro="" textlink="">
      <xdr:nvSpPr>
        <xdr:cNvPr id="2319" name="AutoShape 51" descr="ENGLAND3"/>
        <xdr:cNvSpPr>
          <a:spLocks noChangeAspect="1" noChangeArrowheads="1"/>
        </xdr:cNvSpPr>
      </xdr:nvSpPr>
      <xdr:spPr bwMode="auto">
        <a:xfrm>
          <a:off x="0" y="5394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26</xdr:row>
      <xdr:rowOff>0</xdr:rowOff>
    </xdr:from>
    <xdr:to>
      <xdr:col>22</xdr:col>
      <xdr:colOff>304800</xdr:colOff>
      <xdr:row>27</xdr:row>
      <xdr:rowOff>53340</xdr:rowOff>
    </xdr:to>
    <xdr:sp macro="" textlink="">
      <xdr:nvSpPr>
        <xdr:cNvPr id="2320" name="AutoShape 52" descr="https://www.soccerstats.com/img/own/sshplogo.png">
          <a:hlinkClick xmlns:r="http://schemas.openxmlformats.org/officeDocument/2006/relationships" r:id="rId26"/>
        </xdr:cNvPr>
        <xdr:cNvSpPr>
          <a:spLocks noChangeAspect="1" noChangeArrowheads="1"/>
        </xdr:cNvSpPr>
      </xdr:nvSpPr>
      <xdr:spPr bwMode="auto">
        <a:xfrm>
          <a:off x="13411200" y="5394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152400</xdr:colOff>
      <xdr:row>27</xdr:row>
      <xdr:rowOff>106680</xdr:rowOff>
    </xdr:to>
    <xdr:sp macro="" textlink="">
      <xdr:nvSpPr>
        <xdr:cNvPr id="2321" name="AutoShape 53" descr="ENGLAND3"/>
        <xdr:cNvSpPr>
          <a:spLocks noChangeAspect="1" noChangeArrowheads="1"/>
        </xdr:cNvSpPr>
      </xdr:nvSpPr>
      <xdr:spPr bwMode="auto">
        <a:xfrm>
          <a:off x="0" y="5646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27</xdr:row>
      <xdr:rowOff>0</xdr:rowOff>
    </xdr:from>
    <xdr:to>
      <xdr:col>22</xdr:col>
      <xdr:colOff>304800</xdr:colOff>
      <xdr:row>28</xdr:row>
      <xdr:rowOff>129540</xdr:rowOff>
    </xdr:to>
    <xdr:sp macro="" textlink="">
      <xdr:nvSpPr>
        <xdr:cNvPr id="2322" name="AutoShape 54" descr="https://www.soccerstats.com/img/own/sshplogo.png">
          <a:hlinkClick xmlns:r="http://schemas.openxmlformats.org/officeDocument/2006/relationships" r:id="rId27"/>
        </xdr:cNvPr>
        <xdr:cNvSpPr>
          <a:spLocks noChangeAspect="1" noChangeArrowheads="1"/>
        </xdr:cNvSpPr>
      </xdr:nvSpPr>
      <xdr:spPr bwMode="auto">
        <a:xfrm>
          <a:off x="13411200" y="5646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152400</xdr:colOff>
      <xdr:row>28</xdr:row>
      <xdr:rowOff>106680</xdr:rowOff>
    </xdr:to>
    <xdr:sp macro="" textlink="">
      <xdr:nvSpPr>
        <xdr:cNvPr id="2323" name="AutoShape 55" descr="ENGLAND3"/>
        <xdr:cNvSpPr>
          <a:spLocks noChangeAspect="1" noChangeArrowheads="1"/>
        </xdr:cNvSpPr>
      </xdr:nvSpPr>
      <xdr:spPr bwMode="auto">
        <a:xfrm>
          <a:off x="0" y="5821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28</xdr:row>
      <xdr:rowOff>0</xdr:rowOff>
    </xdr:from>
    <xdr:to>
      <xdr:col>22</xdr:col>
      <xdr:colOff>304800</xdr:colOff>
      <xdr:row>29</xdr:row>
      <xdr:rowOff>129540</xdr:rowOff>
    </xdr:to>
    <xdr:sp macro="" textlink="">
      <xdr:nvSpPr>
        <xdr:cNvPr id="2324" name="AutoShape 56" descr="https://www.soccerstats.com/img/own/sshplogo.png">
          <a:hlinkClick xmlns:r="http://schemas.openxmlformats.org/officeDocument/2006/relationships" r:id="rId28"/>
        </xdr:cNvPr>
        <xdr:cNvSpPr>
          <a:spLocks noChangeAspect="1" noChangeArrowheads="1"/>
        </xdr:cNvSpPr>
      </xdr:nvSpPr>
      <xdr:spPr bwMode="auto">
        <a:xfrm>
          <a:off x="13411200" y="582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152400</xdr:colOff>
      <xdr:row>29</xdr:row>
      <xdr:rowOff>106680</xdr:rowOff>
    </xdr:to>
    <xdr:sp macro="" textlink="">
      <xdr:nvSpPr>
        <xdr:cNvPr id="2325" name="AutoShape 57" descr="ENGLAND3"/>
        <xdr:cNvSpPr>
          <a:spLocks noChangeAspect="1" noChangeArrowheads="1"/>
        </xdr:cNvSpPr>
      </xdr:nvSpPr>
      <xdr:spPr bwMode="auto">
        <a:xfrm>
          <a:off x="0" y="5996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</xdr:row>
      <xdr:rowOff>0</xdr:rowOff>
    </xdr:from>
    <xdr:to>
      <xdr:col>22</xdr:col>
      <xdr:colOff>304800</xdr:colOff>
      <xdr:row>30</xdr:row>
      <xdr:rowOff>53340</xdr:rowOff>
    </xdr:to>
    <xdr:sp macro="" textlink="">
      <xdr:nvSpPr>
        <xdr:cNvPr id="2326" name="AutoShape 58" descr="https://www.soccerstats.com/img/own/sshplogo.png">
          <a:hlinkClick xmlns:r="http://schemas.openxmlformats.org/officeDocument/2006/relationships" r:id="rId29"/>
        </xdr:cNvPr>
        <xdr:cNvSpPr>
          <a:spLocks noChangeAspect="1" noChangeArrowheads="1"/>
        </xdr:cNvSpPr>
      </xdr:nvSpPr>
      <xdr:spPr bwMode="auto">
        <a:xfrm>
          <a:off x="13411200" y="5996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152400</xdr:colOff>
      <xdr:row>30</xdr:row>
      <xdr:rowOff>106680</xdr:rowOff>
    </xdr:to>
    <xdr:sp macro="" textlink="">
      <xdr:nvSpPr>
        <xdr:cNvPr id="2327" name="AutoShape 59" descr="ENGLAND4"/>
        <xdr:cNvSpPr>
          <a:spLocks noChangeAspect="1" noChangeArrowheads="1"/>
        </xdr:cNvSpPr>
      </xdr:nvSpPr>
      <xdr:spPr bwMode="auto">
        <a:xfrm>
          <a:off x="0" y="6172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30</xdr:row>
      <xdr:rowOff>0</xdr:rowOff>
    </xdr:from>
    <xdr:to>
      <xdr:col>22</xdr:col>
      <xdr:colOff>304800</xdr:colOff>
      <xdr:row>31</xdr:row>
      <xdr:rowOff>53340</xdr:rowOff>
    </xdr:to>
    <xdr:sp macro="" textlink="">
      <xdr:nvSpPr>
        <xdr:cNvPr id="2328" name="AutoShape 60" descr="https://www.soccerstats.com/img/own/sshplogo.png">
          <a:hlinkClick xmlns:r="http://schemas.openxmlformats.org/officeDocument/2006/relationships" r:id="rId30"/>
        </xdr:cNvPr>
        <xdr:cNvSpPr>
          <a:spLocks noChangeAspect="1" noChangeArrowheads="1"/>
        </xdr:cNvSpPr>
      </xdr:nvSpPr>
      <xdr:spPr bwMode="auto">
        <a:xfrm>
          <a:off x="134112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152400</xdr:colOff>
      <xdr:row>31</xdr:row>
      <xdr:rowOff>106680</xdr:rowOff>
    </xdr:to>
    <xdr:sp macro="" textlink="">
      <xdr:nvSpPr>
        <xdr:cNvPr id="2329" name="AutoShape 61" descr="ENGLAND4"/>
        <xdr:cNvSpPr>
          <a:spLocks noChangeAspect="1" noChangeArrowheads="1"/>
        </xdr:cNvSpPr>
      </xdr:nvSpPr>
      <xdr:spPr bwMode="auto">
        <a:xfrm>
          <a:off x="0" y="6347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31</xdr:row>
      <xdr:rowOff>0</xdr:rowOff>
    </xdr:from>
    <xdr:to>
      <xdr:col>22</xdr:col>
      <xdr:colOff>304800</xdr:colOff>
      <xdr:row>32</xdr:row>
      <xdr:rowOff>53340</xdr:rowOff>
    </xdr:to>
    <xdr:sp macro="" textlink="">
      <xdr:nvSpPr>
        <xdr:cNvPr id="2330" name="AutoShape 62" descr="https://www.soccerstats.com/img/own/sshplogo.png">
          <a:hlinkClick xmlns:r="http://schemas.openxmlformats.org/officeDocument/2006/relationships" r:id="rId31"/>
        </xdr:cNvPr>
        <xdr:cNvSpPr>
          <a:spLocks noChangeAspect="1" noChangeArrowheads="1"/>
        </xdr:cNvSpPr>
      </xdr:nvSpPr>
      <xdr:spPr bwMode="auto">
        <a:xfrm>
          <a:off x="13411200" y="6347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152400</xdr:colOff>
      <xdr:row>32</xdr:row>
      <xdr:rowOff>106680</xdr:rowOff>
    </xdr:to>
    <xdr:sp macro="" textlink="">
      <xdr:nvSpPr>
        <xdr:cNvPr id="2331" name="AutoShape 63" descr="ENGLAND4"/>
        <xdr:cNvSpPr>
          <a:spLocks noChangeAspect="1" noChangeArrowheads="1"/>
        </xdr:cNvSpPr>
      </xdr:nvSpPr>
      <xdr:spPr bwMode="auto">
        <a:xfrm>
          <a:off x="0" y="6522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32</xdr:row>
      <xdr:rowOff>0</xdr:rowOff>
    </xdr:from>
    <xdr:to>
      <xdr:col>22</xdr:col>
      <xdr:colOff>304800</xdr:colOff>
      <xdr:row>33</xdr:row>
      <xdr:rowOff>129540</xdr:rowOff>
    </xdr:to>
    <xdr:sp macro="" textlink="">
      <xdr:nvSpPr>
        <xdr:cNvPr id="2332" name="AutoShape 64" descr="https://www.soccerstats.com/img/own/sshplogo.png">
          <a:hlinkClick xmlns:r="http://schemas.openxmlformats.org/officeDocument/2006/relationships" r:id="rId32"/>
        </xdr:cNvPr>
        <xdr:cNvSpPr>
          <a:spLocks noChangeAspect="1" noChangeArrowheads="1"/>
        </xdr:cNvSpPr>
      </xdr:nvSpPr>
      <xdr:spPr bwMode="auto">
        <a:xfrm>
          <a:off x="13411200" y="6522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152400</xdr:colOff>
      <xdr:row>33</xdr:row>
      <xdr:rowOff>106680</xdr:rowOff>
    </xdr:to>
    <xdr:sp macro="" textlink="">
      <xdr:nvSpPr>
        <xdr:cNvPr id="2333" name="AutoShape 65" descr="ENGLAND4"/>
        <xdr:cNvSpPr>
          <a:spLocks noChangeAspect="1" noChangeArrowheads="1"/>
        </xdr:cNvSpPr>
      </xdr:nvSpPr>
      <xdr:spPr bwMode="auto">
        <a:xfrm>
          <a:off x="0" y="6774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33</xdr:row>
      <xdr:rowOff>0</xdr:rowOff>
    </xdr:from>
    <xdr:to>
      <xdr:col>22</xdr:col>
      <xdr:colOff>304800</xdr:colOff>
      <xdr:row>34</xdr:row>
      <xdr:rowOff>129540</xdr:rowOff>
    </xdr:to>
    <xdr:sp macro="" textlink="">
      <xdr:nvSpPr>
        <xdr:cNvPr id="2334" name="AutoShape 66" descr="https://www.soccerstats.com/img/own/sshplogo.png">
          <a:hlinkClick xmlns:r="http://schemas.openxmlformats.org/officeDocument/2006/relationships" r:id="rId33"/>
        </xdr:cNvPr>
        <xdr:cNvSpPr>
          <a:spLocks noChangeAspect="1" noChangeArrowheads="1"/>
        </xdr:cNvSpPr>
      </xdr:nvSpPr>
      <xdr:spPr bwMode="auto">
        <a:xfrm>
          <a:off x="13411200" y="6774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152400</xdr:colOff>
      <xdr:row>34</xdr:row>
      <xdr:rowOff>106680</xdr:rowOff>
    </xdr:to>
    <xdr:sp macro="" textlink="">
      <xdr:nvSpPr>
        <xdr:cNvPr id="2335" name="AutoShape 67" descr="ENGLAND4"/>
        <xdr:cNvSpPr>
          <a:spLocks noChangeAspect="1" noChangeArrowheads="1"/>
        </xdr:cNvSpPr>
      </xdr:nvSpPr>
      <xdr:spPr bwMode="auto">
        <a:xfrm>
          <a:off x="0" y="6949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34</xdr:row>
      <xdr:rowOff>0</xdr:rowOff>
    </xdr:from>
    <xdr:to>
      <xdr:col>22</xdr:col>
      <xdr:colOff>304800</xdr:colOff>
      <xdr:row>35</xdr:row>
      <xdr:rowOff>53340</xdr:rowOff>
    </xdr:to>
    <xdr:sp macro="" textlink="">
      <xdr:nvSpPr>
        <xdr:cNvPr id="2336" name="AutoShape 68" descr="https://www.soccerstats.com/img/own/sshplogo.png">
          <a:hlinkClick xmlns:r="http://schemas.openxmlformats.org/officeDocument/2006/relationships" r:id="rId34"/>
        </xdr:cNvPr>
        <xdr:cNvSpPr>
          <a:spLocks noChangeAspect="1" noChangeArrowheads="1"/>
        </xdr:cNvSpPr>
      </xdr:nvSpPr>
      <xdr:spPr bwMode="auto">
        <a:xfrm>
          <a:off x="13411200" y="6949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152400</xdr:colOff>
      <xdr:row>35</xdr:row>
      <xdr:rowOff>106680</xdr:rowOff>
    </xdr:to>
    <xdr:sp macro="" textlink="">
      <xdr:nvSpPr>
        <xdr:cNvPr id="2337" name="AutoShape 69" descr="ENGLAND4"/>
        <xdr:cNvSpPr>
          <a:spLocks noChangeAspect="1" noChangeArrowheads="1"/>
        </xdr:cNvSpPr>
      </xdr:nvSpPr>
      <xdr:spPr bwMode="auto">
        <a:xfrm>
          <a:off x="0" y="7124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35</xdr:row>
      <xdr:rowOff>0</xdr:rowOff>
    </xdr:from>
    <xdr:to>
      <xdr:col>22</xdr:col>
      <xdr:colOff>304800</xdr:colOff>
      <xdr:row>36</xdr:row>
      <xdr:rowOff>129540</xdr:rowOff>
    </xdr:to>
    <xdr:sp macro="" textlink="">
      <xdr:nvSpPr>
        <xdr:cNvPr id="2338" name="AutoShape 70" descr="https://www.soccerstats.com/img/own/sshplogo.png">
          <a:hlinkClick xmlns:r="http://schemas.openxmlformats.org/officeDocument/2006/relationships" r:id="rId35"/>
        </xdr:cNvPr>
        <xdr:cNvSpPr>
          <a:spLocks noChangeAspect="1" noChangeArrowheads="1"/>
        </xdr:cNvSpPr>
      </xdr:nvSpPr>
      <xdr:spPr bwMode="auto">
        <a:xfrm>
          <a:off x="13411200" y="712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152400</xdr:colOff>
      <xdr:row>36</xdr:row>
      <xdr:rowOff>106680</xdr:rowOff>
    </xdr:to>
    <xdr:sp macro="" textlink="">
      <xdr:nvSpPr>
        <xdr:cNvPr id="2339" name="AutoShape 71" descr="ENGLAND4"/>
        <xdr:cNvSpPr>
          <a:spLocks noChangeAspect="1" noChangeArrowheads="1"/>
        </xdr:cNvSpPr>
      </xdr:nvSpPr>
      <xdr:spPr bwMode="auto">
        <a:xfrm>
          <a:off x="0" y="7299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36</xdr:row>
      <xdr:rowOff>0</xdr:rowOff>
    </xdr:from>
    <xdr:to>
      <xdr:col>22</xdr:col>
      <xdr:colOff>304800</xdr:colOff>
      <xdr:row>37</xdr:row>
      <xdr:rowOff>53340</xdr:rowOff>
    </xdr:to>
    <xdr:sp macro="" textlink="">
      <xdr:nvSpPr>
        <xdr:cNvPr id="2340" name="AutoShape 72" descr="https://www.soccerstats.com/img/own/sshplogo.png">
          <a:hlinkClick xmlns:r="http://schemas.openxmlformats.org/officeDocument/2006/relationships" r:id="rId36"/>
        </xdr:cNvPr>
        <xdr:cNvSpPr>
          <a:spLocks noChangeAspect="1" noChangeArrowheads="1"/>
        </xdr:cNvSpPr>
      </xdr:nvSpPr>
      <xdr:spPr bwMode="auto">
        <a:xfrm>
          <a:off x="13411200" y="7299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152400</xdr:colOff>
      <xdr:row>37</xdr:row>
      <xdr:rowOff>106680</xdr:rowOff>
    </xdr:to>
    <xdr:sp macro="" textlink="">
      <xdr:nvSpPr>
        <xdr:cNvPr id="2341" name="AutoShape 73" descr="ENGLAND4"/>
        <xdr:cNvSpPr>
          <a:spLocks noChangeAspect="1" noChangeArrowheads="1"/>
        </xdr:cNvSpPr>
      </xdr:nvSpPr>
      <xdr:spPr bwMode="auto">
        <a:xfrm>
          <a:off x="0" y="7551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37</xdr:row>
      <xdr:rowOff>0</xdr:rowOff>
    </xdr:from>
    <xdr:to>
      <xdr:col>22</xdr:col>
      <xdr:colOff>304800</xdr:colOff>
      <xdr:row>38</xdr:row>
      <xdr:rowOff>129540</xdr:rowOff>
    </xdr:to>
    <xdr:sp macro="" textlink="">
      <xdr:nvSpPr>
        <xdr:cNvPr id="2342" name="AutoShape 74" descr="https://www.soccerstats.com/img/own/sshplogo.png">
          <a:hlinkClick xmlns:r="http://schemas.openxmlformats.org/officeDocument/2006/relationships" r:id="rId37"/>
        </xdr:cNvPr>
        <xdr:cNvSpPr>
          <a:spLocks noChangeAspect="1" noChangeArrowheads="1"/>
        </xdr:cNvSpPr>
      </xdr:nvSpPr>
      <xdr:spPr bwMode="auto">
        <a:xfrm>
          <a:off x="13411200" y="7551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152400</xdr:colOff>
      <xdr:row>38</xdr:row>
      <xdr:rowOff>106680</xdr:rowOff>
    </xdr:to>
    <xdr:sp macro="" textlink="">
      <xdr:nvSpPr>
        <xdr:cNvPr id="2343" name="AutoShape 75" descr="ENGLAND4"/>
        <xdr:cNvSpPr>
          <a:spLocks noChangeAspect="1" noChangeArrowheads="1"/>
        </xdr:cNvSpPr>
      </xdr:nvSpPr>
      <xdr:spPr bwMode="auto">
        <a:xfrm>
          <a:off x="0" y="7726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38</xdr:row>
      <xdr:rowOff>0</xdr:rowOff>
    </xdr:from>
    <xdr:to>
      <xdr:col>22</xdr:col>
      <xdr:colOff>304800</xdr:colOff>
      <xdr:row>39</xdr:row>
      <xdr:rowOff>129540</xdr:rowOff>
    </xdr:to>
    <xdr:sp macro="" textlink="">
      <xdr:nvSpPr>
        <xdr:cNvPr id="2344" name="AutoShape 76" descr="https://www.soccerstats.com/img/own/sshplogo.png">
          <a:hlinkClick xmlns:r="http://schemas.openxmlformats.org/officeDocument/2006/relationships" r:id="rId38"/>
        </xdr:cNvPr>
        <xdr:cNvSpPr>
          <a:spLocks noChangeAspect="1" noChangeArrowheads="1"/>
        </xdr:cNvSpPr>
      </xdr:nvSpPr>
      <xdr:spPr bwMode="auto">
        <a:xfrm>
          <a:off x="13411200" y="7726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152400</xdr:colOff>
      <xdr:row>39</xdr:row>
      <xdr:rowOff>106680</xdr:rowOff>
    </xdr:to>
    <xdr:sp macro="" textlink="">
      <xdr:nvSpPr>
        <xdr:cNvPr id="2345" name="AutoShape 77" descr="ENGLAND4"/>
        <xdr:cNvSpPr>
          <a:spLocks noChangeAspect="1" noChangeArrowheads="1"/>
        </xdr:cNvSpPr>
      </xdr:nvSpPr>
      <xdr:spPr bwMode="auto">
        <a:xfrm>
          <a:off x="0" y="7901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39</xdr:row>
      <xdr:rowOff>0</xdr:rowOff>
    </xdr:from>
    <xdr:to>
      <xdr:col>22</xdr:col>
      <xdr:colOff>304800</xdr:colOff>
      <xdr:row>40</xdr:row>
      <xdr:rowOff>129540</xdr:rowOff>
    </xdr:to>
    <xdr:sp macro="" textlink="">
      <xdr:nvSpPr>
        <xdr:cNvPr id="2346" name="AutoShape 78" descr="https://www.soccerstats.com/img/own/sshplogo.png">
          <a:hlinkClick xmlns:r="http://schemas.openxmlformats.org/officeDocument/2006/relationships" r:id="rId39"/>
        </xdr:cNvPr>
        <xdr:cNvSpPr>
          <a:spLocks noChangeAspect="1" noChangeArrowheads="1"/>
        </xdr:cNvSpPr>
      </xdr:nvSpPr>
      <xdr:spPr bwMode="auto">
        <a:xfrm>
          <a:off x="13411200" y="7901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152400</xdr:colOff>
      <xdr:row>40</xdr:row>
      <xdr:rowOff>106680</xdr:rowOff>
    </xdr:to>
    <xdr:sp macro="" textlink="">
      <xdr:nvSpPr>
        <xdr:cNvPr id="2347" name="AutoShape 79" descr="ENGLAND4"/>
        <xdr:cNvSpPr>
          <a:spLocks noChangeAspect="1" noChangeArrowheads="1"/>
        </xdr:cNvSpPr>
      </xdr:nvSpPr>
      <xdr:spPr bwMode="auto">
        <a:xfrm>
          <a:off x="0" y="815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40</xdr:row>
      <xdr:rowOff>0</xdr:rowOff>
    </xdr:from>
    <xdr:to>
      <xdr:col>22</xdr:col>
      <xdr:colOff>304800</xdr:colOff>
      <xdr:row>41</xdr:row>
      <xdr:rowOff>129540</xdr:rowOff>
    </xdr:to>
    <xdr:sp macro="" textlink="">
      <xdr:nvSpPr>
        <xdr:cNvPr id="2348" name="AutoShape 80" descr="https://www.soccerstats.com/img/own/sshplogo.png">
          <a:hlinkClick xmlns:r="http://schemas.openxmlformats.org/officeDocument/2006/relationships" r:id="rId40"/>
        </xdr:cNvPr>
        <xdr:cNvSpPr>
          <a:spLocks noChangeAspect="1" noChangeArrowheads="1"/>
        </xdr:cNvSpPr>
      </xdr:nvSpPr>
      <xdr:spPr bwMode="auto">
        <a:xfrm>
          <a:off x="13411200" y="815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152400</xdr:colOff>
      <xdr:row>41</xdr:row>
      <xdr:rowOff>106680</xdr:rowOff>
    </xdr:to>
    <xdr:sp macro="" textlink="">
      <xdr:nvSpPr>
        <xdr:cNvPr id="2349" name="AutoShape 81" descr="ENGLAND4"/>
        <xdr:cNvSpPr>
          <a:spLocks noChangeAspect="1" noChangeArrowheads="1"/>
        </xdr:cNvSpPr>
      </xdr:nvSpPr>
      <xdr:spPr bwMode="auto">
        <a:xfrm>
          <a:off x="0" y="832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41</xdr:row>
      <xdr:rowOff>0</xdr:rowOff>
    </xdr:from>
    <xdr:to>
      <xdr:col>22</xdr:col>
      <xdr:colOff>304800</xdr:colOff>
      <xdr:row>42</xdr:row>
      <xdr:rowOff>129540</xdr:rowOff>
    </xdr:to>
    <xdr:sp macro="" textlink="">
      <xdr:nvSpPr>
        <xdr:cNvPr id="2350" name="AutoShape 82" descr="https://www.soccerstats.com/img/own/sshplogo.png">
          <a:hlinkClick xmlns:r="http://schemas.openxmlformats.org/officeDocument/2006/relationships" r:id="rId41"/>
        </xdr:cNvPr>
        <xdr:cNvSpPr>
          <a:spLocks noChangeAspect="1" noChangeArrowheads="1"/>
        </xdr:cNvSpPr>
      </xdr:nvSpPr>
      <xdr:spPr bwMode="auto">
        <a:xfrm>
          <a:off x="13411200" y="832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152400</xdr:colOff>
      <xdr:row>42</xdr:row>
      <xdr:rowOff>106680</xdr:rowOff>
    </xdr:to>
    <xdr:sp macro="" textlink="">
      <xdr:nvSpPr>
        <xdr:cNvPr id="2351" name="AutoShape 83" descr="ENGLAND5"/>
        <xdr:cNvSpPr>
          <a:spLocks noChangeAspect="1" noChangeArrowheads="1"/>
        </xdr:cNvSpPr>
      </xdr:nvSpPr>
      <xdr:spPr bwMode="auto">
        <a:xfrm>
          <a:off x="0" y="8503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42</xdr:row>
      <xdr:rowOff>0</xdr:rowOff>
    </xdr:from>
    <xdr:to>
      <xdr:col>22</xdr:col>
      <xdr:colOff>304800</xdr:colOff>
      <xdr:row>43</xdr:row>
      <xdr:rowOff>129540</xdr:rowOff>
    </xdr:to>
    <xdr:sp macro="" textlink="">
      <xdr:nvSpPr>
        <xdr:cNvPr id="2352" name="AutoShape 84" descr="https://www.soccerstats.com/img/own/sshplogo.png">
          <a:hlinkClick xmlns:r="http://schemas.openxmlformats.org/officeDocument/2006/relationships" r:id="rId42"/>
        </xdr:cNvPr>
        <xdr:cNvSpPr>
          <a:spLocks noChangeAspect="1" noChangeArrowheads="1"/>
        </xdr:cNvSpPr>
      </xdr:nvSpPr>
      <xdr:spPr bwMode="auto">
        <a:xfrm>
          <a:off x="13411200" y="8503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152400</xdr:colOff>
      <xdr:row>43</xdr:row>
      <xdr:rowOff>106680</xdr:rowOff>
    </xdr:to>
    <xdr:sp macro="" textlink="">
      <xdr:nvSpPr>
        <xdr:cNvPr id="2353" name="AutoShape 85" descr="ENGLAND5"/>
        <xdr:cNvSpPr>
          <a:spLocks noChangeAspect="1" noChangeArrowheads="1"/>
        </xdr:cNvSpPr>
      </xdr:nvSpPr>
      <xdr:spPr bwMode="auto">
        <a:xfrm>
          <a:off x="0" y="8755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43</xdr:row>
      <xdr:rowOff>0</xdr:rowOff>
    </xdr:from>
    <xdr:to>
      <xdr:col>22</xdr:col>
      <xdr:colOff>304800</xdr:colOff>
      <xdr:row>44</xdr:row>
      <xdr:rowOff>53340</xdr:rowOff>
    </xdr:to>
    <xdr:sp macro="" textlink="">
      <xdr:nvSpPr>
        <xdr:cNvPr id="2354" name="AutoShape 86" descr="https://www.soccerstats.com/img/own/sshplogo.png">
          <a:hlinkClick xmlns:r="http://schemas.openxmlformats.org/officeDocument/2006/relationships" r:id="rId43"/>
        </xdr:cNvPr>
        <xdr:cNvSpPr>
          <a:spLocks noChangeAspect="1" noChangeArrowheads="1"/>
        </xdr:cNvSpPr>
      </xdr:nvSpPr>
      <xdr:spPr bwMode="auto">
        <a:xfrm>
          <a:off x="13411200" y="8755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152400</xdr:colOff>
      <xdr:row>44</xdr:row>
      <xdr:rowOff>106680</xdr:rowOff>
    </xdr:to>
    <xdr:sp macro="" textlink="">
      <xdr:nvSpPr>
        <xdr:cNvPr id="2355" name="AutoShape 87" descr="ENGLAND5"/>
        <xdr:cNvSpPr>
          <a:spLocks noChangeAspect="1" noChangeArrowheads="1"/>
        </xdr:cNvSpPr>
      </xdr:nvSpPr>
      <xdr:spPr bwMode="auto">
        <a:xfrm>
          <a:off x="0" y="893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44</xdr:row>
      <xdr:rowOff>0</xdr:rowOff>
    </xdr:from>
    <xdr:to>
      <xdr:col>22</xdr:col>
      <xdr:colOff>304800</xdr:colOff>
      <xdr:row>45</xdr:row>
      <xdr:rowOff>53340</xdr:rowOff>
    </xdr:to>
    <xdr:sp macro="" textlink="">
      <xdr:nvSpPr>
        <xdr:cNvPr id="2356" name="AutoShape 88" descr="https://www.soccerstats.com/img/own/sshplogo.png">
          <a:hlinkClick xmlns:r="http://schemas.openxmlformats.org/officeDocument/2006/relationships" r:id="rId44"/>
        </xdr:cNvPr>
        <xdr:cNvSpPr>
          <a:spLocks noChangeAspect="1" noChangeArrowheads="1"/>
        </xdr:cNvSpPr>
      </xdr:nvSpPr>
      <xdr:spPr bwMode="auto">
        <a:xfrm>
          <a:off x="13411200" y="893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152400</xdr:colOff>
      <xdr:row>45</xdr:row>
      <xdr:rowOff>106680</xdr:rowOff>
    </xdr:to>
    <xdr:sp macro="" textlink="">
      <xdr:nvSpPr>
        <xdr:cNvPr id="2357" name="AutoShape 89" descr="ENGLAND5"/>
        <xdr:cNvSpPr>
          <a:spLocks noChangeAspect="1" noChangeArrowheads="1"/>
        </xdr:cNvSpPr>
      </xdr:nvSpPr>
      <xdr:spPr bwMode="auto">
        <a:xfrm>
          <a:off x="0" y="9105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45</xdr:row>
      <xdr:rowOff>0</xdr:rowOff>
    </xdr:from>
    <xdr:to>
      <xdr:col>22</xdr:col>
      <xdr:colOff>304800</xdr:colOff>
      <xdr:row>46</xdr:row>
      <xdr:rowOff>129540</xdr:rowOff>
    </xdr:to>
    <xdr:sp macro="" textlink="">
      <xdr:nvSpPr>
        <xdr:cNvPr id="2358" name="AutoShape 90" descr="https://www.soccerstats.com/img/own/sshplogo.png">
          <a:hlinkClick xmlns:r="http://schemas.openxmlformats.org/officeDocument/2006/relationships" r:id="rId45"/>
        </xdr:cNvPr>
        <xdr:cNvSpPr>
          <a:spLocks noChangeAspect="1" noChangeArrowheads="1"/>
        </xdr:cNvSpPr>
      </xdr:nvSpPr>
      <xdr:spPr bwMode="auto">
        <a:xfrm>
          <a:off x="13411200" y="9105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152400</xdr:colOff>
      <xdr:row>46</xdr:row>
      <xdr:rowOff>106680</xdr:rowOff>
    </xdr:to>
    <xdr:sp macro="" textlink="">
      <xdr:nvSpPr>
        <xdr:cNvPr id="2359" name="AutoShape 91" descr="ENGLAND5"/>
        <xdr:cNvSpPr>
          <a:spLocks noChangeAspect="1" noChangeArrowheads="1"/>
        </xdr:cNvSpPr>
      </xdr:nvSpPr>
      <xdr:spPr bwMode="auto">
        <a:xfrm>
          <a:off x="0" y="9357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46</xdr:row>
      <xdr:rowOff>0</xdr:rowOff>
    </xdr:from>
    <xdr:to>
      <xdr:col>22</xdr:col>
      <xdr:colOff>304800</xdr:colOff>
      <xdr:row>47</xdr:row>
      <xdr:rowOff>53340</xdr:rowOff>
    </xdr:to>
    <xdr:sp macro="" textlink="">
      <xdr:nvSpPr>
        <xdr:cNvPr id="2360" name="AutoShape 92" descr="https://www.soccerstats.com/img/own/sshplogo.png">
          <a:hlinkClick xmlns:r="http://schemas.openxmlformats.org/officeDocument/2006/relationships" r:id="rId46"/>
        </xdr:cNvPr>
        <xdr:cNvSpPr>
          <a:spLocks noChangeAspect="1" noChangeArrowheads="1"/>
        </xdr:cNvSpPr>
      </xdr:nvSpPr>
      <xdr:spPr bwMode="auto">
        <a:xfrm>
          <a:off x="13411200" y="9357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152400</xdr:colOff>
      <xdr:row>47</xdr:row>
      <xdr:rowOff>106680</xdr:rowOff>
    </xdr:to>
    <xdr:sp macro="" textlink="">
      <xdr:nvSpPr>
        <xdr:cNvPr id="2361" name="AutoShape 93" descr="ENGLAND5"/>
        <xdr:cNvSpPr>
          <a:spLocks noChangeAspect="1" noChangeArrowheads="1"/>
        </xdr:cNvSpPr>
      </xdr:nvSpPr>
      <xdr:spPr bwMode="auto">
        <a:xfrm>
          <a:off x="0" y="9608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47</xdr:row>
      <xdr:rowOff>0</xdr:rowOff>
    </xdr:from>
    <xdr:to>
      <xdr:col>22</xdr:col>
      <xdr:colOff>304800</xdr:colOff>
      <xdr:row>48</xdr:row>
      <xdr:rowOff>129540</xdr:rowOff>
    </xdr:to>
    <xdr:sp macro="" textlink="">
      <xdr:nvSpPr>
        <xdr:cNvPr id="2362" name="AutoShape 94" descr="https://www.soccerstats.com/img/own/sshplogo.png">
          <a:hlinkClick xmlns:r="http://schemas.openxmlformats.org/officeDocument/2006/relationships" r:id="rId47"/>
        </xdr:cNvPr>
        <xdr:cNvSpPr>
          <a:spLocks noChangeAspect="1" noChangeArrowheads="1"/>
        </xdr:cNvSpPr>
      </xdr:nvSpPr>
      <xdr:spPr bwMode="auto">
        <a:xfrm>
          <a:off x="13411200" y="9608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152400</xdr:colOff>
      <xdr:row>48</xdr:row>
      <xdr:rowOff>106680</xdr:rowOff>
    </xdr:to>
    <xdr:sp macro="" textlink="">
      <xdr:nvSpPr>
        <xdr:cNvPr id="2363" name="AutoShape 95" descr="ENGLAND5"/>
        <xdr:cNvSpPr>
          <a:spLocks noChangeAspect="1" noChangeArrowheads="1"/>
        </xdr:cNvSpPr>
      </xdr:nvSpPr>
      <xdr:spPr bwMode="auto">
        <a:xfrm>
          <a:off x="0" y="9860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48</xdr:row>
      <xdr:rowOff>0</xdr:rowOff>
    </xdr:from>
    <xdr:to>
      <xdr:col>22</xdr:col>
      <xdr:colOff>304800</xdr:colOff>
      <xdr:row>49</xdr:row>
      <xdr:rowOff>129540</xdr:rowOff>
    </xdr:to>
    <xdr:sp macro="" textlink="">
      <xdr:nvSpPr>
        <xdr:cNvPr id="2364" name="AutoShape 96" descr="https://www.soccerstats.com/img/own/sshplogo.png">
          <a:hlinkClick xmlns:r="http://schemas.openxmlformats.org/officeDocument/2006/relationships" r:id="rId48"/>
        </xdr:cNvPr>
        <xdr:cNvSpPr>
          <a:spLocks noChangeAspect="1" noChangeArrowheads="1"/>
        </xdr:cNvSpPr>
      </xdr:nvSpPr>
      <xdr:spPr bwMode="auto">
        <a:xfrm>
          <a:off x="13411200" y="9860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152400</xdr:colOff>
      <xdr:row>49</xdr:row>
      <xdr:rowOff>106680</xdr:rowOff>
    </xdr:to>
    <xdr:sp macro="" textlink="">
      <xdr:nvSpPr>
        <xdr:cNvPr id="2365" name="AutoShape 97" descr="ENGLAND5"/>
        <xdr:cNvSpPr>
          <a:spLocks noChangeAspect="1" noChangeArrowheads="1"/>
        </xdr:cNvSpPr>
      </xdr:nvSpPr>
      <xdr:spPr bwMode="auto">
        <a:xfrm>
          <a:off x="0" y="10035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49</xdr:row>
      <xdr:rowOff>0</xdr:rowOff>
    </xdr:from>
    <xdr:to>
      <xdr:col>22</xdr:col>
      <xdr:colOff>304800</xdr:colOff>
      <xdr:row>50</xdr:row>
      <xdr:rowOff>129540</xdr:rowOff>
    </xdr:to>
    <xdr:sp macro="" textlink="">
      <xdr:nvSpPr>
        <xdr:cNvPr id="2366" name="AutoShape 98" descr="https://www.soccerstats.com/img/own/sshplogo.png">
          <a:hlinkClick xmlns:r="http://schemas.openxmlformats.org/officeDocument/2006/relationships" r:id="rId49"/>
        </xdr:cNvPr>
        <xdr:cNvSpPr>
          <a:spLocks noChangeAspect="1" noChangeArrowheads="1"/>
        </xdr:cNvSpPr>
      </xdr:nvSpPr>
      <xdr:spPr bwMode="auto">
        <a:xfrm>
          <a:off x="13411200" y="10035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152400</xdr:colOff>
      <xdr:row>50</xdr:row>
      <xdr:rowOff>106680</xdr:rowOff>
    </xdr:to>
    <xdr:sp macro="" textlink="">
      <xdr:nvSpPr>
        <xdr:cNvPr id="2367" name="AutoShape 99" descr="ENGLAND5"/>
        <xdr:cNvSpPr>
          <a:spLocks noChangeAspect="1" noChangeArrowheads="1"/>
        </xdr:cNvSpPr>
      </xdr:nvSpPr>
      <xdr:spPr bwMode="auto">
        <a:xfrm>
          <a:off x="0" y="10210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50</xdr:row>
      <xdr:rowOff>0</xdr:rowOff>
    </xdr:from>
    <xdr:to>
      <xdr:col>22</xdr:col>
      <xdr:colOff>304800</xdr:colOff>
      <xdr:row>51</xdr:row>
      <xdr:rowOff>129540</xdr:rowOff>
    </xdr:to>
    <xdr:sp macro="" textlink="">
      <xdr:nvSpPr>
        <xdr:cNvPr id="2368" name="AutoShape 100" descr="https://www.soccerstats.com/img/own/sshplogo.png">
          <a:hlinkClick xmlns:r="http://schemas.openxmlformats.org/officeDocument/2006/relationships" r:id="rId50"/>
        </xdr:cNvPr>
        <xdr:cNvSpPr>
          <a:spLocks noChangeAspect="1" noChangeArrowheads="1"/>
        </xdr:cNvSpPr>
      </xdr:nvSpPr>
      <xdr:spPr bwMode="auto">
        <a:xfrm>
          <a:off x="13411200" y="1021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152400</xdr:colOff>
      <xdr:row>51</xdr:row>
      <xdr:rowOff>106680</xdr:rowOff>
    </xdr:to>
    <xdr:sp macro="" textlink="">
      <xdr:nvSpPr>
        <xdr:cNvPr id="2369" name="AutoShape 101" descr="ENGLAND5"/>
        <xdr:cNvSpPr>
          <a:spLocks noChangeAspect="1" noChangeArrowheads="1"/>
        </xdr:cNvSpPr>
      </xdr:nvSpPr>
      <xdr:spPr bwMode="auto">
        <a:xfrm>
          <a:off x="0" y="1038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51</xdr:row>
      <xdr:rowOff>0</xdr:rowOff>
    </xdr:from>
    <xdr:to>
      <xdr:col>22</xdr:col>
      <xdr:colOff>304800</xdr:colOff>
      <xdr:row>52</xdr:row>
      <xdr:rowOff>53340</xdr:rowOff>
    </xdr:to>
    <xdr:sp macro="" textlink="">
      <xdr:nvSpPr>
        <xdr:cNvPr id="2370" name="AutoShape 102" descr="https://www.soccerstats.com/img/own/sshplogo.png">
          <a:hlinkClick xmlns:r="http://schemas.openxmlformats.org/officeDocument/2006/relationships" r:id="rId51"/>
        </xdr:cNvPr>
        <xdr:cNvSpPr>
          <a:spLocks noChangeAspect="1" noChangeArrowheads="1"/>
        </xdr:cNvSpPr>
      </xdr:nvSpPr>
      <xdr:spPr bwMode="auto">
        <a:xfrm>
          <a:off x="13411200" y="10386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152400</xdr:colOff>
      <xdr:row>52</xdr:row>
      <xdr:rowOff>106680</xdr:rowOff>
    </xdr:to>
    <xdr:sp macro="" textlink="">
      <xdr:nvSpPr>
        <xdr:cNvPr id="2371" name="AutoShape 103" descr="ENGLAND5"/>
        <xdr:cNvSpPr>
          <a:spLocks noChangeAspect="1" noChangeArrowheads="1"/>
        </xdr:cNvSpPr>
      </xdr:nvSpPr>
      <xdr:spPr bwMode="auto">
        <a:xfrm>
          <a:off x="0" y="10561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52</xdr:row>
      <xdr:rowOff>0</xdr:rowOff>
    </xdr:from>
    <xdr:to>
      <xdr:col>22</xdr:col>
      <xdr:colOff>304800</xdr:colOff>
      <xdr:row>53</xdr:row>
      <xdr:rowOff>129540</xdr:rowOff>
    </xdr:to>
    <xdr:sp macro="" textlink="">
      <xdr:nvSpPr>
        <xdr:cNvPr id="2372" name="AutoShape 104" descr="https://www.soccerstats.com/img/own/sshplogo.png">
          <a:hlinkClick xmlns:r="http://schemas.openxmlformats.org/officeDocument/2006/relationships" r:id="rId52"/>
        </xdr:cNvPr>
        <xdr:cNvSpPr>
          <a:spLocks noChangeAspect="1" noChangeArrowheads="1"/>
        </xdr:cNvSpPr>
      </xdr:nvSpPr>
      <xdr:spPr bwMode="auto">
        <a:xfrm>
          <a:off x="13411200" y="10561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152400</xdr:colOff>
      <xdr:row>53</xdr:row>
      <xdr:rowOff>106680</xdr:rowOff>
    </xdr:to>
    <xdr:sp macro="" textlink="">
      <xdr:nvSpPr>
        <xdr:cNvPr id="2373" name="AutoShape 105" descr="ENGLAND5"/>
        <xdr:cNvSpPr>
          <a:spLocks noChangeAspect="1" noChangeArrowheads="1"/>
        </xdr:cNvSpPr>
      </xdr:nvSpPr>
      <xdr:spPr bwMode="auto">
        <a:xfrm>
          <a:off x="0" y="10736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53</xdr:row>
      <xdr:rowOff>0</xdr:rowOff>
    </xdr:from>
    <xdr:to>
      <xdr:col>22</xdr:col>
      <xdr:colOff>304800</xdr:colOff>
      <xdr:row>54</xdr:row>
      <xdr:rowOff>53340</xdr:rowOff>
    </xdr:to>
    <xdr:sp macro="" textlink="">
      <xdr:nvSpPr>
        <xdr:cNvPr id="2374" name="AutoShape 106" descr="https://www.soccerstats.com/img/own/sshplogo.png">
          <a:hlinkClick xmlns:r="http://schemas.openxmlformats.org/officeDocument/2006/relationships" r:id="rId53"/>
        </xdr:cNvPr>
        <xdr:cNvSpPr>
          <a:spLocks noChangeAspect="1" noChangeArrowheads="1"/>
        </xdr:cNvSpPr>
      </xdr:nvSpPr>
      <xdr:spPr bwMode="auto">
        <a:xfrm>
          <a:off x="13411200" y="10736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152400</xdr:colOff>
      <xdr:row>54</xdr:row>
      <xdr:rowOff>106680</xdr:rowOff>
    </xdr:to>
    <xdr:sp macro="" textlink="">
      <xdr:nvSpPr>
        <xdr:cNvPr id="2375" name="AutoShape 107" descr="SPAIN2"/>
        <xdr:cNvSpPr>
          <a:spLocks noChangeAspect="1" noChangeArrowheads="1"/>
        </xdr:cNvSpPr>
      </xdr:nvSpPr>
      <xdr:spPr bwMode="auto">
        <a:xfrm>
          <a:off x="0" y="10911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54</xdr:row>
      <xdr:rowOff>0</xdr:rowOff>
    </xdr:from>
    <xdr:to>
      <xdr:col>22</xdr:col>
      <xdr:colOff>304800</xdr:colOff>
      <xdr:row>55</xdr:row>
      <xdr:rowOff>53340</xdr:rowOff>
    </xdr:to>
    <xdr:sp macro="" textlink="">
      <xdr:nvSpPr>
        <xdr:cNvPr id="2376" name="AutoShape 108" descr="https://www.soccerstats.com/img/own/sshplogo.png">
          <a:hlinkClick xmlns:r="http://schemas.openxmlformats.org/officeDocument/2006/relationships" r:id="rId54"/>
        </xdr:cNvPr>
        <xdr:cNvSpPr>
          <a:spLocks noChangeAspect="1" noChangeArrowheads="1"/>
        </xdr:cNvSpPr>
      </xdr:nvSpPr>
      <xdr:spPr bwMode="auto">
        <a:xfrm>
          <a:off x="13411200" y="10911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152400</xdr:colOff>
      <xdr:row>55</xdr:row>
      <xdr:rowOff>106680</xdr:rowOff>
    </xdr:to>
    <xdr:sp macro="" textlink="">
      <xdr:nvSpPr>
        <xdr:cNvPr id="2377" name="AutoShape 109" descr="SPAIN2"/>
        <xdr:cNvSpPr>
          <a:spLocks noChangeAspect="1" noChangeArrowheads="1"/>
        </xdr:cNvSpPr>
      </xdr:nvSpPr>
      <xdr:spPr bwMode="auto">
        <a:xfrm>
          <a:off x="0" y="11087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55</xdr:row>
      <xdr:rowOff>0</xdr:rowOff>
    </xdr:from>
    <xdr:to>
      <xdr:col>22</xdr:col>
      <xdr:colOff>304800</xdr:colOff>
      <xdr:row>56</xdr:row>
      <xdr:rowOff>129540</xdr:rowOff>
    </xdr:to>
    <xdr:sp macro="" textlink="">
      <xdr:nvSpPr>
        <xdr:cNvPr id="2378" name="AutoShape 110" descr="https://www.soccerstats.com/img/own/sshplogo.png">
          <a:hlinkClick xmlns:r="http://schemas.openxmlformats.org/officeDocument/2006/relationships" r:id="rId55"/>
        </xdr:cNvPr>
        <xdr:cNvSpPr>
          <a:spLocks noChangeAspect="1" noChangeArrowheads="1"/>
        </xdr:cNvSpPr>
      </xdr:nvSpPr>
      <xdr:spPr bwMode="auto">
        <a:xfrm>
          <a:off x="13411200" y="1108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152400</xdr:colOff>
      <xdr:row>56</xdr:row>
      <xdr:rowOff>106680</xdr:rowOff>
    </xdr:to>
    <xdr:sp macro="" textlink="">
      <xdr:nvSpPr>
        <xdr:cNvPr id="2379" name="AutoShape 111" descr="SPAIN2"/>
        <xdr:cNvSpPr>
          <a:spLocks noChangeAspect="1" noChangeArrowheads="1"/>
        </xdr:cNvSpPr>
      </xdr:nvSpPr>
      <xdr:spPr bwMode="auto">
        <a:xfrm>
          <a:off x="0" y="11262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56</xdr:row>
      <xdr:rowOff>0</xdr:rowOff>
    </xdr:from>
    <xdr:to>
      <xdr:col>22</xdr:col>
      <xdr:colOff>304800</xdr:colOff>
      <xdr:row>57</xdr:row>
      <xdr:rowOff>53340</xdr:rowOff>
    </xdr:to>
    <xdr:sp macro="" textlink="">
      <xdr:nvSpPr>
        <xdr:cNvPr id="2380" name="AutoShape 112" descr="https://www.soccerstats.com/img/own/sshplogo.png">
          <a:hlinkClick xmlns:r="http://schemas.openxmlformats.org/officeDocument/2006/relationships" r:id="rId56"/>
        </xdr:cNvPr>
        <xdr:cNvSpPr>
          <a:spLocks noChangeAspect="1" noChangeArrowheads="1"/>
        </xdr:cNvSpPr>
      </xdr:nvSpPr>
      <xdr:spPr bwMode="auto">
        <a:xfrm>
          <a:off x="13411200" y="11262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152400</xdr:colOff>
      <xdr:row>57</xdr:row>
      <xdr:rowOff>106680</xdr:rowOff>
    </xdr:to>
    <xdr:sp macro="" textlink="">
      <xdr:nvSpPr>
        <xdr:cNvPr id="2381" name="AutoShape 113" descr="SPAIN2"/>
        <xdr:cNvSpPr>
          <a:spLocks noChangeAspect="1" noChangeArrowheads="1"/>
        </xdr:cNvSpPr>
      </xdr:nvSpPr>
      <xdr:spPr bwMode="auto">
        <a:xfrm>
          <a:off x="0" y="11437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57</xdr:row>
      <xdr:rowOff>0</xdr:rowOff>
    </xdr:from>
    <xdr:to>
      <xdr:col>22</xdr:col>
      <xdr:colOff>304800</xdr:colOff>
      <xdr:row>58</xdr:row>
      <xdr:rowOff>53340</xdr:rowOff>
    </xdr:to>
    <xdr:sp macro="" textlink="">
      <xdr:nvSpPr>
        <xdr:cNvPr id="2382" name="AutoShape 114" descr="https://www.soccerstats.com/img/own/sshplogo.png">
          <a:hlinkClick xmlns:r="http://schemas.openxmlformats.org/officeDocument/2006/relationships" r:id="rId57"/>
        </xdr:cNvPr>
        <xdr:cNvSpPr>
          <a:spLocks noChangeAspect="1" noChangeArrowheads="1"/>
        </xdr:cNvSpPr>
      </xdr:nvSpPr>
      <xdr:spPr bwMode="auto">
        <a:xfrm>
          <a:off x="13411200" y="11437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152400</xdr:colOff>
      <xdr:row>58</xdr:row>
      <xdr:rowOff>106680</xdr:rowOff>
    </xdr:to>
    <xdr:sp macro="" textlink="">
      <xdr:nvSpPr>
        <xdr:cNvPr id="2383" name="AutoShape 115" descr="GERMANY2"/>
        <xdr:cNvSpPr>
          <a:spLocks noChangeAspect="1" noChangeArrowheads="1"/>
        </xdr:cNvSpPr>
      </xdr:nvSpPr>
      <xdr:spPr bwMode="auto">
        <a:xfrm>
          <a:off x="0" y="11612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58</xdr:row>
      <xdr:rowOff>0</xdr:rowOff>
    </xdr:from>
    <xdr:to>
      <xdr:col>22</xdr:col>
      <xdr:colOff>304800</xdr:colOff>
      <xdr:row>59</xdr:row>
      <xdr:rowOff>53340</xdr:rowOff>
    </xdr:to>
    <xdr:sp macro="" textlink="">
      <xdr:nvSpPr>
        <xdr:cNvPr id="2384" name="AutoShape 116" descr="https://www.soccerstats.com/img/own/sshplogo.png">
          <a:hlinkClick xmlns:r="http://schemas.openxmlformats.org/officeDocument/2006/relationships" r:id="rId58"/>
        </xdr:cNvPr>
        <xdr:cNvSpPr>
          <a:spLocks noChangeAspect="1" noChangeArrowheads="1"/>
        </xdr:cNvSpPr>
      </xdr:nvSpPr>
      <xdr:spPr bwMode="auto">
        <a:xfrm>
          <a:off x="13411200" y="1161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152400</xdr:colOff>
      <xdr:row>59</xdr:row>
      <xdr:rowOff>106680</xdr:rowOff>
    </xdr:to>
    <xdr:sp macro="" textlink="">
      <xdr:nvSpPr>
        <xdr:cNvPr id="2385" name="AutoShape 117" descr="GERMANY2"/>
        <xdr:cNvSpPr>
          <a:spLocks noChangeAspect="1" noChangeArrowheads="1"/>
        </xdr:cNvSpPr>
      </xdr:nvSpPr>
      <xdr:spPr bwMode="auto">
        <a:xfrm>
          <a:off x="0" y="11864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59</xdr:row>
      <xdr:rowOff>0</xdr:rowOff>
    </xdr:from>
    <xdr:to>
      <xdr:col>22</xdr:col>
      <xdr:colOff>304800</xdr:colOff>
      <xdr:row>60</xdr:row>
      <xdr:rowOff>53340</xdr:rowOff>
    </xdr:to>
    <xdr:sp macro="" textlink="">
      <xdr:nvSpPr>
        <xdr:cNvPr id="2386" name="AutoShape 118" descr="https://www.soccerstats.com/img/own/sshplogo.png">
          <a:hlinkClick xmlns:r="http://schemas.openxmlformats.org/officeDocument/2006/relationships" r:id="rId59"/>
        </xdr:cNvPr>
        <xdr:cNvSpPr>
          <a:spLocks noChangeAspect="1" noChangeArrowheads="1"/>
        </xdr:cNvSpPr>
      </xdr:nvSpPr>
      <xdr:spPr bwMode="auto">
        <a:xfrm>
          <a:off x="13411200" y="11864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152400</xdr:colOff>
      <xdr:row>60</xdr:row>
      <xdr:rowOff>106680</xdr:rowOff>
    </xdr:to>
    <xdr:sp macro="" textlink="">
      <xdr:nvSpPr>
        <xdr:cNvPr id="2387" name="AutoShape 119" descr="GERMANY2"/>
        <xdr:cNvSpPr>
          <a:spLocks noChangeAspect="1" noChangeArrowheads="1"/>
        </xdr:cNvSpPr>
      </xdr:nvSpPr>
      <xdr:spPr bwMode="auto">
        <a:xfrm>
          <a:off x="0" y="12039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60</xdr:row>
      <xdr:rowOff>0</xdr:rowOff>
    </xdr:from>
    <xdr:to>
      <xdr:col>22</xdr:col>
      <xdr:colOff>304800</xdr:colOff>
      <xdr:row>60</xdr:row>
      <xdr:rowOff>304800</xdr:rowOff>
    </xdr:to>
    <xdr:sp macro="" textlink="">
      <xdr:nvSpPr>
        <xdr:cNvPr id="2388" name="AutoShape 120" descr="https://www.soccerstats.com/img/own/sshplogo.png">
          <a:hlinkClick xmlns:r="http://schemas.openxmlformats.org/officeDocument/2006/relationships" r:id="rId60"/>
        </xdr:cNvPr>
        <xdr:cNvSpPr>
          <a:spLocks noChangeAspect="1" noChangeArrowheads="1"/>
        </xdr:cNvSpPr>
      </xdr:nvSpPr>
      <xdr:spPr bwMode="auto">
        <a:xfrm>
          <a:off x="13411200" y="12039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152400</xdr:colOff>
      <xdr:row>61</xdr:row>
      <xdr:rowOff>106680</xdr:rowOff>
    </xdr:to>
    <xdr:sp macro="" textlink="">
      <xdr:nvSpPr>
        <xdr:cNvPr id="2389" name="AutoShape 121" descr="GERMANY2"/>
        <xdr:cNvSpPr>
          <a:spLocks noChangeAspect="1" noChangeArrowheads="1"/>
        </xdr:cNvSpPr>
      </xdr:nvSpPr>
      <xdr:spPr bwMode="auto">
        <a:xfrm>
          <a:off x="0" y="12214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61</xdr:row>
      <xdr:rowOff>0</xdr:rowOff>
    </xdr:from>
    <xdr:to>
      <xdr:col>22</xdr:col>
      <xdr:colOff>304800</xdr:colOff>
      <xdr:row>62</xdr:row>
      <xdr:rowOff>53340</xdr:rowOff>
    </xdr:to>
    <xdr:sp macro="" textlink="">
      <xdr:nvSpPr>
        <xdr:cNvPr id="2390" name="AutoShape 122" descr="https://www.soccerstats.com/img/own/sshplogo.png">
          <a:hlinkClick xmlns:r="http://schemas.openxmlformats.org/officeDocument/2006/relationships" r:id="rId61"/>
        </xdr:cNvPr>
        <xdr:cNvSpPr>
          <a:spLocks noChangeAspect="1" noChangeArrowheads="1"/>
        </xdr:cNvSpPr>
      </xdr:nvSpPr>
      <xdr:spPr bwMode="auto">
        <a:xfrm>
          <a:off x="13411200" y="12214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152400</xdr:colOff>
      <xdr:row>62</xdr:row>
      <xdr:rowOff>106680</xdr:rowOff>
    </xdr:to>
    <xdr:sp macro="" textlink="">
      <xdr:nvSpPr>
        <xdr:cNvPr id="2391" name="AutoShape 123" descr="NETHERLANDS2"/>
        <xdr:cNvSpPr>
          <a:spLocks noChangeAspect="1" noChangeArrowheads="1"/>
        </xdr:cNvSpPr>
      </xdr:nvSpPr>
      <xdr:spPr bwMode="auto">
        <a:xfrm>
          <a:off x="0" y="12390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62</xdr:row>
      <xdr:rowOff>0</xdr:rowOff>
    </xdr:from>
    <xdr:to>
      <xdr:col>22</xdr:col>
      <xdr:colOff>304800</xdr:colOff>
      <xdr:row>63</xdr:row>
      <xdr:rowOff>53340</xdr:rowOff>
    </xdr:to>
    <xdr:sp macro="" textlink="">
      <xdr:nvSpPr>
        <xdr:cNvPr id="2392" name="AutoShape 124" descr="https://www.soccerstats.com/img/own/sshplogo.png">
          <a:hlinkClick xmlns:r="http://schemas.openxmlformats.org/officeDocument/2006/relationships" r:id="rId62"/>
        </xdr:cNvPr>
        <xdr:cNvSpPr>
          <a:spLocks noChangeAspect="1" noChangeArrowheads="1"/>
        </xdr:cNvSpPr>
      </xdr:nvSpPr>
      <xdr:spPr bwMode="auto">
        <a:xfrm>
          <a:off x="13411200" y="12390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152400</xdr:colOff>
      <xdr:row>63</xdr:row>
      <xdr:rowOff>106680</xdr:rowOff>
    </xdr:to>
    <xdr:sp macro="" textlink="">
      <xdr:nvSpPr>
        <xdr:cNvPr id="2393" name="AutoShape 125" descr="ARGENTINA2"/>
        <xdr:cNvSpPr>
          <a:spLocks noChangeAspect="1" noChangeArrowheads="1"/>
        </xdr:cNvSpPr>
      </xdr:nvSpPr>
      <xdr:spPr bwMode="auto">
        <a:xfrm>
          <a:off x="0" y="12565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63</xdr:row>
      <xdr:rowOff>0</xdr:rowOff>
    </xdr:from>
    <xdr:to>
      <xdr:col>22</xdr:col>
      <xdr:colOff>304800</xdr:colOff>
      <xdr:row>64</xdr:row>
      <xdr:rowOff>53340</xdr:rowOff>
    </xdr:to>
    <xdr:sp macro="" textlink="">
      <xdr:nvSpPr>
        <xdr:cNvPr id="2394" name="AutoShape 126" descr="https://www.soccerstats.com/img/own/sshplogo.png">
          <a:hlinkClick xmlns:r="http://schemas.openxmlformats.org/officeDocument/2006/relationships" r:id="rId63"/>
        </xdr:cNvPr>
        <xdr:cNvSpPr>
          <a:spLocks noChangeAspect="1" noChangeArrowheads="1"/>
        </xdr:cNvSpPr>
      </xdr:nvSpPr>
      <xdr:spPr bwMode="auto">
        <a:xfrm>
          <a:off x="13411200" y="12565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152400</xdr:colOff>
      <xdr:row>64</xdr:row>
      <xdr:rowOff>106680</xdr:rowOff>
    </xdr:to>
    <xdr:sp macro="" textlink="">
      <xdr:nvSpPr>
        <xdr:cNvPr id="2395" name="AutoShape 127" descr="ARGENTINA2"/>
        <xdr:cNvSpPr>
          <a:spLocks noChangeAspect="1" noChangeArrowheads="1"/>
        </xdr:cNvSpPr>
      </xdr:nvSpPr>
      <xdr:spPr bwMode="auto">
        <a:xfrm>
          <a:off x="0" y="1274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64</xdr:row>
      <xdr:rowOff>0</xdr:rowOff>
    </xdr:from>
    <xdr:to>
      <xdr:col>22</xdr:col>
      <xdr:colOff>304800</xdr:colOff>
      <xdr:row>65</xdr:row>
      <xdr:rowOff>129540</xdr:rowOff>
    </xdr:to>
    <xdr:sp macro="" textlink="">
      <xdr:nvSpPr>
        <xdr:cNvPr id="2396" name="AutoShape 128" descr="https://www.soccerstats.com/img/own/sshplogo.png">
          <a:hlinkClick xmlns:r="http://schemas.openxmlformats.org/officeDocument/2006/relationships" r:id="rId64"/>
        </xdr:cNvPr>
        <xdr:cNvSpPr>
          <a:spLocks noChangeAspect="1" noChangeArrowheads="1"/>
        </xdr:cNvSpPr>
      </xdr:nvSpPr>
      <xdr:spPr bwMode="auto">
        <a:xfrm>
          <a:off x="13411200" y="1274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152400</xdr:colOff>
      <xdr:row>65</xdr:row>
      <xdr:rowOff>106680</xdr:rowOff>
    </xdr:to>
    <xdr:sp macro="" textlink="">
      <xdr:nvSpPr>
        <xdr:cNvPr id="2397" name="AutoShape 129" descr="ARGENTINA2"/>
        <xdr:cNvSpPr>
          <a:spLocks noChangeAspect="1" noChangeArrowheads="1"/>
        </xdr:cNvSpPr>
      </xdr:nvSpPr>
      <xdr:spPr bwMode="auto">
        <a:xfrm>
          <a:off x="0" y="12992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65</xdr:row>
      <xdr:rowOff>0</xdr:rowOff>
    </xdr:from>
    <xdr:to>
      <xdr:col>22</xdr:col>
      <xdr:colOff>304800</xdr:colOff>
      <xdr:row>66</xdr:row>
      <xdr:rowOff>129540</xdr:rowOff>
    </xdr:to>
    <xdr:sp macro="" textlink="">
      <xdr:nvSpPr>
        <xdr:cNvPr id="2398" name="AutoShape 130" descr="https://www.soccerstats.com/img/own/sshplogo.png">
          <a:hlinkClick xmlns:r="http://schemas.openxmlformats.org/officeDocument/2006/relationships" r:id="rId65"/>
        </xdr:cNvPr>
        <xdr:cNvSpPr>
          <a:spLocks noChangeAspect="1" noChangeArrowheads="1"/>
        </xdr:cNvSpPr>
      </xdr:nvSpPr>
      <xdr:spPr bwMode="auto">
        <a:xfrm>
          <a:off x="13411200" y="12992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152400</xdr:colOff>
      <xdr:row>66</xdr:row>
      <xdr:rowOff>106680</xdr:rowOff>
    </xdr:to>
    <xdr:sp macro="" textlink="">
      <xdr:nvSpPr>
        <xdr:cNvPr id="2399" name="AutoShape 131" descr="ARGENTINA2"/>
        <xdr:cNvSpPr>
          <a:spLocks noChangeAspect="1" noChangeArrowheads="1"/>
        </xdr:cNvSpPr>
      </xdr:nvSpPr>
      <xdr:spPr bwMode="auto">
        <a:xfrm>
          <a:off x="0" y="13167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66</xdr:row>
      <xdr:rowOff>0</xdr:rowOff>
    </xdr:from>
    <xdr:to>
      <xdr:col>22</xdr:col>
      <xdr:colOff>304800</xdr:colOff>
      <xdr:row>67</xdr:row>
      <xdr:rowOff>129540</xdr:rowOff>
    </xdr:to>
    <xdr:sp macro="" textlink="">
      <xdr:nvSpPr>
        <xdr:cNvPr id="2400" name="AutoShape 132" descr="https://www.soccerstats.com/img/own/sshplogo.png">
          <a:hlinkClick xmlns:r="http://schemas.openxmlformats.org/officeDocument/2006/relationships" r:id="rId66"/>
        </xdr:cNvPr>
        <xdr:cNvSpPr>
          <a:spLocks noChangeAspect="1" noChangeArrowheads="1"/>
        </xdr:cNvSpPr>
      </xdr:nvSpPr>
      <xdr:spPr bwMode="auto">
        <a:xfrm>
          <a:off x="13411200" y="13167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152400</xdr:colOff>
      <xdr:row>67</xdr:row>
      <xdr:rowOff>106680</xdr:rowOff>
    </xdr:to>
    <xdr:sp macro="" textlink="">
      <xdr:nvSpPr>
        <xdr:cNvPr id="2401" name="AutoShape 133" descr="ARGENTINA2"/>
        <xdr:cNvSpPr>
          <a:spLocks noChangeAspect="1" noChangeArrowheads="1"/>
        </xdr:cNvSpPr>
      </xdr:nvSpPr>
      <xdr:spPr bwMode="auto">
        <a:xfrm>
          <a:off x="0" y="13342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67</xdr:row>
      <xdr:rowOff>0</xdr:rowOff>
    </xdr:from>
    <xdr:to>
      <xdr:col>22</xdr:col>
      <xdr:colOff>304800</xdr:colOff>
      <xdr:row>68</xdr:row>
      <xdr:rowOff>129540</xdr:rowOff>
    </xdr:to>
    <xdr:sp macro="" textlink="">
      <xdr:nvSpPr>
        <xdr:cNvPr id="2402" name="AutoShape 134" descr="https://www.soccerstats.com/img/own/sshplogo.png">
          <a:hlinkClick xmlns:r="http://schemas.openxmlformats.org/officeDocument/2006/relationships" r:id="rId67"/>
        </xdr:cNvPr>
        <xdr:cNvSpPr>
          <a:spLocks noChangeAspect="1" noChangeArrowheads="1"/>
        </xdr:cNvSpPr>
      </xdr:nvSpPr>
      <xdr:spPr bwMode="auto">
        <a:xfrm>
          <a:off x="13411200" y="13342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152400</xdr:colOff>
      <xdr:row>68</xdr:row>
      <xdr:rowOff>106680</xdr:rowOff>
    </xdr:to>
    <xdr:sp macro="" textlink="">
      <xdr:nvSpPr>
        <xdr:cNvPr id="2403" name="AutoShape 135" descr="ARGENTINA3"/>
        <xdr:cNvSpPr>
          <a:spLocks noChangeAspect="1" noChangeArrowheads="1"/>
        </xdr:cNvSpPr>
      </xdr:nvSpPr>
      <xdr:spPr bwMode="auto">
        <a:xfrm>
          <a:off x="0" y="13517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68</xdr:row>
      <xdr:rowOff>0</xdr:rowOff>
    </xdr:from>
    <xdr:to>
      <xdr:col>22</xdr:col>
      <xdr:colOff>304800</xdr:colOff>
      <xdr:row>69</xdr:row>
      <xdr:rowOff>129540</xdr:rowOff>
    </xdr:to>
    <xdr:sp macro="" textlink="">
      <xdr:nvSpPr>
        <xdr:cNvPr id="2404" name="AutoShape 136" descr="https://www.soccerstats.com/img/own/sshplogo.png">
          <a:hlinkClick xmlns:r="http://schemas.openxmlformats.org/officeDocument/2006/relationships" r:id="rId68"/>
        </xdr:cNvPr>
        <xdr:cNvSpPr>
          <a:spLocks noChangeAspect="1" noChangeArrowheads="1"/>
        </xdr:cNvSpPr>
      </xdr:nvSpPr>
      <xdr:spPr bwMode="auto">
        <a:xfrm>
          <a:off x="13411200" y="13517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152400</xdr:colOff>
      <xdr:row>69</xdr:row>
      <xdr:rowOff>106680</xdr:rowOff>
    </xdr:to>
    <xdr:sp macro="" textlink="">
      <xdr:nvSpPr>
        <xdr:cNvPr id="2405" name="AutoShape 137" descr="ARGENTINA3"/>
        <xdr:cNvSpPr>
          <a:spLocks noChangeAspect="1" noChangeArrowheads="1"/>
        </xdr:cNvSpPr>
      </xdr:nvSpPr>
      <xdr:spPr bwMode="auto">
        <a:xfrm>
          <a:off x="0" y="13769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69</xdr:row>
      <xdr:rowOff>0</xdr:rowOff>
    </xdr:from>
    <xdr:to>
      <xdr:col>22</xdr:col>
      <xdr:colOff>304800</xdr:colOff>
      <xdr:row>70</xdr:row>
      <xdr:rowOff>129540</xdr:rowOff>
    </xdr:to>
    <xdr:sp macro="" textlink="">
      <xdr:nvSpPr>
        <xdr:cNvPr id="2406" name="AutoShape 138" descr="https://www.soccerstats.com/img/own/sshplogo.png">
          <a:hlinkClick xmlns:r="http://schemas.openxmlformats.org/officeDocument/2006/relationships" r:id="rId69"/>
        </xdr:cNvPr>
        <xdr:cNvSpPr>
          <a:spLocks noChangeAspect="1" noChangeArrowheads="1"/>
        </xdr:cNvSpPr>
      </xdr:nvSpPr>
      <xdr:spPr bwMode="auto">
        <a:xfrm>
          <a:off x="13411200" y="13769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152400</xdr:colOff>
      <xdr:row>70</xdr:row>
      <xdr:rowOff>106680</xdr:rowOff>
    </xdr:to>
    <xdr:sp macro="" textlink="">
      <xdr:nvSpPr>
        <xdr:cNvPr id="2407" name="AutoShape 139" descr="ARGENTINA3"/>
        <xdr:cNvSpPr>
          <a:spLocks noChangeAspect="1" noChangeArrowheads="1"/>
        </xdr:cNvSpPr>
      </xdr:nvSpPr>
      <xdr:spPr bwMode="auto">
        <a:xfrm>
          <a:off x="0" y="14020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70</xdr:row>
      <xdr:rowOff>0</xdr:rowOff>
    </xdr:from>
    <xdr:to>
      <xdr:col>22</xdr:col>
      <xdr:colOff>304800</xdr:colOff>
      <xdr:row>71</xdr:row>
      <xdr:rowOff>129540</xdr:rowOff>
    </xdr:to>
    <xdr:sp macro="" textlink="">
      <xdr:nvSpPr>
        <xdr:cNvPr id="2408" name="AutoShape 140" descr="https://www.soccerstats.com/img/own/sshplogo.png">
          <a:hlinkClick xmlns:r="http://schemas.openxmlformats.org/officeDocument/2006/relationships" r:id="rId70"/>
        </xdr:cNvPr>
        <xdr:cNvSpPr>
          <a:spLocks noChangeAspect="1" noChangeArrowheads="1"/>
        </xdr:cNvSpPr>
      </xdr:nvSpPr>
      <xdr:spPr bwMode="auto">
        <a:xfrm>
          <a:off x="13411200" y="1402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152400</xdr:colOff>
      <xdr:row>71</xdr:row>
      <xdr:rowOff>106680</xdr:rowOff>
    </xdr:to>
    <xdr:sp macro="" textlink="">
      <xdr:nvSpPr>
        <xdr:cNvPr id="2409" name="AutoShape 141" descr="ARGENTINA3"/>
        <xdr:cNvSpPr>
          <a:spLocks noChangeAspect="1" noChangeArrowheads="1"/>
        </xdr:cNvSpPr>
      </xdr:nvSpPr>
      <xdr:spPr bwMode="auto">
        <a:xfrm>
          <a:off x="0" y="14272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71</xdr:row>
      <xdr:rowOff>0</xdr:rowOff>
    </xdr:from>
    <xdr:to>
      <xdr:col>22</xdr:col>
      <xdr:colOff>304800</xdr:colOff>
      <xdr:row>72</xdr:row>
      <xdr:rowOff>53340</xdr:rowOff>
    </xdr:to>
    <xdr:sp macro="" textlink="">
      <xdr:nvSpPr>
        <xdr:cNvPr id="2410" name="AutoShape 142" descr="https://www.soccerstats.com/img/own/sshplogo.png">
          <a:hlinkClick xmlns:r="http://schemas.openxmlformats.org/officeDocument/2006/relationships" r:id="rId71"/>
        </xdr:cNvPr>
        <xdr:cNvSpPr>
          <a:spLocks noChangeAspect="1" noChangeArrowheads="1"/>
        </xdr:cNvSpPr>
      </xdr:nvSpPr>
      <xdr:spPr bwMode="auto">
        <a:xfrm>
          <a:off x="13411200" y="14272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152400</xdr:colOff>
      <xdr:row>72</xdr:row>
      <xdr:rowOff>106680</xdr:rowOff>
    </xdr:to>
    <xdr:sp macro="" textlink="">
      <xdr:nvSpPr>
        <xdr:cNvPr id="2411" name="AutoShape 143" descr="ARGENTINA3"/>
        <xdr:cNvSpPr>
          <a:spLocks noChangeAspect="1" noChangeArrowheads="1"/>
        </xdr:cNvSpPr>
      </xdr:nvSpPr>
      <xdr:spPr bwMode="auto">
        <a:xfrm>
          <a:off x="0" y="14447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72</xdr:row>
      <xdr:rowOff>0</xdr:rowOff>
    </xdr:from>
    <xdr:to>
      <xdr:col>22</xdr:col>
      <xdr:colOff>304800</xdr:colOff>
      <xdr:row>73</xdr:row>
      <xdr:rowOff>53340</xdr:rowOff>
    </xdr:to>
    <xdr:sp macro="" textlink="">
      <xdr:nvSpPr>
        <xdr:cNvPr id="2412" name="AutoShape 144" descr="https://www.soccerstats.com/img/own/sshplogo.png">
          <a:hlinkClick xmlns:r="http://schemas.openxmlformats.org/officeDocument/2006/relationships" r:id="rId72"/>
        </xdr:cNvPr>
        <xdr:cNvSpPr>
          <a:spLocks noChangeAspect="1" noChangeArrowheads="1"/>
        </xdr:cNvSpPr>
      </xdr:nvSpPr>
      <xdr:spPr bwMode="auto">
        <a:xfrm>
          <a:off x="13411200" y="14447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152400</xdr:colOff>
      <xdr:row>73</xdr:row>
      <xdr:rowOff>106680</xdr:rowOff>
    </xdr:to>
    <xdr:sp macro="" textlink="">
      <xdr:nvSpPr>
        <xdr:cNvPr id="2413" name="AutoShape 145" descr="ARGENTINA3"/>
        <xdr:cNvSpPr>
          <a:spLocks noChangeAspect="1" noChangeArrowheads="1"/>
        </xdr:cNvSpPr>
      </xdr:nvSpPr>
      <xdr:spPr bwMode="auto">
        <a:xfrm>
          <a:off x="0" y="14622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73</xdr:row>
      <xdr:rowOff>0</xdr:rowOff>
    </xdr:from>
    <xdr:to>
      <xdr:col>22</xdr:col>
      <xdr:colOff>304800</xdr:colOff>
      <xdr:row>74</xdr:row>
      <xdr:rowOff>129540</xdr:rowOff>
    </xdr:to>
    <xdr:sp macro="" textlink="">
      <xdr:nvSpPr>
        <xdr:cNvPr id="2414" name="AutoShape 146" descr="https://www.soccerstats.com/img/own/sshplogo.png">
          <a:hlinkClick xmlns:r="http://schemas.openxmlformats.org/officeDocument/2006/relationships" r:id="rId73"/>
        </xdr:cNvPr>
        <xdr:cNvSpPr>
          <a:spLocks noChangeAspect="1" noChangeArrowheads="1"/>
        </xdr:cNvSpPr>
      </xdr:nvSpPr>
      <xdr:spPr bwMode="auto">
        <a:xfrm>
          <a:off x="13411200" y="14622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152400</xdr:colOff>
      <xdr:row>74</xdr:row>
      <xdr:rowOff>106680</xdr:rowOff>
    </xdr:to>
    <xdr:sp macro="" textlink="">
      <xdr:nvSpPr>
        <xdr:cNvPr id="2415" name="AutoShape 147" descr="ARGENTINA3"/>
        <xdr:cNvSpPr>
          <a:spLocks noChangeAspect="1" noChangeArrowheads="1"/>
        </xdr:cNvSpPr>
      </xdr:nvSpPr>
      <xdr:spPr bwMode="auto">
        <a:xfrm>
          <a:off x="0" y="14798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74</xdr:row>
      <xdr:rowOff>0</xdr:rowOff>
    </xdr:from>
    <xdr:to>
      <xdr:col>22</xdr:col>
      <xdr:colOff>304800</xdr:colOff>
      <xdr:row>75</xdr:row>
      <xdr:rowOff>129540</xdr:rowOff>
    </xdr:to>
    <xdr:sp macro="" textlink="">
      <xdr:nvSpPr>
        <xdr:cNvPr id="2416" name="AutoShape 148" descr="https://www.soccerstats.com/img/own/sshplogo.png">
          <a:hlinkClick xmlns:r="http://schemas.openxmlformats.org/officeDocument/2006/relationships" r:id="rId74"/>
        </xdr:cNvPr>
        <xdr:cNvSpPr>
          <a:spLocks noChangeAspect="1" noChangeArrowheads="1"/>
        </xdr:cNvSpPr>
      </xdr:nvSpPr>
      <xdr:spPr bwMode="auto">
        <a:xfrm>
          <a:off x="13411200" y="14798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152400</xdr:colOff>
      <xdr:row>75</xdr:row>
      <xdr:rowOff>106680</xdr:rowOff>
    </xdr:to>
    <xdr:sp macro="" textlink="">
      <xdr:nvSpPr>
        <xdr:cNvPr id="2417" name="AutoShape 149" descr="ARGENTINA3"/>
        <xdr:cNvSpPr>
          <a:spLocks noChangeAspect="1" noChangeArrowheads="1"/>
        </xdr:cNvSpPr>
      </xdr:nvSpPr>
      <xdr:spPr bwMode="auto">
        <a:xfrm>
          <a:off x="0" y="1504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75</xdr:row>
      <xdr:rowOff>0</xdr:rowOff>
    </xdr:from>
    <xdr:to>
      <xdr:col>22</xdr:col>
      <xdr:colOff>304800</xdr:colOff>
      <xdr:row>76</xdr:row>
      <xdr:rowOff>129540</xdr:rowOff>
    </xdr:to>
    <xdr:sp macro="" textlink="">
      <xdr:nvSpPr>
        <xdr:cNvPr id="2418" name="AutoShape 150" descr="https://www.soccerstats.com/img/own/sshplogo.png">
          <a:hlinkClick xmlns:r="http://schemas.openxmlformats.org/officeDocument/2006/relationships" r:id="rId75"/>
        </xdr:cNvPr>
        <xdr:cNvSpPr>
          <a:spLocks noChangeAspect="1" noChangeArrowheads="1"/>
        </xdr:cNvSpPr>
      </xdr:nvSpPr>
      <xdr:spPr bwMode="auto">
        <a:xfrm>
          <a:off x="13411200" y="1504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152400</xdr:colOff>
      <xdr:row>76</xdr:row>
      <xdr:rowOff>106680</xdr:rowOff>
    </xdr:to>
    <xdr:sp macro="" textlink="">
      <xdr:nvSpPr>
        <xdr:cNvPr id="2419" name="AutoShape 151" descr="ARMENIA"/>
        <xdr:cNvSpPr>
          <a:spLocks noChangeAspect="1" noChangeArrowheads="1"/>
        </xdr:cNvSpPr>
      </xdr:nvSpPr>
      <xdr:spPr bwMode="auto">
        <a:xfrm>
          <a:off x="0" y="15224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76</xdr:row>
      <xdr:rowOff>0</xdr:rowOff>
    </xdr:from>
    <xdr:to>
      <xdr:col>22</xdr:col>
      <xdr:colOff>304800</xdr:colOff>
      <xdr:row>77</xdr:row>
      <xdr:rowOff>129540</xdr:rowOff>
    </xdr:to>
    <xdr:sp macro="" textlink="">
      <xdr:nvSpPr>
        <xdr:cNvPr id="2420" name="AutoShape 152" descr="https://www.soccerstats.com/img/own/sshplogo.png">
          <a:hlinkClick xmlns:r="http://schemas.openxmlformats.org/officeDocument/2006/relationships" r:id="rId76"/>
        </xdr:cNvPr>
        <xdr:cNvSpPr>
          <a:spLocks noChangeAspect="1" noChangeArrowheads="1"/>
        </xdr:cNvSpPr>
      </xdr:nvSpPr>
      <xdr:spPr bwMode="auto">
        <a:xfrm>
          <a:off x="13411200" y="15224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152400</xdr:colOff>
      <xdr:row>77</xdr:row>
      <xdr:rowOff>106680</xdr:rowOff>
    </xdr:to>
    <xdr:sp macro="" textlink="">
      <xdr:nvSpPr>
        <xdr:cNvPr id="2421" name="AutoShape 153" descr="ARMENIA"/>
        <xdr:cNvSpPr>
          <a:spLocks noChangeAspect="1" noChangeArrowheads="1"/>
        </xdr:cNvSpPr>
      </xdr:nvSpPr>
      <xdr:spPr bwMode="auto">
        <a:xfrm>
          <a:off x="0" y="1547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77</xdr:row>
      <xdr:rowOff>0</xdr:rowOff>
    </xdr:from>
    <xdr:to>
      <xdr:col>22</xdr:col>
      <xdr:colOff>304800</xdr:colOff>
      <xdr:row>78</xdr:row>
      <xdr:rowOff>129540</xdr:rowOff>
    </xdr:to>
    <xdr:sp macro="" textlink="">
      <xdr:nvSpPr>
        <xdr:cNvPr id="2422" name="AutoShape 154" descr="https://www.soccerstats.com/img/own/sshplogo.png">
          <a:hlinkClick xmlns:r="http://schemas.openxmlformats.org/officeDocument/2006/relationships" r:id="rId77"/>
        </xdr:cNvPr>
        <xdr:cNvSpPr>
          <a:spLocks noChangeAspect="1" noChangeArrowheads="1"/>
        </xdr:cNvSpPr>
      </xdr:nvSpPr>
      <xdr:spPr bwMode="auto">
        <a:xfrm>
          <a:off x="13411200" y="1547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152400</xdr:colOff>
      <xdr:row>78</xdr:row>
      <xdr:rowOff>106680</xdr:rowOff>
    </xdr:to>
    <xdr:sp macro="" textlink="">
      <xdr:nvSpPr>
        <xdr:cNvPr id="2423" name="AutoShape 155" descr="AUSTRALIA3"/>
        <xdr:cNvSpPr>
          <a:spLocks noChangeAspect="1" noChangeArrowheads="1"/>
        </xdr:cNvSpPr>
      </xdr:nvSpPr>
      <xdr:spPr bwMode="auto">
        <a:xfrm>
          <a:off x="0" y="1572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78</xdr:row>
      <xdr:rowOff>0</xdr:rowOff>
    </xdr:from>
    <xdr:to>
      <xdr:col>22</xdr:col>
      <xdr:colOff>304800</xdr:colOff>
      <xdr:row>79</xdr:row>
      <xdr:rowOff>129540</xdr:rowOff>
    </xdr:to>
    <xdr:sp macro="" textlink="">
      <xdr:nvSpPr>
        <xdr:cNvPr id="2424" name="AutoShape 156" descr="https://www.soccerstats.com/img/own/sshplogo.png">
          <a:hlinkClick xmlns:r="http://schemas.openxmlformats.org/officeDocument/2006/relationships" r:id="rId78"/>
        </xdr:cNvPr>
        <xdr:cNvSpPr>
          <a:spLocks noChangeAspect="1" noChangeArrowheads="1"/>
        </xdr:cNvSpPr>
      </xdr:nvSpPr>
      <xdr:spPr bwMode="auto">
        <a:xfrm>
          <a:off x="13411200" y="1572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152400</xdr:colOff>
      <xdr:row>79</xdr:row>
      <xdr:rowOff>106680</xdr:rowOff>
    </xdr:to>
    <xdr:sp macro="" textlink="">
      <xdr:nvSpPr>
        <xdr:cNvPr id="2425" name="AutoShape 157" descr="AUSTRALIA3"/>
        <xdr:cNvSpPr>
          <a:spLocks noChangeAspect="1" noChangeArrowheads="1"/>
        </xdr:cNvSpPr>
      </xdr:nvSpPr>
      <xdr:spPr bwMode="auto">
        <a:xfrm>
          <a:off x="0" y="15979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79</xdr:row>
      <xdr:rowOff>0</xdr:rowOff>
    </xdr:from>
    <xdr:to>
      <xdr:col>22</xdr:col>
      <xdr:colOff>304800</xdr:colOff>
      <xdr:row>80</xdr:row>
      <xdr:rowOff>53340</xdr:rowOff>
    </xdr:to>
    <xdr:sp macro="" textlink="">
      <xdr:nvSpPr>
        <xdr:cNvPr id="2426" name="AutoShape 158" descr="https://www.soccerstats.com/img/own/sshplogo.png">
          <a:hlinkClick xmlns:r="http://schemas.openxmlformats.org/officeDocument/2006/relationships" r:id="rId79"/>
        </xdr:cNvPr>
        <xdr:cNvSpPr>
          <a:spLocks noChangeAspect="1" noChangeArrowheads="1"/>
        </xdr:cNvSpPr>
      </xdr:nvSpPr>
      <xdr:spPr bwMode="auto">
        <a:xfrm>
          <a:off x="13411200" y="15979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152400</xdr:colOff>
      <xdr:row>80</xdr:row>
      <xdr:rowOff>106680</xdr:rowOff>
    </xdr:to>
    <xdr:sp macro="" textlink="">
      <xdr:nvSpPr>
        <xdr:cNvPr id="2427" name="AutoShape 159" descr="AUSTRALIA3"/>
        <xdr:cNvSpPr>
          <a:spLocks noChangeAspect="1" noChangeArrowheads="1"/>
        </xdr:cNvSpPr>
      </xdr:nvSpPr>
      <xdr:spPr bwMode="auto">
        <a:xfrm>
          <a:off x="0" y="16230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80</xdr:row>
      <xdr:rowOff>0</xdr:rowOff>
    </xdr:from>
    <xdr:to>
      <xdr:col>22</xdr:col>
      <xdr:colOff>304800</xdr:colOff>
      <xdr:row>81</xdr:row>
      <xdr:rowOff>129540</xdr:rowOff>
    </xdr:to>
    <xdr:sp macro="" textlink="">
      <xdr:nvSpPr>
        <xdr:cNvPr id="2428" name="AutoShape 160" descr="https://www.soccerstats.com/img/own/sshplogo.png">
          <a:hlinkClick xmlns:r="http://schemas.openxmlformats.org/officeDocument/2006/relationships" r:id="rId80"/>
        </xdr:cNvPr>
        <xdr:cNvSpPr>
          <a:spLocks noChangeAspect="1" noChangeArrowheads="1"/>
        </xdr:cNvSpPr>
      </xdr:nvSpPr>
      <xdr:spPr bwMode="auto">
        <a:xfrm>
          <a:off x="13411200" y="1623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152400</xdr:colOff>
      <xdr:row>81</xdr:row>
      <xdr:rowOff>106680</xdr:rowOff>
    </xdr:to>
    <xdr:sp macro="" textlink="">
      <xdr:nvSpPr>
        <xdr:cNvPr id="2429" name="AutoShape 161" descr="AUSTRALIA5"/>
        <xdr:cNvSpPr>
          <a:spLocks noChangeAspect="1" noChangeArrowheads="1"/>
        </xdr:cNvSpPr>
      </xdr:nvSpPr>
      <xdr:spPr bwMode="auto">
        <a:xfrm>
          <a:off x="0" y="16405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81</xdr:row>
      <xdr:rowOff>0</xdr:rowOff>
    </xdr:from>
    <xdr:to>
      <xdr:col>22</xdr:col>
      <xdr:colOff>304800</xdr:colOff>
      <xdr:row>82</xdr:row>
      <xdr:rowOff>53340</xdr:rowOff>
    </xdr:to>
    <xdr:sp macro="" textlink="">
      <xdr:nvSpPr>
        <xdr:cNvPr id="2430" name="AutoShape 162" descr="https://www.soccerstats.com/img/own/sshplogo.png">
          <a:hlinkClick xmlns:r="http://schemas.openxmlformats.org/officeDocument/2006/relationships" r:id="rId81"/>
        </xdr:cNvPr>
        <xdr:cNvSpPr>
          <a:spLocks noChangeAspect="1" noChangeArrowheads="1"/>
        </xdr:cNvSpPr>
      </xdr:nvSpPr>
      <xdr:spPr bwMode="auto">
        <a:xfrm>
          <a:off x="13411200" y="16405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152400</xdr:colOff>
      <xdr:row>82</xdr:row>
      <xdr:rowOff>106680</xdr:rowOff>
    </xdr:to>
    <xdr:sp macro="" textlink="">
      <xdr:nvSpPr>
        <xdr:cNvPr id="2431" name="AutoShape 163" descr="AUSTRALIA5"/>
        <xdr:cNvSpPr>
          <a:spLocks noChangeAspect="1" noChangeArrowheads="1"/>
        </xdr:cNvSpPr>
      </xdr:nvSpPr>
      <xdr:spPr bwMode="auto">
        <a:xfrm>
          <a:off x="0" y="16581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82</xdr:row>
      <xdr:rowOff>0</xdr:rowOff>
    </xdr:from>
    <xdr:to>
      <xdr:col>22</xdr:col>
      <xdr:colOff>304800</xdr:colOff>
      <xdr:row>83</xdr:row>
      <xdr:rowOff>129540</xdr:rowOff>
    </xdr:to>
    <xdr:sp macro="" textlink="">
      <xdr:nvSpPr>
        <xdr:cNvPr id="2432" name="AutoShape 164" descr="https://www.soccerstats.com/img/own/sshplogo.png">
          <a:hlinkClick xmlns:r="http://schemas.openxmlformats.org/officeDocument/2006/relationships" r:id="rId82"/>
        </xdr:cNvPr>
        <xdr:cNvSpPr>
          <a:spLocks noChangeAspect="1" noChangeArrowheads="1"/>
        </xdr:cNvSpPr>
      </xdr:nvSpPr>
      <xdr:spPr bwMode="auto">
        <a:xfrm>
          <a:off x="13411200" y="16581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152400</xdr:colOff>
      <xdr:row>83</xdr:row>
      <xdr:rowOff>106680</xdr:rowOff>
    </xdr:to>
    <xdr:sp macro="" textlink="">
      <xdr:nvSpPr>
        <xdr:cNvPr id="2433" name="AutoShape 165" descr="AUSTRALIA5"/>
        <xdr:cNvSpPr>
          <a:spLocks noChangeAspect="1" noChangeArrowheads="1"/>
        </xdr:cNvSpPr>
      </xdr:nvSpPr>
      <xdr:spPr bwMode="auto">
        <a:xfrm>
          <a:off x="0" y="16756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83</xdr:row>
      <xdr:rowOff>0</xdr:rowOff>
    </xdr:from>
    <xdr:to>
      <xdr:col>22</xdr:col>
      <xdr:colOff>304800</xdr:colOff>
      <xdr:row>84</xdr:row>
      <xdr:rowOff>53340</xdr:rowOff>
    </xdr:to>
    <xdr:sp macro="" textlink="">
      <xdr:nvSpPr>
        <xdr:cNvPr id="2434" name="AutoShape 166" descr="https://www.soccerstats.com/img/own/sshplogo.png">
          <a:hlinkClick xmlns:r="http://schemas.openxmlformats.org/officeDocument/2006/relationships" r:id="rId83"/>
        </xdr:cNvPr>
        <xdr:cNvSpPr>
          <a:spLocks noChangeAspect="1" noChangeArrowheads="1"/>
        </xdr:cNvSpPr>
      </xdr:nvSpPr>
      <xdr:spPr bwMode="auto">
        <a:xfrm>
          <a:off x="13411200" y="16756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152400</xdr:colOff>
      <xdr:row>84</xdr:row>
      <xdr:rowOff>106680</xdr:rowOff>
    </xdr:to>
    <xdr:sp macro="" textlink="">
      <xdr:nvSpPr>
        <xdr:cNvPr id="2435" name="AutoShape 167" descr="AUSTRALIA5"/>
        <xdr:cNvSpPr>
          <a:spLocks noChangeAspect="1" noChangeArrowheads="1"/>
        </xdr:cNvSpPr>
      </xdr:nvSpPr>
      <xdr:spPr bwMode="auto">
        <a:xfrm>
          <a:off x="0" y="17007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84</xdr:row>
      <xdr:rowOff>0</xdr:rowOff>
    </xdr:from>
    <xdr:to>
      <xdr:col>22</xdr:col>
      <xdr:colOff>304800</xdr:colOff>
      <xdr:row>85</xdr:row>
      <xdr:rowOff>129540</xdr:rowOff>
    </xdr:to>
    <xdr:sp macro="" textlink="">
      <xdr:nvSpPr>
        <xdr:cNvPr id="2436" name="AutoShape 168" descr="https://www.soccerstats.com/img/own/sshplogo.png">
          <a:hlinkClick xmlns:r="http://schemas.openxmlformats.org/officeDocument/2006/relationships" r:id="rId84"/>
        </xdr:cNvPr>
        <xdr:cNvSpPr>
          <a:spLocks noChangeAspect="1" noChangeArrowheads="1"/>
        </xdr:cNvSpPr>
      </xdr:nvSpPr>
      <xdr:spPr bwMode="auto">
        <a:xfrm>
          <a:off x="13411200" y="17007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152400</xdr:colOff>
      <xdr:row>85</xdr:row>
      <xdr:rowOff>106680</xdr:rowOff>
    </xdr:to>
    <xdr:sp macro="" textlink="">
      <xdr:nvSpPr>
        <xdr:cNvPr id="2437" name="AutoShape 169" descr="AUSTRALIA5"/>
        <xdr:cNvSpPr>
          <a:spLocks noChangeAspect="1" noChangeArrowheads="1"/>
        </xdr:cNvSpPr>
      </xdr:nvSpPr>
      <xdr:spPr bwMode="auto">
        <a:xfrm>
          <a:off x="0" y="17183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85</xdr:row>
      <xdr:rowOff>0</xdr:rowOff>
    </xdr:from>
    <xdr:to>
      <xdr:col>22</xdr:col>
      <xdr:colOff>304800</xdr:colOff>
      <xdr:row>86</xdr:row>
      <xdr:rowOff>129540</xdr:rowOff>
    </xdr:to>
    <xdr:sp macro="" textlink="">
      <xdr:nvSpPr>
        <xdr:cNvPr id="2438" name="AutoShape 170" descr="https://www.soccerstats.com/img/own/sshplogo.png">
          <a:hlinkClick xmlns:r="http://schemas.openxmlformats.org/officeDocument/2006/relationships" r:id="rId85"/>
        </xdr:cNvPr>
        <xdr:cNvSpPr>
          <a:spLocks noChangeAspect="1" noChangeArrowheads="1"/>
        </xdr:cNvSpPr>
      </xdr:nvSpPr>
      <xdr:spPr bwMode="auto">
        <a:xfrm>
          <a:off x="13411200" y="1718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152400</xdr:colOff>
      <xdr:row>86</xdr:row>
      <xdr:rowOff>106680</xdr:rowOff>
    </xdr:to>
    <xdr:sp macro="" textlink="">
      <xdr:nvSpPr>
        <xdr:cNvPr id="2439" name="AutoShape 171" descr="AUSTRALIA6"/>
        <xdr:cNvSpPr>
          <a:spLocks noChangeAspect="1" noChangeArrowheads="1"/>
        </xdr:cNvSpPr>
      </xdr:nvSpPr>
      <xdr:spPr bwMode="auto">
        <a:xfrm>
          <a:off x="0" y="17434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86</xdr:row>
      <xdr:rowOff>0</xdr:rowOff>
    </xdr:from>
    <xdr:to>
      <xdr:col>22</xdr:col>
      <xdr:colOff>304800</xdr:colOff>
      <xdr:row>87</xdr:row>
      <xdr:rowOff>53340</xdr:rowOff>
    </xdr:to>
    <xdr:sp macro="" textlink="">
      <xdr:nvSpPr>
        <xdr:cNvPr id="2440" name="AutoShape 172" descr="https://www.soccerstats.com/img/own/sshplogo.png">
          <a:hlinkClick xmlns:r="http://schemas.openxmlformats.org/officeDocument/2006/relationships" r:id="rId86"/>
        </xdr:cNvPr>
        <xdr:cNvSpPr>
          <a:spLocks noChangeAspect="1" noChangeArrowheads="1"/>
        </xdr:cNvSpPr>
      </xdr:nvSpPr>
      <xdr:spPr bwMode="auto">
        <a:xfrm>
          <a:off x="13411200" y="17434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152400</xdr:colOff>
      <xdr:row>87</xdr:row>
      <xdr:rowOff>106680</xdr:rowOff>
    </xdr:to>
    <xdr:sp macro="" textlink="">
      <xdr:nvSpPr>
        <xdr:cNvPr id="2441" name="AutoShape 173" descr="AUSTRALIA6"/>
        <xdr:cNvSpPr>
          <a:spLocks noChangeAspect="1" noChangeArrowheads="1"/>
        </xdr:cNvSpPr>
      </xdr:nvSpPr>
      <xdr:spPr bwMode="auto">
        <a:xfrm>
          <a:off x="0" y="17609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87</xdr:row>
      <xdr:rowOff>0</xdr:rowOff>
    </xdr:from>
    <xdr:to>
      <xdr:col>22</xdr:col>
      <xdr:colOff>304800</xdr:colOff>
      <xdr:row>88</xdr:row>
      <xdr:rowOff>129540</xdr:rowOff>
    </xdr:to>
    <xdr:sp macro="" textlink="">
      <xdr:nvSpPr>
        <xdr:cNvPr id="2442" name="AutoShape 174" descr="https://www.soccerstats.com/img/own/sshplogo.png">
          <a:hlinkClick xmlns:r="http://schemas.openxmlformats.org/officeDocument/2006/relationships" r:id="rId87"/>
        </xdr:cNvPr>
        <xdr:cNvSpPr>
          <a:spLocks noChangeAspect="1" noChangeArrowheads="1"/>
        </xdr:cNvSpPr>
      </xdr:nvSpPr>
      <xdr:spPr bwMode="auto">
        <a:xfrm>
          <a:off x="13411200" y="17609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152400</xdr:colOff>
      <xdr:row>88</xdr:row>
      <xdr:rowOff>106680</xdr:rowOff>
    </xdr:to>
    <xdr:sp macro="" textlink="">
      <xdr:nvSpPr>
        <xdr:cNvPr id="2443" name="AutoShape 175" descr="AUSTRALIA6"/>
        <xdr:cNvSpPr>
          <a:spLocks noChangeAspect="1" noChangeArrowheads="1"/>
        </xdr:cNvSpPr>
      </xdr:nvSpPr>
      <xdr:spPr bwMode="auto">
        <a:xfrm>
          <a:off x="0" y="1786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88</xdr:row>
      <xdr:rowOff>0</xdr:rowOff>
    </xdr:from>
    <xdr:to>
      <xdr:col>22</xdr:col>
      <xdr:colOff>304800</xdr:colOff>
      <xdr:row>89</xdr:row>
      <xdr:rowOff>53340</xdr:rowOff>
    </xdr:to>
    <xdr:sp macro="" textlink="">
      <xdr:nvSpPr>
        <xdr:cNvPr id="2444" name="AutoShape 176" descr="https://www.soccerstats.com/img/own/sshplogo.png">
          <a:hlinkClick xmlns:r="http://schemas.openxmlformats.org/officeDocument/2006/relationships" r:id="rId88"/>
        </xdr:cNvPr>
        <xdr:cNvSpPr>
          <a:spLocks noChangeAspect="1" noChangeArrowheads="1"/>
        </xdr:cNvSpPr>
      </xdr:nvSpPr>
      <xdr:spPr bwMode="auto">
        <a:xfrm>
          <a:off x="13411200" y="1786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152400</xdr:colOff>
      <xdr:row>89</xdr:row>
      <xdr:rowOff>106680</xdr:rowOff>
    </xdr:to>
    <xdr:sp macro="" textlink="">
      <xdr:nvSpPr>
        <xdr:cNvPr id="2445" name="AutoShape 177" descr="AUSTRALIA6"/>
        <xdr:cNvSpPr>
          <a:spLocks noChangeAspect="1" noChangeArrowheads="1"/>
        </xdr:cNvSpPr>
      </xdr:nvSpPr>
      <xdr:spPr bwMode="auto">
        <a:xfrm>
          <a:off x="0" y="18112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89</xdr:row>
      <xdr:rowOff>0</xdr:rowOff>
    </xdr:from>
    <xdr:to>
      <xdr:col>22</xdr:col>
      <xdr:colOff>304800</xdr:colOff>
      <xdr:row>90</xdr:row>
      <xdr:rowOff>53340</xdr:rowOff>
    </xdr:to>
    <xdr:sp macro="" textlink="">
      <xdr:nvSpPr>
        <xdr:cNvPr id="2446" name="AutoShape 178" descr="https://www.soccerstats.com/img/own/sshplogo.png">
          <a:hlinkClick xmlns:r="http://schemas.openxmlformats.org/officeDocument/2006/relationships" r:id="rId89"/>
        </xdr:cNvPr>
        <xdr:cNvSpPr>
          <a:spLocks noChangeAspect="1" noChangeArrowheads="1"/>
        </xdr:cNvSpPr>
      </xdr:nvSpPr>
      <xdr:spPr bwMode="auto">
        <a:xfrm>
          <a:off x="13411200" y="18112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152400</xdr:colOff>
      <xdr:row>90</xdr:row>
      <xdr:rowOff>106680</xdr:rowOff>
    </xdr:to>
    <xdr:sp macro="" textlink="">
      <xdr:nvSpPr>
        <xdr:cNvPr id="2447" name="AutoShape 179" descr="AUSTRALIA6"/>
        <xdr:cNvSpPr>
          <a:spLocks noChangeAspect="1" noChangeArrowheads="1"/>
        </xdr:cNvSpPr>
      </xdr:nvSpPr>
      <xdr:spPr bwMode="auto">
        <a:xfrm>
          <a:off x="0" y="18364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90</xdr:row>
      <xdr:rowOff>0</xdr:rowOff>
    </xdr:from>
    <xdr:to>
      <xdr:col>22</xdr:col>
      <xdr:colOff>304800</xdr:colOff>
      <xdr:row>91</xdr:row>
      <xdr:rowOff>129540</xdr:rowOff>
    </xdr:to>
    <xdr:sp macro="" textlink="">
      <xdr:nvSpPr>
        <xdr:cNvPr id="2448" name="AutoShape 180" descr="https://www.soccerstats.com/img/own/sshplogo.png">
          <a:hlinkClick xmlns:r="http://schemas.openxmlformats.org/officeDocument/2006/relationships" r:id="rId90"/>
        </xdr:cNvPr>
        <xdr:cNvSpPr>
          <a:spLocks noChangeAspect="1" noChangeArrowheads="1"/>
        </xdr:cNvSpPr>
      </xdr:nvSpPr>
      <xdr:spPr bwMode="auto">
        <a:xfrm>
          <a:off x="13411200" y="18364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152400</xdr:colOff>
      <xdr:row>91</xdr:row>
      <xdr:rowOff>106680</xdr:rowOff>
    </xdr:to>
    <xdr:sp macro="" textlink="">
      <xdr:nvSpPr>
        <xdr:cNvPr id="2449" name="AutoShape 181" descr="AUSTRALIA6"/>
        <xdr:cNvSpPr>
          <a:spLocks noChangeAspect="1" noChangeArrowheads="1"/>
        </xdr:cNvSpPr>
      </xdr:nvSpPr>
      <xdr:spPr bwMode="auto">
        <a:xfrm>
          <a:off x="0" y="18615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91</xdr:row>
      <xdr:rowOff>0</xdr:rowOff>
    </xdr:from>
    <xdr:to>
      <xdr:col>22</xdr:col>
      <xdr:colOff>304800</xdr:colOff>
      <xdr:row>92</xdr:row>
      <xdr:rowOff>129540</xdr:rowOff>
    </xdr:to>
    <xdr:sp macro="" textlink="">
      <xdr:nvSpPr>
        <xdr:cNvPr id="2450" name="AutoShape 182" descr="https://www.soccerstats.com/img/own/sshplogo.png">
          <a:hlinkClick xmlns:r="http://schemas.openxmlformats.org/officeDocument/2006/relationships" r:id="rId91"/>
        </xdr:cNvPr>
        <xdr:cNvSpPr>
          <a:spLocks noChangeAspect="1" noChangeArrowheads="1"/>
        </xdr:cNvSpPr>
      </xdr:nvSpPr>
      <xdr:spPr bwMode="auto">
        <a:xfrm>
          <a:off x="13411200" y="18615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152400</xdr:colOff>
      <xdr:row>92</xdr:row>
      <xdr:rowOff>106680</xdr:rowOff>
    </xdr:to>
    <xdr:sp macro="" textlink="">
      <xdr:nvSpPr>
        <xdr:cNvPr id="2451" name="AutoShape 183" descr="AUSTRALIA10"/>
        <xdr:cNvSpPr>
          <a:spLocks noChangeAspect="1" noChangeArrowheads="1"/>
        </xdr:cNvSpPr>
      </xdr:nvSpPr>
      <xdr:spPr bwMode="auto">
        <a:xfrm>
          <a:off x="0" y="18867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92</xdr:row>
      <xdr:rowOff>0</xdr:rowOff>
    </xdr:from>
    <xdr:to>
      <xdr:col>22</xdr:col>
      <xdr:colOff>304800</xdr:colOff>
      <xdr:row>93</xdr:row>
      <xdr:rowOff>129540</xdr:rowOff>
    </xdr:to>
    <xdr:sp macro="" textlink="">
      <xdr:nvSpPr>
        <xdr:cNvPr id="2452" name="AutoShape 184" descr="https://www.soccerstats.com/img/own/sshplogo.png">
          <a:hlinkClick xmlns:r="http://schemas.openxmlformats.org/officeDocument/2006/relationships" r:id="rId92"/>
        </xdr:cNvPr>
        <xdr:cNvSpPr>
          <a:spLocks noChangeAspect="1" noChangeArrowheads="1"/>
        </xdr:cNvSpPr>
      </xdr:nvSpPr>
      <xdr:spPr bwMode="auto">
        <a:xfrm>
          <a:off x="13411200" y="18867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152400</xdr:colOff>
      <xdr:row>93</xdr:row>
      <xdr:rowOff>106680</xdr:rowOff>
    </xdr:to>
    <xdr:sp macro="" textlink="">
      <xdr:nvSpPr>
        <xdr:cNvPr id="2453" name="AutoShape 185" descr="AUSTRALIA10"/>
        <xdr:cNvSpPr>
          <a:spLocks noChangeAspect="1" noChangeArrowheads="1"/>
        </xdr:cNvSpPr>
      </xdr:nvSpPr>
      <xdr:spPr bwMode="auto">
        <a:xfrm>
          <a:off x="0" y="19118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93</xdr:row>
      <xdr:rowOff>0</xdr:rowOff>
    </xdr:from>
    <xdr:to>
      <xdr:col>22</xdr:col>
      <xdr:colOff>304800</xdr:colOff>
      <xdr:row>94</xdr:row>
      <xdr:rowOff>129540</xdr:rowOff>
    </xdr:to>
    <xdr:sp macro="" textlink="">
      <xdr:nvSpPr>
        <xdr:cNvPr id="2454" name="AutoShape 186" descr="https://www.soccerstats.com/img/own/sshplogo.png">
          <a:hlinkClick xmlns:r="http://schemas.openxmlformats.org/officeDocument/2006/relationships" r:id="rId93"/>
        </xdr:cNvPr>
        <xdr:cNvSpPr>
          <a:spLocks noChangeAspect="1" noChangeArrowheads="1"/>
        </xdr:cNvSpPr>
      </xdr:nvSpPr>
      <xdr:spPr bwMode="auto">
        <a:xfrm>
          <a:off x="13411200" y="19118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152400</xdr:colOff>
      <xdr:row>94</xdr:row>
      <xdr:rowOff>106680</xdr:rowOff>
    </xdr:to>
    <xdr:sp macro="" textlink="">
      <xdr:nvSpPr>
        <xdr:cNvPr id="2455" name="AutoShape 187" descr="AUSTRALIA10"/>
        <xdr:cNvSpPr>
          <a:spLocks noChangeAspect="1" noChangeArrowheads="1"/>
        </xdr:cNvSpPr>
      </xdr:nvSpPr>
      <xdr:spPr bwMode="auto">
        <a:xfrm>
          <a:off x="0" y="19370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94</xdr:row>
      <xdr:rowOff>0</xdr:rowOff>
    </xdr:from>
    <xdr:to>
      <xdr:col>22</xdr:col>
      <xdr:colOff>304800</xdr:colOff>
      <xdr:row>95</xdr:row>
      <xdr:rowOff>129540</xdr:rowOff>
    </xdr:to>
    <xdr:sp macro="" textlink="">
      <xdr:nvSpPr>
        <xdr:cNvPr id="2456" name="AutoShape 188" descr="https://www.soccerstats.com/img/own/sshplogo.png">
          <a:hlinkClick xmlns:r="http://schemas.openxmlformats.org/officeDocument/2006/relationships" r:id="rId94"/>
        </xdr:cNvPr>
        <xdr:cNvSpPr>
          <a:spLocks noChangeAspect="1" noChangeArrowheads="1"/>
        </xdr:cNvSpPr>
      </xdr:nvSpPr>
      <xdr:spPr bwMode="auto">
        <a:xfrm>
          <a:off x="13411200" y="19370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152400</xdr:colOff>
      <xdr:row>95</xdr:row>
      <xdr:rowOff>106680</xdr:rowOff>
    </xdr:to>
    <xdr:sp macro="" textlink="">
      <xdr:nvSpPr>
        <xdr:cNvPr id="2457" name="AutoShape 189" descr="AUSTRALIA11"/>
        <xdr:cNvSpPr>
          <a:spLocks noChangeAspect="1" noChangeArrowheads="1"/>
        </xdr:cNvSpPr>
      </xdr:nvSpPr>
      <xdr:spPr bwMode="auto">
        <a:xfrm>
          <a:off x="0" y="19621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95</xdr:row>
      <xdr:rowOff>0</xdr:rowOff>
    </xdr:from>
    <xdr:to>
      <xdr:col>22</xdr:col>
      <xdr:colOff>304800</xdr:colOff>
      <xdr:row>96</xdr:row>
      <xdr:rowOff>53340</xdr:rowOff>
    </xdr:to>
    <xdr:sp macro="" textlink="">
      <xdr:nvSpPr>
        <xdr:cNvPr id="2458" name="AutoShape 190" descr="https://www.soccerstats.com/img/own/sshplogo.png">
          <a:hlinkClick xmlns:r="http://schemas.openxmlformats.org/officeDocument/2006/relationships" r:id="rId95"/>
        </xdr:cNvPr>
        <xdr:cNvSpPr>
          <a:spLocks noChangeAspect="1" noChangeArrowheads="1"/>
        </xdr:cNvSpPr>
      </xdr:nvSpPr>
      <xdr:spPr bwMode="auto">
        <a:xfrm>
          <a:off x="13411200" y="1962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152400</xdr:colOff>
      <xdr:row>96</xdr:row>
      <xdr:rowOff>106680</xdr:rowOff>
    </xdr:to>
    <xdr:sp macro="" textlink="">
      <xdr:nvSpPr>
        <xdr:cNvPr id="2459" name="AutoShape 191" descr="AUSTRALIA11"/>
        <xdr:cNvSpPr>
          <a:spLocks noChangeAspect="1" noChangeArrowheads="1"/>
        </xdr:cNvSpPr>
      </xdr:nvSpPr>
      <xdr:spPr bwMode="auto">
        <a:xfrm>
          <a:off x="0" y="19872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96</xdr:row>
      <xdr:rowOff>0</xdr:rowOff>
    </xdr:from>
    <xdr:to>
      <xdr:col>22</xdr:col>
      <xdr:colOff>304800</xdr:colOff>
      <xdr:row>97</xdr:row>
      <xdr:rowOff>129540</xdr:rowOff>
    </xdr:to>
    <xdr:sp macro="" textlink="">
      <xdr:nvSpPr>
        <xdr:cNvPr id="2460" name="AutoShape 192" descr="https://www.soccerstats.com/img/own/sshplogo.png">
          <a:hlinkClick xmlns:r="http://schemas.openxmlformats.org/officeDocument/2006/relationships" r:id="rId96"/>
        </xdr:cNvPr>
        <xdr:cNvSpPr>
          <a:spLocks noChangeAspect="1" noChangeArrowheads="1"/>
        </xdr:cNvSpPr>
      </xdr:nvSpPr>
      <xdr:spPr bwMode="auto">
        <a:xfrm>
          <a:off x="13411200" y="19872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152400</xdr:colOff>
      <xdr:row>97</xdr:row>
      <xdr:rowOff>106680</xdr:rowOff>
    </xdr:to>
    <xdr:sp macro="" textlink="">
      <xdr:nvSpPr>
        <xdr:cNvPr id="2461" name="AutoShape 193" descr="AUSTRALIA11"/>
        <xdr:cNvSpPr>
          <a:spLocks noChangeAspect="1" noChangeArrowheads="1"/>
        </xdr:cNvSpPr>
      </xdr:nvSpPr>
      <xdr:spPr bwMode="auto">
        <a:xfrm>
          <a:off x="0" y="20048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97</xdr:row>
      <xdr:rowOff>0</xdr:rowOff>
    </xdr:from>
    <xdr:to>
      <xdr:col>22</xdr:col>
      <xdr:colOff>304800</xdr:colOff>
      <xdr:row>98</xdr:row>
      <xdr:rowOff>129540</xdr:rowOff>
    </xdr:to>
    <xdr:sp macro="" textlink="">
      <xdr:nvSpPr>
        <xdr:cNvPr id="2462" name="AutoShape 194" descr="https://www.soccerstats.com/img/own/sshplogo.png">
          <a:hlinkClick xmlns:r="http://schemas.openxmlformats.org/officeDocument/2006/relationships" r:id="rId97"/>
        </xdr:cNvPr>
        <xdr:cNvSpPr>
          <a:spLocks noChangeAspect="1" noChangeArrowheads="1"/>
        </xdr:cNvSpPr>
      </xdr:nvSpPr>
      <xdr:spPr bwMode="auto">
        <a:xfrm>
          <a:off x="13411200" y="20048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152400</xdr:colOff>
      <xdr:row>98</xdr:row>
      <xdr:rowOff>106680</xdr:rowOff>
    </xdr:to>
    <xdr:sp macro="" textlink="">
      <xdr:nvSpPr>
        <xdr:cNvPr id="2463" name="AutoShape 195" descr="AUSTRALIA11"/>
        <xdr:cNvSpPr>
          <a:spLocks noChangeAspect="1" noChangeArrowheads="1"/>
        </xdr:cNvSpPr>
      </xdr:nvSpPr>
      <xdr:spPr bwMode="auto">
        <a:xfrm>
          <a:off x="0" y="20299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98</xdr:row>
      <xdr:rowOff>0</xdr:rowOff>
    </xdr:from>
    <xdr:to>
      <xdr:col>22</xdr:col>
      <xdr:colOff>304800</xdr:colOff>
      <xdr:row>99</xdr:row>
      <xdr:rowOff>129540</xdr:rowOff>
    </xdr:to>
    <xdr:sp macro="" textlink="">
      <xdr:nvSpPr>
        <xdr:cNvPr id="2464" name="AutoShape 196" descr="https://www.soccerstats.com/img/own/sshplogo.png">
          <a:hlinkClick xmlns:r="http://schemas.openxmlformats.org/officeDocument/2006/relationships" r:id="rId98"/>
        </xdr:cNvPr>
        <xdr:cNvSpPr>
          <a:spLocks noChangeAspect="1" noChangeArrowheads="1"/>
        </xdr:cNvSpPr>
      </xdr:nvSpPr>
      <xdr:spPr bwMode="auto">
        <a:xfrm>
          <a:off x="13411200" y="20299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152400</xdr:colOff>
      <xdr:row>99</xdr:row>
      <xdr:rowOff>106680</xdr:rowOff>
    </xdr:to>
    <xdr:sp macro="" textlink="">
      <xdr:nvSpPr>
        <xdr:cNvPr id="2465" name="AutoShape 197" descr="AUSTRIA"/>
        <xdr:cNvSpPr>
          <a:spLocks noChangeAspect="1" noChangeArrowheads="1"/>
        </xdr:cNvSpPr>
      </xdr:nvSpPr>
      <xdr:spPr bwMode="auto">
        <a:xfrm>
          <a:off x="0" y="20551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99</xdr:row>
      <xdr:rowOff>0</xdr:rowOff>
    </xdr:from>
    <xdr:to>
      <xdr:col>22</xdr:col>
      <xdr:colOff>304800</xdr:colOff>
      <xdr:row>100</xdr:row>
      <xdr:rowOff>129540</xdr:rowOff>
    </xdr:to>
    <xdr:sp macro="" textlink="">
      <xdr:nvSpPr>
        <xdr:cNvPr id="2466" name="AutoShape 198" descr="https://www.soccerstats.com/img/own/sshplogo.png">
          <a:hlinkClick xmlns:r="http://schemas.openxmlformats.org/officeDocument/2006/relationships" r:id="rId99"/>
        </xdr:cNvPr>
        <xdr:cNvSpPr>
          <a:spLocks noChangeAspect="1" noChangeArrowheads="1"/>
        </xdr:cNvSpPr>
      </xdr:nvSpPr>
      <xdr:spPr bwMode="auto">
        <a:xfrm>
          <a:off x="13411200" y="20551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152400</xdr:colOff>
      <xdr:row>100</xdr:row>
      <xdr:rowOff>106680</xdr:rowOff>
    </xdr:to>
    <xdr:sp macro="" textlink="">
      <xdr:nvSpPr>
        <xdr:cNvPr id="2467" name="AutoShape 199" descr="AUSTRIA"/>
        <xdr:cNvSpPr>
          <a:spLocks noChangeAspect="1" noChangeArrowheads="1"/>
        </xdr:cNvSpPr>
      </xdr:nvSpPr>
      <xdr:spPr bwMode="auto">
        <a:xfrm>
          <a:off x="0" y="20802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100</xdr:row>
      <xdr:rowOff>0</xdr:rowOff>
    </xdr:from>
    <xdr:to>
      <xdr:col>22</xdr:col>
      <xdr:colOff>304800</xdr:colOff>
      <xdr:row>101</xdr:row>
      <xdr:rowOff>129540</xdr:rowOff>
    </xdr:to>
    <xdr:sp macro="" textlink="">
      <xdr:nvSpPr>
        <xdr:cNvPr id="2468" name="AutoShape 200" descr="https://www.soccerstats.com/img/own/sshplogo.png">
          <a:hlinkClick xmlns:r="http://schemas.openxmlformats.org/officeDocument/2006/relationships" r:id="rId100"/>
        </xdr:cNvPr>
        <xdr:cNvSpPr>
          <a:spLocks noChangeAspect="1" noChangeArrowheads="1"/>
        </xdr:cNvSpPr>
      </xdr:nvSpPr>
      <xdr:spPr bwMode="auto">
        <a:xfrm>
          <a:off x="13411200" y="2080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152400</xdr:colOff>
      <xdr:row>101</xdr:row>
      <xdr:rowOff>106680</xdr:rowOff>
    </xdr:to>
    <xdr:sp macro="" textlink="">
      <xdr:nvSpPr>
        <xdr:cNvPr id="2469" name="AutoShape 201" descr="AUSTRIA2"/>
        <xdr:cNvSpPr>
          <a:spLocks noChangeAspect="1" noChangeArrowheads="1"/>
        </xdr:cNvSpPr>
      </xdr:nvSpPr>
      <xdr:spPr bwMode="auto">
        <a:xfrm>
          <a:off x="0" y="20977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101</xdr:row>
      <xdr:rowOff>0</xdr:rowOff>
    </xdr:from>
    <xdr:to>
      <xdr:col>22</xdr:col>
      <xdr:colOff>304800</xdr:colOff>
      <xdr:row>102</xdr:row>
      <xdr:rowOff>129540</xdr:rowOff>
    </xdr:to>
    <xdr:sp macro="" textlink="">
      <xdr:nvSpPr>
        <xdr:cNvPr id="2470" name="AutoShape 202" descr="https://www.soccerstats.com/img/own/sshplogo.png">
          <a:hlinkClick xmlns:r="http://schemas.openxmlformats.org/officeDocument/2006/relationships" r:id="rId101"/>
        </xdr:cNvPr>
        <xdr:cNvSpPr>
          <a:spLocks noChangeAspect="1" noChangeArrowheads="1"/>
        </xdr:cNvSpPr>
      </xdr:nvSpPr>
      <xdr:spPr bwMode="auto">
        <a:xfrm>
          <a:off x="13411200" y="20977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152400</xdr:colOff>
      <xdr:row>102</xdr:row>
      <xdr:rowOff>106680</xdr:rowOff>
    </xdr:to>
    <xdr:sp macro="" textlink="">
      <xdr:nvSpPr>
        <xdr:cNvPr id="2471" name="AutoShape 203" descr="AUSTRIA2"/>
        <xdr:cNvSpPr>
          <a:spLocks noChangeAspect="1" noChangeArrowheads="1"/>
        </xdr:cNvSpPr>
      </xdr:nvSpPr>
      <xdr:spPr bwMode="auto">
        <a:xfrm>
          <a:off x="0" y="21153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102</xdr:row>
      <xdr:rowOff>0</xdr:rowOff>
    </xdr:from>
    <xdr:to>
      <xdr:col>22</xdr:col>
      <xdr:colOff>304800</xdr:colOff>
      <xdr:row>103</xdr:row>
      <xdr:rowOff>53340</xdr:rowOff>
    </xdr:to>
    <xdr:sp macro="" textlink="">
      <xdr:nvSpPr>
        <xdr:cNvPr id="2472" name="AutoShape 204" descr="https://www.soccerstats.com/img/own/sshplogo.png">
          <a:hlinkClick xmlns:r="http://schemas.openxmlformats.org/officeDocument/2006/relationships" r:id="rId102"/>
        </xdr:cNvPr>
        <xdr:cNvSpPr>
          <a:spLocks noChangeAspect="1" noChangeArrowheads="1"/>
        </xdr:cNvSpPr>
      </xdr:nvSpPr>
      <xdr:spPr bwMode="auto">
        <a:xfrm>
          <a:off x="13411200" y="21153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152400</xdr:colOff>
      <xdr:row>103</xdr:row>
      <xdr:rowOff>106680</xdr:rowOff>
    </xdr:to>
    <xdr:sp macro="" textlink="">
      <xdr:nvSpPr>
        <xdr:cNvPr id="2473" name="AutoShape 205" descr="AUSTRIA2"/>
        <xdr:cNvSpPr>
          <a:spLocks noChangeAspect="1" noChangeArrowheads="1"/>
        </xdr:cNvSpPr>
      </xdr:nvSpPr>
      <xdr:spPr bwMode="auto">
        <a:xfrm>
          <a:off x="0" y="21404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103</xdr:row>
      <xdr:rowOff>0</xdr:rowOff>
    </xdr:from>
    <xdr:to>
      <xdr:col>22</xdr:col>
      <xdr:colOff>304800</xdr:colOff>
      <xdr:row>104</xdr:row>
      <xdr:rowOff>129540</xdr:rowOff>
    </xdr:to>
    <xdr:sp macro="" textlink="">
      <xdr:nvSpPr>
        <xdr:cNvPr id="2474" name="AutoShape 206" descr="https://www.soccerstats.com/img/own/sshplogo.png">
          <a:hlinkClick xmlns:r="http://schemas.openxmlformats.org/officeDocument/2006/relationships" r:id="rId103"/>
        </xdr:cNvPr>
        <xdr:cNvSpPr>
          <a:spLocks noChangeAspect="1" noChangeArrowheads="1"/>
        </xdr:cNvSpPr>
      </xdr:nvSpPr>
      <xdr:spPr bwMode="auto">
        <a:xfrm>
          <a:off x="13411200" y="21404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152400</xdr:colOff>
      <xdr:row>104</xdr:row>
      <xdr:rowOff>106680</xdr:rowOff>
    </xdr:to>
    <xdr:sp macro="" textlink="">
      <xdr:nvSpPr>
        <xdr:cNvPr id="2475" name="AutoShape 207" descr="AUSTRIA2"/>
        <xdr:cNvSpPr>
          <a:spLocks noChangeAspect="1" noChangeArrowheads="1"/>
        </xdr:cNvSpPr>
      </xdr:nvSpPr>
      <xdr:spPr bwMode="auto">
        <a:xfrm>
          <a:off x="0" y="21656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104</xdr:row>
      <xdr:rowOff>0</xdr:rowOff>
    </xdr:from>
    <xdr:to>
      <xdr:col>22</xdr:col>
      <xdr:colOff>304800</xdr:colOff>
      <xdr:row>105</xdr:row>
      <xdr:rowOff>53340</xdr:rowOff>
    </xdr:to>
    <xdr:sp macro="" textlink="">
      <xdr:nvSpPr>
        <xdr:cNvPr id="2476" name="AutoShape 208" descr="https://www.soccerstats.com/img/own/sshplogo.png">
          <a:hlinkClick xmlns:r="http://schemas.openxmlformats.org/officeDocument/2006/relationships" r:id="rId104"/>
        </xdr:cNvPr>
        <xdr:cNvSpPr>
          <a:spLocks noChangeAspect="1" noChangeArrowheads="1"/>
        </xdr:cNvSpPr>
      </xdr:nvSpPr>
      <xdr:spPr bwMode="auto">
        <a:xfrm>
          <a:off x="13411200" y="21656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152400</xdr:colOff>
      <xdr:row>105</xdr:row>
      <xdr:rowOff>106680</xdr:rowOff>
    </xdr:to>
    <xdr:sp macro="" textlink="">
      <xdr:nvSpPr>
        <xdr:cNvPr id="2477" name="AutoShape 209" descr="AUSTRIA2"/>
        <xdr:cNvSpPr>
          <a:spLocks noChangeAspect="1" noChangeArrowheads="1"/>
        </xdr:cNvSpPr>
      </xdr:nvSpPr>
      <xdr:spPr bwMode="auto">
        <a:xfrm>
          <a:off x="0" y="21831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105</xdr:row>
      <xdr:rowOff>0</xdr:rowOff>
    </xdr:from>
    <xdr:to>
      <xdr:col>22</xdr:col>
      <xdr:colOff>304800</xdr:colOff>
      <xdr:row>106</xdr:row>
      <xdr:rowOff>129540</xdr:rowOff>
    </xdr:to>
    <xdr:sp macro="" textlink="">
      <xdr:nvSpPr>
        <xdr:cNvPr id="2478" name="AutoShape 210" descr="https://www.soccerstats.com/img/own/sshplogo.png">
          <a:hlinkClick xmlns:r="http://schemas.openxmlformats.org/officeDocument/2006/relationships" r:id="rId105"/>
        </xdr:cNvPr>
        <xdr:cNvSpPr>
          <a:spLocks noChangeAspect="1" noChangeArrowheads="1"/>
        </xdr:cNvSpPr>
      </xdr:nvSpPr>
      <xdr:spPr bwMode="auto">
        <a:xfrm>
          <a:off x="13411200" y="21831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152400</xdr:colOff>
      <xdr:row>106</xdr:row>
      <xdr:rowOff>106680</xdr:rowOff>
    </xdr:to>
    <xdr:sp macro="" textlink="">
      <xdr:nvSpPr>
        <xdr:cNvPr id="2479" name="AutoShape 211" descr="BELARUS"/>
        <xdr:cNvSpPr>
          <a:spLocks noChangeAspect="1" noChangeArrowheads="1"/>
        </xdr:cNvSpPr>
      </xdr:nvSpPr>
      <xdr:spPr bwMode="auto">
        <a:xfrm>
          <a:off x="0" y="22006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106</xdr:row>
      <xdr:rowOff>0</xdr:rowOff>
    </xdr:from>
    <xdr:to>
      <xdr:col>22</xdr:col>
      <xdr:colOff>304800</xdr:colOff>
      <xdr:row>107</xdr:row>
      <xdr:rowOff>53340</xdr:rowOff>
    </xdr:to>
    <xdr:sp macro="" textlink="">
      <xdr:nvSpPr>
        <xdr:cNvPr id="2480" name="AutoShape 212" descr="https://www.soccerstats.com/img/own/sshplogo.png">
          <a:hlinkClick xmlns:r="http://schemas.openxmlformats.org/officeDocument/2006/relationships" r:id="rId106"/>
        </xdr:cNvPr>
        <xdr:cNvSpPr>
          <a:spLocks noChangeAspect="1" noChangeArrowheads="1"/>
        </xdr:cNvSpPr>
      </xdr:nvSpPr>
      <xdr:spPr bwMode="auto">
        <a:xfrm>
          <a:off x="13411200" y="22006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152400</xdr:colOff>
      <xdr:row>107</xdr:row>
      <xdr:rowOff>106680</xdr:rowOff>
    </xdr:to>
    <xdr:sp macro="" textlink="">
      <xdr:nvSpPr>
        <xdr:cNvPr id="2481" name="AutoShape 213" descr="BELARUS"/>
        <xdr:cNvSpPr>
          <a:spLocks noChangeAspect="1" noChangeArrowheads="1"/>
        </xdr:cNvSpPr>
      </xdr:nvSpPr>
      <xdr:spPr bwMode="auto">
        <a:xfrm>
          <a:off x="0" y="22181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107</xdr:row>
      <xdr:rowOff>0</xdr:rowOff>
    </xdr:from>
    <xdr:to>
      <xdr:col>22</xdr:col>
      <xdr:colOff>304800</xdr:colOff>
      <xdr:row>108</xdr:row>
      <xdr:rowOff>53340</xdr:rowOff>
    </xdr:to>
    <xdr:sp macro="" textlink="">
      <xdr:nvSpPr>
        <xdr:cNvPr id="2482" name="AutoShape 214" descr="https://www.soccerstats.com/img/own/sshplogo.png">
          <a:hlinkClick xmlns:r="http://schemas.openxmlformats.org/officeDocument/2006/relationships" r:id="rId107"/>
        </xdr:cNvPr>
        <xdr:cNvSpPr>
          <a:spLocks noChangeAspect="1" noChangeArrowheads="1"/>
        </xdr:cNvSpPr>
      </xdr:nvSpPr>
      <xdr:spPr bwMode="auto">
        <a:xfrm>
          <a:off x="13411200" y="22181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152400</xdr:colOff>
      <xdr:row>108</xdr:row>
      <xdr:rowOff>106680</xdr:rowOff>
    </xdr:to>
    <xdr:sp macro="" textlink="">
      <xdr:nvSpPr>
        <xdr:cNvPr id="2483" name="AutoShape 215" descr="BELARUS"/>
        <xdr:cNvSpPr>
          <a:spLocks noChangeAspect="1" noChangeArrowheads="1"/>
        </xdr:cNvSpPr>
      </xdr:nvSpPr>
      <xdr:spPr bwMode="auto">
        <a:xfrm>
          <a:off x="0" y="22433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108</xdr:row>
      <xdr:rowOff>0</xdr:rowOff>
    </xdr:from>
    <xdr:to>
      <xdr:col>22</xdr:col>
      <xdr:colOff>304800</xdr:colOff>
      <xdr:row>109</xdr:row>
      <xdr:rowOff>129540</xdr:rowOff>
    </xdr:to>
    <xdr:sp macro="" textlink="">
      <xdr:nvSpPr>
        <xdr:cNvPr id="2484" name="AutoShape 216" descr="https://www.soccerstats.com/img/own/sshplogo.png">
          <a:hlinkClick xmlns:r="http://schemas.openxmlformats.org/officeDocument/2006/relationships" r:id="rId108"/>
        </xdr:cNvPr>
        <xdr:cNvSpPr>
          <a:spLocks noChangeAspect="1" noChangeArrowheads="1"/>
        </xdr:cNvSpPr>
      </xdr:nvSpPr>
      <xdr:spPr bwMode="auto">
        <a:xfrm>
          <a:off x="13411200" y="22433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152400</xdr:colOff>
      <xdr:row>109</xdr:row>
      <xdr:rowOff>106680</xdr:rowOff>
    </xdr:to>
    <xdr:sp macro="" textlink="">
      <xdr:nvSpPr>
        <xdr:cNvPr id="2485" name="AutoShape 217" descr="BELGIUM"/>
        <xdr:cNvSpPr>
          <a:spLocks noChangeAspect="1" noChangeArrowheads="1"/>
        </xdr:cNvSpPr>
      </xdr:nvSpPr>
      <xdr:spPr bwMode="auto">
        <a:xfrm>
          <a:off x="0" y="22608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109</xdr:row>
      <xdr:rowOff>0</xdr:rowOff>
    </xdr:from>
    <xdr:to>
      <xdr:col>22</xdr:col>
      <xdr:colOff>304800</xdr:colOff>
      <xdr:row>110</xdr:row>
      <xdr:rowOff>53340</xdr:rowOff>
    </xdr:to>
    <xdr:sp macro="" textlink="">
      <xdr:nvSpPr>
        <xdr:cNvPr id="2486" name="AutoShape 218" descr="https://www.soccerstats.com/img/own/sshplogo.png">
          <a:hlinkClick xmlns:r="http://schemas.openxmlformats.org/officeDocument/2006/relationships" r:id="rId109"/>
        </xdr:cNvPr>
        <xdr:cNvSpPr>
          <a:spLocks noChangeAspect="1" noChangeArrowheads="1"/>
        </xdr:cNvSpPr>
      </xdr:nvSpPr>
      <xdr:spPr bwMode="auto">
        <a:xfrm>
          <a:off x="13411200" y="22608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152400</xdr:colOff>
      <xdr:row>110</xdr:row>
      <xdr:rowOff>106680</xdr:rowOff>
    </xdr:to>
    <xdr:sp macro="" textlink="">
      <xdr:nvSpPr>
        <xdr:cNvPr id="2487" name="AutoShape 219" descr="BELGIUM"/>
        <xdr:cNvSpPr>
          <a:spLocks noChangeAspect="1" noChangeArrowheads="1"/>
        </xdr:cNvSpPr>
      </xdr:nvSpPr>
      <xdr:spPr bwMode="auto">
        <a:xfrm>
          <a:off x="0" y="22860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110</xdr:row>
      <xdr:rowOff>0</xdr:rowOff>
    </xdr:from>
    <xdr:to>
      <xdr:col>22</xdr:col>
      <xdr:colOff>304800</xdr:colOff>
      <xdr:row>111</xdr:row>
      <xdr:rowOff>129540</xdr:rowOff>
    </xdr:to>
    <xdr:sp macro="" textlink="">
      <xdr:nvSpPr>
        <xdr:cNvPr id="2488" name="AutoShape 220" descr="https://www.soccerstats.com/img/own/sshplogo.png">
          <a:hlinkClick xmlns:r="http://schemas.openxmlformats.org/officeDocument/2006/relationships" r:id="rId110"/>
        </xdr:cNvPr>
        <xdr:cNvSpPr>
          <a:spLocks noChangeAspect="1" noChangeArrowheads="1"/>
        </xdr:cNvSpPr>
      </xdr:nvSpPr>
      <xdr:spPr bwMode="auto">
        <a:xfrm>
          <a:off x="13411200" y="2286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152400</xdr:colOff>
      <xdr:row>111</xdr:row>
      <xdr:rowOff>106680</xdr:rowOff>
    </xdr:to>
    <xdr:sp macro="" textlink="">
      <xdr:nvSpPr>
        <xdr:cNvPr id="2489" name="AutoShape 221" descr="BELGIUM"/>
        <xdr:cNvSpPr>
          <a:spLocks noChangeAspect="1" noChangeArrowheads="1"/>
        </xdr:cNvSpPr>
      </xdr:nvSpPr>
      <xdr:spPr bwMode="auto">
        <a:xfrm>
          <a:off x="0" y="2303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111</xdr:row>
      <xdr:rowOff>0</xdr:rowOff>
    </xdr:from>
    <xdr:to>
      <xdr:col>22</xdr:col>
      <xdr:colOff>304800</xdr:colOff>
      <xdr:row>112</xdr:row>
      <xdr:rowOff>53340</xdr:rowOff>
    </xdr:to>
    <xdr:sp macro="" textlink="">
      <xdr:nvSpPr>
        <xdr:cNvPr id="2490" name="AutoShape 222" descr="https://www.soccerstats.com/img/own/sshplogo.png">
          <a:hlinkClick xmlns:r="http://schemas.openxmlformats.org/officeDocument/2006/relationships" r:id="rId111"/>
        </xdr:cNvPr>
        <xdr:cNvSpPr>
          <a:spLocks noChangeAspect="1" noChangeArrowheads="1"/>
        </xdr:cNvSpPr>
      </xdr:nvSpPr>
      <xdr:spPr bwMode="auto">
        <a:xfrm>
          <a:off x="13411200" y="2303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152400</xdr:colOff>
      <xdr:row>112</xdr:row>
      <xdr:rowOff>106680</xdr:rowOff>
    </xdr:to>
    <xdr:sp macro="" textlink="">
      <xdr:nvSpPr>
        <xdr:cNvPr id="2491" name="AutoShape 223" descr="BELGIUM"/>
        <xdr:cNvSpPr>
          <a:spLocks noChangeAspect="1" noChangeArrowheads="1"/>
        </xdr:cNvSpPr>
      </xdr:nvSpPr>
      <xdr:spPr bwMode="auto">
        <a:xfrm>
          <a:off x="0" y="23210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112</xdr:row>
      <xdr:rowOff>0</xdr:rowOff>
    </xdr:from>
    <xdr:to>
      <xdr:col>22</xdr:col>
      <xdr:colOff>304800</xdr:colOff>
      <xdr:row>113</xdr:row>
      <xdr:rowOff>129540</xdr:rowOff>
    </xdr:to>
    <xdr:sp macro="" textlink="">
      <xdr:nvSpPr>
        <xdr:cNvPr id="2492" name="AutoShape 224" descr="https://www.soccerstats.com/img/own/sshplogo.png">
          <a:hlinkClick xmlns:r="http://schemas.openxmlformats.org/officeDocument/2006/relationships" r:id="rId112"/>
        </xdr:cNvPr>
        <xdr:cNvSpPr>
          <a:spLocks noChangeAspect="1" noChangeArrowheads="1"/>
        </xdr:cNvSpPr>
      </xdr:nvSpPr>
      <xdr:spPr bwMode="auto">
        <a:xfrm>
          <a:off x="13411200" y="23210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152400</xdr:colOff>
      <xdr:row>113</xdr:row>
      <xdr:rowOff>106680</xdr:rowOff>
    </xdr:to>
    <xdr:sp macro="" textlink="">
      <xdr:nvSpPr>
        <xdr:cNvPr id="2493" name="AutoShape 225" descr="BELGIUM2"/>
        <xdr:cNvSpPr>
          <a:spLocks noChangeAspect="1" noChangeArrowheads="1"/>
        </xdr:cNvSpPr>
      </xdr:nvSpPr>
      <xdr:spPr bwMode="auto">
        <a:xfrm>
          <a:off x="0" y="23385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113</xdr:row>
      <xdr:rowOff>0</xdr:rowOff>
    </xdr:from>
    <xdr:to>
      <xdr:col>22</xdr:col>
      <xdr:colOff>304800</xdr:colOff>
      <xdr:row>114</xdr:row>
      <xdr:rowOff>53340</xdr:rowOff>
    </xdr:to>
    <xdr:sp macro="" textlink="">
      <xdr:nvSpPr>
        <xdr:cNvPr id="2494" name="AutoShape 226" descr="https://www.soccerstats.com/img/own/sshplogo.png">
          <a:hlinkClick xmlns:r="http://schemas.openxmlformats.org/officeDocument/2006/relationships" r:id="rId113"/>
        </xdr:cNvPr>
        <xdr:cNvSpPr>
          <a:spLocks noChangeAspect="1" noChangeArrowheads="1"/>
        </xdr:cNvSpPr>
      </xdr:nvSpPr>
      <xdr:spPr bwMode="auto">
        <a:xfrm>
          <a:off x="13411200" y="23385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152400</xdr:colOff>
      <xdr:row>114</xdr:row>
      <xdr:rowOff>106680</xdr:rowOff>
    </xdr:to>
    <xdr:sp macro="" textlink="">
      <xdr:nvSpPr>
        <xdr:cNvPr id="2495" name="AutoShape 227" descr="BELGIUM2"/>
        <xdr:cNvSpPr>
          <a:spLocks noChangeAspect="1" noChangeArrowheads="1"/>
        </xdr:cNvSpPr>
      </xdr:nvSpPr>
      <xdr:spPr bwMode="auto">
        <a:xfrm>
          <a:off x="0" y="23561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114</xdr:row>
      <xdr:rowOff>0</xdr:rowOff>
    </xdr:from>
    <xdr:to>
      <xdr:col>22</xdr:col>
      <xdr:colOff>304800</xdr:colOff>
      <xdr:row>115</xdr:row>
      <xdr:rowOff>53340</xdr:rowOff>
    </xdr:to>
    <xdr:sp macro="" textlink="">
      <xdr:nvSpPr>
        <xdr:cNvPr id="2496" name="AutoShape 228" descr="https://www.soccerstats.com/img/own/sshplogo.png">
          <a:hlinkClick xmlns:r="http://schemas.openxmlformats.org/officeDocument/2006/relationships" r:id="rId114"/>
        </xdr:cNvPr>
        <xdr:cNvSpPr>
          <a:spLocks noChangeAspect="1" noChangeArrowheads="1"/>
        </xdr:cNvSpPr>
      </xdr:nvSpPr>
      <xdr:spPr bwMode="auto">
        <a:xfrm>
          <a:off x="13411200" y="23561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152400</xdr:colOff>
      <xdr:row>115</xdr:row>
      <xdr:rowOff>106680</xdr:rowOff>
    </xdr:to>
    <xdr:sp macro="" textlink="">
      <xdr:nvSpPr>
        <xdr:cNvPr id="2497" name="AutoShape 229" descr="BELGIUM2"/>
        <xdr:cNvSpPr>
          <a:spLocks noChangeAspect="1" noChangeArrowheads="1"/>
        </xdr:cNvSpPr>
      </xdr:nvSpPr>
      <xdr:spPr bwMode="auto">
        <a:xfrm>
          <a:off x="0" y="23736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115</xdr:row>
      <xdr:rowOff>0</xdr:rowOff>
    </xdr:from>
    <xdr:to>
      <xdr:col>22</xdr:col>
      <xdr:colOff>304800</xdr:colOff>
      <xdr:row>116</xdr:row>
      <xdr:rowOff>129540</xdr:rowOff>
    </xdr:to>
    <xdr:sp macro="" textlink="">
      <xdr:nvSpPr>
        <xdr:cNvPr id="2498" name="AutoShape 230" descr="https://www.soccerstats.com/img/own/sshplogo.png">
          <a:hlinkClick xmlns:r="http://schemas.openxmlformats.org/officeDocument/2006/relationships" r:id="rId115"/>
        </xdr:cNvPr>
        <xdr:cNvSpPr>
          <a:spLocks noChangeAspect="1" noChangeArrowheads="1"/>
        </xdr:cNvSpPr>
      </xdr:nvSpPr>
      <xdr:spPr bwMode="auto">
        <a:xfrm>
          <a:off x="13411200" y="2373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152400</xdr:colOff>
      <xdr:row>116</xdr:row>
      <xdr:rowOff>106680</xdr:rowOff>
    </xdr:to>
    <xdr:sp macro="" textlink="">
      <xdr:nvSpPr>
        <xdr:cNvPr id="2499" name="AutoShape 231" descr="BOSNIA"/>
        <xdr:cNvSpPr>
          <a:spLocks noChangeAspect="1" noChangeArrowheads="1"/>
        </xdr:cNvSpPr>
      </xdr:nvSpPr>
      <xdr:spPr bwMode="auto">
        <a:xfrm>
          <a:off x="0" y="23911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116</xdr:row>
      <xdr:rowOff>0</xdr:rowOff>
    </xdr:from>
    <xdr:to>
      <xdr:col>22</xdr:col>
      <xdr:colOff>304800</xdr:colOff>
      <xdr:row>117</xdr:row>
      <xdr:rowOff>129540</xdr:rowOff>
    </xdr:to>
    <xdr:sp macro="" textlink="">
      <xdr:nvSpPr>
        <xdr:cNvPr id="2500" name="AutoShape 232" descr="https://www.soccerstats.com/img/own/sshplogo.png">
          <a:hlinkClick xmlns:r="http://schemas.openxmlformats.org/officeDocument/2006/relationships" r:id="rId116"/>
        </xdr:cNvPr>
        <xdr:cNvSpPr>
          <a:spLocks noChangeAspect="1" noChangeArrowheads="1"/>
        </xdr:cNvSpPr>
      </xdr:nvSpPr>
      <xdr:spPr bwMode="auto">
        <a:xfrm>
          <a:off x="13411200" y="23911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152400</xdr:colOff>
      <xdr:row>117</xdr:row>
      <xdr:rowOff>106680</xdr:rowOff>
    </xdr:to>
    <xdr:sp macro="" textlink="">
      <xdr:nvSpPr>
        <xdr:cNvPr id="2501" name="AutoShape 233" descr="BOSNIA"/>
        <xdr:cNvSpPr>
          <a:spLocks noChangeAspect="1" noChangeArrowheads="1"/>
        </xdr:cNvSpPr>
      </xdr:nvSpPr>
      <xdr:spPr bwMode="auto">
        <a:xfrm>
          <a:off x="0" y="24163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117</xdr:row>
      <xdr:rowOff>0</xdr:rowOff>
    </xdr:from>
    <xdr:to>
      <xdr:col>22</xdr:col>
      <xdr:colOff>304800</xdr:colOff>
      <xdr:row>118</xdr:row>
      <xdr:rowOff>53340</xdr:rowOff>
    </xdr:to>
    <xdr:sp macro="" textlink="">
      <xdr:nvSpPr>
        <xdr:cNvPr id="2502" name="AutoShape 234" descr="https://www.soccerstats.com/img/own/sshplogo.png">
          <a:hlinkClick xmlns:r="http://schemas.openxmlformats.org/officeDocument/2006/relationships" r:id="rId117"/>
        </xdr:cNvPr>
        <xdr:cNvSpPr>
          <a:spLocks noChangeAspect="1" noChangeArrowheads="1"/>
        </xdr:cNvSpPr>
      </xdr:nvSpPr>
      <xdr:spPr bwMode="auto">
        <a:xfrm>
          <a:off x="13411200" y="24163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152400</xdr:colOff>
      <xdr:row>118</xdr:row>
      <xdr:rowOff>106680</xdr:rowOff>
    </xdr:to>
    <xdr:sp macro="" textlink="">
      <xdr:nvSpPr>
        <xdr:cNvPr id="2503" name="AutoShape 235" descr="BOSNIA"/>
        <xdr:cNvSpPr>
          <a:spLocks noChangeAspect="1" noChangeArrowheads="1"/>
        </xdr:cNvSpPr>
      </xdr:nvSpPr>
      <xdr:spPr bwMode="auto">
        <a:xfrm>
          <a:off x="0" y="24338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118</xdr:row>
      <xdr:rowOff>0</xdr:rowOff>
    </xdr:from>
    <xdr:to>
      <xdr:col>22</xdr:col>
      <xdr:colOff>304800</xdr:colOff>
      <xdr:row>119</xdr:row>
      <xdr:rowOff>53340</xdr:rowOff>
    </xdr:to>
    <xdr:sp macro="" textlink="">
      <xdr:nvSpPr>
        <xdr:cNvPr id="2504" name="AutoShape 236" descr="https://www.soccerstats.com/img/own/sshplogo.png">
          <a:hlinkClick xmlns:r="http://schemas.openxmlformats.org/officeDocument/2006/relationships" r:id="rId118"/>
        </xdr:cNvPr>
        <xdr:cNvSpPr>
          <a:spLocks noChangeAspect="1" noChangeArrowheads="1"/>
        </xdr:cNvSpPr>
      </xdr:nvSpPr>
      <xdr:spPr bwMode="auto">
        <a:xfrm>
          <a:off x="13411200" y="24338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152400</xdr:colOff>
      <xdr:row>119</xdr:row>
      <xdr:rowOff>106680</xdr:rowOff>
    </xdr:to>
    <xdr:sp macro="" textlink="">
      <xdr:nvSpPr>
        <xdr:cNvPr id="2505" name="AutoShape 237" descr="BOSNIA"/>
        <xdr:cNvSpPr>
          <a:spLocks noChangeAspect="1" noChangeArrowheads="1"/>
        </xdr:cNvSpPr>
      </xdr:nvSpPr>
      <xdr:spPr bwMode="auto">
        <a:xfrm>
          <a:off x="0" y="24589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119</xdr:row>
      <xdr:rowOff>0</xdr:rowOff>
    </xdr:from>
    <xdr:to>
      <xdr:col>22</xdr:col>
      <xdr:colOff>304800</xdr:colOff>
      <xdr:row>120</xdr:row>
      <xdr:rowOff>129540</xdr:rowOff>
    </xdr:to>
    <xdr:sp macro="" textlink="">
      <xdr:nvSpPr>
        <xdr:cNvPr id="2506" name="AutoShape 238" descr="https://www.soccerstats.com/img/own/sshplogo.png">
          <a:hlinkClick xmlns:r="http://schemas.openxmlformats.org/officeDocument/2006/relationships" r:id="rId119"/>
        </xdr:cNvPr>
        <xdr:cNvSpPr>
          <a:spLocks noChangeAspect="1" noChangeArrowheads="1"/>
        </xdr:cNvSpPr>
      </xdr:nvSpPr>
      <xdr:spPr bwMode="auto">
        <a:xfrm>
          <a:off x="13411200" y="24589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152400</xdr:colOff>
      <xdr:row>120</xdr:row>
      <xdr:rowOff>106680</xdr:rowOff>
    </xdr:to>
    <xdr:sp macro="" textlink="">
      <xdr:nvSpPr>
        <xdr:cNvPr id="2507" name="AutoShape 239" descr="BOSNIA"/>
        <xdr:cNvSpPr>
          <a:spLocks noChangeAspect="1" noChangeArrowheads="1"/>
        </xdr:cNvSpPr>
      </xdr:nvSpPr>
      <xdr:spPr bwMode="auto">
        <a:xfrm>
          <a:off x="0" y="24841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120</xdr:row>
      <xdr:rowOff>0</xdr:rowOff>
    </xdr:from>
    <xdr:to>
      <xdr:col>22</xdr:col>
      <xdr:colOff>304800</xdr:colOff>
      <xdr:row>121</xdr:row>
      <xdr:rowOff>129540</xdr:rowOff>
    </xdr:to>
    <xdr:sp macro="" textlink="">
      <xdr:nvSpPr>
        <xdr:cNvPr id="2508" name="AutoShape 240" descr="https://www.soccerstats.com/img/own/sshplogo.png">
          <a:hlinkClick xmlns:r="http://schemas.openxmlformats.org/officeDocument/2006/relationships" r:id="rId120"/>
        </xdr:cNvPr>
        <xdr:cNvSpPr>
          <a:spLocks noChangeAspect="1" noChangeArrowheads="1"/>
        </xdr:cNvSpPr>
      </xdr:nvSpPr>
      <xdr:spPr bwMode="auto">
        <a:xfrm>
          <a:off x="13411200" y="24841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152400</xdr:colOff>
      <xdr:row>121</xdr:row>
      <xdr:rowOff>106680</xdr:rowOff>
    </xdr:to>
    <xdr:sp macro="" textlink="">
      <xdr:nvSpPr>
        <xdr:cNvPr id="2509" name="AutoShape 241" descr="BRAZIL"/>
        <xdr:cNvSpPr>
          <a:spLocks noChangeAspect="1" noChangeArrowheads="1"/>
        </xdr:cNvSpPr>
      </xdr:nvSpPr>
      <xdr:spPr bwMode="auto">
        <a:xfrm>
          <a:off x="0" y="25016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121</xdr:row>
      <xdr:rowOff>0</xdr:rowOff>
    </xdr:from>
    <xdr:to>
      <xdr:col>22</xdr:col>
      <xdr:colOff>304800</xdr:colOff>
      <xdr:row>122</xdr:row>
      <xdr:rowOff>129540</xdr:rowOff>
    </xdr:to>
    <xdr:sp macro="" textlink="">
      <xdr:nvSpPr>
        <xdr:cNvPr id="2510" name="AutoShape 242" descr="https://www.soccerstats.com/img/own/sshplogo.png">
          <a:hlinkClick xmlns:r="http://schemas.openxmlformats.org/officeDocument/2006/relationships" r:id="rId121"/>
        </xdr:cNvPr>
        <xdr:cNvSpPr>
          <a:spLocks noChangeAspect="1" noChangeArrowheads="1"/>
        </xdr:cNvSpPr>
      </xdr:nvSpPr>
      <xdr:spPr bwMode="auto">
        <a:xfrm>
          <a:off x="13411200" y="25016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152400</xdr:colOff>
      <xdr:row>122</xdr:row>
      <xdr:rowOff>106680</xdr:rowOff>
    </xdr:to>
    <xdr:sp macro="" textlink="">
      <xdr:nvSpPr>
        <xdr:cNvPr id="2511" name="AutoShape 243" descr="BRAZIL"/>
        <xdr:cNvSpPr>
          <a:spLocks noChangeAspect="1" noChangeArrowheads="1"/>
        </xdr:cNvSpPr>
      </xdr:nvSpPr>
      <xdr:spPr bwMode="auto">
        <a:xfrm>
          <a:off x="0" y="25191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122</xdr:row>
      <xdr:rowOff>0</xdr:rowOff>
    </xdr:from>
    <xdr:to>
      <xdr:col>22</xdr:col>
      <xdr:colOff>304800</xdr:colOff>
      <xdr:row>123</xdr:row>
      <xdr:rowOff>129540</xdr:rowOff>
    </xdr:to>
    <xdr:sp macro="" textlink="">
      <xdr:nvSpPr>
        <xdr:cNvPr id="2512" name="AutoShape 244" descr="https://www.soccerstats.com/img/own/sshplogo.png">
          <a:hlinkClick xmlns:r="http://schemas.openxmlformats.org/officeDocument/2006/relationships" r:id="rId122"/>
        </xdr:cNvPr>
        <xdr:cNvSpPr>
          <a:spLocks noChangeAspect="1" noChangeArrowheads="1"/>
        </xdr:cNvSpPr>
      </xdr:nvSpPr>
      <xdr:spPr bwMode="auto">
        <a:xfrm>
          <a:off x="13411200" y="25191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152400</xdr:colOff>
      <xdr:row>123</xdr:row>
      <xdr:rowOff>106680</xdr:rowOff>
    </xdr:to>
    <xdr:sp macro="" textlink="">
      <xdr:nvSpPr>
        <xdr:cNvPr id="2513" name="AutoShape 245" descr="BRAZIL2"/>
        <xdr:cNvSpPr>
          <a:spLocks noChangeAspect="1" noChangeArrowheads="1"/>
        </xdr:cNvSpPr>
      </xdr:nvSpPr>
      <xdr:spPr bwMode="auto">
        <a:xfrm>
          <a:off x="0" y="25366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123</xdr:row>
      <xdr:rowOff>0</xdr:rowOff>
    </xdr:from>
    <xdr:to>
      <xdr:col>22</xdr:col>
      <xdr:colOff>304800</xdr:colOff>
      <xdr:row>124</xdr:row>
      <xdr:rowOff>129540</xdr:rowOff>
    </xdr:to>
    <xdr:sp macro="" textlink="">
      <xdr:nvSpPr>
        <xdr:cNvPr id="2514" name="AutoShape 246" descr="https://www.soccerstats.com/img/own/sshplogo.png">
          <a:hlinkClick xmlns:r="http://schemas.openxmlformats.org/officeDocument/2006/relationships" r:id="rId123"/>
        </xdr:cNvPr>
        <xdr:cNvSpPr>
          <a:spLocks noChangeAspect="1" noChangeArrowheads="1"/>
        </xdr:cNvSpPr>
      </xdr:nvSpPr>
      <xdr:spPr bwMode="auto">
        <a:xfrm>
          <a:off x="13411200" y="25366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152400</xdr:colOff>
      <xdr:row>124</xdr:row>
      <xdr:rowOff>106680</xdr:rowOff>
    </xdr:to>
    <xdr:sp macro="" textlink="">
      <xdr:nvSpPr>
        <xdr:cNvPr id="2515" name="AutoShape 247" descr="BRAZIL2"/>
        <xdr:cNvSpPr>
          <a:spLocks noChangeAspect="1" noChangeArrowheads="1"/>
        </xdr:cNvSpPr>
      </xdr:nvSpPr>
      <xdr:spPr bwMode="auto">
        <a:xfrm>
          <a:off x="0" y="25542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124</xdr:row>
      <xdr:rowOff>0</xdr:rowOff>
    </xdr:from>
    <xdr:to>
      <xdr:col>22</xdr:col>
      <xdr:colOff>304800</xdr:colOff>
      <xdr:row>125</xdr:row>
      <xdr:rowOff>53340</xdr:rowOff>
    </xdr:to>
    <xdr:sp macro="" textlink="">
      <xdr:nvSpPr>
        <xdr:cNvPr id="2516" name="AutoShape 248" descr="https://www.soccerstats.com/img/own/sshplogo.png">
          <a:hlinkClick xmlns:r="http://schemas.openxmlformats.org/officeDocument/2006/relationships" r:id="rId124"/>
        </xdr:cNvPr>
        <xdr:cNvSpPr>
          <a:spLocks noChangeAspect="1" noChangeArrowheads="1"/>
        </xdr:cNvSpPr>
      </xdr:nvSpPr>
      <xdr:spPr bwMode="auto">
        <a:xfrm>
          <a:off x="13411200" y="25542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152400</xdr:colOff>
      <xdr:row>125</xdr:row>
      <xdr:rowOff>106680</xdr:rowOff>
    </xdr:to>
    <xdr:sp macro="" textlink="">
      <xdr:nvSpPr>
        <xdr:cNvPr id="2517" name="AutoShape 249" descr="BRAZIL2"/>
        <xdr:cNvSpPr>
          <a:spLocks noChangeAspect="1" noChangeArrowheads="1"/>
        </xdr:cNvSpPr>
      </xdr:nvSpPr>
      <xdr:spPr bwMode="auto">
        <a:xfrm>
          <a:off x="0" y="25717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125</xdr:row>
      <xdr:rowOff>0</xdr:rowOff>
    </xdr:from>
    <xdr:to>
      <xdr:col>22</xdr:col>
      <xdr:colOff>304800</xdr:colOff>
      <xdr:row>126</xdr:row>
      <xdr:rowOff>129540</xdr:rowOff>
    </xdr:to>
    <xdr:sp macro="" textlink="">
      <xdr:nvSpPr>
        <xdr:cNvPr id="2518" name="AutoShape 250" descr="https://www.soccerstats.com/img/own/sshplogo.png">
          <a:hlinkClick xmlns:r="http://schemas.openxmlformats.org/officeDocument/2006/relationships" r:id="rId125"/>
        </xdr:cNvPr>
        <xdr:cNvSpPr>
          <a:spLocks noChangeAspect="1" noChangeArrowheads="1"/>
        </xdr:cNvSpPr>
      </xdr:nvSpPr>
      <xdr:spPr bwMode="auto">
        <a:xfrm>
          <a:off x="13411200" y="2571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152400</xdr:colOff>
      <xdr:row>126</xdr:row>
      <xdr:rowOff>106680</xdr:rowOff>
    </xdr:to>
    <xdr:sp macro="" textlink="">
      <xdr:nvSpPr>
        <xdr:cNvPr id="2519" name="AutoShape 251" descr="BRAZIL2"/>
        <xdr:cNvSpPr>
          <a:spLocks noChangeAspect="1" noChangeArrowheads="1"/>
        </xdr:cNvSpPr>
      </xdr:nvSpPr>
      <xdr:spPr bwMode="auto">
        <a:xfrm>
          <a:off x="0" y="25892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126</xdr:row>
      <xdr:rowOff>0</xdr:rowOff>
    </xdr:from>
    <xdr:to>
      <xdr:col>22</xdr:col>
      <xdr:colOff>304800</xdr:colOff>
      <xdr:row>127</xdr:row>
      <xdr:rowOff>129540</xdr:rowOff>
    </xdr:to>
    <xdr:sp macro="" textlink="">
      <xdr:nvSpPr>
        <xdr:cNvPr id="2520" name="AutoShape 252" descr="https://www.soccerstats.com/img/own/sshplogo.png">
          <a:hlinkClick xmlns:r="http://schemas.openxmlformats.org/officeDocument/2006/relationships" r:id="rId126"/>
        </xdr:cNvPr>
        <xdr:cNvSpPr>
          <a:spLocks noChangeAspect="1" noChangeArrowheads="1"/>
        </xdr:cNvSpPr>
      </xdr:nvSpPr>
      <xdr:spPr bwMode="auto">
        <a:xfrm>
          <a:off x="13411200" y="25892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152400</xdr:colOff>
      <xdr:row>127</xdr:row>
      <xdr:rowOff>106680</xdr:rowOff>
    </xdr:to>
    <xdr:sp macro="" textlink="">
      <xdr:nvSpPr>
        <xdr:cNvPr id="2521" name="AutoShape 253" descr="BRAZIL3"/>
        <xdr:cNvSpPr>
          <a:spLocks noChangeAspect="1" noChangeArrowheads="1"/>
        </xdr:cNvSpPr>
      </xdr:nvSpPr>
      <xdr:spPr bwMode="auto">
        <a:xfrm>
          <a:off x="0" y="26068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127</xdr:row>
      <xdr:rowOff>0</xdr:rowOff>
    </xdr:from>
    <xdr:to>
      <xdr:col>22</xdr:col>
      <xdr:colOff>304800</xdr:colOff>
      <xdr:row>128</xdr:row>
      <xdr:rowOff>129540</xdr:rowOff>
    </xdr:to>
    <xdr:sp macro="" textlink="">
      <xdr:nvSpPr>
        <xdr:cNvPr id="2522" name="AutoShape 254" descr="https://www.soccerstats.com/img/own/sshplogo.png">
          <a:hlinkClick xmlns:r="http://schemas.openxmlformats.org/officeDocument/2006/relationships" r:id="rId127"/>
        </xdr:cNvPr>
        <xdr:cNvSpPr>
          <a:spLocks noChangeAspect="1" noChangeArrowheads="1"/>
        </xdr:cNvSpPr>
      </xdr:nvSpPr>
      <xdr:spPr bwMode="auto">
        <a:xfrm>
          <a:off x="13411200" y="26068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152400</xdr:colOff>
      <xdr:row>128</xdr:row>
      <xdr:rowOff>106680</xdr:rowOff>
    </xdr:to>
    <xdr:sp macro="" textlink="">
      <xdr:nvSpPr>
        <xdr:cNvPr id="2523" name="AutoShape 255" descr="BRAZIL3"/>
        <xdr:cNvSpPr>
          <a:spLocks noChangeAspect="1" noChangeArrowheads="1"/>
        </xdr:cNvSpPr>
      </xdr:nvSpPr>
      <xdr:spPr bwMode="auto">
        <a:xfrm>
          <a:off x="0" y="26243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128</xdr:row>
      <xdr:rowOff>0</xdr:rowOff>
    </xdr:from>
    <xdr:to>
      <xdr:col>22</xdr:col>
      <xdr:colOff>304800</xdr:colOff>
      <xdr:row>129</xdr:row>
      <xdr:rowOff>53340</xdr:rowOff>
    </xdr:to>
    <xdr:sp macro="" textlink="">
      <xdr:nvSpPr>
        <xdr:cNvPr id="2524" name="AutoShape 256" descr="https://www.soccerstats.com/img/own/sshplogo.png">
          <a:hlinkClick xmlns:r="http://schemas.openxmlformats.org/officeDocument/2006/relationships" r:id="rId128"/>
        </xdr:cNvPr>
        <xdr:cNvSpPr>
          <a:spLocks noChangeAspect="1" noChangeArrowheads="1"/>
        </xdr:cNvSpPr>
      </xdr:nvSpPr>
      <xdr:spPr bwMode="auto">
        <a:xfrm>
          <a:off x="13411200" y="26243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152400</xdr:colOff>
      <xdr:row>129</xdr:row>
      <xdr:rowOff>106680</xdr:rowOff>
    </xdr:to>
    <xdr:sp macro="" textlink="">
      <xdr:nvSpPr>
        <xdr:cNvPr id="2525" name="AutoShape 257" descr="BRAZIL3"/>
        <xdr:cNvSpPr>
          <a:spLocks noChangeAspect="1" noChangeArrowheads="1"/>
        </xdr:cNvSpPr>
      </xdr:nvSpPr>
      <xdr:spPr bwMode="auto">
        <a:xfrm>
          <a:off x="0" y="26494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129</xdr:row>
      <xdr:rowOff>0</xdr:rowOff>
    </xdr:from>
    <xdr:to>
      <xdr:col>22</xdr:col>
      <xdr:colOff>304800</xdr:colOff>
      <xdr:row>130</xdr:row>
      <xdr:rowOff>53340</xdr:rowOff>
    </xdr:to>
    <xdr:sp macro="" textlink="">
      <xdr:nvSpPr>
        <xdr:cNvPr id="2526" name="AutoShape 258" descr="https://www.soccerstats.com/img/own/sshplogo.png">
          <a:hlinkClick xmlns:r="http://schemas.openxmlformats.org/officeDocument/2006/relationships" r:id="rId129"/>
        </xdr:cNvPr>
        <xdr:cNvSpPr>
          <a:spLocks noChangeAspect="1" noChangeArrowheads="1"/>
        </xdr:cNvSpPr>
      </xdr:nvSpPr>
      <xdr:spPr bwMode="auto">
        <a:xfrm>
          <a:off x="13411200" y="26494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152400</xdr:colOff>
      <xdr:row>130</xdr:row>
      <xdr:rowOff>106680</xdr:rowOff>
    </xdr:to>
    <xdr:sp macro="" textlink="">
      <xdr:nvSpPr>
        <xdr:cNvPr id="2527" name="AutoShape 259" descr="BRAZIL3"/>
        <xdr:cNvSpPr>
          <a:spLocks noChangeAspect="1" noChangeArrowheads="1"/>
        </xdr:cNvSpPr>
      </xdr:nvSpPr>
      <xdr:spPr bwMode="auto">
        <a:xfrm>
          <a:off x="0" y="26670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130</xdr:row>
      <xdr:rowOff>0</xdr:rowOff>
    </xdr:from>
    <xdr:to>
      <xdr:col>22</xdr:col>
      <xdr:colOff>304800</xdr:colOff>
      <xdr:row>131</xdr:row>
      <xdr:rowOff>129540</xdr:rowOff>
    </xdr:to>
    <xdr:sp macro="" textlink="">
      <xdr:nvSpPr>
        <xdr:cNvPr id="2528" name="AutoShape 260" descr="https://www.soccerstats.com/img/own/sshplogo.png">
          <a:hlinkClick xmlns:r="http://schemas.openxmlformats.org/officeDocument/2006/relationships" r:id="rId130"/>
        </xdr:cNvPr>
        <xdr:cNvSpPr>
          <a:spLocks noChangeAspect="1" noChangeArrowheads="1"/>
        </xdr:cNvSpPr>
      </xdr:nvSpPr>
      <xdr:spPr bwMode="auto">
        <a:xfrm>
          <a:off x="13411200" y="2667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152400</xdr:colOff>
      <xdr:row>131</xdr:row>
      <xdr:rowOff>106680</xdr:rowOff>
    </xdr:to>
    <xdr:sp macro="" textlink="">
      <xdr:nvSpPr>
        <xdr:cNvPr id="2529" name="AutoShape 261" descr="BRAZIL5"/>
        <xdr:cNvSpPr>
          <a:spLocks noChangeAspect="1" noChangeArrowheads="1"/>
        </xdr:cNvSpPr>
      </xdr:nvSpPr>
      <xdr:spPr bwMode="auto">
        <a:xfrm>
          <a:off x="0" y="2684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131</xdr:row>
      <xdr:rowOff>0</xdr:rowOff>
    </xdr:from>
    <xdr:to>
      <xdr:col>22</xdr:col>
      <xdr:colOff>304800</xdr:colOff>
      <xdr:row>132</xdr:row>
      <xdr:rowOff>129540</xdr:rowOff>
    </xdr:to>
    <xdr:sp macro="" textlink="">
      <xdr:nvSpPr>
        <xdr:cNvPr id="2530" name="AutoShape 262" descr="https://www.soccerstats.com/img/own/sshplogo.png">
          <a:hlinkClick xmlns:r="http://schemas.openxmlformats.org/officeDocument/2006/relationships" r:id="rId131"/>
        </xdr:cNvPr>
        <xdr:cNvSpPr>
          <a:spLocks noChangeAspect="1" noChangeArrowheads="1"/>
        </xdr:cNvSpPr>
      </xdr:nvSpPr>
      <xdr:spPr bwMode="auto">
        <a:xfrm>
          <a:off x="13411200" y="2684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152400</xdr:colOff>
      <xdr:row>132</xdr:row>
      <xdr:rowOff>106680</xdr:rowOff>
    </xdr:to>
    <xdr:sp macro="" textlink="">
      <xdr:nvSpPr>
        <xdr:cNvPr id="2531" name="AutoShape 263" descr="BRAZIL5"/>
        <xdr:cNvSpPr>
          <a:spLocks noChangeAspect="1" noChangeArrowheads="1"/>
        </xdr:cNvSpPr>
      </xdr:nvSpPr>
      <xdr:spPr bwMode="auto">
        <a:xfrm>
          <a:off x="0" y="27096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132</xdr:row>
      <xdr:rowOff>0</xdr:rowOff>
    </xdr:from>
    <xdr:to>
      <xdr:col>22</xdr:col>
      <xdr:colOff>304800</xdr:colOff>
      <xdr:row>133</xdr:row>
      <xdr:rowOff>129540</xdr:rowOff>
    </xdr:to>
    <xdr:sp macro="" textlink="">
      <xdr:nvSpPr>
        <xdr:cNvPr id="2532" name="AutoShape 264" descr="https://www.soccerstats.com/img/own/sshplogo.png">
          <a:hlinkClick xmlns:r="http://schemas.openxmlformats.org/officeDocument/2006/relationships" r:id="rId132"/>
        </xdr:cNvPr>
        <xdr:cNvSpPr>
          <a:spLocks noChangeAspect="1" noChangeArrowheads="1"/>
        </xdr:cNvSpPr>
      </xdr:nvSpPr>
      <xdr:spPr bwMode="auto">
        <a:xfrm>
          <a:off x="13411200" y="27096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152400</xdr:colOff>
      <xdr:row>133</xdr:row>
      <xdr:rowOff>106680</xdr:rowOff>
    </xdr:to>
    <xdr:sp macro="" textlink="">
      <xdr:nvSpPr>
        <xdr:cNvPr id="2533" name="AutoShape 265" descr="BRAZIL5"/>
        <xdr:cNvSpPr>
          <a:spLocks noChangeAspect="1" noChangeArrowheads="1"/>
        </xdr:cNvSpPr>
      </xdr:nvSpPr>
      <xdr:spPr bwMode="auto">
        <a:xfrm>
          <a:off x="0" y="27348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133</xdr:row>
      <xdr:rowOff>0</xdr:rowOff>
    </xdr:from>
    <xdr:to>
      <xdr:col>22</xdr:col>
      <xdr:colOff>304800</xdr:colOff>
      <xdr:row>134</xdr:row>
      <xdr:rowOff>129540</xdr:rowOff>
    </xdr:to>
    <xdr:sp macro="" textlink="">
      <xdr:nvSpPr>
        <xdr:cNvPr id="2534" name="AutoShape 266" descr="https://www.soccerstats.com/img/own/sshplogo.png">
          <a:hlinkClick xmlns:r="http://schemas.openxmlformats.org/officeDocument/2006/relationships" r:id="rId133"/>
        </xdr:cNvPr>
        <xdr:cNvSpPr>
          <a:spLocks noChangeAspect="1" noChangeArrowheads="1"/>
        </xdr:cNvSpPr>
      </xdr:nvSpPr>
      <xdr:spPr bwMode="auto">
        <a:xfrm>
          <a:off x="13411200" y="27348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152400</xdr:colOff>
      <xdr:row>134</xdr:row>
      <xdr:rowOff>106680</xdr:rowOff>
    </xdr:to>
    <xdr:sp macro="" textlink="">
      <xdr:nvSpPr>
        <xdr:cNvPr id="2535" name="AutoShape 267" descr="BRAZIL5"/>
        <xdr:cNvSpPr>
          <a:spLocks noChangeAspect="1" noChangeArrowheads="1"/>
        </xdr:cNvSpPr>
      </xdr:nvSpPr>
      <xdr:spPr bwMode="auto">
        <a:xfrm>
          <a:off x="0" y="27599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134</xdr:row>
      <xdr:rowOff>0</xdr:rowOff>
    </xdr:from>
    <xdr:to>
      <xdr:col>22</xdr:col>
      <xdr:colOff>304800</xdr:colOff>
      <xdr:row>135</xdr:row>
      <xdr:rowOff>129540</xdr:rowOff>
    </xdr:to>
    <xdr:sp macro="" textlink="">
      <xdr:nvSpPr>
        <xdr:cNvPr id="2536" name="AutoShape 268" descr="https://www.soccerstats.com/img/own/sshplogo.png">
          <a:hlinkClick xmlns:r="http://schemas.openxmlformats.org/officeDocument/2006/relationships" r:id="rId134"/>
        </xdr:cNvPr>
        <xdr:cNvSpPr>
          <a:spLocks noChangeAspect="1" noChangeArrowheads="1"/>
        </xdr:cNvSpPr>
      </xdr:nvSpPr>
      <xdr:spPr bwMode="auto">
        <a:xfrm>
          <a:off x="13411200" y="27599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152400</xdr:colOff>
      <xdr:row>135</xdr:row>
      <xdr:rowOff>106680</xdr:rowOff>
    </xdr:to>
    <xdr:sp macro="" textlink="">
      <xdr:nvSpPr>
        <xdr:cNvPr id="2537" name="AutoShape 269" descr="BRAZIL5"/>
        <xdr:cNvSpPr>
          <a:spLocks noChangeAspect="1" noChangeArrowheads="1"/>
        </xdr:cNvSpPr>
      </xdr:nvSpPr>
      <xdr:spPr bwMode="auto">
        <a:xfrm>
          <a:off x="0" y="27851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135</xdr:row>
      <xdr:rowOff>0</xdr:rowOff>
    </xdr:from>
    <xdr:to>
      <xdr:col>22</xdr:col>
      <xdr:colOff>304800</xdr:colOff>
      <xdr:row>136</xdr:row>
      <xdr:rowOff>129540</xdr:rowOff>
    </xdr:to>
    <xdr:sp macro="" textlink="">
      <xdr:nvSpPr>
        <xdr:cNvPr id="2538" name="AutoShape 270" descr="https://www.soccerstats.com/img/own/sshplogo.png">
          <a:hlinkClick xmlns:r="http://schemas.openxmlformats.org/officeDocument/2006/relationships" r:id="rId135"/>
        </xdr:cNvPr>
        <xdr:cNvSpPr>
          <a:spLocks noChangeAspect="1" noChangeArrowheads="1"/>
        </xdr:cNvSpPr>
      </xdr:nvSpPr>
      <xdr:spPr bwMode="auto">
        <a:xfrm>
          <a:off x="13411200" y="27851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152400</xdr:colOff>
      <xdr:row>136</xdr:row>
      <xdr:rowOff>106680</xdr:rowOff>
    </xdr:to>
    <xdr:sp macro="" textlink="">
      <xdr:nvSpPr>
        <xdr:cNvPr id="2539" name="AutoShape 271" descr="BRAZIL5"/>
        <xdr:cNvSpPr>
          <a:spLocks noChangeAspect="1" noChangeArrowheads="1"/>
        </xdr:cNvSpPr>
      </xdr:nvSpPr>
      <xdr:spPr bwMode="auto">
        <a:xfrm>
          <a:off x="0" y="28026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136</xdr:row>
      <xdr:rowOff>0</xdr:rowOff>
    </xdr:from>
    <xdr:to>
      <xdr:col>22</xdr:col>
      <xdr:colOff>304800</xdr:colOff>
      <xdr:row>137</xdr:row>
      <xdr:rowOff>53340</xdr:rowOff>
    </xdr:to>
    <xdr:sp macro="" textlink="">
      <xdr:nvSpPr>
        <xdr:cNvPr id="2540" name="AutoShape 272" descr="https://www.soccerstats.com/img/own/sshplogo.png">
          <a:hlinkClick xmlns:r="http://schemas.openxmlformats.org/officeDocument/2006/relationships" r:id="rId136"/>
        </xdr:cNvPr>
        <xdr:cNvSpPr>
          <a:spLocks noChangeAspect="1" noChangeArrowheads="1"/>
        </xdr:cNvSpPr>
      </xdr:nvSpPr>
      <xdr:spPr bwMode="auto">
        <a:xfrm>
          <a:off x="13411200" y="28026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152400</xdr:colOff>
      <xdr:row>137</xdr:row>
      <xdr:rowOff>106680</xdr:rowOff>
    </xdr:to>
    <xdr:sp macro="" textlink="">
      <xdr:nvSpPr>
        <xdr:cNvPr id="2541" name="AutoShape 273" descr="BULGARIA"/>
        <xdr:cNvSpPr>
          <a:spLocks noChangeAspect="1" noChangeArrowheads="1"/>
        </xdr:cNvSpPr>
      </xdr:nvSpPr>
      <xdr:spPr bwMode="auto">
        <a:xfrm>
          <a:off x="0" y="28277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137</xdr:row>
      <xdr:rowOff>0</xdr:rowOff>
    </xdr:from>
    <xdr:to>
      <xdr:col>22</xdr:col>
      <xdr:colOff>304800</xdr:colOff>
      <xdr:row>138</xdr:row>
      <xdr:rowOff>53340</xdr:rowOff>
    </xdr:to>
    <xdr:sp macro="" textlink="">
      <xdr:nvSpPr>
        <xdr:cNvPr id="2542" name="AutoShape 274" descr="https://www.soccerstats.com/img/own/sshplogo.png">
          <a:hlinkClick xmlns:r="http://schemas.openxmlformats.org/officeDocument/2006/relationships" r:id="rId137"/>
        </xdr:cNvPr>
        <xdr:cNvSpPr>
          <a:spLocks noChangeAspect="1" noChangeArrowheads="1"/>
        </xdr:cNvSpPr>
      </xdr:nvSpPr>
      <xdr:spPr bwMode="auto">
        <a:xfrm>
          <a:off x="13411200" y="28277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152400</xdr:colOff>
      <xdr:row>138</xdr:row>
      <xdr:rowOff>106680</xdr:rowOff>
    </xdr:to>
    <xdr:sp macro="" textlink="">
      <xdr:nvSpPr>
        <xdr:cNvPr id="2543" name="AutoShape 275" descr="BULGARIA"/>
        <xdr:cNvSpPr>
          <a:spLocks noChangeAspect="1" noChangeArrowheads="1"/>
        </xdr:cNvSpPr>
      </xdr:nvSpPr>
      <xdr:spPr bwMode="auto">
        <a:xfrm>
          <a:off x="0" y="28453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138</xdr:row>
      <xdr:rowOff>0</xdr:rowOff>
    </xdr:from>
    <xdr:to>
      <xdr:col>22</xdr:col>
      <xdr:colOff>304800</xdr:colOff>
      <xdr:row>139</xdr:row>
      <xdr:rowOff>53340</xdr:rowOff>
    </xdr:to>
    <xdr:sp macro="" textlink="">
      <xdr:nvSpPr>
        <xdr:cNvPr id="2544" name="AutoShape 276" descr="https://www.soccerstats.com/img/own/sshplogo.png">
          <a:hlinkClick xmlns:r="http://schemas.openxmlformats.org/officeDocument/2006/relationships" r:id="rId138"/>
        </xdr:cNvPr>
        <xdr:cNvSpPr>
          <a:spLocks noChangeAspect="1" noChangeArrowheads="1"/>
        </xdr:cNvSpPr>
      </xdr:nvSpPr>
      <xdr:spPr bwMode="auto">
        <a:xfrm>
          <a:off x="13411200" y="28453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152400</xdr:colOff>
      <xdr:row>139</xdr:row>
      <xdr:rowOff>106680</xdr:rowOff>
    </xdr:to>
    <xdr:sp macro="" textlink="">
      <xdr:nvSpPr>
        <xdr:cNvPr id="2545" name="AutoShape 277" descr="CANADA"/>
        <xdr:cNvSpPr>
          <a:spLocks noChangeAspect="1" noChangeArrowheads="1"/>
        </xdr:cNvSpPr>
      </xdr:nvSpPr>
      <xdr:spPr bwMode="auto">
        <a:xfrm>
          <a:off x="0" y="28628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139</xdr:row>
      <xdr:rowOff>0</xdr:rowOff>
    </xdr:from>
    <xdr:to>
      <xdr:col>22</xdr:col>
      <xdr:colOff>304800</xdr:colOff>
      <xdr:row>140</xdr:row>
      <xdr:rowOff>129540</xdr:rowOff>
    </xdr:to>
    <xdr:sp macro="" textlink="">
      <xdr:nvSpPr>
        <xdr:cNvPr id="2546" name="AutoShape 278" descr="https://www.soccerstats.com/img/own/sshplogo.png">
          <a:hlinkClick xmlns:r="http://schemas.openxmlformats.org/officeDocument/2006/relationships" r:id="rId139"/>
        </xdr:cNvPr>
        <xdr:cNvSpPr>
          <a:spLocks noChangeAspect="1" noChangeArrowheads="1"/>
        </xdr:cNvSpPr>
      </xdr:nvSpPr>
      <xdr:spPr bwMode="auto">
        <a:xfrm>
          <a:off x="13411200" y="2862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152400</xdr:colOff>
      <xdr:row>140</xdr:row>
      <xdr:rowOff>106680</xdr:rowOff>
    </xdr:to>
    <xdr:sp macro="" textlink="">
      <xdr:nvSpPr>
        <xdr:cNvPr id="2547" name="AutoShape 279" descr="CANADA"/>
        <xdr:cNvSpPr>
          <a:spLocks noChangeAspect="1" noChangeArrowheads="1"/>
        </xdr:cNvSpPr>
      </xdr:nvSpPr>
      <xdr:spPr bwMode="auto">
        <a:xfrm>
          <a:off x="0" y="28803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140</xdr:row>
      <xdr:rowOff>0</xdr:rowOff>
    </xdr:from>
    <xdr:to>
      <xdr:col>22</xdr:col>
      <xdr:colOff>304800</xdr:colOff>
      <xdr:row>141</xdr:row>
      <xdr:rowOff>53340</xdr:rowOff>
    </xdr:to>
    <xdr:sp macro="" textlink="">
      <xdr:nvSpPr>
        <xdr:cNvPr id="2548" name="AutoShape 280" descr="https://www.soccerstats.com/img/own/sshplogo.png">
          <a:hlinkClick xmlns:r="http://schemas.openxmlformats.org/officeDocument/2006/relationships" r:id="rId140"/>
        </xdr:cNvPr>
        <xdr:cNvSpPr>
          <a:spLocks noChangeAspect="1" noChangeArrowheads="1"/>
        </xdr:cNvSpPr>
      </xdr:nvSpPr>
      <xdr:spPr bwMode="auto">
        <a:xfrm>
          <a:off x="13411200" y="28803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49" name="AutoShape 281" descr="CHILE"/>
        <xdr:cNvSpPr>
          <a:spLocks noChangeAspect="1" noChangeArrowheads="1"/>
        </xdr:cNvSpPr>
      </xdr:nvSpPr>
      <xdr:spPr bwMode="auto">
        <a:xfrm>
          <a:off x="0" y="28978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550" name="AutoShape 282" descr="https://www.soccerstats.com/img/own/sshplogo.png">
          <a:hlinkClick xmlns:r="http://schemas.openxmlformats.org/officeDocument/2006/relationships" r:id="rId141"/>
        </xdr:cNvPr>
        <xdr:cNvSpPr>
          <a:spLocks noChangeAspect="1" noChangeArrowheads="1"/>
        </xdr:cNvSpPr>
      </xdr:nvSpPr>
      <xdr:spPr bwMode="auto">
        <a:xfrm>
          <a:off x="13411200" y="28978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51" name="AutoShape 283" descr="CHILE2"/>
        <xdr:cNvSpPr>
          <a:spLocks noChangeAspect="1" noChangeArrowheads="1"/>
        </xdr:cNvSpPr>
      </xdr:nvSpPr>
      <xdr:spPr bwMode="auto">
        <a:xfrm>
          <a:off x="0" y="29154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552" name="AutoShape 284" descr="https://www.soccerstats.com/img/own/sshplogo.png">
          <a:hlinkClick xmlns:r="http://schemas.openxmlformats.org/officeDocument/2006/relationships" r:id="rId142"/>
        </xdr:cNvPr>
        <xdr:cNvSpPr>
          <a:spLocks noChangeAspect="1" noChangeArrowheads="1"/>
        </xdr:cNvSpPr>
      </xdr:nvSpPr>
      <xdr:spPr bwMode="auto">
        <a:xfrm>
          <a:off x="13411200" y="29154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53" name="AutoShape 285" descr="CHINA"/>
        <xdr:cNvSpPr>
          <a:spLocks noChangeAspect="1" noChangeArrowheads="1"/>
        </xdr:cNvSpPr>
      </xdr:nvSpPr>
      <xdr:spPr bwMode="auto">
        <a:xfrm>
          <a:off x="0" y="29329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554" name="AutoShape 286" descr="https://www.soccerstats.com/img/own/sshplogo.png">
          <a:hlinkClick xmlns:r="http://schemas.openxmlformats.org/officeDocument/2006/relationships" r:id="rId143"/>
        </xdr:cNvPr>
        <xdr:cNvSpPr>
          <a:spLocks noChangeAspect="1" noChangeArrowheads="1"/>
        </xdr:cNvSpPr>
      </xdr:nvSpPr>
      <xdr:spPr bwMode="auto">
        <a:xfrm>
          <a:off x="13411200" y="29329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55" name="AutoShape 287" descr="CHINA"/>
        <xdr:cNvSpPr>
          <a:spLocks noChangeAspect="1" noChangeArrowheads="1"/>
        </xdr:cNvSpPr>
      </xdr:nvSpPr>
      <xdr:spPr bwMode="auto">
        <a:xfrm>
          <a:off x="0" y="29580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556" name="AutoShape 288" descr="https://www.soccerstats.com/img/own/sshplogo.png">
          <a:hlinkClick xmlns:r="http://schemas.openxmlformats.org/officeDocument/2006/relationships" r:id="rId144"/>
        </xdr:cNvPr>
        <xdr:cNvSpPr>
          <a:spLocks noChangeAspect="1" noChangeArrowheads="1"/>
        </xdr:cNvSpPr>
      </xdr:nvSpPr>
      <xdr:spPr bwMode="auto">
        <a:xfrm>
          <a:off x="13411200" y="29580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57" name="AutoShape 289" descr="CHINA"/>
        <xdr:cNvSpPr>
          <a:spLocks noChangeAspect="1" noChangeArrowheads="1"/>
        </xdr:cNvSpPr>
      </xdr:nvSpPr>
      <xdr:spPr bwMode="auto">
        <a:xfrm>
          <a:off x="0" y="29832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558" name="AutoShape 290" descr="https://www.soccerstats.com/img/own/sshplogo.png">
          <a:hlinkClick xmlns:r="http://schemas.openxmlformats.org/officeDocument/2006/relationships" r:id="rId145"/>
        </xdr:cNvPr>
        <xdr:cNvSpPr>
          <a:spLocks noChangeAspect="1" noChangeArrowheads="1"/>
        </xdr:cNvSpPr>
      </xdr:nvSpPr>
      <xdr:spPr bwMode="auto">
        <a:xfrm>
          <a:off x="13411200" y="29832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59" name="AutoShape 291" descr="CHINA"/>
        <xdr:cNvSpPr>
          <a:spLocks noChangeAspect="1" noChangeArrowheads="1"/>
        </xdr:cNvSpPr>
      </xdr:nvSpPr>
      <xdr:spPr bwMode="auto">
        <a:xfrm>
          <a:off x="0" y="30007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560" name="AutoShape 292" descr="https://www.soccerstats.com/img/own/sshplogo.png">
          <a:hlinkClick xmlns:r="http://schemas.openxmlformats.org/officeDocument/2006/relationships" r:id="rId146"/>
        </xdr:cNvPr>
        <xdr:cNvSpPr>
          <a:spLocks noChangeAspect="1" noChangeArrowheads="1"/>
        </xdr:cNvSpPr>
      </xdr:nvSpPr>
      <xdr:spPr bwMode="auto">
        <a:xfrm>
          <a:off x="13411200" y="30007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61" name="AutoShape 293" descr="CHINA"/>
        <xdr:cNvSpPr>
          <a:spLocks noChangeAspect="1" noChangeArrowheads="1"/>
        </xdr:cNvSpPr>
      </xdr:nvSpPr>
      <xdr:spPr bwMode="auto">
        <a:xfrm>
          <a:off x="0" y="30182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562" name="AutoShape 294" descr="https://www.soccerstats.com/img/own/sshplogo.png">
          <a:hlinkClick xmlns:r="http://schemas.openxmlformats.org/officeDocument/2006/relationships" r:id="rId147"/>
        </xdr:cNvPr>
        <xdr:cNvSpPr>
          <a:spLocks noChangeAspect="1" noChangeArrowheads="1"/>
        </xdr:cNvSpPr>
      </xdr:nvSpPr>
      <xdr:spPr bwMode="auto">
        <a:xfrm>
          <a:off x="13411200" y="30182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63" name="AutoShape 295" descr="CHINA2"/>
        <xdr:cNvSpPr>
          <a:spLocks noChangeAspect="1" noChangeArrowheads="1"/>
        </xdr:cNvSpPr>
      </xdr:nvSpPr>
      <xdr:spPr bwMode="auto">
        <a:xfrm>
          <a:off x="0" y="30434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564" name="AutoShape 296" descr="https://www.soccerstats.com/img/own/sshplogo.png">
          <a:hlinkClick xmlns:r="http://schemas.openxmlformats.org/officeDocument/2006/relationships" r:id="rId148"/>
        </xdr:cNvPr>
        <xdr:cNvSpPr>
          <a:spLocks noChangeAspect="1" noChangeArrowheads="1"/>
        </xdr:cNvSpPr>
      </xdr:nvSpPr>
      <xdr:spPr bwMode="auto">
        <a:xfrm>
          <a:off x="13411200" y="30434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65" name="AutoShape 297" descr="CHINA2"/>
        <xdr:cNvSpPr>
          <a:spLocks noChangeAspect="1" noChangeArrowheads="1"/>
        </xdr:cNvSpPr>
      </xdr:nvSpPr>
      <xdr:spPr bwMode="auto">
        <a:xfrm>
          <a:off x="0" y="30685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566" name="AutoShape 298" descr="https://www.soccerstats.com/img/own/sshplogo.png">
          <a:hlinkClick xmlns:r="http://schemas.openxmlformats.org/officeDocument/2006/relationships" r:id="rId149"/>
        </xdr:cNvPr>
        <xdr:cNvSpPr>
          <a:spLocks noChangeAspect="1" noChangeArrowheads="1"/>
        </xdr:cNvSpPr>
      </xdr:nvSpPr>
      <xdr:spPr bwMode="auto">
        <a:xfrm>
          <a:off x="13411200" y="30685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67" name="AutoShape 299" descr="CHINA2"/>
        <xdr:cNvSpPr>
          <a:spLocks noChangeAspect="1" noChangeArrowheads="1"/>
        </xdr:cNvSpPr>
      </xdr:nvSpPr>
      <xdr:spPr bwMode="auto">
        <a:xfrm>
          <a:off x="0" y="30937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568" name="AutoShape 300" descr="https://www.soccerstats.com/img/own/sshplogo.png">
          <a:hlinkClick xmlns:r="http://schemas.openxmlformats.org/officeDocument/2006/relationships" r:id="rId150"/>
        </xdr:cNvPr>
        <xdr:cNvSpPr>
          <a:spLocks noChangeAspect="1" noChangeArrowheads="1"/>
        </xdr:cNvSpPr>
      </xdr:nvSpPr>
      <xdr:spPr bwMode="auto">
        <a:xfrm>
          <a:off x="13411200" y="30937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69" name="AutoShape 301" descr="CHINA2"/>
        <xdr:cNvSpPr>
          <a:spLocks noChangeAspect="1" noChangeArrowheads="1"/>
        </xdr:cNvSpPr>
      </xdr:nvSpPr>
      <xdr:spPr bwMode="auto">
        <a:xfrm>
          <a:off x="0" y="3118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570" name="AutoShape 302" descr="https://www.soccerstats.com/img/own/sshplogo.png">
          <a:hlinkClick xmlns:r="http://schemas.openxmlformats.org/officeDocument/2006/relationships" r:id="rId151"/>
        </xdr:cNvPr>
        <xdr:cNvSpPr>
          <a:spLocks noChangeAspect="1" noChangeArrowheads="1"/>
        </xdr:cNvSpPr>
      </xdr:nvSpPr>
      <xdr:spPr bwMode="auto">
        <a:xfrm>
          <a:off x="13411200" y="3118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71" name="AutoShape 303" descr="COLOMBIA2"/>
        <xdr:cNvSpPr>
          <a:spLocks noChangeAspect="1" noChangeArrowheads="1"/>
        </xdr:cNvSpPr>
      </xdr:nvSpPr>
      <xdr:spPr bwMode="auto">
        <a:xfrm>
          <a:off x="0" y="31440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572" name="AutoShape 304" descr="https://www.soccerstats.com/img/own/sshplogo.png">
          <a:hlinkClick xmlns:r="http://schemas.openxmlformats.org/officeDocument/2006/relationships" r:id="rId152"/>
        </xdr:cNvPr>
        <xdr:cNvSpPr>
          <a:spLocks noChangeAspect="1" noChangeArrowheads="1"/>
        </xdr:cNvSpPr>
      </xdr:nvSpPr>
      <xdr:spPr bwMode="auto">
        <a:xfrm>
          <a:off x="13411200" y="31440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73" name="AutoShape 305" descr="COSTARICA"/>
        <xdr:cNvSpPr>
          <a:spLocks noChangeAspect="1" noChangeArrowheads="1"/>
        </xdr:cNvSpPr>
      </xdr:nvSpPr>
      <xdr:spPr bwMode="auto">
        <a:xfrm>
          <a:off x="0" y="31615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574" name="AutoShape 306" descr="https://www.soccerstats.com/img/own/sshplogo.png">
          <a:hlinkClick xmlns:r="http://schemas.openxmlformats.org/officeDocument/2006/relationships" r:id="rId153"/>
        </xdr:cNvPr>
        <xdr:cNvSpPr>
          <a:spLocks noChangeAspect="1" noChangeArrowheads="1"/>
        </xdr:cNvSpPr>
      </xdr:nvSpPr>
      <xdr:spPr bwMode="auto">
        <a:xfrm>
          <a:off x="13411200" y="31615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75" name="AutoShape 307" descr="COSTARICA"/>
        <xdr:cNvSpPr>
          <a:spLocks noChangeAspect="1" noChangeArrowheads="1"/>
        </xdr:cNvSpPr>
      </xdr:nvSpPr>
      <xdr:spPr bwMode="auto">
        <a:xfrm>
          <a:off x="0" y="3179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576" name="AutoShape 308" descr="https://www.soccerstats.com/img/own/sshplogo.png">
          <a:hlinkClick xmlns:r="http://schemas.openxmlformats.org/officeDocument/2006/relationships" r:id="rId154"/>
        </xdr:cNvPr>
        <xdr:cNvSpPr>
          <a:spLocks noChangeAspect="1" noChangeArrowheads="1"/>
        </xdr:cNvSpPr>
      </xdr:nvSpPr>
      <xdr:spPr bwMode="auto">
        <a:xfrm>
          <a:off x="13411200" y="3179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77" name="AutoShape 309" descr="CROATIA"/>
        <xdr:cNvSpPr>
          <a:spLocks noChangeAspect="1" noChangeArrowheads="1"/>
        </xdr:cNvSpPr>
      </xdr:nvSpPr>
      <xdr:spPr bwMode="auto">
        <a:xfrm>
          <a:off x="0" y="31965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578" name="AutoShape 310" descr="https://www.soccerstats.com/img/own/sshplogo.png">
          <a:hlinkClick xmlns:r="http://schemas.openxmlformats.org/officeDocument/2006/relationships" r:id="rId155"/>
        </xdr:cNvPr>
        <xdr:cNvSpPr>
          <a:spLocks noChangeAspect="1" noChangeArrowheads="1"/>
        </xdr:cNvSpPr>
      </xdr:nvSpPr>
      <xdr:spPr bwMode="auto">
        <a:xfrm>
          <a:off x="13411200" y="31965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79" name="AutoShape 311" descr="CROATIA"/>
        <xdr:cNvSpPr>
          <a:spLocks noChangeAspect="1" noChangeArrowheads="1"/>
        </xdr:cNvSpPr>
      </xdr:nvSpPr>
      <xdr:spPr bwMode="auto">
        <a:xfrm>
          <a:off x="0" y="32217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580" name="AutoShape 312" descr="https://www.soccerstats.com/img/own/sshplogo.png">
          <a:hlinkClick xmlns:r="http://schemas.openxmlformats.org/officeDocument/2006/relationships" r:id="rId156"/>
        </xdr:cNvPr>
        <xdr:cNvSpPr>
          <a:spLocks noChangeAspect="1" noChangeArrowheads="1"/>
        </xdr:cNvSpPr>
      </xdr:nvSpPr>
      <xdr:spPr bwMode="auto">
        <a:xfrm>
          <a:off x="13411200" y="32217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81" name="AutoShape 313" descr="CZECHREPUBLIC"/>
        <xdr:cNvSpPr>
          <a:spLocks noChangeAspect="1" noChangeArrowheads="1"/>
        </xdr:cNvSpPr>
      </xdr:nvSpPr>
      <xdr:spPr bwMode="auto">
        <a:xfrm>
          <a:off x="0" y="32392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582" name="AutoShape 314" descr="https://www.soccerstats.com/img/own/sshplogo.png">
          <a:hlinkClick xmlns:r="http://schemas.openxmlformats.org/officeDocument/2006/relationships" r:id="rId157"/>
        </xdr:cNvPr>
        <xdr:cNvSpPr>
          <a:spLocks noChangeAspect="1" noChangeArrowheads="1"/>
        </xdr:cNvSpPr>
      </xdr:nvSpPr>
      <xdr:spPr bwMode="auto">
        <a:xfrm>
          <a:off x="13411200" y="32392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83" name="AutoShape 315" descr="CZECHREPUBLIC"/>
        <xdr:cNvSpPr>
          <a:spLocks noChangeAspect="1" noChangeArrowheads="1"/>
        </xdr:cNvSpPr>
      </xdr:nvSpPr>
      <xdr:spPr bwMode="auto">
        <a:xfrm>
          <a:off x="0" y="32567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584" name="AutoShape 316" descr="https://www.soccerstats.com/img/own/sshplogo.png">
          <a:hlinkClick xmlns:r="http://schemas.openxmlformats.org/officeDocument/2006/relationships" r:id="rId158"/>
        </xdr:cNvPr>
        <xdr:cNvSpPr>
          <a:spLocks noChangeAspect="1" noChangeArrowheads="1"/>
        </xdr:cNvSpPr>
      </xdr:nvSpPr>
      <xdr:spPr bwMode="auto">
        <a:xfrm>
          <a:off x="13411200" y="32567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85" name="AutoShape 317" descr="CZECHREPUBLIC"/>
        <xdr:cNvSpPr>
          <a:spLocks noChangeAspect="1" noChangeArrowheads="1"/>
        </xdr:cNvSpPr>
      </xdr:nvSpPr>
      <xdr:spPr bwMode="auto">
        <a:xfrm>
          <a:off x="0" y="32743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586" name="AutoShape 318" descr="https://www.soccerstats.com/img/own/sshplogo.png">
          <a:hlinkClick xmlns:r="http://schemas.openxmlformats.org/officeDocument/2006/relationships" r:id="rId159"/>
        </xdr:cNvPr>
        <xdr:cNvSpPr>
          <a:spLocks noChangeAspect="1" noChangeArrowheads="1"/>
        </xdr:cNvSpPr>
      </xdr:nvSpPr>
      <xdr:spPr bwMode="auto">
        <a:xfrm>
          <a:off x="13411200" y="32743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87" name="AutoShape 319" descr="CZECHREPUBLIC"/>
        <xdr:cNvSpPr>
          <a:spLocks noChangeAspect="1" noChangeArrowheads="1"/>
        </xdr:cNvSpPr>
      </xdr:nvSpPr>
      <xdr:spPr bwMode="auto">
        <a:xfrm>
          <a:off x="0" y="32994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588" name="AutoShape 320" descr="https://www.soccerstats.com/img/own/sshplogo.png">
          <a:hlinkClick xmlns:r="http://schemas.openxmlformats.org/officeDocument/2006/relationships" r:id="rId160"/>
        </xdr:cNvPr>
        <xdr:cNvSpPr>
          <a:spLocks noChangeAspect="1" noChangeArrowheads="1"/>
        </xdr:cNvSpPr>
      </xdr:nvSpPr>
      <xdr:spPr bwMode="auto">
        <a:xfrm>
          <a:off x="13411200" y="3299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89" name="AutoShape 321" descr="CZECHREPUBLIC"/>
        <xdr:cNvSpPr>
          <a:spLocks noChangeAspect="1" noChangeArrowheads="1"/>
        </xdr:cNvSpPr>
      </xdr:nvSpPr>
      <xdr:spPr bwMode="auto">
        <a:xfrm>
          <a:off x="0" y="3324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590" name="AutoShape 322" descr="https://www.soccerstats.com/img/own/sshplogo.png">
          <a:hlinkClick xmlns:r="http://schemas.openxmlformats.org/officeDocument/2006/relationships" r:id="rId161"/>
        </xdr:cNvPr>
        <xdr:cNvSpPr>
          <a:spLocks noChangeAspect="1" noChangeArrowheads="1"/>
        </xdr:cNvSpPr>
      </xdr:nvSpPr>
      <xdr:spPr bwMode="auto">
        <a:xfrm>
          <a:off x="13411200" y="33246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91" name="AutoShape 323" descr="CZECHREPUBLIC"/>
        <xdr:cNvSpPr>
          <a:spLocks noChangeAspect="1" noChangeArrowheads="1"/>
        </xdr:cNvSpPr>
      </xdr:nvSpPr>
      <xdr:spPr bwMode="auto">
        <a:xfrm>
          <a:off x="0" y="33497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592" name="AutoShape 324" descr="https://www.soccerstats.com/img/own/sshplogo.png">
          <a:hlinkClick xmlns:r="http://schemas.openxmlformats.org/officeDocument/2006/relationships" r:id="rId162"/>
        </xdr:cNvPr>
        <xdr:cNvSpPr>
          <a:spLocks noChangeAspect="1" noChangeArrowheads="1"/>
        </xdr:cNvSpPr>
      </xdr:nvSpPr>
      <xdr:spPr bwMode="auto">
        <a:xfrm>
          <a:off x="13411200" y="33497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93" name="AutoShape 325" descr="CZECHREPUBLIC"/>
        <xdr:cNvSpPr>
          <a:spLocks noChangeAspect="1" noChangeArrowheads="1"/>
        </xdr:cNvSpPr>
      </xdr:nvSpPr>
      <xdr:spPr bwMode="auto">
        <a:xfrm>
          <a:off x="0" y="33672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594" name="AutoShape 326" descr="https://www.soccerstats.com/img/own/sshplogo.png">
          <a:hlinkClick xmlns:r="http://schemas.openxmlformats.org/officeDocument/2006/relationships" r:id="rId163"/>
        </xdr:cNvPr>
        <xdr:cNvSpPr>
          <a:spLocks noChangeAspect="1" noChangeArrowheads="1"/>
        </xdr:cNvSpPr>
      </xdr:nvSpPr>
      <xdr:spPr bwMode="auto">
        <a:xfrm>
          <a:off x="13411200" y="33672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95" name="AutoShape 327" descr="CZECHREPUBLIC"/>
        <xdr:cNvSpPr>
          <a:spLocks noChangeAspect="1" noChangeArrowheads="1"/>
        </xdr:cNvSpPr>
      </xdr:nvSpPr>
      <xdr:spPr bwMode="auto">
        <a:xfrm>
          <a:off x="0" y="33848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596" name="AutoShape 328" descr="https://www.soccerstats.com/img/own/sshplogo.png">
          <a:hlinkClick xmlns:r="http://schemas.openxmlformats.org/officeDocument/2006/relationships" r:id="rId164"/>
        </xdr:cNvPr>
        <xdr:cNvSpPr>
          <a:spLocks noChangeAspect="1" noChangeArrowheads="1"/>
        </xdr:cNvSpPr>
      </xdr:nvSpPr>
      <xdr:spPr bwMode="auto">
        <a:xfrm>
          <a:off x="13411200" y="33848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97" name="AutoShape 329" descr="CZECHREPUBLIC2"/>
        <xdr:cNvSpPr>
          <a:spLocks noChangeAspect="1" noChangeArrowheads="1"/>
        </xdr:cNvSpPr>
      </xdr:nvSpPr>
      <xdr:spPr bwMode="auto">
        <a:xfrm>
          <a:off x="0" y="3409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598" name="AutoShape 330" descr="https://www.soccerstats.com/img/own/sshplogo.png">
          <a:hlinkClick xmlns:r="http://schemas.openxmlformats.org/officeDocument/2006/relationships" r:id="rId165"/>
        </xdr:cNvPr>
        <xdr:cNvSpPr>
          <a:spLocks noChangeAspect="1" noChangeArrowheads="1"/>
        </xdr:cNvSpPr>
      </xdr:nvSpPr>
      <xdr:spPr bwMode="auto">
        <a:xfrm>
          <a:off x="13411200" y="3409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599" name="AutoShape 331" descr="CZECHREPUBLIC2"/>
        <xdr:cNvSpPr>
          <a:spLocks noChangeAspect="1" noChangeArrowheads="1"/>
        </xdr:cNvSpPr>
      </xdr:nvSpPr>
      <xdr:spPr bwMode="auto">
        <a:xfrm>
          <a:off x="0" y="34350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00" name="AutoShape 332" descr="https://www.soccerstats.com/img/own/sshplogo.png">
          <a:hlinkClick xmlns:r="http://schemas.openxmlformats.org/officeDocument/2006/relationships" r:id="rId166"/>
        </xdr:cNvPr>
        <xdr:cNvSpPr>
          <a:spLocks noChangeAspect="1" noChangeArrowheads="1"/>
        </xdr:cNvSpPr>
      </xdr:nvSpPr>
      <xdr:spPr bwMode="auto">
        <a:xfrm>
          <a:off x="13411200" y="34350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01" name="AutoShape 333" descr="CZECHREPUBLIC2"/>
        <xdr:cNvSpPr>
          <a:spLocks noChangeAspect="1" noChangeArrowheads="1"/>
        </xdr:cNvSpPr>
      </xdr:nvSpPr>
      <xdr:spPr bwMode="auto">
        <a:xfrm>
          <a:off x="0" y="3452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02" name="AutoShape 334" descr="https://www.soccerstats.com/img/own/sshplogo.png">
          <a:hlinkClick xmlns:r="http://schemas.openxmlformats.org/officeDocument/2006/relationships" r:id="rId167"/>
        </xdr:cNvPr>
        <xdr:cNvSpPr>
          <a:spLocks noChangeAspect="1" noChangeArrowheads="1"/>
        </xdr:cNvSpPr>
      </xdr:nvSpPr>
      <xdr:spPr bwMode="auto">
        <a:xfrm>
          <a:off x="13411200" y="3452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03" name="AutoShape 335" descr="CZECHREPUBLIC2"/>
        <xdr:cNvSpPr>
          <a:spLocks noChangeAspect="1" noChangeArrowheads="1"/>
        </xdr:cNvSpPr>
      </xdr:nvSpPr>
      <xdr:spPr bwMode="auto">
        <a:xfrm>
          <a:off x="0" y="3477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04" name="AutoShape 336" descr="https://www.soccerstats.com/img/own/sshplogo.png">
          <a:hlinkClick xmlns:r="http://schemas.openxmlformats.org/officeDocument/2006/relationships" r:id="rId168"/>
        </xdr:cNvPr>
        <xdr:cNvSpPr>
          <a:spLocks noChangeAspect="1" noChangeArrowheads="1"/>
        </xdr:cNvSpPr>
      </xdr:nvSpPr>
      <xdr:spPr bwMode="auto">
        <a:xfrm>
          <a:off x="13411200" y="3477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05" name="AutoShape 337" descr="DENMARK2"/>
        <xdr:cNvSpPr>
          <a:spLocks noChangeAspect="1" noChangeArrowheads="1"/>
        </xdr:cNvSpPr>
      </xdr:nvSpPr>
      <xdr:spPr bwMode="auto">
        <a:xfrm>
          <a:off x="0" y="34952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06" name="AutoShape 338" descr="https://www.soccerstats.com/img/own/sshplogo.png">
          <a:hlinkClick xmlns:r="http://schemas.openxmlformats.org/officeDocument/2006/relationships" r:id="rId169"/>
        </xdr:cNvPr>
        <xdr:cNvSpPr>
          <a:spLocks noChangeAspect="1" noChangeArrowheads="1"/>
        </xdr:cNvSpPr>
      </xdr:nvSpPr>
      <xdr:spPr bwMode="auto">
        <a:xfrm>
          <a:off x="13411200" y="34952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07" name="AutoShape 339" descr="DENMARK2"/>
        <xdr:cNvSpPr>
          <a:spLocks noChangeAspect="1" noChangeArrowheads="1"/>
        </xdr:cNvSpPr>
      </xdr:nvSpPr>
      <xdr:spPr bwMode="auto">
        <a:xfrm>
          <a:off x="0" y="35204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08" name="AutoShape 340" descr="https://www.soccerstats.com/img/own/sshplogo.png">
          <a:hlinkClick xmlns:r="http://schemas.openxmlformats.org/officeDocument/2006/relationships" r:id="rId170"/>
        </xdr:cNvPr>
        <xdr:cNvSpPr>
          <a:spLocks noChangeAspect="1" noChangeArrowheads="1"/>
        </xdr:cNvSpPr>
      </xdr:nvSpPr>
      <xdr:spPr bwMode="auto">
        <a:xfrm>
          <a:off x="13411200" y="35204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09" name="AutoShape 341" descr="DENMARK2"/>
        <xdr:cNvSpPr>
          <a:spLocks noChangeAspect="1" noChangeArrowheads="1"/>
        </xdr:cNvSpPr>
      </xdr:nvSpPr>
      <xdr:spPr bwMode="auto">
        <a:xfrm>
          <a:off x="0" y="35379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10" name="AutoShape 342" descr="https://www.soccerstats.com/img/own/sshplogo.png">
          <a:hlinkClick xmlns:r="http://schemas.openxmlformats.org/officeDocument/2006/relationships" r:id="rId171"/>
        </xdr:cNvPr>
        <xdr:cNvSpPr>
          <a:spLocks noChangeAspect="1" noChangeArrowheads="1"/>
        </xdr:cNvSpPr>
      </xdr:nvSpPr>
      <xdr:spPr bwMode="auto">
        <a:xfrm>
          <a:off x="13411200" y="35379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11" name="AutoShape 343" descr="DENMARK3"/>
        <xdr:cNvSpPr>
          <a:spLocks noChangeAspect="1" noChangeArrowheads="1"/>
        </xdr:cNvSpPr>
      </xdr:nvSpPr>
      <xdr:spPr bwMode="auto">
        <a:xfrm>
          <a:off x="0" y="35554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12" name="AutoShape 344" descr="https://www.soccerstats.com/img/own/sshplogo.png">
          <a:hlinkClick xmlns:r="http://schemas.openxmlformats.org/officeDocument/2006/relationships" r:id="rId172"/>
        </xdr:cNvPr>
        <xdr:cNvSpPr>
          <a:spLocks noChangeAspect="1" noChangeArrowheads="1"/>
        </xdr:cNvSpPr>
      </xdr:nvSpPr>
      <xdr:spPr bwMode="auto">
        <a:xfrm>
          <a:off x="13411200" y="35554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13" name="AutoShape 345" descr="DENMARK3"/>
        <xdr:cNvSpPr>
          <a:spLocks noChangeAspect="1" noChangeArrowheads="1"/>
        </xdr:cNvSpPr>
      </xdr:nvSpPr>
      <xdr:spPr bwMode="auto">
        <a:xfrm>
          <a:off x="0" y="35730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14" name="AutoShape 346" descr="https://www.soccerstats.com/img/own/sshplogo.png">
          <a:hlinkClick xmlns:r="http://schemas.openxmlformats.org/officeDocument/2006/relationships" r:id="rId173"/>
        </xdr:cNvPr>
        <xdr:cNvSpPr>
          <a:spLocks noChangeAspect="1" noChangeArrowheads="1"/>
        </xdr:cNvSpPr>
      </xdr:nvSpPr>
      <xdr:spPr bwMode="auto">
        <a:xfrm>
          <a:off x="13411200" y="35730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15" name="AutoShape 347" descr="ECUADOR"/>
        <xdr:cNvSpPr>
          <a:spLocks noChangeAspect="1" noChangeArrowheads="1"/>
        </xdr:cNvSpPr>
      </xdr:nvSpPr>
      <xdr:spPr bwMode="auto">
        <a:xfrm>
          <a:off x="0" y="35905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16" name="AutoShape 348" descr="https://www.soccerstats.com/img/own/sshplogo.png">
          <a:hlinkClick xmlns:r="http://schemas.openxmlformats.org/officeDocument/2006/relationships" r:id="rId174"/>
        </xdr:cNvPr>
        <xdr:cNvSpPr>
          <a:spLocks noChangeAspect="1" noChangeArrowheads="1"/>
        </xdr:cNvSpPr>
      </xdr:nvSpPr>
      <xdr:spPr bwMode="auto">
        <a:xfrm>
          <a:off x="13411200" y="35905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17" name="AutoShape 349" descr="ECUADOR"/>
        <xdr:cNvSpPr>
          <a:spLocks noChangeAspect="1" noChangeArrowheads="1"/>
        </xdr:cNvSpPr>
      </xdr:nvSpPr>
      <xdr:spPr bwMode="auto">
        <a:xfrm>
          <a:off x="0" y="36080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18" name="AutoShape 350" descr="https://www.soccerstats.com/img/own/sshplogo.png">
          <a:hlinkClick xmlns:r="http://schemas.openxmlformats.org/officeDocument/2006/relationships" r:id="rId175"/>
        </xdr:cNvPr>
        <xdr:cNvSpPr>
          <a:spLocks noChangeAspect="1" noChangeArrowheads="1"/>
        </xdr:cNvSpPr>
      </xdr:nvSpPr>
      <xdr:spPr bwMode="auto">
        <a:xfrm>
          <a:off x="13411200" y="36080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19" name="AutoShape 351" descr="ECUADOR"/>
        <xdr:cNvSpPr>
          <a:spLocks noChangeAspect="1" noChangeArrowheads="1"/>
        </xdr:cNvSpPr>
      </xdr:nvSpPr>
      <xdr:spPr bwMode="auto">
        <a:xfrm>
          <a:off x="0" y="36255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20" name="AutoShape 352" descr="https://www.soccerstats.com/img/own/sshplogo.png">
          <a:hlinkClick xmlns:r="http://schemas.openxmlformats.org/officeDocument/2006/relationships" r:id="rId176"/>
        </xdr:cNvPr>
        <xdr:cNvSpPr>
          <a:spLocks noChangeAspect="1" noChangeArrowheads="1"/>
        </xdr:cNvSpPr>
      </xdr:nvSpPr>
      <xdr:spPr bwMode="auto">
        <a:xfrm>
          <a:off x="13411200" y="36255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21" name="AutoShape 353" descr="ENGLAND6"/>
        <xdr:cNvSpPr>
          <a:spLocks noChangeAspect="1" noChangeArrowheads="1"/>
        </xdr:cNvSpPr>
      </xdr:nvSpPr>
      <xdr:spPr bwMode="auto">
        <a:xfrm>
          <a:off x="0" y="36507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22" name="AutoShape 354" descr="https://www.soccerstats.com/img/own/sshplogo.png">
          <a:hlinkClick xmlns:r="http://schemas.openxmlformats.org/officeDocument/2006/relationships" r:id="rId177"/>
        </xdr:cNvPr>
        <xdr:cNvSpPr>
          <a:spLocks noChangeAspect="1" noChangeArrowheads="1"/>
        </xdr:cNvSpPr>
      </xdr:nvSpPr>
      <xdr:spPr bwMode="auto">
        <a:xfrm>
          <a:off x="13411200" y="36507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23" name="AutoShape 355" descr="ENGLAND6"/>
        <xdr:cNvSpPr>
          <a:spLocks noChangeAspect="1" noChangeArrowheads="1"/>
        </xdr:cNvSpPr>
      </xdr:nvSpPr>
      <xdr:spPr bwMode="auto">
        <a:xfrm>
          <a:off x="0" y="36758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24" name="AutoShape 356" descr="https://www.soccerstats.com/img/own/sshplogo.png">
          <a:hlinkClick xmlns:r="http://schemas.openxmlformats.org/officeDocument/2006/relationships" r:id="rId178"/>
        </xdr:cNvPr>
        <xdr:cNvSpPr>
          <a:spLocks noChangeAspect="1" noChangeArrowheads="1"/>
        </xdr:cNvSpPr>
      </xdr:nvSpPr>
      <xdr:spPr bwMode="auto">
        <a:xfrm>
          <a:off x="13411200" y="36758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25" name="AutoShape 357" descr="ENGLAND6"/>
        <xdr:cNvSpPr>
          <a:spLocks noChangeAspect="1" noChangeArrowheads="1"/>
        </xdr:cNvSpPr>
      </xdr:nvSpPr>
      <xdr:spPr bwMode="auto">
        <a:xfrm>
          <a:off x="0" y="37010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26" name="AutoShape 358" descr="https://www.soccerstats.com/img/own/sshplogo.png">
          <a:hlinkClick xmlns:r="http://schemas.openxmlformats.org/officeDocument/2006/relationships" r:id="rId179"/>
        </xdr:cNvPr>
        <xdr:cNvSpPr>
          <a:spLocks noChangeAspect="1" noChangeArrowheads="1"/>
        </xdr:cNvSpPr>
      </xdr:nvSpPr>
      <xdr:spPr bwMode="auto">
        <a:xfrm>
          <a:off x="13411200" y="37010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27" name="AutoShape 359" descr="ENGLAND6"/>
        <xdr:cNvSpPr>
          <a:spLocks noChangeAspect="1" noChangeArrowheads="1"/>
        </xdr:cNvSpPr>
      </xdr:nvSpPr>
      <xdr:spPr bwMode="auto">
        <a:xfrm>
          <a:off x="0" y="37185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28" name="AutoShape 360" descr="https://www.soccerstats.com/img/own/sshplogo.png">
          <a:hlinkClick xmlns:r="http://schemas.openxmlformats.org/officeDocument/2006/relationships" r:id="rId180"/>
        </xdr:cNvPr>
        <xdr:cNvSpPr>
          <a:spLocks noChangeAspect="1" noChangeArrowheads="1"/>
        </xdr:cNvSpPr>
      </xdr:nvSpPr>
      <xdr:spPr bwMode="auto">
        <a:xfrm>
          <a:off x="13411200" y="37185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29" name="AutoShape 361" descr="ENGLAND6"/>
        <xdr:cNvSpPr>
          <a:spLocks noChangeAspect="1" noChangeArrowheads="1"/>
        </xdr:cNvSpPr>
      </xdr:nvSpPr>
      <xdr:spPr bwMode="auto">
        <a:xfrm>
          <a:off x="0" y="37437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30" name="AutoShape 362" descr="https://www.soccerstats.com/img/own/sshplogo.png">
          <a:hlinkClick xmlns:r="http://schemas.openxmlformats.org/officeDocument/2006/relationships" r:id="rId181"/>
        </xdr:cNvPr>
        <xdr:cNvSpPr>
          <a:spLocks noChangeAspect="1" noChangeArrowheads="1"/>
        </xdr:cNvSpPr>
      </xdr:nvSpPr>
      <xdr:spPr bwMode="auto">
        <a:xfrm>
          <a:off x="13411200" y="37437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31" name="AutoShape 363" descr="ENGLAND6"/>
        <xdr:cNvSpPr>
          <a:spLocks noChangeAspect="1" noChangeArrowheads="1"/>
        </xdr:cNvSpPr>
      </xdr:nvSpPr>
      <xdr:spPr bwMode="auto">
        <a:xfrm>
          <a:off x="0" y="37612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32" name="AutoShape 364" descr="https://www.soccerstats.com/img/own/sshplogo.png">
          <a:hlinkClick xmlns:r="http://schemas.openxmlformats.org/officeDocument/2006/relationships" r:id="rId182"/>
        </xdr:cNvPr>
        <xdr:cNvSpPr>
          <a:spLocks noChangeAspect="1" noChangeArrowheads="1"/>
        </xdr:cNvSpPr>
      </xdr:nvSpPr>
      <xdr:spPr bwMode="auto">
        <a:xfrm>
          <a:off x="13411200" y="37612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33" name="AutoShape 365" descr="ENGLAND6"/>
        <xdr:cNvSpPr>
          <a:spLocks noChangeAspect="1" noChangeArrowheads="1"/>
        </xdr:cNvSpPr>
      </xdr:nvSpPr>
      <xdr:spPr bwMode="auto">
        <a:xfrm>
          <a:off x="0" y="37787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34" name="AutoShape 366" descr="https://www.soccerstats.com/img/own/sshplogo.png">
          <a:hlinkClick xmlns:r="http://schemas.openxmlformats.org/officeDocument/2006/relationships" r:id="rId183"/>
        </xdr:cNvPr>
        <xdr:cNvSpPr>
          <a:spLocks noChangeAspect="1" noChangeArrowheads="1"/>
        </xdr:cNvSpPr>
      </xdr:nvSpPr>
      <xdr:spPr bwMode="auto">
        <a:xfrm>
          <a:off x="13411200" y="37787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35" name="AutoShape 367" descr="ENGLAND6"/>
        <xdr:cNvSpPr>
          <a:spLocks noChangeAspect="1" noChangeArrowheads="1"/>
        </xdr:cNvSpPr>
      </xdr:nvSpPr>
      <xdr:spPr bwMode="auto">
        <a:xfrm>
          <a:off x="0" y="37962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36" name="AutoShape 368" descr="https://www.soccerstats.com/img/own/sshplogo.png">
          <a:hlinkClick xmlns:r="http://schemas.openxmlformats.org/officeDocument/2006/relationships" r:id="rId184"/>
        </xdr:cNvPr>
        <xdr:cNvSpPr>
          <a:spLocks noChangeAspect="1" noChangeArrowheads="1"/>
        </xdr:cNvSpPr>
      </xdr:nvSpPr>
      <xdr:spPr bwMode="auto">
        <a:xfrm>
          <a:off x="13411200" y="37962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37" name="AutoShape 369" descr="ENGLAND6"/>
        <xdr:cNvSpPr>
          <a:spLocks noChangeAspect="1" noChangeArrowheads="1"/>
        </xdr:cNvSpPr>
      </xdr:nvSpPr>
      <xdr:spPr bwMode="auto">
        <a:xfrm>
          <a:off x="0" y="38138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38" name="AutoShape 370" descr="https://www.soccerstats.com/img/own/sshplogo.png">
          <a:hlinkClick xmlns:r="http://schemas.openxmlformats.org/officeDocument/2006/relationships" r:id="rId185"/>
        </xdr:cNvPr>
        <xdr:cNvSpPr>
          <a:spLocks noChangeAspect="1" noChangeArrowheads="1"/>
        </xdr:cNvSpPr>
      </xdr:nvSpPr>
      <xdr:spPr bwMode="auto">
        <a:xfrm>
          <a:off x="13411200" y="38138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39" name="AutoShape 371" descr="ENGLAND6"/>
        <xdr:cNvSpPr>
          <a:spLocks noChangeAspect="1" noChangeArrowheads="1"/>
        </xdr:cNvSpPr>
      </xdr:nvSpPr>
      <xdr:spPr bwMode="auto">
        <a:xfrm>
          <a:off x="0" y="38313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40" name="AutoShape 372" descr="https://www.soccerstats.com/img/own/sshplogo.png">
          <a:hlinkClick xmlns:r="http://schemas.openxmlformats.org/officeDocument/2006/relationships" r:id="rId186"/>
        </xdr:cNvPr>
        <xdr:cNvSpPr>
          <a:spLocks noChangeAspect="1" noChangeArrowheads="1"/>
        </xdr:cNvSpPr>
      </xdr:nvSpPr>
      <xdr:spPr bwMode="auto">
        <a:xfrm>
          <a:off x="13411200" y="38313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41" name="AutoShape 373" descr="ENGLAND6"/>
        <xdr:cNvSpPr>
          <a:spLocks noChangeAspect="1" noChangeArrowheads="1"/>
        </xdr:cNvSpPr>
      </xdr:nvSpPr>
      <xdr:spPr bwMode="auto">
        <a:xfrm>
          <a:off x="0" y="38488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42" name="AutoShape 374" descr="https://www.soccerstats.com/img/own/sshplogo.png">
          <a:hlinkClick xmlns:r="http://schemas.openxmlformats.org/officeDocument/2006/relationships" r:id="rId187"/>
        </xdr:cNvPr>
        <xdr:cNvSpPr>
          <a:spLocks noChangeAspect="1" noChangeArrowheads="1"/>
        </xdr:cNvSpPr>
      </xdr:nvSpPr>
      <xdr:spPr bwMode="auto">
        <a:xfrm>
          <a:off x="13411200" y="38488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43" name="AutoShape 375" descr="ENGLAND6"/>
        <xdr:cNvSpPr>
          <a:spLocks noChangeAspect="1" noChangeArrowheads="1"/>
        </xdr:cNvSpPr>
      </xdr:nvSpPr>
      <xdr:spPr bwMode="auto">
        <a:xfrm>
          <a:off x="0" y="38740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44" name="AutoShape 376" descr="https://www.soccerstats.com/img/own/sshplogo.png">
          <a:hlinkClick xmlns:r="http://schemas.openxmlformats.org/officeDocument/2006/relationships" r:id="rId188"/>
        </xdr:cNvPr>
        <xdr:cNvSpPr>
          <a:spLocks noChangeAspect="1" noChangeArrowheads="1"/>
        </xdr:cNvSpPr>
      </xdr:nvSpPr>
      <xdr:spPr bwMode="auto">
        <a:xfrm>
          <a:off x="13411200" y="38740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45" name="AutoShape 377" descr="ENGLAND7"/>
        <xdr:cNvSpPr>
          <a:spLocks noChangeAspect="1" noChangeArrowheads="1"/>
        </xdr:cNvSpPr>
      </xdr:nvSpPr>
      <xdr:spPr bwMode="auto">
        <a:xfrm>
          <a:off x="0" y="38991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46" name="AutoShape 378" descr="https://www.soccerstats.com/img/own/sshplogo.png">
          <a:hlinkClick xmlns:r="http://schemas.openxmlformats.org/officeDocument/2006/relationships" r:id="rId189"/>
        </xdr:cNvPr>
        <xdr:cNvSpPr>
          <a:spLocks noChangeAspect="1" noChangeArrowheads="1"/>
        </xdr:cNvSpPr>
      </xdr:nvSpPr>
      <xdr:spPr bwMode="auto">
        <a:xfrm>
          <a:off x="13411200" y="38991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47" name="AutoShape 379" descr="ENGLAND7"/>
        <xdr:cNvSpPr>
          <a:spLocks noChangeAspect="1" noChangeArrowheads="1"/>
        </xdr:cNvSpPr>
      </xdr:nvSpPr>
      <xdr:spPr bwMode="auto">
        <a:xfrm>
          <a:off x="0" y="39243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48" name="AutoShape 380" descr="https://www.soccerstats.com/img/own/sshplogo.png">
          <a:hlinkClick xmlns:r="http://schemas.openxmlformats.org/officeDocument/2006/relationships" r:id="rId190"/>
        </xdr:cNvPr>
        <xdr:cNvSpPr>
          <a:spLocks noChangeAspect="1" noChangeArrowheads="1"/>
        </xdr:cNvSpPr>
      </xdr:nvSpPr>
      <xdr:spPr bwMode="auto">
        <a:xfrm>
          <a:off x="13411200" y="3924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49" name="AutoShape 381" descr="ENGLAND7"/>
        <xdr:cNvSpPr>
          <a:spLocks noChangeAspect="1" noChangeArrowheads="1"/>
        </xdr:cNvSpPr>
      </xdr:nvSpPr>
      <xdr:spPr bwMode="auto">
        <a:xfrm>
          <a:off x="0" y="39494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50" name="AutoShape 382" descr="https://www.soccerstats.com/img/own/sshplogo.png">
          <a:hlinkClick xmlns:r="http://schemas.openxmlformats.org/officeDocument/2006/relationships" r:id="rId191"/>
        </xdr:cNvPr>
        <xdr:cNvSpPr>
          <a:spLocks noChangeAspect="1" noChangeArrowheads="1"/>
        </xdr:cNvSpPr>
      </xdr:nvSpPr>
      <xdr:spPr bwMode="auto">
        <a:xfrm>
          <a:off x="13411200" y="39494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51" name="AutoShape 383" descr="ENGLAND7"/>
        <xdr:cNvSpPr>
          <a:spLocks noChangeAspect="1" noChangeArrowheads="1"/>
        </xdr:cNvSpPr>
      </xdr:nvSpPr>
      <xdr:spPr bwMode="auto">
        <a:xfrm>
          <a:off x="0" y="39745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52" name="AutoShape 384" descr="https://www.soccerstats.com/img/own/sshplogo.png">
          <a:hlinkClick xmlns:r="http://schemas.openxmlformats.org/officeDocument/2006/relationships" r:id="rId192"/>
        </xdr:cNvPr>
        <xdr:cNvSpPr>
          <a:spLocks noChangeAspect="1" noChangeArrowheads="1"/>
        </xdr:cNvSpPr>
      </xdr:nvSpPr>
      <xdr:spPr bwMode="auto">
        <a:xfrm>
          <a:off x="13411200" y="39745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53" name="AutoShape 385" descr="ENGLAND7"/>
        <xdr:cNvSpPr>
          <a:spLocks noChangeAspect="1" noChangeArrowheads="1"/>
        </xdr:cNvSpPr>
      </xdr:nvSpPr>
      <xdr:spPr bwMode="auto">
        <a:xfrm>
          <a:off x="0" y="39997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54" name="AutoShape 386" descr="https://www.soccerstats.com/img/own/sshplogo.png">
          <a:hlinkClick xmlns:r="http://schemas.openxmlformats.org/officeDocument/2006/relationships" r:id="rId193"/>
        </xdr:cNvPr>
        <xdr:cNvSpPr>
          <a:spLocks noChangeAspect="1" noChangeArrowheads="1"/>
        </xdr:cNvSpPr>
      </xdr:nvSpPr>
      <xdr:spPr bwMode="auto">
        <a:xfrm>
          <a:off x="13411200" y="39997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55" name="AutoShape 387" descr="ENGLAND7"/>
        <xdr:cNvSpPr>
          <a:spLocks noChangeAspect="1" noChangeArrowheads="1"/>
        </xdr:cNvSpPr>
      </xdr:nvSpPr>
      <xdr:spPr bwMode="auto">
        <a:xfrm>
          <a:off x="0" y="40172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56" name="AutoShape 388" descr="https://www.soccerstats.com/img/own/sshplogo.png">
          <a:hlinkClick xmlns:r="http://schemas.openxmlformats.org/officeDocument/2006/relationships" r:id="rId194"/>
        </xdr:cNvPr>
        <xdr:cNvSpPr>
          <a:spLocks noChangeAspect="1" noChangeArrowheads="1"/>
        </xdr:cNvSpPr>
      </xdr:nvSpPr>
      <xdr:spPr bwMode="auto">
        <a:xfrm>
          <a:off x="13411200" y="40172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57" name="AutoShape 389" descr="ENGLAND7"/>
        <xdr:cNvSpPr>
          <a:spLocks noChangeAspect="1" noChangeArrowheads="1"/>
        </xdr:cNvSpPr>
      </xdr:nvSpPr>
      <xdr:spPr bwMode="auto">
        <a:xfrm>
          <a:off x="0" y="40424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58" name="AutoShape 390" descr="https://www.soccerstats.com/img/own/sshplogo.png">
          <a:hlinkClick xmlns:r="http://schemas.openxmlformats.org/officeDocument/2006/relationships" r:id="rId195"/>
        </xdr:cNvPr>
        <xdr:cNvSpPr>
          <a:spLocks noChangeAspect="1" noChangeArrowheads="1"/>
        </xdr:cNvSpPr>
      </xdr:nvSpPr>
      <xdr:spPr bwMode="auto">
        <a:xfrm>
          <a:off x="13411200" y="40424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59" name="AutoShape 391" descr="ENGLAND7"/>
        <xdr:cNvSpPr>
          <a:spLocks noChangeAspect="1" noChangeArrowheads="1"/>
        </xdr:cNvSpPr>
      </xdr:nvSpPr>
      <xdr:spPr bwMode="auto">
        <a:xfrm>
          <a:off x="0" y="40599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60" name="AutoShape 392" descr="https://www.soccerstats.com/img/own/sshplogo.png">
          <a:hlinkClick xmlns:r="http://schemas.openxmlformats.org/officeDocument/2006/relationships" r:id="rId196"/>
        </xdr:cNvPr>
        <xdr:cNvSpPr>
          <a:spLocks noChangeAspect="1" noChangeArrowheads="1"/>
        </xdr:cNvSpPr>
      </xdr:nvSpPr>
      <xdr:spPr bwMode="auto">
        <a:xfrm>
          <a:off x="13411200" y="40599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61" name="AutoShape 393" descr="ENGLAND7"/>
        <xdr:cNvSpPr>
          <a:spLocks noChangeAspect="1" noChangeArrowheads="1"/>
        </xdr:cNvSpPr>
      </xdr:nvSpPr>
      <xdr:spPr bwMode="auto">
        <a:xfrm>
          <a:off x="0" y="40850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62" name="AutoShape 394" descr="https://www.soccerstats.com/img/own/sshplogo.png">
          <a:hlinkClick xmlns:r="http://schemas.openxmlformats.org/officeDocument/2006/relationships" r:id="rId197"/>
        </xdr:cNvPr>
        <xdr:cNvSpPr>
          <a:spLocks noChangeAspect="1" noChangeArrowheads="1"/>
        </xdr:cNvSpPr>
      </xdr:nvSpPr>
      <xdr:spPr bwMode="auto">
        <a:xfrm>
          <a:off x="13411200" y="40850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63" name="AutoShape 395" descr="ENGLAND7"/>
        <xdr:cNvSpPr>
          <a:spLocks noChangeAspect="1" noChangeArrowheads="1"/>
        </xdr:cNvSpPr>
      </xdr:nvSpPr>
      <xdr:spPr bwMode="auto">
        <a:xfrm>
          <a:off x="0" y="41026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64" name="AutoShape 396" descr="https://www.soccerstats.com/img/own/sshplogo.png">
          <a:hlinkClick xmlns:r="http://schemas.openxmlformats.org/officeDocument/2006/relationships" r:id="rId198"/>
        </xdr:cNvPr>
        <xdr:cNvSpPr>
          <a:spLocks noChangeAspect="1" noChangeArrowheads="1"/>
        </xdr:cNvSpPr>
      </xdr:nvSpPr>
      <xdr:spPr bwMode="auto">
        <a:xfrm>
          <a:off x="13411200" y="41026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65" name="AutoShape 397" descr="ENGLAND7"/>
        <xdr:cNvSpPr>
          <a:spLocks noChangeAspect="1" noChangeArrowheads="1"/>
        </xdr:cNvSpPr>
      </xdr:nvSpPr>
      <xdr:spPr bwMode="auto">
        <a:xfrm>
          <a:off x="0" y="41277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66" name="AutoShape 398" descr="https://www.soccerstats.com/img/own/sshplogo.png">
          <a:hlinkClick xmlns:r="http://schemas.openxmlformats.org/officeDocument/2006/relationships" r:id="rId199"/>
        </xdr:cNvPr>
        <xdr:cNvSpPr>
          <a:spLocks noChangeAspect="1" noChangeArrowheads="1"/>
        </xdr:cNvSpPr>
      </xdr:nvSpPr>
      <xdr:spPr bwMode="auto">
        <a:xfrm>
          <a:off x="13411200" y="41277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67" name="AutoShape 399" descr="ENGLAND8"/>
        <xdr:cNvSpPr>
          <a:spLocks noChangeAspect="1" noChangeArrowheads="1"/>
        </xdr:cNvSpPr>
      </xdr:nvSpPr>
      <xdr:spPr bwMode="auto">
        <a:xfrm>
          <a:off x="0" y="41529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68" name="AutoShape 400" descr="https://www.soccerstats.com/img/own/sshplogo.png">
          <a:hlinkClick xmlns:r="http://schemas.openxmlformats.org/officeDocument/2006/relationships" r:id="rId200"/>
        </xdr:cNvPr>
        <xdr:cNvSpPr>
          <a:spLocks noChangeAspect="1" noChangeArrowheads="1"/>
        </xdr:cNvSpPr>
      </xdr:nvSpPr>
      <xdr:spPr bwMode="auto">
        <a:xfrm>
          <a:off x="13411200" y="4152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69" name="AutoShape 401" descr="ENGLAND8"/>
        <xdr:cNvSpPr>
          <a:spLocks noChangeAspect="1" noChangeArrowheads="1"/>
        </xdr:cNvSpPr>
      </xdr:nvSpPr>
      <xdr:spPr bwMode="auto">
        <a:xfrm>
          <a:off x="0" y="41704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70" name="AutoShape 402" descr="https://www.soccerstats.com/img/own/sshplogo.png">
          <a:hlinkClick xmlns:r="http://schemas.openxmlformats.org/officeDocument/2006/relationships" r:id="rId201"/>
        </xdr:cNvPr>
        <xdr:cNvSpPr>
          <a:spLocks noChangeAspect="1" noChangeArrowheads="1"/>
        </xdr:cNvSpPr>
      </xdr:nvSpPr>
      <xdr:spPr bwMode="auto">
        <a:xfrm>
          <a:off x="13411200" y="41704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71" name="AutoShape 403" descr="ENGLAND8"/>
        <xdr:cNvSpPr>
          <a:spLocks noChangeAspect="1" noChangeArrowheads="1"/>
        </xdr:cNvSpPr>
      </xdr:nvSpPr>
      <xdr:spPr bwMode="auto">
        <a:xfrm>
          <a:off x="0" y="41879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72" name="AutoShape 404" descr="https://www.soccerstats.com/img/own/sshplogo.png">
          <a:hlinkClick xmlns:r="http://schemas.openxmlformats.org/officeDocument/2006/relationships" r:id="rId202"/>
        </xdr:cNvPr>
        <xdr:cNvSpPr>
          <a:spLocks noChangeAspect="1" noChangeArrowheads="1"/>
        </xdr:cNvSpPr>
      </xdr:nvSpPr>
      <xdr:spPr bwMode="auto">
        <a:xfrm>
          <a:off x="13411200" y="41879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73" name="AutoShape 405" descr="ENGLAND8"/>
        <xdr:cNvSpPr>
          <a:spLocks noChangeAspect="1" noChangeArrowheads="1"/>
        </xdr:cNvSpPr>
      </xdr:nvSpPr>
      <xdr:spPr bwMode="auto">
        <a:xfrm>
          <a:off x="0" y="42130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74" name="AutoShape 406" descr="https://www.soccerstats.com/img/own/sshplogo.png">
          <a:hlinkClick xmlns:r="http://schemas.openxmlformats.org/officeDocument/2006/relationships" r:id="rId203"/>
        </xdr:cNvPr>
        <xdr:cNvSpPr>
          <a:spLocks noChangeAspect="1" noChangeArrowheads="1"/>
        </xdr:cNvSpPr>
      </xdr:nvSpPr>
      <xdr:spPr bwMode="auto">
        <a:xfrm>
          <a:off x="13411200" y="42130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75" name="AutoShape 407" descr="ENGLAND8"/>
        <xdr:cNvSpPr>
          <a:spLocks noChangeAspect="1" noChangeArrowheads="1"/>
        </xdr:cNvSpPr>
      </xdr:nvSpPr>
      <xdr:spPr bwMode="auto">
        <a:xfrm>
          <a:off x="0" y="42382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76" name="AutoShape 408" descr="https://www.soccerstats.com/img/own/sshplogo.png">
          <a:hlinkClick xmlns:r="http://schemas.openxmlformats.org/officeDocument/2006/relationships" r:id="rId204"/>
        </xdr:cNvPr>
        <xdr:cNvSpPr>
          <a:spLocks noChangeAspect="1" noChangeArrowheads="1"/>
        </xdr:cNvSpPr>
      </xdr:nvSpPr>
      <xdr:spPr bwMode="auto">
        <a:xfrm>
          <a:off x="13411200" y="42382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77" name="AutoShape 409" descr="ENGLAND8"/>
        <xdr:cNvSpPr>
          <a:spLocks noChangeAspect="1" noChangeArrowheads="1"/>
        </xdr:cNvSpPr>
      </xdr:nvSpPr>
      <xdr:spPr bwMode="auto">
        <a:xfrm>
          <a:off x="0" y="42633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78" name="AutoShape 410" descr="https://www.soccerstats.com/img/own/sshplogo.png">
          <a:hlinkClick xmlns:r="http://schemas.openxmlformats.org/officeDocument/2006/relationships" r:id="rId205"/>
        </xdr:cNvPr>
        <xdr:cNvSpPr>
          <a:spLocks noChangeAspect="1" noChangeArrowheads="1"/>
        </xdr:cNvSpPr>
      </xdr:nvSpPr>
      <xdr:spPr bwMode="auto">
        <a:xfrm>
          <a:off x="13411200" y="42633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79" name="AutoShape 411" descr="ENGLAND8"/>
        <xdr:cNvSpPr>
          <a:spLocks noChangeAspect="1" noChangeArrowheads="1"/>
        </xdr:cNvSpPr>
      </xdr:nvSpPr>
      <xdr:spPr bwMode="auto">
        <a:xfrm>
          <a:off x="0" y="42885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80" name="AutoShape 412" descr="https://www.soccerstats.com/img/own/sshplogo.png">
          <a:hlinkClick xmlns:r="http://schemas.openxmlformats.org/officeDocument/2006/relationships" r:id="rId206"/>
        </xdr:cNvPr>
        <xdr:cNvSpPr>
          <a:spLocks noChangeAspect="1" noChangeArrowheads="1"/>
        </xdr:cNvSpPr>
      </xdr:nvSpPr>
      <xdr:spPr bwMode="auto">
        <a:xfrm>
          <a:off x="13411200" y="42885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81" name="AutoShape 413" descr="ENGLAND8"/>
        <xdr:cNvSpPr>
          <a:spLocks noChangeAspect="1" noChangeArrowheads="1"/>
        </xdr:cNvSpPr>
      </xdr:nvSpPr>
      <xdr:spPr bwMode="auto">
        <a:xfrm>
          <a:off x="0" y="43060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82" name="AutoShape 414" descr="https://www.soccerstats.com/img/own/sshplogo.png">
          <a:hlinkClick xmlns:r="http://schemas.openxmlformats.org/officeDocument/2006/relationships" r:id="rId207"/>
        </xdr:cNvPr>
        <xdr:cNvSpPr>
          <a:spLocks noChangeAspect="1" noChangeArrowheads="1"/>
        </xdr:cNvSpPr>
      </xdr:nvSpPr>
      <xdr:spPr bwMode="auto">
        <a:xfrm>
          <a:off x="13411200" y="43060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83" name="AutoShape 415" descr="ENGLAND8"/>
        <xdr:cNvSpPr>
          <a:spLocks noChangeAspect="1" noChangeArrowheads="1"/>
        </xdr:cNvSpPr>
      </xdr:nvSpPr>
      <xdr:spPr bwMode="auto">
        <a:xfrm>
          <a:off x="0" y="43235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84" name="AutoShape 416" descr="https://www.soccerstats.com/img/own/sshplogo.png">
          <a:hlinkClick xmlns:r="http://schemas.openxmlformats.org/officeDocument/2006/relationships" r:id="rId208"/>
        </xdr:cNvPr>
        <xdr:cNvSpPr>
          <a:spLocks noChangeAspect="1" noChangeArrowheads="1"/>
        </xdr:cNvSpPr>
      </xdr:nvSpPr>
      <xdr:spPr bwMode="auto">
        <a:xfrm>
          <a:off x="13411200" y="43235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85" name="AutoShape 417" descr="ENGLAND8"/>
        <xdr:cNvSpPr>
          <a:spLocks noChangeAspect="1" noChangeArrowheads="1"/>
        </xdr:cNvSpPr>
      </xdr:nvSpPr>
      <xdr:spPr bwMode="auto">
        <a:xfrm>
          <a:off x="0" y="43411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86" name="AutoShape 418" descr="https://www.soccerstats.com/img/own/sshplogo.png">
          <a:hlinkClick xmlns:r="http://schemas.openxmlformats.org/officeDocument/2006/relationships" r:id="rId209"/>
        </xdr:cNvPr>
        <xdr:cNvSpPr>
          <a:spLocks noChangeAspect="1" noChangeArrowheads="1"/>
        </xdr:cNvSpPr>
      </xdr:nvSpPr>
      <xdr:spPr bwMode="auto">
        <a:xfrm>
          <a:off x="13411200" y="43411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87" name="AutoShape 419" descr="ENGLAND8"/>
        <xdr:cNvSpPr>
          <a:spLocks noChangeAspect="1" noChangeArrowheads="1"/>
        </xdr:cNvSpPr>
      </xdr:nvSpPr>
      <xdr:spPr bwMode="auto">
        <a:xfrm>
          <a:off x="0" y="43662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88" name="AutoShape 420" descr="https://www.soccerstats.com/img/own/sshplogo.png">
          <a:hlinkClick xmlns:r="http://schemas.openxmlformats.org/officeDocument/2006/relationships" r:id="rId210"/>
        </xdr:cNvPr>
        <xdr:cNvSpPr>
          <a:spLocks noChangeAspect="1" noChangeArrowheads="1"/>
        </xdr:cNvSpPr>
      </xdr:nvSpPr>
      <xdr:spPr bwMode="auto">
        <a:xfrm>
          <a:off x="13411200" y="4366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89" name="AutoShape 421" descr="ENGLAND9"/>
        <xdr:cNvSpPr>
          <a:spLocks noChangeAspect="1" noChangeArrowheads="1"/>
        </xdr:cNvSpPr>
      </xdr:nvSpPr>
      <xdr:spPr bwMode="auto">
        <a:xfrm>
          <a:off x="0" y="43837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90" name="AutoShape 422" descr="https://www.soccerstats.com/img/own/sshplogo.png">
          <a:hlinkClick xmlns:r="http://schemas.openxmlformats.org/officeDocument/2006/relationships" r:id="rId211"/>
        </xdr:cNvPr>
        <xdr:cNvSpPr>
          <a:spLocks noChangeAspect="1" noChangeArrowheads="1"/>
        </xdr:cNvSpPr>
      </xdr:nvSpPr>
      <xdr:spPr bwMode="auto">
        <a:xfrm>
          <a:off x="13411200" y="43837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91" name="AutoShape 423" descr="ENGLAND9"/>
        <xdr:cNvSpPr>
          <a:spLocks noChangeAspect="1" noChangeArrowheads="1"/>
        </xdr:cNvSpPr>
      </xdr:nvSpPr>
      <xdr:spPr bwMode="auto">
        <a:xfrm>
          <a:off x="0" y="44089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92" name="AutoShape 424" descr="https://www.soccerstats.com/img/own/sshplogo.png">
          <a:hlinkClick xmlns:r="http://schemas.openxmlformats.org/officeDocument/2006/relationships" r:id="rId212"/>
        </xdr:cNvPr>
        <xdr:cNvSpPr>
          <a:spLocks noChangeAspect="1" noChangeArrowheads="1"/>
        </xdr:cNvSpPr>
      </xdr:nvSpPr>
      <xdr:spPr bwMode="auto">
        <a:xfrm>
          <a:off x="13411200" y="44089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93" name="AutoShape 425" descr="ENGLAND9"/>
        <xdr:cNvSpPr>
          <a:spLocks noChangeAspect="1" noChangeArrowheads="1"/>
        </xdr:cNvSpPr>
      </xdr:nvSpPr>
      <xdr:spPr bwMode="auto">
        <a:xfrm>
          <a:off x="0" y="44340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94" name="AutoShape 426" descr="https://www.soccerstats.com/img/own/sshplogo.png">
          <a:hlinkClick xmlns:r="http://schemas.openxmlformats.org/officeDocument/2006/relationships" r:id="rId213"/>
        </xdr:cNvPr>
        <xdr:cNvSpPr>
          <a:spLocks noChangeAspect="1" noChangeArrowheads="1"/>
        </xdr:cNvSpPr>
      </xdr:nvSpPr>
      <xdr:spPr bwMode="auto">
        <a:xfrm>
          <a:off x="13411200" y="44340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95" name="AutoShape 427" descr="ENGLAND9"/>
        <xdr:cNvSpPr>
          <a:spLocks noChangeAspect="1" noChangeArrowheads="1"/>
        </xdr:cNvSpPr>
      </xdr:nvSpPr>
      <xdr:spPr bwMode="auto">
        <a:xfrm>
          <a:off x="0" y="44516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96" name="AutoShape 428" descr="https://www.soccerstats.com/img/own/sshplogo.png">
          <a:hlinkClick xmlns:r="http://schemas.openxmlformats.org/officeDocument/2006/relationships" r:id="rId214"/>
        </xdr:cNvPr>
        <xdr:cNvSpPr>
          <a:spLocks noChangeAspect="1" noChangeArrowheads="1"/>
        </xdr:cNvSpPr>
      </xdr:nvSpPr>
      <xdr:spPr bwMode="auto">
        <a:xfrm>
          <a:off x="13411200" y="44516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97" name="AutoShape 429" descr="ENGLAND9"/>
        <xdr:cNvSpPr>
          <a:spLocks noChangeAspect="1" noChangeArrowheads="1"/>
        </xdr:cNvSpPr>
      </xdr:nvSpPr>
      <xdr:spPr bwMode="auto">
        <a:xfrm>
          <a:off x="0" y="44767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698" name="AutoShape 430" descr="https://www.soccerstats.com/img/own/sshplogo.png">
          <a:hlinkClick xmlns:r="http://schemas.openxmlformats.org/officeDocument/2006/relationships" r:id="rId215"/>
        </xdr:cNvPr>
        <xdr:cNvSpPr>
          <a:spLocks noChangeAspect="1" noChangeArrowheads="1"/>
        </xdr:cNvSpPr>
      </xdr:nvSpPr>
      <xdr:spPr bwMode="auto">
        <a:xfrm>
          <a:off x="13411200" y="4476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699" name="AutoShape 431" descr="ENGLAND9"/>
        <xdr:cNvSpPr>
          <a:spLocks noChangeAspect="1" noChangeArrowheads="1"/>
        </xdr:cNvSpPr>
      </xdr:nvSpPr>
      <xdr:spPr bwMode="auto">
        <a:xfrm>
          <a:off x="0" y="45018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00" name="AutoShape 432" descr="https://www.soccerstats.com/img/own/sshplogo.png">
          <a:hlinkClick xmlns:r="http://schemas.openxmlformats.org/officeDocument/2006/relationships" r:id="rId216"/>
        </xdr:cNvPr>
        <xdr:cNvSpPr>
          <a:spLocks noChangeAspect="1" noChangeArrowheads="1"/>
        </xdr:cNvSpPr>
      </xdr:nvSpPr>
      <xdr:spPr bwMode="auto">
        <a:xfrm>
          <a:off x="13411200" y="45018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01" name="AutoShape 433" descr="ENGLAND9"/>
        <xdr:cNvSpPr>
          <a:spLocks noChangeAspect="1" noChangeArrowheads="1"/>
        </xdr:cNvSpPr>
      </xdr:nvSpPr>
      <xdr:spPr bwMode="auto">
        <a:xfrm>
          <a:off x="0" y="45270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02" name="AutoShape 434" descr="https://www.soccerstats.com/img/own/sshplogo.png">
          <a:hlinkClick xmlns:r="http://schemas.openxmlformats.org/officeDocument/2006/relationships" r:id="rId217"/>
        </xdr:cNvPr>
        <xdr:cNvSpPr>
          <a:spLocks noChangeAspect="1" noChangeArrowheads="1"/>
        </xdr:cNvSpPr>
      </xdr:nvSpPr>
      <xdr:spPr bwMode="auto">
        <a:xfrm>
          <a:off x="13411200" y="45270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03" name="AutoShape 435" descr="ENGLAND9"/>
        <xdr:cNvSpPr>
          <a:spLocks noChangeAspect="1" noChangeArrowheads="1"/>
        </xdr:cNvSpPr>
      </xdr:nvSpPr>
      <xdr:spPr bwMode="auto">
        <a:xfrm>
          <a:off x="0" y="45521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04" name="AutoShape 436" descr="https://www.soccerstats.com/img/own/sshplogo.png">
          <a:hlinkClick xmlns:r="http://schemas.openxmlformats.org/officeDocument/2006/relationships" r:id="rId218"/>
        </xdr:cNvPr>
        <xdr:cNvSpPr>
          <a:spLocks noChangeAspect="1" noChangeArrowheads="1"/>
        </xdr:cNvSpPr>
      </xdr:nvSpPr>
      <xdr:spPr bwMode="auto">
        <a:xfrm>
          <a:off x="13411200" y="45521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05" name="AutoShape 437" descr="ENGLAND9"/>
        <xdr:cNvSpPr>
          <a:spLocks noChangeAspect="1" noChangeArrowheads="1"/>
        </xdr:cNvSpPr>
      </xdr:nvSpPr>
      <xdr:spPr bwMode="auto">
        <a:xfrm>
          <a:off x="0" y="45697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06" name="AutoShape 438" descr="https://www.soccerstats.com/img/own/sshplogo.png">
          <a:hlinkClick xmlns:r="http://schemas.openxmlformats.org/officeDocument/2006/relationships" r:id="rId219"/>
        </xdr:cNvPr>
        <xdr:cNvSpPr>
          <a:spLocks noChangeAspect="1" noChangeArrowheads="1"/>
        </xdr:cNvSpPr>
      </xdr:nvSpPr>
      <xdr:spPr bwMode="auto">
        <a:xfrm>
          <a:off x="13411200" y="45697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07" name="AutoShape 439" descr="ENGLAND9"/>
        <xdr:cNvSpPr>
          <a:spLocks noChangeAspect="1" noChangeArrowheads="1"/>
        </xdr:cNvSpPr>
      </xdr:nvSpPr>
      <xdr:spPr bwMode="auto">
        <a:xfrm>
          <a:off x="0" y="45948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08" name="AutoShape 440" descr="https://www.soccerstats.com/img/own/sshplogo.png">
          <a:hlinkClick xmlns:r="http://schemas.openxmlformats.org/officeDocument/2006/relationships" r:id="rId220"/>
        </xdr:cNvPr>
        <xdr:cNvSpPr>
          <a:spLocks noChangeAspect="1" noChangeArrowheads="1"/>
        </xdr:cNvSpPr>
      </xdr:nvSpPr>
      <xdr:spPr bwMode="auto">
        <a:xfrm>
          <a:off x="13411200" y="45948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09" name="AutoShape 441" descr="ENGLAND10"/>
        <xdr:cNvSpPr>
          <a:spLocks noChangeAspect="1" noChangeArrowheads="1"/>
        </xdr:cNvSpPr>
      </xdr:nvSpPr>
      <xdr:spPr bwMode="auto">
        <a:xfrm>
          <a:off x="0" y="46123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10" name="AutoShape 442" descr="https://www.soccerstats.com/img/own/sshplogo.png">
          <a:hlinkClick xmlns:r="http://schemas.openxmlformats.org/officeDocument/2006/relationships" r:id="rId221"/>
        </xdr:cNvPr>
        <xdr:cNvSpPr>
          <a:spLocks noChangeAspect="1" noChangeArrowheads="1"/>
        </xdr:cNvSpPr>
      </xdr:nvSpPr>
      <xdr:spPr bwMode="auto">
        <a:xfrm>
          <a:off x="13411200" y="46123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11" name="AutoShape 443" descr="ENGLAND10"/>
        <xdr:cNvSpPr>
          <a:spLocks noChangeAspect="1" noChangeArrowheads="1"/>
        </xdr:cNvSpPr>
      </xdr:nvSpPr>
      <xdr:spPr bwMode="auto">
        <a:xfrm>
          <a:off x="0" y="46375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12" name="AutoShape 444" descr="https://www.soccerstats.com/img/own/sshplogo.png">
          <a:hlinkClick xmlns:r="http://schemas.openxmlformats.org/officeDocument/2006/relationships" r:id="rId222"/>
        </xdr:cNvPr>
        <xdr:cNvSpPr>
          <a:spLocks noChangeAspect="1" noChangeArrowheads="1"/>
        </xdr:cNvSpPr>
      </xdr:nvSpPr>
      <xdr:spPr bwMode="auto">
        <a:xfrm>
          <a:off x="13411200" y="46375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13" name="AutoShape 445" descr="ENGLAND10"/>
        <xdr:cNvSpPr>
          <a:spLocks noChangeAspect="1" noChangeArrowheads="1"/>
        </xdr:cNvSpPr>
      </xdr:nvSpPr>
      <xdr:spPr bwMode="auto">
        <a:xfrm>
          <a:off x="0" y="46550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14" name="AutoShape 446" descr="https://www.soccerstats.com/img/own/sshplogo.png">
          <a:hlinkClick xmlns:r="http://schemas.openxmlformats.org/officeDocument/2006/relationships" r:id="rId223"/>
        </xdr:cNvPr>
        <xdr:cNvSpPr>
          <a:spLocks noChangeAspect="1" noChangeArrowheads="1"/>
        </xdr:cNvSpPr>
      </xdr:nvSpPr>
      <xdr:spPr bwMode="auto">
        <a:xfrm>
          <a:off x="13411200" y="46550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15" name="AutoShape 447" descr="ENGLAND10"/>
        <xdr:cNvSpPr>
          <a:spLocks noChangeAspect="1" noChangeArrowheads="1"/>
        </xdr:cNvSpPr>
      </xdr:nvSpPr>
      <xdr:spPr bwMode="auto">
        <a:xfrm>
          <a:off x="0" y="46802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16" name="AutoShape 448" descr="https://www.soccerstats.com/img/own/sshplogo.png">
          <a:hlinkClick xmlns:r="http://schemas.openxmlformats.org/officeDocument/2006/relationships" r:id="rId224"/>
        </xdr:cNvPr>
        <xdr:cNvSpPr>
          <a:spLocks noChangeAspect="1" noChangeArrowheads="1"/>
        </xdr:cNvSpPr>
      </xdr:nvSpPr>
      <xdr:spPr bwMode="auto">
        <a:xfrm>
          <a:off x="13411200" y="46802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17" name="AutoShape 449" descr="ENGLAND10"/>
        <xdr:cNvSpPr>
          <a:spLocks noChangeAspect="1" noChangeArrowheads="1"/>
        </xdr:cNvSpPr>
      </xdr:nvSpPr>
      <xdr:spPr bwMode="auto">
        <a:xfrm>
          <a:off x="0" y="47053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18" name="AutoShape 450" descr="https://www.soccerstats.com/img/own/sshplogo.png">
          <a:hlinkClick xmlns:r="http://schemas.openxmlformats.org/officeDocument/2006/relationships" r:id="rId225"/>
        </xdr:cNvPr>
        <xdr:cNvSpPr>
          <a:spLocks noChangeAspect="1" noChangeArrowheads="1"/>
        </xdr:cNvSpPr>
      </xdr:nvSpPr>
      <xdr:spPr bwMode="auto">
        <a:xfrm>
          <a:off x="13411200" y="4705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19" name="AutoShape 451" descr="ENGLAND10"/>
        <xdr:cNvSpPr>
          <a:spLocks noChangeAspect="1" noChangeArrowheads="1"/>
        </xdr:cNvSpPr>
      </xdr:nvSpPr>
      <xdr:spPr bwMode="auto">
        <a:xfrm>
          <a:off x="0" y="47228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20" name="AutoShape 452" descr="https://www.soccerstats.com/img/own/sshplogo.png">
          <a:hlinkClick xmlns:r="http://schemas.openxmlformats.org/officeDocument/2006/relationships" r:id="rId226"/>
        </xdr:cNvPr>
        <xdr:cNvSpPr>
          <a:spLocks noChangeAspect="1" noChangeArrowheads="1"/>
        </xdr:cNvSpPr>
      </xdr:nvSpPr>
      <xdr:spPr bwMode="auto">
        <a:xfrm>
          <a:off x="13411200" y="47228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21" name="AutoShape 453" descr="ENGLAND10"/>
        <xdr:cNvSpPr>
          <a:spLocks noChangeAspect="1" noChangeArrowheads="1"/>
        </xdr:cNvSpPr>
      </xdr:nvSpPr>
      <xdr:spPr bwMode="auto">
        <a:xfrm>
          <a:off x="0" y="47480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22" name="AutoShape 454" descr="https://www.soccerstats.com/img/own/sshplogo.png">
          <a:hlinkClick xmlns:r="http://schemas.openxmlformats.org/officeDocument/2006/relationships" r:id="rId227"/>
        </xdr:cNvPr>
        <xdr:cNvSpPr>
          <a:spLocks noChangeAspect="1" noChangeArrowheads="1"/>
        </xdr:cNvSpPr>
      </xdr:nvSpPr>
      <xdr:spPr bwMode="auto">
        <a:xfrm>
          <a:off x="13411200" y="47480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23" name="AutoShape 455" descr="ENGLAND10"/>
        <xdr:cNvSpPr>
          <a:spLocks noChangeAspect="1" noChangeArrowheads="1"/>
        </xdr:cNvSpPr>
      </xdr:nvSpPr>
      <xdr:spPr bwMode="auto">
        <a:xfrm>
          <a:off x="0" y="47731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24" name="AutoShape 456" descr="https://www.soccerstats.com/img/own/sshplogo.png">
          <a:hlinkClick xmlns:r="http://schemas.openxmlformats.org/officeDocument/2006/relationships" r:id="rId228"/>
        </xdr:cNvPr>
        <xdr:cNvSpPr>
          <a:spLocks noChangeAspect="1" noChangeArrowheads="1"/>
        </xdr:cNvSpPr>
      </xdr:nvSpPr>
      <xdr:spPr bwMode="auto">
        <a:xfrm>
          <a:off x="13411200" y="4773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25" name="AutoShape 457" descr="ENGLAND10"/>
        <xdr:cNvSpPr>
          <a:spLocks noChangeAspect="1" noChangeArrowheads="1"/>
        </xdr:cNvSpPr>
      </xdr:nvSpPr>
      <xdr:spPr bwMode="auto">
        <a:xfrm>
          <a:off x="0" y="47906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26" name="AutoShape 458" descr="https://www.soccerstats.com/img/own/sshplogo.png">
          <a:hlinkClick xmlns:r="http://schemas.openxmlformats.org/officeDocument/2006/relationships" r:id="rId229"/>
        </xdr:cNvPr>
        <xdr:cNvSpPr>
          <a:spLocks noChangeAspect="1" noChangeArrowheads="1"/>
        </xdr:cNvSpPr>
      </xdr:nvSpPr>
      <xdr:spPr bwMode="auto">
        <a:xfrm>
          <a:off x="13411200" y="47906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27" name="AutoShape 459" descr="ENGLAND10"/>
        <xdr:cNvSpPr>
          <a:spLocks noChangeAspect="1" noChangeArrowheads="1"/>
        </xdr:cNvSpPr>
      </xdr:nvSpPr>
      <xdr:spPr bwMode="auto">
        <a:xfrm>
          <a:off x="0" y="48158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28" name="AutoShape 460" descr="https://www.soccerstats.com/img/own/sshplogo.png">
          <a:hlinkClick xmlns:r="http://schemas.openxmlformats.org/officeDocument/2006/relationships" r:id="rId230"/>
        </xdr:cNvPr>
        <xdr:cNvSpPr>
          <a:spLocks noChangeAspect="1" noChangeArrowheads="1"/>
        </xdr:cNvSpPr>
      </xdr:nvSpPr>
      <xdr:spPr bwMode="auto">
        <a:xfrm>
          <a:off x="13411200" y="4815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29" name="AutoShape 461" descr="ENGLAND10"/>
        <xdr:cNvSpPr>
          <a:spLocks noChangeAspect="1" noChangeArrowheads="1"/>
        </xdr:cNvSpPr>
      </xdr:nvSpPr>
      <xdr:spPr bwMode="auto">
        <a:xfrm>
          <a:off x="0" y="48409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30" name="AutoShape 462" descr="https://www.soccerstats.com/img/own/sshplogo.png">
          <a:hlinkClick xmlns:r="http://schemas.openxmlformats.org/officeDocument/2006/relationships" r:id="rId231"/>
        </xdr:cNvPr>
        <xdr:cNvSpPr>
          <a:spLocks noChangeAspect="1" noChangeArrowheads="1"/>
        </xdr:cNvSpPr>
      </xdr:nvSpPr>
      <xdr:spPr bwMode="auto">
        <a:xfrm>
          <a:off x="13411200" y="48409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31" name="AutoShape 463" descr="ESTONIA2"/>
        <xdr:cNvSpPr>
          <a:spLocks noChangeAspect="1" noChangeArrowheads="1"/>
        </xdr:cNvSpPr>
      </xdr:nvSpPr>
      <xdr:spPr bwMode="auto">
        <a:xfrm>
          <a:off x="0" y="48661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32" name="AutoShape 464" descr="https://www.soccerstats.com/img/own/sshplogo.png">
          <a:hlinkClick xmlns:r="http://schemas.openxmlformats.org/officeDocument/2006/relationships" r:id="rId232"/>
        </xdr:cNvPr>
        <xdr:cNvSpPr>
          <a:spLocks noChangeAspect="1" noChangeArrowheads="1"/>
        </xdr:cNvSpPr>
      </xdr:nvSpPr>
      <xdr:spPr bwMode="auto">
        <a:xfrm>
          <a:off x="13411200" y="48661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33" name="AutoShape 465" descr="ESTONIA2"/>
        <xdr:cNvSpPr>
          <a:spLocks noChangeAspect="1" noChangeArrowheads="1"/>
        </xdr:cNvSpPr>
      </xdr:nvSpPr>
      <xdr:spPr bwMode="auto">
        <a:xfrm>
          <a:off x="0" y="48836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34" name="AutoShape 466" descr="https://www.soccerstats.com/img/own/sshplogo.png">
          <a:hlinkClick xmlns:r="http://schemas.openxmlformats.org/officeDocument/2006/relationships" r:id="rId233"/>
        </xdr:cNvPr>
        <xdr:cNvSpPr>
          <a:spLocks noChangeAspect="1" noChangeArrowheads="1"/>
        </xdr:cNvSpPr>
      </xdr:nvSpPr>
      <xdr:spPr bwMode="auto">
        <a:xfrm>
          <a:off x="13411200" y="48836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35" name="AutoShape 467" descr="ESTONIA2"/>
        <xdr:cNvSpPr>
          <a:spLocks noChangeAspect="1" noChangeArrowheads="1"/>
        </xdr:cNvSpPr>
      </xdr:nvSpPr>
      <xdr:spPr bwMode="auto">
        <a:xfrm>
          <a:off x="0" y="49011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36" name="AutoShape 468" descr="https://www.soccerstats.com/img/own/sshplogo.png">
          <a:hlinkClick xmlns:r="http://schemas.openxmlformats.org/officeDocument/2006/relationships" r:id="rId234"/>
        </xdr:cNvPr>
        <xdr:cNvSpPr>
          <a:spLocks noChangeAspect="1" noChangeArrowheads="1"/>
        </xdr:cNvSpPr>
      </xdr:nvSpPr>
      <xdr:spPr bwMode="auto">
        <a:xfrm>
          <a:off x="13411200" y="49011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37" name="AutoShape 469" descr="ESTONIA2"/>
        <xdr:cNvSpPr>
          <a:spLocks noChangeAspect="1" noChangeArrowheads="1"/>
        </xdr:cNvSpPr>
      </xdr:nvSpPr>
      <xdr:spPr bwMode="auto">
        <a:xfrm>
          <a:off x="0" y="49187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38" name="AutoShape 470" descr="https://www.soccerstats.com/img/own/sshplogo.png">
          <a:hlinkClick xmlns:r="http://schemas.openxmlformats.org/officeDocument/2006/relationships" r:id="rId235"/>
        </xdr:cNvPr>
        <xdr:cNvSpPr>
          <a:spLocks noChangeAspect="1" noChangeArrowheads="1"/>
        </xdr:cNvSpPr>
      </xdr:nvSpPr>
      <xdr:spPr bwMode="auto">
        <a:xfrm>
          <a:off x="13411200" y="4918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39" name="AutoShape 471" descr="FINLAND"/>
        <xdr:cNvSpPr>
          <a:spLocks noChangeAspect="1" noChangeArrowheads="1"/>
        </xdr:cNvSpPr>
      </xdr:nvSpPr>
      <xdr:spPr bwMode="auto">
        <a:xfrm>
          <a:off x="0" y="49362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40" name="AutoShape 472" descr="https://www.soccerstats.com/img/own/sshplogo.png">
          <a:hlinkClick xmlns:r="http://schemas.openxmlformats.org/officeDocument/2006/relationships" r:id="rId236"/>
        </xdr:cNvPr>
        <xdr:cNvSpPr>
          <a:spLocks noChangeAspect="1" noChangeArrowheads="1"/>
        </xdr:cNvSpPr>
      </xdr:nvSpPr>
      <xdr:spPr bwMode="auto">
        <a:xfrm>
          <a:off x="13411200" y="49362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41" name="AutoShape 473" descr="FINLAND2"/>
        <xdr:cNvSpPr>
          <a:spLocks noChangeAspect="1" noChangeArrowheads="1"/>
        </xdr:cNvSpPr>
      </xdr:nvSpPr>
      <xdr:spPr bwMode="auto">
        <a:xfrm>
          <a:off x="0" y="49537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42" name="AutoShape 474" descr="https://www.soccerstats.com/img/own/sshplogo.png">
          <a:hlinkClick xmlns:r="http://schemas.openxmlformats.org/officeDocument/2006/relationships" r:id="rId237"/>
        </xdr:cNvPr>
        <xdr:cNvSpPr>
          <a:spLocks noChangeAspect="1" noChangeArrowheads="1"/>
        </xdr:cNvSpPr>
      </xdr:nvSpPr>
      <xdr:spPr bwMode="auto">
        <a:xfrm>
          <a:off x="13411200" y="49537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43" name="AutoShape 475" descr="FINLAND2"/>
        <xdr:cNvSpPr>
          <a:spLocks noChangeAspect="1" noChangeArrowheads="1"/>
        </xdr:cNvSpPr>
      </xdr:nvSpPr>
      <xdr:spPr bwMode="auto">
        <a:xfrm>
          <a:off x="0" y="49712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44" name="AutoShape 476" descr="https://www.soccerstats.com/img/own/sshplogo.png">
          <a:hlinkClick xmlns:r="http://schemas.openxmlformats.org/officeDocument/2006/relationships" r:id="rId238"/>
        </xdr:cNvPr>
        <xdr:cNvSpPr>
          <a:spLocks noChangeAspect="1" noChangeArrowheads="1"/>
        </xdr:cNvSpPr>
      </xdr:nvSpPr>
      <xdr:spPr bwMode="auto">
        <a:xfrm>
          <a:off x="13411200" y="4971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45" name="AutoShape 477" descr="FINLAND2"/>
        <xdr:cNvSpPr>
          <a:spLocks noChangeAspect="1" noChangeArrowheads="1"/>
        </xdr:cNvSpPr>
      </xdr:nvSpPr>
      <xdr:spPr bwMode="auto">
        <a:xfrm>
          <a:off x="0" y="49888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46" name="AutoShape 478" descr="https://www.soccerstats.com/img/own/sshplogo.png">
          <a:hlinkClick xmlns:r="http://schemas.openxmlformats.org/officeDocument/2006/relationships" r:id="rId239"/>
        </xdr:cNvPr>
        <xdr:cNvSpPr>
          <a:spLocks noChangeAspect="1" noChangeArrowheads="1"/>
        </xdr:cNvSpPr>
      </xdr:nvSpPr>
      <xdr:spPr bwMode="auto">
        <a:xfrm>
          <a:off x="13411200" y="4988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47" name="AutoShape 479" descr="FINLAND3"/>
        <xdr:cNvSpPr>
          <a:spLocks noChangeAspect="1" noChangeArrowheads="1"/>
        </xdr:cNvSpPr>
      </xdr:nvSpPr>
      <xdr:spPr bwMode="auto">
        <a:xfrm>
          <a:off x="0" y="5006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48" name="AutoShape 480" descr="https://www.soccerstats.com/img/own/sshplogo.png">
          <a:hlinkClick xmlns:r="http://schemas.openxmlformats.org/officeDocument/2006/relationships" r:id="rId240"/>
        </xdr:cNvPr>
        <xdr:cNvSpPr>
          <a:spLocks noChangeAspect="1" noChangeArrowheads="1"/>
        </xdr:cNvSpPr>
      </xdr:nvSpPr>
      <xdr:spPr bwMode="auto">
        <a:xfrm>
          <a:off x="13411200" y="5006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49" name="AutoShape 481" descr="FINLAND3"/>
        <xdr:cNvSpPr>
          <a:spLocks noChangeAspect="1" noChangeArrowheads="1"/>
        </xdr:cNvSpPr>
      </xdr:nvSpPr>
      <xdr:spPr bwMode="auto">
        <a:xfrm>
          <a:off x="0" y="5023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50" name="AutoShape 482" descr="https://www.soccerstats.com/img/own/sshplogo.png">
          <a:hlinkClick xmlns:r="http://schemas.openxmlformats.org/officeDocument/2006/relationships" r:id="rId241"/>
        </xdr:cNvPr>
        <xdr:cNvSpPr>
          <a:spLocks noChangeAspect="1" noChangeArrowheads="1"/>
        </xdr:cNvSpPr>
      </xdr:nvSpPr>
      <xdr:spPr bwMode="auto">
        <a:xfrm>
          <a:off x="13411200" y="5023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51" name="AutoShape 483" descr="FINLAND3"/>
        <xdr:cNvSpPr>
          <a:spLocks noChangeAspect="1" noChangeArrowheads="1"/>
        </xdr:cNvSpPr>
      </xdr:nvSpPr>
      <xdr:spPr bwMode="auto">
        <a:xfrm>
          <a:off x="0" y="50413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52" name="AutoShape 484" descr="https://www.soccerstats.com/img/own/sshplogo.png">
          <a:hlinkClick xmlns:r="http://schemas.openxmlformats.org/officeDocument/2006/relationships" r:id="rId242"/>
        </xdr:cNvPr>
        <xdr:cNvSpPr>
          <a:spLocks noChangeAspect="1" noChangeArrowheads="1"/>
        </xdr:cNvSpPr>
      </xdr:nvSpPr>
      <xdr:spPr bwMode="auto">
        <a:xfrm>
          <a:off x="13411200" y="50413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53" name="AutoShape 485" descr="FINLAND4"/>
        <xdr:cNvSpPr>
          <a:spLocks noChangeAspect="1" noChangeArrowheads="1"/>
        </xdr:cNvSpPr>
      </xdr:nvSpPr>
      <xdr:spPr bwMode="auto">
        <a:xfrm>
          <a:off x="0" y="50589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54" name="AutoShape 486" descr="https://www.soccerstats.com/img/own/sshplogo.png">
          <a:hlinkClick xmlns:r="http://schemas.openxmlformats.org/officeDocument/2006/relationships" r:id="rId243"/>
        </xdr:cNvPr>
        <xdr:cNvSpPr>
          <a:spLocks noChangeAspect="1" noChangeArrowheads="1"/>
        </xdr:cNvSpPr>
      </xdr:nvSpPr>
      <xdr:spPr bwMode="auto">
        <a:xfrm>
          <a:off x="13411200" y="50589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55" name="AutoShape 487" descr="FINLAND4"/>
        <xdr:cNvSpPr>
          <a:spLocks noChangeAspect="1" noChangeArrowheads="1"/>
        </xdr:cNvSpPr>
      </xdr:nvSpPr>
      <xdr:spPr bwMode="auto">
        <a:xfrm>
          <a:off x="0" y="50764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56" name="AutoShape 488" descr="https://www.soccerstats.com/img/own/sshplogo.png">
          <a:hlinkClick xmlns:r="http://schemas.openxmlformats.org/officeDocument/2006/relationships" r:id="rId244"/>
        </xdr:cNvPr>
        <xdr:cNvSpPr>
          <a:spLocks noChangeAspect="1" noChangeArrowheads="1"/>
        </xdr:cNvSpPr>
      </xdr:nvSpPr>
      <xdr:spPr bwMode="auto">
        <a:xfrm>
          <a:off x="13411200" y="50764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57" name="AutoShape 489" descr="FINLAND4"/>
        <xdr:cNvSpPr>
          <a:spLocks noChangeAspect="1" noChangeArrowheads="1"/>
        </xdr:cNvSpPr>
      </xdr:nvSpPr>
      <xdr:spPr bwMode="auto">
        <a:xfrm>
          <a:off x="0" y="50939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58" name="AutoShape 490" descr="https://www.soccerstats.com/img/own/sshplogo.png">
          <a:hlinkClick xmlns:r="http://schemas.openxmlformats.org/officeDocument/2006/relationships" r:id="rId245"/>
        </xdr:cNvPr>
        <xdr:cNvSpPr>
          <a:spLocks noChangeAspect="1" noChangeArrowheads="1"/>
        </xdr:cNvSpPr>
      </xdr:nvSpPr>
      <xdr:spPr bwMode="auto">
        <a:xfrm>
          <a:off x="13411200" y="50939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59" name="AutoShape 491" descr="FINLAND5"/>
        <xdr:cNvSpPr>
          <a:spLocks noChangeAspect="1" noChangeArrowheads="1"/>
        </xdr:cNvSpPr>
      </xdr:nvSpPr>
      <xdr:spPr bwMode="auto">
        <a:xfrm>
          <a:off x="0" y="51114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60" name="AutoShape 492" descr="https://www.soccerstats.com/img/own/sshplogo.png">
          <a:hlinkClick xmlns:r="http://schemas.openxmlformats.org/officeDocument/2006/relationships" r:id="rId246"/>
        </xdr:cNvPr>
        <xdr:cNvSpPr>
          <a:spLocks noChangeAspect="1" noChangeArrowheads="1"/>
        </xdr:cNvSpPr>
      </xdr:nvSpPr>
      <xdr:spPr bwMode="auto">
        <a:xfrm>
          <a:off x="13411200" y="51114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61" name="AutoShape 493" descr="FINLAND5"/>
        <xdr:cNvSpPr>
          <a:spLocks noChangeAspect="1" noChangeArrowheads="1"/>
        </xdr:cNvSpPr>
      </xdr:nvSpPr>
      <xdr:spPr bwMode="auto">
        <a:xfrm>
          <a:off x="0" y="51290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62" name="AutoShape 494" descr="https://www.soccerstats.com/img/own/sshplogo.png">
          <a:hlinkClick xmlns:r="http://schemas.openxmlformats.org/officeDocument/2006/relationships" r:id="rId247"/>
        </xdr:cNvPr>
        <xdr:cNvSpPr>
          <a:spLocks noChangeAspect="1" noChangeArrowheads="1"/>
        </xdr:cNvSpPr>
      </xdr:nvSpPr>
      <xdr:spPr bwMode="auto">
        <a:xfrm>
          <a:off x="13411200" y="51290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63" name="AutoShape 495" descr="FINLAND5"/>
        <xdr:cNvSpPr>
          <a:spLocks noChangeAspect="1" noChangeArrowheads="1"/>
        </xdr:cNvSpPr>
      </xdr:nvSpPr>
      <xdr:spPr bwMode="auto">
        <a:xfrm>
          <a:off x="0" y="51465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64" name="AutoShape 496" descr="https://www.soccerstats.com/img/own/sshplogo.png">
          <a:hlinkClick xmlns:r="http://schemas.openxmlformats.org/officeDocument/2006/relationships" r:id="rId248"/>
        </xdr:cNvPr>
        <xdr:cNvSpPr>
          <a:spLocks noChangeAspect="1" noChangeArrowheads="1"/>
        </xdr:cNvSpPr>
      </xdr:nvSpPr>
      <xdr:spPr bwMode="auto">
        <a:xfrm>
          <a:off x="13411200" y="51465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65" name="AutoShape 497" descr="FINLAND5"/>
        <xdr:cNvSpPr>
          <a:spLocks noChangeAspect="1" noChangeArrowheads="1"/>
        </xdr:cNvSpPr>
      </xdr:nvSpPr>
      <xdr:spPr bwMode="auto">
        <a:xfrm>
          <a:off x="0" y="51640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66" name="AutoShape 498" descr="https://www.soccerstats.com/img/own/sshplogo.png">
          <a:hlinkClick xmlns:r="http://schemas.openxmlformats.org/officeDocument/2006/relationships" r:id="rId249"/>
        </xdr:cNvPr>
        <xdr:cNvSpPr>
          <a:spLocks noChangeAspect="1" noChangeArrowheads="1"/>
        </xdr:cNvSpPr>
      </xdr:nvSpPr>
      <xdr:spPr bwMode="auto">
        <a:xfrm>
          <a:off x="13411200" y="51640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67" name="AutoShape 499" descr="FINLAND5"/>
        <xdr:cNvSpPr>
          <a:spLocks noChangeAspect="1" noChangeArrowheads="1"/>
        </xdr:cNvSpPr>
      </xdr:nvSpPr>
      <xdr:spPr bwMode="auto">
        <a:xfrm>
          <a:off x="0" y="51816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68" name="AutoShape 500" descr="https://www.soccerstats.com/img/own/sshplogo.png">
          <a:hlinkClick xmlns:r="http://schemas.openxmlformats.org/officeDocument/2006/relationships" r:id="rId250"/>
        </xdr:cNvPr>
        <xdr:cNvSpPr>
          <a:spLocks noChangeAspect="1" noChangeArrowheads="1"/>
        </xdr:cNvSpPr>
      </xdr:nvSpPr>
      <xdr:spPr bwMode="auto">
        <a:xfrm>
          <a:off x="13411200" y="5181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69" name="AutoShape 501" descr="FINLAND6"/>
        <xdr:cNvSpPr>
          <a:spLocks noChangeAspect="1" noChangeArrowheads="1"/>
        </xdr:cNvSpPr>
      </xdr:nvSpPr>
      <xdr:spPr bwMode="auto">
        <a:xfrm>
          <a:off x="0" y="51991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70" name="AutoShape 502" descr="https://www.soccerstats.com/img/own/sshplogo.png">
          <a:hlinkClick xmlns:r="http://schemas.openxmlformats.org/officeDocument/2006/relationships" r:id="rId251"/>
        </xdr:cNvPr>
        <xdr:cNvSpPr>
          <a:spLocks noChangeAspect="1" noChangeArrowheads="1"/>
        </xdr:cNvSpPr>
      </xdr:nvSpPr>
      <xdr:spPr bwMode="auto">
        <a:xfrm>
          <a:off x="13411200" y="51991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71" name="AutoShape 503" descr="FINLAND6"/>
        <xdr:cNvSpPr>
          <a:spLocks noChangeAspect="1" noChangeArrowheads="1"/>
        </xdr:cNvSpPr>
      </xdr:nvSpPr>
      <xdr:spPr bwMode="auto">
        <a:xfrm>
          <a:off x="0" y="52166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72" name="AutoShape 504" descr="https://www.soccerstats.com/img/own/sshplogo.png">
          <a:hlinkClick xmlns:r="http://schemas.openxmlformats.org/officeDocument/2006/relationships" r:id="rId252"/>
        </xdr:cNvPr>
        <xdr:cNvSpPr>
          <a:spLocks noChangeAspect="1" noChangeArrowheads="1"/>
        </xdr:cNvSpPr>
      </xdr:nvSpPr>
      <xdr:spPr bwMode="auto">
        <a:xfrm>
          <a:off x="13411200" y="52166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73" name="AutoShape 505" descr="FINLAND6"/>
        <xdr:cNvSpPr>
          <a:spLocks noChangeAspect="1" noChangeArrowheads="1"/>
        </xdr:cNvSpPr>
      </xdr:nvSpPr>
      <xdr:spPr bwMode="auto">
        <a:xfrm>
          <a:off x="0" y="52341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74" name="AutoShape 506" descr="https://www.soccerstats.com/img/own/sshplogo.png">
          <a:hlinkClick xmlns:r="http://schemas.openxmlformats.org/officeDocument/2006/relationships" r:id="rId253"/>
        </xdr:cNvPr>
        <xdr:cNvSpPr>
          <a:spLocks noChangeAspect="1" noChangeArrowheads="1"/>
        </xdr:cNvSpPr>
      </xdr:nvSpPr>
      <xdr:spPr bwMode="auto">
        <a:xfrm>
          <a:off x="13411200" y="52341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75" name="AutoShape 507" descr="GEORGIA"/>
        <xdr:cNvSpPr>
          <a:spLocks noChangeAspect="1" noChangeArrowheads="1"/>
        </xdr:cNvSpPr>
      </xdr:nvSpPr>
      <xdr:spPr bwMode="auto">
        <a:xfrm>
          <a:off x="0" y="52517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76" name="AutoShape 508" descr="https://www.soccerstats.com/img/own/sshplogo.png">
          <a:hlinkClick xmlns:r="http://schemas.openxmlformats.org/officeDocument/2006/relationships" r:id="rId254"/>
        </xdr:cNvPr>
        <xdr:cNvSpPr>
          <a:spLocks noChangeAspect="1" noChangeArrowheads="1"/>
        </xdr:cNvSpPr>
      </xdr:nvSpPr>
      <xdr:spPr bwMode="auto">
        <a:xfrm>
          <a:off x="13411200" y="52517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77" name="AutoShape 509" descr="GEORGIA"/>
        <xdr:cNvSpPr>
          <a:spLocks noChangeAspect="1" noChangeArrowheads="1"/>
        </xdr:cNvSpPr>
      </xdr:nvSpPr>
      <xdr:spPr bwMode="auto">
        <a:xfrm>
          <a:off x="0" y="52768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78" name="AutoShape 510" descr="https://www.soccerstats.com/img/own/sshplogo.png">
          <a:hlinkClick xmlns:r="http://schemas.openxmlformats.org/officeDocument/2006/relationships" r:id="rId255"/>
        </xdr:cNvPr>
        <xdr:cNvSpPr>
          <a:spLocks noChangeAspect="1" noChangeArrowheads="1"/>
        </xdr:cNvSpPr>
      </xdr:nvSpPr>
      <xdr:spPr bwMode="auto">
        <a:xfrm>
          <a:off x="13411200" y="5276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79" name="AutoShape 511" descr="GERMANY3"/>
        <xdr:cNvSpPr>
          <a:spLocks noChangeAspect="1" noChangeArrowheads="1"/>
        </xdr:cNvSpPr>
      </xdr:nvSpPr>
      <xdr:spPr bwMode="auto">
        <a:xfrm>
          <a:off x="0" y="53019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80" name="AutoShape 512" descr="https://www.soccerstats.com/img/own/sshplogo.png">
          <a:hlinkClick xmlns:r="http://schemas.openxmlformats.org/officeDocument/2006/relationships" r:id="rId256"/>
        </xdr:cNvPr>
        <xdr:cNvSpPr>
          <a:spLocks noChangeAspect="1" noChangeArrowheads="1"/>
        </xdr:cNvSpPr>
      </xdr:nvSpPr>
      <xdr:spPr bwMode="auto">
        <a:xfrm>
          <a:off x="13411200" y="53019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81" name="AutoShape 513" descr="GERMANY3"/>
        <xdr:cNvSpPr>
          <a:spLocks noChangeAspect="1" noChangeArrowheads="1"/>
        </xdr:cNvSpPr>
      </xdr:nvSpPr>
      <xdr:spPr bwMode="auto">
        <a:xfrm>
          <a:off x="0" y="53271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82" name="AutoShape 514" descr="https://www.soccerstats.com/img/own/sshplogo.png">
          <a:hlinkClick xmlns:r="http://schemas.openxmlformats.org/officeDocument/2006/relationships" r:id="rId257"/>
        </xdr:cNvPr>
        <xdr:cNvSpPr>
          <a:spLocks noChangeAspect="1" noChangeArrowheads="1"/>
        </xdr:cNvSpPr>
      </xdr:nvSpPr>
      <xdr:spPr bwMode="auto">
        <a:xfrm>
          <a:off x="13411200" y="53271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83" name="AutoShape 515" descr="GERMANY3"/>
        <xdr:cNvSpPr>
          <a:spLocks noChangeAspect="1" noChangeArrowheads="1"/>
        </xdr:cNvSpPr>
      </xdr:nvSpPr>
      <xdr:spPr bwMode="auto">
        <a:xfrm>
          <a:off x="0" y="53446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84" name="AutoShape 516" descr="https://www.soccerstats.com/img/own/sshplogo.png">
          <a:hlinkClick xmlns:r="http://schemas.openxmlformats.org/officeDocument/2006/relationships" r:id="rId258"/>
        </xdr:cNvPr>
        <xdr:cNvSpPr>
          <a:spLocks noChangeAspect="1" noChangeArrowheads="1"/>
        </xdr:cNvSpPr>
      </xdr:nvSpPr>
      <xdr:spPr bwMode="auto">
        <a:xfrm>
          <a:off x="13411200" y="53446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85" name="AutoShape 517" descr="GERMANY3"/>
        <xdr:cNvSpPr>
          <a:spLocks noChangeAspect="1" noChangeArrowheads="1"/>
        </xdr:cNvSpPr>
      </xdr:nvSpPr>
      <xdr:spPr bwMode="auto">
        <a:xfrm>
          <a:off x="0" y="53621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86" name="AutoShape 518" descr="https://www.soccerstats.com/img/own/sshplogo.png">
          <a:hlinkClick xmlns:r="http://schemas.openxmlformats.org/officeDocument/2006/relationships" r:id="rId259"/>
        </xdr:cNvPr>
        <xdr:cNvSpPr>
          <a:spLocks noChangeAspect="1" noChangeArrowheads="1"/>
        </xdr:cNvSpPr>
      </xdr:nvSpPr>
      <xdr:spPr bwMode="auto">
        <a:xfrm>
          <a:off x="13411200" y="53621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87" name="AutoShape 519" descr="GERMANY3"/>
        <xdr:cNvSpPr>
          <a:spLocks noChangeAspect="1" noChangeArrowheads="1"/>
        </xdr:cNvSpPr>
      </xdr:nvSpPr>
      <xdr:spPr bwMode="auto">
        <a:xfrm>
          <a:off x="0" y="5387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88" name="AutoShape 520" descr="https://www.soccerstats.com/img/own/sshplogo.png">
          <a:hlinkClick xmlns:r="http://schemas.openxmlformats.org/officeDocument/2006/relationships" r:id="rId260"/>
        </xdr:cNvPr>
        <xdr:cNvSpPr>
          <a:spLocks noChangeAspect="1" noChangeArrowheads="1"/>
        </xdr:cNvSpPr>
      </xdr:nvSpPr>
      <xdr:spPr bwMode="auto">
        <a:xfrm>
          <a:off x="13411200" y="5387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89" name="AutoShape 521" descr="GERMANY3"/>
        <xdr:cNvSpPr>
          <a:spLocks noChangeAspect="1" noChangeArrowheads="1"/>
        </xdr:cNvSpPr>
      </xdr:nvSpPr>
      <xdr:spPr bwMode="auto">
        <a:xfrm>
          <a:off x="0" y="5404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90" name="AutoShape 522" descr="https://www.soccerstats.com/img/own/sshplogo.png">
          <a:hlinkClick xmlns:r="http://schemas.openxmlformats.org/officeDocument/2006/relationships" r:id="rId261"/>
        </xdr:cNvPr>
        <xdr:cNvSpPr>
          <a:spLocks noChangeAspect="1" noChangeArrowheads="1"/>
        </xdr:cNvSpPr>
      </xdr:nvSpPr>
      <xdr:spPr bwMode="auto">
        <a:xfrm>
          <a:off x="13411200" y="5404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91" name="AutoShape 523" descr="GERMANY4"/>
        <xdr:cNvSpPr>
          <a:spLocks noChangeAspect="1" noChangeArrowheads="1"/>
        </xdr:cNvSpPr>
      </xdr:nvSpPr>
      <xdr:spPr bwMode="auto">
        <a:xfrm>
          <a:off x="0" y="54300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92" name="AutoShape 524" descr="https://www.soccerstats.com/img/own/sshplogo.png">
          <a:hlinkClick xmlns:r="http://schemas.openxmlformats.org/officeDocument/2006/relationships" r:id="rId262"/>
        </xdr:cNvPr>
        <xdr:cNvSpPr>
          <a:spLocks noChangeAspect="1" noChangeArrowheads="1"/>
        </xdr:cNvSpPr>
      </xdr:nvSpPr>
      <xdr:spPr bwMode="auto">
        <a:xfrm>
          <a:off x="13411200" y="54300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93" name="AutoShape 525" descr="GERMANY4"/>
        <xdr:cNvSpPr>
          <a:spLocks noChangeAspect="1" noChangeArrowheads="1"/>
        </xdr:cNvSpPr>
      </xdr:nvSpPr>
      <xdr:spPr bwMode="auto">
        <a:xfrm>
          <a:off x="0" y="54475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94" name="AutoShape 526" descr="https://www.soccerstats.com/img/own/sshplogo.png">
          <a:hlinkClick xmlns:r="http://schemas.openxmlformats.org/officeDocument/2006/relationships" r:id="rId263"/>
        </xdr:cNvPr>
        <xdr:cNvSpPr>
          <a:spLocks noChangeAspect="1" noChangeArrowheads="1"/>
        </xdr:cNvSpPr>
      </xdr:nvSpPr>
      <xdr:spPr bwMode="auto">
        <a:xfrm>
          <a:off x="13411200" y="54475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95" name="AutoShape 527" descr="GERMANY4"/>
        <xdr:cNvSpPr>
          <a:spLocks noChangeAspect="1" noChangeArrowheads="1"/>
        </xdr:cNvSpPr>
      </xdr:nvSpPr>
      <xdr:spPr bwMode="auto">
        <a:xfrm>
          <a:off x="0" y="54726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96" name="AutoShape 528" descr="https://www.soccerstats.com/img/own/sshplogo.png">
          <a:hlinkClick xmlns:r="http://schemas.openxmlformats.org/officeDocument/2006/relationships" r:id="rId264"/>
        </xdr:cNvPr>
        <xdr:cNvSpPr>
          <a:spLocks noChangeAspect="1" noChangeArrowheads="1"/>
        </xdr:cNvSpPr>
      </xdr:nvSpPr>
      <xdr:spPr bwMode="auto">
        <a:xfrm>
          <a:off x="13411200" y="54726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97" name="AutoShape 529" descr="GERMANY4"/>
        <xdr:cNvSpPr>
          <a:spLocks noChangeAspect="1" noChangeArrowheads="1"/>
        </xdr:cNvSpPr>
      </xdr:nvSpPr>
      <xdr:spPr bwMode="auto">
        <a:xfrm>
          <a:off x="0" y="54902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798" name="AutoShape 530" descr="https://www.soccerstats.com/img/own/sshplogo.png">
          <a:hlinkClick xmlns:r="http://schemas.openxmlformats.org/officeDocument/2006/relationships" r:id="rId265"/>
        </xdr:cNvPr>
        <xdr:cNvSpPr>
          <a:spLocks noChangeAspect="1" noChangeArrowheads="1"/>
        </xdr:cNvSpPr>
      </xdr:nvSpPr>
      <xdr:spPr bwMode="auto">
        <a:xfrm>
          <a:off x="13411200" y="54902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799" name="AutoShape 531" descr="GERMANY5"/>
        <xdr:cNvSpPr>
          <a:spLocks noChangeAspect="1" noChangeArrowheads="1"/>
        </xdr:cNvSpPr>
      </xdr:nvSpPr>
      <xdr:spPr bwMode="auto">
        <a:xfrm>
          <a:off x="0" y="55153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00" name="AutoShape 532" descr="https://www.soccerstats.com/img/own/sshplogo.png">
          <a:hlinkClick xmlns:r="http://schemas.openxmlformats.org/officeDocument/2006/relationships" r:id="rId266"/>
        </xdr:cNvPr>
        <xdr:cNvSpPr>
          <a:spLocks noChangeAspect="1" noChangeArrowheads="1"/>
        </xdr:cNvSpPr>
      </xdr:nvSpPr>
      <xdr:spPr bwMode="auto">
        <a:xfrm>
          <a:off x="13411200" y="55153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01" name="AutoShape 533" descr="GERMANY5"/>
        <xdr:cNvSpPr>
          <a:spLocks noChangeAspect="1" noChangeArrowheads="1"/>
        </xdr:cNvSpPr>
      </xdr:nvSpPr>
      <xdr:spPr bwMode="auto">
        <a:xfrm>
          <a:off x="0" y="55328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02" name="AutoShape 534" descr="https://www.soccerstats.com/img/own/sshplogo.png">
          <a:hlinkClick xmlns:r="http://schemas.openxmlformats.org/officeDocument/2006/relationships" r:id="rId267"/>
        </xdr:cNvPr>
        <xdr:cNvSpPr>
          <a:spLocks noChangeAspect="1" noChangeArrowheads="1"/>
        </xdr:cNvSpPr>
      </xdr:nvSpPr>
      <xdr:spPr bwMode="auto">
        <a:xfrm>
          <a:off x="13411200" y="55328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03" name="AutoShape 535" descr="GERMANY5"/>
        <xdr:cNvSpPr>
          <a:spLocks noChangeAspect="1" noChangeArrowheads="1"/>
        </xdr:cNvSpPr>
      </xdr:nvSpPr>
      <xdr:spPr bwMode="auto">
        <a:xfrm>
          <a:off x="0" y="55504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04" name="AutoShape 536" descr="https://www.soccerstats.com/img/own/sshplogo.png">
          <a:hlinkClick xmlns:r="http://schemas.openxmlformats.org/officeDocument/2006/relationships" r:id="rId268"/>
        </xdr:cNvPr>
        <xdr:cNvSpPr>
          <a:spLocks noChangeAspect="1" noChangeArrowheads="1"/>
        </xdr:cNvSpPr>
      </xdr:nvSpPr>
      <xdr:spPr bwMode="auto">
        <a:xfrm>
          <a:off x="13411200" y="55504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05" name="AutoShape 537" descr="GERMANY6"/>
        <xdr:cNvSpPr>
          <a:spLocks noChangeAspect="1" noChangeArrowheads="1"/>
        </xdr:cNvSpPr>
      </xdr:nvSpPr>
      <xdr:spPr bwMode="auto">
        <a:xfrm>
          <a:off x="0" y="55755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06" name="AutoShape 538" descr="https://www.soccerstats.com/img/own/sshplogo.png">
          <a:hlinkClick xmlns:r="http://schemas.openxmlformats.org/officeDocument/2006/relationships" r:id="rId269"/>
        </xdr:cNvPr>
        <xdr:cNvSpPr>
          <a:spLocks noChangeAspect="1" noChangeArrowheads="1"/>
        </xdr:cNvSpPr>
      </xdr:nvSpPr>
      <xdr:spPr bwMode="auto">
        <a:xfrm>
          <a:off x="13411200" y="55755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07" name="AutoShape 539" descr="GERMANY6"/>
        <xdr:cNvSpPr>
          <a:spLocks noChangeAspect="1" noChangeArrowheads="1"/>
        </xdr:cNvSpPr>
      </xdr:nvSpPr>
      <xdr:spPr bwMode="auto">
        <a:xfrm>
          <a:off x="0" y="55930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08" name="AutoShape 540" descr="https://www.soccerstats.com/img/own/sshplogo.png">
          <a:hlinkClick xmlns:r="http://schemas.openxmlformats.org/officeDocument/2006/relationships" r:id="rId270"/>
        </xdr:cNvPr>
        <xdr:cNvSpPr>
          <a:spLocks noChangeAspect="1" noChangeArrowheads="1"/>
        </xdr:cNvSpPr>
      </xdr:nvSpPr>
      <xdr:spPr bwMode="auto">
        <a:xfrm>
          <a:off x="13411200" y="5593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09" name="AutoShape 541" descr="GERMANY6"/>
        <xdr:cNvSpPr>
          <a:spLocks noChangeAspect="1" noChangeArrowheads="1"/>
        </xdr:cNvSpPr>
      </xdr:nvSpPr>
      <xdr:spPr bwMode="auto">
        <a:xfrm>
          <a:off x="0" y="5610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10" name="AutoShape 542" descr="https://www.soccerstats.com/img/own/sshplogo.png">
          <a:hlinkClick xmlns:r="http://schemas.openxmlformats.org/officeDocument/2006/relationships" r:id="rId271"/>
        </xdr:cNvPr>
        <xdr:cNvSpPr>
          <a:spLocks noChangeAspect="1" noChangeArrowheads="1"/>
        </xdr:cNvSpPr>
      </xdr:nvSpPr>
      <xdr:spPr bwMode="auto">
        <a:xfrm>
          <a:off x="13411200" y="56106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11" name="AutoShape 543" descr="GERMANY6"/>
        <xdr:cNvSpPr>
          <a:spLocks noChangeAspect="1" noChangeArrowheads="1"/>
        </xdr:cNvSpPr>
      </xdr:nvSpPr>
      <xdr:spPr bwMode="auto">
        <a:xfrm>
          <a:off x="0" y="56357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12" name="AutoShape 544" descr="https://www.soccerstats.com/img/own/sshplogo.png">
          <a:hlinkClick xmlns:r="http://schemas.openxmlformats.org/officeDocument/2006/relationships" r:id="rId272"/>
        </xdr:cNvPr>
        <xdr:cNvSpPr>
          <a:spLocks noChangeAspect="1" noChangeArrowheads="1"/>
        </xdr:cNvSpPr>
      </xdr:nvSpPr>
      <xdr:spPr bwMode="auto">
        <a:xfrm>
          <a:off x="13411200" y="56357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13" name="AutoShape 545" descr="GERMANY7"/>
        <xdr:cNvSpPr>
          <a:spLocks noChangeAspect="1" noChangeArrowheads="1"/>
        </xdr:cNvSpPr>
      </xdr:nvSpPr>
      <xdr:spPr bwMode="auto">
        <a:xfrm>
          <a:off x="0" y="56608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14" name="AutoShape 546" descr="https://www.soccerstats.com/img/own/sshplogo.png">
          <a:hlinkClick xmlns:r="http://schemas.openxmlformats.org/officeDocument/2006/relationships" r:id="rId273"/>
        </xdr:cNvPr>
        <xdr:cNvSpPr>
          <a:spLocks noChangeAspect="1" noChangeArrowheads="1"/>
        </xdr:cNvSpPr>
      </xdr:nvSpPr>
      <xdr:spPr bwMode="auto">
        <a:xfrm>
          <a:off x="13411200" y="56608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15" name="AutoShape 547" descr="GERMANY7"/>
        <xdr:cNvSpPr>
          <a:spLocks noChangeAspect="1" noChangeArrowheads="1"/>
        </xdr:cNvSpPr>
      </xdr:nvSpPr>
      <xdr:spPr bwMode="auto">
        <a:xfrm>
          <a:off x="0" y="56784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16" name="AutoShape 548" descr="https://www.soccerstats.com/img/own/sshplogo.png">
          <a:hlinkClick xmlns:r="http://schemas.openxmlformats.org/officeDocument/2006/relationships" r:id="rId274"/>
        </xdr:cNvPr>
        <xdr:cNvSpPr>
          <a:spLocks noChangeAspect="1" noChangeArrowheads="1"/>
        </xdr:cNvSpPr>
      </xdr:nvSpPr>
      <xdr:spPr bwMode="auto">
        <a:xfrm>
          <a:off x="13411200" y="56784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17" name="AutoShape 549" descr="GERMANY7"/>
        <xdr:cNvSpPr>
          <a:spLocks noChangeAspect="1" noChangeArrowheads="1"/>
        </xdr:cNvSpPr>
      </xdr:nvSpPr>
      <xdr:spPr bwMode="auto">
        <a:xfrm>
          <a:off x="0" y="5695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18" name="AutoShape 550" descr="https://www.soccerstats.com/img/own/sshplogo.png">
          <a:hlinkClick xmlns:r="http://schemas.openxmlformats.org/officeDocument/2006/relationships" r:id="rId275"/>
        </xdr:cNvPr>
        <xdr:cNvSpPr>
          <a:spLocks noChangeAspect="1" noChangeArrowheads="1"/>
        </xdr:cNvSpPr>
      </xdr:nvSpPr>
      <xdr:spPr bwMode="auto">
        <a:xfrm>
          <a:off x="13411200" y="5695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19" name="AutoShape 551" descr="GERMANY7"/>
        <xdr:cNvSpPr>
          <a:spLocks noChangeAspect="1" noChangeArrowheads="1"/>
        </xdr:cNvSpPr>
      </xdr:nvSpPr>
      <xdr:spPr bwMode="auto">
        <a:xfrm>
          <a:off x="0" y="57210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20" name="AutoShape 552" descr="https://www.soccerstats.com/img/own/sshplogo.png">
          <a:hlinkClick xmlns:r="http://schemas.openxmlformats.org/officeDocument/2006/relationships" r:id="rId276"/>
        </xdr:cNvPr>
        <xdr:cNvSpPr>
          <a:spLocks noChangeAspect="1" noChangeArrowheads="1"/>
        </xdr:cNvSpPr>
      </xdr:nvSpPr>
      <xdr:spPr bwMode="auto">
        <a:xfrm>
          <a:off x="13411200" y="57210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21" name="AutoShape 553" descr="GERMANY7"/>
        <xdr:cNvSpPr>
          <a:spLocks noChangeAspect="1" noChangeArrowheads="1"/>
        </xdr:cNvSpPr>
      </xdr:nvSpPr>
      <xdr:spPr bwMode="auto">
        <a:xfrm>
          <a:off x="0" y="5738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22" name="AutoShape 554" descr="https://www.soccerstats.com/img/own/sshplogo.png">
          <a:hlinkClick xmlns:r="http://schemas.openxmlformats.org/officeDocument/2006/relationships" r:id="rId277"/>
        </xdr:cNvPr>
        <xdr:cNvSpPr>
          <a:spLocks noChangeAspect="1" noChangeArrowheads="1"/>
        </xdr:cNvSpPr>
      </xdr:nvSpPr>
      <xdr:spPr bwMode="auto">
        <a:xfrm>
          <a:off x="13411200" y="5738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23" name="AutoShape 555" descr="GUATEMALA"/>
        <xdr:cNvSpPr>
          <a:spLocks noChangeAspect="1" noChangeArrowheads="1"/>
        </xdr:cNvSpPr>
      </xdr:nvSpPr>
      <xdr:spPr bwMode="auto">
        <a:xfrm>
          <a:off x="0" y="57561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24" name="AutoShape 556" descr="https://www.soccerstats.com/img/own/sshplogo.png">
          <a:hlinkClick xmlns:r="http://schemas.openxmlformats.org/officeDocument/2006/relationships" r:id="rId278"/>
        </xdr:cNvPr>
        <xdr:cNvSpPr>
          <a:spLocks noChangeAspect="1" noChangeArrowheads="1"/>
        </xdr:cNvSpPr>
      </xdr:nvSpPr>
      <xdr:spPr bwMode="auto">
        <a:xfrm>
          <a:off x="13411200" y="57561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25" name="AutoShape 557" descr="GUATEMALA"/>
        <xdr:cNvSpPr>
          <a:spLocks noChangeAspect="1" noChangeArrowheads="1"/>
        </xdr:cNvSpPr>
      </xdr:nvSpPr>
      <xdr:spPr bwMode="auto">
        <a:xfrm>
          <a:off x="0" y="57812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26" name="AutoShape 558" descr="https://www.soccerstats.com/img/own/sshplogo.png">
          <a:hlinkClick xmlns:r="http://schemas.openxmlformats.org/officeDocument/2006/relationships" r:id="rId279"/>
        </xdr:cNvPr>
        <xdr:cNvSpPr>
          <a:spLocks noChangeAspect="1" noChangeArrowheads="1"/>
        </xdr:cNvSpPr>
      </xdr:nvSpPr>
      <xdr:spPr bwMode="auto">
        <a:xfrm>
          <a:off x="13411200" y="57812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27" name="AutoShape 559" descr="HUNGARY"/>
        <xdr:cNvSpPr>
          <a:spLocks noChangeAspect="1" noChangeArrowheads="1"/>
        </xdr:cNvSpPr>
      </xdr:nvSpPr>
      <xdr:spPr bwMode="auto">
        <a:xfrm>
          <a:off x="0" y="57988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28" name="AutoShape 560" descr="https://www.soccerstats.com/img/own/sshplogo.png">
          <a:hlinkClick xmlns:r="http://schemas.openxmlformats.org/officeDocument/2006/relationships" r:id="rId280"/>
        </xdr:cNvPr>
        <xdr:cNvSpPr>
          <a:spLocks noChangeAspect="1" noChangeArrowheads="1"/>
        </xdr:cNvSpPr>
      </xdr:nvSpPr>
      <xdr:spPr bwMode="auto">
        <a:xfrm>
          <a:off x="13411200" y="57988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29" name="AutoShape 561" descr="HUNGARY"/>
        <xdr:cNvSpPr>
          <a:spLocks noChangeAspect="1" noChangeArrowheads="1"/>
        </xdr:cNvSpPr>
      </xdr:nvSpPr>
      <xdr:spPr bwMode="auto">
        <a:xfrm>
          <a:off x="0" y="58239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30" name="AutoShape 562" descr="https://www.soccerstats.com/img/own/sshplogo.png">
          <a:hlinkClick xmlns:r="http://schemas.openxmlformats.org/officeDocument/2006/relationships" r:id="rId281"/>
        </xdr:cNvPr>
        <xdr:cNvSpPr>
          <a:spLocks noChangeAspect="1" noChangeArrowheads="1"/>
        </xdr:cNvSpPr>
      </xdr:nvSpPr>
      <xdr:spPr bwMode="auto">
        <a:xfrm>
          <a:off x="13411200" y="58239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31" name="AutoShape 563" descr="HUNGARY2"/>
        <xdr:cNvSpPr>
          <a:spLocks noChangeAspect="1" noChangeArrowheads="1"/>
        </xdr:cNvSpPr>
      </xdr:nvSpPr>
      <xdr:spPr bwMode="auto">
        <a:xfrm>
          <a:off x="0" y="58414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32" name="AutoShape 564" descr="https://www.soccerstats.com/img/own/sshplogo.png">
          <a:hlinkClick xmlns:r="http://schemas.openxmlformats.org/officeDocument/2006/relationships" r:id="rId282"/>
        </xdr:cNvPr>
        <xdr:cNvSpPr>
          <a:spLocks noChangeAspect="1" noChangeArrowheads="1"/>
        </xdr:cNvSpPr>
      </xdr:nvSpPr>
      <xdr:spPr bwMode="auto">
        <a:xfrm>
          <a:off x="13411200" y="58414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33" name="AutoShape 565" descr="HUNGARY2"/>
        <xdr:cNvSpPr>
          <a:spLocks noChangeAspect="1" noChangeArrowheads="1"/>
        </xdr:cNvSpPr>
      </xdr:nvSpPr>
      <xdr:spPr bwMode="auto">
        <a:xfrm>
          <a:off x="0" y="58590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34" name="AutoShape 566" descr="https://www.soccerstats.com/img/own/sshplogo.png">
          <a:hlinkClick xmlns:r="http://schemas.openxmlformats.org/officeDocument/2006/relationships" r:id="rId283"/>
        </xdr:cNvPr>
        <xdr:cNvSpPr>
          <a:spLocks noChangeAspect="1" noChangeArrowheads="1"/>
        </xdr:cNvSpPr>
      </xdr:nvSpPr>
      <xdr:spPr bwMode="auto">
        <a:xfrm>
          <a:off x="13411200" y="58590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35" name="AutoShape 567" descr="HUNGARY2"/>
        <xdr:cNvSpPr>
          <a:spLocks noChangeAspect="1" noChangeArrowheads="1"/>
        </xdr:cNvSpPr>
      </xdr:nvSpPr>
      <xdr:spPr bwMode="auto">
        <a:xfrm>
          <a:off x="0" y="58765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36" name="AutoShape 568" descr="https://www.soccerstats.com/img/own/sshplogo.png">
          <a:hlinkClick xmlns:r="http://schemas.openxmlformats.org/officeDocument/2006/relationships" r:id="rId284"/>
        </xdr:cNvPr>
        <xdr:cNvSpPr>
          <a:spLocks noChangeAspect="1" noChangeArrowheads="1"/>
        </xdr:cNvSpPr>
      </xdr:nvSpPr>
      <xdr:spPr bwMode="auto">
        <a:xfrm>
          <a:off x="13411200" y="58765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37" name="AutoShape 569" descr="HUNGARY2"/>
        <xdr:cNvSpPr>
          <a:spLocks noChangeAspect="1" noChangeArrowheads="1"/>
        </xdr:cNvSpPr>
      </xdr:nvSpPr>
      <xdr:spPr bwMode="auto">
        <a:xfrm>
          <a:off x="0" y="59016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38" name="AutoShape 570" descr="https://www.soccerstats.com/img/own/sshplogo.png">
          <a:hlinkClick xmlns:r="http://schemas.openxmlformats.org/officeDocument/2006/relationships" r:id="rId285"/>
        </xdr:cNvPr>
        <xdr:cNvSpPr>
          <a:spLocks noChangeAspect="1" noChangeArrowheads="1"/>
        </xdr:cNvSpPr>
      </xdr:nvSpPr>
      <xdr:spPr bwMode="auto">
        <a:xfrm>
          <a:off x="13411200" y="59016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39" name="AutoShape 571" descr="HUNGARY2"/>
        <xdr:cNvSpPr>
          <a:spLocks noChangeAspect="1" noChangeArrowheads="1"/>
        </xdr:cNvSpPr>
      </xdr:nvSpPr>
      <xdr:spPr bwMode="auto">
        <a:xfrm>
          <a:off x="0" y="59192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40" name="AutoShape 572" descr="https://www.soccerstats.com/img/own/sshplogo.png">
          <a:hlinkClick xmlns:r="http://schemas.openxmlformats.org/officeDocument/2006/relationships" r:id="rId286"/>
        </xdr:cNvPr>
        <xdr:cNvSpPr>
          <a:spLocks noChangeAspect="1" noChangeArrowheads="1"/>
        </xdr:cNvSpPr>
      </xdr:nvSpPr>
      <xdr:spPr bwMode="auto">
        <a:xfrm>
          <a:off x="13411200" y="59192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41" name="AutoShape 573" descr="HUNGARY2"/>
        <xdr:cNvSpPr>
          <a:spLocks noChangeAspect="1" noChangeArrowheads="1"/>
        </xdr:cNvSpPr>
      </xdr:nvSpPr>
      <xdr:spPr bwMode="auto">
        <a:xfrm>
          <a:off x="0" y="59443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42" name="AutoShape 574" descr="https://www.soccerstats.com/img/own/sshplogo.png">
          <a:hlinkClick xmlns:r="http://schemas.openxmlformats.org/officeDocument/2006/relationships" r:id="rId287"/>
        </xdr:cNvPr>
        <xdr:cNvSpPr>
          <a:spLocks noChangeAspect="1" noChangeArrowheads="1"/>
        </xdr:cNvSpPr>
      </xdr:nvSpPr>
      <xdr:spPr bwMode="auto">
        <a:xfrm>
          <a:off x="13411200" y="59443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43" name="AutoShape 575" descr="ICELAND"/>
        <xdr:cNvSpPr>
          <a:spLocks noChangeAspect="1" noChangeArrowheads="1"/>
        </xdr:cNvSpPr>
      </xdr:nvSpPr>
      <xdr:spPr bwMode="auto">
        <a:xfrm>
          <a:off x="0" y="59618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44" name="AutoShape 576" descr="https://www.soccerstats.com/img/own/sshplogo.png">
          <a:hlinkClick xmlns:r="http://schemas.openxmlformats.org/officeDocument/2006/relationships" r:id="rId288"/>
        </xdr:cNvPr>
        <xdr:cNvSpPr>
          <a:spLocks noChangeAspect="1" noChangeArrowheads="1"/>
        </xdr:cNvSpPr>
      </xdr:nvSpPr>
      <xdr:spPr bwMode="auto">
        <a:xfrm>
          <a:off x="13411200" y="59618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45" name="AutoShape 577" descr="ICELAND3"/>
        <xdr:cNvSpPr>
          <a:spLocks noChangeAspect="1" noChangeArrowheads="1"/>
        </xdr:cNvSpPr>
      </xdr:nvSpPr>
      <xdr:spPr bwMode="auto">
        <a:xfrm>
          <a:off x="0" y="59794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46" name="AutoShape 578" descr="https://www.soccerstats.com/img/own/sshplogo.png">
          <a:hlinkClick xmlns:r="http://schemas.openxmlformats.org/officeDocument/2006/relationships" r:id="rId289"/>
        </xdr:cNvPr>
        <xdr:cNvSpPr>
          <a:spLocks noChangeAspect="1" noChangeArrowheads="1"/>
        </xdr:cNvSpPr>
      </xdr:nvSpPr>
      <xdr:spPr bwMode="auto">
        <a:xfrm>
          <a:off x="13411200" y="59794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47" name="AutoShape 579" descr="ICELAND3"/>
        <xdr:cNvSpPr>
          <a:spLocks noChangeAspect="1" noChangeArrowheads="1"/>
        </xdr:cNvSpPr>
      </xdr:nvSpPr>
      <xdr:spPr bwMode="auto">
        <a:xfrm>
          <a:off x="0" y="59969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48" name="AutoShape 580" descr="https://www.soccerstats.com/img/own/sshplogo.png">
          <a:hlinkClick xmlns:r="http://schemas.openxmlformats.org/officeDocument/2006/relationships" r:id="rId290"/>
        </xdr:cNvPr>
        <xdr:cNvSpPr>
          <a:spLocks noChangeAspect="1" noChangeArrowheads="1"/>
        </xdr:cNvSpPr>
      </xdr:nvSpPr>
      <xdr:spPr bwMode="auto">
        <a:xfrm>
          <a:off x="13411200" y="5996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49" name="AutoShape 581" descr="ICELAND3"/>
        <xdr:cNvSpPr>
          <a:spLocks noChangeAspect="1" noChangeArrowheads="1"/>
        </xdr:cNvSpPr>
      </xdr:nvSpPr>
      <xdr:spPr bwMode="auto">
        <a:xfrm>
          <a:off x="0" y="60144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50" name="AutoShape 582" descr="https://www.soccerstats.com/img/own/sshplogo.png">
          <a:hlinkClick xmlns:r="http://schemas.openxmlformats.org/officeDocument/2006/relationships" r:id="rId291"/>
        </xdr:cNvPr>
        <xdr:cNvSpPr>
          <a:spLocks noChangeAspect="1" noChangeArrowheads="1"/>
        </xdr:cNvSpPr>
      </xdr:nvSpPr>
      <xdr:spPr bwMode="auto">
        <a:xfrm>
          <a:off x="13411200" y="60144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51" name="AutoShape 583" descr="ICELAND3"/>
        <xdr:cNvSpPr>
          <a:spLocks noChangeAspect="1" noChangeArrowheads="1"/>
        </xdr:cNvSpPr>
      </xdr:nvSpPr>
      <xdr:spPr bwMode="auto">
        <a:xfrm>
          <a:off x="0" y="60396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52" name="AutoShape 584" descr="https://www.soccerstats.com/img/own/sshplogo.png">
          <a:hlinkClick xmlns:r="http://schemas.openxmlformats.org/officeDocument/2006/relationships" r:id="rId292"/>
        </xdr:cNvPr>
        <xdr:cNvSpPr>
          <a:spLocks noChangeAspect="1" noChangeArrowheads="1"/>
        </xdr:cNvSpPr>
      </xdr:nvSpPr>
      <xdr:spPr bwMode="auto">
        <a:xfrm>
          <a:off x="13411200" y="60396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53" name="AutoShape 585" descr="ICELAND3"/>
        <xdr:cNvSpPr>
          <a:spLocks noChangeAspect="1" noChangeArrowheads="1"/>
        </xdr:cNvSpPr>
      </xdr:nvSpPr>
      <xdr:spPr bwMode="auto">
        <a:xfrm>
          <a:off x="0" y="60571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54" name="AutoShape 586" descr="https://www.soccerstats.com/img/own/sshplogo.png">
          <a:hlinkClick xmlns:r="http://schemas.openxmlformats.org/officeDocument/2006/relationships" r:id="rId293"/>
        </xdr:cNvPr>
        <xdr:cNvSpPr>
          <a:spLocks noChangeAspect="1" noChangeArrowheads="1"/>
        </xdr:cNvSpPr>
      </xdr:nvSpPr>
      <xdr:spPr bwMode="auto">
        <a:xfrm>
          <a:off x="13411200" y="60571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55" name="AutoShape 587" descr="IRELAND3"/>
        <xdr:cNvSpPr>
          <a:spLocks noChangeAspect="1" noChangeArrowheads="1"/>
        </xdr:cNvSpPr>
      </xdr:nvSpPr>
      <xdr:spPr bwMode="auto">
        <a:xfrm>
          <a:off x="0" y="60822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56" name="AutoShape 588" descr="https://www.soccerstats.com/img/own/sshplogo.png">
          <a:hlinkClick xmlns:r="http://schemas.openxmlformats.org/officeDocument/2006/relationships" r:id="rId294"/>
        </xdr:cNvPr>
        <xdr:cNvSpPr>
          <a:spLocks noChangeAspect="1" noChangeArrowheads="1"/>
        </xdr:cNvSpPr>
      </xdr:nvSpPr>
      <xdr:spPr bwMode="auto">
        <a:xfrm>
          <a:off x="13411200" y="60822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57" name="AutoShape 589" descr="IRELAND3"/>
        <xdr:cNvSpPr>
          <a:spLocks noChangeAspect="1" noChangeArrowheads="1"/>
        </xdr:cNvSpPr>
      </xdr:nvSpPr>
      <xdr:spPr bwMode="auto">
        <a:xfrm>
          <a:off x="0" y="60998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58" name="AutoShape 590" descr="https://www.soccerstats.com/img/own/sshplogo.png">
          <a:hlinkClick xmlns:r="http://schemas.openxmlformats.org/officeDocument/2006/relationships" r:id="rId295"/>
        </xdr:cNvPr>
        <xdr:cNvSpPr>
          <a:spLocks noChangeAspect="1" noChangeArrowheads="1"/>
        </xdr:cNvSpPr>
      </xdr:nvSpPr>
      <xdr:spPr bwMode="auto">
        <a:xfrm>
          <a:off x="13411200" y="60998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59" name="AutoShape 591" descr="IRELAND3"/>
        <xdr:cNvSpPr>
          <a:spLocks noChangeAspect="1" noChangeArrowheads="1"/>
        </xdr:cNvSpPr>
      </xdr:nvSpPr>
      <xdr:spPr bwMode="auto">
        <a:xfrm>
          <a:off x="0" y="61249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60" name="AutoShape 592" descr="https://www.soccerstats.com/img/own/sshplogo.png">
          <a:hlinkClick xmlns:r="http://schemas.openxmlformats.org/officeDocument/2006/relationships" r:id="rId296"/>
        </xdr:cNvPr>
        <xdr:cNvSpPr>
          <a:spLocks noChangeAspect="1" noChangeArrowheads="1"/>
        </xdr:cNvSpPr>
      </xdr:nvSpPr>
      <xdr:spPr bwMode="auto">
        <a:xfrm>
          <a:off x="13411200" y="61249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61" name="AutoShape 593" descr="IRELAND3"/>
        <xdr:cNvSpPr>
          <a:spLocks noChangeAspect="1" noChangeArrowheads="1"/>
        </xdr:cNvSpPr>
      </xdr:nvSpPr>
      <xdr:spPr bwMode="auto">
        <a:xfrm>
          <a:off x="0" y="61501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62" name="AutoShape 594" descr="https://www.soccerstats.com/img/own/sshplogo.png">
          <a:hlinkClick xmlns:r="http://schemas.openxmlformats.org/officeDocument/2006/relationships" r:id="rId297"/>
        </xdr:cNvPr>
        <xdr:cNvSpPr>
          <a:spLocks noChangeAspect="1" noChangeArrowheads="1"/>
        </xdr:cNvSpPr>
      </xdr:nvSpPr>
      <xdr:spPr bwMode="auto">
        <a:xfrm>
          <a:off x="13411200" y="61501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63" name="AutoShape 595" descr="IRELAND3"/>
        <xdr:cNvSpPr>
          <a:spLocks noChangeAspect="1" noChangeArrowheads="1"/>
        </xdr:cNvSpPr>
      </xdr:nvSpPr>
      <xdr:spPr bwMode="auto">
        <a:xfrm>
          <a:off x="0" y="61752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64" name="AutoShape 596" descr="https://www.soccerstats.com/img/own/sshplogo.png">
          <a:hlinkClick xmlns:r="http://schemas.openxmlformats.org/officeDocument/2006/relationships" r:id="rId298"/>
        </xdr:cNvPr>
        <xdr:cNvSpPr>
          <a:spLocks noChangeAspect="1" noChangeArrowheads="1"/>
        </xdr:cNvSpPr>
      </xdr:nvSpPr>
      <xdr:spPr bwMode="auto">
        <a:xfrm>
          <a:off x="13411200" y="61752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65" name="AutoShape 597" descr="IRELAND3"/>
        <xdr:cNvSpPr>
          <a:spLocks noChangeAspect="1" noChangeArrowheads="1"/>
        </xdr:cNvSpPr>
      </xdr:nvSpPr>
      <xdr:spPr bwMode="auto">
        <a:xfrm>
          <a:off x="0" y="61927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66" name="AutoShape 598" descr="https://www.soccerstats.com/img/own/sshplogo.png">
          <a:hlinkClick xmlns:r="http://schemas.openxmlformats.org/officeDocument/2006/relationships" r:id="rId299"/>
        </xdr:cNvPr>
        <xdr:cNvSpPr>
          <a:spLocks noChangeAspect="1" noChangeArrowheads="1"/>
        </xdr:cNvSpPr>
      </xdr:nvSpPr>
      <xdr:spPr bwMode="auto">
        <a:xfrm>
          <a:off x="13411200" y="61927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67" name="AutoShape 599" descr="JAPAN"/>
        <xdr:cNvSpPr>
          <a:spLocks noChangeAspect="1" noChangeArrowheads="1"/>
        </xdr:cNvSpPr>
      </xdr:nvSpPr>
      <xdr:spPr bwMode="auto">
        <a:xfrm>
          <a:off x="0" y="62179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68" name="AutoShape 600" descr="https://www.soccerstats.com/img/own/sshplogo.png">
          <a:hlinkClick xmlns:r="http://schemas.openxmlformats.org/officeDocument/2006/relationships" r:id="rId300"/>
        </xdr:cNvPr>
        <xdr:cNvSpPr>
          <a:spLocks noChangeAspect="1" noChangeArrowheads="1"/>
        </xdr:cNvSpPr>
      </xdr:nvSpPr>
      <xdr:spPr bwMode="auto">
        <a:xfrm>
          <a:off x="13411200" y="6217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69" name="AutoShape 601" descr="JAPAN"/>
        <xdr:cNvSpPr>
          <a:spLocks noChangeAspect="1" noChangeArrowheads="1"/>
        </xdr:cNvSpPr>
      </xdr:nvSpPr>
      <xdr:spPr bwMode="auto">
        <a:xfrm>
          <a:off x="0" y="62430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70" name="AutoShape 602" descr="https://www.soccerstats.com/img/own/sshplogo.png">
          <a:hlinkClick xmlns:r="http://schemas.openxmlformats.org/officeDocument/2006/relationships" r:id="rId301"/>
        </xdr:cNvPr>
        <xdr:cNvSpPr>
          <a:spLocks noChangeAspect="1" noChangeArrowheads="1"/>
        </xdr:cNvSpPr>
      </xdr:nvSpPr>
      <xdr:spPr bwMode="auto">
        <a:xfrm>
          <a:off x="13411200" y="62430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71" name="AutoShape 603" descr="JAPAN"/>
        <xdr:cNvSpPr>
          <a:spLocks noChangeAspect="1" noChangeArrowheads="1"/>
        </xdr:cNvSpPr>
      </xdr:nvSpPr>
      <xdr:spPr bwMode="auto">
        <a:xfrm>
          <a:off x="0" y="62682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72" name="AutoShape 604" descr="https://www.soccerstats.com/img/own/sshplogo.png">
          <a:hlinkClick xmlns:r="http://schemas.openxmlformats.org/officeDocument/2006/relationships" r:id="rId302"/>
        </xdr:cNvPr>
        <xdr:cNvSpPr>
          <a:spLocks noChangeAspect="1" noChangeArrowheads="1"/>
        </xdr:cNvSpPr>
      </xdr:nvSpPr>
      <xdr:spPr bwMode="auto">
        <a:xfrm>
          <a:off x="13411200" y="62682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73" name="AutoShape 605" descr="JAPAN"/>
        <xdr:cNvSpPr>
          <a:spLocks noChangeAspect="1" noChangeArrowheads="1"/>
        </xdr:cNvSpPr>
      </xdr:nvSpPr>
      <xdr:spPr bwMode="auto">
        <a:xfrm>
          <a:off x="0" y="62933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74" name="AutoShape 606" descr="https://www.soccerstats.com/img/own/sshplogo.png">
          <a:hlinkClick xmlns:r="http://schemas.openxmlformats.org/officeDocument/2006/relationships" r:id="rId303"/>
        </xdr:cNvPr>
        <xdr:cNvSpPr>
          <a:spLocks noChangeAspect="1" noChangeArrowheads="1"/>
        </xdr:cNvSpPr>
      </xdr:nvSpPr>
      <xdr:spPr bwMode="auto">
        <a:xfrm>
          <a:off x="13411200" y="62933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75" name="AutoShape 607" descr="JAPAN"/>
        <xdr:cNvSpPr>
          <a:spLocks noChangeAspect="1" noChangeArrowheads="1"/>
        </xdr:cNvSpPr>
      </xdr:nvSpPr>
      <xdr:spPr bwMode="auto">
        <a:xfrm>
          <a:off x="0" y="63185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76" name="AutoShape 608" descr="https://www.soccerstats.com/img/own/sshplogo.png">
          <a:hlinkClick xmlns:r="http://schemas.openxmlformats.org/officeDocument/2006/relationships" r:id="rId304"/>
        </xdr:cNvPr>
        <xdr:cNvSpPr>
          <a:spLocks noChangeAspect="1" noChangeArrowheads="1"/>
        </xdr:cNvSpPr>
      </xdr:nvSpPr>
      <xdr:spPr bwMode="auto">
        <a:xfrm>
          <a:off x="13411200" y="63185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77" name="AutoShape 609" descr="JAPAN"/>
        <xdr:cNvSpPr>
          <a:spLocks noChangeAspect="1" noChangeArrowheads="1"/>
        </xdr:cNvSpPr>
      </xdr:nvSpPr>
      <xdr:spPr bwMode="auto">
        <a:xfrm>
          <a:off x="0" y="63436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78" name="AutoShape 610" descr="https://www.soccerstats.com/img/own/sshplogo.png">
          <a:hlinkClick xmlns:r="http://schemas.openxmlformats.org/officeDocument/2006/relationships" r:id="rId305"/>
        </xdr:cNvPr>
        <xdr:cNvSpPr>
          <a:spLocks noChangeAspect="1" noChangeArrowheads="1"/>
        </xdr:cNvSpPr>
      </xdr:nvSpPr>
      <xdr:spPr bwMode="auto">
        <a:xfrm>
          <a:off x="13411200" y="6343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79" name="AutoShape 611" descr="JAPAN"/>
        <xdr:cNvSpPr>
          <a:spLocks noChangeAspect="1" noChangeArrowheads="1"/>
        </xdr:cNvSpPr>
      </xdr:nvSpPr>
      <xdr:spPr bwMode="auto">
        <a:xfrm>
          <a:off x="0" y="63687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80" name="AutoShape 612" descr="https://www.soccerstats.com/img/own/sshplogo.png">
          <a:hlinkClick xmlns:r="http://schemas.openxmlformats.org/officeDocument/2006/relationships" r:id="rId306"/>
        </xdr:cNvPr>
        <xdr:cNvSpPr>
          <a:spLocks noChangeAspect="1" noChangeArrowheads="1"/>
        </xdr:cNvSpPr>
      </xdr:nvSpPr>
      <xdr:spPr bwMode="auto">
        <a:xfrm>
          <a:off x="13411200" y="63687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81" name="AutoShape 613" descr="JAPAN"/>
        <xdr:cNvSpPr>
          <a:spLocks noChangeAspect="1" noChangeArrowheads="1"/>
        </xdr:cNvSpPr>
      </xdr:nvSpPr>
      <xdr:spPr bwMode="auto">
        <a:xfrm>
          <a:off x="0" y="63863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82" name="AutoShape 614" descr="https://www.soccerstats.com/img/own/sshplogo.png">
          <a:hlinkClick xmlns:r="http://schemas.openxmlformats.org/officeDocument/2006/relationships" r:id="rId307"/>
        </xdr:cNvPr>
        <xdr:cNvSpPr>
          <a:spLocks noChangeAspect="1" noChangeArrowheads="1"/>
        </xdr:cNvSpPr>
      </xdr:nvSpPr>
      <xdr:spPr bwMode="auto">
        <a:xfrm>
          <a:off x="13411200" y="63863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83" name="AutoShape 615" descr="JAPAN"/>
        <xdr:cNvSpPr>
          <a:spLocks noChangeAspect="1" noChangeArrowheads="1"/>
        </xdr:cNvSpPr>
      </xdr:nvSpPr>
      <xdr:spPr bwMode="auto">
        <a:xfrm>
          <a:off x="0" y="64038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84" name="AutoShape 616" descr="https://www.soccerstats.com/img/own/sshplogo.png">
          <a:hlinkClick xmlns:r="http://schemas.openxmlformats.org/officeDocument/2006/relationships" r:id="rId308"/>
        </xdr:cNvPr>
        <xdr:cNvSpPr>
          <a:spLocks noChangeAspect="1" noChangeArrowheads="1"/>
        </xdr:cNvSpPr>
      </xdr:nvSpPr>
      <xdr:spPr bwMode="auto">
        <a:xfrm>
          <a:off x="13411200" y="64038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85" name="AutoShape 617" descr="JAPAN2"/>
        <xdr:cNvSpPr>
          <a:spLocks noChangeAspect="1" noChangeArrowheads="1"/>
        </xdr:cNvSpPr>
      </xdr:nvSpPr>
      <xdr:spPr bwMode="auto">
        <a:xfrm>
          <a:off x="0" y="64213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86" name="AutoShape 618" descr="https://www.soccerstats.com/img/own/sshplogo.png">
          <a:hlinkClick xmlns:r="http://schemas.openxmlformats.org/officeDocument/2006/relationships" r:id="rId309"/>
        </xdr:cNvPr>
        <xdr:cNvSpPr>
          <a:spLocks noChangeAspect="1" noChangeArrowheads="1"/>
        </xdr:cNvSpPr>
      </xdr:nvSpPr>
      <xdr:spPr bwMode="auto">
        <a:xfrm>
          <a:off x="13411200" y="64213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87" name="AutoShape 619" descr="JAPAN2"/>
        <xdr:cNvSpPr>
          <a:spLocks noChangeAspect="1" noChangeArrowheads="1"/>
        </xdr:cNvSpPr>
      </xdr:nvSpPr>
      <xdr:spPr bwMode="auto">
        <a:xfrm>
          <a:off x="0" y="64465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88" name="AutoShape 620" descr="https://www.soccerstats.com/img/own/sshplogo.png">
          <a:hlinkClick xmlns:r="http://schemas.openxmlformats.org/officeDocument/2006/relationships" r:id="rId310"/>
        </xdr:cNvPr>
        <xdr:cNvSpPr>
          <a:spLocks noChangeAspect="1" noChangeArrowheads="1"/>
        </xdr:cNvSpPr>
      </xdr:nvSpPr>
      <xdr:spPr bwMode="auto">
        <a:xfrm>
          <a:off x="13411200" y="64465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89" name="AutoShape 621" descr="JAPAN2"/>
        <xdr:cNvSpPr>
          <a:spLocks noChangeAspect="1" noChangeArrowheads="1"/>
        </xdr:cNvSpPr>
      </xdr:nvSpPr>
      <xdr:spPr bwMode="auto">
        <a:xfrm>
          <a:off x="0" y="64640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90" name="AutoShape 622" descr="https://www.soccerstats.com/img/own/sshplogo.png">
          <a:hlinkClick xmlns:r="http://schemas.openxmlformats.org/officeDocument/2006/relationships" r:id="rId311"/>
        </xdr:cNvPr>
        <xdr:cNvSpPr>
          <a:spLocks noChangeAspect="1" noChangeArrowheads="1"/>
        </xdr:cNvSpPr>
      </xdr:nvSpPr>
      <xdr:spPr bwMode="auto">
        <a:xfrm>
          <a:off x="13411200" y="64640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91" name="AutoShape 623" descr="JAPAN2"/>
        <xdr:cNvSpPr>
          <a:spLocks noChangeAspect="1" noChangeArrowheads="1"/>
        </xdr:cNvSpPr>
      </xdr:nvSpPr>
      <xdr:spPr bwMode="auto">
        <a:xfrm>
          <a:off x="0" y="64815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92" name="AutoShape 624" descr="https://www.soccerstats.com/img/own/sshplogo.png">
          <a:hlinkClick xmlns:r="http://schemas.openxmlformats.org/officeDocument/2006/relationships" r:id="rId312"/>
        </xdr:cNvPr>
        <xdr:cNvSpPr>
          <a:spLocks noChangeAspect="1" noChangeArrowheads="1"/>
        </xdr:cNvSpPr>
      </xdr:nvSpPr>
      <xdr:spPr bwMode="auto">
        <a:xfrm>
          <a:off x="13411200" y="64815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93" name="AutoShape 625" descr="JAPAN2"/>
        <xdr:cNvSpPr>
          <a:spLocks noChangeAspect="1" noChangeArrowheads="1"/>
        </xdr:cNvSpPr>
      </xdr:nvSpPr>
      <xdr:spPr bwMode="auto">
        <a:xfrm>
          <a:off x="0" y="65067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94" name="AutoShape 626" descr="https://www.soccerstats.com/img/own/sshplogo.png">
          <a:hlinkClick xmlns:r="http://schemas.openxmlformats.org/officeDocument/2006/relationships" r:id="rId313"/>
        </xdr:cNvPr>
        <xdr:cNvSpPr>
          <a:spLocks noChangeAspect="1" noChangeArrowheads="1"/>
        </xdr:cNvSpPr>
      </xdr:nvSpPr>
      <xdr:spPr bwMode="auto">
        <a:xfrm>
          <a:off x="13411200" y="65067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95" name="AutoShape 627" descr="JAPAN2"/>
        <xdr:cNvSpPr>
          <a:spLocks noChangeAspect="1" noChangeArrowheads="1"/>
        </xdr:cNvSpPr>
      </xdr:nvSpPr>
      <xdr:spPr bwMode="auto">
        <a:xfrm>
          <a:off x="0" y="65242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96" name="AutoShape 628" descr="https://www.soccerstats.com/img/own/sshplogo.png">
          <a:hlinkClick xmlns:r="http://schemas.openxmlformats.org/officeDocument/2006/relationships" r:id="rId314"/>
        </xdr:cNvPr>
        <xdr:cNvSpPr>
          <a:spLocks noChangeAspect="1" noChangeArrowheads="1"/>
        </xdr:cNvSpPr>
      </xdr:nvSpPr>
      <xdr:spPr bwMode="auto">
        <a:xfrm>
          <a:off x="13411200" y="65242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97" name="AutoShape 629" descr="JAPAN2"/>
        <xdr:cNvSpPr>
          <a:spLocks noChangeAspect="1" noChangeArrowheads="1"/>
        </xdr:cNvSpPr>
      </xdr:nvSpPr>
      <xdr:spPr bwMode="auto">
        <a:xfrm>
          <a:off x="0" y="65493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898" name="AutoShape 630" descr="https://www.soccerstats.com/img/own/sshplogo.png">
          <a:hlinkClick xmlns:r="http://schemas.openxmlformats.org/officeDocument/2006/relationships" r:id="rId315"/>
        </xdr:cNvPr>
        <xdr:cNvSpPr>
          <a:spLocks noChangeAspect="1" noChangeArrowheads="1"/>
        </xdr:cNvSpPr>
      </xdr:nvSpPr>
      <xdr:spPr bwMode="auto">
        <a:xfrm>
          <a:off x="13411200" y="65493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899" name="AutoShape 631" descr="JAPAN2"/>
        <xdr:cNvSpPr>
          <a:spLocks noChangeAspect="1" noChangeArrowheads="1"/>
        </xdr:cNvSpPr>
      </xdr:nvSpPr>
      <xdr:spPr bwMode="auto">
        <a:xfrm>
          <a:off x="0" y="65745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00" name="AutoShape 632" descr="https://www.soccerstats.com/img/own/sshplogo.png">
          <a:hlinkClick xmlns:r="http://schemas.openxmlformats.org/officeDocument/2006/relationships" r:id="rId316"/>
        </xdr:cNvPr>
        <xdr:cNvSpPr>
          <a:spLocks noChangeAspect="1" noChangeArrowheads="1"/>
        </xdr:cNvSpPr>
      </xdr:nvSpPr>
      <xdr:spPr bwMode="auto">
        <a:xfrm>
          <a:off x="13411200" y="65745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01" name="AutoShape 633" descr="JAPAN3"/>
        <xdr:cNvSpPr>
          <a:spLocks noChangeAspect="1" noChangeArrowheads="1"/>
        </xdr:cNvSpPr>
      </xdr:nvSpPr>
      <xdr:spPr bwMode="auto">
        <a:xfrm>
          <a:off x="0" y="65996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02" name="AutoShape 634" descr="https://www.soccerstats.com/img/own/sshplogo.png">
          <a:hlinkClick xmlns:r="http://schemas.openxmlformats.org/officeDocument/2006/relationships" r:id="rId317"/>
        </xdr:cNvPr>
        <xdr:cNvSpPr>
          <a:spLocks noChangeAspect="1" noChangeArrowheads="1"/>
        </xdr:cNvSpPr>
      </xdr:nvSpPr>
      <xdr:spPr bwMode="auto">
        <a:xfrm>
          <a:off x="13411200" y="65996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03" name="AutoShape 635" descr="JAPAN3"/>
        <xdr:cNvSpPr>
          <a:spLocks noChangeAspect="1" noChangeArrowheads="1"/>
        </xdr:cNvSpPr>
      </xdr:nvSpPr>
      <xdr:spPr bwMode="auto">
        <a:xfrm>
          <a:off x="0" y="66248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04" name="AutoShape 636" descr="https://www.soccerstats.com/img/own/sshplogo.png">
          <a:hlinkClick xmlns:r="http://schemas.openxmlformats.org/officeDocument/2006/relationships" r:id="rId318"/>
        </xdr:cNvPr>
        <xdr:cNvSpPr>
          <a:spLocks noChangeAspect="1" noChangeArrowheads="1"/>
        </xdr:cNvSpPr>
      </xdr:nvSpPr>
      <xdr:spPr bwMode="auto">
        <a:xfrm>
          <a:off x="13411200" y="66248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05" name="AutoShape 637" descr="JAPAN3"/>
        <xdr:cNvSpPr>
          <a:spLocks noChangeAspect="1" noChangeArrowheads="1"/>
        </xdr:cNvSpPr>
      </xdr:nvSpPr>
      <xdr:spPr bwMode="auto">
        <a:xfrm>
          <a:off x="0" y="66423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06" name="AutoShape 638" descr="https://www.soccerstats.com/img/own/sshplogo.png">
          <a:hlinkClick xmlns:r="http://schemas.openxmlformats.org/officeDocument/2006/relationships" r:id="rId319"/>
        </xdr:cNvPr>
        <xdr:cNvSpPr>
          <a:spLocks noChangeAspect="1" noChangeArrowheads="1"/>
        </xdr:cNvSpPr>
      </xdr:nvSpPr>
      <xdr:spPr bwMode="auto">
        <a:xfrm>
          <a:off x="13411200" y="66423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07" name="AutoShape 639" descr="JAPAN3"/>
        <xdr:cNvSpPr>
          <a:spLocks noChangeAspect="1" noChangeArrowheads="1"/>
        </xdr:cNvSpPr>
      </xdr:nvSpPr>
      <xdr:spPr bwMode="auto">
        <a:xfrm>
          <a:off x="0" y="66675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08" name="AutoShape 640" descr="https://www.soccerstats.com/img/own/sshplogo.png">
          <a:hlinkClick xmlns:r="http://schemas.openxmlformats.org/officeDocument/2006/relationships" r:id="rId320"/>
        </xdr:cNvPr>
        <xdr:cNvSpPr>
          <a:spLocks noChangeAspect="1" noChangeArrowheads="1"/>
        </xdr:cNvSpPr>
      </xdr:nvSpPr>
      <xdr:spPr bwMode="auto">
        <a:xfrm>
          <a:off x="13411200" y="6667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09" name="AutoShape 641" descr="JAPAN3"/>
        <xdr:cNvSpPr>
          <a:spLocks noChangeAspect="1" noChangeArrowheads="1"/>
        </xdr:cNvSpPr>
      </xdr:nvSpPr>
      <xdr:spPr bwMode="auto">
        <a:xfrm>
          <a:off x="0" y="66850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10" name="AutoShape 642" descr="https://www.soccerstats.com/img/own/sshplogo.png">
          <a:hlinkClick xmlns:r="http://schemas.openxmlformats.org/officeDocument/2006/relationships" r:id="rId321"/>
        </xdr:cNvPr>
        <xdr:cNvSpPr>
          <a:spLocks noChangeAspect="1" noChangeArrowheads="1"/>
        </xdr:cNvSpPr>
      </xdr:nvSpPr>
      <xdr:spPr bwMode="auto">
        <a:xfrm>
          <a:off x="13411200" y="66850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11" name="AutoShape 643" descr="JAPAN3"/>
        <xdr:cNvSpPr>
          <a:spLocks noChangeAspect="1" noChangeArrowheads="1"/>
        </xdr:cNvSpPr>
      </xdr:nvSpPr>
      <xdr:spPr bwMode="auto">
        <a:xfrm>
          <a:off x="0" y="67025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12" name="AutoShape 644" descr="https://www.soccerstats.com/img/own/sshplogo.png">
          <a:hlinkClick xmlns:r="http://schemas.openxmlformats.org/officeDocument/2006/relationships" r:id="rId322"/>
        </xdr:cNvPr>
        <xdr:cNvSpPr>
          <a:spLocks noChangeAspect="1" noChangeArrowheads="1"/>
        </xdr:cNvSpPr>
      </xdr:nvSpPr>
      <xdr:spPr bwMode="auto">
        <a:xfrm>
          <a:off x="13411200" y="67025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13" name="AutoShape 645" descr="KAZAKHSTAN"/>
        <xdr:cNvSpPr>
          <a:spLocks noChangeAspect="1" noChangeArrowheads="1"/>
        </xdr:cNvSpPr>
      </xdr:nvSpPr>
      <xdr:spPr bwMode="auto">
        <a:xfrm>
          <a:off x="0" y="67276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14" name="AutoShape 646" descr="https://www.soccerstats.com/img/own/sshplogo.png">
          <a:hlinkClick xmlns:r="http://schemas.openxmlformats.org/officeDocument/2006/relationships" r:id="rId323"/>
        </xdr:cNvPr>
        <xdr:cNvSpPr>
          <a:spLocks noChangeAspect="1" noChangeArrowheads="1"/>
        </xdr:cNvSpPr>
      </xdr:nvSpPr>
      <xdr:spPr bwMode="auto">
        <a:xfrm>
          <a:off x="13411200" y="67276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15" name="AutoShape 647" descr="KAZAKHSTAN"/>
        <xdr:cNvSpPr>
          <a:spLocks noChangeAspect="1" noChangeArrowheads="1"/>
        </xdr:cNvSpPr>
      </xdr:nvSpPr>
      <xdr:spPr bwMode="auto">
        <a:xfrm>
          <a:off x="0" y="67452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16" name="AutoShape 648" descr="https://www.soccerstats.com/img/own/sshplogo.png">
          <a:hlinkClick xmlns:r="http://schemas.openxmlformats.org/officeDocument/2006/relationships" r:id="rId324"/>
        </xdr:cNvPr>
        <xdr:cNvSpPr>
          <a:spLocks noChangeAspect="1" noChangeArrowheads="1"/>
        </xdr:cNvSpPr>
      </xdr:nvSpPr>
      <xdr:spPr bwMode="auto">
        <a:xfrm>
          <a:off x="13411200" y="67452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17" name="AutoShape 649" descr="KAZAKHSTAN"/>
        <xdr:cNvSpPr>
          <a:spLocks noChangeAspect="1" noChangeArrowheads="1"/>
        </xdr:cNvSpPr>
      </xdr:nvSpPr>
      <xdr:spPr bwMode="auto">
        <a:xfrm>
          <a:off x="0" y="67627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18" name="AutoShape 650" descr="https://www.soccerstats.com/img/own/sshplogo.png">
          <a:hlinkClick xmlns:r="http://schemas.openxmlformats.org/officeDocument/2006/relationships" r:id="rId325"/>
        </xdr:cNvPr>
        <xdr:cNvSpPr>
          <a:spLocks noChangeAspect="1" noChangeArrowheads="1"/>
        </xdr:cNvSpPr>
      </xdr:nvSpPr>
      <xdr:spPr bwMode="auto">
        <a:xfrm>
          <a:off x="13411200" y="6762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19" name="AutoShape 651" descr="KAZAKHSTAN"/>
        <xdr:cNvSpPr>
          <a:spLocks noChangeAspect="1" noChangeArrowheads="1"/>
        </xdr:cNvSpPr>
      </xdr:nvSpPr>
      <xdr:spPr bwMode="auto">
        <a:xfrm>
          <a:off x="0" y="67802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20" name="AutoShape 652" descr="https://www.soccerstats.com/img/own/sshplogo.png">
          <a:hlinkClick xmlns:r="http://schemas.openxmlformats.org/officeDocument/2006/relationships" r:id="rId326"/>
        </xdr:cNvPr>
        <xdr:cNvSpPr>
          <a:spLocks noChangeAspect="1" noChangeArrowheads="1"/>
        </xdr:cNvSpPr>
      </xdr:nvSpPr>
      <xdr:spPr bwMode="auto">
        <a:xfrm>
          <a:off x="13411200" y="67802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21" name="AutoShape 653" descr="MEXICO"/>
        <xdr:cNvSpPr>
          <a:spLocks noChangeAspect="1" noChangeArrowheads="1"/>
        </xdr:cNvSpPr>
      </xdr:nvSpPr>
      <xdr:spPr bwMode="auto">
        <a:xfrm>
          <a:off x="0" y="67978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22" name="AutoShape 654" descr="https://www.soccerstats.com/img/own/sshplogo.png">
          <a:hlinkClick xmlns:r="http://schemas.openxmlformats.org/officeDocument/2006/relationships" r:id="rId327"/>
        </xdr:cNvPr>
        <xdr:cNvSpPr>
          <a:spLocks noChangeAspect="1" noChangeArrowheads="1"/>
        </xdr:cNvSpPr>
      </xdr:nvSpPr>
      <xdr:spPr bwMode="auto">
        <a:xfrm>
          <a:off x="13411200" y="67978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23" name="AutoShape 655" descr="MOLDOVA"/>
        <xdr:cNvSpPr>
          <a:spLocks noChangeAspect="1" noChangeArrowheads="1"/>
        </xdr:cNvSpPr>
      </xdr:nvSpPr>
      <xdr:spPr bwMode="auto">
        <a:xfrm>
          <a:off x="0" y="68153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24" name="AutoShape 656" descr="https://www.soccerstats.com/img/own/sshplogo.png">
          <a:hlinkClick xmlns:r="http://schemas.openxmlformats.org/officeDocument/2006/relationships" r:id="rId328"/>
        </xdr:cNvPr>
        <xdr:cNvSpPr>
          <a:spLocks noChangeAspect="1" noChangeArrowheads="1"/>
        </xdr:cNvSpPr>
      </xdr:nvSpPr>
      <xdr:spPr bwMode="auto">
        <a:xfrm>
          <a:off x="13411200" y="68153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25" name="AutoShape 657" descr="MOLDOVA"/>
        <xdr:cNvSpPr>
          <a:spLocks noChangeAspect="1" noChangeArrowheads="1"/>
        </xdr:cNvSpPr>
      </xdr:nvSpPr>
      <xdr:spPr bwMode="auto">
        <a:xfrm>
          <a:off x="0" y="68404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26" name="AutoShape 658" descr="https://www.soccerstats.com/img/own/sshplogo.png">
          <a:hlinkClick xmlns:r="http://schemas.openxmlformats.org/officeDocument/2006/relationships" r:id="rId329"/>
        </xdr:cNvPr>
        <xdr:cNvSpPr>
          <a:spLocks noChangeAspect="1" noChangeArrowheads="1"/>
        </xdr:cNvSpPr>
      </xdr:nvSpPr>
      <xdr:spPr bwMode="auto">
        <a:xfrm>
          <a:off x="13411200" y="68404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27" name="AutoShape 659" descr="MONTENEGRO"/>
        <xdr:cNvSpPr>
          <a:spLocks noChangeAspect="1" noChangeArrowheads="1"/>
        </xdr:cNvSpPr>
      </xdr:nvSpPr>
      <xdr:spPr bwMode="auto">
        <a:xfrm>
          <a:off x="0" y="68656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28" name="AutoShape 660" descr="https://www.soccerstats.com/img/own/sshplogo.png">
          <a:hlinkClick xmlns:r="http://schemas.openxmlformats.org/officeDocument/2006/relationships" r:id="rId330"/>
        </xdr:cNvPr>
        <xdr:cNvSpPr>
          <a:spLocks noChangeAspect="1" noChangeArrowheads="1"/>
        </xdr:cNvSpPr>
      </xdr:nvSpPr>
      <xdr:spPr bwMode="auto">
        <a:xfrm>
          <a:off x="13411200" y="68656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29" name="AutoShape 661" descr="NETHERLANDS3"/>
        <xdr:cNvSpPr>
          <a:spLocks noChangeAspect="1" noChangeArrowheads="1"/>
        </xdr:cNvSpPr>
      </xdr:nvSpPr>
      <xdr:spPr bwMode="auto">
        <a:xfrm>
          <a:off x="0" y="68831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30" name="AutoShape 662" descr="https://www.soccerstats.com/img/own/sshplogo.png">
          <a:hlinkClick xmlns:r="http://schemas.openxmlformats.org/officeDocument/2006/relationships" r:id="rId331"/>
        </xdr:cNvPr>
        <xdr:cNvSpPr>
          <a:spLocks noChangeAspect="1" noChangeArrowheads="1"/>
        </xdr:cNvSpPr>
      </xdr:nvSpPr>
      <xdr:spPr bwMode="auto">
        <a:xfrm>
          <a:off x="13411200" y="68831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31" name="AutoShape 663" descr="NETHERLANDS3"/>
        <xdr:cNvSpPr>
          <a:spLocks noChangeAspect="1" noChangeArrowheads="1"/>
        </xdr:cNvSpPr>
      </xdr:nvSpPr>
      <xdr:spPr bwMode="auto">
        <a:xfrm>
          <a:off x="0" y="69082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32" name="AutoShape 664" descr="https://www.soccerstats.com/img/own/sshplogo.png">
          <a:hlinkClick xmlns:r="http://schemas.openxmlformats.org/officeDocument/2006/relationships" r:id="rId332"/>
        </xdr:cNvPr>
        <xdr:cNvSpPr>
          <a:spLocks noChangeAspect="1" noChangeArrowheads="1"/>
        </xdr:cNvSpPr>
      </xdr:nvSpPr>
      <xdr:spPr bwMode="auto">
        <a:xfrm>
          <a:off x="13411200" y="69082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33" name="AutoShape 665" descr="NETHERLANDS3"/>
        <xdr:cNvSpPr>
          <a:spLocks noChangeAspect="1" noChangeArrowheads="1"/>
        </xdr:cNvSpPr>
      </xdr:nvSpPr>
      <xdr:spPr bwMode="auto">
        <a:xfrm>
          <a:off x="0" y="69334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34" name="AutoShape 666" descr="https://www.soccerstats.com/img/own/sshplogo.png">
          <a:hlinkClick xmlns:r="http://schemas.openxmlformats.org/officeDocument/2006/relationships" r:id="rId333"/>
        </xdr:cNvPr>
        <xdr:cNvSpPr>
          <a:spLocks noChangeAspect="1" noChangeArrowheads="1"/>
        </xdr:cNvSpPr>
      </xdr:nvSpPr>
      <xdr:spPr bwMode="auto">
        <a:xfrm>
          <a:off x="13411200" y="69334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35" name="AutoShape 667" descr="NETHERLANDS3"/>
        <xdr:cNvSpPr>
          <a:spLocks noChangeAspect="1" noChangeArrowheads="1"/>
        </xdr:cNvSpPr>
      </xdr:nvSpPr>
      <xdr:spPr bwMode="auto">
        <a:xfrm>
          <a:off x="0" y="69509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36" name="AutoShape 668" descr="https://www.soccerstats.com/img/own/sshplogo.png">
          <a:hlinkClick xmlns:r="http://schemas.openxmlformats.org/officeDocument/2006/relationships" r:id="rId334"/>
        </xdr:cNvPr>
        <xdr:cNvSpPr>
          <a:spLocks noChangeAspect="1" noChangeArrowheads="1"/>
        </xdr:cNvSpPr>
      </xdr:nvSpPr>
      <xdr:spPr bwMode="auto">
        <a:xfrm>
          <a:off x="13411200" y="69509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37" name="AutoShape 669" descr="NETHERLANDS3"/>
        <xdr:cNvSpPr>
          <a:spLocks noChangeAspect="1" noChangeArrowheads="1"/>
        </xdr:cNvSpPr>
      </xdr:nvSpPr>
      <xdr:spPr bwMode="auto">
        <a:xfrm>
          <a:off x="0" y="69761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38" name="AutoShape 670" descr="https://www.soccerstats.com/img/own/sshplogo.png">
          <a:hlinkClick xmlns:r="http://schemas.openxmlformats.org/officeDocument/2006/relationships" r:id="rId335"/>
        </xdr:cNvPr>
        <xdr:cNvSpPr>
          <a:spLocks noChangeAspect="1" noChangeArrowheads="1"/>
        </xdr:cNvSpPr>
      </xdr:nvSpPr>
      <xdr:spPr bwMode="auto">
        <a:xfrm>
          <a:off x="13411200" y="69761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39" name="AutoShape 671" descr="NETHERLANDS3"/>
        <xdr:cNvSpPr>
          <a:spLocks noChangeAspect="1" noChangeArrowheads="1"/>
        </xdr:cNvSpPr>
      </xdr:nvSpPr>
      <xdr:spPr bwMode="auto">
        <a:xfrm>
          <a:off x="0" y="70012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40" name="AutoShape 672" descr="https://www.soccerstats.com/img/own/sshplogo.png">
          <a:hlinkClick xmlns:r="http://schemas.openxmlformats.org/officeDocument/2006/relationships" r:id="rId336"/>
        </xdr:cNvPr>
        <xdr:cNvSpPr>
          <a:spLocks noChangeAspect="1" noChangeArrowheads="1"/>
        </xdr:cNvSpPr>
      </xdr:nvSpPr>
      <xdr:spPr bwMode="auto">
        <a:xfrm>
          <a:off x="13411200" y="70012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41" name="AutoShape 673" descr="NETHERLANDS3"/>
        <xdr:cNvSpPr>
          <a:spLocks noChangeAspect="1" noChangeArrowheads="1"/>
        </xdr:cNvSpPr>
      </xdr:nvSpPr>
      <xdr:spPr bwMode="auto">
        <a:xfrm>
          <a:off x="0" y="70187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42" name="AutoShape 674" descr="https://www.soccerstats.com/img/own/sshplogo.png">
          <a:hlinkClick xmlns:r="http://schemas.openxmlformats.org/officeDocument/2006/relationships" r:id="rId337"/>
        </xdr:cNvPr>
        <xdr:cNvSpPr>
          <a:spLocks noChangeAspect="1" noChangeArrowheads="1"/>
        </xdr:cNvSpPr>
      </xdr:nvSpPr>
      <xdr:spPr bwMode="auto">
        <a:xfrm>
          <a:off x="13411200" y="70187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43" name="AutoShape 675" descr="NETHERLANDS3"/>
        <xdr:cNvSpPr>
          <a:spLocks noChangeAspect="1" noChangeArrowheads="1"/>
        </xdr:cNvSpPr>
      </xdr:nvSpPr>
      <xdr:spPr bwMode="auto">
        <a:xfrm>
          <a:off x="0" y="70363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44" name="AutoShape 676" descr="https://www.soccerstats.com/img/own/sshplogo.png">
          <a:hlinkClick xmlns:r="http://schemas.openxmlformats.org/officeDocument/2006/relationships" r:id="rId338"/>
        </xdr:cNvPr>
        <xdr:cNvSpPr>
          <a:spLocks noChangeAspect="1" noChangeArrowheads="1"/>
        </xdr:cNvSpPr>
      </xdr:nvSpPr>
      <xdr:spPr bwMode="auto">
        <a:xfrm>
          <a:off x="13411200" y="70363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45" name="AutoShape 677" descr="NETHERLANDS3"/>
        <xdr:cNvSpPr>
          <a:spLocks noChangeAspect="1" noChangeArrowheads="1"/>
        </xdr:cNvSpPr>
      </xdr:nvSpPr>
      <xdr:spPr bwMode="auto">
        <a:xfrm>
          <a:off x="0" y="7061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46" name="AutoShape 678" descr="https://www.soccerstats.com/img/own/sshplogo.png">
          <a:hlinkClick xmlns:r="http://schemas.openxmlformats.org/officeDocument/2006/relationships" r:id="rId339"/>
        </xdr:cNvPr>
        <xdr:cNvSpPr>
          <a:spLocks noChangeAspect="1" noChangeArrowheads="1"/>
        </xdr:cNvSpPr>
      </xdr:nvSpPr>
      <xdr:spPr bwMode="auto">
        <a:xfrm>
          <a:off x="13411200" y="7061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47" name="AutoShape 679" descr="NORTHERNIRELAND"/>
        <xdr:cNvSpPr>
          <a:spLocks noChangeAspect="1" noChangeArrowheads="1"/>
        </xdr:cNvSpPr>
      </xdr:nvSpPr>
      <xdr:spPr bwMode="auto">
        <a:xfrm>
          <a:off x="0" y="70789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48" name="AutoShape 680" descr="https://www.soccerstats.com/img/own/sshplogo.png">
          <a:hlinkClick xmlns:r="http://schemas.openxmlformats.org/officeDocument/2006/relationships" r:id="rId340"/>
        </xdr:cNvPr>
        <xdr:cNvSpPr>
          <a:spLocks noChangeAspect="1" noChangeArrowheads="1"/>
        </xdr:cNvSpPr>
      </xdr:nvSpPr>
      <xdr:spPr bwMode="auto">
        <a:xfrm>
          <a:off x="13411200" y="70789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49" name="AutoShape 681" descr="NORTHERNIRELAND"/>
        <xdr:cNvSpPr>
          <a:spLocks noChangeAspect="1" noChangeArrowheads="1"/>
        </xdr:cNvSpPr>
      </xdr:nvSpPr>
      <xdr:spPr bwMode="auto">
        <a:xfrm>
          <a:off x="0" y="7096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50" name="AutoShape 682" descr="https://www.soccerstats.com/img/own/sshplogo.png">
          <a:hlinkClick xmlns:r="http://schemas.openxmlformats.org/officeDocument/2006/relationships" r:id="rId341"/>
        </xdr:cNvPr>
        <xdr:cNvSpPr>
          <a:spLocks noChangeAspect="1" noChangeArrowheads="1"/>
        </xdr:cNvSpPr>
      </xdr:nvSpPr>
      <xdr:spPr bwMode="auto">
        <a:xfrm>
          <a:off x="13411200" y="7096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51" name="AutoShape 683" descr="NORTHERNIRELAND"/>
        <xdr:cNvSpPr>
          <a:spLocks noChangeAspect="1" noChangeArrowheads="1"/>
        </xdr:cNvSpPr>
      </xdr:nvSpPr>
      <xdr:spPr bwMode="auto">
        <a:xfrm>
          <a:off x="0" y="71140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52" name="AutoShape 684" descr="https://www.soccerstats.com/img/own/sshplogo.png">
          <a:hlinkClick xmlns:r="http://schemas.openxmlformats.org/officeDocument/2006/relationships" r:id="rId342"/>
        </xdr:cNvPr>
        <xdr:cNvSpPr>
          <a:spLocks noChangeAspect="1" noChangeArrowheads="1"/>
        </xdr:cNvSpPr>
      </xdr:nvSpPr>
      <xdr:spPr bwMode="auto">
        <a:xfrm>
          <a:off x="13411200" y="7114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53" name="AutoShape 685" descr="NORTHERNIRELAND"/>
        <xdr:cNvSpPr>
          <a:spLocks noChangeAspect="1" noChangeArrowheads="1"/>
        </xdr:cNvSpPr>
      </xdr:nvSpPr>
      <xdr:spPr bwMode="auto">
        <a:xfrm>
          <a:off x="0" y="71391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54" name="AutoShape 686" descr="https://www.soccerstats.com/img/own/sshplogo.png">
          <a:hlinkClick xmlns:r="http://schemas.openxmlformats.org/officeDocument/2006/relationships" r:id="rId343"/>
        </xdr:cNvPr>
        <xdr:cNvSpPr>
          <a:spLocks noChangeAspect="1" noChangeArrowheads="1"/>
        </xdr:cNvSpPr>
      </xdr:nvSpPr>
      <xdr:spPr bwMode="auto">
        <a:xfrm>
          <a:off x="13411200" y="71391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55" name="AutoShape 687" descr="NORTHERNIRELAND"/>
        <xdr:cNvSpPr>
          <a:spLocks noChangeAspect="1" noChangeArrowheads="1"/>
        </xdr:cNvSpPr>
      </xdr:nvSpPr>
      <xdr:spPr bwMode="auto">
        <a:xfrm>
          <a:off x="0" y="71643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56" name="AutoShape 688" descr="https://www.soccerstats.com/img/own/sshplogo.png">
          <a:hlinkClick xmlns:r="http://schemas.openxmlformats.org/officeDocument/2006/relationships" r:id="rId344"/>
        </xdr:cNvPr>
        <xdr:cNvSpPr>
          <a:spLocks noChangeAspect="1" noChangeArrowheads="1"/>
        </xdr:cNvSpPr>
      </xdr:nvSpPr>
      <xdr:spPr bwMode="auto">
        <a:xfrm>
          <a:off x="13411200" y="71643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57" name="AutoShape 689" descr="NORTHERNIRELAND"/>
        <xdr:cNvSpPr>
          <a:spLocks noChangeAspect="1" noChangeArrowheads="1"/>
        </xdr:cNvSpPr>
      </xdr:nvSpPr>
      <xdr:spPr bwMode="auto">
        <a:xfrm>
          <a:off x="0" y="71818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58" name="AutoShape 690" descr="https://www.soccerstats.com/img/own/sshplogo.png">
          <a:hlinkClick xmlns:r="http://schemas.openxmlformats.org/officeDocument/2006/relationships" r:id="rId345"/>
        </xdr:cNvPr>
        <xdr:cNvSpPr>
          <a:spLocks noChangeAspect="1" noChangeArrowheads="1"/>
        </xdr:cNvSpPr>
      </xdr:nvSpPr>
      <xdr:spPr bwMode="auto">
        <a:xfrm>
          <a:off x="13411200" y="7181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59" name="AutoShape 691" descr="NORTHMACEDONIA"/>
        <xdr:cNvSpPr>
          <a:spLocks noChangeAspect="1" noChangeArrowheads="1"/>
        </xdr:cNvSpPr>
      </xdr:nvSpPr>
      <xdr:spPr bwMode="auto">
        <a:xfrm>
          <a:off x="0" y="71993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60" name="AutoShape 692" descr="https://www.soccerstats.com/img/own/sshplogo.png">
          <a:hlinkClick xmlns:r="http://schemas.openxmlformats.org/officeDocument/2006/relationships" r:id="rId346"/>
        </xdr:cNvPr>
        <xdr:cNvSpPr>
          <a:spLocks noChangeAspect="1" noChangeArrowheads="1"/>
        </xdr:cNvSpPr>
      </xdr:nvSpPr>
      <xdr:spPr bwMode="auto">
        <a:xfrm>
          <a:off x="13411200" y="71993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61" name="AutoShape 693" descr="NORTHMACEDONIA"/>
        <xdr:cNvSpPr>
          <a:spLocks noChangeAspect="1" noChangeArrowheads="1"/>
        </xdr:cNvSpPr>
      </xdr:nvSpPr>
      <xdr:spPr bwMode="auto">
        <a:xfrm>
          <a:off x="0" y="72169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62" name="AutoShape 694" descr="https://www.soccerstats.com/img/own/sshplogo.png">
          <a:hlinkClick xmlns:r="http://schemas.openxmlformats.org/officeDocument/2006/relationships" r:id="rId347"/>
        </xdr:cNvPr>
        <xdr:cNvSpPr>
          <a:spLocks noChangeAspect="1" noChangeArrowheads="1"/>
        </xdr:cNvSpPr>
      </xdr:nvSpPr>
      <xdr:spPr bwMode="auto">
        <a:xfrm>
          <a:off x="13411200" y="72169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63" name="AutoShape 695" descr="NORTHMACEDONIA"/>
        <xdr:cNvSpPr>
          <a:spLocks noChangeAspect="1" noChangeArrowheads="1"/>
        </xdr:cNvSpPr>
      </xdr:nvSpPr>
      <xdr:spPr bwMode="auto">
        <a:xfrm>
          <a:off x="0" y="72420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64" name="AutoShape 696" descr="https://www.soccerstats.com/img/own/sshplogo.png">
          <a:hlinkClick xmlns:r="http://schemas.openxmlformats.org/officeDocument/2006/relationships" r:id="rId348"/>
        </xdr:cNvPr>
        <xdr:cNvSpPr>
          <a:spLocks noChangeAspect="1" noChangeArrowheads="1"/>
        </xdr:cNvSpPr>
      </xdr:nvSpPr>
      <xdr:spPr bwMode="auto">
        <a:xfrm>
          <a:off x="13411200" y="72420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65" name="AutoShape 697" descr="NORTHMACEDONIA"/>
        <xdr:cNvSpPr>
          <a:spLocks noChangeAspect="1" noChangeArrowheads="1"/>
        </xdr:cNvSpPr>
      </xdr:nvSpPr>
      <xdr:spPr bwMode="auto">
        <a:xfrm>
          <a:off x="0" y="72595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66" name="AutoShape 698" descr="https://www.soccerstats.com/img/own/sshplogo.png">
          <a:hlinkClick xmlns:r="http://schemas.openxmlformats.org/officeDocument/2006/relationships" r:id="rId349"/>
        </xdr:cNvPr>
        <xdr:cNvSpPr>
          <a:spLocks noChangeAspect="1" noChangeArrowheads="1"/>
        </xdr:cNvSpPr>
      </xdr:nvSpPr>
      <xdr:spPr bwMode="auto">
        <a:xfrm>
          <a:off x="13411200" y="72595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67" name="AutoShape 699" descr="NORTHMACEDONIA"/>
        <xdr:cNvSpPr>
          <a:spLocks noChangeAspect="1" noChangeArrowheads="1"/>
        </xdr:cNvSpPr>
      </xdr:nvSpPr>
      <xdr:spPr bwMode="auto">
        <a:xfrm>
          <a:off x="0" y="72771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68" name="AutoShape 700" descr="https://www.soccerstats.com/img/own/sshplogo.png">
          <a:hlinkClick xmlns:r="http://schemas.openxmlformats.org/officeDocument/2006/relationships" r:id="rId350"/>
        </xdr:cNvPr>
        <xdr:cNvSpPr>
          <a:spLocks noChangeAspect="1" noChangeArrowheads="1"/>
        </xdr:cNvSpPr>
      </xdr:nvSpPr>
      <xdr:spPr bwMode="auto">
        <a:xfrm>
          <a:off x="13411200" y="7277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69" name="AutoShape 701" descr="NORWAY"/>
        <xdr:cNvSpPr>
          <a:spLocks noChangeAspect="1" noChangeArrowheads="1"/>
        </xdr:cNvSpPr>
      </xdr:nvSpPr>
      <xdr:spPr bwMode="auto">
        <a:xfrm>
          <a:off x="0" y="73022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70" name="AutoShape 702" descr="https://www.soccerstats.com/img/own/sshplogo.png">
          <a:hlinkClick xmlns:r="http://schemas.openxmlformats.org/officeDocument/2006/relationships" r:id="rId351"/>
        </xdr:cNvPr>
        <xdr:cNvSpPr>
          <a:spLocks noChangeAspect="1" noChangeArrowheads="1"/>
        </xdr:cNvSpPr>
      </xdr:nvSpPr>
      <xdr:spPr bwMode="auto">
        <a:xfrm>
          <a:off x="13411200" y="73022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71" name="AutoShape 703" descr="NORWAY2"/>
        <xdr:cNvSpPr>
          <a:spLocks noChangeAspect="1" noChangeArrowheads="1"/>
        </xdr:cNvSpPr>
      </xdr:nvSpPr>
      <xdr:spPr bwMode="auto">
        <a:xfrm>
          <a:off x="0" y="73197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72" name="AutoShape 704" descr="https://www.soccerstats.com/img/own/sshplogo.png">
          <a:hlinkClick xmlns:r="http://schemas.openxmlformats.org/officeDocument/2006/relationships" r:id="rId352"/>
        </xdr:cNvPr>
        <xdr:cNvSpPr>
          <a:spLocks noChangeAspect="1" noChangeArrowheads="1"/>
        </xdr:cNvSpPr>
      </xdr:nvSpPr>
      <xdr:spPr bwMode="auto">
        <a:xfrm>
          <a:off x="13411200" y="73197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73" name="AutoShape 705" descr="NORWAY2"/>
        <xdr:cNvSpPr>
          <a:spLocks noChangeAspect="1" noChangeArrowheads="1"/>
        </xdr:cNvSpPr>
      </xdr:nvSpPr>
      <xdr:spPr bwMode="auto">
        <a:xfrm>
          <a:off x="0" y="73372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74" name="AutoShape 706" descr="https://www.soccerstats.com/img/own/sshplogo.png">
          <a:hlinkClick xmlns:r="http://schemas.openxmlformats.org/officeDocument/2006/relationships" r:id="rId353"/>
        </xdr:cNvPr>
        <xdr:cNvSpPr>
          <a:spLocks noChangeAspect="1" noChangeArrowheads="1"/>
        </xdr:cNvSpPr>
      </xdr:nvSpPr>
      <xdr:spPr bwMode="auto">
        <a:xfrm>
          <a:off x="13411200" y="73372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75" name="AutoShape 707" descr="NORWAY2"/>
        <xdr:cNvSpPr>
          <a:spLocks noChangeAspect="1" noChangeArrowheads="1"/>
        </xdr:cNvSpPr>
      </xdr:nvSpPr>
      <xdr:spPr bwMode="auto">
        <a:xfrm>
          <a:off x="0" y="73548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76" name="AutoShape 708" descr="https://www.soccerstats.com/img/own/sshplogo.png">
          <a:hlinkClick xmlns:r="http://schemas.openxmlformats.org/officeDocument/2006/relationships" r:id="rId354"/>
        </xdr:cNvPr>
        <xdr:cNvSpPr>
          <a:spLocks noChangeAspect="1" noChangeArrowheads="1"/>
        </xdr:cNvSpPr>
      </xdr:nvSpPr>
      <xdr:spPr bwMode="auto">
        <a:xfrm>
          <a:off x="13411200" y="73548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77" name="AutoShape 709" descr="NORWAY3"/>
        <xdr:cNvSpPr>
          <a:spLocks noChangeAspect="1" noChangeArrowheads="1"/>
        </xdr:cNvSpPr>
      </xdr:nvSpPr>
      <xdr:spPr bwMode="auto">
        <a:xfrm>
          <a:off x="0" y="73723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78" name="AutoShape 710" descr="https://www.soccerstats.com/img/own/sshplogo.png">
          <a:hlinkClick xmlns:r="http://schemas.openxmlformats.org/officeDocument/2006/relationships" r:id="rId355"/>
        </xdr:cNvPr>
        <xdr:cNvSpPr>
          <a:spLocks noChangeAspect="1" noChangeArrowheads="1"/>
        </xdr:cNvSpPr>
      </xdr:nvSpPr>
      <xdr:spPr bwMode="auto">
        <a:xfrm>
          <a:off x="13411200" y="7372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79" name="AutoShape 711" descr="NORWAY3"/>
        <xdr:cNvSpPr>
          <a:spLocks noChangeAspect="1" noChangeArrowheads="1"/>
        </xdr:cNvSpPr>
      </xdr:nvSpPr>
      <xdr:spPr bwMode="auto">
        <a:xfrm>
          <a:off x="0" y="73898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80" name="AutoShape 712" descr="https://www.soccerstats.com/img/own/sshplogo.png">
          <a:hlinkClick xmlns:r="http://schemas.openxmlformats.org/officeDocument/2006/relationships" r:id="rId356"/>
        </xdr:cNvPr>
        <xdr:cNvSpPr>
          <a:spLocks noChangeAspect="1" noChangeArrowheads="1"/>
        </xdr:cNvSpPr>
      </xdr:nvSpPr>
      <xdr:spPr bwMode="auto">
        <a:xfrm>
          <a:off x="13411200" y="73898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81" name="AutoShape 713" descr="NORWAY3"/>
        <xdr:cNvSpPr>
          <a:spLocks noChangeAspect="1" noChangeArrowheads="1"/>
        </xdr:cNvSpPr>
      </xdr:nvSpPr>
      <xdr:spPr bwMode="auto">
        <a:xfrm>
          <a:off x="0" y="74074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82" name="AutoShape 714" descr="https://www.soccerstats.com/img/own/sshplogo.png">
          <a:hlinkClick xmlns:r="http://schemas.openxmlformats.org/officeDocument/2006/relationships" r:id="rId357"/>
        </xdr:cNvPr>
        <xdr:cNvSpPr>
          <a:spLocks noChangeAspect="1" noChangeArrowheads="1"/>
        </xdr:cNvSpPr>
      </xdr:nvSpPr>
      <xdr:spPr bwMode="auto">
        <a:xfrm>
          <a:off x="13411200" y="74074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83" name="AutoShape 715" descr="NORWAY3"/>
        <xdr:cNvSpPr>
          <a:spLocks noChangeAspect="1" noChangeArrowheads="1"/>
        </xdr:cNvSpPr>
      </xdr:nvSpPr>
      <xdr:spPr bwMode="auto">
        <a:xfrm>
          <a:off x="0" y="74249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84" name="AutoShape 716" descr="https://www.soccerstats.com/img/own/sshplogo.png">
          <a:hlinkClick xmlns:r="http://schemas.openxmlformats.org/officeDocument/2006/relationships" r:id="rId358"/>
        </xdr:cNvPr>
        <xdr:cNvSpPr>
          <a:spLocks noChangeAspect="1" noChangeArrowheads="1"/>
        </xdr:cNvSpPr>
      </xdr:nvSpPr>
      <xdr:spPr bwMode="auto">
        <a:xfrm>
          <a:off x="13411200" y="74249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85" name="AutoShape 717" descr="NORWAY4"/>
        <xdr:cNvSpPr>
          <a:spLocks noChangeAspect="1" noChangeArrowheads="1"/>
        </xdr:cNvSpPr>
      </xdr:nvSpPr>
      <xdr:spPr bwMode="auto">
        <a:xfrm>
          <a:off x="0" y="7442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86" name="AutoShape 718" descr="https://www.soccerstats.com/img/own/sshplogo.png">
          <a:hlinkClick xmlns:r="http://schemas.openxmlformats.org/officeDocument/2006/relationships" r:id="rId359"/>
        </xdr:cNvPr>
        <xdr:cNvSpPr>
          <a:spLocks noChangeAspect="1" noChangeArrowheads="1"/>
        </xdr:cNvSpPr>
      </xdr:nvSpPr>
      <xdr:spPr bwMode="auto">
        <a:xfrm>
          <a:off x="13411200" y="7442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87" name="AutoShape 719" descr="NORWAY11"/>
        <xdr:cNvSpPr>
          <a:spLocks noChangeAspect="1" noChangeArrowheads="1"/>
        </xdr:cNvSpPr>
      </xdr:nvSpPr>
      <xdr:spPr bwMode="auto">
        <a:xfrm>
          <a:off x="0" y="74599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88" name="AutoShape 720" descr="https://www.soccerstats.com/img/own/sshplogo.png">
          <a:hlinkClick xmlns:r="http://schemas.openxmlformats.org/officeDocument/2006/relationships" r:id="rId360"/>
        </xdr:cNvPr>
        <xdr:cNvSpPr>
          <a:spLocks noChangeAspect="1" noChangeArrowheads="1"/>
        </xdr:cNvSpPr>
      </xdr:nvSpPr>
      <xdr:spPr bwMode="auto">
        <a:xfrm>
          <a:off x="13411200" y="74599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89" name="AutoShape 721" descr="NORWAY11"/>
        <xdr:cNvSpPr>
          <a:spLocks noChangeAspect="1" noChangeArrowheads="1"/>
        </xdr:cNvSpPr>
      </xdr:nvSpPr>
      <xdr:spPr bwMode="auto">
        <a:xfrm>
          <a:off x="0" y="7477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90" name="AutoShape 722" descr="https://www.soccerstats.com/img/own/sshplogo.png">
          <a:hlinkClick xmlns:r="http://schemas.openxmlformats.org/officeDocument/2006/relationships" r:id="rId361"/>
        </xdr:cNvPr>
        <xdr:cNvSpPr>
          <a:spLocks noChangeAspect="1" noChangeArrowheads="1"/>
        </xdr:cNvSpPr>
      </xdr:nvSpPr>
      <xdr:spPr bwMode="auto">
        <a:xfrm>
          <a:off x="13411200" y="7477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91" name="AutoShape 723" descr="NORWAY11"/>
        <xdr:cNvSpPr>
          <a:spLocks noChangeAspect="1" noChangeArrowheads="1"/>
        </xdr:cNvSpPr>
      </xdr:nvSpPr>
      <xdr:spPr bwMode="auto">
        <a:xfrm>
          <a:off x="0" y="75026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92" name="AutoShape 724" descr="https://www.soccerstats.com/img/own/sshplogo.png">
          <a:hlinkClick xmlns:r="http://schemas.openxmlformats.org/officeDocument/2006/relationships" r:id="rId362"/>
        </xdr:cNvPr>
        <xdr:cNvSpPr>
          <a:spLocks noChangeAspect="1" noChangeArrowheads="1"/>
        </xdr:cNvSpPr>
      </xdr:nvSpPr>
      <xdr:spPr bwMode="auto">
        <a:xfrm>
          <a:off x="13411200" y="75026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93" name="AutoShape 725" descr="NORWAY11"/>
        <xdr:cNvSpPr>
          <a:spLocks noChangeAspect="1" noChangeArrowheads="1"/>
        </xdr:cNvSpPr>
      </xdr:nvSpPr>
      <xdr:spPr bwMode="auto">
        <a:xfrm>
          <a:off x="0" y="75277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94" name="AutoShape 726" descr="https://www.soccerstats.com/img/own/sshplogo.png">
          <a:hlinkClick xmlns:r="http://schemas.openxmlformats.org/officeDocument/2006/relationships" r:id="rId363"/>
        </xdr:cNvPr>
        <xdr:cNvSpPr>
          <a:spLocks noChangeAspect="1" noChangeArrowheads="1"/>
        </xdr:cNvSpPr>
      </xdr:nvSpPr>
      <xdr:spPr bwMode="auto">
        <a:xfrm>
          <a:off x="13411200" y="75277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95" name="AutoShape 727" descr="NORWAY11"/>
        <xdr:cNvSpPr>
          <a:spLocks noChangeAspect="1" noChangeArrowheads="1"/>
        </xdr:cNvSpPr>
      </xdr:nvSpPr>
      <xdr:spPr bwMode="auto">
        <a:xfrm>
          <a:off x="0" y="75453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96" name="AutoShape 728" descr="https://www.soccerstats.com/img/own/sshplogo.png">
          <a:hlinkClick xmlns:r="http://schemas.openxmlformats.org/officeDocument/2006/relationships" r:id="rId364"/>
        </xdr:cNvPr>
        <xdr:cNvSpPr>
          <a:spLocks noChangeAspect="1" noChangeArrowheads="1"/>
        </xdr:cNvSpPr>
      </xdr:nvSpPr>
      <xdr:spPr bwMode="auto">
        <a:xfrm>
          <a:off x="13411200" y="75453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97" name="AutoShape 729" descr="PARAGUAY2"/>
        <xdr:cNvSpPr>
          <a:spLocks noChangeAspect="1" noChangeArrowheads="1"/>
        </xdr:cNvSpPr>
      </xdr:nvSpPr>
      <xdr:spPr bwMode="auto">
        <a:xfrm>
          <a:off x="0" y="75628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2998" name="AutoShape 730" descr="https://www.soccerstats.com/img/own/sshplogo.png">
          <a:hlinkClick xmlns:r="http://schemas.openxmlformats.org/officeDocument/2006/relationships" r:id="rId365"/>
        </xdr:cNvPr>
        <xdr:cNvSpPr>
          <a:spLocks noChangeAspect="1" noChangeArrowheads="1"/>
        </xdr:cNvSpPr>
      </xdr:nvSpPr>
      <xdr:spPr bwMode="auto">
        <a:xfrm>
          <a:off x="13411200" y="7562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2999" name="AutoShape 731" descr="PARAGUAY2"/>
        <xdr:cNvSpPr>
          <a:spLocks noChangeAspect="1" noChangeArrowheads="1"/>
        </xdr:cNvSpPr>
      </xdr:nvSpPr>
      <xdr:spPr bwMode="auto">
        <a:xfrm>
          <a:off x="0" y="75803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00" name="AutoShape 732" descr="https://www.soccerstats.com/img/own/sshplogo.png">
          <a:hlinkClick xmlns:r="http://schemas.openxmlformats.org/officeDocument/2006/relationships" r:id="rId366"/>
        </xdr:cNvPr>
        <xdr:cNvSpPr>
          <a:spLocks noChangeAspect="1" noChangeArrowheads="1"/>
        </xdr:cNvSpPr>
      </xdr:nvSpPr>
      <xdr:spPr bwMode="auto">
        <a:xfrm>
          <a:off x="13411200" y="75803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01" name="AutoShape 733" descr="PERU2"/>
        <xdr:cNvSpPr>
          <a:spLocks noChangeAspect="1" noChangeArrowheads="1"/>
        </xdr:cNvSpPr>
      </xdr:nvSpPr>
      <xdr:spPr bwMode="auto">
        <a:xfrm>
          <a:off x="0" y="75979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02" name="AutoShape 734" descr="https://www.soccerstats.com/img/own/sshplogo.png">
          <a:hlinkClick xmlns:r="http://schemas.openxmlformats.org/officeDocument/2006/relationships" r:id="rId367"/>
        </xdr:cNvPr>
        <xdr:cNvSpPr>
          <a:spLocks noChangeAspect="1" noChangeArrowheads="1"/>
        </xdr:cNvSpPr>
      </xdr:nvSpPr>
      <xdr:spPr bwMode="auto">
        <a:xfrm>
          <a:off x="13411200" y="75979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03" name="AutoShape 735" descr="PERU2"/>
        <xdr:cNvSpPr>
          <a:spLocks noChangeAspect="1" noChangeArrowheads="1"/>
        </xdr:cNvSpPr>
      </xdr:nvSpPr>
      <xdr:spPr bwMode="auto">
        <a:xfrm>
          <a:off x="0" y="76154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04" name="AutoShape 736" descr="https://www.soccerstats.com/img/own/sshplogo.png">
          <a:hlinkClick xmlns:r="http://schemas.openxmlformats.org/officeDocument/2006/relationships" r:id="rId368"/>
        </xdr:cNvPr>
        <xdr:cNvSpPr>
          <a:spLocks noChangeAspect="1" noChangeArrowheads="1"/>
        </xdr:cNvSpPr>
      </xdr:nvSpPr>
      <xdr:spPr bwMode="auto">
        <a:xfrm>
          <a:off x="13411200" y="76154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05" name="AutoShape 737" descr="PERU2"/>
        <xdr:cNvSpPr>
          <a:spLocks noChangeAspect="1" noChangeArrowheads="1"/>
        </xdr:cNvSpPr>
      </xdr:nvSpPr>
      <xdr:spPr bwMode="auto">
        <a:xfrm>
          <a:off x="0" y="76329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06" name="AutoShape 738" descr="https://www.soccerstats.com/img/own/sshplogo.png">
          <a:hlinkClick xmlns:r="http://schemas.openxmlformats.org/officeDocument/2006/relationships" r:id="rId369"/>
        </xdr:cNvPr>
        <xdr:cNvSpPr>
          <a:spLocks noChangeAspect="1" noChangeArrowheads="1"/>
        </xdr:cNvSpPr>
      </xdr:nvSpPr>
      <xdr:spPr bwMode="auto">
        <a:xfrm>
          <a:off x="13411200" y="76329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07" name="AutoShape 739" descr="PERU2"/>
        <xdr:cNvSpPr>
          <a:spLocks noChangeAspect="1" noChangeArrowheads="1"/>
        </xdr:cNvSpPr>
      </xdr:nvSpPr>
      <xdr:spPr bwMode="auto">
        <a:xfrm>
          <a:off x="0" y="76581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08" name="AutoShape 740" descr="https://www.soccerstats.com/img/own/sshplogo.png">
          <a:hlinkClick xmlns:r="http://schemas.openxmlformats.org/officeDocument/2006/relationships" r:id="rId370"/>
        </xdr:cNvPr>
        <xdr:cNvSpPr>
          <a:spLocks noChangeAspect="1" noChangeArrowheads="1"/>
        </xdr:cNvSpPr>
      </xdr:nvSpPr>
      <xdr:spPr bwMode="auto">
        <a:xfrm>
          <a:off x="13411200" y="765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09" name="AutoShape 741" descr="PERU2"/>
        <xdr:cNvSpPr>
          <a:spLocks noChangeAspect="1" noChangeArrowheads="1"/>
        </xdr:cNvSpPr>
      </xdr:nvSpPr>
      <xdr:spPr bwMode="auto">
        <a:xfrm>
          <a:off x="0" y="76756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10" name="AutoShape 742" descr="https://www.soccerstats.com/img/own/sshplogo.png">
          <a:hlinkClick xmlns:r="http://schemas.openxmlformats.org/officeDocument/2006/relationships" r:id="rId371"/>
        </xdr:cNvPr>
        <xdr:cNvSpPr>
          <a:spLocks noChangeAspect="1" noChangeArrowheads="1"/>
        </xdr:cNvSpPr>
      </xdr:nvSpPr>
      <xdr:spPr bwMode="auto">
        <a:xfrm>
          <a:off x="13411200" y="76756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11" name="AutoShape 743" descr="PERU2"/>
        <xdr:cNvSpPr>
          <a:spLocks noChangeAspect="1" noChangeArrowheads="1"/>
        </xdr:cNvSpPr>
      </xdr:nvSpPr>
      <xdr:spPr bwMode="auto">
        <a:xfrm>
          <a:off x="0" y="76931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12" name="AutoShape 744" descr="https://www.soccerstats.com/img/own/sshplogo.png">
          <a:hlinkClick xmlns:r="http://schemas.openxmlformats.org/officeDocument/2006/relationships" r:id="rId372"/>
        </xdr:cNvPr>
        <xdr:cNvSpPr>
          <a:spLocks noChangeAspect="1" noChangeArrowheads="1"/>
        </xdr:cNvSpPr>
      </xdr:nvSpPr>
      <xdr:spPr bwMode="auto">
        <a:xfrm>
          <a:off x="13411200" y="76931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13" name="AutoShape 745" descr="PERU2"/>
        <xdr:cNvSpPr>
          <a:spLocks noChangeAspect="1" noChangeArrowheads="1"/>
        </xdr:cNvSpPr>
      </xdr:nvSpPr>
      <xdr:spPr bwMode="auto">
        <a:xfrm>
          <a:off x="0" y="77106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14" name="AutoShape 746" descr="https://www.soccerstats.com/img/own/sshplogo.png">
          <a:hlinkClick xmlns:r="http://schemas.openxmlformats.org/officeDocument/2006/relationships" r:id="rId373"/>
        </xdr:cNvPr>
        <xdr:cNvSpPr>
          <a:spLocks noChangeAspect="1" noChangeArrowheads="1"/>
        </xdr:cNvSpPr>
      </xdr:nvSpPr>
      <xdr:spPr bwMode="auto">
        <a:xfrm>
          <a:off x="13411200" y="77106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15" name="AutoShape 747" descr="PERU2"/>
        <xdr:cNvSpPr>
          <a:spLocks noChangeAspect="1" noChangeArrowheads="1"/>
        </xdr:cNvSpPr>
      </xdr:nvSpPr>
      <xdr:spPr bwMode="auto">
        <a:xfrm>
          <a:off x="0" y="77282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16" name="AutoShape 748" descr="https://www.soccerstats.com/img/own/sshplogo.png">
          <a:hlinkClick xmlns:r="http://schemas.openxmlformats.org/officeDocument/2006/relationships" r:id="rId374"/>
        </xdr:cNvPr>
        <xdr:cNvSpPr>
          <a:spLocks noChangeAspect="1" noChangeArrowheads="1"/>
        </xdr:cNvSpPr>
      </xdr:nvSpPr>
      <xdr:spPr bwMode="auto">
        <a:xfrm>
          <a:off x="13411200" y="77282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17" name="AutoShape 749" descr="PERU2"/>
        <xdr:cNvSpPr>
          <a:spLocks noChangeAspect="1" noChangeArrowheads="1"/>
        </xdr:cNvSpPr>
      </xdr:nvSpPr>
      <xdr:spPr bwMode="auto">
        <a:xfrm>
          <a:off x="0" y="77533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18" name="AutoShape 750" descr="https://www.soccerstats.com/img/own/sshplogo.png">
          <a:hlinkClick xmlns:r="http://schemas.openxmlformats.org/officeDocument/2006/relationships" r:id="rId375"/>
        </xdr:cNvPr>
        <xdr:cNvSpPr>
          <a:spLocks noChangeAspect="1" noChangeArrowheads="1"/>
        </xdr:cNvSpPr>
      </xdr:nvSpPr>
      <xdr:spPr bwMode="auto">
        <a:xfrm>
          <a:off x="13411200" y="7753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19" name="AutoShape 751" descr="POLAND"/>
        <xdr:cNvSpPr>
          <a:spLocks noChangeAspect="1" noChangeArrowheads="1"/>
        </xdr:cNvSpPr>
      </xdr:nvSpPr>
      <xdr:spPr bwMode="auto">
        <a:xfrm>
          <a:off x="0" y="77784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20" name="AutoShape 752" descr="https://www.soccerstats.com/img/own/sshplogo.png">
          <a:hlinkClick xmlns:r="http://schemas.openxmlformats.org/officeDocument/2006/relationships" r:id="rId376"/>
        </xdr:cNvPr>
        <xdr:cNvSpPr>
          <a:spLocks noChangeAspect="1" noChangeArrowheads="1"/>
        </xdr:cNvSpPr>
      </xdr:nvSpPr>
      <xdr:spPr bwMode="auto">
        <a:xfrm>
          <a:off x="13411200" y="77784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21" name="AutoShape 753" descr="POLAND"/>
        <xdr:cNvSpPr>
          <a:spLocks noChangeAspect="1" noChangeArrowheads="1"/>
        </xdr:cNvSpPr>
      </xdr:nvSpPr>
      <xdr:spPr bwMode="auto">
        <a:xfrm>
          <a:off x="0" y="78036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22" name="AutoShape 754" descr="https://www.soccerstats.com/img/own/sshplogo.png">
          <a:hlinkClick xmlns:r="http://schemas.openxmlformats.org/officeDocument/2006/relationships" r:id="rId377"/>
        </xdr:cNvPr>
        <xdr:cNvSpPr>
          <a:spLocks noChangeAspect="1" noChangeArrowheads="1"/>
        </xdr:cNvSpPr>
      </xdr:nvSpPr>
      <xdr:spPr bwMode="auto">
        <a:xfrm>
          <a:off x="13411200" y="78036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23" name="AutoShape 755" descr="POLAND"/>
        <xdr:cNvSpPr>
          <a:spLocks noChangeAspect="1" noChangeArrowheads="1"/>
        </xdr:cNvSpPr>
      </xdr:nvSpPr>
      <xdr:spPr bwMode="auto">
        <a:xfrm>
          <a:off x="0" y="78211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24" name="AutoShape 756" descr="https://www.soccerstats.com/img/own/sshplogo.png">
          <a:hlinkClick xmlns:r="http://schemas.openxmlformats.org/officeDocument/2006/relationships" r:id="rId378"/>
        </xdr:cNvPr>
        <xdr:cNvSpPr>
          <a:spLocks noChangeAspect="1" noChangeArrowheads="1"/>
        </xdr:cNvSpPr>
      </xdr:nvSpPr>
      <xdr:spPr bwMode="auto">
        <a:xfrm>
          <a:off x="13411200" y="7821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25" name="AutoShape 757" descr="POLAND2"/>
        <xdr:cNvSpPr>
          <a:spLocks noChangeAspect="1" noChangeArrowheads="1"/>
        </xdr:cNvSpPr>
      </xdr:nvSpPr>
      <xdr:spPr bwMode="auto">
        <a:xfrm>
          <a:off x="0" y="78386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26" name="AutoShape 758" descr="https://www.soccerstats.com/img/own/sshplogo.png">
          <a:hlinkClick xmlns:r="http://schemas.openxmlformats.org/officeDocument/2006/relationships" r:id="rId379"/>
        </xdr:cNvPr>
        <xdr:cNvSpPr>
          <a:spLocks noChangeAspect="1" noChangeArrowheads="1"/>
        </xdr:cNvSpPr>
      </xdr:nvSpPr>
      <xdr:spPr bwMode="auto">
        <a:xfrm>
          <a:off x="13411200" y="78386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27" name="AutoShape 759" descr="POLAND2"/>
        <xdr:cNvSpPr>
          <a:spLocks noChangeAspect="1" noChangeArrowheads="1"/>
        </xdr:cNvSpPr>
      </xdr:nvSpPr>
      <xdr:spPr bwMode="auto">
        <a:xfrm>
          <a:off x="0" y="78638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28" name="AutoShape 760" descr="https://www.soccerstats.com/img/own/sshplogo.png">
          <a:hlinkClick xmlns:r="http://schemas.openxmlformats.org/officeDocument/2006/relationships" r:id="rId380"/>
        </xdr:cNvPr>
        <xdr:cNvSpPr>
          <a:spLocks noChangeAspect="1" noChangeArrowheads="1"/>
        </xdr:cNvSpPr>
      </xdr:nvSpPr>
      <xdr:spPr bwMode="auto">
        <a:xfrm>
          <a:off x="13411200" y="7863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29" name="AutoShape 761" descr="POLAND2"/>
        <xdr:cNvSpPr>
          <a:spLocks noChangeAspect="1" noChangeArrowheads="1"/>
        </xdr:cNvSpPr>
      </xdr:nvSpPr>
      <xdr:spPr bwMode="auto">
        <a:xfrm>
          <a:off x="0" y="78813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30" name="AutoShape 762" descr="https://www.soccerstats.com/img/own/sshplogo.png">
          <a:hlinkClick xmlns:r="http://schemas.openxmlformats.org/officeDocument/2006/relationships" r:id="rId381"/>
        </xdr:cNvPr>
        <xdr:cNvSpPr>
          <a:spLocks noChangeAspect="1" noChangeArrowheads="1"/>
        </xdr:cNvSpPr>
      </xdr:nvSpPr>
      <xdr:spPr bwMode="auto">
        <a:xfrm>
          <a:off x="13411200" y="78813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31" name="AutoShape 763" descr="POLAND3"/>
        <xdr:cNvSpPr>
          <a:spLocks noChangeAspect="1" noChangeArrowheads="1"/>
        </xdr:cNvSpPr>
      </xdr:nvSpPr>
      <xdr:spPr bwMode="auto">
        <a:xfrm>
          <a:off x="0" y="79065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32" name="AutoShape 764" descr="https://www.soccerstats.com/img/own/sshplogo.png">
          <a:hlinkClick xmlns:r="http://schemas.openxmlformats.org/officeDocument/2006/relationships" r:id="rId382"/>
        </xdr:cNvPr>
        <xdr:cNvSpPr>
          <a:spLocks noChangeAspect="1" noChangeArrowheads="1"/>
        </xdr:cNvSpPr>
      </xdr:nvSpPr>
      <xdr:spPr bwMode="auto">
        <a:xfrm>
          <a:off x="13411200" y="79065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33" name="AutoShape 765" descr="POLAND3"/>
        <xdr:cNvSpPr>
          <a:spLocks noChangeAspect="1" noChangeArrowheads="1"/>
        </xdr:cNvSpPr>
      </xdr:nvSpPr>
      <xdr:spPr bwMode="auto">
        <a:xfrm>
          <a:off x="0" y="79316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34" name="AutoShape 766" descr="https://www.soccerstats.com/img/own/sshplogo.png">
          <a:hlinkClick xmlns:r="http://schemas.openxmlformats.org/officeDocument/2006/relationships" r:id="rId383"/>
        </xdr:cNvPr>
        <xdr:cNvSpPr>
          <a:spLocks noChangeAspect="1" noChangeArrowheads="1"/>
        </xdr:cNvSpPr>
      </xdr:nvSpPr>
      <xdr:spPr bwMode="auto">
        <a:xfrm>
          <a:off x="13411200" y="79316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35" name="AutoShape 767" descr="POLAND3"/>
        <xdr:cNvSpPr>
          <a:spLocks noChangeAspect="1" noChangeArrowheads="1"/>
        </xdr:cNvSpPr>
      </xdr:nvSpPr>
      <xdr:spPr bwMode="auto">
        <a:xfrm>
          <a:off x="0" y="79568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36" name="AutoShape 768" descr="https://www.soccerstats.com/img/own/sshplogo.png">
          <a:hlinkClick xmlns:r="http://schemas.openxmlformats.org/officeDocument/2006/relationships" r:id="rId384"/>
        </xdr:cNvPr>
        <xdr:cNvSpPr>
          <a:spLocks noChangeAspect="1" noChangeArrowheads="1"/>
        </xdr:cNvSpPr>
      </xdr:nvSpPr>
      <xdr:spPr bwMode="auto">
        <a:xfrm>
          <a:off x="13411200" y="79568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37" name="AutoShape 769" descr="POLAND3"/>
        <xdr:cNvSpPr>
          <a:spLocks noChangeAspect="1" noChangeArrowheads="1"/>
        </xdr:cNvSpPr>
      </xdr:nvSpPr>
      <xdr:spPr bwMode="auto">
        <a:xfrm>
          <a:off x="0" y="7981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38" name="AutoShape 770" descr="https://www.soccerstats.com/img/own/sshplogo.png">
          <a:hlinkClick xmlns:r="http://schemas.openxmlformats.org/officeDocument/2006/relationships" r:id="rId385"/>
        </xdr:cNvPr>
        <xdr:cNvSpPr>
          <a:spLocks noChangeAspect="1" noChangeArrowheads="1"/>
        </xdr:cNvSpPr>
      </xdr:nvSpPr>
      <xdr:spPr bwMode="auto">
        <a:xfrm>
          <a:off x="13411200" y="798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39" name="AutoShape 771" descr="POLAND3"/>
        <xdr:cNvSpPr>
          <a:spLocks noChangeAspect="1" noChangeArrowheads="1"/>
        </xdr:cNvSpPr>
      </xdr:nvSpPr>
      <xdr:spPr bwMode="auto">
        <a:xfrm>
          <a:off x="0" y="80070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40" name="AutoShape 772" descr="https://www.soccerstats.com/img/own/sshplogo.png">
          <a:hlinkClick xmlns:r="http://schemas.openxmlformats.org/officeDocument/2006/relationships" r:id="rId386"/>
        </xdr:cNvPr>
        <xdr:cNvSpPr>
          <a:spLocks noChangeAspect="1" noChangeArrowheads="1"/>
        </xdr:cNvSpPr>
      </xdr:nvSpPr>
      <xdr:spPr bwMode="auto">
        <a:xfrm>
          <a:off x="13411200" y="80070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41" name="AutoShape 773" descr="PORTUGAL2"/>
        <xdr:cNvSpPr>
          <a:spLocks noChangeAspect="1" noChangeArrowheads="1"/>
        </xdr:cNvSpPr>
      </xdr:nvSpPr>
      <xdr:spPr bwMode="auto">
        <a:xfrm>
          <a:off x="0" y="80322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42" name="AutoShape 774" descr="https://www.soccerstats.com/img/own/sshplogo.png">
          <a:hlinkClick xmlns:r="http://schemas.openxmlformats.org/officeDocument/2006/relationships" r:id="rId387"/>
        </xdr:cNvPr>
        <xdr:cNvSpPr>
          <a:spLocks noChangeAspect="1" noChangeArrowheads="1"/>
        </xdr:cNvSpPr>
      </xdr:nvSpPr>
      <xdr:spPr bwMode="auto">
        <a:xfrm>
          <a:off x="13411200" y="80322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43" name="AutoShape 775" descr="PORTUGAL2"/>
        <xdr:cNvSpPr>
          <a:spLocks noChangeAspect="1" noChangeArrowheads="1"/>
        </xdr:cNvSpPr>
      </xdr:nvSpPr>
      <xdr:spPr bwMode="auto">
        <a:xfrm>
          <a:off x="0" y="8049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44" name="AutoShape 776" descr="https://www.soccerstats.com/img/own/sshplogo.png">
          <a:hlinkClick xmlns:r="http://schemas.openxmlformats.org/officeDocument/2006/relationships" r:id="rId388"/>
        </xdr:cNvPr>
        <xdr:cNvSpPr>
          <a:spLocks noChangeAspect="1" noChangeArrowheads="1"/>
        </xdr:cNvSpPr>
      </xdr:nvSpPr>
      <xdr:spPr bwMode="auto">
        <a:xfrm>
          <a:off x="13411200" y="8049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45" name="AutoShape 777" descr="PORTUGAL2"/>
        <xdr:cNvSpPr>
          <a:spLocks noChangeAspect="1" noChangeArrowheads="1"/>
        </xdr:cNvSpPr>
      </xdr:nvSpPr>
      <xdr:spPr bwMode="auto">
        <a:xfrm>
          <a:off x="0" y="80749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46" name="AutoShape 778" descr="https://www.soccerstats.com/img/own/sshplogo.png">
          <a:hlinkClick xmlns:r="http://schemas.openxmlformats.org/officeDocument/2006/relationships" r:id="rId389"/>
        </xdr:cNvPr>
        <xdr:cNvSpPr>
          <a:spLocks noChangeAspect="1" noChangeArrowheads="1"/>
        </xdr:cNvSpPr>
      </xdr:nvSpPr>
      <xdr:spPr bwMode="auto">
        <a:xfrm>
          <a:off x="13411200" y="80749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47" name="AutoShape 779" descr="ROMANIA"/>
        <xdr:cNvSpPr>
          <a:spLocks noChangeAspect="1" noChangeArrowheads="1"/>
        </xdr:cNvSpPr>
      </xdr:nvSpPr>
      <xdr:spPr bwMode="auto">
        <a:xfrm>
          <a:off x="0" y="80924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48" name="AutoShape 780" descr="https://www.soccerstats.com/img/own/sshplogo.png">
          <a:hlinkClick xmlns:r="http://schemas.openxmlformats.org/officeDocument/2006/relationships" r:id="rId390"/>
        </xdr:cNvPr>
        <xdr:cNvSpPr>
          <a:spLocks noChangeAspect="1" noChangeArrowheads="1"/>
        </xdr:cNvSpPr>
      </xdr:nvSpPr>
      <xdr:spPr bwMode="auto">
        <a:xfrm>
          <a:off x="13411200" y="80924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49" name="AutoShape 781" descr="ROMANIA"/>
        <xdr:cNvSpPr>
          <a:spLocks noChangeAspect="1" noChangeArrowheads="1"/>
        </xdr:cNvSpPr>
      </xdr:nvSpPr>
      <xdr:spPr bwMode="auto">
        <a:xfrm>
          <a:off x="0" y="81099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50" name="AutoShape 782" descr="https://www.soccerstats.com/img/own/sshplogo.png">
          <a:hlinkClick xmlns:r="http://schemas.openxmlformats.org/officeDocument/2006/relationships" r:id="rId391"/>
        </xdr:cNvPr>
        <xdr:cNvSpPr>
          <a:spLocks noChangeAspect="1" noChangeArrowheads="1"/>
        </xdr:cNvSpPr>
      </xdr:nvSpPr>
      <xdr:spPr bwMode="auto">
        <a:xfrm>
          <a:off x="13411200" y="81099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51" name="AutoShape 783" descr="RUSSIA"/>
        <xdr:cNvSpPr>
          <a:spLocks noChangeAspect="1" noChangeArrowheads="1"/>
        </xdr:cNvSpPr>
      </xdr:nvSpPr>
      <xdr:spPr bwMode="auto">
        <a:xfrm>
          <a:off x="0" y="81351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52" name="AutoShape 784" descr="https://www.soccerstats.com/img/own/sshplogo.png">
          <a:hlinkClick xmlns:r="http://schemas.openxmlformats.org/officeDocument/2006/relationships" r:id="rId392"/>
        </xdr:cNvPr>
        <xdr:cNvSpPr>
          <a:spLocks noChangeAspect="1" noChangeArrowheads="1"/>
        </xdr:cNvSpPr>
      </xdr:nvSpPr>
      <xdr:spPr bwMode="auto">
        <a:xfrm>
          <a:off x="13411200" y="81351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53" name="AutoShape 785" descr="RUSSIA"/>
        <xdr:cNvSpPr>
          <a:spLocks noChangeAspect="1" noChangeArrowheads="1"/>
        </xdr:cNvSpPr>
      </xdr:nvSpPr>
      <xdr:spPr bwMode="auto">
        <a:xfrm>
          <a:off x="0" y="81602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54" name="AutoShape 786" descr="https://www.soccerstats.com/img/own/sshplogo.png">
          <a:hlinkClick xmlns:r="http://schemas.openxmlformats.org/officeDocument/2006/relationships" r:id="rId393"/>
        </xdr:cNvPr>
        <xdr:cNvSpPr>
          <a:spLocks noChangeAspect="1" noChangeArrowheads="1"/>
        </xdr:cNvSpPr>
      </xdr:nvSpPr>
      <xdr:spPr bwMode="auto">
        <a:xfrm>
          <a:off x="13411200" y="81602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55" name="AutoShape 787" descr="RUSSIA"/>
        <xdr:cNvSpPr>
          <a:spLocks noChangeAspect="1" noChangeArrowheads="1"/>
        </xdr:cNvSpPr>
      </xdr:nvSpPr>
      <xdr:spPr bwMode="auto">
        <a:xfrm>
          <a:off x="0" y="81854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56" name="AutoShape 788" descr="https://www.soccerstats.com/img/own/sshplogo.png">
          <a:hlinkClick xmlns:r="http://schemas.openxmlformats.org/officeDocument/2006/relationships" r:id="rId394"/>
        </xdr:cNvPr>
        <xdr:cNvSpPr>
          <a:spLocks noChangeAspect="1" noChangeArrowheads="1"/>
        </xdr:cNvSpPr>
      </xdr:nvSpPr>
      <xdr:spPr bwMode="auto">
        <a:xfrm>
          <a:off x="13411200" y="81854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57" name="AutoShape 789" descr="RUSSIA"/>
        <xdr:cNvSpPr>
          <a:spLocks noChangeAspect="1" noChangeArrowheads="1"/>
        </xdr:cNvSpPr>
      </xdr:nvSpPr>
      <xdr:spPr bwMode="auto">
        <a:xfrm>
          <a:off x="0" y="82029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58" name="AutoShape 790" descr="https://www.soccerstats.com/img/own/sshplogo.png">
          <a:hlinkClick xmlns:r="http://schemas.openxmlformats.org/officeDocument/2006/relationships" r:id="rId395"/>
        </xdr:cNvPr>
        <xdr:cNvSpPr>
          <a:spLocks noChangeAspect="1" noChangeArrowheads="1"/>
        </xdr:cNvSpPr>
      </xdr:nvSpPr>
      <xdr:spPr bwMode="auto">
        <a:xfrm>
          <a:off x="13411200" y="8202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59" name="AutoShape 791" descr="SAUDIARABIA"/>
        <xdr:cNvSpPr>
          <a:spLocks noChangeAspect="1" noChangeArrowheads="1"/>
        </xdr:cNvSpPr>
      </xdr:nvSpPr>
      <xdr:spPr bwMode="auto">
        <a:xfrm>
          <a:off x="0" y="82280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60" name="AutoShape 792" descr="https://www.soccerstats.com/img/own/sshplogo.png">
          <a:hlinkClick xmlns:r="http://schemas.openxmlformats.org/officeDocument/2006/relationships" r:id="rId396"/>
        </xdr:cNvPr>
        <xdr:cNvSpPr>
          <a:spLocks noChangeAspect="1" noChangeArrowheads="1"/>
        </xdr:cNvSpPr>
      </xdr:nvSpPr>
      <xdr:spPr bwMode="auto">
        <a:xfrm>
          <a:off x="13411200" y="82280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61" name="AutoShape 793" descr="SAUDIARABIA"/>
        <xdr:cNvSpPr>
          <a:spLocks noChangeAspect="1" noChangeArrowheads="1"/>
        </xdr:cNvSpPr>
      </xdr:nvSpPr>
      <xdr:spPr bwMode="auto">
        <a:xfrm>
          <a:off x="0" y="82456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62" name="AutoShape 794" descr="https://www.soccerstats.com/img/own/sshplogo.png">
          <a:hlinkClick xmlns:r="http://schemas.openxmlformats.org/officeDocument/2006/relationships" r:id="rId397"/>
        </xdr:cNvPr>
        <xdr:cNvSpPr>
          <a:spLocks noChangeAspect="1" noChangeArrowheads="1"/>
        </xdr:cNvSpPr>
      </xdr:nvSpPr>
      <xdr:spPr bwMode="auto">
        <a:xfrm>
          <a:off x="13411200" y="82456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63" name="AutoShape 795" descr="SAUDIARABIA"/>
        <xdr:cNvSpPr>
          <a:spLocks noChangeAspect="1" noChangeArrowheads="1"/>
        </xdr:cNvSpPr>
      </xdr:nvSpPr>
      <xdr:spPr bwMode="auto">
        <a:xfrm>
          <a:off x="0" y="8263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64" name="AutoShape 796" descr="https://www.soccerstats.com/img/own/sshplogo.png">
          <a:hlinkClick xmlns:r="http://schemas.openxmlformats.org/officeDocument/2006/relationships" r:id="rId398"/>
        </xdr:cNvPr>
        <xdr:cNvSpPr>
          <a:spLocks noChangeAspect="1" noChangeArrowheads="1"/>
        </xdr:cNvSpPr>
      </xdr:nvSpPr>
      <xdr:spPr bwMode="auto">
        <a:xfrm>
          <a:off x="13411200" y="8263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65" name="AutoShape 797" descr="SCOTLAND3"/>
        <xdr:cNvSpPr>
          <a:spLocks noChangeAspect="1" noChangeArrowheads="1"/>
        </xdr:cNvSpPr>
      </xdr:nvSpPr>
      <xdr:spPr bwMode="auto">
        <a:xfrm>
          <a:off x="0" y="82806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66" name="AutoShape 798" descr="https://www.soccerstats.com/img/own/sshplogo.png">
          <a:hlinkClick xmlns:r="http://schemas.openxmlformats.org/officeDocument/2006/relationships" r:id="rId399"/>
        </xdr:cNvPr>
        <xdr:cNvSpPr>
          <a:spLocks noChangeAspect="1" noChangeArrowheads="1"/>
        </xdr:cNvSpPr>
      </xdr:nvSpPr>
      <xdr:spPr bwMode="auto">
        <a:xfrm>
          <a:off x="13411200" y="82806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67" name="AutoShape 799" descr="SCOTLAND3"/>
        <xdr:cNvSpPr>
          <a:spLocks noChangeAspect="1" noChangeArrowheads="1"/>
        </xdr:cNvSpPr>
      </xdr:nvSpPr>
      <xdr:spPr bwMode="auto">
        <a:xfrm>
          <a:off x="0" y="82981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68" name="AutoShape 800" descr="https://www.soccerstats.com/img/own/sshplogo.png">
          <a:hlinkClick xmlns:r="http://schemas.openxmlformats.org/officeDocument/2006/relationships" r:id="rId400"/>
        </xdr:cNvPr>
        <xdr:cNvSpPr>
          <a:spLocks noChangeAspect="1" noChangeArrowheads="1"/>
        </xdr:cNvSpPr>
      </xdr:nvSpPr>
      <xdr:spPr bwMode="auto">
        <a:xfrm>
          <a:off x="13411200" y="8298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69" name="AutoShape 801" descr="SCOTLAND3"/>
        <xdr:cNvSpPr>
          <a:spLocks noChangeAspect="1" noChangeArrowheads="1"/>
        </xdr:cNvSpPr>
      </xdr:nvSpPr>
      <xdr:spPr bwMode="auto">
        <a:xfrm>
          <a:off x="0" y="83157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70" name="AutoShape 802" descr="https://www.soccerstats.com/img/own/sshplogo.png">
          <a:hlinkClick xmlns:r="http://schemas.openxmlformats.org/officeDocument/2006/relationships" r:id="rId401"/>
        </xdr:cNvPr>
        <xdr:cNvSpPr>
          <a:spLocks noChangeAspect="1" noChangeArrowheads="1"/>
        </xdr:cNvSpPr>
      </xdr:nvSpPr>
      <xdr:spPr bwMode="auto">
        <a:xfrm>
          <a:off x="13411200" y="83157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71" name="AutoShape 803" descr="SCOTLAND3"/>
        <xdr:cNvSpPr>
          <a:spLocks noChangeAspect="1" noChangeArrowheads="1"/>
        </xdr:cNvSpPr>
      </xdr:nvSpPr>
      <xdr:spPr bwMode="auto">
        <a:xfrm>
          <a:off x="0" y="83332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72" name="AutoShape 804" descr="https://www.soccerstats.com/img/own/sshplogo.png">
          <a:hlinkClick xmlns:r="http://schemas.openxmlformats.org/officeDocument/2006/relationships" r:id="rId402"/>
        </xdr:cNvPr>
        <xdr:cNvSpPr>
          <a:spLocks noChangeAspect="1" noChangeArrowheads="1"/>
        </xdr:cNvSpPr>
      </xdr:nvSpPr>
      <xdr:spPr bwMode="auto">
        <a:xfrm>
          <a:off x="13411200" y="83332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73" name="AutoShape 805" descr="SCOTLAND4"/>
        <xdr:cNvSpPr>
          <a:spLocks noChangeAspect="1" noChangeArrowheads="1"/>
        </xdr:cNvSpPr>
      </xdr:nvSpPr>
      <xdr:spPr bwMode="auto">
        <a:xfrm>
          <a:off x="0" y="83507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74" name="AutoShape 806" descr="https://www.soccerstats.com/img/own/sshplogo.png">
          <a:hlinkClick xmlns:r="http://schemas.openxmlformats.org/officeDocument/2006/relationships" r:id="rId403"/>
        </xdr:cNvPr>
        <xdr:cNvSpPr>
          <a:spLocks noChangeAspect="1" noChangeArrowheads="1"/>
        </xdr:cNvSpPr>
      </xdr:nvSpPr>
      <xdr:spPr bwMode="auto">
        <a:xfrm>
          <a:off x="13411200" y="83507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75" name="AutoShape 807" descr="SCOTLAND4"/>
        <xdr:cNvSpPr>
          <a:spLocks noChangeAspect="1" noChangeArrowheads="1"/>
        </xdr:cNvSpPr>
      </xdr:nvSpPr>
      <xdr:spPr bwMode="auto">
        <a:xfrm>
          <a:off x="0" y="83759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76" name="AutoShape 808" descr="https://www.soccerstats.com/img/own/sshplogo.png">
          <a:hlinkClick xmlns:r="http://schemas.openxmlformats.org/officeDocument/2006/relationships" r:id="rId404"/>
        </xdr:cNvPr>
        <xdr:cNvSpPr>
          <a:spLocks noChangeAspect="1" noChangeArrowheads="1"/>
        </xdr:cNvSpPr>
      </xdr:nvSpPr>
      <xdr:spPr bwMode="auto">
        <a:xfrm>
          <a:off x="13411200" y="83759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77" name="AutoShape 809" descr="SCOTLAND4"/>
        <xdr:cNvSpPr>
          <a:spLocks noChangeAspect="1" noChangeArrowheads="1"/>
        </xdr:cNvSpPr>
      </xdr:nvSpPr>
      <xdr:spPr bwMode="auto">
        <a:xfrm>
          <a:off x="0" y="84010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78" name="AutoShape 810" descr="https://www.soccerstats.com/img/own/sshplogo.png">
          <a:hlinkClick xmlns:r="http://schemas.openxmlformats.org/officeDocument/2006/relationships" r:id="rId405"/>
        </xdr:cNvPr>
        <xdr:cNvSpPr>
          <a:spLocks noChangeAspect="1" noChangeArrowheads="1"/>
        </xdr:cNvSpPr>
      </xdr:nvSpPr>
      <xdr:spPr bwMode="auto">
        <a:xfrm>
          <a:off x="13411200" y="8401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79" name="AutoShape 811" descr="SCOTLAND4"/>
        <xdr:cNvSpPr>
          <a:spLocks noChangeAspect="1" noChangeArrowheads="1"/>
        </xdr:cNvSpPr>
      </xdr:nvSpPr>
      <xdr:spPr bwMode="auto">
        <a:xfrm>
          <a:off x="0" y="84185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80" name="AutoShape 812" descr="https://www.soccerstats.com/img/own/sshplogo.png">
          <a:hlinkClick xmlns:r="http://schemas.openxmlformats.org/officeDocument/2006/relationships" r:id="rId406"/>
        </xdr:cNvPr>
        <xdr:cNvSpPr>
          <a:spLocks noChangeAspect="1" noChangeArrowheads="1"/>
        </xdr:cNvSpPr>
      </xdr:nvSpPr>
      <xdr:spPr bwMode="auto">
        <a:xfrm>
          <a:off x="13411200" y="84185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81" name="AutoShape 813" descr="SCOTLAND4"/>
        <xdr:cNvSpPr>
          <a:spLocks noChangeAspect="1" noChangeArrowheads="1"/>
        </xdr:cNvSpPr>
      </xdr:nvSpPr>
      <xdr:spPr bwMode="auto">
        <a:xfrm>
          <a:off x="0" y="84437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82" name="AutoShape 814" descr="https://www.soccerstats.com/img/own/sshplogo.png">
          <a:hlinkClick xmlns:r="http://schemas.openxmlformats.org/officeDocument/2006/relationships" r:id="rId407"/>
        </xdr:cNvPr>
        <xdr:cNvSpPr>
          <a:spLocks noChangeAspect="1" noChangeArrowheads="1"/>
        </xdr:cNvSpPr>
      </xdr:nvSpPr>
      <xdr:spPr bwMode="auto">
        <a:xfrm>
          <a:off x="13411200" y="84437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83" name="AutoShape 815" descr="SERBIA"/>
        <xdr:cNvSpPr>
          <a:spLocks noChangeAspect="1" noChangeArrowheads="1"/>
        </xdr:cNvSpPr>
      </xdr:nvSpPr>
      <xdr:spPr bwMode="auto">
        <a:xfrm>
          <a:off x="0" y="84612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84" name="AutoShape 816" descr="https://www.soccerstats.com/img/own/sshplogo.png">
          <a:hlinkClick xmlns:r="http://schemas.openxmlformats.org/officeDocument/2006/relationships" r:id="rId412"/>
        </xdr:cNvPr>
        <xdr:cNvSpPr>
          <a:spLocks noChangeAspect="1" noChangeArrowheads="1"/>
        </xdr:cNvSpPr>
      </xdr:nvSpPr>
      <xdr:spPr bwMode="auto">
        <a:xfrm>
          <a:off x="13411200" y="84612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85" name="AutoShape 817" descr="SERBIA"/>
        <xdr:cNvSpPr>
          <a:spLocks noChangeAspect="1" noChangeArrowheads="1"/>
        </xdr:cNvSpPr>
      </xdr:nvSpPr>
      <xdr:spPr bwMode="auto">
        <a:xfrm>
          <a:off x="0" y="84787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86" name="AutoShape 818" descr="https://www.soccerstats.com/img/own/sshplogo.png">
          <a:hlinkClick xmlns:r="http://schemas.openxmlformats.org/officeDocument/2006/relationships" r:id="rId413"/>
        </xdr:cNvPr>
        <xdr:cNvSpPr>
          <a:spLocks noChangeAspect="1" noChangeArrowheads="1"/>
        </xdr:cNvSpPr>
      </xdr:nvSpPr>
      <xdr:spPr bwMode="auto">
        <a:xfrm>
          <a:off x="13411200" y="84787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87" name="AutoShape 819" descr="SERBIA"/>
        <xdr:cNvSpPr>
          <a:spLocks noChangeAspect="1" noChangeArrowheads="1"/>
        </xdr:cNvSpPr>
      </xdr:nvSpPr>
      <xdr:spPr bwMode="auto">
        <a:xfrm>
          <a:off x="0" y="84963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88" name="AutoShape 820" descr="https://www.soccerstats.com/img/own/sshplogo.png">
          <a:hlinkClick xmlns:r="http://schemas.openxmlformats.org/officeDocument/2006/relationships" r:id="rId408"/>
        </xdr:cNvPr>
        <xdr:cNvSpPr>
          <a:spLocks noChangeAspect="1" noChangeArrowheads="1"/>
        </xdr:cNvSpPr>
      </xdr:nvSpPr>
      <xdr:spPr bwMode="auto">
        <a:xfrm>
          <a:off x="13411200" y="8496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89" name="AutoShape 821" descr="SLOVAKIA"/>
        <xdr:cNvSpPr>
          <a:spLocks noChangeAspect="1" noChangeArrowheads="1"/>
        </xdr:cNvSpPr>
      </xdr:nvSpPr>
      <xdr:spPr bwMode="auto">
        <a:xfrm>
          <a:off x="0" y="85138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90" name="AutoShape 822" descr="https://www.soccerstats.com/img/own/sshplogo.png">
          <a:hlinkClick xmlns:r="http://schemas.openxmlformats.org/officeDocument/2006/relationships" r:id="rId415"/>
        </xdr:cNvPr>
        <xdr:cNvSpPr>
          <a:spLocks noChangeAspect="1" noChangeArrowheads="1"/>
        </xdr:cNvSpPr>
      </xdr:nvSpPr>
      <xdr:spPr bwMode="auto">
        <a:xfrm>
          <a:off x="13411200" y="85138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91" name="AutoShape 823" descr="SLOVAKIA"/>
        <xdr:cNvSpPr>
          <a:spLocks noChangeAspect="1" noChangeArrowheads="1"/>
        </xdr:cNvSpPr>
      </xdr:nvSpPr>
      <xdr:spPr bwMode="auto">
        <a:xfrm>
          <a:off x="0" y="85389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92" name="AutoShape 824" descr="https://www.soccerstats.com/img/own/sshplogo.png">
          <a:hlinkClick xmlns:r="http://schemas.openxmlformats.org/officeDocument/2006/relationships" r:id="rId416"/>
        </xdr:cNvPr>
        <xdr:cNvSpPr>
          <a:spLocks noChangeAspect="1" noChangeArrowheads="1"/>
        </xdr:cNvSpPr>
      </xdr:nvSpPr>
      <xdr:spPr bwMode="auto">
        <a:xfrm>
          <a:off x="13411200" y="85389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93" name="AutoShape 825" descr="SLOVAKIA"/>
        <xdr:cNvSpPr>
          <a:spLocks noChangeAspect="1" noChangeArrowheads="1"/>
        </xdr:cNvSpPr>
      </xdr:nvSpPr>
      <xdr:spPr bwMode="auto">
        <a:xfrm>
          <a:off x="0" y="85564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94" name="AutoShape 826" descr="https://www.soccerstats.com/img/own/sshplogo.png">
          <a:hlinkClick xmlns:r="http://schemas.openxmlformats.org/officeDocument/2006/relationships" r:id="rId417"/>
        </xdr:cNvPr>
        <xdr:cNvSpPr>
          <a:spLocks noChangeAspect="1" noChangeArrowheads="1"/>
        </xdr:cNvSpPr>
      </xdr:nvSpPr>
      <xdr:spPr bwMode="auto">
        <a:xfrm>
          <a:off x="13411200" y="85564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95" name="AutoShape 827" descr="SLOVAKIA"/>
        <xdr:cNvSpPr>
          <a:spLocks noChangeAspect="1" noChangeArrowheads="1"/>
        </xdr:cNvSpPr>
      </xdr:nvSpPr>
      <xdr:spPr bwMode="auto">
        <a:xfrm>
          <a:off x="0" y="85740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96" name="AutoShape 828" descr="https://www.soccerstats.com/img/own/sshplogo.png">
          <a:hlinkClick xmlns:r="http://schemas.openxmlformats.org/officeDocument/2006/relationships" r:id="rId418"/>
        </xdr:cNvPr>
        <xdr:cNvSpPr>
          <a:spLocks noChangeAspect="1" noChangeArrowheads="1"/>
        </xdr:cNvSpPr>
      </xdr:nvSpPr>
      <xdr:spPr bwMode="auto">
        <a:xfrm>
          <a:off x="13411200" y="85740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97" name="AutoShape 829" descr="SLOVENIA"/>
        <xdr:cNvSpPr>
          <a:spLocks noChangeAspect="1" noChangeArrowheads="1"/>
        </xdr:cNvSpPr>
      </xdr:nvSpPr>
      <xdr:spPr bwMode="auto">
        <a:xfrm>
          <a:off x="0" y="85915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098" name="AutoShape 830" descr="https://www.soccerstats.com/img/own/sshplogo.png">
          <a:hlinkClick xmlns:r="http://schemas.openxmlformats.org/officeDocument/2006/relationships" r:id="rId419"/>
        </xdr:cNvPr>
        <xdr:cNvSpPr>
          <a:spLocks noChangeAspect="1" noChangeArrowheads="1"/>
        </xdr:cNvSpPr>
      </xdr:nvSpPr>
      <xdr:spPr bwMode="auto">
        <a:xfrm>
          <a:off x="13411200" y="8591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099" name="AutoShape 831" descr="SLOVENIA"/>
        <xdr:cNvSpPr>
          <a:spLocks noChangeAspect="1" noChangeArrowheads="1"/>
        </xdr:cNvSpPr>
      </xdr:nvSpPr>
      <xdr:spPr bwMode="auto">
        <a:xfrm>
          <a:off x="0" y="86090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00" name="AutoShape 832" descr="https://www.soccerstats.com/img/own/sshplogo.png">
          <a:hlinkClick xmlns:r="http://schemas.openxmlformats.org/officeDocument/2006/relationships" r:id="rId420"/>
        </xdr:cNvPr>
        <xdr:cNvSpPr>
          <a:spLocks noChangeAspect="1" noChangeArrowheads="1"/>
        </xdr:cNvSpPr>
      </xdr:nvSpPr>
      <xdr:spPr bwMode="auto">
        <a:xfrm>
          <a:off x="13411200" y="86090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01" name="AutoShape 833" descr="SOUTHAFRICA"/>
        <xdr:cNvSpPr>
          <a:spLocks noChangeAspect="1" noChangeArrowheads="1"/>
        </xdr:cNvSpPr>
      </xdr:nvSpPr>
      <xdr:spPr bwMode="auto">
        <a:xfrm>
          <a:off x="0" y="86266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02" name="AutoShape 834" descr="https://www.soccerstats.com/img/own/sshplogo.png">
          <a:hlinkClick xmlns:r="http://schemas.openxmlformats.org/officeDocument/2006/relationships" r:id="rId421"/>
        </xdr:cNvPr>
        <xdr:cNvSpPr>
          <a:spLocks noChangeAspect="1" noChangeArrowheads="1"/>
        </xdr:cNvSpPr>
      </xdr:nvSpPr>
      <xdr:spPr bwMode="auto">
        <a:xfrm>
          <a:off x="13411200" y="86266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03" name="AutoShape 835" descr="SOUTHAFRICA"/>
        <xdr:cNvSpPr>
          <a:spLocks noChangeAspect="1" noChangeArrowheads="1"/>
        </xdr:cNvSpPr>
      </xdr:nvSpPr>
      <xdr:spPr bwMode="auto">
        <a:xfrm>
          <a:off x="0" y="8644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04" name="AutoShape 836" descr="https://www.soccerstats.com/img/own/sshplogo.png">
          <a:hlinkClick xmlns:r="http://schemas.openxmlformats.org/officeDocument/2006/relationships" r:id="rId422"/>
        </xdr:cNvPr>
        <xdr:cNvSpPr>
          <a:spLocks noChangeAspect="1" noChangeArrowheads="1"/>
        </xdr:cNvSpPr>
      </xdr:nvSpPr>
      <xdr:spPr bwMode="auto">
        <a:xfrm>
          <a:off x="13411200" y="8644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05" name="AutoShape 837" descr="SOUTHAFRICA"/>
        <xdr:cNvSpPr>
          <a:spLocks noChangeAspect="1" noChangeArrowheads="1"/>
        </xdr:cNvSpPr>
      </xdr:nvSpPr>
      <xdr:spPr bwMode="auto">
        <a:xfrm>
          <a:off x="0" y="86616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06" name="AutoShape 838" descr="https://www.soccerstats.com/img/own/sshplogo.png">
          <a:hlinkClick xmlns:r="http://schemas.openxmlformats.org/officeDocument/2006/relationships" r:id="rId423"/>
        </xdr:cNvPr>
        <xdr:cNvSpPr>
          <a:spLocks noChangeAspect="1" noChangeArrowheads="1"/>
        </xdr:cNvSpPr>
      </xdr:nvSpPr>
      <xdr:spPr bwMode="auto">
        <a:xfrm>
          <a:off x="13411200" y="86616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07" name="AutoShape 839" descr="SOUTHAFRICA"/>
        <xdr:cNvSpPr>
          <a:spLocks noChangeAspect="1" noChangeArrowheads="1"/>
        </xdr:cNvSpPr>
      </xdr:nvSpPr>
      <xdr:spPr bwMode="auto">
        <a:xfrm>
          <a:off x="0" y="86791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08" name="AutoShape 840" descr="https://www.soccerstats.com/img/own/sshplogo.png">
          <a:hlinkClick xmlns:r="http://schemas.openxmlformats.org/officeDocument/2006/relationships" r:id="rId424"/>
        </xdr:cNvPr>
        <xdr:cNvSpPr>
          <a:spLocks noChangeAspect="1" noChangeArrowheads="1"/>
        </xdr:cNvSpPr>
      </xdr:nvSpPr>
      <xdr:spPr bwMode="auto">
        <a:xfrm>
          <a:off x="13411200" y="8679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09" name="AutoShape 841" descr="SOUTHAFRICA"/>
        <xdr:cNvSpPr>
          <a:spLocks noChangeAspect="1" noChangeArrowheads="1"/>
        </xdr:cNvSpPr>
      </xdr:nvSpPr>
      <xdr:spPr bwMode="auto">
        <a:xfrm>
          <a:off x="0" y="86967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10" name="AutoShape 842" descr="https://www.soccerstats.com/img/own/sshplogo.png">
          <a:hlinkClick xmlns:r="http://schemas.openxmlformats.org/officeDocument/2006/relationships" r:id="rId425"/>
        </xdr:cNvPr>
        <xdr:cNvSpPr>
          <a:spLocks noChangeAspect="1" noChangeArrowheads="1"/>
        </xdr:cNvSpPr>
      </xdr:nvSpPr>
      <xdr:spPr bwMode="auto">
        <a:xfrm>
          <a:off x="13411200" y="86967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11" name="AutoShape 843" descr="SOUTHKOREA"/>
        <xdr:cNvSpPr>
          <a:spLocks noChangeAspect="1" noChangeArrowheads="1"/>
        </xdr:cNvSpPr>
      </xdr:nvSpPr>
      <xdr:spPr bwMode="auto">
        <a:xfrm>
          <a:off x="0" y="87142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12" name="AutoShape 844" descr="https://www.soccerstats.com/img/own/sshplogo.png">
          <a:hlinkClick xmlns:r="http://schemas.openxmlformats.org/officeDocument/2006/relationships" r:id="rId426"/>
        </xdr:cNvPr>
        <xdr:cNvSpPr>
          <a:spLocks noChangeAspect="1" noChangeArrowheads="1"/>
        </xdr:cNvSpPr>
      </xdr:nvSpPr>
      <xdr:spPr bwMode="auto">
        <a:xfrm>
          <a:off x="13411200" y="87142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13" name="AutoShape 845" descr="SOUTHKOREA"/>
        <xdr:cNvSpPr>
          <a:spLocks noChangeAspect="1" noChangeArrowheads="1"/>
        </xdr:cNvSpPr>
      </xdr:nvSpPr>
      <xdr:spPr bwMode="auto">
        <a:xfrm>
          <a:off x="0" y="87393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14" name="AutoShape 846" descr="https://www.soccerstats.com/img/own/sshplogo.png">
          <a:hlinkClick xmlns:r="http://schemas.openxmlformats.org/officeDocument/2006/relationships" r:id="rId427"/>
        </xdr:cNvPr>
        <xdr:cNvSpPr>
          <a:spLocks noChangeAspect="1" noChangeArrowheads="1"/>
        </xdr:cNvSpPr>
      </xdr:nvSpPr>
      <xdr:spPr bwMode="auto">
        <a:xfrm>
          <a:off x="13411200" y="87393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15" name="AutoShape 847" descr="SOUTHKOREA"/>
        <xdr:cNvSpPr>
          <a:spLocks noChangeAspect="1" noChangeArrowheads="1"/>
        </xdr:cNvSpPr>
      </xdr:nvSpPr>
      <xdr:spPr bwMode="auto">
        <a:xfrm>
          <a:off x="0" y="87569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16" name="AutoShape 848" descr="https://www.soccerstats.com/img/own/sshplogo.png">
          <a:hlinkClick xmlns:r="http://schemas.openxmlformats.org/officeDocument/2006/relationships" r:id="rId428"/>
        </xdr:cNvPr>
        <xdr:cNvSpPr>
          <a:spLocks noChangeAspect="1" noChangeArrowheads="1"/>
        </xdr:cNvSpPr>
      </xdr:nvSpPr>
      <xdr:spPr bwMode="auto">
        <a:xfrm>
          <a:off x="13411200" y="87569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17" name="AutoShape 849" descr="SOUTHKOREA2"/>
        <xdr:cNvSpPr>
          <a:spLocks noChangeAspect="1" noChangeArrowheads="1"/>
        </xdr:cNvSpPr>
      </xdr:nvSpPr>
      <xdr:spPr bwMode="auto">
        <a:xfrm>
          <a:off x="0" y="87820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18" name="AutoShape 850" descr="https://www.soccerstats.com/img/own/sshplogo.png">
          <a:hlinkClick xmlns:r="http://schemas.openxmlformats.org/officeDocument/2006/relationships" r:id="rId429"/>
        </xdr:cNvPr>
        <xdr:cNvSpPr>
          <a:spLocks noChangeAspect="1" noChangeArrowheads="1"/>
        </xdr:cNvSpPr>
      </xdr:nvSpPr>
      <xdr:spPr bwMode="auto">
        <a:xfrm>
          <a:off x="13411200" y="8782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19" name="AutoShape 851" descr="SOUTHKOREA2"/>
        <xdr:cNvSpPr>
          <a:spLocks noChangeAspect="1" noChangeArrowheads="1"/>
        </xdr:cNvSpPr>
      </xdr:nvSpPr>
      <xdr:spPr bwMode="auto">
        <a:xfrm>
          <a:off x="0" y="87995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20" name="AutoShape 852" descr="https://www.soccerstats.com/img/own/sshplogo.png">
          <a:hlinkClick xmlns:r="http://schemas.openxmlformats.org/officeDocument/2006/relationships" r:id="rId430"/>
        </xdr:cNvPr>
        <xdr:cNvSpPr>
          <a:spLocks noChangeAspect="1" noChangeArrowheads="1"/>
        </xdr:cNvSpPr>
      </xdr:nvSpPr>
      <xdr:spPr bwMode="auto">
        <a:xfrm>
          <a:off x="13411200" y="87995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21" name="AutoShape 853" descr="SOUTHKOREA2"/>
        <xdr:cNvSpPr>
          <a:spLocks noChangeAspect="1" noChangeArrowheads="1"/>
        </xdr:cNvSpPr>
      </xdr:nvSpPr>
      <xdr:spPr bwMode="auto">
        <a:xfrm>
          <a:off x="0" y="88171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22" name="AutoShape 854" descr="https://www.soccerstats.com/img/own/sshplogo.png">
          <a:hlinkClick xmlns:r="http://schemas.openxmlformats.org/officeDocument/2006/relationships" r:id="rId431"/>
        </xdr:cNvPr>
        <xdr:cNvSpPr>
          <a:spLocks noChangeAspect="1" noChangeArrowheads="1"/>
        </xdr:cNvSpPr>
      </xdr:nvSpPr>
      <xdr:spPr bwMode="auto">
        <a:xfrm>
          <a:off x="13411200" y="88171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23" name="AutoShape 855" descr="SOUTHKOREA2"/>
        <xdr:cNvSpPr>
          <a:spLocks noChangeAspect="1" noChangeArrowheads="1"/>
        </xdr:cNvSpPr>
      </xdr:nvSpPr>
      <xdr:spPr bwMode="auto">
        <a:xfrm>
          <a:off x="0" y="88346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24" name="AutoShape 856" descr="https://www.soccerstats.com/img/own/sshplogo.png">
          <a:hlinkClick xmlns:r="http://schemas.openxmlformats.org/officeDocument/2006/relationships" r:id="rId432"/>
        </xdr:cNvPr>
        <xdr:cNvSpPr>
          <a:spLocks noChangeAspect="1" noChangeArrowheads="1"/>
        </xdr:cNvSpPr>
      </xdr:nvSpPr>
      <xdr:spPr bwMode="auto">
        <a:xfrm>
          <a:off x="13411200" y="88346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25" name="AutoShape 857" descr="SOUTHKOREA4"/>
        <xdr:cNvSpPr>
          <a:spLocks noChangeAspect="1" noChangeArrowheads="1"/>
        </xdr:cNvSpPr>
      </xdr:nvSpPr>
      <xdr:spPr bwMode="auto">
        <a:xfrm>
          <a:off x="0" y="88597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26" name="AutoShape 858" descr="https://www.soccerstats.com/img/own/sshplogo.png">
          <a:hlinkClick xmlns:r="http://schemas.openxmlformats.org/officeDocument/2006/relationships" r:id="rId433"/>
        </xdr:cNvPr>
        <xdr:cNvSpPr>
          <a:spLocks noChangeAspect="1" noChangeArrowheads="1"/>
        </xdr:cNvSpPr>
      </xdr:nvSpPr>
      <xdr:spPr bwMode="auto">
        <a:xfrm>
          <a:off x="13411200" y="88597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27" name="AutoShape 859" descr="SOUTHKOREA4"/>
        <xdr:cNvSpPr>
          <a:spLocks noChangeAspect="1" noChangeArrowheads="1"/>
        </xdr:cNvSpPr>
      </xdr:nvSpPr>
      <xdr:spPr bwMode="auto">
        <a:xfrm>
          <a:off x="0" y="88849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28" name="AutoShape 860" descr="https://www.soccerstats.com/img/own/sshplogo.png">
          <a:hlinkClick xmlns:r="http://schemas.openxmlformats.org/officeDocument/2006/relationships" r:id="rId434"/>
        </xdr:cNvPr>
        <xdr:cNvSpPr>
          <a:spLocks noChangeAspect="1" noChangeArrowheads="1"/>
        </xdr:cNvSpPr>
      </xdr:nvSpPr>
      <xdr:spPr bwMode="auto">
        <a:xfrm>
          <a:off x="13411200" y="888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29" name="AutoShape 861" descr="SWEDEN"/>
        <xdr:cNvSpPr>
          <a:spLocks noChangeAspect="1" noChangeArrowheads="1"/>
        </xdr:cNvSpPr>
      </xdr:nvSpPr>
      <xdr:spPr bwMode="auto">
        <a:xfrm>
          <a:off x="0" y="89024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30" name="AutoShape 862" descr="https://www.soccerstats.com/img/own/sshplogo.png">
          <a:hlinkClick xmlns:r="http://schemas.openxmlformats.org/officeDocument/2006/relationships" r:id="rId435"/>
        </xdr:cNvPr>
        <xdr:cNvSpPr>
          <a:spLocks noChangeAspect="1" noChangeArrowheads="1"/>
        </xdr:cNvSpPr>
      </xdr:nvSpPr>
      <xdr:spPr bwMode="auto">
        <a:xfrm>
          <a:off x="13411200" y="89024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31" name="AutoShape 863" descr="SWEDEN2"/>
        <xdr:cNvSpPr>
          <a:spLocks noChangeAspect="1" noChangeArrowheads="1"/>
        </xdr:cNvSpPr>
      </xdr:nvSpPr>
      <xdr:spPr bwMode="auto">
        <a:xfrm>
          <a:off x="0" y="89199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32" name="AutoShape 864" descr="https://www.soccerstats.com/img/own/sshplogo.png">
          <a:hlinkClick xmlns:r="http://schemas.openxmlformats.org/officeDocument/2006/relationships" r:id="rId436"/>
        </xdr:cNvPr>
        <xdr:cNvSpPr>
          <a:spLocks noChangeAspect="1" noChangeArrowheads="1"/>
        </xdr:cNvSpPr>
      </xdr:nvSpPr>
      <xdr:spPr bwMode="auto">
        <a:xfrm>
          <a:off x="13411200" y="89199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33" name="AutoShape 865" descr="SWEDEN2"/>
        <xdr:cNvSpPr>
          <a:spLocks noChangeAspect="1" noChangeArrowheads="1"/>
        </xdr:cNvSpPr>
      </xdr:nvSpPr>
      <xdr:spPr bwMode="auto">
        <a:xfrm>
          <a:off x="0" y="89374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34" name="AutoShape 866" descr="https://www.soccerstats.com/img/own/sshplogo.png">
          <a:hlinkClick xmlns:r="http://schemas.openxmlformats.org/officeDocument/2006/relationships" r:id="rId437"/>
        </xdr:cNvPr>
        <xdr:cNvSpPr>
          <a:spLocks noChangeAspect="1" noChangeArrowheads="1"/>
        </xdr:cNvSpPr>
      </xdr:nvSpPr>
      <xdr:spPr bwMode="auto">
        <a:xfrm>
          <a:off x="13411200" y="89374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35" name="AutoShape 867" descr="SWEDEN2"/>
        <xdr:cNvSpPr>
          <a:spLocks noChangeAspect="1" noChangeArrowheads="1"/>
        </xdr:cNvSpPr>
      </xdr:nvSpPr>
      <xdr:spPr bwMode="auto">
        <a:xfrm>
          <a:off x="0" y="89550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36" name="AutoShape 868" descr="https://www.soccerstats.com/img/own/sshplogo.png">
          <a:hlinkClick xmlns:r="http://schemas.openxmlformats.org/officeDocument/2006/relationships" r:id="rId438"/>
        </xdr:cNvPr>
        <xdr:cNvSpPr>
          <a:spLocks noChangeAspect="1" noChangeArrowheads="1"/>
        </xdr:cNvSpPr>
      </xdr:nvSpPr>
      <xdr:spPr bwMode="auto">
        <a:xfrm>
          <a:off x="13411200" y="89550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37" name="AutoShape 869" descr="SWEDEN2"/>
        <xdr:cNvSpPr>
          <a:spLocks noChangeAspect="1" noChangeArrowheads="1"/>
        </xdr:cNvSpPr>
      </xdr:nvSpPr>
      <xdr:spPr bwMode="auto">
        <a:xfrm>
          <a:off x="0" y="89801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38" name="AutoShape 870" descr="https://www.soccerstats.com/img/own/sshplogo.png">
          <a:hlinkClick xmlns:r="http://schemas.openxmlformats.org/officeDocument/2006/relationships" r:id="rId439"/>
        </xdr:cNvPr>
        <xdr:cNvSpPr>
          <a:spLocks noChangeAspect="1" noChangeArrowheads="1"/>
        </xdr:cNvSpPr>
      </xdr:nvSpPr>
      <xdr:spPr bwMode="auto">
        <a:xfrm>
          <a:off x="13411200" y="8980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39" name="AutoShape 871" descr="SWEDEN2"/>
        <xdr:cNvSpPr>
          <a:spLocks noChangeAspect="1" noChangeArrowheads="1"/>
        </xdr:cNvSpPr>
      </xdr:nvSpPr>
      <xdr:spPr bwMode="auto">
        <a:xfrm>
          <a:off x="0" y="89976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40" name="AutoShape 872" descr="https://www.soccerstats.com/img/own/sshplogo.png">
          <a:hlinkClick xmlns:r="http://schemas.openxmlformats.org/officeDocument/2006/relationships" r:id="rId440"/>
        </xdr:cNvPr>
        <xdr:cNvSpPr>
          <a:spLocks noChangeAspect="1" noChangeArrowheads="1"/>
        </xdr:cNvSpPr>
      </xdr:nvSpPr>
      <xdr:spPr bwMode="auto">
        <a:xfrm>
          <a:off x="13411200" y="89976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41" name="AutoShape 873" descr="SWEDEN3"/>
        <xdr:cNvSpPr>
          <a:spLocks noChangeAspect="1" noChangeArrowheads="1"/>
        </xdr:cNvSpPr>
      </xdr:nvSpPr>
      <xdr:spPr bwMode="auto">
        <a:xfrm>
          <a:off x="0" y="90152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42" name="AutoShape 874" descr="https://www.soccerstats.com/img/own/sshplogo.png">
          <a:hlinkClick xmlns:r="http://schemas.openxmlformats.org/officeDocument/2006/relationships" r:id="rId441"/>
        </xdr:cNvPr>
        <xdr:cNvSpPr>
          <a:spLocks noChangeAspect="1" noChangeArrowheads="1"/>
        </xdr:cNvSpPr>
      </xdr:nvSpPr>
      <xdr:spPr bwMode="auto">
        <a:xfrm>
          <a:off x="13411200" y="90152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43" name="AutoShape 875" descr="SWEDEN3"/>
        <xdr:cNvSpPr>
          <a:spLocks noChangeAspect="1" noChangeArrowheads="1"/>
        </xdr:cNvSpPr>
      </xdr:nvSpPr>
      <xdr:spPr bwMode="auto">
        <a:xfrm>
          <a:off x="0" y="90327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44" name="AutoShape 876" descr="https://www.soccerstats.com/img/own/sshplogo.png">
          <a:hlinkClick xmlns:r="http://schemas.openxmlformats.org/officeDocument/2006/relationships" r:id="rId442"/>
        </xdr:cNvPr>
        <xdr:cNvSpPr>
          <a:spLocks noChangeAspect="1" noChangeArrowheads="1"/>
        </xdr:cNvSpPr>
      </xdr:nvSpPr>
      <xdr:spPr bwMode="auto">
        <a:xfrm>
          <a:off x="13411200" y="90327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45" name="AutoShape 877" descr="SWEDEN3"/>
        <xdr:cNvSpPr>
          <a:spLocks noChangeAspect="1" noChangeArrowheads="1"/>
        </xdr:cNvSpPr>
      </xdr:nvSpPr>
      <xdr:spPr bwMode="auto">
        <a:xfrm>
          <a:off x="0" y="90502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46" name="AutoShape 878" descr="https://www.soccerstats.com/img/own/sshplogo.png">
          <a:hlinkClick xmlns:r="http://schemas.openxmlformats.org/officeDocument/2006/relationships" r:id="rId443"/>
        </xdr:cNvPr>
        <xdr:cNvSpPr>
          <a:spLocks noChangeAspect="1" noChangeArrowheads="1"/>
        </xdr:cNvSpPr>
      </xdr:nvSpPr>
      <xdr:spPr bwMode="auto">
        <a:xfrm>
          <a:off x="13411200" y="90502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47" name="AutoShape 879" descr="SWEDEN3"/>
        <xdr:cNvSpPr>
          <a:spLocks noChangeAspect="1" noChangeArrowheads="1"/>
        </xdr:cNvSpPr>
      </xdr:nvSpPr>
      <xdr:spPr bwMode="auto">
        <a:xfrm>
          <a:off x="0" y="90678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48" name="AutoShape 880" descr="https://www.soccerstats.com/img/own/sshplogo.png">
          <a:hlinkClick xmlns:r="http://schemas.openxmlformats.org/officeDocument/2006/relationships" r:id="rId444"/>
        </xdr:cNvPr>
        <xdr:cNvSpPr>
          <a:spLocks noChangeAspect="1" noChangeArrowheads="1"/>
        </xdr:cNvSpPr>
      </xdr:nvSpPr>
      <xdr:spPr bwMode="auto">
        <a:xfrm>
          <a:off x="13411200" y="9067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49" name="AutoShape 881" descr="SWEDEN4"/>
        <xdr:cNvSpPr>
          <a:spLocks noChangeAspect="1" noChangeArrowheads="1"/>
        </xdr:cNvSpPr>
      </xdr:nvSpPr>
      <xdr:spPr bwMode="auto">
        <a:xfrm>
          <a:off x="0" y="90853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50" name="AutoShape 882" descr="https://www.soccerstats.com/img/own/sshplogo.png">
          <a:hlinkClick xmlns:r="http://schemas.openxmlformats.org/officeDocument/2006/relationships" r:id="rId445"/>
        </xdr:cNvPr>
        <xdr:cNvSpPr>
          <a:spLocks noChangeAspect="1" noChangeArrowheads="1"/>
        </xdr:cNvSpPr>
      </xdr:nvSpPr>
      <xdr:spPr bwMode="auto">
        <a:xfrm>
          <a:off x="13411200" y="90853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51" name="AutoShape 883" descr="SWEDEN4"/>
        <xdr:cNvSpPr>
          <a:spLocks noChangeAspect="1" noChangeArrowheads="1"/>
        </xdr:cNvSpPr>
      </xdr:nvSpPr>
      <xdr:spPr bwMode="auto">
        <a:xfrm>
          <a:off x="0" y="91028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52" name="AutoShape 884" descr="https://www.soccerstats.com/img/own/sshplogo.png">
          <a:hlinkClick xmlns:r="http://schemas.openxmlformats.org/officeDocument/2006/relationships" r:id="rId446"/>
        </xdr:cNvPr>
        <xdr:cNvSpPr>
          <a:spLocks noChangeAspect="1" noChangeArrowheads="1"/>
        </xdr:cNvSpPr>
      </xdr:nvSpPr>
      <xdr:spPr bwMode="auto">
        <a:xfrm>
          <a:off x="13411200" y="91028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53" name="AutoShape 885" descr="SWEDEN4"/>
        <xdr:cNvSpPr>
          <a:spLocks noChangeAspect="1" noChangeArrowheads="1"/>
        </xdr:cNvSpPr>
      </xdr:nvSpPr>
      <xdr:spPr bwMode="auto">
        <a:xfrm>
          <a:off x="0" y="91203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54" name="AutoShape 886" descr="https://www.soccerstats.com/img/own/sshplogo.png">
          <a:hlinkClick xmlns:r="http://schemas.openxmlformats.org/officeDocument/2006/relationships" r:id="rId447"/>
        </xdr:cNvPr>
        <xdr:cNvSpPr>
          <a:spLocks noChangeAspect="1" noChangeArrowheads="1"/>
        </xdr:cNvSpPr>
      </xdr:nvSpPr>
      <xdr:spPr bwMode="auto">
        <a:xfrm>
          <a:off x="13411200" y="91203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55" name="AutoShape 887" descr="SWEDEN4"/>
        <xdr:cNvSpPr>
          <a:spLocks noChangeAspect="1" noChangeArrowheads="1"/>
        </xdr:cNvSpPr>
      </xdr:nvSpPr>
      <xdr:spPr bwMode="auto">
        <a:xfrm>
          <a:off x="0" y="91379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56" name="AutoShape 888" descr="https://www.soccerstats.com/img/own/sshplogo.png">
          <a:hlinkClick xmlns:r="http://schemas.openxmlformats.org/officeDocument/2006/relationships" r:id="rId448"/>
        </xdr:cNvPr>
        <xdr:cNvSpPr>
          <a:spLocks noChangeAspect="1" noChangeArrowheads="1"/>
        </xdr:cNvSpPr>
      </xdr:nvSpPr>
      <xdr:spPr bwMode="auto">
        <a:xfrm>
          <a:off x="13411200" y="91379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57" name="AutoShape 889" descr="SWEDEN11"/>
        <xdr:cNvSpPr>
          <a:spLocks noChangeAspect="1" noChangeArrowheads="1"/>
        </xdr:cNvSpPr>
      </xdr:nvSpPr>
      <xdr:spPr bwMode="auto">
        <a:xfrm>
          <a:off x="0" y="91554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58" name="AutoShape 890" descr="https://www.soccerstats.com/img/own/sshplogo.png">
          <a:hlinkClick xmlns:r="http://schemas.openxmlformats.org/officeDocument/2006/relationships" r:id="rId449"/>
        </xdr:cNvPr>
        <xdr:cNvSpPr>
          <a:spLocks noChangeAspect="1" noChangeArrowheads="1"/>
        </xdr:cNvSpPr>
      </xdr:nvSpPr>
      <xdr:spPr bwMode="auto">
        <a:xfrm>
          <a:off x="13411200" y="9155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59" name="AutoShape 891" descr="SWEDEN11"/>
        <xdr:cNvSpPr>
          <a:spLocks noChangeAspect="1" noChangeArrowheads="1"/>
        </xdr:cNvSpPr>
      </xdr:nvSpPr>
      <xdr:spPr bwMode="auto">
        <a:xfrm>
          <a:off x="0" y="91729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60" name="AutoShape 892" descr="https://www.soccerstats.com/img/own/sshplogo.png">
          <a:hlinkClick xmlns:r="http://schemas.openxmlformats.org/officeDocument/2006/relationships" r:id="rId450"/>
        </xdr:cNvPr>
        <xdr:cNvSpPr>
          <a:spLocks noChangeAspect="1" noChangeArrowheads="1"/>
        </xdr:cNvSpPr>
      </xdr:nvSpPr>
      <xdr:spPr bwMode="auto">
        <a:xfrm>
          <a:off x="13411200" y="91729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61" name="AutoShape 893" descr="SWEDEN11"/>
        <xdr:cNvSpPr>
          <a:spLocks noChangeAspect="1" noChangeArrowheads="1"/>
        </xdr:cNvSpPr>
      </xdr:nvSpPr>
      <xdr:spPr bwMode="auto">
        <a:xfrm>
          <a:off x="0" y="91904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62" name="AutoShape 894" descr="https://www.soccerstats.com/img/own/sshplogo.png">
          <a:hlinkClick xmlns:r="http://schemas.openxmlformats.org/officeDocument/2006/relationships" r:id="rId451"/>
        </xdr:cNvPr>
        <xdr:cNvSpPr>
          <a:spLocks noChangeAspect="1" noChangeArrowheads="1"/>
        </xdr:cNvSpPr>
      </xdr:nvSpPr>
      <xdr:spPr bwMode="auto">
        <a:xfrm>
          <a:off x="13411200" y="91904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63" name="AutoShape 895" descr="SWEDEN11"/>
        <xdr:cNvSpPr>
          <a:spLocks noChangeAspect="1" noChangeArrowheads="1"/>
        </xdr:cNvSpPr>
      </xdr:nvSpPr>
      <xdr:spPr bwMode="auto">
        <a:xfrm>
          <a:off x="0" y="92156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64" name="AutoShape 896" descr="https://www.soccerstats.com/img/own/sshplogo.png">
          <a:hlinkClick xmlns:r="http://schemas.openxmlformats.org/officeDocument/2006/relationships" r:id="rId452"/>
        </xdr:cNvPr>
        <xdr:cNvSpPr>
          <a:spLocks noChangeAspect="1" noChangeArrowheads="1"/>
        </xdr:cNvSpPr>
      </xdr:nvSpPr>
      <xdr:spPr bwMode="auto">
        <a:xfrm>
          <a:off x="13411200" y="92156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65" name="AutoShape 897" descr="SWEDEN11"/>
        <xdr:cNvSpPr>
          <a:spLocks noChangeAspect="1" noChangeArrowheads="1"/>
        </xdr:cNvSpPr>
      </xdr:nvSpPr>
      <xdr:spPr bwMode="auto">
        <a:xfrm>
          <a:off x="0" y="92407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66" name="AutoShape 898" descr="https://www.soccerstats.com/img/own/sshplogo.png">
          <a:hlinkClick xmlns:r="http://schemas.openxmlformats.org/officeDocument/2006/relationships" r:id="rId453"/>
        </xdr:cNvPr>
        <xdr:cNvSpPr>
          <a:spLocks noChangeAspect="1" noChangeArrowheads="1"/>
        </xdr:cNvSpPr>
      </xdr:nvSpPr>
      <xdr:spPr bwMode="auto">
        <a:xfrm>
          <a:off x="13411200" y="92407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67" name="AutoShape 899" descr="TURKEY"/>
        <xdr:cNvSpPr>
          <a:spLocks noChangeAspect="1" noChangeArrowheads="1"/>
        </xdr:cNvSpPr>
      </xdr:nvSpPr>
      <xdr:spPr bwMode="auto">
        <a:xfrm>
          <a:off x="0" y="92659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68" name="AutoShape 900" descr="https://www.soccerstats.com/img/own/sshplogo.png">
          <a:hlinkClick xmlns:r="http://schemas.openxmlformats.org/officeDocument/2006/relationships" r:id="rId454"/>
        </xdr:cNvPr>
        <xdr:cNvSpPr>
          <a:spLocks noChangeAspect="1" noChangeArrowheads="1"/>
        </xdr:cNvSpPr>
      </xdr:nvSpPr>
      <xdr:spPr bwMode="auto">
        <a:xfrm>
          <a:off x="13411200" y="9265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69" name="AutoShape 901" descr="TURKEY"/>
        <xdr:cNvSpPr>
          <a:spLocks noChangeAspect="1" noChangeArrowheads="1"/>
        </xdr:cNvSpPr>
      </xdr:nvSpPr>
      <xdr:spPr bwMode="auto">
        <a:xfrm>
          <a:off x="0" y="92834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70" name="AutoShape 902" descr="https://www.soccerstats.com/img/own/sshplogo.png">
          <a:hlinkClick xmlns:r="http://schemas.openxmlformats.org/officeDocument/2006/relationships" r:id="rId455"/>
        </xdr:cNvPr>
        <xdr:cNvSpPr>
          <a:spLocks noChangeAspect="1" noChangeArrowheads="1"/>
        </xdr:cNvSpPr>
      </xdr:nvSpPr>
      <xdr:spPr bwMode="auto">
        <a:xfrm>
          <a:off x="13411200" y="92834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71" name="AutoShape 903" descr="TURKEY"/>
        <xdr:cNvSpPr>
          <a:spLocks noChangeAspect="1" noChangeArrowheads="1"/>
        </xdr:cNvSpPr>
      </xdr:nvSpPr>
      <xdr:spPr bwMode="auto">
        <a:xfrm>
          <a:off x="0" y="93009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72" name="AutoShape 904" descr="https://www.soccerstats.com/img/own/sshplogo.png">
          <a:hlinkClick xmlns:r="http://schemas.openxmlformats.org/officeDocument/2006/relationships" r:id="rId456"/>
        </xdr:cNvPr>
        <xdr:cNvSpPr>
          <a:spLocks noChangeAspect="1" noChangeArrowheads="1"/>
        </xdr:cNvSpPr>
      </xdr:nvSpPr>
      <xdr:spPr bwMode="auto">
        <a:xfrm>
          <a:off x="13411200" y="93009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73" name="AutoShape 905" descr="TURKEY"/>
        <xdr:cNvSpPr>
          <a:spLocks noChangeAspect="1" noChangeArrowheads="1"/>
        </xdr:cNvSpPr>
      </xdr:nvSpPr>
      <xdr:spPr bwMode="auto">
        <a:xfrm>
          <a:off x="0" y="93184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74" name="AutoShape 906" descr="https://www.soccerstats.com/img/own/sshplogo.png">
          <a:hlinkClick xmlns:r="http://schemas.openxmlformats.org/officeDocument/2006/relationships" r:id="rId457"/>
        </xdr:cNvPr>
        <xdr:cNvSpPr>
          <a:spLocks noChangeAspect="1" noChangeArrowheads="1"/>
        </xdr:cNvSpPr>
      </xdr:nvSpPr>
      <xdr:spPr bwMode="auto">
        <a:xfrm>
          <a:off x="13411200" y="93184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75" name="AutoShape 907" descr="TURKEY2"/>
        <xdr:cNvSpPr>
          <a:spLocks noChangeAspect="1" noChangeArrowheads="1"/>
        </xdr:cNvSpPr>
      </xdr:nvSpPr>
      <xdr:spPr bwMode="auto">
        <a:xfrm>
          <a:off x="0" y="93360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76" name="AutoShape 908" descr="https://www.soccerstats.com/img/own/sshplogo.png">
          <a:hlinkClick xmlns:r="http://schemas.openxmlformats.org/officeDocument/2006/relationships" r:id="rId458"/>
        </xdr:cNvPr>
        <xdr:cNvSpPr>
          <a:spLocks noChangeAspect="1" noChangeArrowheads="1"/>
        </xdr:cNvSpPr>
      </xdr:nvSpPr>
      <xdr:spPr bwMode="auto">
        <a:xfrm>
          <a:off x="13411200" y="93360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77" name="AutoShape 909" descr="TURKEY2"/>
        <xdr:cNvSpPr>
          <a:spLocks noChangeAspect="1" noChangeArrowheads="1"/>
        </xdr:cNvSpPr>
      </xdr:nvSpPr>
      <xdr:spPr bwMode="auto">
        <a:xfrm>
          <a:off x="0" y="93611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78" name="AutoShape 910" descr="https://www.soccerstats.com/img/own/sshplogo.png">
          <a:hlinkClick xmlns:r="http://schemas.openxmlformats.org/officeDocument/2006/relationships" r:id="rId459"/>
        </xdr:cNvPr>
        <xdr:cNvSpPr>
          <a:spLocks noChangeAspect="1" noChangeArrowheads="1"/>
        </xdr:cNvSpPr>
      </xdr:nvSpPr>
      <xdr:spPr bwMode="auto">
        <a:xfrm>
          <a:off x="13411200" y="9361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79" name="AutoShape 911" descr="TURKEY2"/>
        <xdr:cNvSpPr>
          <a:spLocks noChangeAspect="1" noChangeArrowheads="1"/>
        </xdr:cNvSpPr>
      </xdr:nvSpPr>
      <xdr:spPr bwMode="auto">
        <a:xfrm>
          <a:off x="0" y="93786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80" name="AutoShape 912" descr="https://www.soccerstats.com/img/own/sshplogo.png">
          <a:hlinkClick xmlns:r="http://schemas.openxmlformats.org/officeDocument/2006/relationships" r:id="rId460"/>
        </xdr:cNvPr>
        <xdr:cNvSpPr>
          <a:spLocks noChangeAspect="1" noChangeArrowheads="1"/>
        </xdr:cNvSpPr>
      </xdr:nvSpPr>
      <xdr:spPr bwMode="auto">
        <a:xfrm>
          <a:off x="13411200" y="93786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81" name="AutoShape 913" descr="TURKEY2"/>
        <xdr:cNvSpPr>
          <a:spLocks noChangeAspect="1" noChangeArrowheads="1"/>
        </xdr:cNvSpPr>
      </xdr:nvSpPr>
      <xdr:spPr bwMode="auto">
        <a:xfrm>
          <a:off x="0" y="93962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82" name="AutoShape 914" descr="https://www.soccerstats.com/img/own/sshplogo.png">
          <a:hlinkClick xmlns:r="http://schemas.openxmlformats.org/officeDocument/2006/relationships" r:id="rId461"/>
        </xdr:cNvPr>
        <xdr:cNvSpPr>
          <a:spLocks noChangeAspect="1" noChangeArrowheads="1"/>
        </xdr:cNvSpPr>
      </xdr:nvSpPr>
      <xdr:spPr bwMode="auto">
        <a:xfrm>
          <a:off x="13411200" y="93962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83" name="AutoShape 915" descr="UKRAINE"/>
        <xdr:cNvSpPr>
          <a:spLocks noChangeAspect="1" noChangeArrowheads="1"/>
        </xdr:cNvSpPr>
      </xdr:nvSpPr>
      <xdr:spPr bwMode="auto">
        <a:xfrm>
          <a:off x="0" y="94137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84" name="AutoShape 916" descr="https://www.soccerstats.com/img/own/sshplogo.png">
          <a:hlinkClick xmlns:r="http://schemas.openxmlformats.org/officeDocument/2006/relationships" r:id="rId462"/>
        </xdr:cNvPr>
        <xdr:cNvSpPr>
          <a:spLocks noChangeAspect="1" noChangeArrowheads="1"/>
        </xdr:cNvSpPr>
      </xdr:nvSpPr>
      <xdr:spPr bwMode="auto">
        <a:xfrm>
          <a:off x="13411200" y="94137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85" name="AutoShape 917" descr="UKRAINE"/>
        <xdr:cNvSpPr>
          <a:spLocks noChangeAspect="1" noChangeArrowheads="1"/>
        </xdr:cNvSpPr>
      </xdr:nvSpPr>
      <xdr:spPr bwMode="auto">
        <a:xfrm>
          <a:off x="0" y="94312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86" name="AutoShape 918" descr="https://www.soccerstats.com/img/own/sshplogo.png">
          <a:hlinkClick xmlns:r="http://schemas.openxmlformats.org/officeDocument/2006/relationships" r:id="rId463"/>
        </xdr:cNvPr>
        <xdr:cNvSpPr>
          <a:spLocks noChangeAspect="1" noChangeArrowheads="1"/>
        </xdr:cNvSpPr>
      </xdr:nvSpPr>
      <xdr:spPr bwMode="auto">
        <a:xfrm>
          <a:off x="13411200" y="94312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87" name="AutoShape 919" descr="UKRAINE"/>
        <xdr:cNvSpPr>
          <a:spLocks noChangeAspect="1" noChangeArrowheads="1"/>
        </xdr:cNvSpPr>
      </xdr:nvSpPr>
      <xdr:spPr bwMode="auto">
        <a:xfrm>
          <a:off x="0" y="94488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88" name="AutoShape 920" descr="https://www.soccerstats.com/img/own/sshplogo.png">
          <a:hlinkClick xmlns:r="http://schemas.openxmlformats.org/officeDocument/2006/relationships" r:id="rId464"/>
        </xdr:cNvPr>
        <xdr:cNvSpPr>
          <a:spLocks noChangeAspect="1" noChangeArrowheads="1"/>
        </xdr:cNvSpPr>
      </xdr:nvSpPr>
      <xdr:spPr bwMode="auto">
        <a:xfrm>
          <a:off x="13411200" y="9448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89" name="AutoShape 921" descr="URUGUAY3"/>
        <xdr:cNvSpPr>
          <a:spLocks noChangeAspect="1" noChangeArrowheads="1"/>
        </xdr:cNvSpPr>
      </xdr:nvSpPr>
      <xdr:spPr bwMode="auto">
        <a:xfrm>
          <a:off x="0" y="94663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90" name="AutoShape 922" descr="https://www.soccerstats.com/img/own/sshplogo.png">
          <a:hlinkClick xmlns:r="http://schemas.openxmlformats.org/officeDocument/2006/relationships" r:id="rId465"/>
        </xdr:cNvPr>
        <xdr:cNvSpPr>
          <a:spLocks noChangeAspect="1" noChangeArrowheads="1"/>
        </xdr:cNvSpPr>
      </xdr:nvSpPr>
      <xdr:spPr bwMode="auto">
        <a:xfrm>
          <a:off x="13411200" y="94663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91" name="AutoShape 923" descr="URUGUAY3"/>
        <xdr:cNvSpPr>
          <a:spLocks noChangeAspect="1" noChangeArrowheads="1"/>
        </xdr:cNvSpPr>
      </xdr:nvSpPr>
      <xdr:spPr bwMode="auto">
        <a:xfrm>
          <a:off x="0" y="94914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92" name="AutoShape 924" descr="https://www.soccerstats.com/img/own/sshplogo.png">
          <a:hlinkClick xmlns:r="http://schemas.openxmlformats.org/officeDocument/2006/relationships" r:id="rId466"/>
        </xdr:cNvPr>
        <xdr:cNvSpPr>
          <a:spLocks noChangeAspect="1" noChangeArrowheads="1"/>
        </xdr:cNvSpPr>
      </xdr:nvSpPr>
      <xdr:spPr bwMode="auto">
        <a:xfrm>
          <a:off x="13411200" y="94914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93" name="AutoShape 925" descr="URUGUAY3"/>
        <xdr:cNvSpPr>
          <a:spLocks noChangeAspect="1" noChangeArrowheads="1"/>
        </xdr:cNvSpPr>
      </xdr:nvSpPr>
      <xdr:spPr bwMode="auto">
        <a:xfrm>
          <a:off x="0" y="95089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94" name="AutoShape 926" descr="https://www.soccerstats.com/img/own/sshplogo.png">
          <a:hlinkClick xmlns:r="http://schemas.openxmlformats.org/officeDocument/2006/relationships" r:id="rId467"/>
        </xdr:cNvPr>
        <xdr:cNvSpPr>
          <a:spLocks noChangeAspect="1" noChangeArrowheads="1"/>
        </xdr:cNvSpPr>
      </xdr:nvSpPr>
      <xdr:spPr bwMode="auto">
        <a:xfrm>
          <a:off x="13411200" y="95089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95" name="AutoShape 927" descr="USA"/>
        <xdr:cNvSpPr>
          <a:spLocks noChangeAspect="1" noChangeArrowheads="1"/>
        </xdr:cNvSpPr>
      </xdr:nvSpPr>
      <xdr:spPr bwMode="auto">
        <a:xfrm>
          <a:off x="0" y="95265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96" name="AutoShape 928" descr="https://www.soccerstats.com/img/own/sshplogo.png">
          <a:hlinkClick xmlns:r="http://schemas.openxmlformats.org/officeDocument/2006/relationships" r:id="rId468"/>
        </xdr:cNvPr>
        <xdr:cNvSpPr>
          <a:spLocks noChangeAspect="1" noChangeArrowheads="1"/>
        </xdr:cNvSpPr>
      </xdr:nvSpPr>
      <xdr:spPr bwMode="auto">
        <a:xfrm>
          <a:off x="13411200" y="95265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97" name="AutoShape 929" descr="USA"/>
        <xdr:cNvSpPr>
          <a:spLocks noChangeAspect="1" noChangeArrowheads="1"/>
        </xdr:cNvSpPr>
      </xdr:nvSpPr>
      <xdr:spPr bwMode="auto">
        <a:xfrm>
          <a:off x="0" y="95440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198" name="AutoShape 930" descr="https://www.soccerstats.com/img/own/sshplogo.png">
          <a:hlinkClick xmlns:r="http://schemas.openxmlformats.org/officeDocument/2006/relationships" r:id="rId469"/>
        </xdr:cNvPr>
        <xdr:cNvSpPr>
          <a:spLocks noChangeAspect="1" noChangeArrowheads="1"/>
        </xdr:cNvSpPr>
      </xdr:nvSpPr>
      <xdr:spPr bwMode="auto">
        <a:xfrm>
          <a:off x="13411200" y="9544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199" name="AutoShape 931" descr="USA"/>
        <xdr:cNvSpPr>
          <a:spLocks noChangeAspect="1" noChangeArrowheads="1"/>
        </xdr:cNvSpPr>
      </xdr:nvSpPr>
      <xdr:spPr bwMode="auto">
        <a:xfrm>
          <a:off x="0" y="95615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200" name="AutoShape 932" descr="https://www.soccerstats.com/img/own/sshplogo.png">
          <a:hlinkClick xmlns:r="http://schemas.openxmlformats.org/officeDocument/2006/relationships" r:id="rId470"/>
        </xdr:cNvPr>
        <xdr:cNvSpPr>
          <a:spLocks noChangeAspect="1" noChangeArrowheads="1"/>
        </xdr:cNvSpPr>
      </xdr:nvSpPr>
      <xdr:spPr bwMode="auto">
        <a:xfrm>
          <a:off x="13411200" y="95615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01" name="AutoShape 933" descr="USA"/>
        <xdr:cNvSpPr>
          <a:spLocks noChangeAspect="1" noChangeArrowheads="1"/>
        </xdr:cNvSpPr>
      </xdr:nvSpPr>
      <xdr:spPr bwMode="auto">
        <a:xfrm>
          <a:off x="0" y="95867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202" name="AutoShape 934" descr="https://www.soccerstats.com/img/own/sshplogo.png">
          <a:hlinkClick xmlns:r="http://schemas.openxmlformats.org/officeDocument/2006/relationships" r:id="rId471"/>
        </xdr:cNvPr>
        <xdr:cNvSpPr>
          <a:spLocks noChangeAspect="1" noChangeArrowheads="1"/>
        </xdr:cNvSpPr>
      </xdr:nvSpPr>
      <xdr:spPr bwMode="auto">
        <a:xfrm>
          <a:off x="13411200" y="95867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03" name="AutoShape 935" descr="USA"/>
        <xdr:cNvSpPr>
          <a:spLocks noChangeAspect="1" noChangeArrowheads="1"/>
        </xdr:cNvSpPr>
      </xdr:nvSpPr>
      <xdr:spPr bwMode="auto">
        <a:xfrm>
          <a:off x="0" y="96042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204" name="AutoShape 936" descr="https://www.soccerstats.com/img/own/sshplogo.png">
          <a:hlinkClick xmlns:r="http://schemas.openxmlformats.org/officeDocument/2006/relationships" r:id="rId472"/>
        </xdr:cNvPr>
        <xdr:cNvSpPr>
          <a:spLocks noChangeAspect="1" noChangeArrowheads="1"/>
        </xdr:cNvSpPr>
      </xdr:nvSpPr>
      <xdr:spPr bwMode="auto">
        <a:xfrm>
          <a:off x="13411200" y="96042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05" name="AutoShape 937" descr="USA2"/>
        <xdr:cNvSpPr>
          <a:spLocks noChangeAspect="1" noChangeArrowheads="1"/>
        </xdr:cNvSpPr>
      </xdr:nvSpPr>
      <xdr:spPr bwMode="auto">
        <a:xfrm>
          <a:off x="0" y="96217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206" name="AutoShape 938" descr="https://www.soccerstats.com/img/own/sshplogo.png">
          <a:hlinkClick xmlns:r="http://schemas.openxmlformats.org/officeDocument/2006/relationships" r:id="rId473"/>
        </xdr:cNvPr>
        <xdr:cNvSpPr>
          <a:spLocks noChangeAspect="1" noChangeArrowheads="1"/>
        </xdr:cNvSpPr>
      </xdr:nvSpPr>
      <xdr:spPr bwMode="auto">
        <a:xfrm>
          <a:off x="13411200" y="96217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07" name="AutoShape 939" descr="USA2"/>
        <xdr:cNvSpPr>
          <a:spLocks noChangeAspect="1" noChangeArrowheads="1"/>
        </xdr:cNvSpPr>
      </xdr:nvSpPr>
      <xdr:spPr bwMode="auto">
        <a:xfrm>
          <a:off x="0" y="96393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208" name="AutoShape 940" descr="https://www.soccerstats.com/img/own/sshplogo.png">
          <a:hlinkClick xmlns:r="http://schemas.openxmlformats.org/officeDocument/2006/relationships" r:id="rId474"/>
        </xdr:cNvPr>
        <xdr:cNvSpPr>
          <a:spLocks noChangeAspect="1" noChangeArrowheads="1"/>
        </xdr:cNvSpPr>
      </xdr:nvSpPr>
      <xdr:spPr bwMode="auto">
        <a:xfrm>
          <a:off x="13411200" y="9639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09" name="AutoShape 941" descr="USA2"/>
        <xdr:cNvSpPr>
          <a:spLocks noChangeAspect="1" noChangeArrowheads="1"/>
        </xdr:cNvSpPr>
      </xdr:nvSpPr>
      <xdr:spPr bwMode="auto">
        <a:xfrm>
          <a:off x="0" y="96568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210" name="AutoShape 942" descr="https://www.soccerstats.com/img/own/sshplogo.png">
          <a:hlinkClick xmlns:r="http://schemas.openxmlformats.org/officeDocument/2006/relationships" r:id="rId475"/>
        </xdr:cNvPr>
        <xdr:cNvSpPr>
          <a:spLocks noChangeAspect="1" noChangeArrowheads="1"/>
        </xdr:cNvSpPr>
      </xdr:nvSpPr>
      <xdr:spPr bwMode="auto">
        <a:xfrm>
          <a:off x="13411200" y="96568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11" name="AutoShape 943" descr="USA2"/>
        <xdr:cNvSpPr>
          <a:spLocks noChangeAspect="1" noChangeArrowheads="1"/>
        </xdr:cNvSpPr>
      </xdr:nvSpPr>
      <xdr:spPr bwMode="auto">
        <a:xfrm>
          <a:off x="0" y="96743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212" name="AutoShape 944" descr="https://www.soccerstats.com/img/own/sshplogo.png">
          <a:hlinkClick xmlns:r="http://schemas.openxmlformats.org/officeDocument/2006/relationships" r:id="rId476"/>
        </xdr:cNvPr>
        <xdr:cNvSpPr>
          <a:spLocks noChangeAspect="1" noChangeArrowheads="1"/>
        </xdr:cNvSpPr>
      </xdr:nvSpPr>
      <xdr:spPr bwMode="auto">
        <a:xfrm>
          <a:off x="13411200" y="96743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13" name="AutoShape 945" descr="USA2"/>
        <xdr:cNvSpPr>
          <a:spLocks noChangeAspect="1" noChangeArrowheads="1"/>
        </xdr:cNvSpPr>
      </xdr:nvSpPr>
      <xdr:spPr bwMode="auto">
        <a:xfrm>
          <a:off x="0" y="96918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214" name="AutoShape 946" descr="https://www.soccerstats.com/img/own/sshplogo.png">
          <a:hlinkClick xmlns:r="http://schemas.openxmlformats.org/officeDocument/2006/relationships" r:id="rId477"/>
        </xdr:cNvPr>
        <xdr:cNvSpPr>
          <a:spLocks noChangeAspect="1" noChangeArrowheads="1"/>
        </xdr:cNvSpPr>
      </xdr:nvSpPr>
      <xdr:spPr bwMode="auto">
        <a:xfrm>
          <a:off x="13411200" y="96918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15" name="AutoShape 947" descr="USA3"/>
        <xdr:cNvSpPr>
          <a:spLocks noChangeAspect="1" noChangeArrowheads="1"/>
        </xdr:cNvSpPr>
      </xdr:nvSpPr>
      <xdr:spPr bwMode="auto">
        <a:xfrm>
          <a:off x="0" y="97094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216" name="AutoShape 948" descr="https://www.soccerstats.com/img/own/sshplogo.png">
          <a:hlinkClick xmlns:r="http://schemas.openxmlformats.org/officeDocument/2006/relationships" r:id="rId478"/>
        </xdr:cNvPr>
        <xdr:cNvSpPr>
          <a:spLocks noChangeAspect="1" noChangeArrowheads="1"/>
        </xdr:cNvSpPr>
      </xdr:nvSpPr>
      <xdr:spPr bwMode="auto">
        <a:xfrm>
          <a:off x="13411200" y="97094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17" name="AutoShape 949" descr="USA3"/>
        <xdr:cNvSpPr>
          <a:spLocks noChangeAspect="1" noChangeArrowheads="1"/>
        </xdr:cNvSpPr>
      </xdr:nvSpPr>
      <xdr:spPr bwMode="auto">
        <a:xfrm>
          <a:off x="0" y="97269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218" name="AutoShape 950" descr="https://www.soccerstats.com/img/own/sshplogo.png">
          <a:hlinkClick xmlns:r="http://schemas.openxmlformats.org/officeDocument/2006/relationships" r:id="rId479"/>
        </xdr:cNvPr>
        <xdr:cNvSpPr>
          <a:spLocks noChangeAspect="1" noChangeArrowheads="1"/>
        </xdr:cNvSpPr>
      </xdr:nvSpPr>
      <xdr:spPr bwMode="auto">
        <a:xfrm>
          <a:off x="13411200" y="9726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19" name="AutoShape 951" descr="USA3"/>
        <xdr:cNvSpPr>
          <a:spLocks noChangeAspect="1" noChangeArrowheads="1"/>
        </xdr:cNvSpPr>
      </xdr:nvSpPr>
      <xdr:spPr bwMode="auto">
        <a:xfrm>
          <a:off x="0" y="97444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220" name="AutoShape 952" descr="https://www.soccerstats.com/img/own/sshplogo.png">
          <a:hlinkClick xmlns:r="http://schemas.openxmlformats.org/officeDocument/2006/relationships" r:id="rId480"/>
        </xdr:cNvPr>
        <xdr:cNvSpPr>
          <a:spLocks noChangeAspect="1" noChangeArrowheads="1"/>
        </xdr:cNvSpPr>
      </xdr:nvSpPr>
      <xdr:spPr bwMode="auto">
        <a:xfrm>
          <a:off x="13411200" y="97444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21" name="AutoShape 953" descr="USA3"/>
        <xdr:cNvSpPr>
          <a:spLocks noChangeAspect="1" noChangeArrowheads="1"/>
        </xdr:cNvSpPr>
      </xdr:nvSpPr>
      <xdr:spPr bwMode="auto">
        <a:xfrm>
          <a:off x="0" y="97619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222" name="AutoShape 954" descr="https://www.soccerstats.com/img/own/sshplogo.png">
          <a:hlinkClick xmlns:r="http://schemas.openxmlformats.org/officeDocument/2006/relationships" r:id="rId481"/>
        </xdr:cNvPr>
        <xdr:cNvSpPr>
          <a:spLocks noChangeAspect="1" noChangeArrowheads="1"/>
        </xdr:cNvSpPr>
      </xdr:nvSpPr>
      <xdr:spPr bwMode="auto">
        <a:xfrm>
          <a:off x="13411200" y="97619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23" name="AutoShape 955" descr="USA3"/>
        <xdr:cNvSpPr>
          <a:spLocks noChangeAspect="1" noChangeArrowheads="1"/>
        </xdr:cNvSpPr>
      </xdr:nvSpPr>
      <xdr:spPr bwMode="auto">
        <a:xfrm>
          <a:off x="0" y="9787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224" name="AutoShape 956" descr="https://www.soccerstats.com/img/own/sshplogo.png">
          <a:hlinkClick xmlns:r="http://schemas.openxmlformats.org/officeDocument/2006/relationships" r:id="rId482"/>
        </xdr:cNvPr>
        <xdr:cNvSpPr>
          <a:spLocks noChangeAspect="1" noChangeArrowheads="1"/>
        </xdr:cNvSpPr>
      </xdr:nvSpPr>
      <xdr:spPr bwMode="auto">
        <a:xfrm>
          <a:off x="13411200" y="9787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25" name="AutoShape 957" descr="USA6"/>
        <xdr:cNvSpPr>
          <a:spLocks noChangeAspect="1" noChangeArrowheads="1"/>
        </xdr:cNvSpPr>
      </xdr:nvSpPr>
      <xdr:spPr bwMode="auto">
        <a:xfrm>
          <a:off x="0" y="98122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226" name="AutoShape 958" descr="https://www.soccerstats.com/img/own/sshplogo.png">
          <a:hlinkClick xmlns:r="http://schemas.openxmlformats.org/officeDocument/2006/relationships" r:id="rId483"/>
        </xdr:cNvPr>
        <xdr:cNvSpPr>
          <a:spLocks noChangeAspect="1" noChangeArrowheads="1"/>
        </xdr:cNvSpPr>
      </xdr:nvSpPr>
      <xdr:spPr bwMode="auto">
        <a:xfrm>
          <a:off x="13411200" y="98122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27" name="AutoShape 959" descr="USA6"/>
        <xdr:cNvSpPr>
          <a:spLocks noChangeAspect="1" noChangeArrowheads="1"/>
        </xdr:cNvSpPr>
      </xdr:nvSpPr>
      <xdr:spPr bwMode="auto">
        <a:xfrm>
          <a:off x="0" y="98374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228" name="AutoShape 960" descr="https://www.soccerstats.com/img/own/sshplogo.png">
          <a:hlinkClick xmlns:r="http://schemas.openxmlformats.org/officeDocument/2006/relationships" r:id="rId484"/>
        </xdr:cNvPr>
        <xdr:cNvSpPr>
          <a:spLocks noChangeAspect="1" noChangeArrowheads="1"/>
        </xdr:cNvSpPr>
      </xdr:nvSpPr>
      <xdr:spPr bwMode="auto">
        <a:xfrm>
          <a:off x="13411200" y="98374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29" name="AutoShape 961" descr="USA6"/>
        <xdr:cNvSpPr>
          <a:spLocks noChangeAspect="1" noChangeArrowheads="1"/>
        </xdr:cNvSpPr>
      </xdr:nvSpPr>
      <xdr:spPr bwMode="auto">
        <a:xfrm>
          <a:off x="0" y="98625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230" name="AutoShape 962" descr="https://www.soccerstats.com/img/own/sshplogo.png">
          <a:hlinkClick xmlns:r="http://schemas.openxmlformats.org/officeDocument/2006/relationships" r:id="rId485"/>
        </xdr:cNvPr>
        <xdr:cNvSpPr>
          <a:spLocks noChangeAspect="1" noChangeArrowheads="1"/>
        </xdr:cNvSpPr>
      </xdr:nvSpPr>
      <xdr:spPr bwMode="auto">
        <a:xfrm>
          <a:off x="13411200" y="98625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31" name="AutoShape 963" descr="USA6"/>
        <xdr:cNvSpPr>
          <a:spLocks noChangeAspect="1" noChangeArrowheads="1"/>
        </xdr:cNvSpPr>
      </xdr:nvSpPr>
      <xdr:spPr bwMode="auto">
        <a:xfrm>
          <a:off x="0" y="98877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232" name="AutoShape 964" descr="https://www.soccerstats.com/img/own/sshplogo.png">
          <a:hlinkClick xmlns:r="http://schemas.openxmlformats.org/officeDocument/2006/relationships" r:id="rId486"/>
        </xdr:cNvPr>
        <xdr:cNvSpPr>
          <a:spLocks noChangeAspect="1" noChangeArrowheads="1"/>
        </xdr:cNvSpPr>
      </xdr:nvSpPr>
      <xdr:spPr bwMode="auto">
        <a:xfrm>
          <a:off x="13411200" y="98877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33" name="AutoShape 965" descr="USA6"/>
        <xdr:cNvSpPr>
          <a:spLocks noChangeAspect="1" noChangeArrowheads="1"/>
        </xdr:cNvSpPr>
      </xdr:nvSpPr>
      <xdr:spPr bwMode="auto">
        <a:xfrm>
          <a:off x="0" y="99128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234" name="AutoShape 966" descr="https://www.soccerstats.com/img/own/sshplogo.png">
          <a:hlinkClick xmlns:r="http://schemas.openxmlformats.org/officeDocument/2006/relationships" r:id="rId487"/>
        </xdr:cNvPr>
        <xdr:cNvSpPr>
          <a:spLocks noChangeAspect="1" noChangeArrowheads="1"/>
        </xdr:cNvSpPr>
      </xdr:nvSpPr>
      <xdr:spPr bwMode="auto">
        <a:xfrm>
          <a:off x="13411200" y="99128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35" name="AutoShape 967" descr="USA7"/>
        <xdr:cNvSpPr>
          <a:spLocks noChangeAspect="1" noChangeArrowheads="1"/>
        </xdr:cNvSpPr>
      </xdr:nvSpPr>
      <xdr:spPr bwMode="auto">
        <a:xfrm>
          <a:off x="0" y="99380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236" name="AutoShape 968" descr="https://www.soccerstats.com/img/own/sshplogo.png">
          <a:hlinkClick xmlns:r="http://schemas.openxmlformats.org/officeDocument/2006/relationships" r:id="rId488"/>
        </xdr:cNvPr>
        <xdr:cNvSpPr>
          <a:spLocks noChangeAspect="1" noChangeArrowheads="1"/>
        </xdr:cNvSpPr>
      </xdr:nvSpPr>
      <xdr:spPr bwMode="auto">
        <a:xfrm>
          <a:off x="13411200" y="99380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37" name="AutoShape 969" descr="USA7"/>
        <xdr:cNvSpPr>
          <a:spLocks noChangeAspect="1" noChangeArrowheads="1"/>
        </xdr:cNvSpPr>
      </xdr:nvSpPr>
      <xdr:spPr bwMode="auto">
        <a:xfrm>
          <a:off x="0" y="99555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238" name="AutoShape 970" descr="https://www.soccerstats.com/img/own/sshplogo.png">
          <a:hlinkClick xmlns:r="http://schemas.openxmlformats.org/officeDocument/2006/relationships" r:id="rId489"/>
        </xdr:cNvPr>
        <xdr:cNvSpPr>
          <a:spLocks noChangeAspect="1" noChangeArrowheads="1"/>
        </xdr:cNvSpPr>
      </xdr:nvSpPr>
      <xdr:spPr bwMode="auto">
        <a:xfrm>
          <a:off x="13411200" y="9955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39" name="AutoShape 971" descr="USA7"/>
        <xdr:cNvSpPr>
          <a:spLocks noChangeAspect="1" noChangeArrowheads="1"/>
        </xdr:cNvSpPr>
      </xdr:nvSpPr>
      <xdr:spPr bwMode="auto">
        <a:xfrm>
          <a:off x="0" y="99730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240" name="AutoShape 972" descr="https://www.soccerstats.com/img/own/sshplogo.png">
          <a:hlinkClick xmlns:r="http://schemas.openxmlformats.org/officeDocument/2006/relationships" r:id="rId490"/>
        </xdr:cNvPr>
        <xdr:cNvSpPr>
          <a:spLocks noChangeAspect="1" noChangeArrowheads="1"/>
        </xdr:cNvSpPr>
      </xdr:nvSpPr>
      <xdr:spPr bwMode="auto">
        <a:xfrm>
          <a:off x="13411200" y="99730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41" name="AutoShape 973" descr="WALES"/>
        <xdr:cNvSpPr>
          <a:spLocks noChangeAspect="1" noChangeArrowheads="1"/>
        </xdr:cNvSpPr>
      </xdr:nvSpPr>
      <xdr:spPr bwMode="auto">
        <a:xfrm>
          <a:off x="0" y="99982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242" name="AutoShape 974" descr="https://www.soccerstats.com/img/own/sshplogo.png">
          <a:hlinkClick xmlns:r="http://schemas.openxmlformats.org/officeDocument/2006/relationships" r:id="rId491"/>
        </xdr:cNvPr>
        <xdr:cNvSpPr>
          <a:spLocks noChangeAspect="1" noChangeArrowheads="1"/>
        </xdr:cNvSpPr>
      </xdr:nvSpPr>
      <xdr:spPr bwMode="auto">
        <a:xfrm>
          <a:off x="13411200" y="99982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3243" name="AutoShape 975" descr="WALES"/>
        <xdr:cNvSpPr>
          <a:spLocks noChangeAspect="1" noChangeArrowheads="1"/>
        </xdr:cNvSpPr>
      </xdr:nvSpPr>
      <xdr:spPr bwMode="auto">
        <a:xfrm>
          <a:off x="0" y="100157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3244" name="AutoShape 976" descr="https://www.soccerstats.com/img/own/sshplogo.png">
          <a:hlinkClick xmlns:r="http://schemas.openxmlformats.org/officeDocument/2006/relationships" r:id="rId492"/>
        </xdr:cNvPr>
        <xdr:cNvSpPr>
          <a:spLocks noChangeAspect="1" noChangeArrowheads="1"/>
        </xdr:cNvSpPr>
      </xdr:nvSpPr>
      <xdr:spPr bwMode="auto">
        <a:xfrm>
          <a:off x="13411200" y="100157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45" name="AutoShape 977" descr="SPAIN"/>
        <xdr:cNvSpPr>
          <a:spLocks noChangeAspect="1" noChangeArrowheads="1"/>
        </xdr:cNvSpPr>
      </xdr:nvSpPr>
      <xdr:spPr bwMode="auto">
        <a:xfrm>
          <a:off x="0" y="17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46" name="AutoShape 978" descr="https://www.soccerstats.com/img/own/sshplogo.png">
          <a:hlinkClick xmlns:r="http://schemas.openxmlformats.org/officeDocument/2006/relationships" r:id="rId659"/>
        </xdr:cNvPr>
        <xdr:cNvSpPr>
          <a:spLocks noChangeAspect="1" noChangeArrowheads="1"/>
        </xdr:cNvSpPr>
      </xdr:nvSpPr>
      <xdr:spPr bwMode="auto">
        <a:xfrm>
          <a:off x="13411200" y="17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152400</xdr:colOff>
      <xdr:row>2</xdr:row>
      <xdr:rowOff>106680</xdr:rowOff>
    </xdr:to>
    <xdr:sp macro="" textlink="">
      <xdr:nvSpPr>
        <xdr:cNvPr id="3247" name="AutoShape 979" descr="SPAIN"/>
        <xdr:cNvSpPr>
          <a:spLocks noChangeAspect="1" noChangeArrowheads="1"/>
        </xdr:cNvSpPr>
      </xdr:nvSpPr>
      <xdr:spPr bwMode="auto">
        <a:xfrm>
          <a:off x="0" y="350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</xdr:row>
      <xdr:rowOff>0</xdr:rowOff>
    </xdr:from>
    <xdr:to>
      <xdr:col>22</xdr:col>
      <xdr:colOff>304800</xdr:colOff>
      <xdr:row>3</xdr:row>
      <xdr:rowOff>129540</xdr:rowOff>
    </xdr:to>
    <xdr:sp macro="" textlink="">
      <xdr:nvSpPr>
        <xdr:cNvPr id="3248" name="AutoShape 980" descr="https://www.soccerstats.com/img/own/sshplogo.png">
          <a:hlinkClick xmlns:r="http://schemas.openxmlformats.org/officeDocument/2006/relationships" r:id="rId660"/>
        </xdr:cNvPr>
        <xdr:cNvSpPr>
          <a:spLocks noChangeAspect="1" noChangeArrowheads="1"/>
        </xdr:cNvSpPr>
      </xdr:nvSpPr>
      <xdr:spPr bwMode="auto">
        <a:xfrm>
          <a:off x="13411200" y="350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152400</xdr:colOff>
      <xdr:row>3</xdr:row>
      <xdr:rowOff>106680</xdr:rowOff>
    </xdr:to>
    <xdr:sp macro="" textlink="">
      <xdr:nvSpPr>
        <xdr:cNvPr id="3249" name="AutoShape 981" descr="SPAIN"/>
        <xdr:cNvSpPr>
          <a:spLocks noChangeAspect="1" noChangeArrowheads="1"/>
        </xdr:cNvSpPr>
      </xdr:nvSpPr>
      <xdr:spPr bwMode="auto">
        <a:xfrm>
          <a:off x="0" y="525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</xdr:row>
      <xdr:rowOff>0</xdr:rowOff>
    </xdr:from>
    <xdr:to>
      <xdr:col>22</xdr:col>
      <xdr:colOff>304800</xdr:colOff>
      <xdr:row>4</xdr:row>
      <xdr:rowOff>53340</xdr:rowOff>
    </xdr:to>
    <xdr:sp macro="" textlink="">
      <xdr:nvSpPr>
        <xdr:cNvPr id="3250" name="AutoShape 982" descr="https://www.soccerstats.com/img/own/sshplogo.png">
          <a:hlinkClick xmlns:r="http://schemas.openxmlformats.org/officeDocument/2006/relationships" r:id="rId661"/>
        </xdr:cNvPr>
        <xdr:cNvSpPr>
          <a:spLocks noChangeAspect="1" noChangeArrowheads="1"/>
        </xdr:cNvSpPr>
      </xdr:nvSpPr>
      <xdr:spPr bwMode="auto">
        <a:xfrm>
          <a:off x="13411200" y="525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152400</xdr:colOff>
      <xdr:row>4</xdr:row>
      <xdr:rowOff>106680</xdr:rowOff>
    </xdr:to>
    <xdr:sp macro="" textlink="">
      <xdr:nvSpPr>
        <xdr:cNvPr id="3251" name="AutoShape 983" descr="NETHERLANDS"/>
        <xdr:cNvSpPr>
          <a:spLocks noChangeAspect="1" noChangeArrowheads="1"/>
        </xdr:cNvSpPr>
      </xdr:nvSpPr>
      <xdr:spPr bwMode="auto">
        <a:xfrm>
          <a:off x="0" y="701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</xdr:row>
      <xdr:rowOff>0</xdr:rowOff>
    </xdr:from>
    <xdr:to>
      <xdr:col>22</xdr:col>
      <xdr:colOff>304800</xdr:colOff>
      <xdr:row>5</xdr:row>
      <xdr:rowOff>53340</xdr:rowOff>
    </xdr:to>
    <xdr:sp macro="" textlink="">
      <xdr:nvSpPr>
        <xdr:cNvPr id="3252" name="AutoShape 984" descr="https://www.soccerstats.com/img/own/sshplogo.png">
          <a:hlinkClick xmlns:r="http://schemas.openxmlformats.org/officeDocument/2006/relationships" r:id="rId662"/>
        </xdr:cNvPr>
        <xdr:cNvSpPr>
          <a:spLocks noChangeAspect="1" noChangeArrowheads="1"/>
        </xdr:cNvSpPr>
      </xdr:nvSpPr>
      <xdr:spPr bwMode="auto">
        <a:xfrm>
          <a:off x="13411200" y="701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152400</xdr:colOff>
      <xdr:row>5</xdr:row>
      <xdr:rowOff>106680</xdr:rowOff>
    </xdr:to>
    <xdr:sp macro="" textlink="">
      <xdr:nvSpPr>
        <xdr:cNvPr id="3253" name="AutoShape 985" descr="NETHERLANDS"/>
        <xdr:cNvSpPr>
          <a:spLocks noChangeAspect="1" noChangeArrowheads="1"/>
        </xdr:cNvSpPr>
      </xdr:nvSpPr>
      <xdr:spPr bwMode="auto">
        <a:xfrm>
          <a:off x="0" y="952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304800</xdr:colOff>
      <xdr:row>6</xdr:row>
      <xdr:rowOff>53340</xdr:rowOff>
    </xdr:to>
    <xdr:sp macro="" textlink="">
      <xdr:nvSpPr>
        <xdr:cNvPr id="3254" name="AutoShape 986" descr="https://www.soccerstats.com/img/own/sshplogo.png">
          <a:hlinkClick xmlns:r="http://schemas.openxmlformats.org/officeDocument/2006/relationships" r:id="rId663"/>
        </xdr:cNvPr>
        <xdr:cNvSpPr>
          <a:spLocks noChangeAspect="1" noChangeArrowheads="1"/>
        </xdr:cNvSpPr>
      </xdr:nvSpPr>
      <xdr:spPr bwMode="auto">
        <a:xfrm>
          <a:off x="13411200" y="95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152400</xdr:colOff>
      <xdr:row>6</xdr:row>
      <xdr:rowOff>106680</xdr:rowOff>
    </xdr:to>
    <xdr:sp macro="" textlink="">
      <xdr:nvSpPr>
        <xdr:cNvPr id="3255" name="AutoShape 987" descr="NETHERLANDS"/>
        <xdr:cNvSpPr>
          <a:spLocks noChangeAspect="1" noChangeArrowheads="1"/>
        </xdr:cNvSpPr>
      </xdr:nvSpPr>
      <xdr:spPr bwMode="auto">
        <a:xfrm>
          <a:off x="0" y="1127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</xdr:row>
      <xdr:rowOff>0</xdr:rowOff>
    </xdr:from>
    <xdr:to>
      <xdr:col>22</xdr:col>
      <xdr:colOff>304800</xdr:colOff>
      <xdr:row>7</xdr:row>
      <xdr:rowOff>129540</xdr:rowOff>
    </xdr:to>
    <xdr:sp macro="" textlink="">
      <xdr:nvSpPr>
        <xdr:cNvPr id="3256" name="AutoShape 988" descr="https://www.soccerstats.com/img/own/sshplogo.png">
          <a:hlinkClick xmlns:r="http://schemas.openxmlformats.org/officeDocument/2006/relationships" r:id="rId664"/>
        </xdr:cNvPr>
        <xdr:cNvSpPr>
          <a:spLocks noChangeAspect="1" noChangeArrowheads="1"/>
        </xdr:cNvSpPr>
      </xdr:nvSpPr>
      <xdr:spPr bwMode="auto">
        <a:xfrm>
          <a:off x="13411200" y="1127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152400</xdr:colOff>
      <xdr:row>7</xdr:row>
      <xdr:rowOff>106680</xdr:rowOff>
    </xdr:to>
    <xdr:sp macro="" textlink="">
      <xdr:nvSpPr>
        <xdr:cNvPr id="3257" name="AutoShape 989" descr="NETHERLANDS"/>
        <xdr:cNvSpPr>
          <a:spLocks noChangeAspect="1" noChangeArrowheads="1"/>
        </xdr:cNvSpPr>
      </xdr:nvSpPr>
      <xdr:spPr bwMode="auto">
        <a:xfrm>
          <a:off x="0" y="1379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</xdr:row>
      <xdr:rowOff>0</xdr:rowOff>
    </xdr:from>
    <xdr:to>
      <xdr:col>22</xdr:col>
      <xdr:colOff>304800</xdr:colOff>
      <xdr:row>8</xdr:row>
      <xdr:rowOff>129540</xdr:rowOff>
    </xdr:to>
    <xdr:sp macro="" textlink="">
      <xdr:nvSpPr>
        <xdr:cNvPr id="3258" name="AutoShape 990" descr="https://www.soccerstats.com/img/own/sshplogo.png">
          <a:hlinkClick xmlns:r="http://schemas.openxmlformats.org/officeDocument/2006/relationships" r:id="rId665"/>
        </xdr:cNvPr>
        <xdr:cNvSpPr>
          <a:spLocks noChangeAspect="1" noChangeArrowheads="1"/>
        </xdr:cNvSpPr>
      </xdr:nvSpPr>
      <xdr:spPr bwMode="auto">
        <a:xfrm>
          <a:off x="13411200" y="1379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152400</xdr:colOff>
      <xdr:row>8</xdr:row>
      <xdr:rowOff>106680</xdr:rowOff>
    </xdr:to>
    <xdr:sp macro="" textlink="">
      <xdr:nvSpPr>
        <xdr:cNvPr id="3259" name="AutoShape 991" descr="PORTUGAL"/>
        <xdr:cNvSpPr>
          <a:spLocks noChangeAspect="1" noChangeArrowheads="1"/>
        </xdr:cNvSpPr>
      </xdr:nvSpPr>
      <xdr:spPr bwMode="auto">
        <a:xfrm>
          <a:off x="0" y="1630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</xdr:row>
      <xdr:rowOff>0</xdr:rowOff>
    </xdr:from>
    <xdr:to>
      <xdr:col>22</xdr:col>
      <xdr:colOff>304800</xdr:colOff>
      <xdr:row>9</xdr:row>
      <xdr:rowOff>129540</xdr:rowOff>
    </xdr:to>
    <xdr:sp macro="" textlink="">
      <xdr:nvSpPr>
        <xdr:cNvPr id="3260" name="AutoShape 992" descr="https://www.soccerstats.com/img/own/sshplogo.png">
          <a:hlinkClick xmlns:r="http://schemas.openxmlformats.org/officeDocument/2006/relationships" r:id="rId666"/>
        </xdr:cNvPr>
        <xdr:cNvSpPr>
          <a:spLocks noChangeAspect="1" noChangeArrowheads="1"/>
        </xdr:cNvSpPr>
      </xdr:nvSpPr>
      <xdr:spPr bwMode="auto">
        <a:xfrm>
          <a:off x="13411200" y="1630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152400</xdr:colOff>
      <xdr:row>9</xdr:row>
      <xdr:rowOff>106680</xdr:rowOff>
    </xdr:to>
    <xdr:sp macro="" textlink="">
      <xdr:nvSpPr>
        <xdr:cNvPr id="3261" name="AutoShape 993" descr="PORTUGAL"/>
        <xdr:cNvSpPr>
          <a:spLocks noChangeAspect="1" noChangeArrowheads="1"/>
        </xdr:cNvSpPr>
      </xdr:nvSpPr>
      <xdr:spPr bwMode="auto">
        <a:xfrm>
          <a:off x="0" y="1805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</xdr:row>
      <xdr:rowOff>0</xdr:rowOff>
    </xdr:from>
    <xdr:to>
      <xdr:col>22</xdr:col>
      <xdr:colOff>304800</xdr:colOff>
      <xdr:row>10</xdr:row>
      <xdr:rowOff>129540</xdr:rowOff>
    </xdr:to>
    <xdr:sp macro="" textlink="">
      <xdr:nvSpPr>
        <xdr:cNvPr id="3262" name="AutoShape 994" descr="https://www.soccerstats.com/img/own/sshplogo.png">
          <a:hlinkClick xmlns:r="http://schemas.openxmlformats.org/officeDocument/2006/relationships" r:id="rId667"/>
        </xdr:cNvPr>
        <xdr:cNvSpPr>
          <a:spLocks noChangeAspect="1" noChangeArrowheads="1"/>
        </xdr:cNvSpPr>
      </xdr:nvSpPr>
      <xdr:spPr bwMode="auto">
        <a:xfrm>
          <a:off x="13411200" y="1805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152400</xdr:colOff>
      <xdr:row>10</xdr:row>
      <xdr:rowOff>106680</xdr:rowOff>
    </xdr:to>
    <xdr:sp macro="" textlink="">
      <xdr:nvSpPr>
        <xdr:cNvPr id="3263" name="AutoShape 995" descr="PORTUGAL"/>
        <xdr:cNvSpPr>
          <a:spLocks noChangeAspect="1" noChangeArrowheads="1"/>
        </xdr:cNvSpPr>
      </xdr:nvSpPr>
      <xdr:spPr bwMode="auto">
        <a:xfrm>
          <a:off x="0" y="1981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</xdr:row>
      <xdr:rowOff>0</xdr:rowOff>
    </xdr:from>
    <xdr:to>
      <xdr:col>22</xdr:col>
      <xdr:colOff>304800</xdr:colOff>
      <xdr:row>11</xdr:row>
      <xdr:rowOff>129540</xdr:rowOff>
    </xdr:to>
    <xdr:sp macro="" textlink="">
      <xdr:nvSpPr>
        <xdr:cNvPr id="3264" name="AutoShape 996" descr="https://www.soccerstats.com/img/own/sshplogo.png">
          <a:hlinkClick xmlns:r="http://schemas.openxmlformats.org/officeDocument/2006/relationships" r:id="rId668"/>
        </xdr:cNvPr>
        <xdr:cNvSpPr>
          <a:spLocks noChangeAspect="1" noChangeArrowheads="1"/>
        </xdr:cNvSpPr>
      </xdr:nvSpPr>
      <xdr:spPr bwMode="auto">
        <a:xfrm>
          <a:off x="13411200" y="1981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152400</xdr:colOff>
      <xdr:row>11</xdr:row>
      <xdr:rowOff>106680</xdr:rowOff>
    </xdr:to>
    <xdr:sp macro="" textlink="">
      <xdr:nvSpPr>
        <xdr:cNvPr id="3265" name="AutoShape 997" descr="PORTUGAL"/>
        <xdr:cNvSpPr>
          <a:spLocks noChangeAspect="1" noChangeArrowheads="1"/>
        </xdr:cNvSpPr>
      </xdr:nvSpPr>
      <xdr:spPr bwMode="auto">
        <a:xfrm>
          <a:off x="0" y="2156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</xdr:row>
      <xdr:rowOff>0</xdr:rowOff>
    </xdr:from>
    <xdr:to>
      <xdr:col>22</xdr:col>
      <xdr:colOff>304800</xdr:colOff>
      <xdr:row>12</xdr:row>
      <xdr:rowOff>129540</xdr:rowOff>
    </xdr:to>
    <xdr:sp macro="" textlink="">
      <xdr:nvSpPr>
        <xdr:cNvPr id="3266" name="AutoShape 998" descr="https://www.soccerstats.com/img/own/sshplogo.png">
          <a:hlinkClick xmlns:r="http://schemas.openxmlformats.org/officeDocument/2006/relationships" r:id="rId669"/>
        </xdr:cNvPr>
        <xdr:cNvSpPr>
          <a:spLocks noChangeAspect="1" noChangeArrowheads="1"/>
        </xdr:cNvSpPr>
      </xdr:nvSpPr>
      <xdr:spPr bwMode="auto">
        <a:xfrm>
          <a:off x="13411200" y="2156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152400</xdr:colOff>
      <xdr:row>12</xdr:row>
      <xdr:rowOff>106680</xdr:rowOff>
    </xdr:to>
    <xdr:sp macro="" textlink="">
      <xdr:nvSpPr>
        <xdr:cNvPr id="3267" name="AutoShape 999" descr="ENGLAND2"/>
        <xdr:cNvSpPr>
          <a:spLocks noChangeAspect="1" noChangeArrowheads="1"/>
        </xdr:cNvSpPr>
      </xdr:nvSpPr>
      <xdr:spPr bwMode="auto">
        <a:xfrm>
          <a:off x="0" y="2407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</xdr:row>
      <xdr:rowOff>0</xdr:rowOff>
    </xdr:from>
    <xdr:to>
      <xdr:col>22</xdr:col>
      <xdr:colOff>304800</xdr:colOff>
      <xdr:row>13</xdr:row>
      <xdr:rowOff>53340</xdr:rowOff>
    </xdr:to>
    <xdr:sp macro="" textlink="">
      <xdr:nvSpPr>
        <xdr:cNvPr id="3268" name="AutoShape 1000" descr="https://www.soccerstats.com/img/own/sshplogo.png">
          <a:hlinkClick xmlns:r="http://schemas.openxmlformats.org/officeDocument/2006/relationships" r:id="rId670"/>
        </xdr:cNvPr>
        <xdr:cNvSpPr>
          <a:spLocks noChangeAspect="1" noChangeArrowheads="1"/>
        </xdr:cNvSpPr>
      </xdr:nvSpPr>
      <xdr:spPr bwMode="auto">
        <a:xfrm>
          <a:off x="13411200" y="2407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152400</xdr:colOff>
      <xdr:row>13</xdr:row>
      <xdr:rowOff>106680</xdr:rowOff>
    </xdr:to>
    <xdr:sp macro="" textlink="">
      <xdr:nvSpPr>
        <xdr:cNvPr id="3269" name="AutoShape 1001" descr="ENGLAND2"/>
        <xdr:cNvSpPr>
          <a:spLocks noChangeAspect="1" noChangeArrowheads="1"/>
        </xdr:cNvSpPr>
      </xdr:nvSpPr>
      <xdr:spPr bwMode="auto">
        <a:xfrm>
          <a:off x="0" y="2583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</xdr:row>
      <xdr:rowOff>0</xdr:rowOff>
    </xdr:from>
    <xdr:to>
      <xdr:col>22</xdr:col>
      <xdr:colOff>304800</xdr:colOff>
      <xdr:row>14</xdr:row>
      <xdr:rowOff>129540</xdr:rowOff>
    </xdr:to>
    <xdr:sp macro="" textlink="">
      <xdr:nvSpPr>
        <xdr:cNvPr id="3270" name="AutoShape 1002" descr="https://www.soccerstats.com/img/own/sshplogo.png">
          <a:hlinkClick xmlns:r="http://schemas.openxmlformats.org/officeDocument/2006/relationships" r:id="rId671"/>
        </xdr:cNvPr>
        <xdr:cNvSpPr>
          <a:spLocks noChangeAspect="1" noChangeArrowheads="1"/>
        </xdr:cNvSpPr>
      </xdr:nvSpPr>
      <xdr:spPr bwMode="auto">
        <a:xfrm>
          <a:off x="13411200" y="2583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152400</xdr:colOff>
      <xdr:row>14</xdr:row>
      <xdr:rowOff>106680</xdr:rowOff>
    </xdr:to>
    <xdr:sp macro="" textlink="">
      <xdr:nvSpPr>
        <xdr:cNvPr id="3271" name="AutoShape 1003" descr="SPAIN2"/>
        <xdr:cNvSpPr>
          <a:spLocks noChangeAspect="1" noChangeArrowheads="1"/>
        </xdr:cNvSpPr>
      </xdr:nvSpPr>
      <xdr:spPr bwMode="auto">
        <a:xfrm>
          <a:off x="0" y="2834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</xdr:row>
      <xdr:rowOff>0</xdr:rowOff>
    </xdr:from>
    <xdr:to>
      <xdr:col>22</xdr:col>
      <xdr:colOff>304800</xdr:colOff>
      <xdr:row>15</xdr:row>
      <xdr:rowOff>53340</xdr:rowOff>
    </xdr:to>
    <xdr:sp macro="" textlink="">
      <xdr:nvSpPr>
        <xdr:cNvPr id="3272" name="AutoShape 1004" descr="https://www.soccerstats.com/img/own/sshplogo.png">
          <a:hlinkClick xmlns:r="http://schemas.openxmlformats.org/officeDocument/2006/relationships" r:id="rId672"/>
        </xdr:cNvPr>
        <xdr:cNvSpPr>
          <a:spLocks noChangeAspect="1" noChangeArrowheads="1"/>
        </xdr:cNvSpPr>
      </xdr:nvSpPr>
      <xdr:spPr bwMode="auto">
        <a:xfrm>
          <a:off x="13411200" y="2834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152400</xdr:colOff>
      <xdr:row>15</xdr:row>
      <xdr:rowOff>106680</xdr:rowOff>
    </xdr:to>
    <xdr:sp macro="" textlink="">
      <xdr:nvSpPr>
        <xdr:cNvPr id="3273" name="AutoShape 1005" descr="SPAIN2"/>
        <xdr:cNvSpPr>
          <a:spLocks noChangeAspect="1" noChangeArrowheads="1"/>
        </xdr:cNvSpPr>
      </xdr:nvSpPr>
      <xdr:spPr bwMode="auto">
        <a:xfrm>
          <a:off x="0" y="3009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</xdr:row>
      <xdr:rowOff>0</xdr:rowOff>
    </xdr:from>
    <xdr:to>
      <xdr:col>22</xdr:col>
      <xdr:colOff>304800</xdr:colOff>
      <xdr:row>16</xdr:row>
      <xdr:rowOff>129540</xdr:rowOff>
    </xdr:to>
    <xdr:sp macro="" textlink="">
      <xdr:nvSpPr>
        <xdr:cNvPr id="3274" name="AutoShape 1006" descr="https://www.soccerstats.com/img/own/sshplogo.png">
          <a:hlinkClick xmlns:r="http://schemas.openxmlformats.org/officeDocument/2006/relationships" r:id="rId673"/>
        </xdr:cNvPr>
        <xdr:cNvSpPr>
          <a:spLocks noChangeAspect="1" noChangeArrowheads="1"/>
        </xdr:cNvSpPr>
      </xdr:nvSpPr>
      <xdr:spPr bwMode="auto">
        <a:xfrm>
          <a:off x="13411200" y="3009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152400</xdr:colOff>
      <xdr:row>16</xdr:row>
      <xdr:rowOff>106680</xdr:rowOff>
    </xdr:to>
    <xdr:sp macro="" textlink="">
      <xdr:nvSpPr>
        <xdr:cNvPr id="3275" name="AutoShape 1007" descr="SPAIN2"/>
        <xdr:cNvSpPr>
          <a:spLocks noChangeAspect="1" noChangeArrowheads="1"/>
        </xdr:cNvSpPr>
      </xdr:nvSpPr>
      <xdr:spPr bwMode="auto">
        <a:xfrm>
          <a:off x="0" y="3185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</xdr:row>
      <xdr:rowOff>0</xdr:rowOff>
    </xdr:from>
    <xdr:to>
      <xdr:col>22</xdr:col>
      <xdr:colOff>304800</xdr:colOff>
      <xdr:row>17</xdr:row>
      <xdr:rowOff>129540</xdr:rowOff>
    </xdr:to>
    <xdr:sp macro="" textlink="">
      <xdr:nvSpPr>
        <xdr:cNvPr id="3276" name="AutoShape 1008" descr="https://www.soccerstats.com/img/own/sshplogo.png">
          <a:hlinkClick xmlns:r="http://schemas.openxmlformats.org/officeDocument/2006/relationships" r:id="rId674"/>
        </xdr:cNvPr>
        <xdr:cNvSpPr>
          <a:spLocks noChangeAspect="1" noChangeArrowheads="1"/>
        </xdr:cNvSpPr>
      </xdr:nvSpPr>
      <xdr:spPr bwMode="auto">
        <a:xfrm>
          <a:off x="13411200" y="3185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152400</xdr:colOff>
      <xdr:row>17</xdr:row>
      <xdr:rowOff>106680</xdr:rowOff>
    </xdr:to>
    <xdr:sp macro="" textlink="">
      <xdr:nvSpPr>
        <xdr:cNvPr id="3277" name="AutoShape 1009" descr="SPAIN2"/>
        <xdr:cNvSpPr>
          <a:spLocks noChangeAspect="1" noChangeArrowheads="1"/>
        </xdr:cNvSpPr>
      </xdr:nvSpPr>
      <xdr:spPr bwMode="auto">
        <a:xfrm>
          <a:off x="0" y="3360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</xdr:row>
      <xdr:rowOff>0</xdr:rowOff>
    </xdr:from>
    <xdr:to>
      <xdr:col>22</xdr:col>
      <xdr:colOff>304800</xdr:colOff>
      <xdr:row>18</xdr:row>
      <xdr:rowOff>53340</xdr:rowOff>
    </xdr:to>
    <xdr:sp macro="" textlink="">
      <xdr:nvSpPr>
        <xdr:cNvPr id="3278" name="AutoShape 1010" descr="https://www.soccerstats.com/img/own/sshplogo.png">
          <a:hlinkClick xmlns:r="http://schemas.openxmlformats.org/officeDocument/2006/relationships" r:id="rId675"/>
        </xdr:cNvPr>
        <xdr:cNvSpPr>
          <a:spLocks noChangeAspect="1" noChangeArrowheads="1"/>
        </xdr:cNvSpPr>
      </xdr:nvSpPr>
      <xdr:spPr bwMode="auto">
        <a:xfrm>
          <a:off x="13411200" y="3360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152400</xdr:colOff>
      <xdr:row>18</xdr:row>
      <xdr:rowOff>106680</xdr:rowOff>
    </xdr:to>
    <xdr:sp macro="" textlink="">
      <xdr:nvSpPr>
        <xdr:cNvPr id="3279" name="AutoShape 1011" descr="GERMANY2"/>
        <xdr:cNvSpPr>
          <a:spLocks noChangeAspect="1" noChangeArrowheads="1"/>
        </xdr:cNvSpPr>
      </xdr:nvSpPr>
      <xdr:spPr bwMode="auto">
        <a:xfrm>
          <a:off x="0" y="3535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</xdr:row>
      <xdr:rowOff>0</xdr:rowOff>
    </xdr:from>
    <xdr:to>
      <xdr:col>22</xdr:col>
      <xdr:colOff>304800</xdr:colOff>
      <xdr:row>19</xdr:row>
      <xdr:rowOff>53340</xdr:rowOff>
    </xdr:to>
    <xdr:sp macro="" textlink="">
      <xdr:nvSpPr>
        <xdr:cNvPr id="3280" name="AutoShape 1012" descr="https://www.soccerstats.com/img/own/sshplogo.png">
          <a:hlinkClick xmlns:r="http://schemas.openxmlformats.org/officeDocument/2006/relationships" r:id="rId676"/>
        </xdr:cNvPr>
        <xdr:cNvSpPr>
          <a:spLocks noChangeAspect="1" noChangeArrowheads="1"/>
        </xdr:cNvSpPr>
      </xdr:nvSpPr>
      <xdr:spPr bwMode="auto">
        <a:xfrm>
          <a:off x="13411200" y="3535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152400</xdr:colOff>
      <xdr:row>19</xdr:row>
      <xdr:rowOff>106680</xdr:rowOff>
    </xdr:to>
    <xdr:sp macro="" textlink="">
      <xdr:nvSpPr>
        <xdr:cNvPr id="3281" name="AutoShape 1013" descr="GERMANY2"/>
        <xdr:cNvSpPr>
          <a:spLocks noChangeAspect="1" noChangeArrowheads="1"/>
        </xdr:cNvSpPr>
      </xdr:nvSpPr>
      <xdr:spPr bwMode="auto">
        <a:xfrm>
          <a:off x="0" y="3787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</xdr:row>
      <xdr:rowOff>0</xdr:rowOff>
    </xdr:from>
    <xdr:to>
      <xdr:col>22</xdr:col>
      <xdr:colOff>304800</xdr:colOff>
      <xdr:row>20</xdr:row>
      <xdr:rowOff>129540</xdr:rowOff>
    </xdr:to>
    <xdr:sp macro="" textlink="">
      <xdr:nvSpPr>
        <xdr:cNvPr id="3282" name="AutoShape 1014" descr="https://www.soccerstats.com/img/own/sshplogo.png">
          <a:hlinkClick xmlns:r="http://schemas.openxmlformats.org/officeDocument/2006/relationships" r:id="rId677"/>
        </xdr:cNvPr>
        <xdr:cNvSpPr>
          <a:spLocks noChangeAspect="1" noChangeArrowheads="1"/>
        </xdr:cNvSpPr>
      </xdr:nvSpPr>
      <xdr:spPr bwMode="auto">
        <a:xfrm>
          <a:off x="13411200" y="3787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152400</xdr:colOff>
      <xdr:row>20</xdr:row>
      <xdr:rowOff>106680</xdr:rowOff>
    </xdr:to>
    <xdr:sp macro="" textlink="">
      <xdr:nvSpPr>
        <xdr:cNvPr id="3283" name="AutoShape 1015" descr="GERMANY2"/>
        <xdr:cNvSpPr>
          <a:spLocks noChangeAspect="1" noChangeArrowheads="1"/>
        </xdr:cNvSpPr>
      </xdr:nvSpPr>
      <xdr:spPr bwMode="auto">
        <a:xfrm>
          <a:off x="0" y="4038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</xdr:row>
      <xdr:rowOff>0</xdr:rowOff>
    </xdr:from>
    <xdr:to>
      <xdr:col>22</xdr:col>
      <xdr:colOff>304800</xdr:colOff>
      <xdr:row>21</xdr:row>
      <xdr:rowOff>129540</xdr:rowOff>
    </xdr:to>
    <xdr:sp macro="" textlink="">
      <xdr:nvSpPr>
        <xdr:cNvPr id="3284" name="AutoShape 1016" descr="https://www.soccerstats.com/img/own/sshplogo.png">
          <a:hlinkClick xmlns:r="http://schemas.openxmlformats.org/officeDocument/2006/relationships" r:id="rId678"/>
        </xdr:cNvPr>
        <xdr:cNvSpPr>
          <a:spLocks noChangeAspect="1" noChangeArrowheads="1"/>
        </xdr:cNvSpPr>
      </xdr:nvSpPr>
      <xdr:spPr bwMode="auto">
        <a:xfrm>
          <a:off x="13411200" y="4038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152400</xdr:colOff>
      <xdr:row>21</xdr:row>
      <xdr:rowOff>106680</xdr:rowOff>
    </xdr:to>
    <xdr:sp macro="" textlink="">
      <xdr:nvSpPr>
        <xdr:cNvPr id="3285" name="AutoShape 1017" descr="ARGENTINA2"/>
        <xdr:cNvSpPr>
          <a:spLocks noChangeAspect="1" noChangeArrowheads="1"/>
        </xdr:cNvSpPr>
      </xdr:nvSpPr>
      <xdr:spPr bwMode="auto">
        <a:xfrm>
          <a:off x="0" y="4213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</xdr:row>
      <xdr:rowOff>0</xdr:rowOff>
    </xdr:from>
    <xdr:to>
      <xdr:col>22</xdr:col>
      <xdr:colOff>304800</xdr:colOff>
      <xdr:row>22</xdr:row>
      <xdr:rowOff>53340</xdr:rowOff>
    </xdr:to>
    <xdr:sp macro="" textlink="">
      <xdr:nvSpPr>
        <xdr:cNvPr id="3286" name="AutoShape 1018" descr="https://www.soccerstats.com/img/own/sshplogo.png">
          <a:hlinkClick xmlns:r="http://schemas.openxmlformats.org/officeDocument/2006/relationships" r:id="rId679"/>
        </xdr:cNvPr>
        <xdr:cNvSpPr>
          <a:spLocks noChangeAspect="1" noChangeArrowheads="1"/>
        </xdr:cNvSpPr>
      </xdr:nvSpPr>
      <xdr:spPr bwMode="auto">
        <a:xfrm>
          <a:off x="13411200" y="4213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152400</xdr:colOff>
      <xdr:row>22</xdr:row>
      <xdr:rowOff>106680</xdr:rowOff>
    </xdr:to>
    <xdr:sp macro="" textlink="">
      <xdr:nvSpPr>
        <xdr:cNvPr id="3287" name="AutoShape 1019" descr="ARGENTINA2"/>
        <xdr:cNvSpPr>
          <a:spLocks noChangeAspect="1" noChangeArrowheads="1"/>
        </xdr:cNvSpPr>
      </xdr:nvSpPr>
      <xdr:spPr bwMode="auto">
        <a:xfrm>
          <a:off x="0" y="4389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</xdr:row>
      <xdr:rowOff>0</xdr:rowOff>
    </xdr:from>
    <xdr:to>
      <xdr:col>22</xdr:col>
      <xdr:colOff>304800</xdr:colOff>
      <xdr:row>23</xdr:row>
      <xdr:rowOff>129540</xdr:rowOff>
    </xdr:to>
    <xdr:sp macro="" textlink="">
      <xdr:nvSpPr>
        <xdr:cNvPr id="3288" name="AutoShape 1020" descr="https://www.soccerstats.com/img/own/sshplogo.png">
          <a:hlinkClick xmlns:r="http://schemas.openxmlformats.org/officeDocument/2006/relationships" r:id="rId680"/>
        </xdr:cNvPr>
        <xdr:cNvSpPr>
          <a:spLocks noChangeAspect="1" noChangeArrowheads="1"/>
        </xdr:cNvSpPr>
      </xdr:nvSpPr>
      <xdr:spPr bwMode="auto">
        <a:xfrm>
          <a:off x="13411200" y="438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152400</xdr:colOff>
      <xdr:row>23</xdr:row>
      <xdr:rowOff>106680</xdr:rowOff>
    </xdr:to>
    <xdr:sp macro="" textlink="">
      <xdr:nvSpPr>
        <xdr:cNvPr id="3289" name="AutoShape 1021" descr="ARGENTINA2"/>
        <xdr:cNvSpPr>
          <a:spLocks noChangeAspect="1" noChangeArrowheads="1"/>
        </xdr:cNvSpPr>
      </xdr:nvSpPr>
      <xdr:spPr bwMode="auto">
        <a:xfrm>
          <a:off x="0" y="4640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</xdr:row>
      <xdr:rowOff>0</xdr:rowOff>
    </xdr:from>
    <xdr:to>
      <xdr:col>22</xdr:col>
      <xdr:colOff>304800</xdr:colOff>
      <xdr:row>24</xdr:row>
      <xdr:rowOff>129540</xdr:rowOff>
    </xdr:to>
    <xdr:sp macro="" textlink="">
      <xdr:nvSpPr>
        <xdr:cNvPr id="3290" name="AutoShape 1022" descr="https://www.soccerstats.com/img/own/sshplogo.png">
          <a:hlinkClick xmlns:r="http://schemas.openxmlformats.org/officeDocument/2006/relationships" r:id="rId681"/>
        </xdr:cNvPr>
        <xdr:cNvSpPr>
          <a:spLocks noChangeAspect="1" noChangeArrowheads="1"/>
        </xdr:cNvSpPr>
      </xdr:nvSpPr>
      <xdr:spPr bwMode="auto">
        <a:xfrm>
          <a:off x="13411200" y="4640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3291" name="AutoShape 1023" descr="ARGENTINA2"/>
        <xdr:cNvSpPr>
          <a:spLocks noChangeAspect="1" noChangeArrowheads="1"/>
        </xdr:cNvSpPr>
      </xdr:nvSpPr>
      <xdr:spPr bwMode="auto">
        <a:xfrm>
          <a:off x="0" y="4815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6144" name="AutoShape 1024" descr="https://www.soccerstats.com/img/own/sshplogo.png">
          <a:hlinkClick xmlns:r="http://schemas.openxmlformats.org/officeDocument/2006/relationships" r:id="rId682"/>
        </xdr:cNvPr>
        <xdr:cNvSpPr>
          <a:spLocks noChangeAspect="1" noChangeArrowheads="1"/>
        </xdr:cNvSpPr>
      </xdr:nvSpPr>
      <xdr:spPr bwMode="auto">
        <a:xfrm>
          <a:off x="13411200" y="4815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152400</xdr:colOff>
      <xdr:row>25</xdr:row>
      <xdr:rowOff>106680</xdr:rowOff>
    </xdr:to>
    <xdr:sp macro="" textlink="">
      <xdr:nvSpPr>
        <xdr:cNvPr id="6145" name="AutoShape 1025" descr="ARGENTINA2"/>
        <xdr:cNvSpPr>
          <a:spLocks noChangeAspect="1" noChangeArrowheads="1"/>
        </xdr:cNvSpPr>
      </xdr:nvSpPr>
      <xdr:spPr bwMode="auto">
        <a:xfrm>
          <a:off x="0" y="5067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25</xdr:row>
      <xdr:rowOff>0</xdr:rowOff>
    </xdr:from>
    <xdr:to>
      <xdr:col>22</xdr:col>
      <xdr:colOff>304800</xdr:colOff>
      <xdr:row>26</xdr:row>
      <xdr:rowOff>129540</xdr:rowOff>
    </xdr:to>
    <xdr:sp macro="" textlink="">
      <xdr:nvSpPr>
        <xdr:cNvPr id="6146" name="AutoShape 1026" descr="https://www.soccerstats.com/img/own/sshplogo.png">
          <a:hlinkClick xmlns:r="http://schemas.openxmlformats.org/officeDocument/2006/relationships" r:id="rId683"/>
        </xdr:cNvPr>
        <xdr:cNvSpPr>
          <a:spLocks noChangeAspect="1" noChangeArrowheads="1"/>
        </xdr:cNvSpPr>
      </xdr:nvSpPr>
      <xdr:spPr bwMode="auto">
        <a:xfrm>
          <a:off x="13411200" y="5067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152400</xdr:colOff>
      <xdr:row>26</xdr:row>
      <xdr:rowOff>106680</xdr:rowOff>
    </xdr:to>
    <xdr:sp macro="" textlink="">
      <xdr:nvSpPr>
        <xdr:cNvPr id="6147" name="AutoShape 1027" descr="ARGENTINA3"/>
        <xdr:cNvSpPr>
          <a:spLocks noChangeAspect="1" noChangeArrowheads="1"/>
        </xdr:cNvSpPr>
      </xdr:nvSpPr>
      <xdr:spPr bwMode="auto">
        <a:xfrm>
          <a:off x="0" y="5318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26</xdr:row>
      <xdr:rowOff>0</xdr:rowOff>
    </xdr:from>
    <xdr:to>
      <xdr:col>22</xdr:col>
      <xdr:colOff>304800</xdr:colOff>
      <xdr:row>27</xdr:row>
      <xdr:rowOff>53340</xdr:rowOff>
    </xdr:to>
    <xdr:sp macro="" textlink="">
      <xdr:nvSpPr>
        <xdr:cNvPr id="6148" name="AutoShape 1028" descr="https://www.soccerstats.com/img/own/sshplogo.png">
          <a:hlinkClick xmlns:r="http://schemas.openxmlformats.org/officeDocument/2006/relationships" r:id="rId684"/>
        </xdr:cNvPr>
        <xdr:cNvSpPr>
          <a:spLocks noChangeAspect="1" noChangeArrowheads="1"/>
        </xdr:cNvSpPr>
      </xdr:nvSpPr>
      <xdr:spPr bwMode="auto">
        <a:xfrm>
          <a:off x="13411200" y="5318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152400</xdr:colOff>
      <xdr:row>27</xdr:row>
      <xdr:rowOff>106680</xdr:rowOff>
    </xdr:to>
    <xdr:sp macro="" textlink="">
      <xdr:nvSpPr>
        <xdr:cNvPr id="6149" name="AutoShape 1029" descr="ARGENTINA3"/>
        <xdr:cNvSpPr>
          <a:spLocks noChangeAspect="1" noChangeArrowheads="1"/>
        </xdr:cNvSpPr>
      </xdr:nvSpPr>
      <xdr:spPr bwMode="auto">
        <a:xfrm>
          <a:off x="0" y="5570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27</xdr:row>
      <xdr:rowOff>0</xdr:rowOff>
    </xdr:from>
    <xdr:to>
      <xdr:col>22</xdr:col>
      <xdr:colOff>304800</xdr:colOff>
      <xdr:row>28</xdr:row>
      <xdr:rowOff>129540</xdr:rowOff>
    </xdr:to>
    <xdr:sp macro="" textlink="">
      <xdr:nvSpPr>
        <xdr:cNvPr id="6150" name="AutoShape 1030" descr="https://www.soccerstats.com/img/own/sshplogo.png">
          <a:hlinkClick xmlns:r="http://schemas.openxmlformats.org/officeDocument/2006/relationships" r:id="rId685"/>
        </xdr:cNvPr>
        <xdr:cNvSpPr>
          <a:spLocks noChangeAspect="1" noChangeArrowheads="1"/>
        </xdr:cNvSpPr>
      </xdr:nvSpPr>
      <xdr:spPr bwMode="auto">
        <a:xfrm>
          <a:off x="13411200" y="5570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152400</xdr:colOff>
      <xdr:row>28</xdr:row>
      <xdr:rowOff>106680</xdr:rowOff>
    </xdr:to>
    <xdr:sp macro="" textlink="">
      <xdr:nvSpPr>
        <xdr:cNvPr id="6151" name="AutoShape 1031" descr="ARGENTINA3"/>
        <xdr:cNvSpPr>
          <a:spLocks noChangeAspect="1" noChangeArrowheads="1"/>
        </xdr:cNvSpPr>
      </xdr:nvSpPr>
      <xdr:spPr bwMode="auto">
        <a:xfrm>
          <a:off x="0" y="5821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28</xdr:row>
      <xdr:rowOff>0</xdr:rowOff>
    </xdr:from>
    <xdr:to>
      <xdr:col>22</xdr:col>
      <xdr:colOff>304800</xdr:colOff>
      <xdr:row>29</xdr:row>
      <xdr:rowOff>129540</xdr:rowOff>
    </xdr:to>
    <xdr:sp macro="" textlink="">
      <xdr:nvSpPr>
        <xdr:cNvPr id="6152" name="AutoShape 1032" descr="https://www.soccerstats.com/img/own/sshplogo.png">
          <a:hlinkClick xmlns:r="http://schemas.openxmlformats.org/officeDocument/2006/relationships" r:id="rId686"/>
        </xdr:cNvPr>
        <xdr:cNvSpPr>
          <a:spLocks noChangeAspect="1" noChangeArrowheads="1"/>
        </xdr:cNvSpPr>
      </xdr:nvSpPr>
      <xdr:spPr bwMode="auto">
        <a:xfrm>
          <a:off x="13411200" y="582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152400</xdr:colOff>
      <xdr:row>29</xdr:row>
      <xdr:rowOff>106680</xdr:rowOff>
    </xdr:to>
    <xdr:sp macro="" textlink="">
      <xdr:nvSpPr>
        <xdr:cNvPr id="6153" name="AutoShape 1033" descr="ARGENTINA3"/>
        <xdr:cNvSpPr>
          <a:spLocks noChangeAspect="1" noChangeArrowheads="1"/>
        </xdr:cNvSpPr>
      </xdr:nvSpPr>
      <xdr:spPr bwMode="auto">
        <a:xfrm>
          <a:off x="0" y="6073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</xdr:row>
      <xdr:rowOff>0</xdr:rowOff>
    </xdr:from>
    <xdr:to>
      <xdr:col>22</xdr:col>
      <xdr:colOff>304800</xdr:colOff>
      <xdr:row>30</xdr:row>
      <xdr:rowOff>53340</xdr:rowOff>
    </xdr:to>
    <xdr:sp macro="" textlink="">
      <xdr:nvSpPr>
        <xdr:cNvPr id="6154" name="AutoShape 1034" descr="https://www.soccerstats.com/img/own/sshplogo.png">
          <a:hlinkClick xmlns:r="http://schemas.openxmlformats.org/officeDocument/2006/relationships" r:id="rId687"/>
        </xdr:cNvPr>
        <xdr:cNvSpPr>
          <a:spLocks noChangeAspect="1" noChangeArrowheads="1"/>
        </xdr:cNvSpPr>
      </xdr:nvSpPr>
      <xdr:spPr bwMode="auto">
        <a:xfrm>
          <a:off x="13411200" y="6073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152400</xdr:colOff>
      <xdr:row>30</xdr:row>
      <xdr:rowOff>106680</xdr:rowOff>
    </xdr:to>
    <xdr:sp macro="" textlink="">
      <xdr:nvSpPr>
        <xdr:cNvPr id="6155" name="AutoShape 1035" descr="ARGENTINA3"/>
        <xdr:cNvSpPr>
          <a:spLocks noChangeAspect="1" noChangeArrowheads="1"/>
        </xdr:cNvSpPr>
      </xdr:nvSpPr>
      <xdr:spPr bwMode="auto">
        <a:xfrm>
          <a:off x="0" y="6324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30</xdr:row>
      <xdr:rowOff>0</xdr:rowOff>
    </xdr:from>
    <xdr:to>
      <xdr:col>22</xdr:col>
      <xdr:colOff>304800</xdr:colOff>
      <xdr:row>31</xdr:row>
      <xdr:rowOff>53340</xdr:rowOff>
    </xdr:to>
    <xdr:sp macro="" textlink="">
      <xdr:nvSpPr>
        <xdr:cNvPr id="6156" name="AutoShape 1036" descr="https://www.soccerstats.com/img/own/sshplogo.png">
          <a:hlinkClick xmlns:r="http://schemas.openxmlformats.org/officeDocument/2006/relationships" r:id="rId688"/>
        </xdr:cNvPr>
        <xdr:cNvSpPr>
          <a:spLocks noChangeAspect="1" noChangeArrowheads="1"/>
        </xdr:cNvSpPr>
      </xdr:nvSpPr>
      <xdr:spPr bwMode="auto">
        <a:xfrm>
          <a:off x="13411200" y="632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152400</xdr:colOff>
      <xdr:row>31</xdr:row>
      <xdr:rowOff>106680</xdr:rowOff>
    </xdr:to>
    <xdr:sp macro="" textlink="">
      <xdr:nvSpPr>
        <xdr:cNvPr id="6157" name="AutoShape 1037" descr="ARGENTINA3"/>
        <xdr:cNvSpPr>
          <a:spLocks noChangeAspect="1" noChangeArrowheads="1"/>
        </xdr:cNvSpPr>
      </xdr:nvSpPr>
      <xdr:spPr bwMode="auto">
        <a:xfrm>
          <a:off x="0" y="657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31</xdr:row>
      <xdr:rowOff>0</xdr:rowOff>
    </xdr:from>
    <xdr:to>
      <xdr:col>22</xdr:col>
      <xdr:colOff>304800</xdr:colOff>
      <xdr:row>32</xdr:row>
      <xdr:rowOff>53340</xdr:rowOff>
    </xdr:to>
    <xdr:sp macro="" textlink="">
      <xdr:nvSpPr>
        <xdr:cNvPr id="6158" name="AutoShape 1038" descr="https://www.soccerstats.com/img/own/sshplogo.png">
          <a:hlinkClick xmlns:r="http://schemas.openxmlformats.org/officeDocument/2006/relationships" r:id="rId689"/>
        </xdr:cNvPr>
        <xdr:cNvSpPr>
          <a:spLocks noChangeAspect="1" noChangeArrowheads="1"/>
        </xdr:cNvSpPr>
      </xdr:nvSpPr>
      <xdr:spPr bwMode="auto">
        <a:xfrm>
          <a:off x="13411200" y="6576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152400</xdr:colOff>
      <xdr:row>32</xdr:row>
      <xdr:rowOff>106680</xdr:rowOff>
    </xdr:to>
    <xdr:sp macro="" textlink="">
      <xdr:nvSpPr>
        <xdr:cNvPr id="6159" name="AutoShape 1039" descr="ARGENTINA3"/>
        <xdr:cNvSpPr>
          <a:spLocks noChangeAspect="1" noChangeArrowheads="1"/>
        </xdr:cNvSpPr>
      </xdr:nvSpPr>
      <xdr:spPr bwMode="auto">
        <a:xfrm>
          <a:off x="0" y="6751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32</xdr:row>
      <xdr:rowOff>0</xdr:rowOff>
    </xdr:from>
    <xdr:to>
      <xdr:col>22</xdr:col>
      <xdr:colOff>304800</xdr:colOff>
      <xdr:row>33</xdr:row>
      <xdr:rowOff>129540</xdr:rowOff>
    </xdr:to>
    <xdr:sp macro="" textlink="">
      <xdr:nvSpPr>
        <xdr:cNvPr id="6160" name="AutoShape 1040" descr="https://www.soccerstats.com/img/own/sshplogo.png">
          <a:hlinkClick xmlns:r="http://schemas.openxmlformats.org/officeDocument/2006/relationships" r:id="rId690"/>
        </xdr:cNvPr>
        <xdr:cNvSpPr>
          <a:spLocks noChangeAspect="1" noChangeArrowheads="1"/>
        </xdr:cNvSpPr>
      </xdr:nvSpPr>
      <xdr:spPr bwMode="auto">
        <a:xfrm>
          <a:off x="13411200" y="6751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152400</xdr:colOff>
      <xdr:row>33</xdr:row>
      <xdr:rowOff>106680</xdr:rowOff>
    </xdr:to>
    <xdr:sp macro="" textlink="">
      <xdr:nvSpPr>
        <xdr:cNvPr id="6161" name="AutoShape 1041" descr="ARMENIA"/>
        <xdr:cNvSpPr>
          <a:spLocks noChangeAspect="1" noChangeArrowheads="1"/>
        </xdr:cNvSpPr>
      </xdr:nvSpPr>
      <xdr:spPr bwMode="auto">
        <a:xfrm>
          <a:off x="0" y="6926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33</xdr:row>
      <xdr:rowOff>0</xdr:rowOff>
    </xdr:from>
    <xdr:to>
      <xdr:col>22</xdr:col>
      <xdr:colOff>304800</xdr:colOff>
      <xdr:row>34</xdr:row>
      <xdr:rowOff>129540</xdr:rowOff>
    </xdr:to>
    <xdr:sp macro="" textlink="">
      <xdr:nvSpPr>
        <xdr:cNvPr id="6162" name="AutoShape 1042" descr="https://www.soccerstats.com/img/own/sshplogo.png">
          <a:hlinkClick xmlns:r="http://schemas.openxmlformats.org/officeDocument/2006/relationships" r:id="rId691"/>
        </xdr:cNvPr>
        <xdr:cNvSpPr>
          <a:spLocks noChangeAspect="1" noChangeArrowheads="1"/>
        </xdr:cNvSpPr>
      </xdr:nvSpPr>
      <xdr:spPr bwMode="auto">
        <a:xfrm>
          <a:off x="13411200" y="6926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152400</xdr:colOff>
      <xdr:row>34</xdr:row>
      <xdr:rowOff>106680</xdr:rowOff>
    </xdr:to>
    <xdr:sp macro="" textlink="">
      <xdr:nvSpPr>
        <xdr:cNvPr id="6163" name="AutoShape 1043" descr="AUSTRALIA3"/>
        <xdr:cNvSpPr>
          <a:spLocks noChangeAspect="1" noChangeArrowheads="1"/>
        </xdr:cNvSpPr>
      </xdr:nvSpPr>
      <xdr:spPr bwMode="auto">
        <a:xfrm>
          <a:off x="0" y="7101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34</xdr:row>
      <xdr:rowOff>0</xdr:rowOff>
    </xdr:from>
    <xdr:to>
      <xdr:col>22</xdr:col>
      <xdr:colOff>304800</xdr:colOff>
      <xdr:row>35</xdr:row>
      <xdr:rowOff>53340</xdr:rowOff>
    </xdr:to>
    <xdr:sp macro="" textlink="">
      <xdr:nvSpPr>
        <xdr:cNvPr id="6164" name="AutoShape 1044" descr="https://www.soccerstats.com/img/own/sshplogo.png">
          <a:hlinkClick xmlns:r="http://schemas.openxmlformats.org/officeDocument/2006/relationships" r:id="rId692"/>
        </xdr:cNvPr>
        <xdr:cNvSpPr>
          <a:spLocks noChangeAspect="1" noChangeArrowheads="1"/>
        </xdr:cNvSpPr>
      </xdr:nvSpPr>
      <xdr:spPr bwMode="auto">
        <a:xfrm>
          <a:off x="13411200" y="7101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152400</xdr:colOff>
      <xdr:row>35</xdr:row>
      <xdr:rowOff>106680</xdr:rowOff>
    </xdr:to>
    <xdr:sp macro="" textlink="">
      <xdr:nvSpPr>
        <xdr:cNvPr id="6165" name="AutoShape 1045" descr="AUSTRALIA7"/>
        <xdr:cNvSpPr>
          <a:spLocks noChangeAspect="1" noChangeArrowheads="1"/>
        </xdr:cNvSpPr>
      </xdr:nvSpPr>
      <xdr:spPr bwMode="auto">
        <a:xfrm>
          <a:off x="0" y="7353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35</xdr:row>
      <xdr:rowOff>0</xdr:rowOff>
    </xdr:from>
    <xdr:to>
      <xdr:col>22</xdr:col>
      <xdr:colOff>304800</xdr:colOff>
      <xdr:row>36</xdr:row>
      <xdr:rowOff>129540</xdr:rowOff>
    </xdr:to>
    <xdr:sp macro="" textlink="">
      <xdr:nvSpPr>
        <xdr:cNvPr id="6166" name="AutoShape 1046" descr="https://www.soccerstats.com/img/own/sshplogo.png">
          <a:hlinkClick xmlns:r="http://schemas.openxmlformats.org/officeDocument/2006/relationships" r:id="rId693"/>
        </xdr:cNvPr>
        <xdr:cNvSpPr>
          <a:spLocks noChangeAspect="1" noChangeArrowheads="1"/>
        </xdr:cNvSpPr>
      </xdr:nvSpPr>
      <xdr:spPr bwMode="auto">
        <a:xfrm>
          <a:off x="13411200" y="735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152400</xdr:colOff>
      <xdr:row>36</xdr:row>
      <xdr:rowOff>106680</xdr:rowOff>
    </xdr:to>
    <xdr:sp macro="" textlink="">
      <xdr:nvSpPr>
        <xdr:cNvPr id="6167" name="AutoShape 1047" descr="AUSTRALIA7"/>
        <xdr:cNvSpPr>
          <a:spLocks noChangeAspect="1" noChangeArrowheads="1"/>
        </xdr:cNvSpPr>
      </xdr:nvSpPr>
      <xdr:spPr bwMode="auto">
        <a:xfrm>
          <a:off x="0" y="7604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36</xdr:row>
      <xdr:rowOff>0</xdr:rowOff>
    </xdr:from>
    <xdr:to>
      <xdr:col>22</xdr:col>
      <xdr:colOff>304800</xdr:colOff>
      <xdr:row>37</xdr:row>
      <xdr:rowOff>53340</xdr:rowOff>
    </xdr:to>
    <xdr:sp macro="" textlink="">
      <xdr:nvSpPr>
        <xdr:cNvPr id="6168" name="AutoShape 1048" descr="https://www.soccerstats.com/img/own/sshplogo.png">
          <a:hlinkClick xmlns:r="http://schemas.openxmlformats.org/officeDocument/2006/relationships" r:id="rId694"/>
        </xdr:cNvPr>
        <xdr:cNvSpPr>
          <a:spLocks noChangeAspect="1" noChangeArrowheads="1"/>
        </xdr:cNvSpPr>
      </xdr:nvSpPr>
      <xdr:spPr bwMode="auto">
        <a:xfrm>
          <a:off x="13411200" y="7604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152400</xdr:colOff>
      <xdr:row>37</xdr:row>
      <xdr:rowOff>106680</xdr:rowOff>
    </xdr:to>
    <xdr:sp macro="" textlink="">
      <xdr:nvSpPr>
        <xdr:cNvPr id="6169" name="AutoShape 1049" descr="AUSTRALIA7"/>
        <xdr:cNvSpPr>
          <a:spLocks noChangeAspect="1" noChangeArrowheads="1"/>
        </xdr:cNvSpPr>
      </xdr:nvSpPr>
      <xdr:spPr bwMode="auto">
        <a:xfrm>
          <a:off x="0" y="785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37</xdr:row>
      <xdr:rowOff>0</xdr:rowOff>
    </xdr:from>
    <xdr:to>
      <xdr:col>22</xdr:col>
      <xdr:colOff>304800</xdr:colOff>
      <xdr:row>38</xdr:row>
      <xdr:rowOff>129540</xdr:rowOff>
    </xdr:to>
    <xdr:sp macro="" textlink="">
      <xdr:nvSpPr>
        <xdr:cNvPr id="6170" name="AutoShape 1050" descr="https://www.soccerstats.com/img/own/sshplogo.png">
          <a:hlinkClick xmlns:r="http://schemas.openxmlformats.org/officeDocument/2006/relationships" r:id="rId695"/>
        </xdr:cNvPr>
        <xdr:cNvSpPr>
          <a:spLocks noChangeAspect="1" noChangeArrowheads="1"/>
        </xdr:cNvSpPr>
      </xdr:nvSpPr>
      <xdr:spPr bwMode="auto">
        <a:xfrm>
          <a:off x="13411200" y="785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152400</xdr:colOff>
      <xdr:row>38</xdr:row>
      <xdr:rowOff>106680</xdr:rowOff>
    </xdr:to>
    <xdr:sp macro="" textlink="">
      <xdr:nvSpPr>
        <xdr:cNvPr id="6171" name="AutoShape 1051" descr="AUSTRALIA7"/>
        <xdr:cNvSpPr>
          <a:spLocks noChangeAspect="1" noChangeArrowheads="1"/>
        </xdr:cNvSpPr>
      </xdr:nvSpPr>
      <xdr:spPr bwMode="auto">
        <a:xfrm>
          <a:off x="0" y="810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38</xdr:row>
      <xdr:rowOff>0</xdr:rowOff>
    </xdr:from>
    <xdr:to>
      <xdr:col>22</xdr:col>
      <xdr:colOff>304800</xdr:colOff>
      <xdr:row>39</xdr:row>
      <xdr:rowOff>129540</xdr:rowOff>
    </xdr:to>
    <xdr:sp macro="" textlink="">
      <xdr:nvSpPr>
        <xdr:cNvPr id="6172" name="AutoShape 1052" descr="https://www.soccerstats.com/img/own/sshplogo.png">
          <a:hlinkClick xmlns:r="http://schemas.openxmlformats.org/officeDocument/2006/relationships" r:id="rId696"/>
        </xdr:cNvPr>
        <xdr:cNvSpPr>
          <a:spLocks noChangeAspect="1" noChangeArrowheads="1"/>
        </xdr:cNvSpPr>
      </xdr:nvSpPr>
      <xdr:spPr bwMode="auto">
        <a:xfrm>
          <a:off x="13411200" y="810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152400</xdr:colOff>
      <xdr:row>39</xdr:row>
      <xdr:rowOff>106680</xdr:rowOff>
    </xdr:to>
    <xdr:sp macro="" textlink="">
      <xdr:nvSpPr>
        <xdr:cNvPr id="6173" name="AutoShape 1053" descr="AUSTRALIA7"/>
        <xdr:cNvSpPr>
          <a:spLocks noChangeAspect="1" noChangeArrowheads="1"/>
        </xdr:cNvSpPr>
      </xdr:nvSpPr>
      <xdr:spPr bwMode="auto">
        <a:xfrm>
          <a:off x="0" y="8359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39</xdr:row>
      <xdr:rowOff>0</xdr:rowOff>
    </xdr:from>
    <xdr:to>
      <xdr:col>22</xdr:col>
      <xdr:colOff>304800</xdr:colOff>
      <xdr:row>40</xdr:row>
      <xdr:rowOff>129540</xdr:rowOff>
    </xdr:to>
    <xdr:sp macro="" textlink="">
      <xdr:nvSpPr>
        <xdr:cNvPr id="6174" name="AutoShape 1054" descr="https://www.soccerstats.com/img/own/sshplogo.png">
          <a:hlinkClick xmlns:r="http://schemas.openxmlformats.org/officeDocument/2006/relationships" r:id="rId697"/>
        </xdr:cNvPr>
        <xdr:cNvSpPr>
          <a:spLocks noChangeAspect="1" noChangeArrowheads="1"/>
        </xdr:cNvSpPr>
      </xdr:nvSpPr>
      <xdr:spPr bwMode="auto">
        <a:xfrm>
          <a:off x="13411200" y="8359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152400</xdr:colOff>
      <xdr:row>40</xdr:row>
      <xdr:rowOff>106680</xdr:rowOff>
    </xdr:to>
    <xdr:sp macro="" textlink="">
      <xdr:nvSpPr>
        <xdr:cNvPr id="6175" name="AutoShape 1055" descr="AUSTRALIA7"/>
        <xdr:cNvSpPr>
          <a:spLocks noChangeAspect="1" noChangeArrowheads="1"/>
        </xdr:cNvSpPr>
      </xdr:nvSpPr>
      <xdr:spPr bwMode="auto">
        <a:xfrm>
          <a:off x="0" y="8534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40</xdr:row>
      <xdr:rowOff>0</xdr:rowOff>
    </xdr:from>
    <xdr:to>
      <xdr:col>22</xdr:col>
      <xdr:colOff>304800</xdr:colOff>
      <xdr:row>41</xdr:row>
      <xdr:rowOff>129540</xdr:rowOff>
    </xdr:to>
    <xdr:sp macro="" textlink="">
      <xdr:nvSpPr>
        <xdr:cNvPr id="6176" name="AutoShape 1056" descr="https://www.soccerstats.com/img/own/sshplogo.png">
          <a:hlinkClick xmlns:r="http://schemas.openxmlformats.org/officeDocument/2006/relationships" r:id="rId698"/>
        </xdr:cNvPr>
        <xdr:cNvSpPr>
          <a:spLocks noChangeAspect="1" noChangeArrowheads="1"/>
        </xdr:cNvSpPr>
      </xdr:nvSpPr>
      <xdr:spPr bwMode="auto">
        <a:xfrm>
          <a:off x="13411200" y="8534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152400</xdr:colOff>
      <xdr:row>41</xdr:row>
      <xdr:rowOff>106680</xdr:rowOff>
    </xdr:to>
    <xdr:sp macro="" textlink="">
      <xdr:nvSpPr>
        <xdr:cNvPr id="6177" name="AutoShape 1057" descr="AUSTRALIA10"/>
        <xdr:cNvSpPr>
          <a:spLocks noChangeAspect="1" noChangeArrowheads="1"/>
        </xdr:cNvSpPr>
      </xdr:nvSpPr>
      <xdr:spPr bwMode="auto">
        <a:xfrm>
          <a:off x="0" y="8709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41</xdr:row>
      <xdr:rowOff>0</xdr:rowOff>
    </xdr:from>
    <xdr:to>
      <xdr:col>22</xdr:col>
      <xdr:colOff>304800</xdr:colOff>
      <xdr:row>42</xdr:row>
      <xdr:rowOff>129540</xdr:rowOff>
    </xdr:to>
    <xdr:sp macro="" textlink="">
      <xdr:nvSpPr>
        <xdr:cNvPr id="6178" name="AutoShape 1058" descr="https://www.soccerstats.com/img/own/sshplogo.png">
          <a:hlinkClick xmlns:r="http://schemas.openxmlformats.org/officeDocument/2006/relationships" r:id="rId699"/>
        </xdr:cNvPr>
        <xdr:cNvSpPr>
          <a:spLocks noChangeAspect="1" noChangeArrowheads="1"/>
        </xdr:cNvSpPr>
      </xdr:nvSpPr>
      <xdr:spPr bwMode="auto">
        <a:xfrm>
          <a:off x="13411200" y="8709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152400</xdr:colOff>
      <xdr:row>42</xdr:row>
      <xdr:rowOff>106680</xdr:rowOff>
    </xdr:to>
    <xdr:sp macro="" textlink="">
      <xdr:nvSpPr>
        <xdr:cNvPr id="6179" name="AutoShape 1059" descr="AUSTRALIA10"/>
        <xdr:cNvSpPr>
          <a:spLocks noChangeAspect="1" noChangeArrowheads="1"/>
        </xdr:cNvSpPr>
      </xdr:nvSpPr>
      <xdr:spPr bwMode="auto">
        <a:xfrm>
          <a:off x="0" y="8961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42</xdr:row>
      <xdr:rowOff>0</xdr:rowOff>
    </xdr:from>
    <xdr:to>
      <xdr:col>22</xdr:col>
      <xdr:colOff>304800</xdr:colOff>
      <xdr:row>43</xdr:row>
      <xdr:rowOff>129540</xdr:rowOff>
    </xdr:to>
    <xdr:sp macro="" textlink="">
      <xdr:nvSpPr>
        <xdr:cNvPr id="6180" name="AutoShape 1060" descr="https://www.soccerstats.com/img/own/sshplogo.png">
          <a:hlinkClick xmlns:r="http://schemas.openxmlformats.org/officeDocument/2006/relationships" r:id="rId700"/>
        </xdr:cNvPr>
        <xdr:cNvSpPr>
          <a:spLocks noChangeAspect="1" noChangeArrowheads="1"/>
        </xdr:cNvSpPr>
      </xdr:nvSpPr>
      <xdr:spPr bwMode="auto">
        <a:xfrm>
          <a:off x="13411200" y="8961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152400</xdr:colOff>
      <xdr:row>43</xdr:row>
      <xdr:rowOff>106680</xdr:rowOff>
    </xdr:to>
    <xdr:sp macro="" textlink="">
      <xdr:nvSpPr>
        <xdr:cNvPr id="6181" name="AutoShape 1061" descr="AUSTRALIA11"/>
        <xdr:cNvSpPr>
          <a:spLocks noChangeAspect="1" noChangeArrowheads="1"/>
        </xdr:cNvSpPr>
      </xdr:nvSpPr>
      <xdr:spPr bwMode="auto">
        <a:xfrm>
          <a:off x="0" y="9212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43</xdr:row>
      <xdr:rowOff>0</xdr:rowOff>
    </xdr:from>
    <xdr:to>
      <xdr:col>22</xdr:col>
      <xdr:colOff>304800</xdr:colOff>
      <xdr:row>44</xdr:row>
      <xdr:rowOff>53340</xdr:rowOff>
    </xdr:to>
    <xdr:sp macro="" textlink="">
      <xdr:nvSpPr>
        <xdr:cNvPr id="6182" name="AutoShape 1062" descr="https://www.soccerstats.com/img/own/sshplogo.png">
          <a:hlinkClick xmlns:r="http://schemas.openxmlformats.org/officeDocument/2006/relationships" r:id="rId701"/>
        </xdr:cNvPr>
        <xdr:cNvSpPr>
          <a:spLocks noChangeAspect="1" noChangeArrowheads="1"/>
        </xdr:cNvSpPr>
      </xdr:nvSpPr>
      <xdr:spPr bwMode="auto">
        <a:xfrm>
          <a:off x="13411200" y="9212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152400</xdr:colOff>
      <xdr:row>44</xdr:row>
      <xdr:rowOff>106680</xdr:rowOff>
    </xdr:to>
    <xdr:sp macro="" textlink="">
      <xdr:nvSpPr>
        <xdr:cNvPr id="6183" name="AutoShape 1063" descr="AUSTRALIA11"/>
        <xdr:cNvSpPr>
          <a:spLocks noChangeAspect="1" noChangeArrowheads="1"/>
        </xdr:cNvSpPr>
      </xdr:nvSpPr>
      <xdr:spPr bwMode="auto">
        <a:xfrm>
          <a:off x="0" y="9464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44</xdr:row>
      <xdr:rowOff>0</xdr:rowOff>
    </xdr:from>
    <xdr:to>
      <xdr:col>22</xdr:col>
      <xdr:colOff>304800</xdr:colOff>
      <xdr:row>45</xdr:row>
      <xdr:rowOff>53340</xdr:rowOff>
    </xdr:to>
    <xdr:sp macro="" textlink="">
      <xdr:nvSpPr>
        <xdr:cNvPr id="6184" name="AutoShape 1064" descr="https://www.soccerstats.com/img/own/sshplogo.png">
          <a:hlinkClick xmlns:r="http://schemas.openxmlformats.org/officeDocument/2006/relationships" r:id="rId702"/>
        </xdr:cNvPr>
        <xdr:cNvSpPr>
          <a:spLocks noChangeAspect="1" noChangeArrowheads="1"/>
        </xdr:cNvSpPr>
      </xdr:nvSpPr>
      <xdr:spPr bwMode="auto">
        <a:xfrm>
          <a:off x="13411200" y="9464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152400</xdr:colOff>
      <xdr:row>45</xdr:row>
      <xdr:rowOff>106680</xdr:rowOff>
    </xdr:to>
    <xdr:sp macro="" textlink="">
      <xdr:nvSpPr>
        <xdr:cNvPr id="6185" name="AutoShape 1065" descr="AUSTRALIA11"/>
        <xdr:cNvSpPr>
          <a:spLocks noChangeAspect="1" noChangeArrowheads="1"/>
        </xdr:cNvSpPr>
      </xdr:nvSpPr>
      <xdr:spPr bwMode="auto">
        <a:xfrm>
          <a:off x="0" y="9639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45</xdr:row>
      <xdr:rowOff>0</xdr:rowOff>
    </xdr:from>
    <xdr:to>
      <xdr:col>22</xdr:col>
      <xdr:colOff>304800</xdr:colOff>
      <xdr:row>46</xdr:row>
      <xdr:rowOff>129540</xdr:rowOff>
    </xdr:to>
    <xdr:sp macro="" textlink="">
      <xdr:nvSpPr>
        <xdr:cNvPr id="6186" name="AutoShape 1066" descr="https://www.soccerstats.com/img/own/sshplogo.png">
          <a:hlinkClick xmlns:r="http://schemas.openxmlformats.org/officeDocument/2006/relationships" r:id="rId703"/>
        </xdr:cNvPr>
        <xdr:cNvSpPr>
          <a:spLocks noChangeAspect="1" noChangeArrowheads="1"/>
        </xdr:cNvSpPr>
      </xdr:nvSpPr>
      <xdr:spPr bwMode="auto">
        <a:xfrm>
          <a:off x="13411200" y="963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152400</xdr:colOff>
      <xdr:row>46</xdr:row>
      <xdr:rowOff>106680</xdr:rowOff>
    </xdr:to>
    <xdr:sp macro="" textlink="">
      <xdr:nvSpPr>
        <xdr:cNvPr id="6187" name="AutoShape 1067" descr="AUSTRIA"/>
        <xdr:cNvSpPr>
          <a:spLocks noChangeAspect="1" noChangeArrowheads="1"/>
        </xdr:cNvSpPr>
      </xdr:nvSpPr>
      <xdr:spPr bwMode="auto">
        <a:xfrm>
          <a:off x="0" y="9890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46</xdr:row>
      <xdr:rowOff>0</xdr:rowOff>
    </xdr:from>
    <xdr:to>
      <xdr:col>22</xdr:col>
      <xdr:colOff>304800</xdr:colOff>
      <xdr:row>47</xdr:row>
      <xdr:rowOff>53340</xdr:rowOff>
    </xdr:to>
    <xdr:sp macro="" textlink="">
      <xdr:nvSpPr>
        <xdr:cNvPr id="6188" name="AutoShape 1068" descr="https://www.soccerstats.com/img/own/sshplogo.png">
          <a:hlinkClick xmlns:r="http://schemas.openxmlformats.org/officeDocument/2006/relationships" r:id="rId704"/>
        </xdr:cNvPr>
        <xdr:cNvSpPr>
          <a:spLocks noChangeAspect="1" noChangeArrowheads="1"/>
        </xdr:cNvSpPr>
      </xdr:nvSpPr>
      <xdr:spPr bwMode="auto">
        <a:xfrm>
          <a:off x="13411200" y="9890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152400</xdr:colOff>
      <xdr:row>47</xdr:row>
      <xdr:rowOff>106680</xdr:rowOff>
    </xdr:to>
    <xdr:sp macro="" textlink="">
      <xdr:nvSpPr>
        <xdr:cNvPr id="6189" name="AutoShape 1069" descr="AUSTRIA"/>
        <xdr:cNvSpPr>
          <a:spLocks noChangeAspect="1" noChangeArrowheads="1"/>
        </xdr:cNvSpPr>
      </xdr:nvSpPr>
      <xdr:spPr bwMode="auto">
        <a:xfrm>
          <a:off x="0" y="10066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47</xdr:row>
      <xdr:rowOff>0</xdr:rowOff>
    </xdr:from>
    <xdr:to>
      <xdr:col>22</xdr:col>
      <xdr:colOff>304800</xdr:colOff>
      <xdr:row>48</xdr:row>
      <xdr:rowOff>129540</xdr:rowOff>
    </xdr:to>
    <xdr:sp macro="" textlink="">
      <xdr:nvSpPr>
        <xdr:cNvPr id="6190" name="AutoShape 1070" descr="https://www.soccerstats.com/img/own/sshplogo.png">
          <a:hlinkClick xmlns:r="http://schemas.openxmlformats.org/officeDocument/2006/relationships" r:id="rId705"/>
        </xdr:cNvPr>
        <xdr:cNvSpPr>
          <a:spLocks noChangeAspect="1" noChangeArrowheads="1"/>
        </xdr:cNvSpPr>
      </xdr:nvSpPr>
      <xdr:spPr bwMode="auto">
        <a:xfrm>
          <a:off x="13411200" y="10066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152400</xdr:colOff>
      <xdr:row>48</xdr:row>
      <xdr:rowOff>106680</xdr:rowOff>
    </xdr:to>
    <xdr:sp macro="" textlink="">
      <xdr:nvSpPr>
        <xdr:cNvPr id="6191" name="AutoShape 1071" descr="AUSTRIA"/>
        <xdr:cNvSpPr>
          <a:spLocks noChangeAspect="1" noChangeArrowheads="1"/>
        </xdr:cNvSpPr>
      </xdr:nvSpPr>
      <xdr:spPr bwMode="auto">
        <a:xfrm>
          <a:off x="0" y="1024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48</xdr:row>
      <xdr:rowOff>0</xdr:rowOff>
    </xdr:from>
    <xdr:to>
      <xdr:col>22</xdr:col>
      <xdr:colOff>304800</xdr:colOff>
      <xdr:row>49</xdr:row>
      <xdr:rowOff>129540</xdr:rowOff>
    </xdr:to>
    <xdr:sp macro="" textlink="">
      <xdr:nvSpPr>
        <xdr:cNvPr id="6192" name="AutoShape 1072" descr="https://www.soccerstats.com/img/own/sshplogo.png">
          <a:hlinkClick xmlns:r="http://schemas.openxmlformats.org/officeDocument/2006/relationships" r:id="rId706"/>
        </xdr:cNvPr>
        <xdr:cNvSpPr>
          <a:spLocks noChangeAspect="1" noChangeArrowheads="1"/>
        </xdr:cNvSpPr>
      </xdr:nvSpPr>
      <xdr:spPr bwMode="auto">
        <a:xfrm>
          <a:off x="13411200" y="1024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152400</xdr:colOff>
      <xdr:row>49</xdr:row>
      <xdr:rowOff>106680</xdr:rowOff>
    </xdr:to>
    <xdr:sp macro="" textlink="">
      <xdr:nvSpPr>
        <xdr:cNvPr id="6193" name="AutoShape 1073" descr="AUSTRIA2"/>
        <xdr:cNvSpPr>
          <a:spLocks noChangeAspect="1" noChangeArrowheads="1"/>
        </xdr:cNvSpPr>
      </xdr:nvSpPr>
      <xdr:spPr bwMode="auto">
        <a:xfrm>
          <a:off x="0" y="10416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49</xdr:row>
      <xdr:rowOff>0</xdr:rowOff>
    </xdr:from>
    <xdr:to>
      <xdr:col>22</xdr:col>
      <xdr:colOff>304800</xdr:colOff>
      <xdr:row>50</xdr:row>
      <xdr:rowOff>129540</xdr:rowOff>
    </xdr:to>
    <xdr:sp macro="" textlink="">
      <xdr:nvSpPr>
        <xdr:cNvPr id="6194" name="AutoShape 1074" descr="https://www.soccerstats.com/img/own/sshplogo.png">
          <a:hlinkClick xmlns:r="http://schemas.openxmlformats.org/officeDocument/2006/relationships" r:id="rId707"/>
        </xdr:cNvPr>
        <xdr:cNvSpPr>
          <a:spLocks noChangeAspect="1" noChangeArrowheads="1"/>
        </xdr:cNvSpPr>
      </xdr:nvSpPr>
      <xdr:spPr bwMode="auto">
        <a:xfrm>
          <a:off x="13411200" y="10416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152400</xdr:colOff>
      <xdr:row>50</xdr:row>
      <xdr:rowOff>106680</xdr:rowOff>
    </xdr:to>
    <xdr:sp macro="" textlink="">
      <xdr:nvSpPr>
        <xdr:cNvPr id="6195" name="AutoShape 1075" descr="BELARUS"/>
        <xdr:cNvSpPr>
          <a:spLocks noChangeAspect="1" noChangeArrowheads="1"/>
        </xdr:cNvSpPr>
      </xdr:nvSpPr>
      <xdr:spPr bwMode="auto">
        <a:xfrm>
          <a:off x="0" y="10591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50</xdr:row>
      <xdr:rowOff>0</xdr:rowOff>
    </xdr:from>
    <xdr:to>
      <xdr:col>22</xdr:col>
      <xdr:colOff>304800</xdr:colOff>
      <xdr:row>51</xdr:row>
      <xdr:rowOff>129540</xdr:rowOff>
    </xdr:to>
    <xdr:sp macro="" textlink="">
      <xdr:nvSpPr>
        <xdr:cNvPr id="6196" name="AutoShape 1076" descr="https://www.soccerstats.com/img/own/sshplogo.png">
          <a:hlinkClick xmlns:r="http://schemas.openxmlformats.org/officeDocument/2006/relationships" r:id="rId708"/>
        </xdr:cNvPr>
        <xdr:cNvSpPr>
          <a:spLocks noChangeAspect="1" noChangeArrowheads="1"/>
        </xdr:cNvSpPr>
      </xdr:nvSpPr>
      <xdr:spPr bwMode="auto">
        <a:xfrm>
          <a:off x="13411200" y="1059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152400</xdr:colOff>
      <xdr:row>51</xdr:row>
      <xdr:rowOff>106680</xdr:rowOff>
    </xdr:to>
    <xdr:sp macro="" textlink="">
      <xdr:nvSpPr>
        <xdr:cNvPr id="6197" name="AutoShape 1077" descr="BELARUS"/>
        <xdr:cNvSpPr>
          <a:spLocks noChangeAspect="1" noChangeArrowheads="1"/>
        </xdr:cNvSpPr>
      </xdr:nvSpPr>
      <xdr:spPr bwMode="auto">
        <a:xfrm>
          <a:off x="0" y="10767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51</xdr:row>
      <xdr:rowOff>0</xdr:rowOff>
    </xdr:from>
    <xdr:to>
      <xdr:col>22</xdr:col>
      <xdr:colOff>304800</xdr:colOff>
      <xdr:row>52</xdr:row>
      <xdr:rowOff>53340</xdr:rowOff>
    </xdr:to>
    <xdr:sp macro="" textlink="">
      <xdr:nvSpPr>
        <xdr:cNvPr id="6198" name="AutoShape 1078" descr="https://www.soccerstats.com/img/own/sshplogo.png">
          <a:hlinkClick xmlns:r="http://schemas.openxmlformats.org/officeDocument/2006/relationships" r:id="rId709"/>
        </xdr:cNvPr>
        <xdr:cNvSpPr>
          <a:spLocks noChangeAspect="1" noChangeArrowheads="1"/>
        </xdr:cNvSpPr>
      </xdr:nvSpPr>
      <xdr:spPr bwMode="auto">
        <a:xfrm>
          <a:off x="13411200" y="10767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152400</xdr:colOff>
      <xdr:row>52</xdr:row>
      <xdr:rowOff>106680</xdr:rowOff>
    </xdr:to>
    <xdr:sp macro="" textlink="">
      <xdr:nvSpPr>
        <xdr:cNvPr id="6199" name="AutoShape 1079" descr="BELARUS"/>
        <xdr:cNvSpPr>
          <a:spLocks noChangeAspect="1" noChangeArrowheads="1"/>
        </xdr:cNvSpPr>
      </xdr:nvSpPr>
      <xdr:spPr bwMode="auto">
        <a:xfrm>
          <a:off x="0" y="11018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52</xdr:row>
      <xdr:rowOff>0</xdr:rowOff>
    </xdr:from>
    <xdr:to>
      <xdr:col>22</xdr:col>
      <xdr:colOff>304800</xdr:colOff>
      <xdr:row>53</xdr:row>
      <xdr:rowOff>129540</xdr:rowOff>
    </xdr:to>
    <xdr:sp macro="" textlink="">
      <xdr:nvSpPr>
        <xdr:cNvPr id="6200" name="AutoShape 1080" descr="https://www.soccerstats.com/img/own/sshplogo.png">
          <a:hlinkClick xmlns:r="http://schemas.openxmlformats.org/officeDocument/2006/relationships" r:id="rId710"/>
        </xdr:cNvPr>
        <xdr:cNvSpPr>
          <a:spLocks noChangeAspect="1" noChangeArrowheads="1"/>
        </xdr:cNvSpPr>
      </xdr:nvSpPr>
      <xdr:spPr bwMode="auto">
        <a:xfrm>
          <a:off x="13411200" y="11018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152400</xdr:colOff>
      <xdr:row>53</xdr:row>
      <xdr:rowOff>106680</xdr:rowOff>
    </xdr:to>
    <xdr:sp macro="" textlink="">
      <xdr:nvSpPr>
        <xdr:cNvPr id="6201" name="AutoShape 1081" descr="BELGIUM"/>
        <xdr:cNvSpPr>
          <a:spLocks noChangeAspect="1" noChangeArrowheads="1"/>
        </xdr:cNvSpPr>
      </xdr:nvSpPr>
      <xdr:spPr bwMode="auto">
        <a:xfrm>
          <a:off x="0" y="11193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53</xdr:row>
      <xdr:rowOff>0</xdr:rowOff>
    </xdr:from>
    <xdr:to>
      <xdr:col>22</xdr:col>
      <xdr:colOff>304800</xdr:colOff>
      <xdr:row>54</xdr:row>
      <xdr:rowOff>53340</xdr:rowOff>
    </xdr:to>
    <xdr:sp macro="" textlink="">
      <xdr:nvSpPr>
        <xdr:cNvPr id="6202" name="AutoShape 1082" descr="https://www.soccerstats.com/img/own/sshplogo.png">
          <a:hlinkClick xmlns:r="http://schemas.openxmlformats.org/officeDocument/2006/relationships" r:id="rId711"/>
        </xdr:cNvPr>
        <xdr:cNvSpPr>
          <a:spLocks noChangeAspect="1" noChangeArrowheads="1"/>
        </xdr:cNvSpPr>
      </xdr:nvSpPr>
      <xdr:spPr bwMode="auto">
        <a:xfrm>
          <a:off x="13411200" y="11193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152400</xdr:colOff>
      <xdr:row>54</xdr:row>
      <xdr:rowOff>106680</xdr:rowOff>
    </xdr:to>
    <xdr:sp macro="" textlink="">
      <xdr:nvSpPr>
        <xdr:cNvPr id="6203" name="AutoShape 1083" descr="BELGIUM"/>
        <xdr:cNvSpPr>
          <a:spLocks noChangeAspect="1" noChangeArrowheads="1"/>
        </xdr:cNvSpPr>
      </xdr:nvSpPr>
      <xdr:spPr bwMode="auto">
        <a:xfrm>
          <a:off x="0" y="11369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54</xdr:row>
      <xdr:rowOff>0</xdr:rowOff>
    </xdr:from>
    <xdr:to>
      <xdr:col>22</xdr:col>
      <xdr:colOff>304800</xdr:colOff>
      <xdr:row>55</xdr:row>
      <xdr:rowOff>53340</xdr:rowOff>
    </xdr:to>
    <xdr:sp macro="" textlink="">
      <xdr:nvSpPr>
        <xdr:cNvPr id="6204" name="AutoShape 1084" descr="https://www.soccerstats.com/img/own/sshplogo.png">
          <a:hlinkClick xmlns:r="http://schemas.openxmlformats.org/officeDocument/2006/relationships" r:id="rId712"/>
        </xdr:cNvPr>
        <xdr:cNvSpPr>
          <a:spLocks noChangeAspect="1" noChangeArrowheads="1"/>
        </xdr:cNvSpPr>
      </xdr:nvSpPr>
      <xdr:spPr bwMode="auto">
        <a:xfrm>
          <a:off x="13411200" y="11369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152400</xdr:colOff>
      <xdr:row>55</xdr:row>
      <xdr:rowOff>106680</xdr:rowOff>
    </xdr:to>
    <xdr:sp macro="" textlink="">
      <xdr:nvSpPr>
        <xdr:cNvPr id="6205" name="AutoShape 1085" descr="BELGIUM"/>
        <xdr:cNvSpPr>
          <a:spLocks noChangeAspect="1" noChangeArrowheads="1"/>
        </xdr:cNvSpPr>
      </xdr:nvSpPr>
      <xdr:spPr bwMode="auto">
        <a:xfrm>
          <a:off x="0" y="11544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55</xdr:row>
      <xdr:rowOff>0</xdr:rowOff>
    </xdr:from>
    <xdr:to>
      <xdr:col>22</xdr:col>
      <xdr:colOff>304800</xdr:colOff>
      <xdr:row>56</xdr:row>
      <xdr:rowOff>129540</xdr:rowOff>
    </xdr:to>
    <xdr:sp macro="" textlink="">
      <xdr:nvSpPr>
        <xdr:cNvPr id="6206" name="AutoShape 1086" descr="https://www.soccerstats.com/img/own/sshplogo.png">
          <a:hlinkClick xmlns:r="http://schemas.openxmlformats.org/officeDocument/2006/relationships" r:id="rId713"/>
        </xdr:cNvPr>
        <xdr:cNvSpPr>
          <a:spLocks noChangeAspect="1" noChangeArrowheads="1"/>
        </xdr:cNvSpPr>
      </xdr:nvSpPr>
      <xdr:spPr bwMode="auto">
        <a:xfrm>
          <a:off x="13411200" y="1154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152400</xdr:colOff>
      <xdr:row>56</xdr:row>
      <xdr:rowOff>106680</xdr:rowOff>
    </xdr:to>
    <xdr:sp macro="" textlink="">
      <xdr:nvSpPr>
        <xdr:cNvPr id="6207" name="AutoShape 1087" descr="BELGIUM"/>
        <xdr:cNvSpPr>
          <a:spLocks noChangeAspect="1" noChangeArrowheads="1"/>
        </xdr:cNvSpPr>
      </xdr:nvSpPr>
      <xdr:spPr bwMode="auto">
        <a:xfrm>
          <a:off x="0" y="11795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56</xdr:row>
      <xdr:rowOff>0</xdr:rowOff>
    </xdr:from>
    <xdr:to>
      <xdr:col>22</xdr:col>
      <xdr:colOff>304800</xdr:colOff>
      <xdr:row>57</xdr:row>
      <xdr:rowOff>53340</xdr:rowOff>
    </xdr:to>
    <xdr:sp macro="" textlink="">
      <xdr:nvSpPr>
        <xdr:cNvPr id="6208" name="AutoShape 1088" descr="https://www.soccerstats.com/img/own/sshplogo.png">
          <a:hlinkClick xmlns:r="http://schemas.openxmlformats.org/officeDocument/2006/relationships" r:id="rId714"/>
        </xdr:cNvPr>
        <xdr:cNvSpPr>
          <a:spLocks noChangeAspect="1" noChangeArrowheads="1"/>
        </xdr:cNvSpPr>
      </xdr:nvSpPr>
      <xdr:spPr bwMode="auto">
        <a:xfrm>
          <a:off x="13411200" y="11795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152400</xdr:colOff>
      <xdr:row>57</xdr:row>
      <xdr:rowOff>106680</xdr:rowOff>
    </xdr:to>
    <xdr:sp macro="" textlink="">
      <xdr:nvSpPr>
        <xdr:cNvPr id="6209" name="AutoShape 1089" descr="BELGIUM2"/>
        <xdr:cNvSpPr>
          <a:spLocks noChangeAspect="1" noChangeArrowheads="1"/>
        </xdr:cNvSpPr>
      </xdr:nvSpPr>
      <xdr:spPr bwMode="auto">
        <a:xfrm>
          <a:off x="0" y="11971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57</xdr:row>
      <xdr:rowOff>0</xdr:rowOff>
    </xdr:from>
    <xdr:to>
      <xdr:col>22</xdr:col>
      <xdr:colOff>304800</xdr:colOff>
      <xdr:row>58</xdr:row>
      <xdr:rowOff>53340</xdr:rowOff>
    </xdr:to>
    <xdr:sp macro="" textlink="">
      <xdr:nvSpPr>
        <xdr:cNvPr id="6210" name="AutoShape 1090" descr="https://www.soccerstats.com/img/own/sshplogo.png">
          <a:hlinkClick xmlns:r="http://schemas.openxmlformats.org/officeDocument/2006/relationships" r:id="rId715"/>
        </xdr:cNvPr>
        <xdr:cNvSpPr>
          <a:spLocks noChangeAspect="1" noChangeArrowheads="1"/>
        </xdr:cNvSpPr>
      </xdr:nvSpPr>
      <xdr:spPr bwMode="auto">
        <a:xfrm>
          <a:off x="13411200" y="11971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152400</xdr:colOff>
      <xdr:row>58</xdr:row>
      <xdr:rowOff>106680</xdr:rowOff>
    </xdr:to>
    <xdr:sp macro="" textlink="">
      <xdr:nvSpPr>
        <xdr:cNvPr id="6211" name="AutoShape 1091" descr="BRAZIL"/>
        <xdr:cNvSpPr>
          <a:spLocks noChangeAspect="1" noChangeArrowheads="1"/>
        </xdr:cNvSpPr>
      </xdr:nvSpPr>
      <xdr:spPr bwMode="auto">
        <a:xfrm>
          <a:off x="0" y="12146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58</xdr:row>
      <xdr:rowOff>0</xdr:rowOff>
    </xdr:from>
    <xdr:to>
      <xdr:col>22</xdr:col>
      <xdr:colOff>304800</xdr:colOff>
      <xdr:row>59</xdr:row>
      <xdr:rowOff>53340</xdr:rowOff>
    </xdr:to>
    <xdr:sp macro="" textlink="">
      <xdr:nvSpPr>
        <xdr:cNvPr id="6212" name="AutoShape 1092" descr="https://www.soccerstats.com/img/own/sshplogo.png">
          <a:hlinkClick xmlns:r="http://schemas.openxmlformats.org/officeDocument/2006/relationships" r:id="rId716"/>
        </xdr:cNvPr>
        <xdr:cNvSpPr>
          <a:spLocks noChangeAspect="1" noChangeArrowheads="1"/>
        </xdr:cNvSpPr>
      </xdr:nvSpPr>
      <xdr:spPr bwMode="auto">
        <a:xfrm>
          <a:off x="13411200" y="12146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152400</xdr:colOff>
      <xdr:row>59</xdr:row>
      <xdr:rowOff>106680</xdr:rowOff>
    </xdr:to>
    <xdr:sp macro="" textlink="">
      <xdr:nvSpPr>
        <xdr:cNvPr id="6213" name="AutoShape 1093" descr="BRAZIL"/>
        <xdr:cNvSpPr>
          <a:spLocks noChangeAspect="1" noChangeArrowheads="1"/>
        </xdr:cNvSpPr>
      </xdr:nvSpPr>
      <xdr:spPr bwMode="auto">
        <a:xfrm>
          <a:off x="0" y="12321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59</xdr:row>
      <xdr:rowOff>0</xdr:rowOff>
    </xdr:from>
    <xdr:to>
      <xdr:col>22</xdr:col>
      <xdr:colOff>304800</xdr:colOff>
      <xdr:row>60</xdr:row>
      <xdr:rowOff>53340</xdr:rowOff>
    </xdr:to>
    <xdr:sp macro="" textlink="">
      <xdr:nvSpPr>
        <xdr:cNvPr id="6214" name="AutoShape 1094" descr="https://www.soccerstats.com/img/own/sshplogo.png">
          <a:hlinkClick xmlns:r="http://schemas.openxmlformats.org/officeDocument/2006/relationships" r:id="rId717"/>
        </xdr:cNvPr>
        <xdr:cNvSpPr>
          <a:spLocks noChangeAspect="1" noChangeArrowheads="1"/>
        </xdr:cNvSpPr>
      </xdr:nvSpPr>
      <xdr:spPr bwMode="auto">
        <a:xfrm>
          <a:off x="13411200" y="12321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152400</xdr:colOff>
      <xdr:row>60</xdr:row>
      <xdr:rowOff>106680</xdr:rowOff>
    </xdr:to>
    <xdr:sp macro="" textlink="">
      <xdr:nvSpPr>
        <xdr:cNvPr id="6215" name="AutoShape 1095" descr="BRAZIL"/>
        <xdr:cNvSpPr>
          <a:spLocks noChangeAspect="1" noChangeArrowheads="1"/>
        </xdr:cNvSpPr>
      </xdr:nvSpPr>
      <xdr:spPr bwMode="auto">
        <a:xfrm>
          <a:off x="0" y="12496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60</xdr:row>
      <xdr:rowOff>0</xdr:rowOff>
    </xdr:from>
    <xdr:to>
      <xdr:col>22</xdr:col>
      <xdr:colOff>304800</xdr:colOff>
      <xdr:row>60</xdr:row>
      <xdr:rowOff>304800</xdr:rowOff>
    </xdr:to>
    <xdr:sp macro="" textlink="">
      <xdr:nvSpPr>
        <xdr:cNvPr id="6216" name="AutoShape 1096" descr="https://www.soccerstats.com/img/own/sshplogo.png">
          <a:hlinkClick xmlns:r="http://schemas.openxmlformats.org/officeDocument/2006/relationships" r:id="rId718"/>
        </xdr:cNvPr>
        <xdr:cNvSpPr>
          <a:spLocks noChangeAspect="1" noChangeArrowheads="1"/>
        </xdr:cNvSpPr>
      </xdr:nvSpPr>
      <xdr:spPr bwMode="auto">
        <a:xfrm>
          <a:off x="13411200" y="1249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152400</xdr:colOff>
      <xdr:row>61</xdr:row>
      <xdr:rowOff>106680</xdr:rowOff>
    </xdr:to>
    <xdr:sp macro="" textlink="">
      <xdr:nvSpPr>
        <xdr:cNvPr id="6217" name="AutoShape 1097" descr="BRAZIL"/>
        <xdr:cNvSpPr>
          <a:spLocks noChangeAspect="1" noChangeArrowheads="1"/>
        </xdr:cNvSpPr>
      </xdr:nvSpPr>
      <xdr:spPr bwMode="auto">
        <a:xfrm>
          <a:off x="0" y="12672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61</xdr:row>
      <xdr:rowOff>0</xdr:rowOff>
    </xdr:from>
    <xdr:to>
      <xdr:col>22</xdr:col>
      <xdr:colOff>304800</xdr:colOff>
      <xdr:row>62</xdr:row>
      <xdr:rowOff>53340</xdr:rowOff>
    </xdr:to>
    <xdr:sp macro="" textlink="">
      <xdr:nvSpPr>
        <xdr:cNvPr id="6218" name="AutoShape 1098" descr="https://www.soccerstats.com/img/own/sshplogo.png">
          <a:hlinkClick xmlns:r="http://schemas.openxmlformats.org/officeDocument/2006/relationships" r:id="rId719"/>
        </xdr:cNvPr>
        <xdr:cNvSpPr>
          <a:spLocks noChangeAspect="1" noChangeArrowheads="1"/>
        </xdr:cNvSpPr>
      </xdr:nvSpPr>
      <xdr:spPr bwMode="auto">
        <a:xfrm>
          <a:off x="13411200" y="12672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152400</xdr:colOff>
      <xdr:row>62</xdr:row>
      <xdr:rowOff>106680</xdr:rowOff>
    </xdr:to>
    <xdr:sp macro="" textlink="">
      <xdr:nvSpPr>
        <xdr:cNvPr id="6219" name="AutoShape 1099" descr="BRAZIL"/>
        <xdr:cNvSpPr>
          <a:spLocks noChangeAspect="1" noChangeArrowheads="1"/>
        </xdr:cNvSpPr>
      </xdr:nvSpPr>
      <xdr:spPr bwMode="auto">
        <a:xfrm>
          <a:off x="0" y="12923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62</xdr:row>
      <xdr:rowOff>0</xdr:rowOff>
    </xdr:from>
    <xdr:to>
      <xdr:col>22</xdr:col>
      <xdr:colOff>304800</xdr:colOff>
      <xdr:row>63</xdr:row>
      <xdr:rowOff>53340</xdr:rowOff>
    </xdr:to>
    <xdr:sp macro="" textlink="">
      <xdr:nvSpPr>
        <xdr:cNvPr id="6220" name="AutoShape 1100" descr="https://www.soccerstats.com/img/own/sshplogo.png">
          <a:hlinkClick xmlns:r="http://schemas.openxmlformats.org/officeDocument/2006/relationships" r:id="rId720"/>
        </xdr:cNvPr>
        <xdr:cNvSpPr>
          <a:spLocks noChangeAspect="1" noChangeArrowheads="1"/>
        </xdr:cNvSpPr>
      </xdr:nvSpPr>
      <xdr:spPr bwMode="auto">
        <a:xfrm>
          <a:off x="13411200" y="12923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152400</xdr:colOff>
      <xdr:row>63</xdr:row>
      <xdr:rowOff>106680</xdr:rowOff>
    </xdr:to>
    <xdr:sp macro="" textlink="">
      <xdr:nvSpPr>
        <xdr:cNvPr id="6221" name="AutoShape 1101" descr="BRAZIL"/>
        <xdr:cNvSpPr>
          <a:spLocks noChangeAspect="1" noChangeArrowheads="1"/>
        </xdr:cNvSpPr>
      </xdr:nvSpPr>
      <xdr:spPr bwMode="auto">
        <a:xfrm>
          <a:off x="0" y="13098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63</xdr:row>
      <xdr:rowOff>0</xdr:rowOff>
    </xdr:from>
    <xdr:to>
      <xdr:col>22</xdr:col>
      <xdr:colOff>304800</xdr:colOff>
      <xdr:row>64</xdr:row>
      <xdr:rowOff>53340</xdr:rowOff>
    </xdr:to>
    <xdr:sp macro="" textlink="">
      <xdr:nvSpPr>
        <xdr:cNvPr id="6222" name="AutoShape 1102" descr="https://www.soccerstats.com/img/own/sshplogo.png">
          <a:hlinkClick xmlns:r="http://schemas.openxmlformats.org/officeDocument/2006/relationships" r:id="rId721"/>
        </xdr:cNvPr>
        <xdr:cNvSpPr>
          <a:spLocks noChangeAspect="1" noChangeArrowheads="1"/>
        </xdr:cNvSpPr>
      </xdr:nvSpPr>
      <xdr:spPr bwMode="auto">
        <a:xfrm>
          <a:off x="13411200" y="13098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152400</xdr:colOff>
      <xdr:row>64</xdr:row>
      <xdr:rowOff>106680</xdr:rowOff>
    </xdr:to>
    <xdr:sp macro="" textlink="">
      <xdr:nvSpPr>
        <xdr:cNvPr id="6223" name="AutoShape 1103" descr="BRAZIL"/>
        <xdr:cNvSpPr>
          <a:spLocks noChangeAspect="1" noChangeArrowheads="1"/>
        </xdr:cNvSpPr>
      </xdr:nvSpPr>
      <xdr:spPr bwMode="auto">
        <a:xfrm>
          <a:off x="0" y="13274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64</xdr:row>
      <xdr:rowOff>0</xdr:rowOff>
    </xdr:from>
    <xdr:to>
      <xdr:col>22</xdr:col>
      <xdr:colOff>304800</xdr:colOff>
      <xdr:row>65</xdr:row>
      <xdr:rowOff>129540</xdr:rowOff>
    </xdr:to>
    <xdr:sp macro="" textlink="">
      <xdr:nvSpPr>
        <xdr:cNvPr id="6224" name="AutoShape 1104" descr="https://www.soccerstats.com/img/own/sshplogo.png">
          <a:hlinkClick xmlns:r="http://schemas.openxmlformats.org/officeDocument/2006/relationships" r:id="rId722"/>
        </xdr:cNvPr>
        <xdr:cNvSpPr>
          <a:spLocks noChangeAspect="1" noChangeArrowheads="1"/>
        </xdr:cNvSpPr>
      </xdr:nvSpPr>
      <xdr:spPr bwMode="auto">
        <a:xfrm>
          <a:off x="13411200" y="13274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152400</xdr:colOff>
      <xdr:row>65</xdr:row>
      <xdr:rowOff>106680</xdr:rowOff>
    </xdr:to>
    <xdr:sp macro="" textlink="">
      <xdr:nvSpPr>
        <xdr:cNvPr id="6225" name="AutoShape 1105" descr="BRAZIL2"/>
        <xdr:cNvSpPr>
          <a:spLocks noChangeAspect="1" noChangeArrowheads="1"/>
        </xdr:cNvSpPr>
      </xdr:nvSpPr>
      <xdr:spPr bwMode="auto">
        <a:xfrm>
          <a:off x="0" y="13449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65</xdr:row>
      <xdr:rowOff>0</xdr:rowOff>
    </xdr:from>
    <xdr:to>
      <xdr:col>22</xdr:col>
      <xdr:colOff>304800</xdr:colOff>
      <xdr:row>66</xdr:row>
      <xdr:rowOff>129540</xdr:rowOff>
    </xdr:to>
    <xdr:sp macro="" textlink="">
      <xdr:nvSpPr>
        <xdr:cNvPr id="6226" name="AutoShape 1106" descr="https://www.soccerstats.com/img/own/sshplogo.png">
          <a:hlinkClick xmlns:r="http://schemas.openxmlformats.org/officeDocument/2006/relationships" r:id="rId723"/>
        </xdr:cNvPr>
        <xdr:cNvSpPr>
          <a:spLocks noChangeAspect="1" noChangeArrowheads="1"/>
        </xdr:cNvSpPr>
      </xdr:nvSpPr>
      <xdr:spPr bwMode="auto">
        <a:xfrm>
          <a:off x="13411200" y="1344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152400</xdr:colOff>
      <xdr:row>66</xdr:row>
      <xdr:rowOff>106680</xdr:rowOff>
    </xdr:to>
    <xdr:sp macro="" textlink="">
      <xdr:nvSpPr>
        <xdr:cNvPr id="6227" name="AutoShape 1107" descr="BRAZIL2"/>
        <xdr:cNvSpPr>
          <a:spLocks noChangeAspect="1" noChangeArrowheads="1"/>
        </xdr:cNvSpPr>
      </xdr:nvSpPr>
      <xdr:spPr bwMode="auto">
        <a:xfrm>
          <a:off x="0" y="13624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66</xdr:row>
      <xdr:rowOff>0</xdr:rowOff>
    </xdr:from>
    <xdr:to>
      <xdr:col>22</xdr:col>
      <xdr:colOff>304800</xdr:colOff>
      <xdr:row>67</xdr:row>
      <xdr:rowOff>129540</xdr:rowOff>
    </xdr:to>
    <xdr:sp macro="" textlink="">
      <xdr:nvSpPr>
        <xdr:cNvPr id="6228" name="AutoShape 1108" descr="https://www.soccerstats.com/img/own/sshplogo.png">
          <a:hlinkClick xmlns:r="http://schemas.openxmlformats.org/officeDocument/2006/relationships" r:id="rId724"/>
        </xdr:cNvPr>
        <xdr:cNvSpPr>
          <a:spLocks noChangeAspect="1" noChangeArrowheads="1"/>
        </xdr:cNvSpPr>
      </xdr:nvSpPr>
      <xdr:spPr bwMode="auto">
        <a:xfrm>
          <a:off x="13411200" y="13624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152400</xdr:colOff>
      <xdr:row>67</xdr:row>
      <xdr:rowOff>106680</xdr:rowOff>
    </xdr:to>
    <xdr:sp macro="" textlink="">
      <xdr:nvSpPr>
        <xdr:cNvPr id="6229" name="AutoShape 1109" descr="BRAZIL2"/>
        <xdr:cNvSpPr>
          <a:spLocks noChangeAspect="1" noChangeArrowheads="1"/>
        </xdr:cNvSpPr>
      </xdr:nvSpPr>
      <xdr:spPr bwMode="auto">
        <a:xfrm>
          <a:off x="0" y="13799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67</xdr:row>
      <xdr:rowOff>0</xdr:rowOff>
    </xdr:from>
    <xdr:to>
      <xdr:col>22</xdr:col>
      <xdr:colOff>304800</xdr:colOff>
      <xdr:row>68</xdr:row>
      <xdr:rowOff>129540</xdr:rowOff>
    </xdr:to>
    <xdr:sp macro="" textlink="">
      <xdr:nvSpPr>
        <xdr:cNvPr id="6230" name="AutoShape 1110" descr="https://www.soccerstats.com/img/own/sshplogo.png">
          <a:hlinkClick xmlns:r="http://schemas.openxmlformats.org/officeDocument/2006/relationships" r:id="rId725"/>
        </xdr:cNvPr>
        <xdr:cNvSpPr>
          <a:spLocks noChangeAspect="1" noChangeArrowheads="1"/>
        </xdr:cNvSpPr>
      </xdr:nvSpPr>
      <xdr:spPr bwMode="auto">
        <a:xfrm>
          <a:off x="13411200" y="13799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152400</xdr:colOff>
      <xdr:row>68</xdr:row>
      <xdr:rowOff>106680</xdr:rowOff>
    </xdr:to>
    <xdr:sp macro="" textlink="">
      <xdr:nvSpPr>
        <xdr:cNvPr id="6231" name="AutoShape 1111" descr="BRAZIL3"/>
        <xdr:cNvSpPr>
          <a:spLocks noChangeAspect="1" noChangeArrowheads="1"/>
        </xdr:cNvSpPr>
      </xdr:nvSpPr>
      <xdr:spPr bwMode="auto">
        <a:xfrm>
          <a:off x="0" y="1405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68</xdr:row>
      <xdr:rowOff>0</xdr:rowOff>
    </xdr:from>
    <xdr:to>
      <xdr:col>22</xdr:col>
      <xdr:colOff>304800</xdr:colOff>
      <xdr:row>69</xdr:row>
      <xdr:rowOff>129540</xdr:rowOff>
    </xdr:to>
    <xdr:sp macro="" textlink="">
      <xdr:nvSpPr>
        <xdr:cNvPr id="6232" name="AutoShape 1112" descr="https://www.soccerstats.com/img/own/sshplogo.png">
          <a:hlinkClick xmlns:r="http://schemas.openxmlformats.org/officeDocument/2006/relationships" r:id="rId726"/>
        </xdr:cNvPr>
        <xdr:cNvSpPr>
          <a:spLocks noChangeAspect="1" noChangeArrowheads="1"/>
        </xdr:cNvSpPr>
      </xdr:nvSpPr>
      <xdr:spPr bwMode="auto">
        <a:xfrm>
          <a:off x="13411200" y="1405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152400</xdr:colOff>
      <xdr:row>69</xdr:row>
      <xdr:rowOff>106680</xdr:rowOff>
    </xdr:to>
    <xdr:sp macro="" textlink="">
      <xdr:nvSpPr>
        <xdr:cNvPr id="6233" name="AutoShape 1113" descr="BRAZIL3"/>
        <xdr:cNvSpPr>
          <a:spLocks noChangeAspect="1" noChangeArrowheads="1"/>
        </xdr:cNvSpPr>
      </xdr:nvSpPr>
      <xdr:spPr bwMode="auto">
        <a:xfrm>
          <a:off x="0" y="14226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69</xdr:row>
      <xdr:rowOff>0</xdr:rowOff>
    </xdr:from>
    <xdr:to>
      <xdr:col>22</xdr:col>
      <xdr:colOff>304800</xdr:colOff>
      <xdr:row>70</xdr:row>
      <xdr:rowOff>129540</xdr:rowOff>
    </xdr:to>
    <xdr:sp macro="" textlink="">
      <xdr:nvSpPr>
        <xdr:cNvPr id="6234" name="AutoShape 1114" descr="https://www.soccerstats.com/img/own/sshplogo.png">
          <a:hlinkClick xmlns:r="http://schemas.openxmlformats.org/officeDocument/2006/relationships" r:id="rId727"/>
        </xdr:cNvPr>
        <xdr:cNvSpPr>
          <a:spLocks noChangeAspect="1" noChangeArrowheads="1"/>
        </xdr:cNvSpPr>
      </xdr:nvSpPr>
      <xdr:spPr bwMode="auto">
        <a:xfrm>
          <a:off x="13411200" y="14226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152400</xdr:colOff>
      <xdr:row>70</xdr:row>
      <xdr:rowOff>106680</xdr:rowOff>
    </xdr:to>
    <xdr:sp macro="" textlink="">
      <xdr:nvSpPr>
        <xdr:cNvPr id="6235" name="AutoShape 1115" descr="BRAZIL3"/>
        <xdr:cNvSpPr>
          <a:spLocks noChangeAspect="1" noChangeArrowheads="1"/>
        </xdr:cNvSpPr>
      </xdr:nvSpPr>
      <xdr:spPr bwMode="auto">
        <a:xfrm>
          <a:off x="0" y="14401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70</xdr:row>
      <xdr:rowOff>0</xdr:rowOff>
    </xdr:from>
    <xdr:to>
      <xdr:col>22</xdr:col>
      <xdr:colOff>304800</xdr:colOff>
      <xdr:row>71</xdr:row>
      <xdr:rowOff>129540</xdr:rowOff>
    </xdr:to>
    <xdr:sp macro="" textlink="">
      <xdr:nvSpPr>
        <xdr:cNvPr id="6236" name="AutoShape 1116" descr="https://www.soccerstats.com/img/own/sshplogo.png">
          <a:hlinkClick xmlns:r="http://schemas.openxmlformats.org/officeDocument/2006/relationships" r:id="rId728"/>
        </xdr:cNvPr>
        <xdr:cNvSpPr>
          <a:spLocks noChangeAspect="1" noChangeArrowheads="1"/>
        </xdr:cNvSpPr>
      </xdr:nvSpPr>
      <xdr:spPr bwMode="auto">
        <a:xfrm>
          <a:off x="13411200" y="1440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152400</xdr:colOff>
      <xdr:row>71</xdr:row>
      <xdr:rowOff>106680</xdr:rowOff>
    </xdr:to>
    <xdr:sp macro="" textlink="">
      <xdr:nvSpPr>
        <xdr:cNvPr id="6237" name="AutoShape 1117" descr="BRAZIL3"/>
        <xdr:cNvSpPr>
          <a:spLocks noChangeAspect="1" noChangeArrowheads="1"/>
        </xdr:cNvSpPr>
      </xdr:nvSpPr>
      <xdr:spPr bwMode="auto">
        <a:xfrm>
          <a:off x="0" y="14577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71</xdr:row>
      <xdr:rowOff>0</xdr:rowOff>
    </xdr:from>
    <xdr:to>
      <xdr:col>22</xdr:col>
      <xdr:colOff>304800</xdr:colOff>
      <xdr:row>72</xdr:row>
      <xdr:rowOff>53340</xdr:rowOff>
    </xdr:to>
    <xdr:sp macro="" textlink="">
      <xdr:nvSpPr>
        <xdr:cNvPr id="6238" name="AutoShape 1118" descr="https://www.soccerstats.com/img/own/sshplogo.png">
          <a:hlinkClick xmlns:r="http://schemas.openxmlformats.org/officeDocument/2006/relationships" r:id="rId729"/>
        </xdr:cNvPr>
        <xdr:cNvSpPr>
          <a:spLocks noChangeAspect="1" noChangeArrowheads="1"/>
        </xdr:cNvSpPr>
      </xdr:nvSpPr>
      <xdr:spPr bwMode="auto">
        <a:xfrm>
          <a:off x="13411200" y="14577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152400</xdr:colOff>
      <xdr:row>72</xdr:row>
      <xdr:rowOff>106680</xdr:rowOff>
    </xdr:to>
    <xdr:sp macro="" textlink="">
      <xdr:nvSpPr>
        <xdr:cNvPr id="6239" name="AutoShape 1119" descr="BRAZIL5"/>
        <xdr:cNvSpPr>
          <a:spLocks noChangeAspect="1" noChangeArrowheads="1"/>
        </xdr:cNvSpPr>
      </xdr:nvSpPr>
      <xdr:spPr bwMode="auto">
        <a:xfrm>
          <a:off x="0" y="14752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72</xdr:row>
      <xdr:rowOff>0</xdr:rowOff>
    </xdr:from>
    <xdr:to>
      <xdr:col>22</xdr:col>
      <xdr:colOff>304800</xdr:colOff>
      <xdr:row>73</xdr:row>
      <xdr:rowOff>53340</xdr:rowOff>
    </xdr:to>
    <xdr:sp macro="" textlink="">
      <xdr:nvSpPr>
        <xdr:cNvPr id="6240" name="AutoShape 1120" descr="https://www.soccerstats.com/img/own/sshplogo.png">
          <a:hlinkClick xmlns:r="http://schemas.openxmlformats.org/officeDocument/2006/relationships" r:id="rId730"/>
        </xdr:cNvPr>
        <xdr:cNvSpPr>
          <a:spLocks noChangeAspect="1" noChangeArrowheads="1"/>
        </xdr:cNvSpPr>
      </xdr:nvSpPr>
      <xdr:spPr bwMode="auto">
        <a:xfrm>
          <a:off x="13411200" y="14752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152400</xdr:colOff>
      <xdr:row>73</xdr:row>
      <xdr:rowOff>106680</xdr:rowOff>
    </xdr:to>
    <xdr:sp macro="" textlink="">
      <xdr:nvSpPr>
        <xdr:cNvPr id="6241" name="AutoShape 1121" descr="BRAZIL5"/>
        <xdr:cNvSpPr>
          <a:spLocks noChangeAspect="1" noChangeArrowheads="1"/>
        </xdr:cNvSpPr>
      </xdr:nvSpPr>
      <xdr:spPr bwMode="auto">
        <a:xfrm>
          <a:off x="0" y="14927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73</xdr:row>
      <xdr:rowOff>0</xdr:rowOff>
    </xdr:from>
    <xdr:to>
      <xdr:col>22</xdr:col>
      <xdr:colOff>304800</xdr:colOff>
      <xdr:row>74</xdr:row>
      <xdr:rowOff>129540</xdr:rowOff>
    </xdr:to>
    <xdr:sp macro="" textlink="">
      <xdr:nvSpPr>
        <xdr:cNvPr id="6242" name="AutoShape 1122" descr="https://www.soccerstats.com/img/own/sshplogo.png">
          <a:hlinkClick xmlns:r="http://schemas.openxmlformats.org/officeDocument/2006/relationships" r:id="rId731"/>
        </xdr:cNvPr>
        <xdr:cNvSpPr>
          <a:spLocks noChangeAspect="1" noChangeArrowheads="1"/>
        </xdr:cNvSpPr>
      </xdr:nvSpPr>
      <xdr:spPr bwMode="auto">
        <a:xfrm>
          <a:off x="13411200" y="14927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152400</xdr:colOff>
      <xdr:row>74</xdr:row>
      <xdr:rowOff>106680</xdr:rowOff>
    </xdr:to>
    <xdr:sp macro="" textlink="">
      <xdr:nvSpPr>
        <xdr:cNvPr id="6243" name="AutoShape 1123" descr="BRAZIL5"/>
        <xdr:cNvSpPr>
          <a:spLocks noChangeAspect="1" noChangeArrowheads="1"/>
        </xdr:cNvSpPr>
      </xdr:nvSpPr>
      <xdr:spPr bwMode="auto">
        <a:xfrm>
          <a:off x="0" y="15102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74</xdr:row>
      <xdr:rowOff>0</xdr:rowOff>
    </xdr:from>
    <xdr:to>
      <xdr:col>22</xdr:col>
      <xdr:colOff>304800</xdr:colOff>
      <xdr:row>75</xdr:row>
      <xdr:rowOff>129540</xdr:rowOff>
    </xdr:to>
    <xdr:sp macro="" textlink="">
      <xdr:nvSpPr>
        <xdr:cNvPr id="6244" name="AutoShape 1124" descr="https://www.soccerstats.com/img/own/sshplogo.png">
          <a:hlinkClick xmlns:r="http://schemas.openxmlformats.org/officeDocument/2006/relationships" r:id="rId732"/>
        </xdr:cNvPr>
        <xdr:cNvSpPr>
          <a:spLocks noChangeAspect="1" noChangeArrowheads="1"/>
        </xdr:cNvSpPr>
      </xdr:nvSpPr>
      <xdr:spPr bwMode="auto">
        <a:xfrm>
          <a:off x="13411200" y="15102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152400</xdr:colOff>
      <xdr:row>75</xdr:row>
      <xdr:rowOff>106680</xdr:rowOff>
    </xdr:to>
    <xdr:sp macro="" textlink="">
      <xdr:nvSpPr>
        <xdr:cNvPr id="6245" name="AutoShape 1125" descr="BULGARIA"/>
        <xdr:cNvSpPr>
          <a:spLocks noChangeAspect="1" noChangeArrowheads="1"/>
        </xdr:cNvSpPr>
      </xdr:nvSpPr>
      <xdr:spPr bwMode="auto">
        <a:xfrm>
          <a:off x="0" y="15278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75</xdr:row>
      <xdr:rowOff>0</xdr:rowOff>
    </xdr:from>
    <xdr:to>
      <xdr:col>22</xdr:col>
      <xdr:colOff>304800</xdr:colOff>
      <xdr:row>76</xdr:row>
      <xdr:rowOff>129540</xdr:rowOff>
    </xdr:to>
    <xdr:sp macro="" textlink="">
      <xdr:nvSpPr>
        <xdr:cNvPr id="6246" name="AutoShape 1126" descr="https://www.soccerstats.com/img/own/sshplogo.png">
          <a:hlinkClick xmlns:r="http://schemas.openxmlformats.org/officeDocument/2006/relationships" r:id="rId733"/>
        </xdr:cNvPr>
        <xdr:cNvSpPr>
          <a:spLocks noChangeAspect="1" noChangeArrowheads="1"/>
        </xdr:cNvSpPr>
      </xdr:nvSpPr>
      <xdr:spPr bwMode="auto">
        <a:xfrm>
          <a:off x="13411200" y="15278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152400</xdr:colOff>
      <xdr:row>76</xdr:row>
      <xdr:rowOff>106680</xdr:rowOff>
    </xdr:to>
    <xdr:sp macro="" textlink="">
      <xdr:nvSpPr>
        <xdr:cNvPr id="6247" name="AutoShape 1127" descr="BULGARIA"/>
        <xdr:cNvSpPr>
          <a:spLocks noChangeAspect="1" noChangeArrowheads="1"/>
        </xdr:cNvSpPr>
      </xdr:nvSpPr>
      <xdr:spPr bwMode="auto">
        <a:xfrm>
          <a:off x="0" y="15453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76</xdr:row>
      <xdr:rowOff>0</xdr:rowOff>
    </xdr:from>
    <xdr:to>
      <xdr:col>22</xdr:col>
      <xdr:colOff>304800</xdr:colOff>
      <xdr:row>77</xdr:row>
      <xdr:rowOff>129540</xdr:rowOff>
    </xdr:to>
    <xdr:sp macro="" textlink="">
      <xdr:nvSpPr>
        <xdr:cNvPr id="6248" name="AutoShape 1128" descr="https://www.soccerstats.com/img/own/sshplogo.png">
          <a:hlinkClick xmlns:r="http://schemas.openxmlformats.org/officeDocument/2006/relationships" r:id="rId734"/>
        </xdr:cNvPr>
        <xdr:cNvSpPr>
          <a:spLocks noChangeAspect="1" noChangeArrowheads="1"/>
        </xdr:cNvSpPr>
      </xdr:nvSpPr>
      <xdr:spPr bwMode="auto">
        <a:xfrm>
          <a:off x="13411200" y="15453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152400</xdr:colOff>
      <xdr:row>77</xdr:row>
      <xdr:rowOff>106680</xdr:rowOff>
    </xdr:to>
    <xdr:sp macro="" textlink="">
      <xdr:nvSpPr>
        <xdr:cNvPr id="6249" name="AutoShape 1129" descr="BULGARIA2"/>
        <xdr:cNvSpPr>
          <a:spLocks noChangeAspect="1" noChangeArrowheads="1"/>
        </xdr:cNvSpPr>
      </xdr:nvSpPr>
      <xdr:spPr bwMode="auto">
        <a:xfrm>
          <a:off x="0" y="15628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77</xdr:row>
      <xdr:rowOff>0</xdr:rowOff>
    </xdr:from>
    <xdr:to>
      <xdr:col>22</xdr:col>
      <xdr:colOff>304800</xdr:colOff>
      <xdr:row>78</xdr:row>
      <xdr:rowOff>129540</xdr:rowOff>
    </xdr:to>
    <xdr:sp macro="" textlink="">
      <xdr:nvSpPr>
        <xdr:cNvPr id="6250" name="AutoShape 1130" descr="https://www.soccerstats.com/img/own/sshplogo.png">
          <a:hlinkClick xmlns:r="http://schemas.openxmlformats.org/officeDocument/2006/relationships" r:id="rId735"/>
        </xdr:cNvPr>
        <xdr:cNvSpPr>
          <a:spLocks noChangeAspect="1" noChangeArrowheads="1"/>
        </xdr:cNvSpPr>
      </xdr:nvSpPr>
      <xdr:spPr bwMode="auto">
        <a:xfrm>
          <a:off x="13411200" y="15628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152400</xdr:colOff>
      <xdr:row>78</xdr:row>
      <xdr:rowOff>106680</xdr:rowOff>
    </xdr:to>
    <xdr:sp macro="" textlink="">
      <xdr:nvSpPr>
        <xdr:cNvPr id="6251" name="AutoShape 1131" descr="BULGARIA2"/>
        <xdr:cNvSpPr>
          <a:spLocks noChangeAspect="1" noChangeArrowheads="1"/>
        </xdr:cNvSpPr>
      </xdr:nvSpPr>
      <xdr:spPr bwMode="auto">
        <a:xfrm>
          <a:off x="0" y="15880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78</xdr:row>
      <xdr:rowOff>0</xdr:rowOff>
    </xdr:from>
    <xdr:to>
      <xdr:col>22</xdr:col>
      <xdr:colOff>304800</xdr:colOff>
      <xdr:row>79</xdr:row>
      <xdr:rowOff>129540</xdr:rowOff>
    </xdr:to>
    <xdr:sp macro="" textlink="">
      <xdr:nvSpPr>
        <xdr:cNvPr id="6252" name="AutoShape 1132" descr="https://www.soccerstats.com/img/own/sshplogo.png">
          <a:hlinkClick xmlns:r="http://schemas.openxmlformats.org/officeDocument/2006/relationships" r:id="rId736"/>
        </xdr:cNvPr>
        <xdr:cNvSpPr>
          <a:spLocks noChangeAspect="1" noChangeArrowheads="1"/>
        </xdr:cNvSpPr>
      </xdr:nvSpPr>
      <xdr:spPr bwMode="auto">
        <a:xfrm>
          <a:off x="13411200" y="15880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152400</xdr:colOff>
      <xdr:row>79</xdr:row>
      <xdr:rowOff>106680</xdr:rowOff>
    </xdr:to>
    <xdr:sp macro="" textlink="">
      <xdr:nvSpPr>
        <xdr:cNvPr id="6253" name="AutoShape 1133" descr="BULGARIA2"/>
        <xdr:cNvSpPr>
          <a:spLocks noChangeAspect="1" noChangeArrowheads="1"/>
        </xdr:cNvSpPr>
      </xdr:nvSpPr>
      <xdr:spPr bwMode="auto">
        <a:xfrm>
          <a:off x="0" y="16131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79</xdr:row>
      <xdr:rowOff>0</xdr:rowOff>
    </xdr:from>
    <xdr:to>
      <xdr:col>22</xdr:col>
      <xdr:colOff>304800</xdr:colOff>
      <xdr:row>80</xdr:row>
      <xdr:rowOff>53340</xdr:rowOff>
    </xdr:to>
    <xdr:sp macro="" textlink="">
      <xdr:nvSpPr>
        <xdr:cNvPr id="6254" name="AutoShape 1134" descr="https://www.soccerstats.com/img/own/sshplogo.png">
          <a:hlinkClick xmlns:r="http://schemas.openxmlformats.org/officeDocument/2006/relationships" r:id="rId737"/>
        </xdr:cNvPr>
        <xdr:cNvSpPr>
          <a:spLocks noChangeAspect="1" noChangeArrowheads="1"/>
        </xdr:cNvSpPr>
      </xdr:nvSpPr>
      <xdr:spPr bwMode="auto">
        <a:xfrm>
          <a:off x="13411200" y="16131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152400</xdr:colOff>
      <xdr:row>80</xdr:row>
      <xdr:rowOff>106680</xdr:rowOff>
    </xdr:to>
    <xdr:sp macro="" textlink="">
      <xdr:nvSpPr>
        <xdr:cNvPr id="6255" name="AutoShape 1135" descr="BULGARIA2"/>
        <xdr:cNvSpPr>
          <a:spLocks noChangeAspect="1" noChangeArrowheads="1"/>
        </xdr:cNvSpPr>
      </xdr:nvSpPr>
      <xdr:spPr bwMode="auto">
        <a:xfrm>
          <a:off x="0" y="16306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80</xdr:row>
      <xdr:rowOff>0</xdr:rowOff>
    </xdr:from>
    <xdr:to>
      <xdr:col>22</xdr:col>
      <xdr:colOff>304800</xdr:colOff>
      <xdr:row>81</xdr:row>
      <xdr:rowOff>129540</xdr:rowOff>
    </xdr:to>
    <xdr:sp macro="" textlink="">
      <xdr:nvSpPr>
        <xdr:cNvPr id="6256" name="AutoShape 1136" descr="https://www.soccerstats.com/img/own/sshplogo.png">
          <a:hlinkClick xmlns:r="http://schemas.openxmlformats.org/officeDocument/2006/relationships" r:id="rId738"/>
        </xdr:cNvPr>
        <xdr:cNvSpPr>
          <a:spLocks noChangeAspect="1" noChangeArrowheads="1"/>
        </xdr:cNvSpPr>
      </xdr:nvSpPr>
      <xdr:spPr bwMode="auto">
        <a:xfrm>
          <a:off x="13411200" y="1630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152400</xdr:colOff>
      <xdr:row>81</xdr:row>
      <xdr:rowOff>106680</xdr:rowOff>
    </xdr:to>
    <xdr:sp macro="" textlink="">
      <xdr:nvSpPr>
        <xdr:cNvPr id="6257" name="AutoShape 1137" descr="BULGARIA2"/>
        <xdr:cNvSpPr>
          <a:spLocks noChangeAspect="1" noChangeArrowheads="1"/>
        </xdr:cNvSpPr>
      </xdr:nvSpPr>
      <xdr:spPr bwMode="auto">
        <a:xfrm>
          <a:off x="0" y="16482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81</xdr:row>
      <xdr:rowOff>0</xdr:rowOff>
    </xdr:from>
    <xdr:to>
      <xdr:col>22</xdr:col>
      <xdr:colOff>304800</xdr:colOff>
      <xdr:row>82</xdr:row>
      <xdr:rowOff>53340</xdr:rowOff>
    </xdr:to>
    <xdr:sp macro="" textlink="">
      <xdr:nvSpPr>
        <xdr:cNvPr id="6258" name="AutoShape 1138" descr="https://www.soccerstats.com/img/own/sshplogo.png">
          <a:hlinkClick xmlns:r="http://schemas.openxmlformats.org/officeDocument/2006/relationships" r:id="rId739"/>
        </xdr:cNvPr>
        <xdr:cNvSpPr>
          <a:spLocks noChangeAspect="1" noChangeArrowheads="1"/>
        </xdr:cNvSpPr>
      </xdr:nvSpPr>
      <xdr:spPr bwMode="auto">
        <a:xfrm>
          <a:off x="13411200" y="16482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152400</xdr:colOff>
      <xdr:row>82</xdr:row>
      <xdr:rowOff>106680</xdr:rowOff>
    </xdr:to>
    <xdr:sp macro="" textlink="">
      <xdr:nvSpPr>
        <xdr:cNvPr id="6259" name="AutoShape 1139" descr="CANADA"/>
        <xdr:cNvSpPr>
          <a:spLocks noChangeAspect="1" noChangeArrowheads="1"/>
        </xdr:cNvSpPr>
      </xdr:nvSpPr>
      <xdr:spPr bwMode="auto">
        <a:xfrm>
          <a:off x="0" y="16657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82</xdr:row>
      <xdr:rowOff>0</xdr:rowOff>
    </xdr:from>
    <xdr:to>
      <xdr:col>22</xdr:col>
      <xdr:colOff>304800</xdr:colOff>
      <xdr:row>83</xdr:row>
      <xdr:rowOff>129540</xdr:rowOff>
    </xdr:to>
    <xdr:sp macro="" textlink="">
      <xdr:nvSpPr>
        <xdr:cNvPr id="6260" name="AutoShape 1140" descr="https://www.soccerstats.com/img/own/sshplogo.png">
          <a:hlinkClick xmlns:r="http://schemas.openxmlformats.org/officeDocument/2006/relationships" r:id="rId740"/>
        </xdr:cNvPr>
        <xdr:cNvSpPr>
          <a:spLocks noChangeAspect="1" noChangeArrowheads="1"/>
        </xdr:cNvSpPr>
      </xdr:nvSpPr>
      <xdr:spPr bwMode="auto">
        <a:xfrm>
          <a:off x="13411200" y="16657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152400</xdr:colOff>
      <xdr:row>83</xdr:row>
      <xdr:rowOff>106680</xdr:rowOff>
    </xdr:to>
    <xdr:sp macro="" textlink="">
      <xdr:nvSpPr>
        <xdr:cNvPr id="6261" name="AutoShape 1141" descr="CANADA"/>
        <xdr:cNvSpPr>
          <a:spLocks noChangeAspect="1" noChangeArrowheads="1"/>
        </xdr:cNvSpPr>
      </xdr:nvSpPr>
      <xdr:spPr bwMode="auto">
        <a:xfrm>
          <a:off x="0" y="16908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83</xdr:row>
      <xdr:rowOff>0</xdr:rowOff>
    </xdr:from>
    <xdr:to>
      <xdr:col>22</xdr:col>
      <xdr:colOff>304800</xdr:colOff>
      <xdr:row>84</xdr:row>
      <xdr:rowOff>53340</xdr:rowOff>
    </xdr:to>
    <xdr:sp macro="" textlink="">
      <xdr:nvSpPr>
        <xdr:cNvPr id="6262" name="AutoShape 1142" descr="https://www.soccerstats.com/img/own/sshplogo.png">
          <a:hlinkClick xmlns:r="http://schemas.openxmlformats.org/officeDocument/2006/relationships" r:id="rId741"/>
        </xdr:cNvPr>
        <xdr:cNvSpPr>
          <a:spLocks noChangeAspect="1" noChangeArrowheads="1"/>
        </xdr:cNvSpPr>
      </xdr:nvSpPr>
      <xdr:spPr bwMode="auto">
        <a:xfrm>
          <a:off x="13411200" y="16908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152400</xdr:colOff>
      <xdr:row>84</xdr:row>
      <xdr:rowOff>106680</xdr:rowOff>
    </xdr:to>
    <xdr:sp macro="" textlink="">
      <xdr:nvSpPr>
        <xdr:cNvPr id="6263" name="AutoShape 1143" descr="CHILE"/>
        <xdr:cNvSpPr>
          <a:spLocks noChangeAspect="1" noChangeArrowheads="1"/>
        </xdr:cNvSpPr>
      </xdr:nvSpPr>
      <xdr:spPr bwMode="auto">
        <a:xfrm>
          <a:off x="0" y="17160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84</xdr:row>
      <xdr:rowOff>0</xdr:rowOff>
    </xdr:from>
    <xdr:to>
      <xdr:col>22</xdr:col>
      <xdr:colOff>304800</xdr:colOff>
      <xdr:row>85</xdr:row>
      <xdr:rowOff>129540</xdr:rowOff>
    </xdr:to>
    <xdr:sp macro="" textlink="">
      <xdr:nvSpPr>
        <xdr:cNvPr id="6264" name="AutoShape 1144" descr="https://www.soccerstats.com/img/own/sshplogo.png">
          <a:hlinkClick xmlns:r="http://schemas.openxmlformats.org/officeDocument/2006/relationships" r:id="rId742"/>
        </xdr:cNvPr>
        <xdr:cNvSpPr>
          <a:spLocks noChangeAspect="1" noChangeArrowheads="1"/>
        </xdr:cNvSpPr>
      </xdr:nvSpPr>
      <xdr:spPr bwMode="auto">
        <a:xfrm>
          <a:off x="13411200" y="17160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152400</xdr:colOff>
      <xdr:row>85</xdr:row>
      <xdr:rowOff>106680</xdr:rowOff>
    </xdr:to>
    <xdr:sp macro="" textlink="">
      <xdr:nvSpPr>
        <xdr:cNvPr id="6265" name="AutoShape 1145" descr="CHILE"/>
        <xdr:cNvSpPr>
          <a:spLocks noChangeAspect="1" noChangeArrowheads="1"/>
        </xdr:cNvSpPr>
      </xdr:nvSpPr>
      <xdr:spPr bwMode="auto">
        <a:xfrm>
          <a:off x="0" y="17411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85</xdr:row>
      <xdr:rowOff>0</xdr:rowOff>
    </xdr:from>
    <xdr:to>
      <xdr:col>22</xdr:col>
      <xdr:colOff>304800</xdr:colOff>
      <xdr:row>86</xdr:row>
      <xdr:rowOff>129540</xdr:rowOff>
    </xdr:to>
    <xdr:sp macro="" textlink="">
      <xdr:nvSpPr>
        <xdr:cNvPr id="6266" name="AutoShape 1146" descr="https://www.soccerstats.com/img/own/sshplogo.png">
          <a:hlinkClick xmlns:r="http://schemas.openxmlformats.org/officeDocument/2006/relationships" r:id="rId743"/>
        </xdr:cNvPr>
        <xdr:cNvSpPr>
          <a:spLocks noChangeAspect="1" noChangeArrowheads="1"/>
        </xdr:cNvSpPr>
      </xdr:nvSpPr>
      <xdr:spPr bwMode="auto">
        <a:xfrm>
          <a:off x="13411200" y="1741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152400</xdr:colOff>
      <xdr:row>86</xdr:row>
      <xdr:rowOff>106680</xdr:rowOff>
    </xdr:to>
    <xdr:sp macro="" textlink="">
      <xdr:nvSpPr>
        <xdr:cNvPr id="6267" name="AutoShape 1147" descr="CHILE"/>
        <xdr:cNvSpPr>
          <a:spLocks noChangeAspect="1" noChangeArrowheads="1"/>
        </xdr:cNvSpPr>
      </xdr:nvSpPr>
      <xdr:spPr bwMode="auto">
        <a:xfrm>
          <a:off x="0" y="17663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86</xdr:row>
      <xdr:rowOff>0</xdr:rowOff>
    </xdr:from>
    <xdr:to>
      <xdr:col>22</xdr:col>
      <xdr:colOff>304800</xdr:colOff>
      <xdr:row>87</xdr:row>
      <xdr:rowOff>53340</xdr:rowOff>
    </xdr:to>
    <xdr:sp macro="" textlink="">
      <xdr:nvSpPr>
        <xdr:cNvPr id="6268" name="AutoShape 1148" descr="https://www.soccerstats.com/img/own/sshplogo.png">
          <a:hlinkClick xmlns:r="http://schemas.openxmlformats.org/officeDocument/2006/relationships" r:id="rId744"/>
        </xdr:cNvPr>
        <xdr:cNvSpPr>
          <a:spLocks noChangeAspect="1" noChangeArrowheads="1"/>
        </xdr:cNvSpPr>
      </xdr:nvSpPr>
      <xdr:spPr bwMode="auto">
        <a:xfrm>
          <a:off x="13411200" y="17663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152400</xdr:colOff>
      <xdr:row>87</xdr:row>
      <xdr:rowOff>106680</xdr:rowOff>
    </xdr:to>
    <xdr:sp macro="" textlink="">
      <xdr:nvSpPr>
        <xdr:cNvPr id="6269" name="AutoShape 1149" descr="CHILE"/>
        <xdr:cNvSpPr>
          <a:spLocks noChangeAspect="1" noChangeArrowheads="1"/>
        </xdr:cNvSpPr>
      </xdr:nvSpPr>
      <xdr:spPr bwMode="auto">
        <a:xfrm>
          <a:off x="0" y="17838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87</xdr:row>
      <xdr:rowOff>0</xdr:rowOff>
    </xdr:from>
    <xdr:to>
      <xdr:col>22</xdr:col>
      <xdr:colOff>304800</xdr:colOff>
      <xdr:row>88</xdr:row>
      <xdr:rowOff>129540</xdr:rowOff>
    </xdr:to>
    <xdr:sp macro="" textlink="">
      <xdr:nvSpPr>
        <xdr:cNvPr id="6270" name="AutoShape 1150" descr="https://www.soccerstats.com/img/own/sshplogo.png">
          <a:hlinkClick xmlns:r="http://schemas.openxmlformats.org/officeDocument/2006/relationships" r:id="rId745"/>
        </xdr:cNvPr>
        <xdr:cNvSpPr>
          <a:spLocks noChangeAspect="1" noChangeArrowheads="1"/>
        </xdr:cNvSpPr>
      </xdr:nvSpPr>
      <xdr:spPr bwMode="auto">
        <a:xfrm>
          <a:off x="13411200" y="17838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152400</xdr:colOff>
      <xdr:row>88</xdr:row>
      <xdr:rowOff>106680</xdr:rowOff>
    </xdr:to>
    <xdr:sp macro="" textlink="">
      <xdr:nvSpPr>
        <xdr:cNvPr id="6271" name="AutoShape 1151" descr="CHILE2"/>
        <xdr:cNvSpPr>
          <a:spLocks noChangeAspect="1" noChangeArrowheads="1"/>
        </xdr:cNvSpPr>
      </xdr:nvSpPr>
      <xdr:spPr bwMode="auto">
        <a:xfrm>
          <a:off x="0" y="18013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88</xdr:row>
      <xdr:rowOff>0</xdr:rowOff>
    </xdr:from>
    <xdr:to>
      <xdr:col>22</xdr:col>
      <xdr:colOff>304800</xdr:colOff>
      <xdr:row>89</xdr:row>
      <xdr:rowOff>53340</xdr:rowOff>
    </xdr:to>
    <xdr:sp macro="" textlink="">
      <xdr:nvSpPr>
        <xdr:cNvPr id="6272" name="AutoShape 1152" descr="https://www.soccerstats.com/img/own/sshplogo.png">
          <a:hlinkClick xmlns:r="http://schemas.openxmlformats.org/officeDocument/2006/relationships" r:id="rId746"/>
        </xdr:cNvPr>
        <xdr:cNvSpPr>
          <a:spLocks noChangeAspect="1" noChangeArrowheads="1"/>
        </xdr:cNvSpPr>
      </xdr:nvSpPr>
      <xdr:spPr bwMode="auto">
        <a:xfrm>
          <a:off x="13411200" y="18013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152400</xdr:colOff>
      <xdr:row>89</xdr:row>
      <xdr:rowOff>106680</xdr:rowOff>
    </xdr:to>
    <xdr:sp macro="" textlink="">
      <xdr:nvSpPr>
        <xdr:cNvPr id="6273" name="AutoShape 1153" descr="CHILE2"/>
        <xdr:cNvSpPr>
          <a:spLocks noChangeAspect="1" noChangeArrowheads="1"/>
        </xdr:cNvSpPr>
      </xdr:nvSpPr>
      <xdr:spPr bwMode="auto">
        <a:xfrm>
          <a:off x="0" y="18265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89</xdr:row>
      <xdr:rowOff>0</xdr:rowOff>
    </xdr:from>
    <xdr:to>
      <xdr:col>22</xdr:col>
      <xdr:colOff>304800</xdr:colOff>
      <xdr:row>90</xdr:row>
      <xdr:rowOff>53340</xdr:rowOff>
    </xdr:to>
    <xdr:sp macro="" textlink="">
      <xdr:nvSpPr>
        <xdr:cNvPr id="6274" name="AutoShape 1154" descr="https://www.soccerstats.com/img/own/sshplogo.png">
          <a:hlinkClick xmlns:r="http://schemas.openxmlformats.org/officeDocument/2006/relationships" r:id="rId747"/>
        </xdr:cNvPr>
        <xdr:cNvSpPr>
          <a:spLocks noChangeAspect="1" noChangeArrowheads="1"/>
        </xdr:cNvSpPr>
      </xdr:nvSpPr>
      <xdr:spPr bwMode="auto">
        <a:xfrm>
          <a:off x="13411200" y="18265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152400</xdr:colOff>
      <xdr:row>90</xdr:row>
      <xdr:rowOff>106680</xdr:rowOff>
    </xdr:to>
    <xdr:sp macro="" textlink="">
      <xdr:nvSpPr>
        <xdr:cNvPr id="6275" name="AutoShape 1155" descr="CHILE2"/>
        <xdr:cNvSpPr>
          <a:spLocks noChangeAspect="1" noChangeArrowheads="1"/>
        </xdr:cNvSpPr>
      </xdr:nvSpPr>
      <xdr:spPr bwMode="auto">
        <a:xfrm>
          <a:off x="0" y="18440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90</xdr:row>
      <xdr:rowOff>0</xdr:rowOff>
    </xdr:from>
    <xdr:to>
      <xdr:col>22</xdr:col>
      <xdr:colOff>304800</xdr:colOff>
      <xdr:row>91</xdr:row>
      <xdr:rowOff>129540</xdr:rowOff>
    </xdr:to>
    <xdr:sp macro="" textlink="">
      <xdr:nvSpPr>
        <xdr:cNvPr id="6276" name="AutoShape 1156" descr="https://www.soccerstats.com/img/own/sshplogo.png">
          <a:hlinkClick xmlns:r="http://schemas.openxmlformats.org/officeDocument/2006/relationships" r:id="rId748"/>
        </xdr:cNvPr>
        <xdr:cNvSpPr>
          <a:spLocks noChangeAspect="1" noChangeArrowheads="1"/>
        </xdr:cNvSpPr>
      </xdr:nvSpPr>
      <xdr:spPr bwMode="auto">
        <a:xfrm>
          <a:off x="13411200" y="18440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152400</xdr:colOff>
      <xdr:row>91</xdr:row>
      <xdr:rowOff>106680</xdr:rowOff>
    </xdr:to>
    <xdr:sp macro="" textlink="">
      <xdr:nvSpPr>
        <xdr:cNvPr id="6277" name="AutoShape 1157" descr="CHINA2"/>
        <xdr:cNvSpPr>
          <a:spLocks noChangeAspect="1" noChangeArrowheads="1"/>
        </xdr:cNvSpPr>
      </xdr:nvSpPr>
      <xdr:spPr bwMode="auto">
        <a:xfrm>
          <a:off x="0" y="18615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91</xdr:row>
      <xdr:rowOff>0</xdr:rowOff>
    </xdr:from>
    <xdr:to>
      <xdr:col>22</xdr:col>
      <xdr:colOff>304800</xdr:colOff>
      <xdr:row>92</xdr:row>
      <xdr:rowOff>129540</xdr:rowOff>
    </xdr:to>
    <xdr:sp macro="" textlink="">
      <xdr:nvSpPr>
        <xdr:cNvPr id="6278" name="AutoShape 1158" descr="https://www.soccerstats.com/img/own/sshplogo.png">
          <a:hlinkClick xmlns:r="http://schemas.openxmlformats.org/officeDocument/2006/relationships" r:id="rId749"/>
        </xdr:cNvPr>
        <xdr:cNvSpPr>
          <a:spLocks noChangeAspect="1" noChangeArrowheads="1"/>
        </xdr:cNvSpPr>
      </xdr:nvSpPr>
      <xdr:spPr bwMode="auto">
        <a:xfrm>
          <a:off x="13411200" y="18615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152400</xdr:colOff>
      <xdr:row>92</xdr:row>
      <xdr:rowOff>106680</xdr:rowOff>
    </xdr:to>
    <xdr:sp macro="" textlink="">
      <xdr:nvSpPr>
        <xdr:cNvPr id="6279" name="AutoShape 1159" descr="CHINA2"/>
        <xdr:cNvSpPr>
          <a:spLocks noChangeAspect="1" noChangeArrowheads="1"/>
        </xdr:cNvSpPr>
      </xdr:nvSpPr>
      <xdr:spPr bwMode="auto">
        <a:xfrm>
          <a:off x="0" y="18867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92</xdr:row>
      <xdr:rowOff>0</xdr:rowOff>
    </xdr:from>
    <xdr:to>
      <xdr:col>22</xdr:col>
      <xdr:colOff>304800</xdr:colOff>
      <xdr:row>93</xdr:row>
      <xdr:rowOff>129540</xdr:rowOff>
    </xdr:to>
    <xdr:sp macro="" textlink="">
      <xdr:nvSpPr>
        <xdr:cNvPr id="6280" name="AutoShape 1160" descr="https://www.soccerstats.com/img/own/sshplogo.png">
          <a:hlinkClick xmlns:r="http://schemas.openxmlformats.org/officeDocument/2006/relationships" r:id="rId750"/>
        </xdr:cNvPr>
        <xdr:cNvSpPr>
          <a:spLocks noChangeAspect="1" noChangeArrowheads="1"/>
        </xdr:cNvSpPr>
      </xdr:nvSpPr>
      <xdr:spPr bwMode="auto">
        <a:xfrm>
          <a:off x="13411200" y="18867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152400</xdr:colOff>
      <xdr:row>93</xdr:row>
      <xdr:rowOff>106680</xdr:rowOff>
    </xdr:to>
    <xdr:sp macro="" textlink="">
      <xdr:nvSpPr>
        <xdr:cNvPr id="6281" name="AutoShape 1161" descr="CHINA2"/>
        <xdr:cNvSpPr>
          <a:spLocks noChangeAspect="1" noChangeArrowheads="1"/>
        </xdr:cNvSpPr>
      </xdr:nvSpPr>
      <xdr:spPr bwMode="auto">
        <a:xfrm>
          <a:off x="0" y="19118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93</xdr:row>
      <xdr:rowOff>0</xdr:rowOff>
    </xdr:from>
    <xdr:to>
      <xdr:col>22</xdr:col>
      <xdr:colOff>304800</xdr:colOff>
      <xdr:row>94</xdr:row>
      <xdr:rowOff>129540</xdr:rowOff>
    </xdr:to>
    <xdr:sp macro="" textlink="">
      <xdr:nvSpPr>
        <xdr:cNvPr id="6282" name="AutoShape 1162" descr="https://www.soccerstats.com/img/own/sshplogo.png">
          <a:hlinkClick xmlns:r="http://schemas.openxmlformats.org/officeDocument/2006/relationships" r:id="rId751"/>
        </xdr:cNvPr>
        <xdr:cNvSpPr>
          <a:spLocks noChangeAspect="1" noChangeArrowheads="1"/>
        </xdr:cNvSpPr>
      </xdr:nvSpPr>
      <xdr:spPr bwMode="auto">
        <a:xfrm>
          <a:off x="13411200" y="19118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152400</xdr:colOff>
      <xdr:row>94</xdr:row>
      <xdr:rowOff>106680</xdr:rowOff>
    </xdr:to>
    <xdr:sp macro="" textlink="">
      <xdr:nvSpPr>
        <xdr:cNvPr id="6283" name="AutoShape 1163" descr="CHINA2"/>
        <xdr:cNvSpPr>
          <a:spLocks noChangeAspect="1" noChangeArrowheads="1"/>
        </xdr:cNvSpPr>
      </xdr:nvSpPr>
      <xdr:spPr bwMode="auto">
        <a:xfrm>
          <a:off x="0" y="19370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94</xdr:row>
      <xdr:rowOff>0</xdr:rowOff>
    </xdr:from>
    <xdr:to>
      <xdr:col>22</xdr:col>
      <xdr:colOff>304800</xdr:colOff>
      <xdr:row>95</xdr:row>
      <xdr:rowOff>129540</xdr:rowOff>
    </xdr:to>
    <xdr:sp macro="" textlink="">
      <xdr:nvSpPr>
        <xdr:cNvPr id="6284" name="AutoShape 1164" descr="https://www.soccerstats.com/img/own/sshplogo.png">
          <a:hlinkClick xmlns:r="http://schemas.openxmlformats.org/officeDocument/2006/relationships" r:id="rId752"/>
        </xdr:cNvPr>
        <xdr:cNvSpPr>
          <a:spLocks noChangeAspect="1" noChangeArrowheads="1"/>
        </xdr:cNvSpPr>
      </xdr:nvSpPr>
      <xdr:spPr bwMode="auto">
        <a:xfrm>
          <a:off x="13411200" y="19370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152400</xdr:colOff>
      <xdr:row>95</xdr:row>
      <xdr:rowOff>106680</xdr:rowOff>
    </xdr:to>
    <xdr:sp macro="" textlink="">
      <xdr:nvSpPr>
        <xdr:cNvPr id="6285" name="AutoShape 1165" descr="COLOMBIA2"/>
        <xdr:cNvSpPr>
          <a:spLocks noChangeAspect="1" noChangeArrowheads="1"/>
        </xdr:cNvSpPr>
      </xdr:nvSpPr>
      <xdr:spPr bwMode="auto">
        <a:xfrm>
          <a:off x="0" y="19545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95</xdr:row>
      <xdr:rowOff>0</xdr:rowOff>
    </xdr:from>
    <xdr:to>
      <xdr:col>22</xdr:col>
      <xdr:colOff>304800</xdr:colOff>
      <xdr:row>96</xdr:row>
      <xdr:rowOff>53340</xdr:rowOff>
    </xdr:to>
    <xdr:sp macro="" textlink="">
      <xdr:nvSpPr>
        <xdr:cNvPr id="6286" name="AutoShape 1166" descr="https://www.soccerstats.com/img/own/sshplogo.png">
          <a:hlinkClick xmlns:r="http://schemas.openxmlformats.org/officeDocument/2006/relationships" r:id="rId753"/>
        </xdr:cNvPr>
        <xdr:cNvSpPr>
          <a:spLocks noChangeAspect="1" noChangeArrowheads="1"/>
        </xdr:cNvSpPr>
      </xdr:nvSpPr>
      <xdr:spPr bwMode="auto">
        <a:xfrm>
          <a:off x="13411200" y="1954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152400</xdr:colOff>
      <xdr:row>96</xdr:row>
      <xdr:rowOff>106680</xdr:rowOff>
    </xdr:to>
    <xdr:sp macro="" textlink="">
      <xdr:nvSpPr>
        <xdr:cNvPr id="6287" name="AutoShape 1167" descr="COLOMBIA2"/>
        <xdr:cNvSpPr>
          <a:spLocks noChangeAspect="1" noChangeArrowheads="1"/>
        </xdr:cNvSpPr>
      </xdr:nvSpPr>
      <xdr:spPr bwMode="auto">
        <a:xfrm>
          <a:off x="0" y="19720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96</xdr:row>
      <xdr:rowOff>0</xdr:rowOff>
    </xdr:from>
    <xdr:to>
      <xdr:col>22</xdr:col>
      <xdr:colOff>304800</xdr:colOff>
      <xdr:row>97</xdr:row>
      <xdr:rowOff>129540</xdr:rowOff>
    </xdr:to>
    <xdr:sp macro="" textlink="">
      <xdr:nvSpPr>
        <xdr:cNvPr id="6288" name="AutoShape 1168" descr="https://www.soccerstats.com/img/own/sshplogo.png">
          <a:hlinkClick xmlns:r="http://schemas.openxmlformats.org/officeDocument/2006/relationships" r:id="rId754"/>
        </xdr:cNvPr>
        <xdr:cNvSpPr>
          <a:spLocks noChangeAspect="1" noChangeArrowheads="1"/>
        </xdr:cNvSpPr>
      </xdr:nvSpPr>
      <xdr:spPr bwMode="auto">
        <a:xfrm>
          <a:off x="13411200" y="19720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152400</xdr:colOff>
      <xdr:row>97</xdr:row>
      <xdr:rowOff>106680</xdr:rowOff>
    </xdr:to>
    <xdr:sp macro="" textlink="">
      <xdr:nvSpPr>
        <xdr:cNvPr id="6289" name="AutoShape 1169" descr="COLOMBIA2"/>
        <xdr:cNvSpPr>
          <a:spLocks noChangeAspect="1" noChangeArrowheads="1"/>
        </xdr:cNvSpPr>
      </xdr:nvSpPr>
      <xdr:spPr bwMode="auto">
        <a:xfrm>
          <a:off x="0" y="19972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97</xdr:row>
      <xdr:rowOff>0</xdr:rowOff>
    </xdr:from>
    <xdr:to>
      <xdr:col>22</xdr:col>
      <xdr:colOff>304800</xdr:colOff>
      <xdr:row>98</xdr:row>
      <xdr:rowOff>129540</xdr:rowOff>
    </xdr:to>
    <xdr:sp macro="" textlink="">
      <xdr:nvSpPr>
        <xdr:cNvPr id="6290" name="AutoShape 1170" descr="https://www.soccerstats.com/img/own/sshplogo.png">
          <a:hlinkClick xmlns:r="http://schemas.openxmlformats.org/officeDocument/2006/relationships" r:id="rId755"/>
        </xdr:cNvPr>
        <xdr:cNvSpPr>
          <a:spLocks noChangeAspect="1" noChangeArrowheads="1"/>
        </xdr:cNvSpPr>
      </xdr:nvSpPr>
      <xdr:spPr bwMode="auto">
        <a:xfrm>
          <a:off x="13411200" y="19972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152400</xdr:colOff>
      <xdr:row>98</xdr:row>
      <xdr:rowOff>106680</xdr:rowOff>
    </xdr:to>
    <xdr:sp macro="" textlink="">
      <xdr:nvSpPr>
        <xdr:cNvPr id="6291" name="AutoShape 1171" descr="COSTARICA"/>
        <xdr:cNvSpPr>
          <a:spLocks noChangeAspect="1" noChangeArrowheads="1"/>
        </xdr:cNvSpPr>
      </xdr:nvSpPr>
      <xdr:spPr bwMode="auto">
        <a:xfrm>
          <a:off x="0" y="20223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98</xdr:row>
      <xdr:rowOff>0</xdr:rowOff>
    </xdr:from>
    <xdr:to>
      <xdr:col>22</xdr:col>
      <xdr:colOff>304800</xdr:colOff>
      <xdr:row>99</xdr:row>
      <xdr:rowOff>129540</xdr:rowOff>
    </xdr:to>
    <xdr:sp macro="" textlink="">
      <xdr:nvSpPr>
        <xdr:cNvPr id="6292" name="AutoShape 1172" descr="https://www.soccerstats.com/img/own/sshplogo.png">
          <a:hlinkClick xmlns:r="http://schemas.openxmlformats.org/officeDocument/2006/relationships" r:id="rId756"/>
        </xdr:cNvPr>
        <xdr:cNvSpPr>
          <a:spLocks noChangeAspect="1" noChangeArrowheads="1"/>
        </xdr:cNvSpPr>
      </xdr:nvSpPr>
      <xdr:spPr bwMode="auto">
        <a:xfrm>
          <a:off x="13411200" y="20223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152400</xdr:colOff>
      <xdr:row>99</xdr:row>
      <xdr:rowOff>106680</xdr:rowOff>
    </xdr:to>
    <xdr:sp macro="" textlink="">
      <xdr:nvSpPr>
        <xdr:cNvPr id="6293" name="AutoShape 1173" descr="COSTARICA"/>
        <xdr:cNvSpPr>
          <a:spLocks noChangeAspect="1" noChangeArrowheads="1"/>
        </xdr:cNvSpPr>
      </xdr:nvSpPr>
      <xdr:spPr bwMode="auto">
        <a:xfrm>
          <a:off x="0" y="20398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99</xdr:row>
      <xdr:rowOff>0</xdr:rowOff>
    </xdr:from>
    <xdr:to>
      <xdr:col>22</xdr:col>
      <xdr:colOff>304800</xdr:colOff>
      <xdr:row>100</xdr:row>
      <xdr:rowOff>129540</xdr:rowOff>
    </xdr:to>
    <xdr:sp macro="" textlink="">
      <xdr:nvSpPr>
        <xdr:cNvPr id="6294" name="AutoShape 1174" descr="https://www.soccerstats.com/img/own/sshplogo.png">
          <a:hlinkClick xmlns:r="http://schemas.openxmlformats.org/officeDocument/2006/relationships" r:id="rId757"/>
        </xdr:cNvPr>
        <xdr:cNvSpPr>
          <a:spLocks noChangeAspect="1" noChangeArrowheads="1"/>
        </xdr:cNvSpPr>
      </xdr:nvSpPr>
      <xdr:spPr bwMode="auto">
        <a:xfrm>
          <a:off x="13411200" y="20398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152400</xdr:colOff>
      <xdr:row>100</xdr:row>
      <xdr:rowOff>106680</xdr:rowOff>
    </xdr:to>
    <xdr:sp macro="" textlink="">
      <xdr:nvSpPr>
        <xdr:cNvPr id="6295" name="AutoShape 1175" descr="CROATIA"/>
        <xdr:cNvSpPr>
          <a:spLocks noChangeAspect="1" noChangeArrowheads="1"/>
        </xdr:cNvSpPr>
      </xdr:nvSpPr>
      <xdr:spPr bwMode="auto">
        <a:xfrm>
          <a:off x="0" y="20574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100</xdr:row>
      <xdr:rowOff>0</xdr:rowOff>
    </xdr:from>
    <xdr:to>
      <xdr:col>22</xdr:col>
      <xdr:colOff>304800</xdr:colOff>
      <xdr:row>101</xdr:row>
      <xdr:rowOff>129540</xdr:rowOff>
    </xdr:to>
    <xdr:sp macro="" textlink="">
      <xdr:nvSpPr>
        <xdr:cNvPr id="6296" name="AutoShape 1176" descr="https://www.soccerstats.com/img/own/sshplogo.png">
          <a:hlinkClick xmlns:r="http://schemas.openxmlformats.org/officeDocument/2006/relationships" r:id="rId758"/>
        </xdr:cNvPr>
        <xdr:cNvSpPr>
          <a:spLocks noChangeAspect="1" noChangeArrowheads="1"/>
        </xdr:cNvSpPr>
      </xdr:nvSpPr>
      <xdr:spPr bwMode="auto">
        <a:xfrm>
          <a:off x="13411200" y="205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152400</xdr:colOff>
      <xdr:row>101</xdr:row>
      <xdr:rowOff>106680</xdr:rowOff>
    </xdr:to>
    <xdr:sp macro="" textlink="">
      <xdr:nvSpPr>
        <xdr:cNvPr id="6297" name="AutoShape 1177" descr="CROATIA"/>
        <xdr:cNvSpPr>
          <a:spLocks noChangeAspect="1" noChangeArrowheads="1"/>
        </xdr:cNvSpPr>
      </xdr:nvSpPr>
      <xdr:spPr bwMode="auto">
        <a:xfrm>
          <a:off x="0" y="20749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101</xdr:row>
      <xdr:rowOff>0</xdr:rowOff>
    </xdr:from>
    <xdr:to>
      <xdr:col>22</xdr:col>
      <xdr:colOff>304800</xdr:colOff>
      <xdr:row>102</xdr:row>
      <xdr:rowOff>129540</xdr:rowOff>
    </xdr:to>
    <xdr:sp macro="" textlink="">
      <xdr:nvSpPr>
        <xdr:cNvPr id="6298" name="AutoShape 1178" descr="https://www.soccerstats.com/img/own/sshplogo.png">
          <a:hlinkClick xmlns:r="http://schemas.openxmlformats.org/officeDocument/2006/relationships" r:id="rId759"/>
        </xdr:cNvPr>
        <xdr:cNvSpPr>
          <a:spLocks noChangeAspect="1" noChangeArrowheads="1"/>
        </xdr:cNvSpPr>
      </xdr:nvSpPr>
      <xdr:spPr bwMode="auto">
        <a:xfrm>
          <a:off x="13411200" y="20749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152400</xdr:colOff>
      <xdr:row>102</xdr:row>
      <xdr:rowOff>106680</xdr:rowOff>
    </xdr:to>
    <xdr:sp macro="" textlink="">
      <xdr:nvSpPr>
        <xdr:cNvPr id="6299" name="AutoShape 1179" descr="CZECHREPUBLIC2"/>
        <xdr:cNvSpPr>
          <a:spLocks noChangeAspect="1" noChangeArrowheads="1"/>
        </xdr:cNvSpPr>
      </xdr:nvSpPr>
      <xdr:spPr bwMode="auto">
        <a:xfrm>
          <a:off x="0" y="20924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102</xdr:row>
      <xdr:rowOff>0</xdr:rowOff>
    </xdr:from>
    <xdr:to>
      <xdr:col>22</xdr:col>
      <xdr:colOff>304800</xdr:colOff>
      <xdr:row>103</xdr:row>
      <xdr:rowOff>53340</xdr:rowOff>
    </xdr:to>
    <xdr:sp macro="" textlink="">
      <xdr:nvSpPr>
        <xdr:cNvPr id="6300" name="AutoShape 1180" descr="https://www.soccerstats.com/img/own/sshplogo.png">
          <a:hlinkClick xmlns:r="http://schemas.openxmlformats.org/officeDocument/2006/relationships" r:id="rId760"/>
        </xdr:cNvPr>
        <xdr:cNvSpPr>
          <a:spLocks noChangeAspect="1" noChangeArrowheads="1"/>
        </xdr:cNvSpPr>
      </xdr:nvSpPr>
      <xdr:spPr bwMode="auto">
        <a:xfrm>
          <a:off x="13411200" y="20924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152400</xdr:colOff>
      <xdr:row>103</xdr:row>
      <xdr:rowOff>106680</xdr:rowOff>
    </xdr:to>
    <xdr:sp macro="" textlink="">
      <xdr:nvSpPr>
        <xdr:cNvPr id="6301" name="AutoShape 1181" descr="DENMARK"/>
        <xdr:cNvSpPr>
          <a:spLocks noChangeAspect="1" noChangeArrowheads="1"/>
        </xdr:cNvSpPr>
      </xdr:nvSpPr>
      <xdr:spPr bwMode="auto">
        <a:xfrm>
          <a:off x="0" y="21175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103</xdr:row>
      <xdr:rowOff>0</xdr:rowOff>
    </xdr:from>
    <xdr:to>
      <xdr:col>22</xdr:col>
      <xdr:colOff>304800</xdr:colOff>
      <xdr:row>104</xdr:row>
      <xdr:rowOff>129540</xdr:rowOff>
    </xdr:to>
    <xdr:sp macro="" textlink="">
      <xdr:nvSpPr>
        <xdr:cNvPr id="6302" name="AutoShape 1182" descr="https://www.soccerstats.com/img/own/sshplogo.png">
          <a:hlinkClick xmlns:r="http://schemas.openxmlformats.org/officeDocument/2006/relationships" r:id="rId761"/>
        </xdr:cNvPr>
        <xdr:cNvSpPr>
          <a:spLocks noChangeAspect="1" noChangeArrowheads="1"/>
        </xdr:cNvSpPr>
      </xdr:nvSpPr>
      <xdr:spPr bwMode="auto">
        <a:xfrm>
          <a:off x="13411200" y="21175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152400</xdr:colOff>
      <xdr:row>104</xdr:row>
      <xdr:rowOff>106680</xdr:rowOff>
    </xdr:to>
    <xdr:sp macro="" textlink="">
      <xdr:nvSpPr>
        <xdr:cNvPr id="6303" name="AutoShape 1183" descr="DENMARK"/>
        <xdr:cNvSpPr>
          <a:spLocks noChangeAspect="1" noChangeArrowheads="1"/>
        </xdr:cNvSpPr>
      </xdr:nvSpPr>
      <xdr:spPr bwMode="auto">
        <a:xfrm>
          <a:off x="0" y="21351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104</xdr:row>
      <xdr:rowOff>0</xdr:rowOff>
    </xdr:from>
    <xdr:to>
      <xdr:col>22</xdr:col>
      <xdr:colOff>304800</xdr:colOff>
      <xdr:row>105</xdr:row>
      <xdr:rowOff>53340</xdr:rowOff>
    </xdr:to>
    <xdr:sp macro="" textlink="">
      <xdr:nvSpPr>
        <xdr:cNvPr id="6304" name="AutoShape 1184" descr="https://www.soccerstats.com/img/own/sshplogo.png">
          <a:hlinkClick xmlns:r="http://schemas.openxmlformats.org/officeDocument/2006/relationships" r:id="rId762"/>
        </xdr:cNvPr>
        <xdr:cNvSpPr>
          <a:spLocks noChangeAspect="1" noChangeArrowheads="1"/>
        </xdr:cNvSpPr>
      </xdr:nvSpPr>
      <xdr:spPr bwMode="auto">
        <a:xfrm>
          <a:off x="13411200" y="21351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152400</xdr:colOff>
      <xdr:row>105</xdr:row>
      <xdr:rowOff>106680</xdr:rowOff>
    </xdr:to>
    <xdr:sp macro="" textlink="">
      <xdr:nvSpPr>
        <xdr:cNvPr id="6305" name="AutoShape 1185" descr="DENMARK"/>
        <xdr:cNvSpPr>
          <a:spLocks noChangeAspect="1" noChangeArrowheads="1"/>
        </xdr:cNvSpPr>
      </xdr:nvSpPr>
      <xdr:spPr bwMode="auto">
        <a:xfrm>
          <a:off x="0" y="21526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105</xdr:row>
      <xdr:rowOff>0</xdr:rowOff>
    </xdr:from>
    <xdr:to>
      <xdr:col>22</xdr:col>
      <xdr:colOff>304800</xdr:colOff>
      <xdr:row>106</xdr:row>
      <xdr:rowOff>129540</xdr:rowOff>
    </xdr:to>
    <xdr:sp macro="" textlink="">
      <xdr:nvSpPr>
        <xdr:cNvPr id="6306" name="AutoShape 1186" descr="https://www.soccerstats.com/img/own/sshplogo.png">
          <a:hlinkClick xmlns:r="http://schemas.openxmlformats.org/officeDocument/2006/relationships" r:id="rId763"/>
        </xdr:cNvPr>
        <xdr:cNvSpPr>
          <a:spLocks noChangeAspect="1" noChangeArrowheads="1"/>
        </xdr:cNvSpPr>
      </xdr:nvSpPr>
      <xdr:spPr bwMode="auto">
        <a:xfrm>
          <a:off x="13411200" y="2152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152400</xdr:colOff>
      <xdr:row>106</xdr:row>
      <xdr:rowOff>106680</xdr:rowOff>
    </xdr:to>
    <xdr:sp macro="" textlink="">
      <xdr:nvSpPr>
        <xdr:cNvPr id="6307" name="AutoShape 1187" descr="DENMARK"/>
        <xdr:cNvSpPr>
          <a:spLocks noChangeAspect="1" noChangeArrowheads="1"/>
        </xdr:cNvSpPr>
      </xdr:nvSpPr>
      <xdr:spPr bwMode="auto">
        <a:xfrm>
          <a:off x="0" y="21777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106</xdr:row>
      <xdr:rowOff>0</xdr:rowOff>
    </xdr:from>
    <xdr:to>
      <xdr:col>22</xdr:col>
      <xdr:colOff>304800</xdr:colOff>
      <xdr:row>107</xdr:row>
      <xdr:rowOff>53340</xdr:rowOff>
    </xdr:to>
    <xdr:sp macro="" textlink="">
      <xdr:nvSpPr>
        <xdr:cNvPr id="6308" name="AutoShape 1188" descr="https://www.soccerstats.com/img/own/sshplogo.png">
          <a:hlinkClick xmlns:r="http://schemas.openxmlformats.org/officeDocument/2006/relationships" r:id="rId764"/>
        </xdr:cNvPr>
        <xdr:cNvSpPr>
          <a:spLocks noChangeAspect="1" noChangeArrowheads="1"/>
        </xdr:cNvSpPr>
      </xdr:nvSpPr>
      <xdr:spPr bwMode="auto">
        <a:xfrm>
          <a:off x="13411200" y="21777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152400</xdr:colOff>
      <xdr:row>107</xdr:row>
      <xdr:rowOff>106680</xdr:rowOff>
    </xdr:to>
    <xdr:sp macro="" textlink="">
      <xdr:nvSpPr>
        <xdr:cNvPr id="6309" name="AutoShape 1189" descr="DENMARK2"/>
        <xdr:cNvSpPr>
          <a:spLocks noChangeAspect="1" noChangeArrowheads="1"/>
        </xdr:cNvSpPr>
      </xdr:nvSpPr>
      <xdr:spPr bwMode="auto">
        <a:xfrm>
          <a:off x="0" y="22029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107</xdr:row>
      <xdr:rowOff>0</xdr:rowOff>
    </xdr:from>
    <xdr:to>
      <xdr:col>22</xdr:col>
      <xdr:colOff>304800</xdr:colOff>
      <xdr:row>108</xdr:row>
      <xdr:rowOff>53340</xdr:rowOff>
    </xdr:to>
    <xdr:sp macro="" textlink="">
      <xdr:nvSpPr>
        <xdr:cNvPr id="6310" name="AutoShape 1190" descr="https://www.soccerstats.com/img/own/sshplogo.png">
          <a:hlinkClick xmlns:r="http://schemas.openxmlformats.org/officeDocument/2006/relationships" r:id="rId765"/>
        </xdr:cNvPr>
        <xdr:cNvSpPr>
          <a:spLocks noChangeAspect="1" noChangeArrowheads="1"/>
        </xdr:cNvSpPr>
      </xdr:nvSpPr>
      <xdr:spPr bwMode="auto">
        <a:xfrm>
          <a:off x="13411200" y="22029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152400</xdr:colOff>
      <xdr:row>108</xdr:row>
      <xdr:rowOff>106680</xdr:rowOff>
    </xdr:to>
    <xdr:sp macro="" textlink="">
      <xdr:nvSpPr>
        <xdr:cNvPr id="6311" name="AutoShape 1191" descr="ECUADOR"/>
        <xdr:cNvSpPr>
          <a:spLocks noChangeAspect="1" noChangeArrowheads="1"/>
        </xdr:cNvSpPr>
      </xdr:nvSpPr>
      <xdr:spPr bwMode="auto">
        <a:xfrm>
          <a:off x="0" y="22280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108</xdr:row>
      <xdr:rowOff>0</xdr:rowOff>
    </xdr:from>
    <xdr:to>
      <xdr:col>22</xdr:col>
      <xdr:colOff>304800</xdr:colOff>
      <xdr:row>109</xdr:row>
      <xdr:rowOff>129540</xdr:rowOff>
    </xdr:to>
    <xdr:sp macro="" textlink="">
      <xdr:nvSpPr>
        <xdr:cNvPr id="6312" name="AutoShape 1192" descr="https://www.soccerstats.com/img/own/sshplogo.png">
          <a:hlinkClick xmlns:r="http://schemas.openxmlformats.org/officeDocument/2006/relationships" r:id="rId766"/>
        </xdr:cNvPr>
        <xdr:cNvSpPr>
          <a:spLocks noChangeAspect="1" noChangeArrowheads="1"/>
        </xdr:cNvSpPr>
      </xdr:nvSpPr>
      <xdr:spPr bwMode="auto">
        <a:xfrm>
          <a:off x="13411200" y="22280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152400</xdr:colOff>
      <xdr:row>109</xdr:row>
      <xdr:rowOff>106680</xdr:rowOff>
    </xdr:to>
    <xdr:sp macro="" textlink="">
      <xdr:nvSpPr>
        <xdr:cNvPr id="6313" name="AutoShape 1193" descr="ECUADOR"/>
        <xdr:cNvSpPr>
          <a:spLocks noChangeAspect="1" noChangeArrowheads="1"/>
        </xdr:cNvSpPr>
      </xdr:nvSpPr>
      <xdr:spPr bwMode="auto">
        <a:xfrm>
          <a:off x="0" y="22456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109</xdr:row>
      <xdr:rowOff>0</xdr:rowOff>
    </xdr:from>
    <xdr:to>
      <xdr:col>22</xdr:col>
      <xdr:colOff>304800</xdr:colOff>
      <xdr:row>110</xdr:row>
      <xdr:rowOff>53340</xdr:rowOff>
    </xdr:to>
    <xdr:sp macro="" textlink="">
      <xdr:nvSpPr>
        <xdr:cNvPr id="6314" name="AutoShape 1194" descr="https://www.soccerstats.com/img/own/sshplogo.png">
          <a:hlinkClick xmlns:r="http://schemas.openxmlformats.org/officeDocument/2006/relationships" r:id="rId767"/>
        </xdr:cNvPr>
        <xdr:cNvSpPr>
          <a:spLocks noChangeAspect="1" noChangeArrowheads="1"/>
        </xdr:cNvSpPr>
      </xdr:nvSpPr>
      <xdr:spPr bwMode="auto">
        <a:xfrm>
          <a:off x="13411200" y="22456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152400</xdr:colOff>
      <xdr:row>110</xdr:row>
      <xdr:rowOff>106680</xdr:rowOff>
    </xdr:to>
    <xdr:sp macro="" textlink="">
      <xdr:nvSpPr>
        <xdr:cNvPr id="6315" name="AutoShape 1195" descr="ECUADOR"/>
        <xdr:cNvSpPr>
          <a:spLocks noChangeAspect="1" noChangeArrowheads="1"/>
        </xdr:cNvSpPr>
      </xdr:nvSpPr>
      <xdr:spPr bwMode="auto">
        <a:xfrm>
          <a:off x="0" y="22631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110</xdr:row>
      <xdr:rowOff>0</xdr:rowOff>
    </xdr:from>
    <xdr:to>
      <xdr:col>22</xdr:col>
      <xdr:colOff>304800</xdr:colOff>
      <xdr:row>111</xdr:row>
      <xdr:rowOff>129540</xdr:rowOff>
    </xdr:to>
    <xdr:sp macro="" textlink="">
      <xdr:nvSpPr>
        <xdr:cNvPr id="6316" name="AutoShape 1196" descr="https://www.soccerstats.com/img/own/sshplogo.png">
          <a:hlinkClick xmlns:r="http://schemas.openxmlformats.org/officeDocument/2006/relationships" r:id="rId768"/>
        </xdr:cNvPr>
        <xdr:cNvSpPr>
          <a:spLocks noChangeAspect="1" noChangeArrowheads="1"/>
        </xdr:cNvSpPr>
      </xdr:nvSpPr>
      <xdr:spPr bwMode="auto">
        <a:xfrm>
          <a:off x="13411200" y="22631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152400</xdr:colOff>
      <xdr:row>111</xdr:row>
      <xdr:rowOff>106680</xdr:rowOff>
    </xdr:to>
    <xdr:sp macro="" textlink="">
      <xdr:nvSpPr>
        <xdr:cNvPr id="6317" name="AutoShape 1197" descr="ESTONIA"/>
        <xdr:cNvSpPr>
          <a:spLocks noChangeAspect="1" noChangeArrowheads="1"/>
        </xdr:cNvSpPr>
      </xdr:nvSpPr>
      <xdr:spPr bwMode="auto">
        <a:xfrm>
          <a:off x="0" y="22806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111</xdr:row>
      <xdr:rowOff>0</xdr:rowOff>
    </xdr:from>
    <xdr:to>
      <xdr:col>22</xdr:col>
      <xdr:colOff>304800</xdr:colOff>
      <xdr:row>112</xdr:row>
      <xdr:rowOff>53340</xdr:rowOff>
    </xdr:to>
    <xdr:sp macro="" textlink="">
      <xdr:nvSpPr>
        <xdr:cNvPr id="6318" name="AutoShape 1198" descr="https://www.soccerstats.com/img/own/sshplogo.png">
          <a:hlinkClick xmlns:r="http://schemas.openxmlformats.org/officeDocument/2006/relationships" r:id="rId769"/>
        </xdr:cNvPr>
        <xdr:cNvSpPr>
          <a:spLocks noChangeAspect="1" noChangeArrowheads="1"/>
        </xdr:cNvSpPr>
      </xdr:nvSpPr>
      <xdr:spPr bwMode="auto">
        <a:xfrm>
          <a:off x="13411200" y="22806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152400</xdr:colOff>
      <xdr:row>112</xdr:row>
      <xdr:rowOff>106680</xdr:rowOff>
    </xdr:to>
    <xdr:sp macro="" textlink="">
      <xdr:nvSpPr>
        <xdr:cNvPr id="6319" name="AutoShape 1199" descr="ESTONIA"/>
        <xdr:cNvSpPr>
          <a:spLocks noChangeAspect="1" noChangeArrowheads="1"/>
        </xdr:cNvSpPr>
      </xdr:nvSpPr>
      <xdr:spPr bwMode="auto">
        <a:xfrm>
          <a:off x="0" y="22981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112</xdr:row>
      <xdr:rowOff>0</xdr:rowOff>
    </xdr:from>
    <xdr:to>
      <xdr:col>22</xdr:col>
      <xdr:colOff>304800</xdr:colOff>
      <xdr:row>113</xdr:row>
      <xdr:rowOff>129540</xdr:rowOff>
    </xdr:to>
    <xdr:sp macro="" textlink="">
      <xdr:nvSpPr>
        <xdr:cNvPr id="6320" name="AutoShape 1200" descr="https://www.soccerstats.com/img/own/sshplogo.png">
          <a:hlinkClick xmlns:r="http://schemas.openxmlformats.org/officeDocument/2006/relationships" r:id="rId770"/>
        </xdr:cNvPr>
        <xdr:cNvSpPr>
          <a:spLocks noChangeAspect="1" noChangeArrowheads="1"/>
        </xdr:cNvSpPr>
      </xdr:nvSpPr>
      <xdr:spPr bwMode="auto">
        <a:xfrm>
          <a:off x="13411200" y="22981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152400</xdr:colOff>
      <xdr:row>113</xdr:row>
      <xdr:rowOff>106680</xdr:rowOff>
    </xdr:to>
    <xdr:sp macro="" textlink="">
      <xdr:nvSpPr>
        <xdr:cNvPr id="6321" name="AutoShape 1201" descr="ESTONIA"/>
        <xdr:cNvSpPr>
          <a:spLocks noChangeAspect="1" noChangeArrowheads="1"/>
        </xdr:cNvSpPr>
      </xdr:nvSpPr>
      <xdr:spPr bwMode="auto">
        <a:xfrm>
          <a:off x="0" y="23157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113</xdr:row>
      <xdr:rowOff>0</xdr:rowOff>
    </xdr:from>
    <xdr:to>
      <xdr:col>22</xdr:col>
      <xdr:colOff>304800</xdr:colOff>
      <xdr:row>114</xdr:row>
      <xdr:rowOff>53340</xdr:rowOff>
    </xdr:to>
    <xdr:sp macro="" textlink="">
      <xdr:nvSpPr>
        <xdr:cNvPr id="6322" name="AutoShape 1202" descr="https://www.soccerstats.com/img/own/sshplogo.png">
          <a:hlinkClick xmlns:r="http://schemas.openxmlformats.org/officeDocument/2006/relationships" r:id="rId771"/>
        </xdr:cNvPr>
        <xdr:cNvSpPr>
          <a:spLocks noChangeAspect="1" noChangeArrowheads="1"/>
        </xdr:cNvSpPr>
      </xdr:nvSpPr>
      <xdr:spPr bwMode="auto">
        <a:xfrm>
          <a:off x="13411200" y="23157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152400</xdr:colOff>
      <xdr:row>114</xdr:row>
      <xdr:rowOff>106680</xdr:rowOff>
    </xdr:to>
    <xdr:sp macro="" textlink="">
      <xdr:nvSpPr>
        <xdr:cNvPr id="6323" name="AutoShape 1203" descr="ESTONIA"/>
        <xdr:cNvSpPr>
          <a:spLocks noChangeAspect="1" noChangeArrowheads="1"/>
        </xdr:cNvSpPr>
      </xdr:nvSpPr>
      <xdr:spPr bwMode="auto">
        <a:xfrm>
          <a:off x="0" y="23332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114</xdr:row>
      <xdr:rowOff>0</xdr:rowOff>
    </xdr:from>
    <xdr:to>
      <xdr:col>22</xdr:col>
      <xdr:colOff>304800</xdr:colOff>
      <xdr:row>115</xdr:row>
      <xdr:rowOff>53340</xdr:rowOff>
    </xdr:to>
    <xdr:sp macro="" textlink="">
      <xdr:nvSpPr>
        <xdr:cNvPr id="6324" name="AutoShape 1204" descr="https://www.soccerstats.com/img/own/sshplogo.png">
          <a:hlinkClick xmlns:r="http://schemas.openxmlformats.org/officeDocument/2006/relationships" r:id="rId772"/>
        </xdr:cNvPr>
        <xdr:cNvSpPr>
          <a:spLocks noChangeAspect="1" noChangeArrowheads="1"/>
        </xdr:cNvSpPr>
      </xdr:nvSpPr>
      <xdr:spPr bwMode="auto">
        <a:xfrm>
          <a:off x="13411200" y="23332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152400</xdr:colOff>
      <xdr:row>115</xdr:row>
      <xdr:rowOff>106680</xdr:rowOff>
    </xdr:to>
    <xdr:sp macro="" textlink="">
      <xdr:nvSpPr>
        <xdr:cNvPr id="6325" name="AutoShape 1205" descr="FAROEISLANDS"/>
        <xdr:cNvSpPr>
          <a:spLocks noChangeAspect="1" noChangeArrowheads="1"/>
        </xdr:cNvSpPr>
      </xdr:nvSpPr>
      <xdr:spPr bwMode="auto">
        <a:xfrm>
          <a:off x="0" y="23507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115</xdr:row>
      <xdr:rowOff>0</xdr:rowOff>
    </xdr:from>
    <xdr:to>
      <xdr:col>22</xdr:col>
      <xdr:colOff>304800</xdr:colOff>
      <xdr:row>116</xdr:row>
      <xdr:rowOff>129540</xdr:rowOff>
    </xdr:to>
    <xdr:sp macro="" textlink="">
      <xdr:nvSpPr>
        <xdr:cNvPr id="6326" name="AutoShape 1206" descr="https://www.soccerstats.com/img/own/sshplogo.png">
          <a:hlinkClick xmlns:r="http://schemas.openxmlformats.org/officeDocument/2006/relationships" r:id="rId773"/>
        </xdr:cNvPr>
        <xdr:cNvSpPr>
          <a:spLocks noChangeAspect="1" noChangeArrowheads="1"/>
        </xdr:cNvSpPr>
      </xdr:nvSpPr>
      <xdr:spPr bwMode="auto">
        <a:xfrm>
          <a:off x="13411200" y="2350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152400</xdr:colOff>
      <xdr:row>116</xdr:row>
      <xdr:rowOff>106680</xdr:rowOff>
    </xdr:to>
    <xdr:sp macro="" textlink="">
      <xdr:nvSpPr>
        <xdr:cNvPr id="6327" name="AutoShape 1207" descr="FAROEISLANDS"/>
        <xdr:cNvSpPr>
          <a:spLocks noChangeAspect="1" noChangeArrowheads="1"/>
        </xdr:cNvSpPr>
      </xdr:nvSpPr>
      <xdr:spPr bwMode="auto">
        <a:xfrm>
          <a:off x="0" y="23682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116</xdr:row>
      <xdr:rowOff>0</xdr:rowOff>
    </xdr:from>
    <xdr:to>
      <xdr:col>22</xdr:col>
      <xdr:colOff>304800</xdr:colOff>
      <xdr:row>117</xdr:row>
      <xdr:rowOff>129540</xdr:rowOff>
    </xdr:to>
    <xdr:sp macro="" textlink="">
      <xdr:nvSpPr>
        <xdr:cNvPr id="6328" name="AutoShape 1208" descr="https://www.soccerstats.com/img/own/sshplogo.png">
          <a:hlinkClick xmlns:r="http://schemas.openxmlformats.org/officeDocument/2006/relationships" r:id="rId774"/>
        </xdr:cNvPr>
        <xdr:cNvSpPr>
          <a:spLocks noChangeAspect="1" noChangeArrowheads="1"/>
        </xdr:cNvSpPr>
      </xdr:nvSpPr>
      <xdr:spPr bwMode="auto">
        <a:xfrm>
          <a:off x="13411200" y="23682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152400</xdr:colOff>
      <xdr:row>117</xdr:row>
      <xdr:rowOff>106680</xdr:rowOff>
    </xdr:to>
    <xdr:sp macro="" textlink="">
      <xdr:nvSpPr>
        <xdr:cNvPr id="6329" name="AutoShape 1209" descr="FAROEISLANDS"/>
        <xdr:cNvSpPr>
          <a:spLocks noChangeAspect="1" noChangeArrowheads="1"/>
        </xdr:cNvSpPr>
      </xdr:nvSpPr>
      <xdr:spPr bwMode="auto">
        <a:xfrm>
          <a:off x="0" y="23858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117</xdr:row>
      <xdr:rowOff>0</xdr:rowOff>
    </xdr:from>
    <xdr:to>
      <xdr:col>22</xdr:col>
      <xdr:colOff>304800</xdr:colOff>
      <xdr:row>118</xdr:row>
      <xdr:rowOff>53340</xdr:rowOff>
    </xdr:to>
    <xdr:sp macro="" textlink="">
      <xdr:nvSpPr>
        <xdr:cNvPr id="6330" name="AutoShape 1210" descr="https://www.soccerstats.com/img/own/sshplogo.png">
          <a:hlinkClick xmlns:r="http://schemas.openxmlformats.org/officeDocument/2006/relationships" r:id="rId775"/>
        </xdr:cNvPr>
        <xdr:cNvSpPr>
          <a:spLocks noChangeAspect="1" noChangeArrowheads="1"/>
        </xdr:cNvSpPr>
      </xdr:nvSpPr>
      <xdr:spPr bwMode="auto">
        <a:xfrm>
          <a:off x="13411200" y="23858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152400</xdr:colOff>
      <xdr:row>118</xdr:row>
      <xdr:rowOff>106680</xdr:rowOff>
    </xdr:to>
    <xdr:sp macro="" textlink="">
      <xdr:nvSpPr>
        <xdr:cNvPr id="6331" name="AutoShape 1211" descr="FAROEISLANDS"/>
        <xdr:cNvSpPr>
          <a:spLocks noChangeAspect="1" noChangeArrowheads="1"/>
        </xdr:cNvSpPr>
      </xdr:nvSpPr>
      <xdr:spPr bwMode="auto">
        <a:xfrm>
          <a:off x="0" y="24033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118</xdr:row>
      <xdr:rowOff>0</xdr:rowOff>
    </xdr:from>
    <xdr:to>
      <xdr:col>22</xdr:col>
      <xdr:colOff>304800</xdr:colOff>
      <xdr:row>119</xdr:row>
      <xdr:rowOff>53340</xdr:rowOff>
    </xdr:to>
    <xdr:sp macro="" textlink="">
      <xdr:nvSpPr>
        <xdr:cNvPr id="6332" name="AutoShape 1212" descr="https://www.soccerstats.com/img/own/sshplogo.png">
          <a:hlinkClick xmlns:r="http://schemas.openxmlformats.org/officeDocument/2006/relationships" r:id="rId776"/>
        </xdr:cNvPr>
        <xdr:cNvSpPr>
          <a:spLocks noChangeAspect="1" noChangeArrowheads="1"/>
        </xdr:cNvSpPr>
      </xdr:nvSpPr>
      <xdr:spPr bwMode="auto">
        <a:xfrm>
          <a:off x="13411200" y="24033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152400</xdr:colOff>
      <xdr:row>119</xdr:row>
      <xdr:rowOff>106680</xdr:rowOff>
    </xdr:to>
    <xdr:sp macro="" textlink="">
      <xdr:nvSpPr>
        <xdr:cNvPr id="6333" name="AutoShape 1213" descr="FAROEISLANDS"/>
        <xdr:cNvSpPr>
          <a:spLocks noChangeAspect="1" noChangeArrowheads="1"/>
        </xdr:cNvSpPr>
      </xdr:nvSpPr>
      <xdr:spPr bwMode="auto">
        <a:xfrm>
          <a:off x="0" y="24208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119</xdr:row>
      <xdr:rowOff>0</xdr:rowOff>
    </xdr:from>
    <xdr:to>
      <xdr:col>22</xdr:col>
      <xdr:colOff>304800</xdr:colOff>
      <xdr:row>120</xdr:row>
      <xdr:rowOff>129540</xdr:rowOff>
    </xdr:to>
    <xdr:sp macro="" textlink="">
      <xdr:nvSpPr>
        <xdr:cNvPr id="6334" name="AutoShape 1214" descr="https://www.soccerstats.com/img/own/sshplogo.png">
          <a:hlinkClick xmlns:r="http://schemas.openxmlformats.org/officeDocument/2006/relationships" r:id="rId777"/>
        </xdr:cNvPr>
        <xdr:cNvSpPr>
          <a:spLocks noChangeAspect="1" noChangeArrowheads="1"/>
        </xdr:cNvSpPr>
      </xdr:nvSpPr>
      <xdr:spPr bwMode="auto">
        <a:xfrm>
          <a:off x="13411200" y="24208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152400</xdr:colOff>
      <xdr:row>120</xdr:row>
      <xdr:rowOff>106680</xdr:rowOff>
    </xdr:to>
    <xdr:sp macro="" textlink="">
      <xdr:nvSpPr>
        <xdr:cNvPr id="6335" name="AutoShape 1215" descr="FINLAND"/>
        <xdr:cNvSpPr>
          <a:spLocks noChangeAspect="1" noChangeArrowheads="1"/>
        </xdr:cNvSpPr>
      </xdr:nvSpPr>
      <xdr:spPr bwMode="auto">
        <a:xfrm>
          <a:off x="0" y="24384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120</xdr:row>
      <xdr:rowOff>0</xdr:rowOff>
    </xdr:from>
    <xdr:to>
      <xdr:col>22</xdr:col>
      <xdr:colOff>304800</xdr:colOff>
      <xdr:row>121</xdr:row>
      <xdr:rowOff>129540</xdr:rowOff>
    </xdr:to>
    <xdr:sp macro="" textlink="">
      <xdr:nvSpPr>
        <xdr:cNvPr id="6336" name="AutoShape 1216" descr="https://www.soccerstats.com/img/own/sshplogo.png">
          <a:hlinkClick xmlns:r="http://schemas.openxmlformats.org/officeDocument/2006/relationships" r:id="rId778"/>
        </xdr:cNvPr>
        <xdr:cNvSpPr>
          <a:spLocks noChangeAspect="1" noChangeArrowheads="1"/>
        </xdr:cNvSpPr>
      </xdr:nvSpPr>
      <xdr:spPr bwMode="auto">
        <a:xfrm>
          <a:off x="13411200" y="2438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152400</xdr:colOff>
      <xdr:row>121</xdr:row>
      <xdr:rowOff>106680</xdr:rowOff>
    </xdr:to>
    <xdr:sp macro="" textlink="">
      <xdr:nvSpPr>
        <xdr:cNvPr id="6337" name="AutoShape 1217" descr="FINLAND"/>
        <xdr:cNvSpPr>
          <a:spLocks noChangeAspect="1" noChangeArrowheads="1"/>
        </xdr:cNvSpPr>
      </xdr:nvSpPr>
      <xdr:spPr bwMode="auto">
        <a:xfrm>
          <a:off x="0" y="24559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121</xdr:row>
      <xdr:rowOff>0</xdr:rowOff>
    </xdr:from>
    <xdr:to>
      <xdr:col>22</xdr:col>
      <xdr:colOff>304800</xdr:colOff>
      <xdr:row>122</xdr:row>
      <xdr:rowOff>129540</xdr:rowOff>
    </xdr:to>
    <xdr:sp macro="" textlink="">
      <xdr:nvSpPr>
        <xdr:cNvPr id="6338" name="AutoShape 1218" descr="https://www.soccerstats.com/img/own/sshplogo.png">
          <a:hlinkClick xmlns:r="http://schemas.openxmlformats.org/officeDocument/2006/relationships" r:id="rId779"/>
        </xdr:cNvPr>
        <xdr:cNvSpPr>
          <a:spLocks noChangeAspect="1" noChangeArrowheads="1"/>
        </xdr:cNvSpPr>
      </xdr:nvSpPr>
      <xdr:spPr bwMode="auto">
        <a:xfrm>
          <a:off x="13411200" y="24559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152400</xdr:colOff>
      <xdr:row>122</xdr:row>
      <xdr:rowOff>106680</xdr:rowOff>
    </xdr:to>
    <xdr:sp macro="" textlink="">
      <xdr:nvSpPr>
        <xdr:cNvPr id="6339" name="AutoShape 1219" descr="FINLAND"/>
        <xdr:cNvSpPr>
          <a:spLocks noChangeAspect="1" noChangeArrowheads="1"/>
        </xdr:cNvSpPr>
      </xdr:nvSpPr>
      <xdr:spPr bwMode="auto">
        <a:xfrm>
          <a:off x="0" y="24734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122</xdr:row>
      <xdr:rowOff>0</xdr:rowOff>
    </xdr:from>
    <xdr:to>
      <xdr:col>22</xdr:col>
      <xdr:colOff>304800</xdr:colOff>
      <xdr:row>123</xdr:row>
      <xdr:rowOff>129540</xdr:rowOff>
    </xdr:to>
    <xdr:sp macro="" textlink="">
      <xdr:nvSpPr>
        <xdr:cNvPr id="6340" name="AutoShape 1220" descr="https://www.soccerstats.com/img/own/sshplogo.png">
          <a:hlinkClick xmlns:r="http://schemas.openxmlformats.org/officeDocument/2006/relationships" r:id="rId780"/>
        </xdr:cNvPr>
        <xdr:cNvSpPr>
          <a:spLocks noChangeAspect="1" noChangeArrowheads="1"/>
        </xdr:cNvSpPr>
      </xdr:nvSpPr>
      <xdr:spPr bwMode="auto">
        <a:xfrm>
          <a:off x="13411200" y="24734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152400</xdr:colOff>
      <xdr:row>123</xdr:row>
      <xdr:rowOff>106680</xdr:rowOff>
    </xdr:to>
    <xdr:sp macro="" textlink="">
      <xdr:nvSpPr>
        <xdr:cNvPr id="6341" name="AutoShape 1221" descr="FINLAND2"/>
        <xdr:cNvSpPr>
          <a:spLocks noChangeAspect="1" noChangeArrowheads="1"/>
        </xdr:cNvSpPr>
      </xdr:nvSpPr>
      <xdr:spPr bwMode="auto">
        <a:xfrm>
          <a:off x="0" y="24909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123</xdr:row>
      <xdr:rowOff>0</xdr:rowOff>
    </xdr:from>
    <xdr:to>
      <xdr:col>22</xdr:col>
      <xdr:colOff>304800</xdr:colOff>
      <xdr:row>124</xdr:row>
      <xdr:rowOff>129540</xdr:rowOff>
    </xdr:to>
    <xdr:sp macro="" textlink="">
      <xdr:nvSpPr>
        <xdr:cNvPr id="6342" name="AutoShape 1222" descr="https://www.soccerstats.com/img/own/sshplogo.png">
          <a:hlinkClick xmlns:r="http://schemas.openxmlformats.org/officeDocument/2006/relationships" r:id="rId781"/>
        </xdr:cNvPr>
        <xdr:cNvSpPr>
          <a:spLocks noChangeAspect="1" noChangeArrowheads="1"/>
        </xdr:cNvSpPr>
      </xdr:nvSpPr>
      <xdr:spPr bwMode="auto">
        <a:xfrm>
          <a:off x="13411200" y="24909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152400</xdr:colOff>
      <xdr:row>124</xdr:row>
      <xdr:rowOff>106680</xdr:rowOff>
    </xdr:to>
    <xdr:sp macro="" textlink="">
      <xdr:nvSpPr>
        <xdr:cNvPr id="6343" name="AutoShape 1223" descr="FINLAND3"/>
        <xdr:cNvSpPr>
          <a:spLocks noChangeAspect="1" noChangeArrowheads="1"/>
        </xdr:cNvSpPr>
      </xdr:nvSpPr>
      <xdr:spPr bwMode="auto">
        <a:xfrm>
          <a:off x="0" y="25085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124</xdr:row>
      <xdr:rowOff>0</xdr:rowOff>
    </xdr:from>
    <xdr:to>
      <xdr:col>22</xdr:col>
      <xdr:colOff>304800</xdr:colOff>
      <xdr:row>125</xdr:row>
      <xdr:rowOff>53340</xdr:rowOff>
    </xdr:to>
    <xdr:sp macro="" textlink="">
      <xdr:nvSpPr>
        <xdr:cNvPr id="6344" name="AutoShape 1224" descr="https://www.soccerstats.com/img/own/sshplogo.png">
          <a:hlinkClick xmlns:r="http://schemas.openxmlformats.org/officeDocument/2006/relationships" r:id="rId782"/>
        </xdr:cNvPr>
        <xdr:cNvSpPr>
          <a:spLocks noChangeAspect="1" noChangeArrowheads="1"/>
        </xdr:cNvSpPr>
      </xdr:nvSpPr>
      <xdr:spPr bwMode="auto">
        <a:xfrm>
          <a:off x="13411200" y="25085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152400</xdr:colOff>
      <xdr:row>125</xdr:row>
      <xdr:rowOff>106680</xdr:rowOff>
    </xdr:to>
    <xdr:sp macro="" textlink="">
      <xdr:nvSpPr>
        <xdr:cNvPr id="6345" name="AutoShape 1225" descr="FINLAND3"/>
        <xdr:cNvSpPr>
          <a:spLocks noChangeAspect="1" noChangeArrowheads="1"/>
        </xdr:cNvSpPr>
      </xdr:nvSpPr>
      <xdr:spPr bwMode="auto">
        <a:xfrm>
          <a:off x="0" y="25260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125</xdr:row>
      <xdr:rowOff>0</xdr:rowOff>
    </xdr:from>
    <xdr:to>
      <xdr:col>22</xdr:col>
      <xdr:colOff>304800</xdr:colOff>
      <xdr:row>126</xdr:row>
      <xdr:rowOff>129540</xdr:rowOff>
    </xdr:to>
    <xdr:sp macro="" textlink="">
      <xdr:nvSpPr>
        <xdr:cNvPr id="6346" name="AutoShape 1226" descr="https://www.soccerstats.com/img/own/sshplogo.png">
          <a:hlinkClick xmlns:r="http://schemas.openxmlformats.org/officeDocument/2006/relationships" r:id="rId783"/>
        </xdr:cNvPr>
        <xdr:cNvSpPr>
          <a:spLocks noChangeAspect="1" noChangeArrowheads="1"/>
        </xdr:cNvSpPr>
      </xdr:nvSpPr>
      <xdr:spPr bwMode="auto">
        <a:xfrm>
          <a:off x="13411200" y="25260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152400</xdr:colOff>
      <xdr:row>126</xdr:row>
      <xdr:rowOff>106680</xdr:rowOff>
    </xdr:to>
    <xdr:sp macro="" textlink="">
      <xdr:nvSpPr>
        <xdr:cNvPr id="6347" name="AutoShape 1227" descr="FINLAND3"/>
        <xdr:cNvSpPr>
          <a:spLocks noChangeAspect="1" noChangeArrowheads="1"/>
        </xdr:cNvSpPr>
      </xdr:nvSpPr>
      <xdr:spPr bwMode="auto">
        <a:xfrm>
          <a:off x="0" y="25435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126</xdr:row>
      <xdr:rowOff>0</xdr:rowOff>
    </xdr:from>
    <xdr:to>
      <xdr:col>22</xdr:col>
      <xdr:colOff>304800</xdr:colOff>
      <xdr:row>127</xdr:row>
      <xdr:rowOff>129540</xdr:rowOff>
    </xdr:to>
    <xdr:sp macro="" textlink="">
      <xdr:nvSpPr>
        <xdr:cNvPr id="6348" name="AutoShape 1228" descr="https://www.soccerstats.com/img/own/sshplogo.png">
          <a:hlinkClick xmlns:r="http://schemas.openxmlformats.org/officeDocument/2006/relationships" r:id="rId784"/>
        </xdr:cNvPr>
        <xdr:cNvSpPr>
          <a:spLocks noChangeAspect="1" noChangeArrowheads="1"/>
        </xdr:cNvSpPr>
      </xdr:nvSpPr>
      <xdr:spPr bwMode="auto">
        <a:xfrm>
          <a:off x="13411200" y="25435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152400</xdr:colOff>
      <xdr:row>127</xdr:row>
      <xdr:rowOff>106680</xdr:rowOff>
    </xdr:to>
    <xdr:sp macro="" textlink="">
      <xdr:nvSpPr>
        <xdr:cNvPr id="6349" name="AutoShape 1229" descr="FINLAND4"/>
        <xdr:cNvSpPr>
          <a:spLocks noChangeAspect="1" noChangeArrowheads="1"/>
        </xdr:cNvSpPr>
      </xdr:nvSpPr>
      <xdr:spPr bwMode="auto">
        <a:xfrm>
          <a:off x="0" y="25610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127</xdr:row>
      <xdr:rowOff>0</xdr:rowOff>
    </xdr:from>
    <xdr:to>
      <xdr:col>22</xdr:col>
      <xdr:colOff>304800</xdr:colOff>
      <xdr:row>128</xdr:row>
      <xdr:rowOff>129540</xdr:rowOff>
    </xdr:to>
    <xdr:sp macro="" textlink="">
      <xdr:nvSpPr>
        <xdr:cNvPr id="6350" name="AutoShape 1230" descr="https://www.soccerstats.com/img/own/sshplogo.png">
          <a:hlinkClick xmlns:r="http://schemas.openxmlformats.org/officeDocument/2006/relationships" r:id="rId785"/>
        </xdr:cNvPr>
        <xdr:cNvSpPr>
          <a:spLocks noChangeAspect="1" noChangeArrowheads="1"/>
        </xdr:cNvSpPr>
      </xdr:nvSpPr>
      <xdr:spPr bwMode="auto">
        <a:xfrm>
          <a:off x="13411200" y="25610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152400</xdr:colOff>
      <xdr:row>128</xdr:row>
      <xdr:rowOff>106680</xdr:rowOff>
    </xdr:to>
    <xdr:sp macro="" textlink="">
      <xdr:nvSpPr>
        <xdr:cNvPr id="6351" name="AutoShape 1231" descr="FINLAND6"/>
        <xdr:cNvSpPr>
          <a:spLocks noChangeAspect="1" noChangeArrowheads="1"/>
        </xdr:cNvSpPr>
      </xdr:nvSpPr>
      <xdr:spPr bwMode="auto">
        <a:xfrm>
          <a:off x="0" y="25786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128</xdr:row>
      <xdr:rowOff>0</xdr:rowOff>
    </xdr:from>
    <xdr:to>
      <xdr:col>22</xdr:col>
      <xdr:colOff>304800</xdr:colOff>
      <xdr:row>129</xdr:row>
      <xdr:rowOff>53340</xdr:rowOff>
    </xdr:to>
    <xdr:sp macro="" textlink="">
      <xdr:nvSpPr>
        <xdr:cNvPr id="6352" name="AutoShape 1232" descr="https://www.soccerstats.com/img/own/sshplogo.png">
          <a:hlinkClick xmlns:r="http://schemas.openxmlformats.org/officeDocument/2006/relationships" r:id="rId786"/>
        </xdr:cNvPr>
        <xdr:cNvSpPr>
          <a:spLocks noChangeAspect="1" noChangeArrowheads="1"/>
        </xdr:cNvSpPr>
      </xdr:nvSpPr>
      <xdr:spPr bwMode="auto">
        <a:xfrm>
          <a:off x="13411200" y="25786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152400</xdr:colOff>
      <xdr:row>129</xdr:row>
      <xdr:rowOff>106680</xdr:rowOff>
    </xdr:to>
    <xdr:sp macro="" textlink="">
      <xdr:nvSpPr>
        <xdr:cNvPr id="6353" name="AutoShape 1233" descr="FINLAND6"/>
        <xdr:cNvSpPr>
          <a:spLocks noChangeAspect="1" noChangeArrowheads="1"/>
        </xdr:cNvSpPr>
      </xdr:nvSpPr>
      <xdr:spPr bwMode="auto">
        <a:xfrm>
          <a:off x="0" y="25961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129</xdr:row>
      <xdr:rowOff>0</xdr:rowOff>
    </xdr:from>
    <xdr:to>
      <xdr:col>22</xdr:col>
      <xdr:colOff>304800</xdr:colOff>
      <xdr:row>130</xdr:row>
      <xdr:rowOff>53340</xdr:rowOff>
    </xdr:to>
    <xdr:sp macro="" textlink="">
      <xdr:nvSpPr>
        <xdr:cNvPr id="6354" name="AutoShape 1234" descr="https://www.soccerstats.com/img/own/sshplogo.png">
          <a:hlinkClick xmlns:r="http://schemas.openxmlformats.org/officeDocument/2006/relationships" r:id="rId787"/>
        </xdr:cNvPr>
        <xdr:cNvSpPr>
          <a:spLocks noChangeAspect="1" noChangeArrowheads="1"/>
        </xdr:cNvSpPr>
      </xdr:nvSpPr>
      <xdr:spPr bwMode="auto">
        <a:xfrm>
          <a:off x="13411200" y="25961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152400</xdr:colOff>
      <xdr:row>130</xdr:row>
      <xdr:rowOff>106680</xdr:rowOff>
    </xdr:to>
    <xdr:sp macro="" textlink="">
      <xdr:nvSpPr>
        <xdr:cNvPr id="6355" name="AutoShape 1235" descr="GEORGIA"/>
        <xdr:cNvSpPr>
          <a:spLocks noChangeAspect="1" noChangeArrowheads="1"/>
        </xdr:cNvSpPr>
      </xdr:nvSpPr>
      <xdr:spPr bwMode="auto">
        <a:xfrm>
          <a:off x="0" y="26212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130</xdr:row>
      <xdr:rowOff>0</xdr:rowOff>
    </xdr:from>
    <xdr:to>
      <xdr:col>22</xdr:col>
      <xdr:colOff>304800</xdr:colOff>
      <xdr:row>131</xdr:row>
      <xdr:rowOff>129540</xdr:rowOff>
    </xdr:to>
    <xdr:sp macro="" textlink="">
      <xdr:nvSpPr>
        <xdr:cNvPr id="6356" name="AutoShape 1236" descr="https://www.soccerstats.com/img/own/sshplogo.png">
          <a:hlinkClick xmlns:r="http://schemas.openxmlformats.org/officeDocument/2006/relationships" r:id="rId788"/>
        </xdr:cNvPr>
        <xdr:cNvSpPr>
          <a:spLocks noChangeAspect="1" noChangeArrowheads="1"/>
        </xdr:cNvSpPr>
      </xdr:nvSpPr>
      <xdr:spPr bwMode="auto">
        <a:xfrm>
          <a:off x="13411200" y="2621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152400</xdr:colOff>
      <xdr:row>131</xdr:row>
      <xdr:rowOff>106680</xdr:rowOff>
    </xdr:to>
    <xdr:sp macro="" textlink="">
      <xdr:nvSpPr>
        <xdr:cNvPr id="6357" name="AutoShape 1237" descr="GEORGIA"/>
        <xdr:cNvSpPr>
          <a:spLocks noChangeAspect="1" noChangeArrowheads="1"/>
        </xdr:cNvSpPr>
      </xdr:nvSpPr>
      <xdr:spPr bwMode="auto">
        <a:xfrm>
          <a:off x="0" y="26388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131</xdr:row>
      <xdr:rowOff>0</xdr:rowOff>
    </xdr:from>
    <xdr:to>
      <xdr:col>22</xdr:col>
      <xdr:colOff>304800</xdr:colOff>
      <xdr:row>132</xdr:row>
      <xdr:rowOff>129540</xdr:rowOff>
    </xdr:to>
    <xdr:sp macro="" textlink="">
      <xdr:nvSpPr>
        <xdr:cNvPr id="6358" name="AutoShape 1238" descr="https://www.soccerstats.com/img/own/sshplogo.png">
          <a:hlinkClick xmlns:r="http://schemas.openxmlformats.org/officeDocument/2006/relationships" r:id="rId789"/>
        </xdr:cNvPr>
        <xdr:cNvSpPr>
          <a:spLocks noChangeAspect="1" noChangeArrowheads="1"/>
        </xdr:cNvSpPr>
      </xdr:nvSpPr>
      <xdr:spPr bwMode="auto">
        <a:xfrm>
          <a:off x="13411200" y="26388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152400</xdr:colOff>
      <xdr:row>132</xdr:row>
      <xdr:rowOff>106680</xdr:rowOff>
    </xdr:to>
    <xdr:sp macro="" textlink="">
      <xdr:nvSpPr>
        <xdr:cNvPr id="6359" name="AutoShape 1239" descr="GERMANY3"/>
        <xdr:cNvSpPr>
          <a:spLocks noChangeAspect="1" noChangeArrowheads="1"/>
        </xdr:cNvSpPr>
      </xdr:nvSpPr>
      <xdr:spPr bwMode="auto">
        <a:xfrm>
          <a:off x="0" y="26639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132</xdr:row>
      <xdr:rowOff>0</xdr:rowOff>
    </xdr:from>
    <xdr:to>
      <xdr:col>22</xdr:col>
      <xdr:colOff>304800</xdr:colOff>
      <xdr:row>133</xdr:row>
      <xdr:rowOff>129540</xdr:rowOff>
    </xdr:to>
    <xdr:sp macro="" textlink="">
      <xdr:nvSpPr>
        <xdr:cNvPr id="6360" name="AutoShape 1240" descr="https://www.soccerstats.com/img/own/sshplogo.png">
          <a:hlinkClick xmlns:r="http://schemas.openxmlformats.org/officeDocument/2006/relationships" r:id="rId790"/>
        </xdr:cNvPr>
        <xdr:cNvSpPr>
          <a:spLocks noChangeAspect="1" noChangeArrowheads="1"/>
        </xdr:cNvSpPr>
      </xdr:nvSpPr>
      <xdr:spPr bwMode="auto">
        <a:xfrm>
          <a:off x="13411200" y="26639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152400</xdr:colOff>
      <xdr:row>133</xdr:row>
      <xdr:rowOff>106680</xdr:rowOff>
    </xdr:to>
    <xdr:sp macro="" textlink="">
      <xdr:nvSpPr>
        <xdr:cNvPr id="6361" name="AutoShape 1241" descr="GERMANY3"/>
        <xdr:cNvSpPr>
          <a:spLocks noChangeAspect="1" noChangeArrowheads="1"/>
        </xdr:cNvSpPr>
      </xdr:nvSpPr>
      <xdr:spPr bwMode="auto">
        <a:xfrm>
          <a:off x="0" y="26890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133</xdr:row>
      <xdr:rowOff>0</xdr:rowOff>
    </xdr:from>
    <xdr:to>
      <xdr:col>22</xdr:col>
      <xdr:colOff>304800</xdr:colOff>
      <xdr:row>134</xdr:row>
      <xdr:rowOff>129540</xdr:rowOff>
    </xdr:to>
    <xdr:sp macro="" textlink="">
      <xdr:nvSpPr>
        <xdr:cNvPr id="6362" name="AutoShape 1242" descr="https://www.soccerstats.com/img/own/sshplogo.png">
          <a:hlinkClick xmlns:r="http://schemas.openxmlformats.org/officeDocument/2006/relationships" r:id="rId791"/>
        </xdr:cNvPr>
        <xdr:cNvSpPr>
          <a:spLocks noChangeAspect="1" noChangeArrowheads="1"/>
        </xdr:cNvSpPr>
      </xdr:nvSpPr>
      <xdr:spPr bwMode="auto">
        <a:xfrm>
          <a:off x="13411200" y="26890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152400</xdr:colOff>
      <xdr:row>134</xdr:row>
      <xdr:rowOff>106680</xdr:rowOff>
    </xdr:to>
    <xdr:sp macro="" textlink="">
      <xdr:nvSpPr>
        <xdr:cNvPr id="6363" name="AutoShape 1243" descr="GERMANY3"/>
        <xdr:cNvSpPr>
          <a:spLocks noChangeAspect="1" noChangeArrowheads="1"/>
        </xdr:cNvSpPr>
      </xdr:nvSpPr>
      <xdr:spPr bwMode="auto">
        <a:xfrm>
          <a:off x="0" y="27066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134</xdr:row>
      <xdr:rowOff>0</xdr:rowOff>
    </xdr:from>
    <xdr:to>
      <xdr:col>22</xdr:col>
      <xdr:colOff>304800</xdr:colOff>
      <xdr:row>135</xdr:row>
      <xdr:rowOff>129540</xdr:rowOff>
    </xdr:to>
    <xdr:sp macro="" textlink="">
      <xdr:nvSpPr>
        <xdr:cNvPr id="6364" name="AutoShape 1244" descr="https://www.soccerstats.com/img/own/sshplogo.png">
          <a:hlinkClick xmlns:r="http://schemas.openxmlformats.org/officeDocument/2006/relationships" r:id="rId792"/>
        </xdr:cNvPr>
        <xdr:cNvSpPr>
          <a:spLocks noChangeAspect="1" noChangeArrowheads="1"/>
        </xdr:cNvSpPr>
      </xdr:nvSpPr>
      <xdr:spPr bwMode="auto">
        <a:xfrm>
          <a:off x="13411200" y="27066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152400</xdr:colOff>
      <xdr:row>135</xdr:row>
      <xdr:rowOff>106680</xdr:rowOff>
    </xdr:to>
    <xdr:sp macro="" textlink="">
      <xdr:nvSpPr>
        <xdr:cNvPr id="6365" name="AutoShape 1245" descr="GERMANY4"/>
        <xdr:cNvSpPr>
          <a:spLocks noChangeAspect="1" noChangeArrowheads="1"/>
        </xdr:cNvSpPr>
      </xdr:nvSpPr>
      <xdr:spPr bwMode="auto">
        <a:xfrm>
          <a:off x="0" y="27317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135</xdr:row>
      <xdr:rowOff>0</xdr:rowOff>
    </xdr:from>
    <xdr:to>
      <xdr:col>22</xdr:col>
      <xdr:colOff>304800</xdr:colOff>
      <xdr:row>136</xdr:row>
      <xdr:rowOff>129540</xdr:rowOff>
    </xdr:to>
    <xdr:sp macro="" textlink="">
      <xdr:nvSpPr>
        <xdr:cNvPr id="6366" name="AutoShape 1246" descr="https://www.soccerstats.com/img/own/sshplogo.png">
          <a:hlinkClick xmlns:r="http://schemas.openxmlformats.org/officeDocument/2006/relationships" r:id="rId793"/>
        </xdr:cNvPr>
        <xdr:cNvSpPr>
          <a:spLocks noChangeAspect="1" noChangeArrowheads="1"/>
        </xdr:cNvSpPr>
      </xdr:nvSpPr>
      <xdr:spPr bwMode="auto">
        <a:xfrm>
          <a:off x="13411200" y="2731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152400</xdr:colOff>
      <xdr:row>136</xdr:row>
      <xdr:rowOff>106680</xdr:rowOff>
    </xdr:to>
    <xdr:sp macro="" textlink="">
      <xdr:nvSpPr>
        <xdr:cNvPr id="6367" name="AutoShape 1247" descr="GERMANY4"/>
        <xdr:cNvSpPr>
          <a:spLocks noChangeAspect="1" noChangeArrowheads="1"/>
        </xdr:cNvSpPr>
      </xdr:nvSpPr>
      <xdr:spPr bwMode="auto">
        <a:xfrm>
          <a:off x="0" y="27569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136</xdr:row>
      <xdr:rowOff>0</xdr:rowOff>
    </xdr:from>
    <xdr:to>
      <xdr:col>22</xdr:col>
      <xdr:colOff>304800</xdr:colOff>
      <xdr:row>137</xdr:row>
      <xdr:rowOff>53340</xdr:rowOff>
    </xdr:to>
    <xdr:sp macro="" textlink="">
      <xdr:nvSpPr>
        <xdr:cNvPr id="6368" name="AutoShape 1248" descr="https://www.soccerstats.com/img/own/sshplogo.png">
          <a:hlinkClick xmlns:r="http://schemas.openxmlformats.org/officeDocument/2006/relationships" r:id="rId794"/>
        </xdr:cNvPr>
        <xdr:cNvSpPr>
          <a:spLocks noChangeAspect="1" noChangeArrowheads="1"/>
        </xdr:cNvSpPr>
      </xdr:nvSpPr>
      <xdr:spPr bwMode="auto">
        <a:xfrm>
          <a:off x="13411200" y="27569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152400</xdr:colOff>
      <xdr:row>137</xdr:row>
      <xdr:rowOff>106680</xdr:rowOff>
    </xdr:to>
    <xdr:sp macro="" textlink="">
      <xdr:nvSpPr>
        <xdr:cNvPr id="6369" name="AutoShape 1249" descr="GERMANY4"/>
        <xdr:cNvSpPr>
          <a:spLocks noChangeAspect="1" noChangeArrowheads="1"/>
        </xdr:cNvSpPr>
      </xdr:nvSpPr>
      <xdr:spPr bwMode="auto">
        <a:xfrm>
          <a:off x="0" y="27820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137</xdr:row>
      <xdr:rowOff>0</xdr:rowOff>
    </xdr:from>
    <xdr:to>
      <xdr:col>22</xdr:col>
      <xdr:colOff>304800</xdr:colOff>
      <xdr:row>138</xdr:row>
      <xdr:rowOff>53340</xdr:rowOff>
    </xdr:to>
    <xdr:sp macro="" textlink="">
      <xdr:nvSpPr>
        <xdr:cNvPr id="6370" name="AutoShape 1250" descr="https://www.soccerstats.com/img/own/sshplogo.png">
          <a:hlinkClick xmlns:r="http://schemas.openxmlformats.org/officeDocument/2006/relationships" r:id="rId795"/>
        </xdr:cNvPr>
        <xdr:cNvSpPr>
          <a:spLocks noChangeAspect="1" noChangeArrowheads="1"/>
        </xdr:cNvSpPr>
      </xdr:nvSpPr>
      <xdr:spPr bwMode="auto">
        <a:xfrm>
          <a:off x="13411200" y="27820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152400</xdr:colOff>
      <xdr:row>138</xdr:row>
      <xdr:rowOff>106680</xdr:rowOff>
    </xdr:to>
    <xdr:sp macro="" textlink="">
      <xdr:nvSpPr>
        <xdr:cNvPr id="6371" name="AutoShape 1251" descr="GERMANY4"/>
        <xdr:cNvSpPr>
          <a:spLocks noChangeAspect="1" noChangeArrowheads="1"/>
        </xdr:cNvSpPr>
      </xdr:nvSpPr>
      <xdr:spPr bwMode="auto">
        <a:xfrm>
          <a:off x="0" y="28072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138</xdr:row>
      <xdr:rowOff>0</xdr:rowOff>
    </xdr:from>
    <xdr:to>
      <xdr:col>22</xdr:col>
      <xdr:colOff>304800</xdr:colOff>
      <xdr:row>139</xdr:row>
      <xdr:rowOff>53340</xdr:rowOff>
    </xdr:to>
    <xdr:sp macro="" textlink="">
      <xdr:nvSpPr>
        <xdr:cNvPr id="6372" name="AutoShape 1252" descr="https://www.soccerstats.com/img/own/sshplogo.png">
          <a:hlinkClick xmlns:r="http://schemas.openxmlformats.org/officeDocument/2006/relationships" r:id="rId796"/>
        </xdr:cNvPr>
        <xdr:cNvSpPr>
          <a:spLocks noChangeAspect="1" noChangeArrowheads="1"/>
        </xdr:cNvSpPr>
      </xdr:nvSpPr>
      <xdr:spPr bwMode="auto">
        <a:xfrm>
          <a:off x="13411200" y="28072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152400</xdr:colOff>
      <xdr:row>139</xdr:row>
      <xdr:rowOff>106680</xdr:rowOff>
    </xdr:to>
    <xdr:sp macro="" textlink="">
      <xdr:nvSpPr>
        <xdr:cNvPr id="6373" name="AutoShape 1253" descr="GERMANY4"/>
        <xdr:cNvSpPr>
          <a:spLocks noChangeAspect="1" noChangeArrowheads="1"/>
        </xdr:cNvSpPr>
      </xdr:nvSpPr>
      <xdr:spPr bwMode="auto">
        <a:xfrm>
          <a:off x="0" y="28323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139</xdr:row>
      <xdr:rowOff>0</xdr:rowOff>
    </xdr:from>
    <xdr:to>
      <xdr:col>22</xdr:col>
      <xdr:colOff>304800</xdr:colOff>
      <xdr:row>140</xdr:row>
      <xdr:rowOff>129540</xdr:rowOff>
    </xdr:to>
    <xdr:sp macro="" textlink="">
      <xdr:nvSpPr>
        <xdr:cNvPr id="6374" name="AutoShape 1254" descr="https://www.soccerstats.com/img/own/sshplogo.png">
          <a:hlinkClick xmlns:r="http://schemas.openxmlformats.org/officeDocument/2006/relationships" r:id="rId797"/>
        </xdr:cNvPr>
        <xdr:cNvSpPr>
          <a:spLocks noChangeAspect="1" noChangeArrowheads="1"/>
        </xdr:cNvSpPr>
      </xdr:nvSpPr>
      <xdr:spPr bwMode="auto">
        <a:xfrm>
          <a:off x="13411200" y="28323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152400</xdr:colOff>
      <xdr:row>140</xdr:row>
      <xdr:rowOff>106680</xdr:rowOff>
    </xdr:to>
    <xdr:sp macro="" textlink="">
      <xdr:nvSpPr>
        <xdr:cNvPr id="6375" name="AutoShape 1255" descr="GERMANY5"/>
        <xdr:cNvSpPr>
          <a:spLocks noChangeAspect="1" noChangeArrowheads="1"/>
        </xdr:cNvSpPr>
      </xdr:nvSpPr>
      <xdr:spPr bwMode="auto">
        <a:xfrm>
          <a:off x="0" y="28498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140</xdr:row>
      <xdr:rowOff>0</xdr:rowOff>
    </xdr:from>
    <xdr:to>
      <xdr:col>22</xdr:col>
      <xdr:colOff>304800</xdr:colOff>
      <xdr:row>141</xdr:row>
      <xdr:rowOff>53340</xdr:rowOff>
    </xdr:to>
    <xdr:sp macro="" textlink="">
      <xdr:nvSpPr>
        <xdr:cNvPr id="6376" name="AutoShape 1256" descr="https://www.soccerstats.com/img/own/sshplogo.png">
          <a:hlinkClick xmlns:r="http://schemas.openxmlformats.org/officeDocument/2006/relationships" r:id="rId798"/>
        </xdr:cNvPr>
        <xdr:cNvSpPr>
          <a:spLocks noChangeAspect="1" noChangeArrowheads="1"/>
        </xdr:cNvSpPr>
      </xdr:nvSpPr>
      <xdr:spPr bwMode="auto">
        <a:xfrm>
          <a:off x="13411200" y="2849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377" name="AutoShape 1257" descr="GERMANY5"/>
        <xdr:cNvSpPr>
          <a:spLocks noChangeAspect="1" noChangeArrowheads="1"/>
        </xdr:cNvSpPr>
      </xdr:nvSpPr>
      <xdr:spPr bwMode="auto">
        <a:xfrm>
          <a:off x="0" y="28674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378" name="AutoShape 1258" descr="https://www.soccerstats.com/img/own/sshplogo.png">
          <a:hlinkClick xmlns:r="http://schemas.openxmlformats.org/officeDocument/2006/relationships" r:id="rId799"/>
        </xdr:cNvPr>
        <xdr:cNvSpPr>
          <a:spLocks noChangeAspect="1" noChangeArrowheads="1"/>
        </xdr:cNvSpPr>
      </xdr:nvSpPr>
      <xdr:spPr bwMode="auto">
        <a:xfrm>
          <a:off x="13411200" y="28674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379" name="AutoShape 1259" descr="GERMANY6"/>
        <xdr:cNvSpPr>
          <a:spLocks noChangeAspect="1" noChangeArrowheads="1"/>
        </xdr:cNvSpPr>
      </xdr:nvSpPr>
      <xdr:spPr bwMode="auto">
        <a:xfrm>
          <a:off x="0" y="28925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380" name="AutoShape 1260" descr="https://www.soccerstats.com/img/own/sshplogo.png">
          <a:hlinkClick xmlns:r="http://schemas.openxmlformats.org/officeDocument/2006/relationships" r:id="rId800"/>
        </xdr:cNvPr>
        <xdr:cNvSpPr>
          <a:spLocks noChangeAspect="1" noChangeArrowheads="1"/>
        </xdr:cNvSpPr>
      </xdr:nvSpPr>
      <xdr:spPr bwMode="auto">
        <a:xfrm>
          <a:off x="13411200" y="28925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381" name="AutoShape 1261" descr="GERMANY7"/>
        <xdr:cNvSpPr>
          <a:spLocks noChangeAspect="1" noChangeArrowheads="1"/>
        </xdr:cNvSpPr>
      </xdr:nvSpPr>
      <xdr:spPr bwMode="auto">
        <a:xfrm>
          <a:off x="0" y="29100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382" name="AutoShape 1262" descr="https://www.soccerstats.com/img/own/sshplogo.png">
          <a:hlinkClick xmlns:r="http://schemas.openxmlformats.org/officeDocument/2006/relationships" r:id="rId801"/>
        </xdr:cNvPr>
        <xdr:cNvSpPr>
          <a:spLocks noChangeAspect="1" noChangeArrowheads="1"/>
        </xdr:cNvSpPr>
      </xdr:nvSpPr>
      <xdr:spPr bwMode="auto">
        <a:xfrm>
          <a:off x="13411200" y="29100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383" name="AutoShape 1263" descr="GERMANY7"/>
        <xdr:cNvSpPr>
          <a:spLocks noChangeAspect="1" noChangeArrowheads="1"/>
        </xdr:cNvSpPr>
      </xdr:nvSpPr>
      <xdr:spPr bwMode="auto">
        <a:xfrm>
          <a:off x="0" y="29276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384" name="AutoShape 1264" descr="https://www.soccerstats.com/img/own/sshplogo.png">
          <a:hlinkClick xmlns:r="http://schemas.openxmlformats.org/officeDocument/2006/relationships" r:id="rId802"/>
        </xdr:cNvPr>
        <xdr:cNvSpPr>
          <a:spLocks noChangeAspect="1" noChangeArrowheads="1"/>
        </xdr:cNvSpPr>
      </xdr:nvSpPr>
      <xdr:spPr bwMode="auto">
        <a:xfrm>
          <a:off x="13411200" y="29276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385" name="AutoShape 1265" descr="GERMANY7"/>
        <xdr:cNvSpPr>
          <a:spLocks noChangeAspect="1" noChangeArrowheads="1"/>
        </xdr:cNvSpPr>
      </xdr:nvSpPr>
      <xdr:spPr bwMode="auto">
        <a:xfrm>
          <a:off x="0" y="29451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386" name="AutoShape 1266" descr="https://www.soccerstats.com/img/own/sshplogo.png">
          <a:hlinkClick xmlns:r="http://schemas.openxmlformats.org/officeDocument/2006/relationships" r:id="rId803"/>
        </xdr:cNvPr>
        <xdr:cNvSpPr>
          <a:spLocks noChangeAspect="1" noChangeArrowheads="1"/>
        </xdr:cNvSpPr>
      </xdr:nvSpPr>
      <xdr:spPr bwMode="auto">
        <a:xfrm>
          <a:off x="13411200" y="29451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387" name="AutoShape 1267" descr="GUATEMALA"/>
        <xdr:cNvSpPr>
          <a:spLocks noChangeAspect="1" noChangeArrowheads="1"/>
        </xdr:cNvSpPr>
      </xdr:nvSpPr>
      <xdr:spPr bwMode="auto">
        <a:xfrm>
          <a:off x="0" y="29702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388" name="AutoShape 1268" descr="https://www.soccerstats.com/img/own/sshplogo.png">
          <a:hlinkClick xmlns:r="http://schemas.openxmlformats.org/officeDocument/2006/relationships" r:id="rId804"/>
        </xdr:cNvPr>
        <xdr:cNvSpPr>
          <a:spLocks noChangeAspect="1" noChangeArrowheads="1"/>
        </xdr:cNvSpPr>
      </xdr:nvSpPr>
      <xdr:spPr bwMode="auto">
        <a:xfrm>
          <a:off x="13411200" y="29702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389" name="AutoShape 1269" descr="GUATEMALA"/>
        <xdr:cNvSpPr>
          <a:spLocks noChangeAspect="1" noChangeArrowheads="1"/>
        </xdr:cNvSpPr>
      </xdr:nvSpPr>
      <xdr:spPr bwMode="auto">
        <a:xfrm>
          <a:off x="0" y="29954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390" name="AutoShape 1270" descr="https://www.soccerstats.com/img/own/sshplogo.png">
          <a:hlinkClick xmlns:r="http://schemas.openxmlformats.org/officeDocument/2006/relationships" r:id="rId805"/>
        </xdr:cNvPr>
        <xdr:cNvSpPr>
          <a:spLocks noChangeAspect="1" noChangeArrowheads="1"/>
        </xdr:cNvSpPr>
      </xdr:nvSpPr>
      <xdr:spPr bwMode="auto">
        <a:xfrm>
          <a:off x="13411200" y="29954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391" name="AutoShape 1271" descr="GUATEMALA"/>
        <xdr:cNvSpPr>
          <a:spLocks noChangeAspect="1" noChangeArrowheads="1"/>
        </xdr:cNvSpPr>
      </xdr:nvSpPr>
      <xdr:spPr bwMode="auto">
        <a:xfrm>
          <a:off x="0" y="30129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392" name="AutoShape 1272" descr="https://www.soccerstats.com/img/own/sshplogo.png">
          <a:hlinkClick xmlns:r="http://schemas.openxmlformats.org/officeDocument/2006/relationships" r:id="rId806"/>
        </xdr:cNvPr>
        <xdr:cNvSpPr>
          <a:spLocks noChangeAspect="1" noChangeArrowheads="1"/>
        </xdr:cNvSpPr>
      </xdr:nvSpPr>
      <xdr:spPr bwMode="auto">
        <a:xfrm>
          <a:off x="13411200" y="30129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393" name="AutoShape 1273" descr="HUNGARY"/>
        <xdr:cNvSpPr>
          <a:spLocks noChangeAspect="1" noChangeArrowheads="1"/>
        </xdr:cNvSpPr>
      </xdr:nvSpPr>
      <xdr:spPr bwMode="auto">
        <a:xfrm>
          <a:off x="0" y="30380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394" name="AutoShape 1274" descr="https://www.soccerstats.com/img/own/sshplogo.png">
          <a:hlinkClick xmlns:r="http://schemas.openxmlformats.org/officeDocument/2006/relationships" r:id="rId807"/>
        </xdr:cNvPr>
        <xdr:cNvSpPr>
          <a:spLocks noChangeAspect="1" noChangeArrowheads="1"/>
        </xdr:cNvSpPr>
      </xdr:nvSpPr>
      <xdr:spPr bwMode="auto">
        <a:xfrm>
          <a:off x="13411200" y="30380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395" name="AutoShape 1275" descr="HUNGARY"/>
        <xdr:cNvSpPr>
          <a:spLocks noChangeAspect="1" noChangeArrowheads="1"/>
        </xdr:cNvSpPr>
      </xdr:nvSpPr>
      <xdr:spPr bwMode="auto">
        <a:xfrm>
          <a:off x="0" y="30556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396" name="AutoShape 1276" descr="https://www.soccerstats.com/img/own/sshplogo.png">
          <a:hlinkClick xmlns:r="http://schemas.openxmlformats.org/officeDocument/2006/relationships" r:id="rId808"/>
        </xdr:cNvPr>
        <xdr:cNvSpPr>
          <a:spLocks noChangeAspect="1" noChangeArrowheads="1"/>
        </xdr:cNvSpPr>
      </xdr:nvSpPr>
      <xdr:spPr bwMode="auto">
        <a:xfrm>
          <a:off x="13411200" y="30556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397" name="AutoShape 1277" descr="HUNGARY2"/>
        <xdr:cNvSpPr>
          <a:spLocks noChangeAspect="1" noChangeArrowheads="1"/>
        </xdr:cNvSpPr>
      </xdr:nvSpPr>
      <xdr:spPr bwMode="auto">
        <a:xfrm>
          <a:off x="0" y="30731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398" name="AutoShape 1278" descr="https://www.soccerstats.com/img/own/sshplogo.png">
          <a:hlinkClick xmlns:r="http://schemas.openxmlformats.org/officeDocument/2006/relationships" r:id="rId809"/>
        </xdr:cNvPr>
        <xdr:cNvSpPr>
          <a:spLocks noChangeAspect="1" noChangeArrowheads="1"/>
        </xdr:cNvSpPr>
      </xdr:nvSpPr>
      <xdr:spPr bwMode="auto">
        <a:xfrm>
          <a:off x="13411200" y="30731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399" name="AutoShape 1279" descr="HUNGARY2"/>
        <xdr:cNvSpPr>
          <a:spLocks noChangeAspect="1" noChangeArrowheads="1"/>
        </xdr:cNvSpPr>
      </xdr:nvSpPr>
      <xdr:spPr bwMode="auto">
        <a:xfrm>
          <a:off x="0" y="30906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00" name="AutoShape 1280" descr="https://www.soccerstats.com/img/own/sshplogo.png">
          <a:hlinkClick xmlns:r="http://schemas.openxmlformats.org/officeDocument/2006/relationships" r:id="rId810"/>
        </xdr:cNvPr>
        <xdr:cNvSpPr>
          <a:spLocks noChangeAspect="1" noChangeArrowheads="1"/>
        </xdr:cNvSpPr>
      </xdr:nvSpPr>
      <xdr:spPr bwMode="auto">
        <a:xfrm>
          <a:off x="13411200" y="30906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01" name="AutoShape 1281" descr="ICELAND"/>
        <xdr:cNvSpPr>
          <a:spLocks noChangeAspect="1" noChangeArrowheads="1"/>
        </xdr:cNvSpPr>
      </xdr:nvSpPr>
      <xdr:spPr bwMode="auto">
        <a:xfrm>
          <a:off x="0" y="31081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02" name="AutoShape 1282" descr="https://www.soccerstats.com/img/own/sshplogo.png">
          <a:hlinkClick xmlns:r="http://schemas.openxmlformats.org/officeDocument/2006/relationships" r:id="rId811"/>
        </xdr:cNvPr>
        <xdr:cNvSpPr>
          <a:spLocks noChangeAspect="1" noChangeArrowheads="1"/>
        </xdr:cNvSpPr>
      </xdr:nvSpPr>
      <xdr:spPr bwMode="auto">
        <a:xfrm>
          <a:off x="13411200" y="31081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03" name="AutoShape 1283" descr="ICELAND"/>
        <xdr:cNvSpPr>
          <a:spLocks noChangeAspect="1" noChangeArrowheads="1"/>
        </xdr:cNvSpPr>
      </xdr:nvSpPr>
      <xdr:spPr bwMode="auto">
        <a:xfrm>
          <a:off x="0" y="31257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04" name="AutoShape 1284" descr="https://www.soccerstats.com/img/own/sshplogo.png">
          <a:hlinkClick xmlns:r="http://schemas.openxmlformats.org/officeDocument/2006/relationships" r:id="rId812"/>
        </xdr:cNvPr>
        <xdr:cNvSpPr>
          <a:spLocks noChangeAspect="1" noChangeArrowheads="1"/>
        </xdr:cNvSpPr>
      </xdr:nvSpPr>
      <xdr:spPr bwMode="auto">
        <a:xfrm>
          <a:off x="13411200" y="31257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05" name="AutoShape 1285" descr="ICELAND"/>
        <xdr:cNvSpPr>
          <a:spLocks noChangeAspect="1" noChangeArrowheads="1"/>
        </xdr:cNvSpPr>
      </xdr:nvSpPr>
      <xdr:spPr bwMode="auto">
        <a:xfrm>
          <a:off x="0" y="31432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06" name="AutoShape 1286" descr="https://www.soccerstats.com/img/own/sshplogo.png">
          <a:hlinkClick xmlns:r="http://schemas.openxmlformats.org/officeDocument/2006/relationships" r:id="rId813"/>
        </xdr:cNvPr>
        <xdr:cNvSpPr>
          <a:spLocks noChangeAspect="1" noChangeArrowheads="1"/>
        </xdr:cNvSpPr>
      </xdr:nvSpPr>
      <xdr:spPr bwMode="auto">
        <a:xfrm>
          <a:off x="13411200" y="3143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07" name="AutoShape 1287" descr="JAPAN2"/>
        <xdr:cNvSpPr>
          <a:spLocks noChangeAspect="1" noChangeArrowheads="1"/>
        </xdr:cNvSpPr>
      </xdr:nvSpPr>
      <xdr:spPr bwMode="auto">
        <a:xfrm>
          <a:off x="0" y="31607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08" name="AutoShape 1288" descr="https://www.soccerstats.com/img/own/sshplogo.png">
          <a:hlinkClick xmlns:r="http://schemas.openxmlformats.org/officeDocument/2006/relationships" r:id="rId814"/>
        </xdr:cNvPr>
        <xdr:cNvSpPr>
          <a:spLocks noChangeAspect="1" noChangeArrowheads="1"/>
        </xdr:cNvSpPr>
      </xdr:nvSpPr>
      <xdr:spPr bwMode="auto">
        <a:xfrm>
          <a:off x="13411200" y="31607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09" name="AutoShape 1289" descr="JAPAN2"/>
        <xdr:cNvSpPr>
          <a:spLocks noChangeAspect="1" noChangeArrowheads="1"/>
        </xdr:cNvSpPr>
      </xdr:nvSpPr>
      <xdr:spPr bwMode="auto">
        <a:xfrm>
          <a:off x="0" y="31859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10" name="AutoShape 1290" descr="https://www.soccerstats.com/img/own/sshplogo.png">
          <a:hlinkClick xmlns:r="http://schemas.openxmlformats.org/officeDocument/2006/relationships" r:id="rId815"/>
        </xdr:cNvPr>
        <xdr:cNvSpPr>
          <a:spLocks noChangeAspect="1" noChangeArrowheads="1"/>
        </xdr:cNvSpPr>
      </xdr:nvSpPr>
      <xdr:spPr bwMode="auto">
        <a:xfrm>
          <a:off x="13411200" y="31859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11" name="AutoShape 1291" descr="JAPAN3"/>
        <xdr:cNvSpPr>
          <a:spLocks noChangeAspect="1" noChangeArrowheads="1"/>
        </xdr:cNvSpPr>
      </xdr:nvSpPr>
      <xdr:spPr bwMode="auto">
        <a:xfrm>
          <a:off x="0" y="32034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12" name="AutoShape 1292" descr="https://www.soccerstats.com/img/own/sshplogo.png">
          <a:hlinkClick xmlns:r="http://schemas.openxmlformats.org/officeDocument/2006/relationships" r:id="rId816"/>
        </xdr:cNvPr>
        <xdr:cNvSpPr>
          <a:spLocks noChangeAspect="1" noChangeArrowheads="1"/>
        </xdr:cNvSpPr>
      </xdr:nvSpPr>
      <xdr:spPr bwMode="auto">
        <a:xfrm>
          <a:off x="13411200" y="32034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13" name="AutoShape 1293" descr="JAPAN3"/>
        <xdr:cNvSpPr>
          <a:spLocks noChangeAspect="1" noChangeArrowheads="1"/>
        </xdr:cNvSpPr>
      </xdr:nvSpPr>
      <xdr:spPr bwMode="auto">
        <a:xfrm>
          <a:off x="0" y="32285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14" name="AutoShape 1294" descr="https://www.soccerstats.com/img/own/sshplogo.png">
          <a:hlinkClick xmlns:r="http://schemas.openxmlformats.org/officeDocument/2006/relationships" r:id="rId817"/>
        </xdr:cNvPr>
        <xdr:cNvSpPr>
          <a:spLocks noChangeAspect="1" noChangeArrowheads="1"/>
        </xdr:cNvSpPr>
      </xdr:nvSpPr>
      <xdr:spPr bwMode="auto">
        <a:xfrm>
          <a:off x="13411200" y="32285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15" name="AutoShape 1295" descr="JAPAN3"/>
        <xdr:cNvSpPr>
          <a:spLocks noChangeAspect="1" noChangeArrowheads="1"/>
        </xdr:cNvSpPr>
      </xdr:nvSpPr>
      <xdr:spPr bwMode="auto">
        <a:xfrm>
          <a:off x="0" y="32537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16" name="AutoShape 1296" descr="https://www.soccerstats.com/img/own/sshplogo.png">
          <a:hlinkClick xmlns:r="http://schemas.openxmlformats.org/officeDocument/2006/relationships" r:id="rId818"/>
        </xdr:cNvPr>
        <xdr:cNvSpPr>
          <a:spLocks noChangeAspect="1" noChangeArrowheads="1"/>
        </xdr:cNvSpPr>
      </xdr:nvSpPr>
      <xdr:spPr bwMode="auto">
        <a:xfrm>
          <a:off x="13411200" y="32537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17" name="AutoShape 1297" descr="JAPAN3"/>
        <xdr:cNvSpPr>
          <a:spLocks noChangeAspect="1" noChangeArrowheads="1"/>
        </xdr:cNvSpPr>
      </xdr:nvSpPr>
      <xdr:spPr bwMode="auto">
        <a:xfrm>
          <a:off x="0" y="32788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18" name="AutoShape 1298" descr="https://www.soccerstats.com/img/own/sshplogo.png">
          <a:hlinkClick xmlns:r="http://schemas.openxmlformats.org/officeDocument/2006/relationships" r:id="rId819"/>
        </xdr:cNvPr>
        <xdr:cNvSpPr>
          <a:spLocks noChangeAspect="1" noChangeArrowheads="1"/>
        </xdr:cNvSpPr>
      </xdr:nvSpPr>
      <xdr:spPr bwMode="auto">
        <a:xfrm>
          <a:off x="13411200" y="32788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19" name="AutoShape 1299" descr="KAZAKHSTAN"/>
        <xdr:cNvSpPr>
          <a:spLocks noChangeAspect="1" noChangeArrowheads="1"/>
        </xdr:cNvSpPr>
      </xdr:nvSpPr>
      <xdr:spPr bwMode="auto">
        <a:xfrm>
          <a:off x="0" y="33040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20" name="AutoShape 1300" descr="https://www.soccerstats.com/img/own/sshplogo.png">
          <a:hlinkClick xmlns:r="http://schemas.openxmlformats.org/officeDocument/2006/relationships" r:id="rId820"/>
        </xdr:cNvPr>
        <xdr:cNvSpPr>
          <a:spLocks noChangeAspect="1" noChangeArrowheads="1"/>
        </xdr:cNvSpPr>
      </xdr:nvSpPr>
      <xdr:spPr bwMode="auto">
        <a:xfrm>
          <a:off x="13411200" y="3304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21" name="AutoShape 1301" descr="KAZAKHSTAN"/>
        <xdr:cNvSpPr>
          <a:spLocks noChangeAspect="1" noChangeArrowheads="1"/>
        </xdr:cNvSpPr>
      </xdr:nvSpPr>
      <xdr:spPr bwMode="auto">
        <a:xfrm>
          <a:off x="0" y="33215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22" name="AutoShape 1302" descr="https://www.soccerstats.com/img/own/sshplogo.png">
          <a:hlinkClick xmlns:r="http://schemas.openxmlformats.org/officeDocument/2006/relationships" r:id="rId821"/>
        </xdr:cNvPr>
        <xdr:cNvSpPr>
          <a:spLocks noChangeAspect="1" noChangeArrowheads="1"/>
        </xdr:cNvSpPr>
      </xdr:nvSpPr>
      <xdr:spPr bwMode="auto">
        <a:xfrm>
          <a:off x="13411200" y="33215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23" name="AutoShape 1303" descr="KAZAKHSTAN"/>
        <xdr:cNvSpPr>
          <a:spLocks noChangeAspect="1" noChangeArrowheads="1"/>
        </xdr:cNvSpPr>
      </xdr:nvSpPr>
      <xdr:spPr bwMode="auto">
        <a:xfrm>
          <a:off x="0" y="33390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24" name="AutoShape 1304" descr="https://www.soccerstats.com/img/own/sshplogo.png">
          <a:hlinkClick xmlns:r="http://schemas.openxmlformats.org/officeDocument/2006/relationships" r:id="rId822"/>
        </xdr:cNvPr>
        <xdr:cNvSpPr>
          <a:spLocks noChangeAspect="1" noChangeArrowheads="1"/>
        </xdr:cNvSpPr>
      </xdr:nvSpPr>
      <xdr:spPr bwMode="auto">
        <a:xfrm>
          <a:off x="13411200" y="33390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25" name="AutoShape 1305" descr="KAZAKHSTAN"/>
        <xdr:cNvSpPr>
          <a:spLocks noChangeAspect="1" noChangeArrowheads="1"/>
        </xdr:cNvSpPr>
      </xdr:nvSpPr>
      <xdr:spPr bwMode="auto">
        <a:xfrm>
          <a:off x="0" y="33566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26" name="AutoShape 1306" descr="https://www.soccerstats.com/img/own/sshplogo.png">
          <a:hlinkClick xmlns:r="http://schemas.openxmlformats.org/officeDocument/2006/relationships" r:id="rId823"/>
        </xdr:cNvPr>
        <xdr:cNvSpPr>
          <a:spLocks noChangeAspect="1" noChangeArrowheads="1"/>
        </xdr:cNvSpPr>
      </xdr:nvSpPr>
      <xdr:spPr bwMode="auto">
        <a:xfrm>
          <a:off x="13411200" y="33566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27" name="AutoShape 1307" descr="LITHUANIA"/>
        <xdr:cNvSpPr>
          <a:spLocks noChangeAspect="1" noChangeArrowheads="1"/>
        </xdr:cNvSpPr>
      </xdr:nvSpPr>
      <xdr:spPr bwMode="auto">
        <a:xfrm>
          <a:off x="0" y="33817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28" name="AutoShape 1308" descr="https://www.soccerstats.com/img/own/sshplogo.png">
          <a:hlinkClick xmlns:r="http://schemas.openxmlformats.org/officeDocument/2006/relationships" r:id="rId824"/>
        </xdr:cNvPr>
        <xdr:cNvSpPr>
          <a:spLocks noChangeAspect="1" noChangeArrowheads="1"/>
        </xdr:cNvSpPr>
      </xdr:nvSpPr>
      <xdr:spPr bwMode="auto">
        <a:xfrm>
          <a:off x="13411200" y="33817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29" name="AutoShape 1309" descr="LITHUANIA"/>
        <xdr:cNvSpPr>
          <a:spLocks noChangeAspect="1" noChangeArrowheads="1"/>
        </xdr:cNvSpPr>
      </xdr:nvSpPr>
      <xdr:spPr bwMode="auto">
        <a:xfrm>
          <a:off x="0" y="34069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30" name="AutoShape 1310" descr="https://www.soccerstats.com/img/own/sshplogo.png">
          <a:hlinkClick xmlns:r="http://schemas.openxmlformats.org/officeDocument/2006/relationships" r:id="rId825"/>
        </xdr:cNvPr>
        <xdr:cNvSpPr>
          <a:spLocks noChangeAspect="1" noChangeArrowheads="1"/>
        </xdr:cNvSpPr>
      </xdr:nvSpPr>
      <xdr:spPr bwMode="auto">
        <a:xfrm>
          <a:off x="13411200" y="34069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31" name="AutoShape 1311" descr="MEXICO"/>
        <xdr:cNvSpPr>
          <a:spLocks noChangeAspect="1" noChangeArrowheads="1"/>
        </xdr:cNvSpPr>
      </xdr:nvSpPr>
      <xdr:spPr bwMode="auto">
        <a:xfrm>
          <a:off x="0" y="34244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32" name="AutoShape 1312" descr="https://www.soccerstats.com/img/own/sshplogo.png">
          <a:hlinkClick xmlns:r="http://schemas.openxmlformats.org/officeDocument/2006/relationships" r:id="rId826"/>
        </xdr:cNvPr>
        <xdr:cNvSpPr>
          <a:spLocks noChangeAspect="1" noChangeArrowheads="1"/>
        </xdr:cNvSpPr>
      </xdr:nvSpPr>
      <xdr:spPr bwMode="auto">
        <a:xfrm>
          <a:off x="13411200" y="34244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33" name="AutoShape 1313" descr="MEXICO"/>
        <xdr:cNvSpPr>
          <a:spLocks noChangeAspect="1" noChangeArrowheads="1"/>
        </xdr:cNvSpPr>
      </xdr:nvSpPr>
      <xdr:spPr bwMode="auto">
        <a:xfrm>
          <a:off x="0" y="34419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34" name="AutoShape 1314" descr="https://www.soccerstats.com/img/own/sshplogo.png">
          <a:hlinkClick xmlns:r="http://schemas.openxmlformats.org/officeDocument/2006/relationships" r:id="rId827"/>
        </xdr:cNvPr>
        <xdr:cNvSpPr>
          <a:spLocks noChangeAspect="1" noChangeArrowheads="1"/>
        </xdr:cNvSpPr>
      </xdr:nvSpPr>
      <xdr:spPr bwMode="auto">
        <a:xfrm>
          <a:off x="13411200" y="34419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35" name="AutoShape 1315" descr="MEXICO"/>
        <xdr:cNvSpPr>
          <a:spLocks noChangeAspect="1" noChangeArrowheads="1"/>
        </xdr:cNvSpPr>
      </xdr:nvSpPr>
      <xdr:spPr bwMode="auto">
        <a:xfrm>
          <a:off x="0" y="34594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36" name="AutoShape 1316" descr="https://www.soccerstats.com/img/own/sshplogo.png">
          <a:hlinkClick xmlns:r="http://schemas.openxmlformats.org/officeDocument/2006/relationships" r:id="rId828"/>
        </xdr:cNvPr>
        <xdr:cNvSpPr>
          <a:spLocks noChangeAspect="1" noChangeArrowheads="1"/>
        </xdr:cNvSpPr>
      </xdr:nvSpPr>
      <xdr:spPr bwMode="auto">
        <a:xfrm>
          <a:off x="13411200" y="3459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37" name="AutoShape 1317" descr="MEXICO"/>
        <xdr:cNvSpPr>
          <a:spLocks noChangeAspect="1" noChangeArrowheads="1"/>
        </xdr:cNvSpPr>
      </xdr:nvSpPr>
      <xdr:spPr bwMode="auto">
        <a:xfrm>
          <a:off x="0" y="34846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38" name="AutoShape 1318" descr="https://www.soccerstats.com/img/own/sshplogo.png">
          <a:hlinkClick xmlns:r="http://schemas.openxmlformats.org/officeDocument/2006/relationships" r:id="rId829"/>
        </xdr:cNvPr>
        <xdr:cNvSpPr>
          <a:spLocks noChangeAspect="1" noChangeArrowheads="1"/>
        </xdr:cNvSpPr>
      </xdr:nvSpPr>
      <xdr:spPr bwMode="auto">
        <a:xfrm>
          <a:off x="13411200" y="34846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39" name="AutoShape 1319" descr="MOLDOVA"/>
        <xdr:cNvSpPr>
          <a:spLocks noChangeAspect="1" noChangeArrowheads="1"/>
        </xdr:cNvSpPr>
      </xdr:nvSpPr>
      <xdr:spPr bwMode="auto">
        <a:xfrm>
          <a:off x="0" y="35021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40" name="AutoShape 1320" descr="https://www.soccerstats.com/img/own/sshplogo.png">
          <a:hlinkClick xmlns:r="http://schemas.openxmlformats.org/officeDocument/2006/relationships" r:id="rId830"/>
        </xdr:cNvPr>
        <xdr:cNvSpPr>
          <a:spLocks noChangeAspect="1" noChangeArrowheads="1"/>
        </xdr:cNvSpPr>
      </xdr:nvSpPr>
      <xdr:spPr bwMode="auto">
        <a:xfrm>
          <a:off x="13411200" y="35021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41" name="AutoShape 1321" descr="MOLDOVA"/>
        <xdr:cNvSpPr>
          <a:spLocks noChangeAspect="1" noChangeArrowheads="1"/>
        </xdr:cNvSpPr>
      </xdr:nvSpPr>
      <xdr:spPr bwMode="auto">
        <a:xfrm>
          <a:off x="0" y="35196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42" name="AutoShape 1322" descr="https://www.soccerstats.com/img/own/sshplogo.png">
          <a:hlinkClick xmlns:r="http://schemas.openxmlformats.org/officeDocument/2006/relationships" r:id="rId831"/>
        </xdr:cNvPr>
        <xdr:cNvSpPr>
          <a:spLocks noChangeAspect="1" noChangeArrowheads="1"/>
        </xdr:cNvSpPr>
      </xdr:nvSpPr>
      <xdr:spPr bwMode="auto">
        <a:xfrm>
          <a:off x="13411200" y="35196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43" name="AutoShape 1323" descr="MONTENEGRO"/>
        <xdr:cNvSpPr>
          <a:spLocks noChangeAspect="1" noChangeArrowheads="1"/>
        </xdr:cNvSpPr>
      </xdr:nvSpPr>
      <xdr:spPr bwMode="auto">
        <a:xfrm>
          <a:off x="0" y="35448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44" name="AutoShape 1324" descr="https://www.soccerstats.com/img/own/sshplogo.png">
          <a:hlinkClick xmlns:r="http://schemas.openxmlformats.org/officeDocument/2006/relationships" r:id="rId832"/>
        </xdr:cNvPr>
        <xdr:cNvSpPr>
          <a:spLocks noChangeAspect="1" noChangeArrowheads="1"/>
        </xdr:cNvSpPr>
      </xdr:nvSpPr>
      <xdr:spPr bwMode="auto">
        <a:xfrm>
          <a:off x="13411200" y="35448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45" name="AutoShape 1325" descr="MONTENEGRO"/>
        <xdr:cNvSpPr>
          <a:spLocks noChangeAspect="1" noChangeArrowheads="1"/>
        </xdr:cNvSpPr>
      </xdr:nvSpPr>
      <xdr:spPr bwMode="auto">
        <a:xfrm>
          <a:off x="0" y="35623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46" name="AutoShape 1326" descr="https://www.soccerstats.com/img/own/sshplogo.png">
          <a:hlinkClick xmlns:r="http://schemas.openxmlformats.org/officeDocument/2006/relationships" r:id="rId833"/>
        </xdr:cNvPr>
        <xdr:cNvSpPr>
          <a:spLocks noChangeAspect="1" noChangeArrowheads="1"/>
        </xdr:cNvSpPr>
      </xdr:nvSpPr>
      <xdr:spPr bwMode="auto">
        <a:xfrm>
          <a:off x="13411200" y="3562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47" name="AutoShape 1327" descr="MONTENEGRO"/>
        <xdr:cNvSpPr>
          <a:spLocks noChangeAspect="1" noChangeArrowheads="1"/>
        </xdr:cNvSpPr>
      </xdr:nvSpPr>
      <xdr:spPr bwMode="auto">
        <a:xfrm>
          <a:off x="0" y="35798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48" name="AutoShape 1328" descr="https://www.soccerstats.com/img/own/sshplogo.png">
          <a:hlinkClick xmlns:r="http://schemas.openxmlformats.org/officeDocument/2006/relationships" r:id="rId834"/>
        </xdr:cNvPr>
        <xdr:cNvSpPr>
          <a:spLocks noChangeAspect="1" noChangeArrowheads="1"/>
        </xdr:cNvSpPr>
      </xdr:nvSpPr>
      <xdr:spPr bwMode="auto">
        <a:xfrm>
          <a:off x="13411200" y="35798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49" name="AutoShape 1329" descr="NORWAY"/>
        <xdr:cNvSpPr>
          <a:spLocks noChangeAspect="1" noChangeArrowheads="1"/>
        </xdr:cNvSpPr>
      </xdr:nvSpPr>
      <xdr:spPr bwMode="auto">
        <a:xfrm>
          <a:off x="0" y="35974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50" name="AutoShape 1330" descr="https://www.soccerstats.com/img/own/sshplogo.png">
          <a:hlinkClick xmlns:r="http://schemas.openxmlformats.org/officeDocument/2006/relationships" r:id="rId835"/>
        </xdr:cNvPr>
        <xdr:cNvSpPr>
          <a:spLocks noChangeAspect="1" noChangeArrowheads="1"/>
        </xdr:cNvSpPr>
      </xdr:nvSpPr>
      <xdr:spPr bwMode="auto">
        <a:xfrm>
          <a:off x="13411200" y="35974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51" name="AutoShape 1331" descr="NORWAY"/>
        <xdr:cNvSpPr>
          <a:spLocks noChangeAspect="1" noChangeArrowheads="1"/>
        </xdr:cNvSpPr>
      </xdr:nvSpPr>
      <xdr:spPr bwMode="auto">
        <a:xfrm>
          <a:off x="0" y="36149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52" name="AutoShape 1332" descr="https://www.soccerstats.com/img/own/sshplogo.png">
          <a:hlinkClick xmlns:r="http://schemas.openxmlformats.org/officeDocument/2006/relationships" r:id="rId836"/>
        </xdr:cNvPr>
        <xdr:cNvSpPr>
          <a:spLocks noChangeAspect="1" noChangeArrowheads="1"/>
        </xdr:cNvSpPr>
      </xdr:nvSpPr>
      <xdr:spPr bwMode="auto">
        <a:xfrm>
          <a:off x="13411200" y="36149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53" name="AutoShape 1333" descr="NORWAY"/>
        <xdr:cNvSpPr>
          <a:spLocks noChangeAspect="1" noChangeArrowheads="1"/>
        </xdr:cNvSpPr>
      </xdr:nvSpPr>
      <xdr:spPr bwMode="auto">
        <a:xfrm>
          <a:off x="0" y="3632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54" name="AutoShape 1334" descr="https://www.soccerstats.com/img/own/sshplogo.png">
          <a:hlinkClick xmlns:r="http://schemas.openxmlformats.org/officeDocument/2006/relationships" r:id="rId837"/>
        </xdr:cNvPr>
        <xdr:cNvSpPr>
          <a:spLocks noChangeAspect="1" noChangeArrowheads="1"/>
        </xdr:cNvSpPr>
      </xdr:nvSpPr>
      <xdr:spPr bwMode="auto">
        <a:xfrm>
          <a:off x="13411200" y="3632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55" name="AutoShape 1335" descr="NORWAY"/>
        <xdr:cNvSpPr>
          <a:spLocks noChangeAspect="1" noChangeArrowheads="1"/>
        </xdr:cNvSpPr>
      </xdr:nvSpPr>
      <xdr:spPr bwMode="auto">
        <a:xfrm>
          <a:off x="0" y="36499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56" name="AutoShape 1336" descr="https://www.soccerstats.com/img/own/sshplogo.png">
          <a:hlinkClick xmlns:r="http://schemas.openxmlformats.org/officeDocument/2006/relationships" r:id="rId838"/>
        </xdr:cNvPr>
        <xdr:cNvSpPr>
          <a:spLocks noChangeAspect="1" noChangeArrowheads="1"/>
        </xdr:cNvSpPr>
      </xdr:nvSpPr>
      <xdr:spPr bwMode="auto">
        <a:xfrm>
          <a:off x="13411200" y="36499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57" name="AutoShape 1337" descr="NORWAY"/>
        <xdr:cNvSpPr>
          <a:spLocks noChangeAspect="1" noChangeArrowheads="1"/>
        </xdr:cNvSpPr>
      </xdr:nvSpPr>
      <xdr:spPr bwMode="auto">
        <a:xfrm>
          <a:off x="0" y="3667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58" name="AutoShape 1338" descr="https://www.soccerstats.com/img/own/sshplogo.png">
          <a:hlinkClick xmlns:r="http://schemas.openxmlformats.org/officeDocument/2006/relationships" r:id="rId839"/>
        </xdr:cNvPr>
        <xdr:cNvSpPr>
          <a:spLocks noChangeAspect="1" noChangeArrowheads="1"/>
        </xdr:cNvSpPr>
      </xdr:nvSpPr>
      <xdr:spPr bwMode="auto">
        <a:xfrm>
          <a:off x="13411200" y="3667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59" name="AutoShape 1339" descr="NORWAY2"/>
        <xdr:cNvSpPr>
          <a:spLocks noChangeAspect="1" noChangeArrowheads="1"/>
        </xdr:cNvSpPr>
      </xdr:nvSpPr>
      <xdr:spPr bwMode="auto">
        <a:xfrm>
          <a:off x="0" y="36850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60" name="AutoShape 1340" descr="https://www.soccerstats.com/img/own/sshplogo.png">
          <a:hlinkClick xmlns:r="http://schemas.openxmlformats.org/officeDocument/2006/relationships" r:id="rId840"/>
        </xdr:cNvPr>
        <xdr:cNvSpPr>
          <a:spLocks noChangeAspect="1" noChangeArrowheads="1"/>
        </xdr:cNvSpPr>
      </xdr:nvSpPr>
      <xdr:spPr bwMode="auto">
        <a:xfrm>
          <a:off x="13411200" y="3685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61" name="AutoShape 1341" descr="NORWAY2"/>
        <xdr:cNvSpPr>
          <a:spLocks noChangeAspect="1" noChangeArrowheads="1"/>
        </xdr:cNvSpPr>
      </xdr:nvSpPr>
      <xdr:spPr bwMode="auto">
        <a:xfrm>
          <a:off x="0" y="37025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62" name="AutoShape 1342" descr="https://www.soccerstats.com/img/own/sshplogo.png">
          <a:hlinkClick xmlns:r="http://schemas.openxmlformats.org/officeDocument/2006/relationships" r:id="rId841"/>
        </xdr:cNvPr>
        <xdr:cNvSpPr>
          <a:spLocks noChangeAspect="1" noChangeArrowheads="1"/>
        </xdr:cNvSpPr>
      </xdr:nvSpPr>
      <xdr:spPr bwMode="auto">
        <a:xfrm>
          <a:off x="13411200" y="37025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63" name="AutoShape 1343" descr="NORWAY2"/>
        <xdr:cNvSpPr>
          <a:spLocks noChangeAspect="1" noChangeArrowheads="1"/>
        </xdr:cNvSpPr>
      </xdr:nvSpPr>
      <xdr:spPr bwMode="auto">
        <a:xfrm>
          <a:off x="0" y="37200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64" name="AutoShape 1344" descr="https://www.soccerstats.com/img/own/sshplogo.png">
          <a:hlinkClick xmlns:r="http://schemas.openxmlformats.org/officeDocument/2006/relationships" r:id="rId842"/>
        </xdr:cNvPr>
        <xdr:cNvSpPr>
          <a:spLocks noChangeAspect="1" noChangeArrowheads="1"/>
        </xdr:cNvSpPr>
      </xdr:nvSpPr>
      <xdr:spPr bwMode="auto">
        <a:xfrm>
          <a:off x="13411200" y="37200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65" name="AutoShape 1345" descr="NORWAY2"/>
        <xdr:cNvSpPr>
          <a:spLocks noChangeAspect="1" noChangeArrowheads="1"/>
        </xdr:cNvSpPr>
      </xdr:nvSpPr>
      <xdr:spPr bwMode="auto">
        <a:xfrm>
          <a:off x="0" y="37376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66" name="AutoShape 1346" descr="https://www.soccerstats.com/img/own/sshplogo.png">
          <a:hlinkClick xmlns:r="http://schemas.openxmlformats.org/officeDocument/2006/relationships" r:id="rId843"/>
        </xdr:cNvPr>
        <xdr:cNvSpPr>
          <a:spLocks noChangeAspect="1" noChangeArrowheads="1"/>
        </xdr:cNvSpPr>
      </xdr:nvSpPr>
      <xdr:spPr bwMode="auto">
        <a:xfrm>
          <a:off x="13411200" y="37376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67" name="AutoShape 1347" descr="NORWAY2"/>
        <xdr:cNvSpPr>
          <a:spLocks noChangeAspect="1" noChangeArrowheads="1"/>
        </xdr:cNvSpPr>
      </xdr:nvSpPr>
      <xdr:spPr bwMode="auto">
        <a:xfrm>
          <a:off x="0" y="37551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68" name="AutoShape 1348" descr="https://www.soccerstats.com/img/own/sshplogo.png">
          <a:hlinkClick xmlns:r="http://schemas.openxmlformats.org/officeDocument/2006/relationships" r:id="rId844"/>
        </xdr:cNvPr>
        <xdr:cNvSpPr>
          <a:spLocks noChangeAspect="1" noChangeArrowheads="1"/>
        </xdr:cNvSpPr>
      </xdr:nvSpPr>
      <xdr:spPr bwMode="auto">
        <a:xfrm>
          <a:off x="13411200" y="37551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69" name="AutoShape 1349" descr="NORWAY3"/>
        <xdr:cNvSpPr>
          <a:spLocks noChangeAspect="1" noChangeArrowheads="1"/>
        </xdr:cNvSpPr>
      </xdr:nvSpPr>
      <xdr:spPr bwMode="auto">
        <a:xfrm>
          <a:off x="0" y="37726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70" name="AutoShape 1350" descr="https://www.soccerstats.com/img/own/sshplogo.png">
          <a:hlinkClick xmlns:r="http://schemas.openxmlformats.org/officeDocument/2006/relationships" r:id="rId845"/>
        </xdr:cNvPr>
        <xdr:cNvSpPr>
          <a:spLocks noChangeAspect="1" noChangeArrowheads="1"/>
        </xdr:cNvSpPr>
      </xdr:nvSpPr>
      <xdr:spPr bwMode="auto">
        <a:xfrm>
          <a:off x="13411200" y="37726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71" name="AutoShape 1351" descr="NORWAY3"/>
        <xdr:cNvSpPr>
          <a:spLocks noChangeAspect="1" noChangeArrowheads="1"/>
        </xdr:cNvSpPr>
      </xdr:nvSpPr>
      <xdr:spPr bwMode="auto">
        <a:xfrm>
          <a:off x="0" y="37901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72" name="AutoShape 1352" descr="https://www.soccerstats.com/img/own/sshplogo.png">
          <a:hlinkClick xmlns:r="http://schemas.openxmlformats.org/officeDocument/2006/relationships" r:id="rId846"/>
        </xdr:cNvPr>
        <xdr:cNvSpPr>
          <a:spLocks noChangeAspect="1" noChangeArrowheads="1"/>
        </xdr:cNvSpPr>
      </xdr:nvSpPr>
      <xdr:spPr bwMode="auto">
        <a:xfrm>
          <a:off x="13411200" y="37901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73" name="AutoShape 1353" descr="NORWAY3"/>
        <xdr:cNvSpPr>
          <a:spLocks noChangeAspect="1" noChangeArrowheads="1"/>
        </xdr:cNvSpPr>
      </xdr:nvSpPr>
      <xdr:spPr bwMode="auto">
        <a:xfrm>
          <a:off x="0" y="38153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74" name="AutoShape 1354" descr="https://www.soccerstats.com/img/own/sshplogo.png">
          <a:hlinkClick xmlns:r="http://schemas.openxmlformats.org/officeDocument/2006/relationships" r:id="rId847"/>
        </xdr:cNvPr>
        <xdr:cNvSpPr>
          <a:spLocks noChangeAspect="1" noChangeArrowheads="1"/>
        </xdr:cNvSpPr>
      </xdr:nvSpPr>
      <xdr:spPr bwMode="auto">
        <a:xfrm>
          <a:off x="13411200" y="38153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75" name="AutoShape 1355" descr="NORWAY4"/>
        <xdr:cNvSpPr>
          <a:spLocks noChangeAspect="1" noChangeArrowheads="1"/>
        </xdr:cNvSpPr>
      </xdr:nvSpPr>
      <xdr:spPr bwMode="auto">
        <a:xfrm>
          <a:off x="0" y="38328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76" name="AutoShape 1356" descr="https://www.soccerstats.com/img/own/sshplogo.png">
          <a:hlinkClick xmlns:r="http://schemas.openxmlformats.org/officeDocument/2006/relationships" r:id="rId848"/>
        </xdr:cNvPr>
        <xdr:cNvSpPr>
          <a:spLocks noChangeAspect="1" noChangeArrowheads="1"/>
        </xdr:cNvSpPr>
      </xdr:nvSpPr>
      <xdr:spPr bwMode="auto">
        <a:xfrm>
          <a:off x="13411200" y="38328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77" name="AutoShape 1357" descr="NORWAY4"/>
        <xdr:cNvSpPr>
          <a:spLocks noChangeAspect="1" noChangeArrowheads="1"/>
        </xdr:cNvSpPr>
      </xdr:nvSpPr>
      <xdr:spPr bwMode="auto">
        <a:xfrm>
          <a:off x="0" y="38503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78" name="AutoShape 1358" descr="https://www.soccerstats.com/img/own/sshplogo.png">
          <a:hlinkClick xmlns:r="http://schemas.openxmlformats.org/officeDocument/2006/relationships" r:id="rId849"/>
        </xdr:cNvPr>
        <xdr:cNvSpPr>
          <a:spLocks noChangeAspect="1" noChangeArrowheads="1"/>
        </xdr:cNvSpPr>
      </xdr:nvSpPr>
      <xdr:spPr bwMode="auto">
        <a:xfrm>
          <a:off x="13411200" y="38503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79" name="AutoShape 1359" descr="NORWAY4"/>
        <xdr:cNvSpPr>
          <a:spLocks noChangeAspect="1" noChangeArrowheads="1"/>
        </xdr:cNvSpPr>
      </xdr:nvSpPr>
      <xdr:spPr bwMode="auto">
        <a:xfrm>
          <a:off x="0" y="38679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80" name="AutoShape 1360" descr="https://www.soccerstats.com/img/own/sshplogo.png">
          <a:hlinkClick xmlns:r="http://schemas.openxmlformats.org/officeDocument/2006/relationships" r:id="rId850"/>
        </xdr:cNvPr>
        <xdr:cNvSpPr>
          <a:spLocks noChangeAspect="1" noChangeArrowheads="1"/>
        </xdr:cNvSpPr>
      </xdr:nvSpPr>
      <xdr:spPr bwMode="auto">
        <a:xfrm>
          <a:off x="13411200" y="3867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81" name="AutoShape 1361" descr="NORWAY4"/>
        <xdr:cNvSpPr>
          <a:spLocks noChangeAspect="1" noChangeArrowheads="1"/>
        </xdr:cNvSpPr>
      </xdr:nvSpPr>
      <xdr:spPr bwMode="auto">
        <a:xfrm>
          <a:off x="0" y="38854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82" name="AutoShape 1362" descr="https://www.soccerstats.com/img/own/sshplogo.png">
          <a:hlinkClick xmlns:r="http://schemas.openxmlformats.org/officeDocument/2006/relationships" r:id="rId851"/>
        </xdr:cNvPr>
        <xdr:cNvSpPr>
          <a:spLocks noChangeAspect="1" noChangeArrowheads="1"/>
        </xdr:cNvSpPr>
      </xdr:nvSpPr>
      <xdr:spPr bwMode="auto">
        <a:xfrm>
          <a:off x="13411200" y="38854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83" name="AutoShape 1363" descr="NORWAY4"/>
        <xdr:cNvSpPr>
          <a:spLocks noChangeAspect="1" noChangeArrowheads="1"/>
        </xdr:cNvSpPr>
      </xdr:nvSpPr>
      <xdr:spPr bwMode="auto">
        <a:xfrm>
          <a:off x="0" y="39105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84" name="AutoShape 1364" descr="https://www.soccerstats.com/img/own/sshplogo.png">
          <a:hlinkClick xmlns:r="http://schemas.openxmlformats.org/officeDocument/2006/relationships" r:id="rId852"/>
        </xdr:cNvPr>
        <xdr:cNvSpPr>
          <a:spLocks noChangeAspect="1" noChangeArrowheads="1"/>
        </xdr:cNvSpPr>
      </xdr:nvSpPr>
      <xdr:spPr bwMode="auto">
        <a:xfrm>
          <a:off x="13411200" y="39105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85" name="AutoShape 1365" descr="NORWAY4"/>
        <xdr:cNvSpPr>
          <a:spLocks noChangeAspect="1" noChangeArrowheads="1"/>
        </xdr:cNvSpPr>
      </xdr:nvSpPr>
      <xdr:spPr bwMode="auto">
        <a:xfrm>
          <a:off x="0" y="39281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86" name="AutoShape 1366" descr="https://www.soccerstats.com/img/own/sshplogo.png">
          <a:hlinkClick xmlns:r="http://schemas.openxmlformats.org/officeDocument/2006/relationships" r:id="rId853"/>
        </xdr:cNvPr>
        <xdr:cNvSpPr>
          <a:spLocks noChangeAspect="1" noChangeArrowheads="1"/>
        </xdr:cNvSpPr>
      </xdr:nvSpPr>
      <xdr:spPr bwMode="auto">
        <a:xfrm>
          <a:off x="13411200" y="39281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87" name="AutoShape 1367" descr="PARAGUAY2"/>
        <xdr:cNvSpPr>
          <a:spLocks noChangeAspect="1" noChangeArrowheads="1"/>
        </xdr:cNvSpPr>
      </xdr:nvSpPr>
      <xdr:spPr bwMode="auto">
        <a:xfrm>
          <a:off x="0" y="39456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88" name="AutoShape 1368" descr="https://www.soccerstats.com/img/own/sshplogo.png">
          <a:hlinkClick xmlns:r="http://schemas.openxmlformats.org/officeDocument/2006/relationships" r:id="rId854"/>
        </xdr:cNvPr>
        <xdr:cNvSpPr>
          <a:spLocks noChangeAspect="1" noChangeArrowheads="1"/>
        </xdr:cNvSpPr>
      </xdr:nvSpPr>
      <xdr:spPr bwMode="auto">
        <a:xfrm>
          <a:off x="13411200" y="39456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89" name="AutoShape 1369" descr="PARAGUAY2"/>
        <xdr:cNvSpPr>
          <a:spLocks noChangeAspect="1" noChangeArrowheads="1"/>
        </xdr:cNvSpPr>
      </xdr:nvSpPr>
      <xdr:spPr bwMode="auto">
        <a:xfrm>
          <a:off x="0" y="39707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90" name="AutoShape 1370" descr="https://www.soccerstats.com/img/own/sshplogo.png">
          <a:hlinkClick xmlns:r="http://schemas.openxmlformats.org/officeDocument/2006/relationships" r:id="rId855"/>
        </xdr:cNvPr>
        <xdr:cNvSpPr>
          <a:spLocks noChangeAspect="1" noChangeArrowheads="1"/>
        </xdr:cNvSpPr>
      </xdr:nvSpPr>
      <xdr:spPr bwMode="auto">
        <a:xfrm>
          <a:off x="13411200" y="39707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91" name="AutoShape 1371" descr="PARAGUAY2"/>
        <xdr:cNvSpPr>
          <a:spLocks noChangeAspect="1" noChangeArrowheads="1"/>
        </xdr:cNvSpPr>
      </xdr:nvSpPr>
      <xdr:spPr bwMode="auto">
        <a:xfrm>
          <a:off x="0" y="39883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92" name="AutoShape 1372" descr="https://www.soccerstats.com/img/own/sshplogo.png">
          <a:hlinkClick xmlns:r="http://schemas.openxmlformats.org/officeDocument/2006/relationships" r:id="rId856"/>
        </xdr:cNvPr>
        <xdr:cNvSpPr>
          <a:spLocks noChangeAspect="1" noChangeArrowheads="1"/>
        </xdr:cNvSpPr>
      </xdr:nvSpPr>
      <xdr:spPr bwMode="auto">
        <a:xfrm>
          <a:off x="13411200" y="39883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93" name="AutoShape 1373" descr="POLAND"/>
        <xdr:cNvSpPr>
          <a:spLocks noChangeAspect="1" noChangeArrowheads="1"/>
        </xdr:cNvSpPr>
      </xdr:nvSpPr>
      <xdr:spPr bwMode="auto">
        <a:xfrm>
          <a:off x="0" y="40058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94" name="AutoShape 1374" descr="https://www.soccerstats.com/img/own/sshplogo.png">
          <a:hlinkClick xmlns:r="http://schemas.openxmlformats.org/officeDocument/2006/relationships" r:id="rId857"/>
        </xdr:cNvPr>
        <xdr:cNvSpPr>
          <a:spLocks noChangeAspect="1" noChangeArrowheads="1"/>
        </xdr:cNvSpPr>
      </xdr:nvSpPr>
      <xdr:spPr bwMode="auto">
        <a:xfrm>
          <a:off x="13411200" y="4005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95" name="AutoShape 1375" descr="POLAND"/>
        <xdr:cNvSpPr>
          <a:spLocks noChangeAspect="1" noChangeArrowheads="1"/>
        </xdr:cNvSpPr>
      </xdr:nvSpPr>
      <xdr:spPr bwMode="auto">
        <a:xfrm>
          <a:off x="0" y="40233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96" name="AutoShape 1376" descr="https://www.soccerstats.com/img/own/sshplogo.png">
          <a:hlinkClick xmlns:r="http://schemas.openxmlformats.org/officeDocument/2006/relationships" r:id="rId858"/>
        </xdr:cNvPr>
        <xdr:cNvSpPr>
          <a:spLocks noChangeAspect="1" noChangeArrowheads="1"/>
        </xdr:cNvSpPr>
      </xdr:nvSpPr>
      <xdr:spPr bwMode="auto">
        <a:xfrm>
          <a:off x="13411200" y="40233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97" name="AutoShape 1377" descr="POLAND"/>
        <xdr:cNvSpPr>
          <a:spLocks noChangeAspect="1" noChangeArrowheads="1"/>
        </xdr:cNvSpPr>
      </xdr:nvSpPr>
      <xdr:spPr bwMode="auto">
        <a:xfrm>
          <a:off x="0" y="4048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498" name="AutoShape 1378" descr="https://www.soccerstats.com/img/own/sshplogo.png">
          <a:hlinkClick xmlns:r="http://schemas.openxmlformats.org/officeDocument/2006/relationships" r:id="rId859"/>
        </xdr:cNvPr>
        <xdr:cNvSpPr>
          <a:spLocks noChangeAspect="1" noChangeArrowheads="1"/>
        </xdr:cNvSpPr>
      </xdr:nvSpPr>
      <xdr:spPr bwMode="auto">
        <a:xfrm>
          <a:off x="13411200" y="4048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499" name="AutoShape 1379" descr="POLAND"/>
        <xdr:cNvSpPr>
          <a:spLocks noChangeAspect="1" noChangeArrowheads="1"/>
        </xdr:cNvSpPr>
      </xdr:nvSpPr>
      <xdr:spPr bwMode="auto">
        <a:xfrm>
          <a:off x="0" y="40660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00" name="AutoShape 1380" descr="https://www.soccerstats.com/img/own/sshplogo.png">
          <a:hlinkClick xmlns:r="http://schemas.openxmlformats.org/officeDocument/2006/relationships" r:id="rId860"/>
        </xdr:cNvPr>
        <xdr:cNvSpPr>
          <a:spLocks noChangeAspect="1" noChangeArrowheads="1"/>
        </xdr:cNvSpPr>
      </xdr:nvSpPr>
      <xdr:spPr bwMode="auto">
        <a:xfrm>
          <a:off x="13411200" y="4066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01" name="AutoShape 1381" descr="POLAND2"/>
        <xdr:cNvSpPr>
          <a:spLocks noChangeAspect="1" noChangeArrowheads="1"/>
        </xdr:cNvSpPr>
      </xdr:nvSpPr>
      <xdr:spPr bwMode="auto">
        <a:xfrm>
          <a:off x="0" y="40835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02" name="AutoShape 1382" descr="https://www.soccerstats.com/img/own/sshplogo.png">
          <a:hlinkClick xmlns:r="http://schemas.openxmlformats.org/officeDocument/2006/relationships" r:id="rId861"/>
        </xdr:cNvPr>
        <xdr:cNvSpPr>
          <a:spLocks noChangeAspect="1" noChangeArrowheads="1"/>
        </xdr:cNvSpPr>
      </xdr:nvSpPr>
      <xdr:spPr bwMode="auto">
        <a:xfrm>
          <a:off x="13411200" y="40835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03" name="AutoShape 1383" descr="POLAND2"/>
        <xdr:cNvSpPr>
          <a:spLocks noChangeAspect="1" noChangeArrowheads="1"/>
        </xdr:cNvSpPr>
      </xdr:nvSpPr>
      <xdr:spPr bwMode="auto">
        <a:xfrm>
          <a:off x="0" y="41010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04" name="AutoShape 1384" descr="https://www.soccerstats.com/img/own/sshplogo.png">
          <a:hlinkClick xmlns:r="http://schemas.openxmlformats.org/officeDocument/2006/relationships" r:id="rId862"/>
        </xdr:cNvPr>
        <xdr:cNvSpPr>
          <a:spLocks noChangeAspect="1" noChangeArrowheads="1"/>
        </xdr:cNvSpPr>
      </xdr:nvSpPr>
      <xdr:spPr bwMode="auto">
        <a:xfrm>
          <a:off x="13411200" y="41010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05" name="AutoShape 1385" descr="POLAND2"/>
        <xdr:cNvSpPr>
          <a:spLocks noChangeAspect="1" noChangeArrowheads="1"/>
        </xdr:cNvSpPr>
      </xdr:nvSpPr>
      <xdr:spPr bwMode="auto">
        <a:xfrm>
          <a:off x="0" y="41262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06" name="AutoShape 1386" descr="https://www.soccerstats.com/img/own/sshplogo.png">
          <a:hlinkClick xmlns:r="http://schemas.openxmlformats.org/officeDocument/2006/relationships" r:id="rId863"/>
        </xdr:cNvPr>
        <xdr:cNvSpPr>
          <a:spLocks noChangeAspect="1" noChangeArrowheads="1"/>
        </xdr:cNvSpPr>
      </xdr:nvSpPr>
      <xdr:spPr bwMode="auto">
        <a:xfrm>
          <a:off x="13411200" y="41262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07" name="AutoShape 1387" descr="POLAND3"/>
        <xdr:cNvSpPr>
          <a:spLocks noChangeAspect="1" noChangeArrowheads="1"/>
        </xdr:cNvSpPr>
      </xdr:nvSpPr>
      <xdr:spPr bwMode="auto">
        <a:xfrm>
          <a:off x="0" y="41513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08" name="AutoShape 1388" descr="https://www.soccerstats.com/img/own/sshplogo.png">
          <a:hlinkClick xmlns:r="http://schemas.openxmlformats.org/officeDocument/2006/relationships" r:id="rId864"/>
        </xdr:cNvPr>
        <xdr:cNvSpPr>
          <a:spLocks noChangeAspect="1" noChangeArrowheads="1"/>
        </xdr:cNvSpPr>
      </xdr:nvSpPr>
      <xdr:spPr bwMode="auto">
        <a:xfrm>
          <a:off x="13411200" y="41513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09" name="AutoShape 1389" descr="POLAND3"/>
        <xdr:cNvSpPr>
          <a:spLocks noChangeAspect="1" noChangeArrowheads="1"/>
        </xdr:cNvSpPr>
      </xdr:nvSpPr>
      <xdr:spPr bwMode="auto">
        <a:xfrm>
          <a:off x="0" y="41765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10" name="AutoShape 1390" descr="https://www.soccerstats.com/img/own/sshplogo.png">
          <a:hlinkClick xmlns:r="http://schemas.openxmlformats.org/officeDocument/2006/relationships" r:id="rId865"/>
        </xdr:cNvPr>
        <xdr:cNvSpPr>
          <a:spLocks noChangeAspect="1" noChangeArrowheads="1"/>
        </xdr:cNvSpPr>
      </xdr:nvSpPr>
      <xdr:spPr bwMode="auto">
        <a:xfrm>
          <a:off x="13411200" y="41765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11" name="AutoShape 1391" descr="POLAND3"/>
        <xdr:cNvSpPr>
          <a:spLocks noChangeAspect="1" noChangeArrowheads="1"/>
        </xdr:cNvSpPr>
      </xdr:nvSpPr>
      <xdr:spPr bwMode="auto">
        <a:xfrm>
          <a:off x="0" y="42016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12" name="AutoShape 1392" descr="https://www.soccerstats.com/img/own/sshplogo.png">
          <a:hlinkClick xmlns:r="http://schemas.openxmlformats.org/officeDocument/2006/relationships" r:id="rId866"/>
        </xdr:cNvPr>
        <xdr:cNvSpPr>
          <a:spLocks noChangeAspect="1" noChangeArrowheads="1"/>
        </xdr:cNvSpPr>
      </xdr:nvSpPr>
      <xdr:spPr bwMode="auto">
        <a:xfrm>
          <a:off x="13411200" y="42016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13" name="AutoShape 1393" descr="POLAND3"/>
        <xdr:cNvSpPr>
          <a:spLocks noChangeAspect="1" noChangeArrowheads="1"/>
        </xdr:cNvSpPr>
      </xdr:nvSpPr>
      <xdr:spPr bwMode="auto">
        <a:xfrm>
          <a:off x="0" y="42268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14" name="AutoShape 1394" descr="https://www.soccerstats.com/img/own/sshplogo.png">
          <a:hlinkClick xmlns:r="http://schemas.openxmlformats.org/officeDocument/2006/relationships" r:id="rId867"/>
        </xdr:cNvPr>
        <xdr:cNvSpPr>
          <a:spLocks noChangeAspect="1" noChangeArrowheads="1"/>
        </xdr:cNvSpPr>
      </xdr:nvSpPr>
      <xdr:spPr bwMode="auto">
        <a:xfrm>
          <a:off x="13411200" y="4226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15" name="AutoShape 1395" descr="PORTUGAL2"/>
        <xdr:cNvSpPr>
          <a:spLocks noChangeAspect="1" noChangeArrowheads="1"/>
        </xdr:cNvSpPr>
      </xdr:nvSpPr>
      <xdr:spPr bwMode="auto">
        <a:xfrm>
          <a:off x="0" y="4244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16" name="AutoShape 1396" descr="https://www.soccerstats.com/img/own/sshplogo.png">
          <a:hlinkClick xmlns:r="http://schemas.openxmlformats.org/officeDocument/2006/relationships" r:id="rId868"/>
        </xdr:cNvPr>
        <xdr:cNvSpPr>
          <a:spLocks noChangeAspect="1" noChangeArrowheads="1"/>
        </xdr:cNvSpPr>
      </xdr:nvSpPr>
      <xdr:spPr bwMode="auto">
        <a:xfrm>
          <a:off x="13411200" y="4244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17" name="AutoShape 1397" descr="PORTUGAL2"/>
        <xdr:cNvSpPr>
          <a:spLocks noChangeAspect="1" noChangeArrowheads="1"/>
        </xdr:cNvSpPr>
      </xdr:nvSpPr>
      <xdr:spPr bwMode="auto">
        <a:xfrm>
          <a:off x="0" y="42694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18" name="AutoShape 1398" descr="https://www.soccerstats.com/img/own/sshplogo.png">
          <a:hlinkClick xmlns:r="http://schemas.openxmlformats.org/officeDocument/2006/relationships" r:id="rId869"/>
        </xdr:cNvPr>
        <xdr:cNvSpPr>
          <a:spLocks noChangeAspect="1" noChangeArrowheads="1"/>
        </xdr:cNvSpPr>
      </xdr:nvSpPr>
      <xdr:spPr bwMode="auto">
        <a:xfrm>
          <a:off x="13411200" y="42694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19" name="AutoShape 1399" descr="PORTUGAL2"/>
        <xdr:cNvSpPr>
          <a:spLocks noChangeAspect="1" noChangeArrowheads="1"/>
        </xdr:cNvSpPr>
      </xdr:nvSpPr>
      <xdr:spPr bwMode="auto">
        <a:xfrm>
          <a:off x="0" y="42870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20" name="AutoShape 1400" descr="https://www.soccerstats.com/img/own/sshplogo.png">
          <a:hlinkClick xmlns:r="http://schemas.openxmlformats.org/officeDocument/2006/relationships" r:id="rId870"/>
        </xdr:cNvPr>
        <xdr:cNvSpPr>
          <a:spLocks noChangeAspect="1" noChangeArrowheads="1"/>
        </xdr:cNvSpPr>
      </xdr:nvSpPr>
      <xdr:spPr bwMode="auto">
        <a:xfrm>
          <a:off x="13411200" y="42870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21" name="AutoShape 1401" descr="PORTUGAL2"/>
        <xdr:cNvSpPr>
          <a:spLocks noChangeAspect="1" noChangeArrowheads="1"/>
        </xdr:cNvSpPr>
      </xdr:nvSpPr>
      <xdr:spPr bwMode="auto">
        <a:xfrm>
          <a:off x="0" y="43045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22" name="AutoShape 1402" descr="https://www.soccerstats.com/img/own/sshplogo.png">
          <a:hlinkClick xmlns:r="http://schemas.openxmlformats.org/officeDocument/2006/relationships" r:id="rId871"/>
        </xdr:cNvPr>
        <xdr:cNvSpPr>
          <a:spLocks noChangeAspect="1" noChangeArrowheads="1"/>
        </xdr:cNvSpPr>
      </xdr:nvSpPr>
      <xdr:spPr bwMode="auto">
        <a:xfrm>
          <a:off x="13411200" y="43045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23" name="AutoShape 1403" descr="ROMANIA"/>
        <xdr:cNvSpPr>
          <a:spLocks noChangeAspect="1" noChangeArrowheads="1"/>
        </xdr:cNvSpPr>
      </xdr:nvSpPr>
      <xdr:spPr bwMode="auto">
        <a:xfrm>
          <a:off x="0" y="4322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24" name="AutoShape 1404" descr="https://www.soccerstats.com/img/own/sshplogo.png">
          <a:hlinkClick xmlns:r="http://schemas.openxmlformats.org/officeDocument/2006/relationships" r:id="rId872"/>
        </xdr:cNvPr>
        <xdr:cNvSpPr>
          <a:spLocks noChangeAspect="1" noChangeArrowheads="1"/>
        </xdr:cNvSpPr>
      </xdr:nvSpPr>
      <xdr:spPr bwMode="auto">
        <a:xfrm>
          <a:off x="13411200" y="4322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25" name="AutoShape 1405" descr="ROMANIA"/>
        <xdr:cNvSpPr>
          <a:spLocks noChangeAspect="1" noChangeArrowheads="1"/>
        </xdr:cNvSpPr>
      </xdr:nvSpPr>
      <xdr:spPr bwMode="auto">
        <a:xfrm>
          <a:off x="0" y="43395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26" name="AutoShape 1406" descr="https://www.soccerstats.com/img/own/sshplogo.png">
          <a:hlinkClick xmlns:r="http://schemas.openxmlformats.org/officeDocument/2006/relationships" r:id="rId873"/>
        </xdr:cNvPr>
        <xdr:cNvSpPr>
          <a:spLocks noChangeAspect="1" noChangeArrowheads="1"/>
        </xdr:cNvSpPr>
      </xdr:nvSpPr>
      <xdr:spPr bwMode="auto">
        <a:xfrm>
          <a:off x="13411200" y="43395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27" name="AutoShape 1407" descr="RUSSIA"/>
        <xdr:cNvSpPr>
          <a:spLocks noChangeAspect="1" noChangeArrowheads="1"/>
        </xdr:cNvSpPr>
      </xdr:nvSpPr>
      <xdr:spPr bwMode="auto">
        <a:xfrm>
          <a:off x="0" y="43571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28" name="AutoShape 1408" descr="https://www.soccerstats.com/img/own/sshplogo.png">
          <a:hlinkClick xmlns:r="http://schemas.openxmlformats.org/officeDocument/2006/relationships" r:id="rId874"/>
        </xdr:cNvPr>
        <xdr:cNvSpPr>
          <a:spLocks noChangeAspect="1" noChangeArrowheads="1"/>
        </xdr:cNvSpPr>
      </xdr:nvSpPr>
      <xdr:spPr bwMode="auto">
        <a:xfrm>
          <a:off x="13411200" y="43571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29" name="AutoShape 1409" descr="RUSSIA"/>
        <xdr:cNvSpPr>
          <a:spLocks noChangeAspect="1" noChangeArrowheads="1"/>
        </xdr:cNvSpPr>
      </xdr:nvSpPr>
      <xdr:spPr bwMode="auto">
        <a:xfrm>
          <a:off x="0" y="43822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30" name="AutoShape 1410" descr="https://www.soccerstats.com/img/own/sshplogo.png">
          <a:hlinkClick xmlns:r="http://schemas.openxmlformats.org/officeDocument/2006/relationships" r:id="rId875"/>
        </xdr:cNvPr>
        <xdr:cNvSpPr>
          <a:spLocks noChangeAspect="1" noChangeArrowheads="1"/>
        </xdr:cNvSpPr>
      </xdr:nvSpPr>
      <xdr:spPr bwMode="auto">
        <a:xfrm>
          <a:off x="13411200" y="43822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31" name="AutoShape 1411" descr="RUSSIA"/>
        <xdr:cNvSpPr>
          <a:spLocks noChangeAspect="1" noChangeArrowheads="1"/>
        </xdr:cNvSpPr>
      </xdr:nvSpPr>
      <xdr:spPr bwMode="auto">
        <a:xfrm>
          <a:off x="0" y="44074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32" name="AutoShape 1412" descr="https://www.soccerstats.com/img/own/sshplogo.png">
          <a:hlinkClick xmlns:r="http://schemas.openxmlformats.org/officeDocument/2006/relationships" r:id="rId876"/>
        </xdr:cNvPr>
        <xdr:cNvSpPr>
          <a:spLocks noChangeAspect="1" noChangeArrowheads="1"/>
        </xdr:cNvSpPr>
      </xdr:nvSpPr>
      <xdr:spPr bwMode="auto">
        <a:xfrm>
          <a:off x="13411200" y="44074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33" name="AutoShape 1413" descr="SERBIA"/>
        <xdr:cNvSpPr>
          <a:spLocks noChangeAspect="1" noChangeArrowheads="1"/>
        </xdr:cNvSpPr>
      </xdr:nvSpPr>
      <xdr:spPr bwMode="auto">
        <a:xfrm>
          <a:off x="0" y="44325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34" name="AutoShape 1414" descr="https://www.soccerstats.com/img/own/sshplogo.png">
          <a:hlinkClick xmlns:r="http://schemas.openxmlformats.org/officeDocument/2006/relationships" r:id="rId409"/>
        </xdr:cNvPr>
        <xdr:cNvSpPr>
          <a:spLocks noChangeAspect="1" noChangeArrowheads="1"/>
        </xdr:cNvSpPr>
      </xdr:nvSpPr>
      <xdr:spPr bwMode="auto">
        <a:xfrm>
          <a:off x="13411200" y="44325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35" name="AutoShape 1415" descr="SERBIA"/>
        <xdr:cNvSpPr>
          <a:spLocks noChangeAspect="1" noChangeArrowheads="1"/>
        </xdr:cNvSpPr>
      </xdr:nvSpPr>
      <xdr:spPr bwMode="auto">
        <a:xfrm>
          <a:off x="0" y="44577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36" name="AutoShape 1416" descr="https://www.soccerstats.com/img/own/sshplogo.png">
          <a:hlinkClick xmlns:r="http://schemas.openxmlformats.org/officeDocument/2006/relationships" r:id="rId411"/>
        </xdr:cNvPr>
        <xdr:cNvSpPr>
          <a:spLocks noChangeAspect="1" noChangeArrowheads="1"/>
        </xdr:cNvSpPr>
      </xdr:nvSpPr>
      <xdr:spPr bwMode="auto">
        <a:xfrm>
          <a:off x="13411200" y="4457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37" name="AutoShape 1417" descr="SERBIA"/>
        <xdr:cNvSpPr>
          <a:spLocks noChangeAspect="1" noChangeArrowheads="1"/>
        </xdr:cNvSpPr>
      </xdr:nvSpPr>
      <xdr:spPr bwMode="auto">
        <a:xfrm>
          <a:off x="0" y="44752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38" name="AutoShape 1418" descr="https://www.soccerstats.com/img/own/sshplogo.png">
          <a:hlinkClick xmlns:r="http://schemas.openxmlformats.org/officeDocument/2006/relationships" r:id="rId414"/>
        </xdr:cNvPr>
        <xdr:cNvSpPr>
          <a:spLocks noChangeAspect="1" noChangeArrowheads="1"/>
        </xdr:cNvSpPr>
      </xdr:nvSpPr>
      <xdr:spPr bwMode="auto">
        <a:xfrm>
          <a:off x="13411200" y="44752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39" name="AutoShape 1419" descr="SLOVAKIA"/>
        <xdr:cNvSpPr>
          <a:spLocks noChangeAspect="1" noChangeArrowheads="1"/>
        </xdr:cNvSpPr>
      </xdr:nvSpPr>
      <xdr:spPr bwMode="auto">
        <a:xfrm>
          <a:off x="0" y="45003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40" name="AutoShape 1420" descr="https://www.soccerstats.com/img/own/sshplogo.png">
          <a:hlinkClick xmlns:r="http://schemas.openxmlformats.org/officeDocument/2006/relationships" r:id="rId877"/>
        </xdr:cNvPr>
        <xdr:cNvSpPr>
          <a:spLocks noChangeAspect="1" noChangeArrowheads="1"/>
        </xdr:cNvSpPr>
      </xdr:nvSpPr>
      <xdr:spPr bwMode="auto">
        <a:xfrm>
          <a:off x="13411200" y="45003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41" name="AutoShape 1421" descr="SLOVAKIA"/>
        <xdr:cNvSpPr>
          <a:spLocks noChangeAspect="1" noChangeArrowheads="1"/>
        </xdr:cNvSpPr>
      </xdr:nvSpPr>
      <xdr:spPr bwMode="auto">
        <a:xfrm>
          <a:off x="0" y="45255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42" name="AutoShape 1422" descr="https://www.soccerstats.com/img/own/sshplogo.png">
          <a:hlinkClick xmlns:r="http://schemas.openxmlformats.org/officeDocument/2006/relationships" r:id="rId878"/>
        </xdr:cNvPr>
        <xdr:cNvSpPr>
          <a:spLocks noChangeAspect="1" noChangeArrowheads="1"/>
        </xdr:cNvSpPr>
      </xdr:nvSpPr>
      <xdr:spPr bwMode="auto">
        <a:xfrm>
          <a:off x="13411200" y="45255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43" name="AutoShape 1423" descr="SLOVENIA"/>
        <xdr:cNvSpPr>
          <a:spLocks noChangeAspect="1" noChangeArrowheads="1"/>
        </xdr:cNvSpPr>
      </xdr:nvSpPr>
      <xdr:spPr bwMode="auto">
        <a:xfrm>
          <a:off x="0" y="45430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44" name="AutoShape 1424" descr="https://www.soccerstats.com/img/own/sshplogo.png">
          <a:hlinkClick xmlns:r="http://schemas.openxmlformats.org/officeDocument/2006/relationships" r:id="rId879"/>
        </xdr:cNvPr>
        <xdr:cNvSpPr>
          <a:spLocks noChangeAspect="1" noChangeArrowheads="1"/>
        </xdr:cNvSpPr>
      </xdr:nvSpPr>
      <xdr:spPr bwMode="auto">
        <a:xfrm>
          <a:off x="13411200" y="45430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45" name="AutoShape 1425" descr="SLOVENIA"/>
        <xdr:cNvSpPr>
          <a:spLocks noChangeAspect="1" noChangeArrowheads="1"/>
        </xdr:cNvSpPr>
      </xdr:nvSpPr>
      <xdr:spPr bwMode="auto">
        <a:xfrm>
          <a:off x="0" y="45605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46" name="AutoShape 1426" descr="https://www.soccerstats.com/img/own/sshplogo.png">
          <a:hlinkClick xmlns:r="http://schemas.openxmlformats.org/officeDocument/2006/relationships" r:id="rId880"/>
        </xdr:cNvPr>
        <xdr:cNvSpPr>
          <a:spLocks noChangeAspect="1" noChangeArrowheads="1"/>
        </xdr:cNvSpPr>
      </xdr:nvSpPr>
      <xdr:spPr bwMode="auto">
        <a:xfrm>
          <a:off x="13411200" y="4560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47" name="AutoShape 1427" descr="SLOVENIA"/>
        <xdr:cNvSpPr>
          <a:spLocks noChangeAspect="1" noChangeArrowheads="1"/>
        </xdr:cNvSpPr>
      </xdr:nvSpPr>
      <xdr:spPr bwMode="auto">
        <a:xfrm>
          <a:off x="0" y="45780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48" name="AutoShape 1428" descr="https://www.soccerstats.com/img/own/sshplogo.png">
          <a:hlinkClick xmlns:r="http://schemas.openxmlformats.org/officeDocument/2006/relationships" r:id="rId881"/>
        </xdr:cNvPr>
        <xdr:cNvSpPr>
          <a:spLocks noChangeAspect="1" noChangeArrowheads="1"/>
        </xdr:cNvSpPr>
      </xdr:nvSpPr>
      <xdr:spPr bwMode="auto">
        <a:xfrm>
          <a:off x="13411200" y="45780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49" name="AutoShape 1429" descr="SOUTHAFRICA"/>
        <xdr:cNvSpPr>
          <a:spLocks noChangeAspect="1" noChangeArrowheads="1"/>
        </xdr:cNvSpPr>
      </xdr:nvSpPr>
      <xdr:spPr bwMode="auto">
        <a:xfrm>
          <a:off x="0" y="4595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50" name="AutoShape 1430" descr="https://www.soccerstats.com/img/own/sshplogo.png">
          <a:hlinkClick xmlns:r="http://schemas.openxmlformats.org/officeDocument/2006/relationships" r:id="rId882"/>
        </xdr:cNvPr>
        <xdr:cNvSpPr>
          <a:spLocks noChangeAspect="1" noChangeArrowheads="1"/>
        </xdr:cNvSpPr>
      </xdr:nvSpPr>
      <xdr:spPr bwMode="auto">
        <a:xfrm>
          <a:off x="13411200" y="4595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51" name="AutoShape 1431" descr="SOUTHAFRICA"/>
        <xdr:cNvSpPr>
          <a:spLocks noChangeAspect="1" noChangeArrowheads="1"/>
        </xdr:cNvSpPr>
      </xdr:nvSpPr>
      <xdr:spPr bwMode="auto">
        <a:xfrm>
          <a:off x="0" y="4620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52" name="AutoShape 1432" descr="https://www.soccerstats.com/img/own/sshplogo.png">
          <a:hlinkClick xmlns:r="http://schemas.openxmlformats.org/officeDocument/2006/relationships" r:id="rId883"/>
        </xdr:cNvPr>
        <xdr:cNvSpPr>
          <a:spLocks noChangeAspect="1" noChangeArrowheads="1"/>
        </xdr:cNvSpPr>
      </xdr:nvSpPr>
      <xdr:spPr bwMode="auto">
        <a:xfrm>
          <a:off x="13411200" y="4620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53" name="AutoShape 1433" descr="SOUTHKOREA"/>
        <xdr:cNvSpPr>
          <a:spLocks noChangeAspect="1" noChangeArrowheads="1"/>
        </xdr:cNvSpPr>
      </xdr:nvSpPr>
      <xdr:spPr bwMode="auto">
        <a:xfrm>
          <a:off x="0" y="46459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54" name="AutoShape 1434" descr="https://www.soccerstats.com/img/own/sshplogo.png">
          <a:hlinkClick xmlns:r="http://schemas.openxmlformats.org/officeDocument/2006/relationships" r:id="rId884"/>
        </xdr:cNvPr>
        <xdr:cNvSpPr>
          <a:spLocks noChangeAspect="1" noChangeArrowheads="1"/>
        </xdr:cNvSpPr>
      </xdr:nvSpPr>
      <xdr:spPr bwMode="auto">
        <a:xfrm>
          <a:off x="13411200" y="46459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55" name="AutoShape 1435" descr="SOUTHKOREA"/>
        <xdr:cNvSpPr>
          <a:spLocks noChangeAspect="1" noChangeArrowheads="1"/>
        </xdr:cNvSpPr>
      </xdr:nvSpPr>
      <xdr:spPr bwMode="auto">
        <a:xfrm>
          <a:off x="0" y="46634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56" name="AutoShape 1436" descr="https://www.soccerstats.com/img/own/sshplogo.png">
          <a:hlinkClick xmlns:r="http://schemas.openxmlformats.org/officeDocument/2006/relationships" r:id="rId885"/>
        </xdr:cNvPr>
        <xdr:cNvSpPr>
          <a:spLocks noChangeAspect="1" noChangeArrowheads="1"/>
        </xdr:cNvSpPr>
      </xdr:nvSpPr>
      <xdr:spPr bwMode="auto">
        <a:xfrm>
          <a:off x="13411200" y="46634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57" name="AutoShape 1437" descr="SOUTHKOREA"/>
        <xdr:cNvSpPr>
          <a:spLocks noChangeAspect="1" noChangeArrowheads="1"/>
        </xdr:cNvSpPr>
      </xdr:nvSpPr>
      <xdr:spPr bwMode="auto">
        <a:xfrm>
          <a:off x="0" y="46885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58" name="AutoShape 1438" descr="https://www.soccerstats.com/img/own/sshplogo.png">
          <a:hlinkClick xmlns:r="http://schemas.openxmlformats.org/officeDocument/2006/relationships" r:id="rId886"/>
        </xdr:cNvPr>
        <xdr:cNvSpPr>
          <a:spLocks noChangeAspect="1" noChangeArrowheads="1"/>
        </xdr:cNvSpPr>
      </xdr:nvSpPr>
      <xdr:spPr bwMode="auto">
        <a:xfrm>
          <a:off x="13411200" y="46885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59" name="AutoShape 1439" descr="SOUTHKOREA2"/>
        <xdr:cNvSpPr>
          <a:spLocks noChangeAspect="1" noChangeArrowheads="1"/>
        </xdr:cNvSpPr>
      </xdr:nvSpPr>
      <xdr:spPr bwMode="auto">
        <a:xfrm>
          <a:off x="0" y="47061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60" name="AutoShape 1440" descr="https://www.soccerstats.com/img/own/sshplogo.png">
          <a:hlinkClick xmlns:r="http://schemas.openxmlformats.org/officeDocument/2006/relationships" r:id="rId887"/>
        </xdr:cNvPr>
        <xdr:cNvSpPr>
          <a:spLocks noChangeAspect="1" noChangeArrowheads="1"/>
        </xdr:cNvSpPr>
      </xdr:nvSpPr>
      <xdr:spPr bwMode="auto">
        <a:xfrm>
          <a:off x="13411200" y="47061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61" name="AutoShape 1441" descr="SOUTHKOREA2"/>
        <xdr:cNvSpPr>
          <a:spLocks noChangeAspect="1" noChangeArrowheads="1"/>
        </xdr:cNvSpPr>
      </xdr:nvSpPr>
      <xdr:spPr bwMode="auto">
        <a:xfrm>
          <a:off x="0" y="47236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62" name="AutoShape 1442" descr="https://www.soccerstats.com/img/own/sshplogo.png">
          <a:hlinkClick xmlns:r="http://schemas.openxmlformats.org/officeDocument/2006/relationships" r:id="rId888"/>
        </xdr:cNvPr>
        <xdr:cNvSpPr>
          <a:spLocks noChangeAspect="1" noChangeArrowheads="1"/>
        </xdr:cNvSpPr>
      </xdr:nvSpPr>
      <xdr:spPr bwMode="auto">
        <a:xfrm>
          <a:off x="13411200" y="47236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63" name="AutoShape 1443" descr="SOUTHKOREA2"/>
        <xdr:cNvSpPr>
          <a:spLocks noChangeAspect="1" noChangeArrowheads="1"/>
        </xdr:cNvSpPr>
      </xdr:nvSpPr>
      <xdr:spPr bwMode="auto">
        <a:xfrm>
          <a:off x="0" y="47411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64" name="AutoShape 1444" descr="https://www.soccerstats.com/img/own/sshplogo.png">
          <a:hlinkClick xmlns:r="http://schemas.openxmlformats.org/officeDocument/2006/relationships" r:id="rId889"/>
        </xdr:cNvPr>
        <xdr:cNvSpPr>
          <a:spLocks noChangeAspect="1" noChangeArrowheads="1"/>
        </xdr:cNvSpPr>
      </xdr:nvSpPr>
      <xdr:spPr bwMode="auto">
        <a:xfrm>
          <a:off x="13411200" y="47411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65" name="AutoShape 1445" descr="SOUTHKOREA2"/>
        <xdr:cNvSpPr>
          <a:spLocks noChangeAspect="1" noChangeArrowheads="1"/>
        </xdr:cNvSpPr>
      </xdr:nvSpPr>
      <xdr:spPr bwMode="auto">
        <a:xfrm>
          <a:off x="0" y="47586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66" name="AutoShape 1446" descr="https://www.soccerstats.com/img/own/sshplogo.png">
          <a:hlinkClick xmlns:r="http://schemas.openxmlformats.org/officeDocument/2006/relationships" r:id="rId890"/>
        </xdr:cNvPr>
        <xdr:cNvSpPr>
          <a:spLocks noChangeAspect="1" noChangeArrowheads="1"/>
        </xdr:cNvSpPr>
      </xdr:nvSpPr>
      <xdr:spPr bwMode="auto">
        <a:xfrm>
          <a:off x="13411200" y="47586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67" name="AutoShape 1447" descr="SWEDEN"/>
        <xdr:cNvSpPr>
          <a:spLocks noChangeAspect="1" noChangeArrowheads="1"/>
        </xdr:cNvSpPr>
      </xdr:nvSpPr>
      <xdr:spPr bwMode="auto">
        <a:xfrm>
          <a:off x="0" y="47838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68" name="AutoShape 1448" descr="https://www.soccerstats.com/img/own/sshplogo.png">
          <a:hlinkClick xmlns:r="http://schemas.openxmlformats.org/officeDocument/2006/relationships" r:id="rId891"/>
        </xdr:cNvPr>
        <xdr:cNvSpPr>
          <a:spLocks noChangeAspect="1" noChangeArrowheads="1"/>
        </xdr:cNvSpPr>
      </xdr:nvSpPr>
      <xdr:spPr bwMode="auto">
        <a:xfrm>
          <a:off x="13411200" y="47838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69" name="AutoShape 1449" descr="SWEDEN"/>
        <xdr:cNvSpPr>
          <a:spLocks noChangeAspect="1" noChangeArrowheads="1"/>
        </xdr:cNvSpPr>
      </xdr:nvSpPr>
      <xdr:spPr bwMode="auto">
        <a:xfrm>
          <a:off x="0" y="48089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70" name="AutoShape 1450" descr="https://www.soccerstats.com/img/own/sshplogo.png">
          <a:hlinkClick xmlns:r="http://schemas.openxmlformats.org/officeDocument/2006/relationships" r:id="rId892"/>
        </xdr:cNvPr>
        <xdr:cNvSpPr>
          <a:spLocks noChangeAspect="1" noChangeArrowheads="1"/>
        </xdr:cNvSpPr>
      </xdr:nvSpPr>
      <xdr:spPr bwMode="auto">
        <a:xfrm>
          <a:off x="13411200" y="48089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71" name="AutoShape 1451" descr="SWEDEN"/>
        <xdr:cNvSpPr>
          <a:spLocks noChangeAspect="1" noChangeArrowheads="1"/>
        </xdr:cNvSpPr>
      </xdr:nvSpPr>
      <xdr:spPr bwMode="auto">
        <a:xfrm>
          <a:off x="0" y="48265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72" name="AutoShape 1452" descr="https://www.soccerstats.com/img/own/sshplogo.png">
          <a:hlinkClick xmlns:r="http://schemas.openxmlformats.org/officeDocument/2006/relationships" r:id="rId893"/>
        </xdr:cNvPr>
        <xdr:cNvSpPr>
          <a:spLocks noChangeAspect="1" noChangeArrowheads="1"/>
        </xdr:cNvSpPr>
      </xdr:nvSpPr>
      <xdr:spPr bwMode="auto">
        <a:xfrm>
          <a:off x="13411200" y="48265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73" name="AutoShape 1453" descr="SWEDEN"/>
        <xdr:cNvSpPr>
          <a:spLocks noChangeAspect="1" noChangeArrowheads="1"/>
        </xdr:cNvSpPr>
      </xdr:nvSpPr>
      <xdr:spPr bwMode="auto">
        <a:xfrm>
          <a:off x="0" y="48440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74" name="AutoShape 1454" descr="https://www.soccerstats.com/img/own/sshplogo.png">
          <a:hlinkClick xmlns:r="http://schemas.openxmlformats.org/officeDocument/2006/relationships" r:id="rId894"/>
        </xdr:cNvPr>
        <xdr:cNvSpPr>
          <a:spLocks noChangeAspect="1" noChangeArrowheads="1"/>
        </xdr:cNvSpPr>
      </xdr:nvSpPr>
      <xdr:spPr bwMode="auto">
        <a:xfrm>
          <a:off x="13411200" y="48440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75" name="AutoShape 1455" descr="SWEDEN"/>
        <xdr:cNvSpPr>
          <a:spLocks noChangeAspect="1" noChangeArrowheads="1"/>
        </xdr:cNvSpPr>
      </xdr:nvSpPr>
      <xdr:spPr bwMode="auto">
        <a:xfrm>
          <a:off x="0" y="48615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76" name="AutoShape 1456" descr="https://www.soccerstats.com/img/own/sshplogo.png">
          <a:hlinkClick xmlns:r="http://schemas.openxmlformats.org/officeDocument/2006/relationships" r:id="rId895"/>
        </xdr:cNvPr>
        <xdr:cNvSpPr>
          <a:spLocks noChangeAspect="1" noChangeArrowheads="1"/>
        </xdr:cNvSpPr>
      </xdr:nvSpPr>
      <xdr:spPr bwMode="auto">
        <a:xfrm>
          <a:off x="13411200" y="48615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77" name="AutoShape 1457" descr="SWEDEN2"/>
        <xdr:cNvSpPr>
          <a:spLocks noChangeAspect="1" noChangeArrowheads="1"/>
        </xdr:cNvSpPr>
      </xdr:nvSpPr>
      <xdr:spPr bwMode="auto">
        <a:xfrm>
          <a:off x="0" y="48790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78" name="AutoShape 1458" descr="https://www.soccerstats.com/img/own/sshplogo.png">
          <a:hlinkClick xmlns:r="http://schemas.openxmlformats.org/officeDocument/2006/relationships" r:id="rId896"/>
        </xdr:cNvPr>
        <xdr:cNvSpPr>
          <a:spLocks noChangeAspect="1" noChangeArrowheads="1"/>
        </xdr:cNvSpPr>
      </xdr:nvSpPr>
      <xdr:spPr bwMode="auto">
        <a:xfrm>
          <a:off x="13411200" y="48790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79" name="AutoShape 1459" descr="SWEDEN3"/>
        <xdr:cNvSpPr>
          <a:spLocks noChangeAspect="1" noChangeArrowheads="1"/>
        </xdr:cNvSpPr>
      </xdr:nvSpPr>
      <xdr:spPr bwMode="auto">
        <a:xfrm>
          <a:off x="0" y="48966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80" name="AutoShape 1460" descr="https://www.soccerstats.com/img/own/sshplogo.png">
          <a:hlinkClick xmlns:r="http://schemas.openxmlformats.org/officeDocument/2006/relationships" r:id="rId897"/>
        </xdr:cNvPr>
        <xdr:cNvSpPr>
          <a:spLocks noChangeAspect="1" noChangeArrowheads="1"/>
        </xdr:cNvSpPr>
      </xdr:nvSpPr>
      <xdr:spPr bwMode="auto">
        <a:xfrm>
          <a:off x="13411200" y="48966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81" name="AutoShape 1461" descr="SWEDEN3"/>
        <xdr:cNvSpPr>
          <a:spLocks noChangeAspect="1" noChangeArrowheads="1"/>
        </xdr:cNvSpPr>
      </xdr:nvSpPr>
      <xdr:spPr bwMode="auto">
        <a:xfrm>
          <a:off x="0" y="49141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82" name="AutoShape 1462" descr="https://www.soccerstats.com/img/own/sshplogo.png">
          <a:hlinkClick xmlns:r="http://schemas.openxmlformats.org/officeDocument/2006/relationships" r:id="rId898"/>
        </xdr:cNvPr>
        <xdr:cNvSpPr>
          <a:spLocks noChangeAspect="1" noChangeArrowheads="1"/>
        </xdr:cNvSpPr>
      </xdr:nvSpPr>
      <xdr:spPr bwMode="auto">
        <a:xfrm>
          <a:off x="13411200" y="49141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83" name="AutoShape 1463" descr="SWEDEN3"/>
        <xdr:cNvSpPr>
          <a:spLocks noChangeAspect="1" noChangeArrowheads="1"/>
        </xdr:cNvSpPr>
      </xdr:nvSpPr>
      <xdr:spPr bwMode="auto">
        <a:xfrm>
          <a:off x="0" y="49392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84" name="AutoShape 1464" descr="https://www.soccerstats.com/img/own/sshplogo.png">
          <a:hlinkClick xmlns:r="http://schemas.openxmlformats.org/officeDocument/2006/relationships" r:id="rId899"/>
        </xdr:cNvPr>
        <xdr:cNvSpPr>
          <a:spLocks noChangeAspect="1" noChangeArrowheads="1"/>
        </xdr:cNvSpPr>
      </xdr:nvSpPr>
      <xdr:spPr bwMode="auto">
        <a:xfrm>
          <a:off x="13411200" y="49392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85" name="AutoShape 1465" descr="SWEDEN4"/>
        <xdr:cNvSpPr>
          <a:spLocks noChangeAspect="1" noChangeArrowheads="1"/>
        </xdr:cNvSpPr>
      </xdr:nvSpPr>
      <xdr:spPr bwMode="auto">
        <a:xfrm>
          <a:off x="0" y="49568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86" name="AutoShape 1466" descr="https://www.soccerstats.com/img/own/sshplogo.png">
          <a:hlinkClick xmlns:r="http://schemas.openxmlformats.org/officeDocument/2006/relationships" r:id="rId900"/>
        </xdr:cNvPr>
        <xdr:cNvSpPr>
          <a:spLocks noChangeAspect="1" noChangeArrowheads="1"/>
        </xdr:cNvSpPr>
      </xdr:nvSpPr>
      <xdr:spPr bwMode="auto">
        <a:xfrm>
          <a:off x="13411200" y="49568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87" name="AutoShape 1467" descr="SWEDEN4"/>
        <xdr:cNvSpPr>
          <a:spLocks noChangeAspect="1" noChangeArrowheads="1"/>
        </xdr:cNvSpPr>
      </xdr:nvSpPr>
      <xdr:spPr bwMode="auto">
        <a:xfrm>
          <a:off x="0" y="49743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88" name="AutoShape 1468" descr="https://www.soccerstats.com/img/own/sshplogo.png">
          <a:hlinkClick xmlns:r="http://schemas.openxmlformats.org/officeDocument/2006/relationships" r:id="rId901"/>
        </xdr:cNvPr>
        <xdr:cNvSpPr>
          <a:spLocks noChangeAspect="1" noChangeArrowheads="1"/>
        </xdr:cNvSpPr>
      </xdr:nvSpPr>
      <xdr:spPr bwMode="auto">
        <a:xfrm>
          <a:off x="13411200" y="49743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89" name="AutoShape 1469" descr="SWEDEN4"/>
        <xdr:cNvSpPr>
          <a:spLocks noChangeAspect="1" noChangeArrowheads="1"/>
        </xdr:cNvSpPr>
      </xdr:nvSpPr>
      <xdr:spPr bwMode="auto">
        <a:xfrm>
          <a:off x="0" y="49918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90" name="AutoShape 1470" descr="https://www.soccerstats.com/img/own/sshplogo.png">
          <a:hlinkClick xmlns:r="http://schemas.openxmlformats.org/officeDocument/2006/relationships" r:id="rId902"/>
        </xdr:cNvPr>
        <xdr:cNvSpPr>
          <a:spLocks noChangeAspect="1" noChangeArrowheads="1"/>
        </xdr:cNvSpPr>
      </xdr:nvSpPr>
      <xdr:spPr bwMode="auto">
        <a:xfrm>
          <a:off x="13411200" y="49918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91" name="AutoShape 1471" descr="SWEDEN11"/>
        <xdr:cNvSpPr>
          <a:spLocks noChangeAspect="1" noChangeArrowheads="1"/>
        </xdr:cNvSpPr>
      </xdr:nvSpPr>
      <xdr:spPr bwMode="auto">
        <a:xfrm>
          <a:off x="0" y="50093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92" name="AutoShape 1472" descr="https://www.soccerstats.com/img/own/sshplogo.png">
          <a:hlinkClick xmlns:r="http://schemas.openxmlformats.org/officeDocument/2006/relationships" r:id="rId903"/>
        </xdr:cNvPr>
        <xdr:cNvSpPr>
          <a:spLocks noChangeAspect="1" noChangeArrowheads="1"/>
        </xdr:cNvSpPr>
      </xdr:nvSpPr>
      <xdr:spPr bwMode="auto">
        <a:xfrm>
          <a:off x="13411200" y="50093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93" name="AutoShape 1473" descr="TURKEY"/>
        <xdr:cNvSpPr>
          <a:spLocks noChangeAspect="1" noChangeArrowheads="1"/>
        </xdr:cNvSpPr>
      </xdr:nvSpPr>
      <xdr:spPr bwMode="auto">
        <a:xfrm>
          <a:off x="0" y="50345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94" name="AutoShape 1474" descr="https://www.soccerstats.com/img/own/sshplogo.png">
          <a:hlinkClick xmlns:r="http://schemas.openxmlformats.org/officeDocument/2006/relationships" r:id="rId904"/>
        </xdr:cNvPr>
        <xdr:cNvSpPr>
          <a:spLocks noChangeAspect="1" noChangeArrowheads="1"/>
        </xdr:cNvSpPr>
      </xdr:nvSpPr>
      <xdr:spPr bwMode="auto">
        <a:xfrm>
          <a:off x="13411200" y="50345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95" name="AutoShape 1475" descr="TURKEY"/>
        <xdr:cNvSpPr>
          <a:spLocks noChangeAspect="1" noChangeArrowheads="1"/>
        </xdr:cNvSpPr>
      </xdr:nvSpPr>
      <xdr:spPr bwMode="auto">
        <a:xfrm>
          <a:off x="0" y="50520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96" name="AutoShape 1476" descr="https://www.soccerstats.com/img/own/sshplogo.png">
          <a:hlinkClick xmlns:r="http://schemas.openxmlformats.org/officeDocument/2006/relationships" r:id="rId905"/>
        </xdr:cNvPr>
        <xdr:cNvSpPr>
          <a:spLocks noChangeAspect="1" noChangeArrowheads="1"/>
        </xdr:cNvSpPr>
      </xdr:nvSpPr>
      <xdr:spPr bwMode="auto">
        <a:xfrm>
          <a:off x="13411200" y="5052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97" name="AutoShape 1477" descr="TURKEY"/>
        <xdr:cNvSpPr>
          <a:spLocks noChangeAspect="1" noChangeArrowheads="1"/>
        </xdr:cNvSpPr>
      </xdr:nvSpPr>
      <xdr:spPr bwMode="auto">
        <a:xfrm>
          <a:off x="0" y="50695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598" name="AutoShape 1478" descr="https://www.soccerstats.com/img/own/sshplogo.png">
          <a:hlinkClick xmlns:r="http://schemas.openxmlformats.org/officeDocument/2006/relationships" r:id="rId906"/>
        </xdr:cNvPr>
        <xdr:cNvSpPr>
          <a:spLocks noChangeAspect="1" noChangeArrowheads="1"/>
        </xdr:cNvSpPr>
      </xdr:nvSpPr>
      <xdr:spPr bwMode="auto">
        <a:xfrm>
          <a:off x="13411200" y="50695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599" name="AutoShape 1479" descr="TURKEY2"/>
        <xdr:cNvSpPr>
          <a:spLocks noChangeAspect="1" noChangeArrowheads="1"/>
        </xdr:cNvSpPr>
      </xdr:nvSpPr>
      <xdr:spPr bwMode="auto">
        <a:xfrm>
          <a:off x="0" y="50871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600" name="AutoShape 1480" descr="https://www.soccerstats.com/img/own/sshplogo.png">
          <a:hlinkClick xmlns:r="http://schemas.openxmlformats.org/officeDocument/2006/relationships" r:id="rId907"/>
        </xdr:cNvPr>
        <xdr:cNvSpPr>
          <a:spLocks noChangeAspect="1" noChangeArrowheads="1"/>
        </xdr:cNvSpPr>
      </xdr:nvSpPr>
      <xdr:spPr bwMode="auto">
        <a:xfrm>
          <a:off x="13411200" y="50871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01" name="AutoShape 1481" descr="TURKEY2"/>
        <xdr:cNvSpPr>
          <a:spLocks noChangeAspect="1" noChangeArrowheads="1"/>
        </xdr:cNvSpPr>
      </xdr:nvSpPr>
      <xdr:spPr bwMode="auto">
        <a:xfrm>
          <a:off x="0" y="51046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602" name="AutoShape 1482" descr="https://www.soccerstats.com/img/own/sshplogo.png">
          <a:hlinkClick xmlns:r="http://schemas.openxmlformats.org/officeDocument/2006/relationships" r:id="rId908"/>
        </xdr:cNvPr>
        <xdr:cNvSpPr>
          <a:spLocks noChangeAspect="1" noChangeArrowheads="1"/>
        </xdr:cNvSpPr>
      </xdr:nvSpPr>
      <xdr:spPr bwMode="auto">
        <a:xfrm>
          <a:off x="13411200" y="51046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03" name="AutoShape 1483" descr="TURKEY2"/>
        <xdr:cNvSpPr>
          <a:spLocks noChangeAspect="1" noChangeArrowheads="1"/>
        </xdr:cNvSpPr>
      </xdr:nvSpPr>
      <xdr:spPr bwMode="auto">
        <a:xfrm>
          <a:off x="0" y="51221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604" name="AutoShape 1484" descr="https://www.soccerstats.com/img/own/sshplogo.png">
          <a:hlinkClick xmlns:r="http://schemas.openxmlformats.org/officeDocument/2006/relationships" r:id="rId909"/>
        </xdr:cNvPr>
        <xdr:cNvSpPr>
          <a:spLocks noChangeAspect="1" noChangeArrowheads="1"/>
        </xdr:cNvSpPr>
      </xdr:nvSpPr>
      <xdr:spPr bwMode="auto">
        <a:xfrm>
          <a:off x="13411200" y="51221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05" name="AutoShape 1485" descr="TURKEY2"/>
        <xdr:cNvSpPr>
          <a:spLocks noChangeAspect="1" noChangeArrowheads="1"/>
        </xdr:cNvSpPr>
      </xdr:nvSpPr>
      <xdr:spPr bwMode="auto">
        <a:xfrm>
          <a:off x="0" y="51396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606" name="AutoShape 1486" descr="https://www.soccerstats.com/img/own/sshplogo.png">
          <a:hlinkClick xmlns:r="http://schemas.openxmlformats.org/officeDocument/2006/relationships" r:id="rId910"/>
        </xdr:cNvPr>
        <xdr:cNvSpPr>
          <a:spLocks noChangeAspect="1" noChangeArrowheads="1"/>
        </xdr:cNvSpPr>
      </xdr:nvSpPr>
      <xdr:spPr bwMode="auto">
        <a:xfrm>
          <a:off x="13411200" y="51396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07" name="AutoShape 1487" descr="UKRAINE"/>
        <xdr:cNvSpPr>
          <a:spLocks noChangeAspect="1" noChangeArrowheads="1"/>
        </xdr:cNvSpPr>
      </xdr:nvSpPr>
      <xdr:spPr bwMode="auto">
        <a:xfrm>
          <a:off x="0" y="51648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608" name="AutoShape 1488" descr="https://www.soccerstats.com/img/own/sshplogo.png">
          <a:hlinkClick xmlns:r="http://schemas.openxmlformats.org/officeDocument/2006/relationships" r:id="rId911"/>
        </xdr:cNvPr>
        <xdr:cNvSpPr>
          <a:spLocks noChangeAspect="1" noChangeArrowheads="1"/>
        </xdr:cNvSpPr>
      </xdr:nvSpPr>
      <xdr:spPr bwMode="auto">
        <a:xfrm>
          <a:off x="13411200" y="51648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09" name="AutoShape 1489" descr="UKRAINE"/>
        <xdr:cNvSpPr>
          <a:spLocks noChangeAspect="1" noChangeArrowheads="1"/>
        </xdr:cNvSpPr>
      </xdr:nvSpPr>
      <xdr:spPr bwMode="auto">
        <a:xfrm>
          <a:off x="0" y="51899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610" name="AutoShape 1490" descr="https://www.soccerstats.com/img/own/sshplogo.png">
          <a:hlinkClick xmlns:r="http://schemas.openxmlformats.org/officeDocument/2006/relationships" r:id="rId912"/>
        </xdr:cNvPr>
        <xdr:cNvSpPr>
          <a:spLocks noChangeAspect="1" noChangeArrowheads="1"/>
        </xdr:cNvSpPr>
      </xdr:nvSpPr>
      <xdr:spPr bwMode="auto">
        <a:xfrm>
          <a:off x="13411200" y="51899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11" name="AutoShape 1491" descr="UKRAINE"/>
        <xdr:cNvSpPr>
          <a:spLocks noChangeAspect="1" noChangeArrowheads="1"/>
        </xdr:cNvSpPr>
      </xdr:nvSpPr>
      <xdr:spPr bwMode="auto">
        <a:xfrm>
          <a:off x="0" y="52075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612" name="AutoShape 1492" descr="https://www.soccerstats.com/img/own/sshplogo.png">
          <a:hlinkClick xmlns:r="http://schemas.openxmlformats.org/officeDocument/2006/relationships" r:id="rId913"/>
        </xdr:cNvPr>
        <xdr:cNvSpPr>
          <a:spLocks noChangeAspect="1" noChangeArrowheads="1"/>
        </xdr:cNvSpPr>
      </xdr:nvSpPr>
      <xdr:spPr bwMode="auto">
        <a:xfrm>
          <a:off x="13411200" y="52075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13" name="AutoShape 1493" descr="URUGUAY3"/>
        <xdr:cNvSpPr>
          <a:spLocks noChangeAspect="1" noChangeArrowheads="1"/>
        </xdr:cNvSpPr>
      </xdr:nvSpPr>
      <xdr:spPr bwMode="auto">
        <a:xfrm>
          <a:off x="0" y="52326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614" name="AutoShape 1494" descr="https://www.soccerstats.com/img/own/sshplogo.png">
          <a:hlinkClick xmlns:r="http://schemas.openxmlformats.org/officeDocument/2006/relationships" r:id="rId914"/>
        </xdr:cNvPr>
        <xdr:cNvSpPr>
          <a:spLocks noChangeAspect="1" noChangeArrowheads="1"/>
        </xdr:cNvSpPr>
      </xdr:nvSpPr>
      <xdr:spPr bwMode="auto">
        <a:xfrm>
          <a:off x="13411200" y="52326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15" name="AutoShape 1495" descr="URUGUAY3"/>
        <xdr:cNvSpPr>
          <a:spLocks noChangeAspect="1" noChangeArrowheads="1"/>
        </xdr:cNvSpPr>
      </xdr:nvSpPr>
      <xdr:spPr bwMode="auto">
        <a:xfrm>
          <a:off x="0" y="52578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616" name="AutoShape 1496" descr="https://www.soccerstats.com/img/own/sshplogo.png">
          <a:hlinkClick xmlns:r="http://schemas.openxmlformats.org/officeDocument/2006/relationships" r:id="rId915"/>
        </xdr:cNvPr>
        <xdr:cNvSpPr>
          <a:spLocks noChangeAspect="1" noChangeArrowheads="1"/>
        </xdr:cNvSpPr>
      </xdr:nvSpPr>
      <xdr:spPr bwMode="auto">
        <a:xfrm>
          <a:off x="13411200" y="5257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17" name="AutoShape 1497" descr="URUGUAY3"/>
        <xdr:cNvSpPr>
          <a:spLocks noChangeAspect="1" noChangeArrowheads="1"/>
        </xdr:cNvSpPr>
      </xdr:nvSpPr>
      <xdr:spPr bwMode="auto">
        <a:xfrm>
          <a:off x="0" y="52753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618" name="AutoShape 1498" descr="https://www.soccerstats.com/img/own/sshplogo.png">
          <a:hlinkClick xmlns:r="http://schemas.openxmlformats.org/officeDocument/2006/relationships" r:id="rId916"/>
        </xdr:cNvPr>
        <xdr:cNvSpPr>
          <a:spLocks noChangeAspect="1" noChangeArrowheads="1"/>
        </xdr:cNvSpPr>
      </xdr:nvSpPr>
      <xdr:spPr bwMode="auto">
        <a:xfrm>
          <a:off x="13411200" y="52753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19" name="AutoShape 1499" descr="USA"/>
        <xdr:cNvSpPr>
          <a:spLocks noChangeAspect="1" noChangeArrowheads="1"/>
        </xdr:cNvSpPr>
      </xdr:nvSpPr>
      <xdr:spPr bwMode="auto">
        <a:xfrm>
          <a:off x="0" y="53004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620" name="AutoShape 1500" descr="https://www.soccerstats.com/img/own/sshplogo.png">
          <a:hlinkClick xmlns:r="http://schemas.openxmlformats.org/officeDocument/2006/relationships" r:id="rId917"/>
        </xdr:cNvPr>
        <xdr:cNvSpPr>
          <a:spLocks noChangeAspect="1" noChangeArrowheads="1"/>
        </xdr:cNvSpPr>
      </xdr:nvSpPr>
      <xdr:spPr bwMode="auto">
        <a:xfrm>
          <a:off x="13411200" y="53004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21" name="AutoShape 1501" descr="USA"/>
        <xdr:cNvSpPr>
          <a:spLocks noChangeAspect="1" noChangeArrowheads="1"/>
        </xdr:cNvSpPr>
      </xdr:nvSpPr>
      <xdr:spPr bwMode="auto">
        <a:xfrm>
          <a:off x="0" y="53256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622" name="AutoShape 1502" descr="https://www.soccerstats.com/img/own/sshplogo.png">
          <a:hlinkClick xmlns:r="http://schemas.openxmlformats.org/officeDocument/2006/relationships" r:id="rId918"/>
        </xdr:cNvPr>
        <xdr:cNvSpPr>
          <a:spLocks noChangeAspect="1" noChangeArrowheads="1"/>
        </xdr:cNvSpPr>
      </xdr:nvSpPr>
      <xdr:spPr bwMode="auto">
        <a:xfrm>
          <a:off x="13411200" y="53256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23" name="AutoShape 1503" descr="USA"/>
        <xdr:cNvSpPr>
          <a:spLocks noChangeAspect="1" noChangeArrowheads="1"/>
        </xdr:cNvSpPr>
      </xdr:nvSpPr>
      <xdr:spPr bwMode="auto">
        <a:xfrm>
          <a:off x="0" y="53431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624" name="AutoShape 1504" descr="https://www.soccerstats.com/img/own/sshplogo.png">
          <a:hlinkClick xmlns:r="http://schemas.openxmlformats.org/officeDocument/2006/relationships" r:id="rId919"/>
        </xdr:cNvPr>
        <xdr:cNvSpPr>
          <a:spLocks noChangeAspect="1" noChangeArrowheads="1"/>
        </xdr:cNvSpPr>
      </xdr:nvSpPr>
      <xdr:spPr bwMode="auto">
        <a:xfrm>
          <a:off x="13411200" y="53431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25" name="AutoShape 1505" descr="USA"/>
        <xdr:cNvSpPr>
          <a:spLocks noChangeAspect="1" noChangeArrowheads="1"/>
        </xdr:cNvSpPr>
      </xdr:nvSpPr>
      <xdr:spPr bwMode="auto">
        <a:xfrm>
          <a:off x="0" y="53682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626" name="AutoShape 1506" descr="https://www.soccerstats.com/img/own/sshplogo.png">
          <a:hlinkClick xmlns:r="http://schemas.openxmlformats.org/officeDocument/2006/relationships" r:id="rId920"/>
        </xdr:cNvPr>
        <xdr:cNvSpPr>
          <a:spLocks noChangeAspect="1" noChangeArrowheads="1"/>
        </xdr:cNvSpPr>
      </xdr:nvSpPr>
      <xdr:spPr bwMode="auto">
        <a:xfrm>
          <a:off x="13411200" y="53682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27" name="AutoShape 1507" descr="USA"/>
        <xdr:cNvSpPr>
          <a:spLocks noChangeAspect="1" noChangeArrowheads="1"/>
        </xdr:cNvSpPr>
      </xdr:nvSpPr>
      <xdr:spPr bwMode="auto">
        <a:xfrm>
          <a:off x="0" y="53934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628" name="AutoShape 1508" descr="https://www.soccerstats.com/img/own/sshplogo.png">
          <a:hlinkClick xmlns:r="http://schemas.openxmlformats.org/officeDocument/2006/relationships" r:id="rId921"/>
        </xdr:cNvPr>
        <xdr:cNvSpPr>
          <a:spLocks noChangeAspect="1" noChangeArrowheads="1"/>
        </xdr:cNvSpPr>
      </xdr:nvSpPr>
      <xdr:spPr bwMode="auto">
        <a:xfrm>
          <a:off x="13411200" y="53934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29" name="AutoShape 1509" descr="USA"/>
        <xdr:cNvSpPr>
          <a:spLocks noChangeAspect="1" noChangeArrowheads="1"/>
        </xdr:cNvSpPr>
      </xdr:nvSpPr>
      <xdr:spPr bwMode="auto">
        <a:xfrm>
          <a:off x="0" y="54185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630" name="AutoShape 1510" descr="https://www.soccerstats.com/img/own/sshplogo.png">
          <a:hlinkClick xmlns:r="http://schemas.openxmlformats.org/officeDocument/2006/relationships" r:id="rId922"/>
        </xdr:cNvPr>
        <xdr:cNvSpPr>
          <a:spLocks noChangeAspect="1" noChangeArrowheads="1"/>
        </xdr:cNvSpPr>
      </xdr:nvSpPr>
      <xdr:spPr bwMode="auto">
        <a:xfrm>
          <a:off x="13411200" y="54185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31" name="AutoShape 1511" descr="USA"/>
        <xdr:cNvSpPr>
          <a:spLocks noChangeAspect="1" noChangeArrowheads="1"/>
        </xdr:cNvSpPr>
      </xdr:nvSpPr>
      <xdr:spPr bwMode="auto">
        <a:xfrm>
          <a:off x="0" y="54437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632" name="AutoShape 1512" descr="https://www.soccerstats.com/img/own/sshplogo.png">
          <a:hlinkClick xmlns:r="http://schemas.openxmlformats.org/officeDocument/2006/relationships" r:id="rId923"/>
        </xdr:cNvPr>
        <xdr:cNvSpPr>
          <a:spLocks noChangeAspect="1" noChangeArrowheads="1"/>
        </xdr:cNvSpPr>
      </xdr:nvSpPr>
      <xdr:spPr bwMode="auto">
        <a:xfrm>
          <a:off x="13411200" y="54437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33" name="AutoShape 1513" descr="USA"/>
        <xdr:cNvSpPr>
          <a:spLocks noChangeAspect="1" noChangeArrowheads="1"/>
        </xdr:cNvSpPr>
      </xdr:nvSpPr>
      <xdr:spPr bwMode="auto">
        <a:xfrm>
          <a:off x="0" y="54612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634" name="AutoShape 1514" descr="https://www.soccerstats.com/img/own/sshplogo.png">
          <a:hlinkClick xmlns:r="http://schemas.openxmlformats.org/officeDocument/2006/relationships" r:id="rId924"/>
        </xdr:cNvPr>
        <xdr:cNvSpPr>
          <a:spLocks noChangeAspect="1" noChangeArrowheads="1"/>
        </xdr:cNvSpPr>
      </xdr:nvSpPr>
      <xdr:spPr bwMode="auto">
        <a:xfrm>
          <a:off x="13411200" y="54612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35" name="AutoShape 1515" descr="USA2"/>
        <xdr:cNvSpPr>
          <a:spLocks noChangeAspect="1" noChangeArrowheads="1"/>
        </xdr:cNvSpPr>
      </xdr:nvSpPr>
      <xdr:spPr bwMode="auto">
        <a:xfrm>
          <a:off x="0" y="54864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636" name="AutoShape 1516" descr="https://www.soccerstats.com/img/own/sshplogo.png">
          <a:hlinkClick xmlns:r="http://schemas.openxmlformats.org/officeDocument/2006/relationships" r:id="rId925"/>
        </xdr:cNvPr>
        <xdr:cNvSpPr>
          <a:spLocks noChangeAspect="1" noChangeArrowheads="1"/>
        </xdr:cNvSpPr>
      </xdr:nvSpPr>
      <xdr:spPr bwMode="auto">
        <a:xfrm>
          <a:off x="13411200" y="5486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37" name="AutoShape 1517" descr="USA2"/>
        <xdr:cNvSpPr>
          <a:spLocks noChangeAspect="1" noChangeArrowheads="1"/>
        </xdr:cNvSpPr>
      </xdr:nvSpPr>
      <xdr:spPr bwMode="auto">
        <a:xfrm>
          <a:off x="0" y="55115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638" name="AutoShape 1518" descr="https://www.soccerstats.com/img/own/sshplogo.png">
          <a:hlinkClick xmlns:r="http://schemas.openxmlformats.org/officeDocument/2006/relationships" r:id="rId926"/>
        </xdr:cNvPr>
        <xdr:cNvSpPr>
          <a:spLocks noChangeAspect="1" noChangeArrowheads="1"/>
        </xdr:cNvSpPr>
      </xdr:nvSpPr>
      <xdr:spPr bwMode="auto">
        <a:xfrm>
          <a:off x="13411200" y="5511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39" name="AutoShape 1519" descr="USA2"/>
        <xdr:cNvSpPr>
          <a:spLocks noChangeAspect="1" noChangeArrowheads="1"/>
        </xdr:cNvSpPr>
      </xdr:nvSpPr>
      <xdr:spPr bwMode="auto">
        <a:xfrm>
          <a:off x="0" y="55290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640" name="AutoShape 1520" descr="https://www.soccerstats.com/img/own/sshplogo.png">
          <a:hlinkClick xmlns:r="http://schemas.openxmlformats.org/officeDocument/2006/relationships" r:id="rId927"/>
        </xdr:cNvPr>
        <xdr:cNvSpPr>
          <a:spLocks noChangeAspect="1" noChangeArrowheads="1"/>
        </xdr:cNvSpPr>
      </xdr:nvSpPr>
      <xdr:spPr bwMode="auto">
        <a:xfrm>
          <a:off x="13411200" y="55290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41" name="AutoShape 1521" descr="USA2"/>
        <xdr:cNvSpPr>
          <a:spLocks noChangeAspect="1" noChangeArrowheads="1"/>
        </xdr:cNvSpPr>
      </xdr:nvSpPr>
      <xdr:spPr bwMode="auto">
        <a:xfrm>
          <a:off x="0" y="55465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642" name="AutoShape 1522" descr="https://www.soccerstats.com/img/own/sshplogo.png">
          <a:hlinkClick xmlns:r="http://schemas.openxmlformats.org/officeDocument/2006/relationships" r:id="rId928"/>
        </xdr:cNvPr>
        <xdr:cNvSpPr>
          <a:spLocks noChangeAspect="1" noChangeArrowheads="1"/>
        </xdr:cNvSpPr>
      </xdr:nvSpPr>
      <xdr:spPr bwMode="auto">
        <a:xfrm>
          <a:off x="13411200" y="55465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43" name="AutoShape 1523" descr="USA2"/>
        <xdr:cNvSpPr>
          <a:spLocks noChangeAspect="1" noChangeArrowheads="1"/>
        </xdr:cNvSpPr>
      </xdr:nvSpPr>
      <xdr:spPr bwMode="auto">
        <a:xfrm>
          <a:off x="0" y="55717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644" name="AutoShape 1524" descr="https://www.soccerstats.com/img/own/sshplogo.png">
          <a:hlinkClick xmlns:r="http://schemas.openxmlformats.org/officeDocument/2006/relationships" r:id="rId929"/>
        </xdr:cNvPr>
        <xdr:cNvSpPr>
          <a:spLocks noChangeAspect="1" noChangeArrowheads="1"/>
        </xdr:cNvSpPr>
      </xdr:nvSpPr>
      <xdr:spPr bwMode="auto">
        <a:xfrm>
          <a:off x="13411200" y="55717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45" name="AutoShape 1525" descr="USA2"/>
        <xdr:cNvSpPr>
          <a:spLocks noChangeAspect="1" noChangeArrowheads="1"/>
        </xdr:cNvSpPr>
      </xdr:nvSpPr>
      <xdr:spPr bwMode="auto">
        <a:xfrm>
          <a:off x="0" y="55968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646" name="AutoShape 1526" descr="https://www.soccerstats.com/img/own/sshplogo.png">
          <a:hlinkClick xmlns:r="http://schemas.openxmlformats.org/officeDocument/2006/relationships" r:id="rId930"/>
        </xdr:cNvPr>
        <xdr:cNvSpPr>
          <a:spLocks noChangeAspect="1" noChangeArrowheads="1"/>
        </xdr:cNvSpPr>
      </xdr:nvSpPr>
      <xdr:spPr bwMode="auto">
        <a:xfrm>
          <a:off x="13411200" y="5596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47" name="AutoShape 1527" descr="USA2"/>
        <xdr:cNvSpPr>
          <a:spLocks noChangeAspect="1" noChangeArrowheads="1"/>
        </xdr:cNvSpPr>
      </xdr:nvSpPr>
      <xdr:spPr bwMode="auto">
        <a:xfrm>
          <a:off x="0" y="56144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648" name="AutoShape 1528" descr="https://www.soccerstats.com/img/own/sshplogo.png">
          <a:hlinkClick xmlns:r="http://schemas.openxmlformats.org/officeDocument/2006/relationships" r:id="rId931"/>
        </xdr:cNvPr>
        <xdr:cNvSpPr>
          <a:spLocks noChangeAspect="1" noChangeArrowheads="1"/>
        </xdr:cNvSpPr>
      </xdr:nvSpPr>
      <xdr:spPr bwMode="auto">
        <a:xfrm>
          <a:off x="13411200" y="56144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49" name="AutoShape 1529" descr="USA3"/>
        <xdr:cNvSpPr>
          <a:spLocks noChangeAspect="1" noChangeArrowheads="1"/>
        </xdr:cNvSpPr>
      </xdr:nvSpPr>
      <xdr:spPr bwMode="auto">
        <a:xfrm>
          <a:off x="0" y="56395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650" name="AutoShape 1530" descr="https://www.soccerstats.com/img/own/sshplogo.png">
          <a:hlinkClick xmlns:r="http://schemas.openxmlformats.org/officeDocument/2006/relationships" r:id="rId932"/>
        </xdr:cNvPr>
        <xdr:cNvSpPr>
          <a:spLocks noChangeAspect="1" noChangeArrowheads="1"/>
        </xdr:cNvSpPr>
      </xdr:nvSpPr>
      <xdr:spPr bwMode="auto">
        <a:xfrm>
          <a:off x="13411200" y="56395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51" name="AutoShape 1531" descr="USA3"/>
        <xdr:cNvSpPr>
          <a:spLocks noChangeAspect="1" noChangeArrowheads="1"/>
        </xdr:cNvSpPr>
      </xdr:nvSpPr>
      <xdr:spPr bwMode="auto">
        <a:xfrm>
          <a:off x="0" y="56647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652" name="AutoShape 1532" descr="https://www.soccerstats.com/img/own/sshplogo.png">
          <a:hlinkClick xmlns:r="http://schemas.openxmlformats.org/officeDocument/2006/relationships" r:id="rId933"/>
        </xdr:cNvPr>
        <xdr:cNvSpPr>
          <a:spLocks noChangeAspect="1" noChangeArrowheads="1"/>
        </xdr:cNvSpPr>
      </xdr:nvSpPr>
      <xdr:spPr bwMode="auto">
        <a:xfrm>
          <a:off x="13411200" y="56647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53" name="AutoShape 1533" descr="USA3"/>
        <xdr:cNvSpPr>
          <a:spLocks noChangeAspect="1" noChangeArrowheads="1"/>
        </xdr:cNvSpPr>
      </xdr:nvSpPr>
      <xdr:spPr bwMode="auto">
        <a:xfrm>
          <a:off x="0" y="56898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654" name="AutoShape 1534" descr="https://www.soccerstats.com/img/own/sshplogo.png">
          <a:hlinkClick xmlns:r="http://schemas.openxmlformats.org/officeDocument/2006/relationships" r:id="rId934"/>
        </xdr:cNvPr>
        <xdr:cNvSpPr>
          <a:spLocks noChangeAspect="1" noChangeArrowheads="1"/>
        </xdr:cNvSpPr>
      </xdr:nvSpPr>
      <xdr:spPr bwMode="auto">
        <a:xfrm>
          <a:off x="13411200" y="56898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55" name="AutoShape 1535" descr="USA6"/>
        <xdr:cNvSpPr>
          <a:spLocks noChangeAspect="1" noChangeArrowheads="1"/>
        </xdr:cNvSpPr>
      </xdr:nvSpPr>
      <xdr:spPr bwMode="auto">
        <a:xfrm>
          <a:off x="0" y="57150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656" name="AutoShape 1536" descr="https://www.soccerstats.com/img/own/sshplogo.png">
          <a:hlinkClick xmlns:r="http://schemas.openxmlformats.org/officeDocument/2006/relationships" r:id="rId935"/>
        </xdr:cNvPr>
        <xdr:cNvSpPr>
          <a:spLocks noChangeAspect="1" noChangeArrowheads="1"/>
        </xdr:cNvSpPr>
      </xdr:nvSpPr>
      <xdr:spPr bwMode="auto">
        <a:xfrm>
          <a:off x="13411200" y="571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57" name="AutoShape 1537" descr="USA6"/>
        <xdr:cNvSpPr>
          <a:spLocks noChangeAspect="1" noChangeArrowheads="1"/>
        </xdr:cNvSpPr>
      </xdr:nvSpPr>
      <xdr:spPr bwMode="auto">
        <a:xfrm>
          <a:off x="0" y="57401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658" name="AutoShape 1538" descr="https://www.soccerstats.com/img/own/sshplogo.png">
          <a:hlinkClick xmlns:r="http://schemas.openxmlformats.org/officeDocument/2006/relationships" r:id="rId936"/>
        </xdr:cNvPr>
        <xdr:cNvSpPr>
          <a:spLocks noChangeAspect="1" noChangeArrowheads="1"/>
        </xdr:cNvSpPr>
      </xdr:nvSpPr>
      <xdr:spPr bwMode="auto">
        <a:xfrm>
          <a:off x="13411200" y="57401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659" name="AutoShape 1539" descr="USA7"/>
        <xdr:cNvSpPr>
          <a:spLocks noChangeAspect="1" noChangeArrowheads="1"/>
        </xdr:cNvSpPr>
      </xdr:nvSpPr>
      <xdr:spPr bwMode="auto">
        <a:xfrm>
          <a:off x="0" y="57652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660" name="AutoShape 1540" descr="https://www.soccerstats.com/img/own/sshplogo.png">
          <a:hlinkClick xmlns:r="http://schemas.openxmlformats.org/officeDocument/2006/relationships" r:id="rId937"/>
        </xdr:cNvPr>
        <xdr:cNvSpPr>
          <a:spLocks noChangeAspect="1" noChangeArrowheads="1"/>
        </xdr:cNvSpPr>
      </xdr:nvSpPr>
      <xdr:spPr bwMode="auto">
        <a:xfrm>
          <a:off x="13411200" y="57652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6661" name="AutoShape 1541" descr="SPAIN"/>
        <xdr:cNvSpPr>
          <a:spLocks noChangeAspect="1" noChangeArrowheads="1"/>
        </xdr:cNvSpPr>
      </xdr:nvSpPr>
      <xdr:spPr bwMode="auto">
        <a:xfrm>
          <a:off x="0" y="17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6662" name="AutoShape 1542" descr="https://www.soccerstats.com/img/own/sshplogo.png">
          <a:hlinkClick xmlns:r="http://schemas.openxmlformats.org/officeDocument/2006/relationships" r:id="rId659"/>
        </xdr:cNvPr>
        <xdr:cNvSpPr>
          <a:spLocks noChangeAspect="1" noChangeArrowheads="1"/>
        </xdr:cNvSpPr>
      </xdr:nvSpPr>
      <xdr:spPr bwMode="auto">
        <a:xfrm>
          <a:off x="13411200" y="17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152400</xdr:colOff>
      <xdr:row>2</xdr:row>
      <xdr:rowOff>106680</xdr:rowOff>
    </xdr:to>
    <xdr:sp macro="" textlink="">
      <xdr:nvSpPr>
        <xdr:cNvPr id="6663" name="AutoShape 1543" descr="SPAIN"/>
        <xdr:cNvSpPr>
          <a:spLocks noChangeAspect="1" noChangeArrowheads="1"/>
        </xdr:cNvSpPr>
      </xdr:nvSpPr>
      <xdr:spPr bwMode="auto">
        <a:xfrm>
          <a:off x="0" y="350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</xdr:row>
      <xdr:rowOff>0</xdr:rowOff>
    </xdr:from>
    <xdr:to>
      <xdr:col>22</xdr:col>
      <xdr:colOff>304800</xdr:colOff>
      <xdr:row>3</xdr:row>
      <xdr:rowOff>129540</xdr:rowOff>
    </xdr:to>
    <xdr:sp macro="" textlink="">
      <xdr:nvSpPr>
        <xdr:cNvPr id="6664" name="AutoShape 1544" descr="https://www.soccerstats.com/img/own/sshplogo.png">
          <a:hlinkClick xmlns:r="http://schemas.openxmlformats.org/officeDocument/2006/relationships" r:id="rId660"/>
        </xdr:cNvPr>
        <xdr:cNvSpPr>
          <a:spLocks noChangeAspect="1" noChangeArrowheads="1"/>
        </xdr:cNvSpPr>
      </xdr:nvSpPr>
      <xdr:spPr bwMode="auto">
        <a:xfrm>
          <a:off x="13411200" y="350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152400</xdr:colOff>
      <xdr:row>3</xdr:row>
      <xdr:rowOff>106680</xdr:rowOff>
    </xdr:to>
    <xdr:sp macro="" textlink="">
      <xdr:nvSpPr>
        <xdr:cNvPr id="6665" name="AutoShape 1545" descr="SPAIN"/>
        <xdr:cNvSpPr>
          <a:spLocks noChangeAspect="1" noChangeArrowheads="1"/>
        </xdr:cNvSpPr>
      </xdr:nvSpPr>
      <xdr:spPr bwMode="auto">
        <a:xfrm>
          <a:off x="0" y="525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</xdr:row>
      <xdr:rowOff>0</xdr:rowOff>
    </xdr:from>
    <xdr:to>
      <xdr:col>22</xdr:col>
      <xdr:colOff>304800</xdr:colOff>
      <xdr:row>4</xdr:row>
      <xdr:rowOff>53340</xdr:rowOff>
    </xdr:to>
    <xdr:sp macro="" textlink="">
      <xdr:nvSpPr>
        <xdr:cNvPr id="6666" name="AutoShape 1546" descr="https://www.soccerstats.com/img/own/sshplogo.png">
          <a:hlinkClick xmlns:r="http://schemas.openxmlformats.org/officeDocument/2006/relationships" r:id="rId661"/>
        </xdr:cNvPr>
        <xdr:cNvSpPr>
          <a:spLocks noChangeAspect="1" noChangeArrowheads="1"/>
        </xdr:cNvSpPr>
      </xdr:nvSpPr>
      <xdr:spPr bwMode="auto">
        <a:xfrm>
          <a:off x="13411200" y="525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152400</xdr:colOff>
      <xdr:row>4</xdr:row>
      <xdr:rowOff>106680</xdr:rowOff>
    </xdr:to>
    <xdr:sp macro="" textlink="">
      <xdr:nvSpPr>
        <xdr:cNvPr id="6667" name="AutoShape 1547" descr="NETHERLANDS"/>
        <xdr:cNvSpPr>
          <a:spLocks noChangeAspect="1" noChangeArrowheads="1"/>
        </xdr:cNvSpPr>
      </xdr:nvSpPr>
      <xdr:spPr bwMode="auto">
        <a:xfrm>
          <a:off x="0" y="701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</xdr:row>
      <xdr:rowOff>0</xdr:rowOff>
    </xdr:from>
    <xdr:to>
      <xdr:col>22</xdr:col>
      <xdr:colOff>304800</xdr:colOff>
      <xdr:row>5</xdr:row>
      <xdr:rowOff>53340</xdr:rowOff>
    </xdr:to>
    <xdr:sp macro="" textlink="">
      <xdr:nvSpPr>
        <xdr:cNvPr id="6668" name="AutoShape 1548" descr="https://www.soccerstats.com/img/own/sshplogo.png">
          <a:hlinkClick xmlns:r="http://schemas.openxmlformats.org/officeDocument/2006/relationships" r:id="rId662"/>
        </xdr:cNvPr>
        <xdr:cNvSpPr>
          <a:spLocks noChangeAspect="1" noChangeArrowheads="1"/>
        </xdr:cNvSpPr>
      </xdr:nvSpPr>
      <xdr:spPr bwMode="auto">
        <a:xfrm>
          <a:off x="13411200" y="701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152400</xdr:colOff>
      <xdr:row>5</xdr:row>
      <xdr:rowOff>106680</xdr:rowOff>
    </xdr:to>
    <xdr:sp macro="" textlink="">
      <xdr:nvSpPr>
        <xdr:cNvPr id="6669" name="AutoShape 1549" descr="NETHERLANDS"/>
        <xdr:cNvSpPr>
          <a:spLocks noChangeAspect="1" noChangeArrowheads="1"/>
        </xdr:cNvSpPr>
      </xdr:nvSpPr>
      <xdr:spPr bwMode="auto">
        <a:xfrm>
          <a:off x="0" y="952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304800</xdr:colOff>
      <xdr:row>6</xdr:row>
      <xdr:rowOff>53340</xdr:rowOff>
    </xdr:to>
    <xdr:sp macro="" textlink="">
      <xdr:nvSpPr>
        <xdr:cNvPr id="6670" name="AutoShape 1550" descr="https://www.soccerstats.com/img/own/sshplogo.png">
          <a:hlinkClick xmlns:r="http://schemas.openxmlformats.org/officeDocument/2006/relationships" r:id="rId663"/>
        </xdr:cNvPr>
        <xdr:cNvSpPr>
          <a:spLocks noChangeAspect="1" noChangeArrowheads="1"/>
        </xdr:cNvSpPr>
      </xdr:nvSpPr>
      <xdr:spPr bwMode="auto">
        <a:xfrm>
          <a:off x="13411200" y="95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152400</xdr:colOff>
      <xdr:row>6</xdr:row>
      <xdr:rowOff>106680</xdr:rowOff>
    </xdr:to>
    <xdr:sp macro="" textlink="">
      <xdr:nvSpPr>
        <xdr:cNvPr id="6671" name="AutoShape 1551" descr="NETHERLANDS"/>
        <xdr:cNvSpPr>
          <a:spLocks noChangeAspect="1" noChangeArrowheads="1"/>
        </xdr:cNvSpPr>
      </xdr:nvSpPr>
      <xdr:spPr bwMode="auto">
        <a:xfrm>
          <a:off x="0" y="1127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</xdr:row>
      <xdr:rowOff>0</xdr:rowOff>
    </xdr:from>
    <xdr:to>
      <xdr:col>22</xdr:col>
      <xdr:colOff>304800</xdr:colOff>
      <xdr:row>7</xdr:row>
      <xdr:rowOff>129540</xdr:rowOff>
    </xdr:to>
    <xdr:sp macro="" textlink="">
      <xdr:nvSpPr>
        <xdr:cNvPr id="6672" name="AutoShape 1552" descr="https://www.soccerstats.com/img/own/sshplogo.png">
          <a:hlinkClick xmlns:r="http://schemas.openxmlformats.org/officeDocument/2006/relationships" r:id="rId664"/>
        </xdr:cNvPr>
        <xdr:cNvSpPr>
          <a:spLocks noChangeAspect="1" noChangeArrowheads="1"/>
        </xdr:cNvSpPr>
      </xdr:nvSpPr>
      <xdr:spPr bwMode="auto">
        <a:xfrm>
          <a:off x="13411200" y="1127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152400</xdr:colOff>
      <xdr:row>7</xdr:row>
      <xdr:rowOff>106680</xdr:rowOff>
    </xdr:to>
    <xdr:sp macro="" textlink="">
      <xdr:nvSpPr>
        <xdr:cNvPr id="6673" name="AutoShape 1553" descr="NETHERLANDS"/>
        <xdr:cNvSpPr>
          <a:spLocks noChangeAspect="1" noChangeArrowheads="1"/>
        </xdr:cNvSpPr>
      </xdr:nvSpPr>
      <xdr:spPr bwMode="auto">
        <a:xfrm>
          <a:off x="0" y="1379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</xdr:row>
      <xdr:rowOff>0</xdr:rowOff>
    </xdr:from>
    <xdr:to>
      <xdr:col>22</xdr:col>
      <xdr:colOff>304800</xdr:colOff>
      <xdr:row>8</xdr:row>
      <xdr:rowOff>129540</xdr:rowOff>
    </xdr:to>
    <xdr:sp macro="" textlink="">
      <xdr:nvSpPr>
        <xdr:cNvPr id="6674" name="AutoShape 1554" descr="https://www.soccerstats.com/img/own/sshplogo.png">
          <a:hlinkClick xmlns:r="http://schemas.openxmlformats.org/officeDocument/2006/relationships" r:id="rId665"/>
        </xdr:cNvPr>
        <xdr:cNvSpPr>
          <a:spLocks noChangeAspect="1" noChangeArrowheads="1"/>
        </xdr:cNvSpPr>
      </xdr:nvSpPr>
      <xdr:spPr bwMode="auto">
        <a:xfrm>
          <a:off x="13411200" y="1379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152400</xdr:colOff>
      <xdr:row>8</xdr:row>
      <xdr:rowOff>106680</xdr:rowOff>
    </xdr:to>
    <xdr:sp macro="" textlink="">
      <xdr:nvSpPr>
        <xdr:cNvPr id="6675" name="AutoShape 1555" descr="PORTUGAL"/>
        <xdr:cNvSpPr>
          <a:spLocks noChangeAspect="1" noChangeArrowheads="1"/>
        </xdr:cNvSpPr>
      </xdr:nvSpPr>
      <xdr:spPr bwMode="auto">
        <a:xfrm>
          <a:off x="0" y="1630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</xdr:row>
      <xdr:rowOff>0</xdr:rowOff>
    </xdr:from>
    <xdr:to>
      <xdr:col>22</xdr:col>
      <xdr:colOff>304800</xdr:colOff>
      <xdr:row>9</xdr:row>
      <xdr:rowOff>129540</xdr:rowOff>
    </xdr:to>
    <xdr:sp macro="" textlink="">
      <xdr:nvSpPr>
        <xdr:cNvPr id="6676" name="AutoShape 1556" descr="https://www.soccerstats.com/img/own/sshplogo.png">
          <a:hlinkClick xmlns:r="http://schemas.openxmlformats.org/officeDocument/2006/relationships" r:id="rId666"/>
        </xdr:cNvPr>
        <xdr:cNvSpPr>
          <a:spLocks noChangeAspect="1" noChangeArrowheads="1"/>
        </xdr:cNvSpPr>
      </xdr:nvSpPr>
      <xdr:spPr bwMode="auto">
        <a:xfrm>
          <a:off x="13411200" y="1630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152400</xdr:colOff>
      <xdr:row>9</xdr:row>
      <xdr:rowOff>106680</xdr:rowOff>
    </xdr:to>
    <xdr:sp macro="" textlink="">
      <xdr:nvSpPr>
        <xdr:cNvPr id="6677" name="AutoShape 1557" descr="PORTUGAL"/>
        <xdr:cNvSpPr>
          <a:spLocks noChangeAspect="1" noChangeArrowheads="1"/>
        </xdr:cNvSpPr>
      </xdr:nvSpPr>
      <xdr:spPr bwMode="auto">
        <a:xfrm>
          <a:off x="0" y="1805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</xdr:row>
      <xdr:rowOff>0</xdr:rowOff>
    </xdr:from>
    <xdr:to>
      <xdr:col>22</xdr:col>
      <xdr:colOff>304800</xdr:colOff>
      <xdr:row>10</xdr:row>
      <xdr:rowOff>129540</xdr:rowOff>
    </xdr:to>
    <xdr:sp macro="" textlink="">
      <xdr:nvSpPr>
        <xdr:cNvPr id="6678" name="AutoShape 1558" descr="https://www.soccerstats.com/img/own/sshplogo.png">
          <a:hlinkClick xmlns:r="http://schemas.openxmlformats.org/officeDocument/2006/relationships" r:id="rId667"/>
        </xdr:cNvPr>
        <xdr:cNvSpPr>
          <a:spLocks noChangeAspect="1" noChangeArrowheads="1"/>
        </xdr:cNvSpPr>
      </xdr:nvSpPr>
      <xdr:spPr bwMode="auto">
        <a:xfrm>
          <a:off x="13411200" y="1805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152400</xdr:colOff>
      <xdr:row>10</xdr:row>
      <xdr:rowOff>106680</xdr:rowOff>
    </xdr:to>
    <xdr:sp macro="" textlink="">
      <xdr:nvSpPr>
        <xdr:cNvPr id="6679" name="AutoShape 1559" descr="PORTUGAL"/>
        <xdr:cNvSpPr>
          <a:spLocks noChangeAspect="1" noChangeArrowheads="1"/>
        </xdr:cNvSpPr>
      </xdr:nvSpPr>
      <xdr:spPr bwMode="auto">
        <a:xfrm>
          <a:off x="0" y="1981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</xdr:row>
      <xdr:rowOff>0</xdr:rowOff>
    </xdr:from>
    <xdr:to>
      <xdr:col>22</xdr:col>
      <xdr:colOff>304800</xdr:colOff>
      <xdr:row>11</xdr:row>
      <xdr:rowOff>129540</xdr:rowOff>
    </xdr:to>
    <xdr:sp macro="" textlink="">
      <xdr:nvSpPr>
        <xdr:cNvPr id="6680" name="AutoShape 1560" descr="https://www.soccerstats.com/img/own/sshplogo.png">
          <a:hlinkClick xmlns:r="http://schemas.openxmlformats.org/officeDocument/2006/relationships" r:id="rId668"/>
        </xdr:cNvPr>
        <xdr:cNvSpPr>
          <a:spLocks noChangeAspect="1" noChangeArrowheads="1"/>
        </xdr:cNvSpPr>
      </xdr:nvSpPr>
      <xdr:spPr bwMode="auto">
        <a:xfrm>
          <a:off x="13411200" y="1981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152400</xdr:colOff>
      <xdr:row>11</xdr:row>
      <xdr:rowOff>106680</xdr:rowOff>
    </xdr:to>
    <xdr:sp macro="" textlink="">
      <xdr:nvSpPr>
        <xdr:cNvPr id="6681" name="AutoShape 1561" descr="PORTUGAL"/>
        <xdr:cNvSpPr>
          <a:spLocks noChangeAspect="1" noChangeArrowheads="1"/>
        </xdr:cNvSpPr>
      </xdr:nvSpPr>
      <xdr:spPr bwMode="auto">
        <a:xfrm>
          <a:off x="0" y="2156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</xdr:row>
      <xdr:rowOff>0</xdr:rowOff>
    </xdr:from>
    <xdr:to>
      <xdr:col>22</xdr:col>
      <xdr:colOff>304800</xdr:colOff>
      <xdr:row>12</xdr:row>
      <xdr:rowOff>129540</xdr:rowOff>
    </xdr:to>
    <xdr:sp macro="" textlink="">
      <xdr:nvSpPr>
        <xdr:cNvPr id="6682" name="AutoShape 1562" descr="https://www.soccerstats.com/img/own/sshplogo.png">
          <a:hlinkClick xmlns:r="http://schemas.openxmlformats.org/officeDocument/2006/relationships" r:id="rId669"/>
        </xdr:cNvPr>
        <xdr:cNvSpPr>
          <a:spLocks noChangeAspect="1" noChangeArrowheads="1"/>
        </xdr:cNvSpPr>
      </xdr:nvSpPr>
      <xdr:spPr bwMode="auto">
        <a:xfrm>
          <a:off x="13411200" y="2156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152400</xdr:colOff>
      <xdr:row>12</xdr:row>
      <xdr:rowOff>106680</xdr:rowOff>
    </xdr:to>
    <xdr:sp macro="" textlink="">
      <xdr:nvSpPr>
        <xdr:cNvPr id="6683" name="AutoShape 1563" descr="ENGLAND2"/>
        <xdr:cNvSpPr>
          <a:spLocks noChangeAspect="1" noChangeArrowheads="1"/>
        </xdr:cNvSpPr>
      </xdr:nvSpPr>
      <xdr:spPr bwMode="auto">
        <a:xfrm>
          <a:off x="0" y="2407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</xdr:row>
      <xdr:rowOff>0</xdr:rowOff>
    </xdr:from>
    <xdr:to>
      <xdr:col>22</xdr:col>
      <xdr:colOff>304800</xdr:colOff>
      <xdr:row>13</xdr:row>
      <xdr:rowOff>53340</xdr:rowOff>
    </xdr:to>
    <xdr:sp macro="" textlink="">
      <xdr:nvSpPr>
        <xdr:cNvPr id="6684" name="AutoShape 1564" descr="https://www.soccerstats.com/img/own/sshplogo.png">
          <a:hlinkClick xmlns:r="http://schemas.openxmlformats.org/officeDocument/2006/relationships" r:id="rId670"/>
        </xdr:cNvPr>
        <xdr:cNvSpPr>
          <a:spLocks noChangeAspect="1" noChangeArrowheads="1"/>
        </xdr:cNvSpPr>
      </xdr:nvSpPr>
      <xdr:spPr bwMode="auto">
        <a:xfrm>
          <a:off x="13411200" y="2407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152400</xdr:colOff>
      <xdr:row>13</xdr:row>
      <xdr:rowOff>106680</xdr:rowOff>
    </xdr:to>
    <xdr:sp macro="" textlink="">
      <xdr:nvSpPr>
        <xdr:cNvPr id="6685" name="AutoShape 1565" descr="ENGLAND2"/>
        <xdr:cNvSpPr>
          <a:spLocks noChangeAspect="1" noChangeArrowheads="1"/>
        </xdr:cNvSpPr>
      </xdr:nvSpPr>
      <xdr:spPr bwMode="auto">
        <a:xfrm>
          <a:off x="0" y="2583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</xdr:row>
      <xdr:rowOff>0</xdr:rowOff>
    </xdr:from>
    <xdr:to>
      <xdr:col>22</xdr:col>
      <xdr:colOff>304800</xdr:colOff>
      <xdr:row>14</xdr:row>
      <xdr:rowOff>129540</xdr:rowOff>
    </xdr:to>
    <xdr:sp macro="" textlink="">
      <xdr:nvSpPr>
        <xdr:cNvPr id="6686" name="AutoShape 1566" descr="https://www.soccerstats.com/img/own/sshplogo.png">
          <a:hlinkClick xmlns:r="http://schemas.openxmlformats.org/officeDocument/2006/relationships" r:id="rId671"/>
        </xdr:cNvPr>
        <xdr:cNvSpPr>
          <a:spLocks noChangeAspect="1" noChangeArrowheads="1"/>
        </xdr:cNvSpPr>
      </xdr:nvSpPr>
      <xdr:spPr bwMode="auto">
        <a:xfrm>
          <a:off x="13411200" y="2583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152400</xdr:colOff>
      <xdr:row>14</xdr:row>
      <xdr:rowOff>106680</xdr:rowOff>
    </xdr:to>
    <xdr:sp macro="" textlink="">
      <xdr:nvSpPr>
        <xdr:cNvPr id="6687" name="AutoShape 1567" descr="SPAIN2"/>
        <xdr:cNvSpPr>
          <a:spLocks noChangeAspect="1" noChangeArrowheads="1"/>
        </xdr:cNvSpPr>
      </xdr:nvSpPr>
      <xdr:spPr bwMode="auto">
        <a:xfrm>
          <a:off x="0" y="2834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</xdr:row>
      <xdr:rowOff>0</xdr:rowOff>
    </xdr:from>
    <xdr:to>
      <xdr:col>22</xdr:col>
      <xdr:colOff>304800</xdr:colOff>
      <xdr:row>15</xdr:row>
      <xdr:rowOff>53340</xdr:rowOff>
    </xdr:to>
    <xdr:sp macro="" textlink="">
      <xdr:nvSpPr>
        <xdr:cNvPr id="6688" name="AutoShape 1568" descr="https://www.soccerstats.com/img/own/sshplogo.png">
          <a:hlinkClick xmlns:r="http://schemas.openxmlformats.org/officeDocument/2006/relationships" r:id="rId672"/>
        </xdr:cNvPr>
        <xdr:cNvSpPr>
          <a:spLocks noChangeAspect="1" noChangeArrowheads="1"/>
        </xdr:cNvSpPr>
      </xdr:nvSpPr>
      <xdr:spPr bwMode="auto">
        <a:xfrm>
          <a:off x="13411200" y="2834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152400</xdr:colOff>
      <xdr:row>15</xdr:row>
      <xdr:rowOff>106680</xdr:rowOff>
    </xdr:to>
    <xdr:sp macro="" textlink="">
      <xdr:nvSpPr>
        <xdr:cNvPr id="6689" name="AutoShape 1569" descr="SPAIN2"/>
        <xdr:cNvSpPr>
          <a:spLocks noChangeAspect="1" noChangeArrowheads="1"/>
        </xdr:cNvSpPr>
      </xdr:nvSpPr>
      <xdr:spPr bwMode="auto">
        <a:xfrm>
          <a:off x="0" y="3009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</xdr:row>
      <xdr:rowOff>0</xdr:rowOff>
    </xdr:from>
    <xdr:to>
      <xdr:col>22</xdr:col>
      <xdr:colOff>304800</xdr:colOff>
      <xdr:row>16</xdr:row>
      <xdr:rowOff>129540</xdr:rowOff>
    </xdr:to>
    <xdr:sp macro="" textlink="">
      <xdr:nvSpPr>
        <xdr:cNvPr id="6690" name="AutoShape 1570" descr="https://www.soccerstats.com/img/own/sshplogo.png">
          <a:hlinkClick xmlns:r="http://schemas.openxmlformats.org/officeDocument/2006/relationships" r:id="rId673"/>
        </xdr:cNvPr>
        <xdr:cNvSpPr>
          <a:spLocks noChangeAspect="1" noChangeArrowheads="1"/>
        </xdr:cNvSpPr>
      </xdr:nvSpPr>
      <xdr:spPr bwMode="auto">
        <a:xfrm>
          <a:off x="13411200" y="3009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152400</xdr:colOff>
      <xdr:row>16</xdr:row>
      <xdr:rowOff>106680</xdr:rowOff>
    </xdr:to>
    <xdr:sp macro="" textlink="">
      <xdr:nvSpPr>
        <xdr:cNvPr id="6691" name="AutoShape 1571" descr="SPAIN2"/>
        <xdr:cNvSpPr>
          <a:spLocks noChangeAspect="1" noChangeArrowheads="1"/>
        </xdr:cNvSpPr>
      </xdr:nvSpPr>
      <xdr:spPr bwMode="auto">
        <a:xfrm>
          <a:off x="0" y="3185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</xdr:row>
      <xdr:rowOff>0</xdr:rowOff>
    </xdr:from>
    <xdr:to>
      <xdr:col>22</xdr:col>
      <xdr:colOff>304800</xdr:colOff>
      <xdr:row>17</xdr:row>
      <xdr:rowOff>129540</xdr:rowOff>
    </xdr:to>
    <xdr:sp macro="" textlink="">
      <xdr:nvSpPr>
        <xdr:cNvPr id="6692" name="AutoShape 1572" descr="https://www.soccerstats.com/img/own/sshplogo.png">
          <a:hlinkClick xmlns:r="http://schemas.openxmlformats.org/officeDocument/2006/relationships" r:id="rId674"/>
        </xdr:cNvPr>
        <xdr:cNvSpPr>
          <a:spLocks noChangeAspect="1" noChangeArrowheads="1"/>
        </xdr:cNvSpPr>
      </xdr:nvSpPr>
      <xdr:spPr bwMode="auto">
        <a:xfrm>
          <a:off x="13411200" y="3185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152400</xdr:colOff>
      <xdr:row>17</xdr:row>
      <xdr:rowOff>106680</xdr:rowOff>
    </xdr:to>
    <xdr:sp macro="" textlink="">
      <xdr:nvSpPr>
        <xdr:cNvPr id="6693" name="AutoShape 1573" descr="SPAIN2"/>
        <xdr:cNvSpPr>
          <a:spLocks noChangeAspect="1" noChangeArrowheads="1"/>
        </xdr:cNvSpPr>
      </xdr:nvSpPr>
      <xdr:spPr bwMode="auto">
        <a:xfrm>
          <a:off x="0" y="3360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</xdr:row>
      <xdr:rowOff>0</xdr:rowOff>
    </xdr:from>
    <xdr:to>
      <xdr:col>22</xdr:col>
      <xdr:colOff>304800</xdr:colOff>
      <xdr:row>18</xdr:row>
      <xdr:rowOff>53340</xdr:rowOff>
    </xdr:to>
    <xdr:sp macro="" textlink="">
      <xdr:nvSpPr>
        <xdr:cNvPr id="6694" name="AutoShape 1574" descr="https://www.soccerstats.com/img/own/sshplogo.png">
          <a:hlinkClick xmlns:r="http://schemas.openxmlformats.org/officeDocument/2006/relationships" r:id="rId675"/>
        </xdr:cNvPr>
        <xdr:cNvSpPr>
          <a:spLocks noChangeAspect="1" noChangeArrowheads="1"/>
        </xdr:cNvSpPr>
      </xdr:nvSpPr>
      <xdr:spPr bwMode="auto">
        <a:xfrm>
          <a:off x="13411200" y="3360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152400</xdr:colOff>
      <xdr:row>18</xdr:row>
      <xdr:rowOff>106680</xdr:rowOff>
    </xdr:to>
    <xdr:sp macro="" textlink="">
      <xdr:nvSpPr>
        <xdr:cNvPr id="6695" name="AutoShape 1575" descr="GERMANY2"/>
        <xdr:cNvSpPr>
          <a:spLocks noChangeAspect="1" noChangeArrowheads="1"/>
        </xdr:cNvSpPr>
      </xdr:nvSpPr>
      <xdr:spPr bwMode="auto">
        <a:xfrm>
          <a:off x="0" y="3535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</xdr:row>
      <xdr:rowOff>0</xdr:rowOff>
    </xdr:from>
    <xdr:to>
      <xdr:col>22</xdr:col>
      <xdr:colOff>304800</xdr:colOff>
      <xdr:row>19</xdr:row>
      <xdr:rowOff>53340</xdr:rowOff>
    </xdr:to>
    <xdr:sp macro="" textlink="">
      <xdr:nvSpPr>
        <xdr:cNvPr id="6696" name="AutoShape 1576" descr="https://www.soccerstats.com/img/own/sshplogo.png">
          <a:hlinkClick xmlns:r="http://schemas.openxmlformats.org/officeDocument/2006/relationships" r:id="rId676"/>
        </xdr:cNvPr>
        <xdr:cNvSpPr>
          <a:spLocks noChangeAspect="1" noChangeArrowheads="1"/>
        </xdr:cNvSpPr>
      </xdr:nvSpPr>
      <xdr:spPr bwMode="auto">
        <a:xfrm>
          <a:off x="13411200" y="3535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152400</xdr:colOff>
      <xdr:row>19</xdr:row>
      <xdr:rowOff>106680</xdr:rowOff>
    </xdr:to>
    <xdr:sp macro="" textlink="">
      <xdr:nvSpPr>
        <xdr:cNvPr id="6697" name="AutoShape 1577" descr="GERMANY2"/>
        <xdr:cNvSpPr>
          <a:spLocks noChangeAspect="1" noChangeArrowheads="1"/>
        </xdr:cNvSpPr>
      </xdr:nvSpPr>
      <xdr:spPr bwMode="auto">
        <a:xfrm>
          <a:off x="0" y="3787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</xdr:row>
      <xdr:rowOff>0</xdr:rowOff>
    </xdr:from>
    <xdr:to>
      <xdr:col>22</xdr:col>
      <xdr:colOff>304800</xdr:colOff>
      <xdr:row>20</xdr:row>
      <xdr:rowOff>129540</xdr:rowOff>
    </xdr:to>
    <xdr:sp macro="" textlink="">
      <xdr:nvSpPr>
        <xdr:cNvPr id="6698" name="AutoShape 1578" descr="https://www.soccerstats.com/img/own/sshplogo.png">
          <a:hlinkClick xmlns:r="http://schemas.openxmlformats.org/officeDocument/2006/relationships" r:id="rId677"/>
        </xdr:cNvPr>
        <xdr:cNvSpPr>
          <a:spLocks noChangeAspect="1" noChangeArrowheads="1"/>
        </xdr:cNvSpPr>
      </xdr:nvSpPr>
      <xdr:spPr bwMode="auto">
        <a:xfrm>
          <a:off x="13411200" y="3787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152400</xdr:colOff>
      <xdr:row>20</xdr:row>
      <xdr:rowOff>106680</xdr:rowOff>
    </xdr:to>
    <xdr:sp macro="" textlink="">
      <xdr:nvSpPr>
        <xdr:cNvPr id="6699" name="AutoShape 1579" descr="GERMANY2"/>
        <xdr:cNvSpPr>
          <a:spLocks noChangeAspect="1" noChangeArrowheads="1"/>
        </xdr:cNvSpPr>
      </xdr:nvSpPr>
      <xdr:spPr bwMode="auto">
        <a:xfrm>
          <a:off x="0" y="4038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</xdr:row>
      <xdr:rowOff>0</xdr:rowOff>
    </xdr:from>
    <xdr:to>
      <xdr:col>22</xdr:col>
      <xdr:colOff>304800</xdr:colOff>
      <xdr:row>21</xdr:row>
      <xdr:rowOff>129540</xdr:rowOff>
    </xdr:to>
    <xdr:sp macro="" textlink="">
      <xdr:nvSpPr>
        <xdr:cNvPr id="6700" name="AutoShape 1580" descr="https://www.soccerstats.com/img/own/sshplogo.png">
          <a:hlinkClick xmlns:r="http://schemas.openxmlformats.org/officeDocument/2006/relationships" r:id="rId678"/>
        </xdr:cNvPr>
        <xdr:cNvSpPr>
          <a:spLocks noChangeAspect="1" noChangeArrowheads="1"/>
        </xdr:cNvSpPr>
      </xdr:nvSpPr>
      <xdr:spPr bwMode="auto">
        <a:xfrm>
          <a:off x="13411200" y="4038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152400</xdr:colOff>
      <xdr:row>21</xdr:row>
      <xdr:rowOff>106680</xdr:rowOff>
    </xdr:to>
    <xdr:sp macro="" textlink="">
      <xdr:nvSpPr>
        <xdr:cNvPr id="6701" name="AutoShape 1581" descr="ARGENTINA2"/>
        <xdr:cNvSpPr>
          <a:spLocks noChangeAspect="1" noChangeArrowheads="1"/>
        </xdr:cNvSpPr>
      </xdr:nvSpPr>
      <xdr:spPr bwMode="auto">
        <a:xfrm>
          <a:off x="0" y="4213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</xdr:row>
      <xdr:rowOff>0</xdr:rowOff>
    </xdr:from>
    <xdr:to>
      <xdr:col>22</xdr:col>
      <xdr:colOff>304800</xdr:colOff>
      <xdr:row>22</xdr:row>
      <xdr:rowOff>53340</xdr:rowOff>
    </xdr:to>
    <xdr:sp macro="" textlink="">
      <xdr:nvSpPr>
        <xdr:cNvPr id="6702" name="AutoShape 1582" descr="https://www.soccerstats.com/img/own/sshplogo.png">
          <a:hlinkClick xmlns:r="http://schemas.openxmlformats.org/officeDocument/2006/relationships" r:id="rId679"/>
        </xdr:cNvPr>
        <xdr:cNvSpPr>
          <a:spLocks noChangeAspect="1" noChangeArrowheads="1"/>
        </xdr:cNvSpPr>
      </xdr:nvSpPr>
      <xdr:spPr bwMode="auto">
        <a:xfrm>
          <a:off x="13411200" y="4213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152400</xdr:colOff>
      <xdr:row>22</xdr:row>
      <xdr:rowOff>106680</xdr:rowOff>
    </xdr:to>
    <xdr:sp macro="" textlink="">
      <xdr:nvSpPr>
        <xdr:cNvPr id="6703" name="AutoShape 1583" descr="ARGENTINA2"/>
        <xdr:cNvSpPr>
          <a:spLocks noChangeAspect="1" noChangeArrowheads="1"/>
        </xdr:cNvSpPr>
      </xdr:nvSpPr>
      <xdr:spPr bwMode="auto">
        <a:xfrm>
          <a:off x="0" y="4389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</xdr:row>
      <xdr:rowOff>0</xdr:rowOff>
    </xdr:from>
    <xdr:to>
      <xdr:col>22</xdr:col>
      <xdr:colOff>304800</xdr:colOff>
      <xdr:row>23</xdr:row>
      <xdr:rowOff>129540</xdr:rowOff>
    </xdr:to>
    <xdr:sp macro="" textlink="">
      <xdr:nvSpPr>
        <xdr:cNvPr id="6704" name="AutoShape 1584" descr="https://www.soccerstats.com/img/own/sshplogo.png">
          <a:hlinkClick xmlns:r="http://schemas.openxmlformats.org/officeDocument/2006/relationships" r:id="rId680"/>
        </xdr:cNvPr>
        <xdr:cNvSpPr>
          <a:spLocks noChangeAspect="1" noChangeArrowheads="1"/>
        </xdr:cNvSpPr>
      </xdr:nvSpPr>
      <xdr:spPr bwMode="auto">
        <a:xfrm>
          <a:off x="13411200" y="438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152400</xdr:colOff>
      <xdr:row>23</xdr:row>
      <xdr:rowOff>106680</xdr:rowOff>
    </xdr:to>
    <xdr:sp macro="" textlink="">
      <xdr:nvSpPr>
        <xdr:cNvPr id="6705" name="AutoShape 1585" descr="ARGENTINA2"/>
        <xdr:cNvSpPr>
          <a:spLocks noChangeAspect="1" noChangeArrowheads="1"/>
        </xdr:cNvSpPr>
      </xdr:nvSpPr>
      <xdr:spPr bwMode="auto">
        <a:xfrm>
          <a:off x="0" y="4640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</xdr:row>
      <xdr:rowOff>0</xdr:rowOff>
    </xdr:from>
    <xdr:to>
      <xdr:col>22</xdr:col>
      <xdr:colOff>304800</xdr:colOff>
      <xdr:row>24</xdr:row>
      <xdr:rowOff>129540</xdr:rowOff>
    </xdr:to>
    <xdr:sp macro="" textlink="">
      <xdr:nvSpPr>
        <xdr:cNvPr id="6706" name="AutoShape 1586" descr="https://www.soccerstats.com/img/own/sshplogo.png">
          <a:hlinkClick xmlns:r="http://schemas.openxmlformats.org/officeDocument/2006/relationships" r:id="rId681"/>
        </xdr:cNvPr>
        <xdr:cNvSpPr>
          <a:spLocks noChangeAspect="1" noChangeArrowheads="1"/>
        </xdr:cNvSpPr>
      </xdr:nvSpPr>
      <xdr:spPr bwMode="auto">
        <a:xfrm>
          <a:off x="13411200" y="4640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6707" name="AutoShape 1587" descr="ARGENTINA2"/>
        <xdr:cNvSpPr>
          <a:spLocks noChangeAspect="1" noChangeArrowheads="1"/>
        </xdr:cNvSpPr>
      </xdr:nvSpPr>
      <xdr:spPr bwMode="auto">
        <a:xfrm>
          <a:off x="0" y="4815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6708" name="AutoShape 1588" descr="https://www.soccerstats.com/img/own/sshplogo.png">
          <a:hlinkClick xmlns:r="http://schemas.openxmlformats.org/officeDocument/2006/relationships" r:id="rId682"/>
        </xdr:cNvPr>
        <xdr:cNvSpPr>
          <a:spLocks noChangeAspect="1" noChangeArrowheads="1"/>
        </xdr:cNvSpPr>
      </xdr:nvSpPr>
      <xdr:spPr bwMode="auto">
        <a:xfrm>
          <a:off x="13411200" y="4815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152400</xdr:colOff>
      <xdr:row>25</xdr:row>
      <xdr:rowOff>106680</xdr:rowOff>
    </xdr:to>
    <xdr:sp macro="" textlink="">
      <xdr:nvSpPr>
        <xdr:cNvPr id="6709" name="AutoShape 1589" descr="ARGENTINA2"/>
        <xdr:cNvSpPr>
          <a:spLocks noChangeAspect="1" noChangeArrowheads="1"/>
        </xdr:cNvSpPr>
      </xdr:nvSpPr>
      <xdr:spPr bwMode="auto">
        <a:xfrm>
          <a:off x="0" y="5067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25</xdr:row>
      <xdr:rowOff>0</xdr:rowOff>
    </xdr:from>
    <xdr:to>
      <xdr:col>22</xdr:col>
      <xdr:colOff>304800</xdr:colOff>
      <xdr:row>26</xdr:row>
      <xdr:rowOff>129540</xdr:rowOff>
    </xdr:to>
    <xdr:sp macro="" textlink="">
      <xdr:nvSpPr>
        <xdr:cNvPr id="6710" name="AutoShape 1590" descr="https://www.soccerstats.com/img/own/sshplogo.png">
          <a:hlinkClick xmlns:r="http://schemas.openxmlformats.org/officeDocument/2006/relationships" r:id="rId683"/>
        </xdr:cNvPr>
        <xdr:cNvSpPr>
          <a:spLocks noChangeAspect="1" noChangeArrowheads="1"/>
        </xdr:cNvSpPr>
      </xdr:nvSpPr>
      <xdr:spPr bwMode="auto">
        <a:xfrm>
          <a:off x="13411200" y="5067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152400</xdr:colOff>
      <xdr:row>26</xdr:row>
      <xdr:rowOff>106680</xdr:rowOff>
    </xdr:to>
    <xdr:sp macro="" textlink="">
      <xdr:nvSpPr>
        <xdr:cNvPr id="6711" name="AutoShape 1591" descr="ARGENTINA3"/>
        <xdr:cNvSpPr>
          <a:spLocks noChangeAspect="1" noChangeArrowheads="1"/>
        </xdr:cNvSpPr>
      </xdr:nvSpPr>
      <xdr:spPr bwMode="auto">
        <a:xfrm>
          <a:off x="0" y="5318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26</xdr:row>
      <xdr:rowOff>0</xdr:rowOff>
    </xdr:from>
    <xdr:to>
      <xdr:col>22</xdr:col>
      <xdr:colOff>304800</xdr:colOff>
      <xdr:row>27</xdr:row>
      <xdr:rowOff>53340</xdr:rowOff>
    </xdr:to>
    <xdr:sp macro="" textlink="">
      <xdr:nvSpPr>
        <xdr:cNvPr id="6712" name="AutoShape 1592" descr="https://www.soccerstats.com/img/own/sshplogo.png">
          <a:hlinkClick xmlns:r="http://schemas.openxmlformats.org/officeDocument/2006/relationships" r:id="rId684"/>
        </xdr:cNvPr>
        <xdr:cNvSpPr>
          <a:spLocks noChangeAspect="1" noChangeArrowheads="1"/>
        </xdr:cNvSpPr>
      </xdr:nvSpPr>
      <xdr:spPr bwMode="auto">
        <a:xfrm>
          <a:off x="13411200" y="5318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152400</xdr:colOff>
      <xdr:row>27</xdr:row>
      <xdr:rowOff>106680</xdr:rowOff>
    </xdr:to>
    <xdr:sp macro="" textlink="">
      <xdr:nvSpPr>
        <xdr:cNvPr id="6713" name="AutoShape 1593" descr="ARGENTINA3"/>
        <xdr:cNvSpPr>
          <a:spLocks noChangeAspect="1" noChangeArrowheads="1"/>
        </xdr:cNvSpPr>
      </xdr:nvSpPr>
      <xdr:spPr bwMode="auto">
        <a:xfrm>
          <a:off x="0" y="5570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27</xdr:row>
      <xdr:rowOff>0</xdr:rowOff>
    </xdr:from>
    <xdr:to>
      <xdr:col>22</xdr:col>
      <xdr:colOff>304800</xdr:colOff>
      <xdr:row>28</xdr:row>
      <xdr:rowOff>129540</xdr:rowOff>
    </xdr:to>
    <xdr:sp macro="" textlink="">
      <xdr:nvSpPr>
        <xdr:cNvPr id="6714" name="AutoShape 1594" descr="https://www.soccerstats.com/img/own/sshplogo.png">
          <a:hlinkClick xmlns:r="http://schemas.openxmlformats.org/officeDocument/2006/relationships" r:id="rId685"/>
        </xdr:cNvPr>
        <xdr:cNvSpPr>
          <a:spLocks noChangeAspect="1" noChangeArrowheads="1"/>
        </xdr:cNvSpPr>
      </xdr:nvSpPr>
      <xdr:spPr bwMode="auto">
        <a:xfrm>
          <a:off x="13411200" y="5570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152400</xdr:colOff>
      <xdr:row>28</xdr:row>
      <xdr:rowOff>106680</xdr:rowOff>
    </xdr:to>
    <xdr:sp macro="" textlink="">
      <xdr:nvSpPr>
        <xdr:cNvPr id="6715" name="AutoShape 1595" descr="ARGENTINA3"/>
        <xdr:cNvSpPr>
          <a:spLocks noChangeAspect="1" noChangeArrowheads="1"/>
        </xdr:cNvSpPr>
      </xdr:nvSpPr>
      <xdr:spPr bwMode="auto">
        <a:xfrm>
          <a:off x="0" y="5821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28</xdr:row>
      <xdr:rowOff>0</xdr:rowOff>
    </xdr:from>
    <xdr:to>
      <xdr:col>22</xdr:col>
      <xdr:colOff>304800</xdr:colOff>
      <xdr:row>29</xdr:row>
      <xdr:rowOff>129540</xdr:rowOff>
    </xdr:to>
    <xdr:sp macro="" textlink="">
      <xdr:nvSpPr>
        <xdr:cNvPr id="6716" name="AutoShape 1596" descr="https://www.soccerstats.com/img/own/sshplogo.png">
          <a:hlinkClick xmlns:r="http://schemas.openxmlformats.org/officeDocument/2006/relationships" r:id="rId686"/>
        </xdr:cNvPr>
        <xdr:cNvSpPr>
          <a:spLocks noChangeAspect="1" noChangeArrowheads="1"/>
        </xdr:cNvSpPr>
      </xdr:nvSpPr>
      <xdr:spPr bwMode="auto">
        <a:xfrm>
          <a:off x="13411200" y="582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152400</xdr:colOff>
      <xdr:row>29</xdr:row>
      <xdr:rowOff>106680</xdr:rowOff>
    </xdr:to>
    <xdr:sp macro="" textlink="">
      <xdr:nvSpPr>
        <xdr:cNvPr id="6717" name="AutoShape 1597" descr="ARGENTINA3"/>
        <xdr:cNvSpPr>
          <a:spLocks noChangeAspect="1" noChangeArrowheads="1"/>
        </xdr:cNvSpPr>
      </xdr:nvSpPr>
      <xdr:spPr bwMode="auto">
        <a:xfrm>
          <a:off x="0" y="6073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</xdr:row>
      <xdr:rowOff>0</xdr:rowOff>
    </xdr:from>
    <xdr:to>
      <xdr:col>22</xdr:col>
      <xdr:colOff>304800</xdr:colOff>
      <xdr:row>30</xdr:row>
      <xdr:rowOff>53340</xdr:rowOff>
    </xdr:to>
    <xdr:sp macro="" textlink="">
      <xdr:nvSpPr>
        <xdr:cNvPr id="6718" name="AutoShape 1598" descr="https://www.soccerstats.com/img/own/sshplogo.png">
          <a:hlinkClick xmlns:r="http://schemas.openxmlformats.org/officeDocument/2006/relationships" r:id="rId687"/>
        </xdr:cNvPr>
        <xdr:cNvSpPr>
          <a:spLocks noChangeAspect="1" noChangeArrowheads="1"/>
        </xdr:cNvSpPr>
      </xdr:nvSpPr>
      <xdr:spPr bwMode="auto">
        <a:xfrm>
          <a:off x="13411200" y="6073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152400</xdr:colOff>
      <xdr:row>30</xdr:row>
      <xdr:rowOff>106680</xdr:rowOff>
    </xdr:to>
    <xdr:sp macro="" textlink="">
      <xdr:nvSpPr>
        <xdr:cNvPr id="6719" name="AutoShape 1599" descr="ARGENTINA3"/>
        <xdr:cNvSpPr>
          <a:spLocks noChangeAspect="1" noChangeArrowheads="1"/>
        </xdr:cNvSpPr>
      </xdr:nvSpPr>
      <xdr:spPr bwMode="auto">
        <a:xfrm>
          <a:off x="0" y="6324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30</xdr:row>
      <xdr:rowOff>0</xdr:rowOff>
    </xdr:from>
    <xdr:to>
      <xdr:col>22</xdr:col>
      <xdr:colOff>304800</xdr:colOff>
      <xdr:row>31</xdr:row>
      <xdr:rowOff>53340</xdr:rowOff>
    </xdr:to>
    <xdr:sp macro="" textlink="">
      <xdr:nvSpPr>
        <xdr:cNvPr id="6720" name="AutoShape 1600" descr="https://www.soccerstats.com/img/own/sshplogo.png">
          <a:hlinkClick xmlns:r="http://schemas.openxmlformats.org/officeDocument/2006/relationships" r:id="rId688"/>
        </xdr:cNvPr>
        <xdr:cNvSpPr>
          <a:spLocks noChangeAspect="1" noChangeArrowheads="1"/>
        </xdr:cNvSpPr>
      </xdr:nvSpPr>
      <xdr:spPr bwMode="auto">
        <a:xfrm>
          <a:off x="13411200" y="632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152400</xdr:colOff>
      <xdr:row>31</xdr:row>
      <xdr:rowOff>106680</xdr:rowOff>
    </xdr:to>
    <xdr:sp macro="" textlink="">
      <xdr:nvSpPr>
        <xdr:cNvPr id="6721" name="AutoShape 1601" descr="ARGENTINA3"/>
        <xdr:cNvSpPr>
          <a:spLocks noChangeAspect="1" noChangeArrowheads="1"/>
        </xdr:cNvSpPr>
      </xdr:nvSpPr>
      <xdr:spPr bwMode="auto">
        <a:xfrm>
          <a:off x="0" y="657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31</xdr:row>
      <xdr:rowOff>0</xdr:rowOff>
    </xdr:from>
    <xdr:to>
      <xdr:col>22</xdr:col>
      <xdr:colOff>304800</xdr:colOff>
      <xdr:row>32</xdr:row>
      <xdr:rowOff>53340</xdr:rowOff>
    </xdr:to>
    <xdr:sp macro="" textlink="">
      <xdr:nvSpPr>
        <xdr:cNvPr id="6722" name="AutoShape 1602" descr="https://www.soccerstats.com/img/own/sshplogo.png">
          <a:hlinkClick xmlns:r="http://schemas.openxmlformats.org/officeDocument/2006/relationships" r:id="rId689"/>
        </xdr:cNvPr>
        <xdr:cNvSpPr>
          <a:spLocks noChangeAspect="1" noChangeArrowheads="1"/>
        </xdr:cNvSpPr>
      </xdr:nvSpPr>
      <xdr:spPr bwMode="auto">
        <a:xfrm>
          <a:off x="13411200" y="6576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152400</xdr:colOff>
      <xdr:row>32</xdr:row>
      <xdr:rowOff>106680</xdr:rowOff>
    </xdr:to>
    <xdr:sp macro="" textlink="">
      <xdr:nvSpPr>
        <xdr:cNvPr id="6723" name="AutoShape 1603" descr="ARGENTINA3"/>
        <xdr:cNvSpPr>
          <a:spLocks noChangeAspect="1" noChangeArrowheads="1"/>
        </xdr:cNvSpPr>
      </xdr:nvSpPr>
      <xdr:spPr bwMode="auto">
        <a:xfrm>
          <a:off x="0" y="6751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32</xdr:row>
      <xdr:rowOff>0</xdr:rowOff>
    </xdr:from>
    <xdr:to>
      <xdr:col>22</xdr:col>
      <xdr:colOff>304800</xdr:colOff>
      <xdr:row>33</xdr:row>
      <xdr:rowOff>129540</xdr:rowOff>
    </xdr:to>
    <xdr:sp macro="" textlink="">
      <xdr:nvSpPr>
        <xdr:cNvPr id="6724" name="AutoShape 1604" descr="https://www.soccerstats.com/img/own/sshplogo.png">
          <a:hlinkClick xmlns:r="http://schemas.openxmlformats.org/officeDocument/2006/relationships" r:id="rId690"/>
        </xdr:cNvPr>
        <xdr:cNvSpPr>
          <a:spLocks noChangeAspect="1" noChangeArrowheads="1"/>
        </xdr:cNvSpPr>
      </xdr:nvSpPr>
      <xdr:spPr bwMode="auto">
        <a:xfrm>
          <a:off x="13411200" y="6751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152400</xdr:colOff>
      <xdr:row>33</xdr:row>
      <xdr:rowOff>106680</xdr:rowOff>
    </xdr:to>
    <xdr:sp macro="" textlink="">
      <xdr:nvSpPr>
        <xdr:cNvPr id="6725" name="AutoShape 1605" descr="ARMENIA"/>
        <xdr:cNvSpPr>
          <a:spLocks noChangeAspect="1" noChangeArrowheads="1"/>
        </xdr:cNvSpPr>
      </xdr:nvSpPr>
      <xdr:spPr bwMode="auto">
        <a:xfrm>
          <a:off x="0" y="6926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33</xdr:row>
      <xdr:rowOff>0</xdr:rowOff>
    </xdr:from>
    <xdr:to>
      <xdr:col>22</xdr:col>
      <xdr:colOff>304800</xdr:colOff>
      <xdr:row>34</xdr:row>
      <xdr:rowOff>129540</xdr:rowOff>
    </xdr:to>
    <xdr:sp macro="" textlink="">
      <xdr:nvSpPr>
        <xdr:cNvPr id="6726" name="AutoShape 1606" descr="https://www.soccerstats.com/img/own/sshplogo.png">
          <a:hlinkClick xmlns:r="http://schemas.openxmlformats.org/officeDocument/2006/relationships" r:id="rId691"/>
        </xdr:cNvPr>
        <xdr:cNvSpPr>
          <a:spLocks noChangeAspect="1" noChangeArrowheads="1"/>
        </xdr:cNvSpPr>
      </xdr:nvSpPr>
      <xdr:spPr bwMode="auto">
        <a:xfrm>
          <a:off x="13411200" y="6926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152400</xdr:colOff>
      <xdr:row>34</xdr:row>
      <xdr:rowOff>106680</xdr:rowOff>
    </xdr:to>
    <xdr:sp macro="" textlink="">
      <xdr:nvSpPr>
        <xdr:cNvPr id="6727" name="AutoShape 1607" descr="AUSTRALIA3"/>
        <xdr:cNvSpPr>
          <a:spLocks noChangeAspect="1" noChangeArrowheads="1"/>
        </xdr:cNvSpPr>
      </xdr:nvSpPr>
      <xdr:spPr bwMode="auto">
        <a:xfrm>
          <a:off x="0" y="7101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34</xdr:row>
      <xdr:rowOff>0</xdr:rowOff>
    </xdr:from>
    <xdr:to>
      <xdr:col>22</xdr:col>
      <xdr:colOff>304800</xdr:colOff>
      <xdr:row>35</xdr:row>
      <xdr:rowOff>53340</xdr:rowOff>
    </xdr:to>
    <xdr:sp macro="" textlink="">
      <xdr:nvSpPr>
        <xdr:cNvPr id="6728" name="AutoShape 1608" descr="https://www.soccerstats.com/img/own/sshplogo.png">
          <a:hlinkClick xmlns:r="http://schemas.openxmlformats.org/officeDocument/2006/relationships" r:id="rId692"/>
        </xdr:cNvPr>
        <xdr:cNvSpPr>
          <a:spLocks noChangeAspect="1" noChangeArrowheads="1"/>
        </xdr:cNvSpPr>
      </xdr:nvSpPr>
      <xdr:spPr bwMode="auto">
        <a:xfrm>
          <a:off x="13411200" y="7101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152400</xdr:colOff>
      <xdr:row>35</xdr:row>
      <xdr:rowOff>106680</xdr:rowOff>
    </xdr:to>
    <xdr:sp macro="" textlink="">
      <xdr:nvSpPr>
        <xdr:cNvPr id="6729" name="AutoShape 1609" descr="AUSTRALIA7"/>
        <xdr:cNvSpPr>
          <a:spLocks noChangeAspect="1" noChangeArrowheads="1"/>
        </xdr:cNvSpPr>
      </xdr:nvSpPr>
      <xdr:spPr bwMode="auto">
        <a:xfrm>
          <a:off x="0" y="7353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35</xdr:row>
      <xdr:rowOff>0</xdr:rowOff>
    </xdr:from>
    <xdr:to>
      <xdr:col>22</xdr:col>
      <xdr:colOff>304800</xdr:colOff>
      <xdr:row>36</xdr:row>
      <xdr:rowOff>129540</xdr:rowOff>
    </xdr:to>
    <xdr:sp macro="" textlink="">
      <xdr:nvSpPr>
        <xdr:cNvPr id="6730" name="AutoShape 1610" descr="https://www.soccerstats.com/img/own/sshplogo.png">
          <a:hlinkClick xmlns:r="http://schemas.openxmlformats.org/officeDocument/2006/relationships" r:id="rId693"/>
        </xdr:cNvPr>
        <xdr:cNvSpPr>
          <a:spLocks noChangeAspect="1" noChangeArrowheads="1"/>
        </xdr:cNvSpPr>
      </xdr:nvSpPr>
      <xdr:spPr bwMode="auto">
        <a:xfrm>
          <a:off x="13411200" y="735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152400</xdr:colOff>
      <xdr:row>36</xdr:row>
      <xdr:rowOff>106680</xdr:rowOff>
    </xdr:to>
    <xdr:sp macro="" textlink="">
      <xdr:nvSpPr>
        <xdr:cNvPr id="6731" name="AutoShape 1611" descr="AUSTRALIA7"/>
        <xdr:cNvSpPr>
          <a:spLocks noChangeAspect="1" noChangeArrowheads="1"/>
        </xdr:cNvSpPr>
      </xdr:nvSpPr>
      <xdr:spPr bwMode="auto">
        <a:xfrm>
          <a:off x="0" y="7604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36</xdr:row>
      <xdr:rowOff>0</xdr:rowOff>
    </xdr:from>
    <xdr:to>
      <xdr:col>22</xdr:col>
      <xdr:colOff>304800</xdr:colOff>
      <xdr:row>37</xdr:row>
      <xdr:rowOff>53340</xdr:rowOff>
    </xdr:to>
    <xdr:sp macro="" textlink="">
      <xdr:nvSpPr>
        <xdr:cNvPr id="6732" name="AutoShape 1612" descr="https://www.soccerstats.com/img/own/sshplogo.png">
          <a:hlinkClick xmlns:r="http://schemas.openxmlformats.org/officeDocument/2006/relationships" r:id="rId694"/>
        </xdr:cNvPr>
        <xdr:cNvSpPr>
          <a:spLocks noChangeAspect="1" noChangeArrowheads="1"/>
        </xdr:cNvSpPr>
      </xdr:nvSpPr>
      <xdr:spPr bwMode="auto">
        <a:xfrm>
          <a:off x="13411200" y="7604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152400</xdr:colOff>
      <xdr:row>37</xdr:row>
      <xdr:rowOff>106680</xdr:rowOff>
    </xdr:to>
    <xdr:sp macro="" textlink="">
      <xdr:nvSpPr>
        <xdr:cNvPr id="6733" name="AutoShape 1613" descr="AUSTRALIA7"/>
        <xdr:cNvSpPr>
          <a:spLocks noChangeAspect="1" noChangeArrowheads="1"/>
        </xdr:cNvSpPr>
      </xdr:nvSpPr>
      <xdr:spPr bwMode="auto">
        <a:xfrm>
          <a:off x="0" y="785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37</xdr:row>
      <xdr:rowOff>0</xdr:rowOff>
    </xdr:from>
    <xdr:to>
      <xdr:col>22</xdr:col>
      <xdr:colOff>304800</xdr:colOff>
      <xdr:row>38</xdr:row>
      <xdr:rowOff>129540</xdr:rowOff>
    </xdr:to>
    <xdr:sp macro="" textlink="">
      <xdr:nvSpPr>
        <xdr:cNvPr id="6734" name="AutoShape 1614" descr="https://www.soccerstats.com/img/own/sshplogo.png">
          <a:hlinkClick xmlns:r="http://schemas.openxmlformats.org/officeDocument/2006/relationships" r:id="rId695"/>
        </xdr:cNvPr>
        <xdr:cNvSpPr>
          <a:spLocks noChangeAspect="1" noChangeArrowheads="1"/>
        </xdr:cNvSpPr>
      </xdr:nvSpPr>
      <xdr:spPr bwMode="auto">
        <a:xfrm>
          <a:off x="13411200" y="785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152400</xdr:colOff>
      <xdr:row>38</xdr:row>
      <xdr:rowOff>106680</xdr:rowOff>
    </xdr:to>
    <xdr:sp macro="" textlink="">
      <xdr:nvSpPr>
        <xdr:cNvPr id="6735" name="AutoShape 1615" descr="AUSTRALIA7"/>
        <xdr:cNvSpPr>
          <a:spLocks noChangeAspect="1" noChangeArrowheads="1"/>
        </xdr:cNvSpPr>
      </xdr:nvSpPr>
      <xdr:spPr bwMode="auto">
        <a:xfrm>
          <a:off x="0" y="810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38</xdr:row>
      <xdr:rowOff>0</xdr:rowOff>
    </xdr:from>
    <xdr:to>
      <xdr:col>22</xdr:col>
      <xdr:colOff>304800</xdr:colOff>
      <xdr:row>39</xdr:row>
      <xdr:rowOff>129540</xdr:rowOff>
    </xdr:to>
    <xdr:sp macro="" textlink="">
      <xdr:nvSpPr>
        <xdr:cNvPr id="6736" name="AutoShape 1616" descr="https://www.soccerstats.com/img/own/sshplogo.png">
          <a:hlinkClick xmlns:r="http://schemas.openxmlformats.org/officeDocument/2006/relationships" r:id="rId696"/>
        </xdr:cNvPr>
        <xdr:cNvSpPr>
          <a:spLocks noChangeAspect="1" noChangeArrowheads="1"/>
        </xdr:cNvSpPr>
      </xdr:nvSpPr>
      <xdr:spPr bwMode="auto">
        <a:xfrm>
          <a:off x="13411200" y="810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152400</xdr:colOff>
      <xdr:row>39</xdr:row>
      <xdr:rowOff>106680</xdr:rowOff>
    </xdr:to>
    <xdr:sp macro="" textlink="">
      <xdr:nvSpPr>
        <xdr:cNvPr id="6737" name="AutoShape 1617" descr="AUSTRALIA7"/>
        <xdr:cNvSpPr>
          <a:spLocks noChangeAspect="1" noChangeArrowheads="1"/>
        </xdr:cNvSpPr>
      </xdr:nvSpPr>
      <xdr:spPr bwMode="auto">
        <a:xfrm>
          <a:off x="0" y="8359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39</xdr:row>
      <xdr:rowOff>0</xdr:rowOff>
    </xdr:from>
    <xdr:to>
      <xdr:col>22</xdr:col>
      <xdr:colOff>304800</xdr:colOff>
      <xdr:row>40</xdr:row>
      <xdr:rowOff>129540</xdr:rowOff>
    </xdr:to>
    <xdr:sp macro="" textlink="">
      <xdr:nvSpPr>
        <xdr:cNvPr id="6738" name="AutoShape 1618" descr="https://www.soccerstats.com/img/own/sshplogo.png">
          <a:hlinkClick xmlns:r="http://schemas.openxmlformats.org/officeDocument/2006/relationships" r:id="rId697"/>
        </xdr:cNvPr>
        <xdr:cNvSpPr>
          <a:spLocks noChangeAspect="1" noChangeArrowheads="1"/>
        </xdr:cNvSpPr>
      </xdr:nvSpPr>
      <xdr:spPr bwMode="auto">
        <a:xfrm>
          <a:off x="13411200" y="8359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152400</xdr:colOff>
      <xdr:row>40</xdr:row>
      <xdr:rowOff>106680</xdr:rowOff>
    </xdr:to>
    <xdr:sp macro="" textlink="">
      <xdr:nvSpPr>
        <xdr:cNvPr id="6739" name="AutoShape 1619" descr="AUSTRALIA7"/>
        <xdr:cNvSpPr>
          <a:spLocks noChangeAspect="1" noChangeArrowheads="1"/>
        </xdr:cNvSpPr>
      </xdr:nvSpPr>
      <xdr:spPr bwMode="auto">
        <a:xfrm>
          <a:off x="0" y="8534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40</xdr:row>
      <xdr:rowOff>0</xdr:rowOff>
    </xdr:from>
    <xdr:to>
      <xdr:col>22</xdr:col>
      <xdr:colOff>304800</xdr:colOff>
      <xdr:row>41</xdr:row>
      <xdr:rowOff>129540</xdr:rowOff>
    </xdr:to>
    <xdr:sp macro="" textlink="">
      <xdr:nvSpPr>
        <xdr:cNvPr id="6740" name="AutoShape 1620" descr="https://www.soccerstats.com/img/own/sshplogo.png">
          <a:hlinkClick xmlns:r="http://schemas.openxmlformats.org/officeDocument/2006/relationships" r:id="rId698"/>
        </xdr:cNvPr>
        <xdr:cNvSpPr>
          <a:spLocks noChangeAspect="1" noChangeArrowheads="1"/>
        </xdr:cNvSpPr>
      </xdr:nvSpPr>
      <xdr:spPr bwMode="auto">
        <a:xfrm>
          <a:off x="13411200" y="8534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152400</xdr:colOff>
      <xdr:row>41</xdr:row>
      <xdr:rowOff>106680</xdr:rowOff>
    </xdr:to>
    <xdr:sp macro="" textlink="">
      <xdr:nvSpPr>
        <xdr:cNvPr id="6741" name="AutoShape 1621" descr="AUSTRALIA10"/>
        <xdr:cNvSpPr>
          <a:spLocks noChangeAspect="1" noChangeArrowheads="1"/>
        </xdr:cNvSpPr>
      </xdr:nvSpPr>
      <xdr:spPr bwMode="auto">
        <a:xfrm>
          <a:off x="0" y="8709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41</xdr:row>
      <xdr:rowOff>0</xdr:rowOff>
    </xdr:from>
    <xdr:to>
      <xdr:col>22</xdr:col>
      <xdr:colOff>304800</xdr:colOff>
      <xdr:row>42</xdr:row>
      <xdr:rowOff>129540</xdr:rowOff>
    </xdr:to>
    <xdr:sp macro="" textlink="">
      <xdr:nvSpPr>
        <xdr:cNvPr id="6742" name="AutoShape 1622" descr="https://www.soccerstats.com/img/own/sshplogo.png">
          <a:hlinkClick xmlns:r="http://schemas.openxmlformats.org/officeDocument/2006/relationships" r:id="rId699"/>
        </xdr:cNvPr>
        <xdr:cNvSpPr>
          <a:spLocks noChangeAspect="1" noChangeArrowheads="1"/>
        </xdr:cNvSpPr>
      </xdr:nvSpPr>
      <xdr:spPr bwMode="auto">
        <a:xfrm>
          <a:off x="13411200" y="8709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152400</xdr:colOff>
      <xdr:row>42</xdr:row>
      <xdr:rowOff>106680</xdr:rowOff>
    </xdr:to>
    <xdr:sp macro="" textlink="">
      <xdr:nvSpPr>
        <xdr:cNvPr id="6743" name="AutoShape 1623" descr="AUSTRALIA10"/>
        <xdr:cNvSpPr>
          <a:spLocks noChangeAspect="1" noChangeArrowheads="1"/>
        </xdr:cNvSpPr>
      </xdr:nvSpPr>
      <xdr:spPr bwMode="auto">
        <a:xfrm>
          <a:off x="0" y="8961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42</xdr:row>
      <xdr:rowOff>0</xdr:rowOff>
    </xdr:from>
    <xdr:to>
      <xdr:col>22</xdr:col>
      <xdr:colOff>304800</xdr:colOff>
      <xdr:row>43</xdr:row>
      <xdr:rowOff>129540</xdr:rowOff>
    </xdr:to>
    <xdr:sp macro="" textlink="">
      <xdr:nvSpPr>
        <xdr:cNvPr id="6744" name="AutoShape 1624" descr="https://www.soccerstats.com/img/own/sshplogo.png">
          <a:hlinkClick xmlns:r="http://schemas.openxmlformats.org/officeDocument/2006/relationships" r:id="rId700"/>
        </xdr:cNvPr>
        <xdr:cNvSpPr>
          <a:spLocks noChangeAspect="1" noChangeArrowheads="1"/>
        </xdr:cNvSpPr>
      </xdr:nvSpPr>
      <xdr:spPr bwMode="auto">
        <a:xfrm>
          <a:off x="13411200" y="8961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152400</xdr:colOff>
      <xdr:row>43</xdr:row>
      <xdr:rowOff>106680</xdr:rowOff>
    </xdr:to>
    <xdr:sp macro="" textlink="">
      <xdr:nvSpPr>
        <xdr:cNvPr id="6745" name="AutoShape 1625" descr="AUSTRALIA11"/>
        <xdr:cNvSpPr>
          <a:spLocks noChangeAspect="1" noChangeArrowheads="1"/>
        </xdr:cNvSpPr>
      </xdr:nvSpPr>
      <xdr:spPr bwMode="auto">
        <a:xfrm>
          <a:off x="0" y="9212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43</xdr:row>
      <xdr:rowOff>0</xdr:rowOff>
    </xdr:from>
    <xdr:to>
      <xdr:col>22</xdr:col>
      <xdr:colOff>304800</xdr:colOff>
      <xdr:row>44</xdr:row>
      <xdr:rowOff>53340</xdr:rowOff>
    </xdr:to>
    <xdr:sp macro="" textlink="">
      <xdr:nvSpPr>
        <xdr:cNvPr id="6746" name="AutoShape 1626" descr="https://www.soccerstats.com/img/own/sshplogo.png">
          <a:hlinkClick xmlns:r="http://schemas.openxmlformats.org/officeDocument/2006/relationships" r:id="rId701"/>
        </xdr:cNvPr>
        <xdr:cNvSpPr>
          <a:spLocks noChangeAspect="1" noChangeArrowheads="1"/>
        </xdr:cNvSpPr>
      </xdr:nvSpPr>
      <xdr:spPr bwMode="auto">
        <a:xfrm>
          <a:off x="13411200" y="9212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152400</xdr:colOff>
      <xdr:row>44</xdr:row>
      <xdr:rowOff>106680</xdr:rowOff>
    </xdr:to>
    <xdr:sp macro="" textlink="">
      <xdr:nvSpPr>
        <xdr:cNvPr id="6747" name="AutoShape 1627" descr="AUSTRALIA11"/>
        <xdr:cNvSpPr>
          <a:spLocks noChangeAspect="1" noChangeArrowheads="1"/>
        </xdr:cNvSpPr>
      </xdr:nvSpPr>
      <xdr:spPr bwMode="auto">
        <a:xfrm>
          <a:off x="0" y="9464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44</xdr:row>
      <xdr:rowOff>0</xdr:rowOff>
    </xdr:from>
    <xdr:to>
      <xdr:col>22</xdr:col>
      <xdr:colOff>304800</xdr:colOff>
      <xdr:row>45</xdr:row>
      <xdr:rowOff>53340</xdr:rowOff>
    </xdr:to>
    <xdr:sp macro="" textlink="">
      <xdr:nvSpPr>
        <xdr:cNvPr id="6748" name="AutoShape 1628" descr="https://www.soccerstats.com/img/own/sshplogo.png">
          <a:hlinkClick xmlns:r="http://schemas.openxmlformats.org/officeDocument/2006/relationships" r:id="rId702"/>
        </xdr:cNvPr>
        <xdr:cNvSpPr>
          <a:spLocks noChangeAspect="1" noChangeArrowheads="1"/>
        </xdr:cNvSpPr>
      </xdr:nvSpPr>
      <xdr:spPr bwMode="auto">
        <a:xfrm>
          <a:off x="13411200" y="9464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152400</xdr:colOff>
      <xdr:row>45</xdr:row>
      <xdr:rowOff>106680</xdr:rowOff>
    </xdr:to>
    <xdr:sp macro="" textlink="">
      <xdr:nvSpPr>
        <xdr:cNvPr id="6749" name="AutoShape 1629" descr="AUSTRALIA11"/>
        <xdr:cNvSpPr>
          <a:spLocks noChangeAspect="1" noChangeArrowheads="1"/>
        </xdr:cNvSpPr>
      </xdr:nvSpPr>
      <xdr:spPr bwMode="auto">
        <a:xfrm>
          <a:off x="0" y="9639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45</xdr:row>
      <xdr:rowOff>0</xdr:rowOff>
    </xdr:from>
    <xdr:to>
      <xdr:col>22</xdr:col>
      <xdr:colOff>304800</xdr:colOff>
      <xdr:row>46</xdr:row>
      <xdr:rowOff>129540</xdr:rowOff>
    </xdr:to>
    <xdr:sp macro="" textlink="">
      <xdr:nvSpPr>
        <xdr:cNvPr id="6750" name="AutoShape 1630" descr="https://www.soccerstats.com/img/own/sshplogo.png">
          <a:hlinkClick xmlns:r="http://schemas.openxmlformats.org/officeDocument/2006/relationships" r:id="rId703"/>
        </xdr:cNvPr>
        <xdr:cNvSpPr>
          <a:spLocks noChangeAspect="1" noChangeArrowheads="1"/>
        </xdr:cNvSpPr>
      </xdr:nvSpPr>
      <xdr:spPr bwMode="auto">
        <a:xfrm>
          <a:off x="13411200" y="963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152400</xdr:colOff>
      <xdr:row>46</xdr:row>
      <xdr:rowOff>106680</xdr:rowOff>
    </xdr:to>
    <xdr:sp macro="" textlink="">
      <xdr:nvSpPr>
        <xdr:cNvPr id="6751" name="AutoShape 1631" descr="AUSTRIA"/>
        <xdr:cNvSpPr>
          <a:spLocks noChangeAspect="1" noChangeArrowheads="1"/>
        </xdr:cNvSpPr>
      </xdr:nvSpPr>
      <xdr:spPr bwMode="auto">
        <a:xfrm>
          <a:off x="0" y="9890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46</xdr:row>
      <xdr:rowOff>0</xdr:rowOff>
    </xdr:from>
    <xdr:to>
      <xdr:col>22</xdr:col>
      <xdr:colOff>304800</xdr:colOff>
      <xdr:row>47</xdr:row>
      <xdr:rowOff>53340</xdr:rowOff>
    </xdr:to>
    <xdr:sp macro="" textlink="">
      <xdr:nvSpPr>
        <xdr:cNvPr id="6752" name="AutoShape 1632" descr="https://www.soccerstats.com/img/own/sshplogo.png">
          <a:hlinkClick xmlns:r="http://schemas.openxmlformats.org/officeDocument/2006/relationships" r:id="rId704"/>
        </xdr:cNvPr>
        <xdr:cNvSpPr>
          <a:spLocks noChangeAspect="1" noChangeArrowheads="1"/>
        </xdr:cNvSpPr>
      </xdr:nvSpPr>
      <xdr:spPr bwMode="auto">
        <a:xfrm>
          <a:off x="13411200" y="9890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152400</xdr:colOff>
      <xdr:row>47</xdr:row>
      <xdr:rowOff>106680</xdr:rowOff>
    </xdr:to>
    <xdr:sp macro="" textlink="">
      <xdr:nvSpPr>
        <xdr:cNvPr id="6753" name="AutoShape 1633" descr="AUSTRIA"/>
        <xdr:cNvSpPr>
          <a:spLocks noChangeAspect="1" noChangeArrowheads="1"/>
        </xdr:cNvSpPr>
      </xdr:nvSpPr>
      <xdr:spPr bwMode="auto">
        <a:xfrm>
          <a:off x="0" y="10066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47</xdr:row>
      <xdr:rowOff>0</xdr:rowOff>
    </xdr:from>
    <xdr:to>
      <xdr:col>22</xdr:col>
      <xdr:colOff>304800</xdr:colOff>
      <xdr:row>48</xdr:row>
      <xdr:rowOff>129540</xdr:rowOff>
    </xdr:to>
    <xdr:sp macro="" textlink="">
      <xdr:nvSpPr>
        <xdr:cNvPr id="6754" name="AutoShape 1634" descr="https://www.soccerstats.com/img/own/sshplogo.png">
          <a:hlinkClick xmlns:r="http://schemas.openxmlformats.org/officeDocument/2006/relationships" r:id="rId705"/>
        </xdr:cNvPr>
        <xdr:cNvSpPr>
          <a:spLocks noChangeAspect="1" noChangeArrowheads="1"/>
        </xdr:cNvSpPr>
      </xdr:nvSpPr>
      <xdr:spPr bwMode="auto">
        <a:xfrm>
          <a:off x="13411200" y="10066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152400</xdr:colOff>
      <xdr:row>48</xdr:row>
      <xdr:rowOff>106680</xdr:rowOff>
    </xdr:to>
    <xdr:sp macro="" textlink="">
      <xdr:nvSpPr>
        <xdr:cNvPr id="6755" name="AutoShape 1635" descr="AUSTRIA"/>
        <xdr:cNvSpPr>
          <a:spLocks noChangeAspect="1" noChangeArrowheads="1"/>
        </xdr:cNvSpPr>
      </xdr:nvSpPr>
      <xdr:spPr bwMode="auto">
        <a:xfrm>
          <a:off x="0" y="1024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48</xdr:row>
      <xdr:rowOff>0</xdr:rowOff>
    </xdr:from>
    <xdr:to>
      <xdr:col>22</xdr:col>
      <xdr:colOff>304800</xdr:colOff>
      <xdr:row>49</xdr:row>
      <xdr:rowOff>129540</xdr:rowOff>
    </xdr:to>
    <xdr:sp macro="" textlink="">
      <xdr:nvSpPr>
        <xdr:cNvPr id="6756" name="AutoShape 1636" descr="https://www.soccerstats.com/img/own/sshplogo.png">
          <a:hlinkClick xmlns:r="http://schemas.openxmlformats.org/officeDocument/2006/relationships" r:id="rId706"/>
        </xdr:cNvPr>
        <xdr:cNvSpPr>
          <a:spLocks noChangeAspect="1" noChangeArrowheads="1"/>
        </xdr:cNvSpPr>
      </xdr:nvSpPr>
      <xdr:spPr bwMode="auto">
        <a:xfrm>
          <a:off x="13411200" y="1024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152400</xdr:colOff>
      <xdr:row>49</xdr:row>
      <xdr:rowOff>106680</xdr:rowOff>
    </xdr:to>
    <xdr:sp macro="" textlink="">
      <xdr:nvSpPr>
        <xdr:cNvPr id="6757" name="AutoShape 1637" descr="AUSTRIA2"/>
        <xdr:cNvSpPr>
          <a:spLocks noChangeAspect="1" noChangeArrowheads="1"/>
        </xdr:cNvSpPr>
      </xdr:nvSpPr>
      <xdr:spPr bwMode="auto">
        <a:xfrm>
          <a:off x="0" y="10416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49</xdr:row>
      <xdr:rowOff>0</xdr:rowOff>
    </xdr:from>
    <xdr:to>
      <xdr:col>22</xdr:col>
      <xdr:colOff>304800</xdr:colOff>
      <xdr:row>50</xdr:row>
      <xdr:rowOff>129540</xdr:rowOff>
    </xdr:to>
    <xdr:sp macro="" textlink="">
      <xdr:nvSpPr>
        <xdr:cNvPr id="6758" name="AutoShape 1638" descr="https://www.soccerstats.com/img/own/sshplogo.png">
          <a:hlinkClick xmlns:r="http://schemas.openxmlformats.org/officeDocument/2006/relationships" r:id="rId707"/>
        </xdr:cNvPr>
        <xdr:cNvSpPr>
          <a:spLocks noChangeAspect="1" noChangeArrowheads="1"/>
        </xdr:cNvSpPr>
      </xdr:nvSpPr>
      <xdr:spPr bwMode="auto">
        <a:xfrm>
          <a:off x="13411200" y="10416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152400</xdr:colOff>
      <xdr:row>50</xdr:row>
      <xdr:rowOff>106680</xdr:rowOff>
    </xdr:to>
    <xdr:sp macro="" textlink="">
      <xdr:nvSpPr>
        <xdr:cNvPr id="6759" name="AutoShape 1639" descr="BELARUS"/>
        <xdr:cNvSpPr>
          <a:spLocks noChangeAspect="1" noChangeArrowheads="1"/>
        </xdr:cNvSpPr>
      </xdr:nvSpPr>
      <xdr:spPr bwMode="auto">
        <a:xfrm>
          <a:off x="0" y="10591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50</xdr:row>
      <xdr:rowOff>0</xdr:rowOff>
    </xdr:from>
    <xdr:to>
      <xdr:col>22</xdr:col>
      <xdr:colOff>304800</xdr:colOff>
      <xdr:row>51</xdr:row>
      <xdr:rowOff>129540</xdr:rowOff>
    </xdr:to>
    <xdr:sp macro="" textlink="">
      <xdr:nvSpPr>
        <xdr:cNvPr id="6760" name="AutoShape 1640" descr="https://www.soccerstats.com/img/own/sshplogo.png">
          <a:hlinkClick xmlns:r="http://schemas.openxmlformats.org/officeDocument/2006/relationships" r:id="rId708"/>
        </xdr:cNvPr>
        <xdr:cNvSpPr>
          <a:spLocks noChangeAspect="1" noChangeArrowheads="1"/>
        </xdr:cNvSpPr>
      </xdr:nvSpPr>
      <xdr:spPr bwMode="auto">
        <a:xfrm>
          <a:off x="13411200" y="1059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152400</xdr:colOff>
      <xdr:row>51</xdr:row>
      <xdr:rowOff>106680</xdr:rowOff>
    </xdr:to>
    <xdr:sp macro="" textlink="">
      <xdr:nvSpPr>
        <xdr:cNvPr id="6761" name="AutoShape 1641" descr="BELARUS"/>
        <xdr:cNvSpPr>
          <a:spLocks noChangeAspect="1" noChangeArrowheads="1"/>
        </xdr:cNvSpPr>
      </xdr:nvSpPr>
      <xdr:spPr bwMode="auto">
        <a:xfrm>
          <a:off x="0" y="10767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51</xdr:row>
      <xdr:rowOff>0</xdr:rowOff>
    </xdr:from>
    <xdr:to>
      <xdr:col>22</xdr:col>
      <xdr:colOff>304800</xdr:colOff>
      <xdr:row>52</xdr:row>
      <xdr:rowOff>53340</xdr:rowOff>
    </xdr:to>
    <xdr:sp macro="" textlink="">
      <xdr:nvSpPr>
        <xdr:cNvPr id="6762" name="AutoShape 1642" descr="https://www.soccerstats.com/img/own/sshplogo.png">
          <a:hlinkClick xmlns:r="http://schemas.openxmlformats.org/officeDocument/2006/relationships" r:id="rId709"/>
        </xdr:cNvPr>
        <xdr:cNvSpPr>
          <a:spLocks noChangeAspect="1" noChangeArrowheads="1"/>
        </xdr:cNvSpPr>
      </xdr:nvSpPr>
      <xdr:spPr bwMode="auto">
        <a:xfrm>
          <a:off x="13411200" y="10767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152400</xdr:colOff>
      <xdr:row>52</xdr:row>
      <xdr:rowOff>106680</xdr:rowOff>
    </xdr:to>
    <xdr:sp macro="" textlink="">
      <xdr:nvSpPr>
        <xdr:cNvPr id="6763" name="AutoShape 1643" descr="BELARUS"/>
        <xdr:cNvSpPr>
          <a:spLocks noChangeAspect="1" noChangeArrowheads="1"/>
        </xdr:cNvSpPr>
      </xdr:nvSpPr>
      <xdr:spPr bwMode="auto">
        <a:xfrm>
          <a:off x="0" y="11018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52</xdr:row>
      <xdr:rowOff>0</xdr:rowOff>
    </xdr:from>
    <xdr:to>
      <xdr:col>22</xdr:col>
      <xdr:colOff>304800</xdr:colOff>
      <xdr:row>53</xdr:row>
      <xdr:rowOff>129540</xdr:rowOff>
    </xdr:to>
    <xdr:sp macro="" textlink="">
      <xdr:nvSpPr>
        <xdr:cNvPr id="6764" name="AutoShape 1644" descr="https://www.soccerstats.com/img/own/sshplogo.png">
          <a:hlinkClick xmlns:r="http://schemas.openxmlformats.org/officeDocument/2006/relationships" r:id="rId710"/>
        </xdr:cNvPr>
        <xdr:cNvSpPr>
          <a:spLocks noChangeAspect="1" noChangeArrowheads="1"/>
        </xdr:cNvSpPr>
      </xdr:nvSpPr>
      <xdr:spPr bwMode="auto">
        <a:xfrm>
          <a:off x="13411200" y="11018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152400</xdr:colOff>
      <xdr:row>53</xdr:row>
      <xdr:rowOff>106680</xdr:rowOff>
    </xdr:to>
    <xdr:sp macro="" textlink="">
      <xdr:nvSpPr>
        <xdr:cNvPr id="6765" name="AutoShape 1645" descr="BELGIUM"/>
        <xdr:cNvSpPr>
          <a:spLocks noChangeAspect="1" noChangeArrowheads="1"/>
        </xdr:cNvSpPr>
      </xdr:nvSpPr>
      <xdr:spPr bwMode="auto">
        <a:xfrm>
          <a:off x="0" y="11193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53</xdr:row>
      <xdr:rowOff>0</xdr:rowOff>
    </xdr:from>
    <xdr:to>
      <xdr:col>22</xdr:col>
      <xdr:colOff>304800</xdr:colOff>
      <xdr:row>54</xdr:row>
      <xdr:rowOff>53340</xdr:rowOff>
    </xdr:to>
    <xdr:sp macro="" textlink="">
      <xdr:nvSpPr>
        <xdr:cNvPr id="6766" name="AutoShape 1646" descr="https://www.soccerstats.com/img/own/sshplogo.png">
          <a:hlinkClick xmlns:r="http://schemas.openxmlformats.org/officeDocument/2006/relationships" r:id="rId711"/>
        </xdr:cNvPr>
        <xdr:cNvSpPr>
          <a:spLocks noChangeAspect="1" noChangeArrowheads="1"/>
        </xdr:cNvSpPr>
      </xdr:nvSpPr>
      <xdr:spPr bwMode="auto">
        <a:xfrm>
          <a:off x="13411200" y="11193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152400</xdr:colOff>
      <xdr:row>54</xdr:row>
      <xdr:rowOff>106680</xdr:rowOff>
    </xdr:to>
    <xdr:sp macro="" textlink="">
      <xdr:nvSpPr>
        <xdr:cNvPr id="6767" name="AutoShape 1647" descr="BELGIUM"/>
        <xdr:cNvSpPr>
          <a:spLocks noChangeAspect="1" noChangeArrowheads="1"/>
        </xdr:cNvSpPr>
      </xdr:nvSpPr>
      <xdr:spPr bwMode="auto">
        <a:xfrm>
          <a:off x="0" y="11369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54</xdr:row>
      <xdr:rowOff>0</xdr:rowOff>
    </xdr:from>
    <xdr:to>
      <xdr:col>22</xdr:col>
      <xdr:colOff>304800</xdr:colOff>
      <xdr:row>55</xdr:row>
      <xdr:rowOff>53340</xdr:rowOff>
    </xdr:to>
    <xdr:sp macro="" textlink="">
      <xdr:nvSpPr>
        <xdr:cNvPr id="6768" name="AutoShape 1648" descr="https://www.soccerstats.com/img/own/sshplogo.png">
          <a:hlinkClick xmlns:r="http://schemas.openxmlformats.org/officeDocument/2006/relationships" r:id="rId712"/>
        </xdr:cNvPr>
        <xdr:cNvSpPr>
          <a:spLocks noChangeAspect="1" noChangeArrowheads="1"/>
        </xdr:cNvSpPr>
      </xdr:nvSpPr>
      <xdr:spPr bwMode="auto">
        <a:xfrm>
          <a:off x="13411200" y="11369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152400</xdr:colOff>
      <xdr:row>55</xdr:row>
      <xdr:rowOff>106680</xdr:rowOff>
    </xdr:to>
    <xdr:sp macro="" textlink="">
      <xdr:nvSpPr>
        <xdr:cNvPr id="6769" name="AutoShape 1649" descr="BELGIUM"/>
        <xdr:cNvSpPr>
          <a:spLocks noChangeAspect="1" noChangeArrowheads="1"/>
        </xdr:cNvSpPr>
      </xdr:nvSpPr>
      <xdr:spPr bwMode="auto">
        <a:xfrm>
          <a:off x="0" y="11544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55</xdr:row>
      <xdr:rowOff>0</xdr:rowOff>
    </xdr:from>
    <xdr:to>
      <xdr:col>22</xdr:col>
      <xdr:colOff>304800</xdr:colOff>
      <xdr:row>56</xdr:row>
      <xdr:rowOff>129540</xdr:rowOff>
    </xdr:to>
    <xdr:sp macro="" textlink="">
      <xdr:nvSpPr>
        <xdr:cNvPr id="6770" name="AutoShape 1650" descr="https://www.soccerstats.com/img/own/sshplogo.png">
          <a:hlinkClick xmlns:r="http://schemas.openxmlformats.org/officeDocument/2006/relationships" r:id="rId713"/>
        </xdr:cNvPr>
        <xdr:cNvSpPr>
          <a:spLocks noChangeAspect="1" noChangeArrowheads="1"/>
        </xdr:cNvSpPr>
      </xdr:nvSpPr>
      <xdr:spPr bwMode="auto">
        <a:xfrm>
          <a:off x="13411200" y="1154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152400</xdr:colOff>
      <xdr:row>56</xdr:row>
      <xdr:rowOff>106680</xdr:rowOff>
    </xdr:to>
    <xdr:sp macro="" textlink="">
      <xdr:nvSpPr>
        <xdr:cNvPr id="6771" name="AutoShape 1651" descr="BELGIUM"/>
        <xdr:cNvSpPr>
          <a:spLocks noChangeAspect="1" noChangeArrowheads="1"/>
        </xdr:cNvSpPr>
      </xdr:nvSpPr>
      <xdr:spPr bwMode="auto">
        <a:xfrm>
          <a:off x="0" y="11795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56</xdr:row>
      <xdr:rowOff>0</xdr:rowOff>
    </xdr:from>
    <xdr:to>
      <xdr:col>22</xdr:col>
      <xdr:colOff>304800</xdr:colOff>
      <xdr:row>57</xdr:row>
      <xdr:rowOff>53340</xdr:rowOff>
    </xdr:to>
    <xdr:sp macro="" textlink="">
      <xdr:nvSpPr>
        <xdr:cNvPr id="6772" name="AutoShape 1652" descr="https://www.soccerstats.com/img/own/sshplogo.png">
          <a:hlinkClick xmlns:r="http://schemas.openxmlformats.org/officeDocument/2006/relationships" r:id="rId714"/>
        </xdr:cNvPr>
        <xdr:cNvSpPr>
          <a:spLocks noChangeAspect="1" noChangeArrowheads="1"/>
        </xdr:cNvSpPr>
      </xdr:nvSpPr>
      <xdr:spPr bwMode="auto">
        <a:xfrm>
          <a:off x="13411200" y="11795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152400</xdr:colOff>
      <xdr:row>57</xdr:row>
      <xdr:rowOff>106680</xdr:rowOff>
    </xdr:to>
    <xdr:sp macro="" textlink="">
      <xdr:nvSpPr>
        <xdr:cNvPr id="6773" name="AutoShape 1653" descr="BELGIUM2"/>
        <xdr:cNvSpPr>
          <a:spLocks noChangeAspect="1" noChangeArrowheads="1"/>
        </xdr:cNvSpPr>
      </xdr:nvSpPr>
      <xdr:spPr bwMode="auto">
        <a:xfrm>
          <a:off x="0" y="11971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57</xdr:row>
      <xdr:rowOff>0</xdr:rowOff>
    </xdr:from>
    <xdr:to>
      <xdr:col>22</xdr:col>
      <xdr:colOff>304800</xdr:colOff>
      <xdr:row>58</xdr:row>
      <xdr:rowOff>53340</xdr:rowOff>
    </xdr:to>
    <xdr:sp macro="" textlink="">
      <xdr:nvSpPr>
        <xdr:cNvPr id="6774" name="AutoShape 1654" descr="https://www.soccerstats.com/img/own/sshplogo.png">
          <a:hlinkClick xmlns:r="http://schemas.openxmlformats.org/officeDocument/2006/relationships" r:id="rId715"/>
        </xdr:cNvPr>
        <xdr:cNvSpPr>
          <a:spLocks noChangeAspect="1" noChangeArrowheads="1"/>
        </xdr:cNvSpPr>
      </xdr:nvSpPr>
      <xdr:spPr bwMode="auto">
        <a:xfrm>
          <a:off x="13411200" y="11971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152400</xdr:colOff>
      <xdr:row>58</xdr:row>
      <xdr:rowOff>106680</xdr:rowOff>
    </xdr:to>
    <xdr:sp macro="" textlink="">
      <xdr:nvSpPr>
        <xdr:cNvPr id="6775" name="AutoShape 1655" descr="BRAZIL"/>
        <xdr:cNvSpPr>
          <a:spLocks noChangeAspect="1" noChangeArrowheads="1"/>
        </xdr:cNvSpPr>
      </xdr:nvSpPr>
      <xdr:spPr bwMode="auto">
        <a:xfrm>
          <a:off x="0" y="12146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58</xdr:row>
      <xdr:rowOff>0</xdr:rowOff>
    </xdr:from>
    <xdr:to>
      <xdr:col>22</xdr:col>
      <xdr:colOff>304800</xdr:colOff>
      <xdr:row>59</xdr:row>
      <xdr:rowOff>53340</xdr:rowOff>
    </xdr:to>
    <xdr:sp macro="" textlink="">
      <xdr:nvSpPr>
        <xdr:cNvPr id="6776" name="AutoShape 1656" descr="https://www.soccerstats.com/img/own/sshplogo.png">
          <a:hlinkClick xmlns:r="http://schemas.openxmlformats.org/officeDocument/2006/relationships" r:id="rId716"/>
        </xdr:cNvPr>
        <xdr:cNvSpPr>
          <a:spLocks noChangeAspect="1" noChangeArrowheads="1"/>
        </xdr:cNvSpPr>
      </xdr:nvSpPr>
      <xdr:spPr bwMode="auto">
        <a:xfrm>
          <a:off x="13411200" y="12146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152400</xdr:colOff>
      <xdr:row>59</xdr:row>
      <xdr:rowOff>106680</xdr:rowOff>
    </xdr:to>
    <xdr:sp macro="" textlink="">
      <xdr:nvSpPr>
        <xdr:cNvPr id="6777" name="AutoShape 1657" descr="BRAZIL"/>
        <xdr:cNvSpPr>
          <a:spLocks noChangeAspect="1" noChangeArrowheads="1"/>
        </xdr:cNvSpPr>
      </xdr:nvSpPr>
      <xdr:spPr bwMode="auto">
        <a:xfrm>
          <a:off x="0" y="12321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59</xdr:row>
      <xdr:rowOff>0</xdr:rowOff>
    </xdr:from>
    <xdr:to>
      <xdr:col>22</xdr:col>
      <xdr:colOff>304800</xdr:colOff>
      <xdr:row>60</xdr:row>
      <xdr:rowOff>53340</xdr:rowOff>
    </xdr:to>
    <xdr:sp macro="" textlink="">
      <xdr:nvSpPr>
        <xdr:cNvPr id="6778" name="AutoShape 1658" descr="https://www.soccerstats.com/img/own/sshplogo.png">
          <a:hlinkClick xmlns:r="http://schemas.openxmlformats.org/officeDocument/2006/relationships" r:id="rId717"/>
        </xdr:cNvPr>
        <xdr:cNvSpPr>
          <a:spLocks noChangeAspect="1" noChangeArrowheads="1"/>
        </xdr:cNvSpPr>
      </xdr:nvSpPr>
      <xdr:spPr bwMode="auto">
        <a:xfrm>
          <a:off x="13411200" y="12321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152400</xdr:colOff>
      <xdr:row>60</xdr:row>
      <xdr:rowOff>106680</xdr:rowOff>
    </xdr:to>
    <xdr:sp macro="" textlink="">
      <xdr:nvSpPr>
        <xdr:cNvPr id="6779" name="AutoShape 1659" descr="BRAZIL"/>
        <xdr:cNvSpPr>
          <a:spLocks noChangeAspect="1" noChangeArrowheads="1"/>
        </xdr:cNvSpPr>
      </xdr:nvSpPr>
      <xdr:spPr bwMode="auto">
        <a:xfrm>
          <a:off x="0" y="12496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60</xdr:row>
      <xdr:rowOff>0</xdr:rowOff>
    </xdr:from>
    <xdr:to>
      <xdr:col>22</xdr:col>
      <xdr:colOff>304800</xdr:colOff>
      <xdr:row>60</xdr:row>
      <xdr:rowOff>304800</xdr:rowOff>
    </xdr:to>
    <xdr:sp macro="" textlink="">
      <xdr:nvSpPr>
        <xdr:cNvPr id="6780" name="AutoShape 1660" descr="https://www.soccerstats.com/img/own/sshplogo.png">
          <a:hlinkClick xmlns:r="http://schemas.openxmlformats.org/officeDocument/2006/relationships" r:id="rId718"/>
        </xdr:cNvPr>
        <xdr:cNvSpPr>
          <a:spLocks noChangeAspect="1" noChangeArrowheads="1"/>
        </xdr:cNvSpPr>
      </xdr:nvSpPr>
      <xdr:spPr bwMode="auto">
        <a:xfrm>
          <a:off x="13411200" y="1249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152400</xdr:colOff>
      <xdr:row>61</xdr:row>
      <xdr:rowOff>106680</xdr:rowOff>
    </xdr:to>
    <xdr:sp macro="" textlink="">
      <xdr:nvSpPr>
        <xdr:cNvPr id="6781" name="AutoShape 1661" descr="BRAZIL"/>
        <xdr:cNvSpPr>
          <a:spLocks noChangeAspect="1" noChangeArrowheads="1"/>
        </xdr:cNvSpPr>
      </xdr:nvSpPr>
      <xdr:spPr bwMode="auto">
        <a:xfrm>
          <a:off x="0" y="12672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61</xdr:row>
      <xdr:rowOff>0</xdr:rowOff>
    </xdr:from>
    <xdr:to>
      <xdr:col>22</xdr:col>
      <xdr:colOff>304800</xdr:colOff>
      <xdr:row>62</xdr:row>
      <xdr:rowOff>53340</xdr:rowOff>
    </xdr:to>
    <xdr:sp macro="" textlink="">
      <xdr:nvSpPr>
        <xdr:cNvPr id="6782" name="AutoShape 1662" descr="https://www.soccerstats.com/img/own/sshplogo.png">
          <a:hlinkClick xmlns:r="http://schemas.openxmlformats.org/officeDocument/2006/relationships" r:id="rId719"/>
        </xdr:cNvPr>
        <xdr:cNvSpPr>
          <a:spLocks noChangeAspect="1" noChangeArrowheads="1"/>
        </xdr:cNvSpPr>
      </xdr:nvSpPr>
      <xdr:spPr bwMode="auto">
        <a:xfrm>
          <a:off x="13411200" y="12672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152400</xdr:colOff>
      <xdr:row>62</xdr:row>
      <xdr:rowOff>106680</xdr:rowOff>
    </xdr:to>
    <xdr:sp macro="" textlink="">
      <xdr:nvSpPr>
        <xdr:cNvPr id="6783" name="AutoShape 1663" descr="BRAZIL"/>
        <xdr:cNvSpPr>
          <a:spLocks noChangeAspect="1" noChangeArrowheads="1"/>
        </xdr:cNvSpPr>
      </xdr:nvSpPr>
      <xdr:spPr bwMode="auto">
        <a:xfrm>
          <a:off x="0" y="12923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62</xdr:row>
      <xdr:rowOff>0</xdr:rowOff>
    </xdr:from>
    <xdr:to>
      <xdr:col>22</xdr:col>
      <xdr:colOff>304800</xdr:colOff>
      <xdr:row>63</xdr:row>
      <xdr:rowOff>53340</xdr:rowOff>
    </xdr:to>
    <xdr:sp macro="" textlink="">
      <xdr:nvSpPr>
        <xdr:cNvPr id="6784" name="AutoShape 1664" descr="https://www.soccerstats.com/img/own/sshplogo.png">
          <a:hlinkClick xmlns:r="http://schemas.openxmlformats.org/officeDocument/2006/relationships" r:id="rId720"/>
        </xdr:cNvPr>
        <xdr:cNvSpPr>
          <a:spLocks noChangeAspect="1" noChangeArrowheads="1"/>
        </xdr:cNvSpPr>
      </xdr:nvSpPr>
      <xdr:spPr bwMode="auto">
        <a:xfrm>
          <a:off x="13411200" y="12923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152400</xdr:colOff>
      <xdr:row>63</xdr:row>
      <xdr:rowOff>106680</xdr:rowOff>
    </xdr:to>
    <xdr:sp macro="" textlink="">
      <xdr:nvSpPr>
        <xdr:cNvPr id="6785" name="AutoShape 1665" descr="BRAZIL"/>
        <xdr:cNvSpPr>
          <a:spLocks noChangeAspect="1" noChangeArrowheads="1"/>
        </xdr:cNvSpPr>
      </xdr:nvSpPr>
      <xdr:spPr bwMode="auto">
        <a:xfrm>
          <a:off x="0" y="13098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63</xdr:row>
      <xdr:rowOff>0</xdr:rowOff>
    </xdr:from>
    <xdr:to>
      <xdr:col>22</xdr:col>
      <xdr:colOff>304800</xdr:colOff>
      <xdr:row>64</xdr:row>
      <xdr:rowOff>53340</xdr:rowOff>
    </xdr:to>
    <xdr:sp macro="" textlink="">
      <xdr:nvSpPr>
        <xdr:cNvPr id="6786" name="AutoShape 1666" descr="https://www.soccerstats.com/img/own/sshplogo.png">
          <a:hlinkClick xmlns:r="http://schemas.openxmlformats.org/officeDocument/2006/relationships" r:id="rId721"/>
        </xdr:cNvPr>
        <xdr:cNvSpPr>
          <a:spLocks noChangeAspect="1" noChangeArrowheads="1"/>
        </xdr:cNvSpPr>
      </xdr:nvSpPr>
      <xdr:spPr bwMode="auto">
        <a:xfrm>
          <a:off x="13411200" y="13098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152400</xdr:colOff>
      <xdr:row>64</xdr:row>
      <xdr:rowOff>106680</xdr:rowOff>
    </xdr:to>
    <xdr:sp macro="" textlink="">
      <xdr:nvSpPr>
        <xdr:cNvPr id="6787" name="AutoShape 1667" descr="BRAZIL"/>
        <xdr:cNvSpPr>
          <a:spLocks noChangeAspect="1" noChangeArrowheads="1"/>
        </xdr:cNvSpPr>
      </xdr:nvSpPr>
      <xdr:spPr bwMode="auto">
        <a:xfrm>
          <a:off x="0" y="13274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64</xdr:row>
      <xdr:rowOff>0</xdr:rowOff>
    </xdr:from>
    <xdr:to>
      <xdr:col>22</xdr:col>
      <xdr:colOff>304800</xdr:colOff>
      <xdr:row>65</xdr:row>
      <xdr:rowOff>129540</xdr:rowOff>
    </xdr:to>
    <xdr:sp macro="" textlink="">
      <xdr:nvSpPr>
        <xdr:cNvPr id="6788" name="AutoShape 1668" descr="https://www.soccerstats.com/img/own/sshplogo.png">
          <a:hlinkClick xmlns:r="http://schemas.openxmlformats.org/officeDocument/2006/relationships" r:id="rId722"/>
        </xdr:cNvPr>
        <xdr:cNvSpPr>
          <a:spLocks noChangeAspect="1" noChangeArrowheads="1"/>
        </xdr:cNvSpPr>
      </xdr:nvSpPr>
      <xdr:spPr bwMode="auto">
        <a:xfrm>
          <a:off x="13411200" y="13274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152400</xdr:colOff>
      <xdr:row>65</xdr:row>
      <xdr:rowOff>106680</xdr:rowOff>
    </xdr:to>
    <xdr:sp macro="" textlink="">
      <xdr:nvSpPr>
        <xdr:cNvPr id="6789" name="AutoShape 1669" descr="BRAZIL2"/>
        <xdr:cNvSpPr>
          <a:spLocks noChangeAspect="1" noChangeArrowheads="1"/>
        </xdr:cNvSpPr>
      </xdr:nvSpPr>
      <xdr:spPr bwMode="auto">
        <a:xfrm>
          <a:off x="0" y="13449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65</xdr:row>
      <xdr:rowOff>0</xdr:rowOff>
    </xdr:from>
    <xdr:to>
      <xdr:col>22</xdr:col>
      <xdr:colOff>304800</xdr:colOff>
      <xdr:row>66</xdr:row>
      <xdr:rowOff>129540</xdr:rowOff>
    </xdr:to>
    <xdr:sp macro="" textlink="">
      <xdr:nvSpPr>
        <xdr:cNvPr id="6790" name="AutoShape 1670" descr="https://www.soccerstats.com/img/own/sshplogo.png">
          <a:hlinkClick xmlns:r="http://schemas.openxmlformats.org/officeDocument/2006/relationships" r:id="rId723"/>
        </xdr:cNvPr>
        <xdr:cNvSpPr>
          <a:spLocks noChangeAspect="1" noChangeArrowheads="1"/>
        </xdr:cNvSpPr>
      </xdr:nvSpPr>
      <xdr:spPr bwMode="auto">
        <a:xfrm>
          <a:off x="13411200" y="1344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152400</xdr:colOff>
      <xdr:row>66</xdr:row>
      <xdr:rowOff>106680</xdr:rowOff>
    </xdr:to>
    <xdr:sp macro="" textlink="">
      <xdr:nvSpPr>
        <xdr:cNvPr id="6791" name="AutoShape 1671" descr="BRAZIL2"/>
        <xdr:cNvSpPr>
          <a:spLocks noChangeAspect="1" noChangeArrowheads="1"/>
        </xdr:cNvSpPr>
      </xdr:nvSpPr>
      <xdr:spPr bwMode="auto">
        <a:xfrm>
          <a:off x="0" y="13624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66</xdr:row>
      <xdr:rowOff>0</xdr:rowOff>
    </xdr:from>
    <xdr:to>
      <xdr:col>22</xdr:col>
      <xdr:colOff>304800</xdr:colOff>
      <xdr:row>67</xdr:row>
      <xdr:rowOff>129540</xdr:rowOff>
    </xdr:to>
    <xdr:sp macro="" textlink="">
      <xdr:nvSpPr>
        <xdr:cNvPr id="6792" name="AutoShape 1672" descr="https://www.soccerstats.com/img/own/sshplogo.png">
          <a:hlinkClick xmlns:r="http://schemas.openxmlformats.org/officeDocument/2006/relationships" r:id="rId724"/>
        </xdr:cNvPr>
        <xdr:cNvSpPr>
          <a:spLocks noChangeAspect="1" noChangeArrowheads="1"/>
        </xdr:cNvSpPr>
      </xdr:nvSpPr>
      <xdr:spPr bwMode="auto">
        <a:xfrm>
          <a:off x="13411200" y="13624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152400</xdr:colOff>
      <xdr:row>67</xdr:row>
      <xdr:rowOff>106680</xdr:rowOff>
    </xdr:to>
    <xdr:sp macro="" textlink="">
      <xdr:nvSpPr>
        <xdr:cNvPr id="6793" name="AutoShape 1673" descr="BRAZIL2"/>
        <xdr:cNvSpPr>
          <a:spLocks noChangeAspect="1" noChangeArrowheads="1"/>
        </xdr:cNvSpPr>
      </xdr:nvSpPr>
      <xdr:spPr bwMode="auto">
        <a:xfrm>
          <a:off x="0" y="13799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67</xdr:row>
      <xdr:rowOff>0</xdr:rowOff>
    </xdr:from>
    <xdr:to>
      <xdr:col>22</xdr:col>
      <xdr:colOff>304800</xdr:colOff>
      <xdr:row>68</xdr:row>
      <xdr:rowOff>129540</xdr:rowOff>
    </xdr:to>
    <xdr:sp macro="" textlink="">
      <xdr:nvSpPr>
        <xdr:cNvPr id="6794" name="AutoShape 1674" descr="https://www.soccerstats.com/img/own/sshplogo.png">
          <a:hlinkClick xmlns:r="http://schemas.openxmlformats.org/officeDocument/2006/relationships" r:id="rId725"/>
        </xdr:cNvPr>
        <xdr:cNvSpPr>
          <a:spLocks noChangeAspect="1" noChangeArrowheads="1"/>
        </xdr:cNvSpPr>
      </xdr:nvSpPr>
      <xdr:spPr bwMode="auto">
        <a:xfrm>
          <a:off x="13411200" y="13799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152400</xdr:colOff>
      <xdr:row>68</xdr:row>
      <xdr:rowOff>106680</xdr:rowOff>
    </xdr:to>
    <xdr:sp macro="" textlink="">
      <xdr:nvSpPr>
        <xdr:cNvPr id="6795" name="AutoShape 1675" descr="BRAZIL3"/>
        <xdr:cNvSpPr>
          <a:spLocks noChangeAspect="1" noChangeArrowheads="1"/>
        </xdr:cNvSpPr>
      </xdr:nvSpPr>
      <xdr:spPr bwMode="auto">
        <a:xfrm>
          <a:off x="0" y="1405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68</xdr:row>
      <xdr:rowOff>0</xdr:rowOff>
    </xdr:from>
    <xdr:to>
      <xdr:col>22</xdr:col>
      <xdr:colOff>304800</xdr:colOff>
      <xdr:row>69</xdr:row>
      <xdr:rowOff>129540</xdr:rowOff>
    </xdr:to>
    <xdr:sp macro="" textlink="">
      <xdr:nvSpPr>
        <xdr:cNvPr id="6796" name="AutoShape 1676" descr="https://www.soccerstats.com/img/own/sshplogo.png">
          <a:hlinkClick xmlns:r="http://schemas.openxmlformats.org/officeDocument/2006/relationships" r:id="rId726"/>
        </xdr:cNvPr>
        <xdr:cNvSpPr>
          <a:spLocks noChangeAspect="1" noChangeArrowheads="1"/>
        </xdr:cNvSpPr>
      </xdr:nvSpPr>
      <xdr:spPr bwMode="auto">
        <a:xfrm>
          <a:off x="13411200" y="1405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152400</xdr:colOff>
      <xdr:row>69</xdr:row>
      <xdr:rowOff>106680</xdr:rowOff>
    </xdr:to>
    <xdr:sp macro="" textlink="">
      <xdr:nvSpPr>
        <xdr:cNvPr id="6797" name="AutoShape 1677" descr="BRAZIL3"/>
        <xdr:cNvSpPr>
          <a:spLocks noChangeAspect="1" noChangeArrowheads="1"/>
        </xdr:cNvSpPr>
      </xdr:nvSpPr>
      <xdr:spPr bwMode="auto">
        <a:xfrm>
          <a:off x="0" y="14226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69</xdr:row>
      <xdr:rowOff>0</xdr:rowOff>
    </xdr:from>
    <xdr:to>
      <xdr:col>22</xdr:col>
      <xdr:colOff>304800</xdr:colOff>
      <xdr:row>70</xdr:row>
      <xdr:rowOff>129540</xdr:rowOff>
    </xdr:to>
    <xdr:sp macro="" textlink="">
      <xdr:nvSpPr>
        <xdr:cNvPr id="6798" name="AutoShape 1678" descr="https://www.soccerstats.com/img/own/sshplogo.png">
          <a:hlinkClick xmlns:r="http://schemas.openxmlformats.org/officeDocument/2006/relationships" r:id="rId727"/>
        </xdr:cNvPr>
        <xdr:cNvSpPr>
          <a:spLocks noChangeAspect="1" noChangeArrowheads="1"/>
        </xdr:cNvSpPr>
      </xdr:nvSpPr>
      <xdr:spPr bwMode="auto">
        <a:xfrm>
          <a:off x="13411200" y="14226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152400</xdr:colOff>
      <xdr:row>70</xdr:row>
      <xdr:rowOff>106680</xdr:rowOff>
    </xdr:to>
    <xdr:sp macro="" textlink="">
      <xdr:nvSpPr>
        <xdr:cNvPr id="6799" name="AutoShape 1679" descr="BRAZIL3"/>
        <xdr:cNvSpPr>
          <a:spLocks noChangeAspect="1" noChangeArrowheads="1"/>
        </xdr:cNvSpPr>
      </xdr:nvSpPr>
      <xdr:spPr bwMode="auto">
        <a:xfrm>
          <a:off x="0" y="14401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70</xdr:row>
      <xdr:rowOff>0</xdr:rowOff>
    </xdr:from>
    <xdr:to>
      <xdr:col>22</xdr:col>
      <xdr:colOff>304800</xdr:colOff>
      <xdr:row>71</xdr:row>
      <xdr:rowOff>129540</xdr:rowOff>
    </xdr:to>
    <xdr:sp macro="" textlink="">
      <xdr:nvSpPr>
        <xdr:cNvPr id="6800" name="AutoShape 1680" descr="https://www.soccerstats.com/img/own/sshplogo.png">
          <a:hlinkClick xmlns:r="http://schemas.openxmlformats.org/officeDocument/2006/relationships" r:id="rId728"/>
        </xdr:cNvPr>
        <xdr:cNvSpPr>
          <a:spLocks noChangeAspect="1" noChangeArrowheads="1"/>
        </xdr:cNvSpPr>
      </xdr:nvSpPr>
      <xdr:spPr bwMode="auto">
        <a:xfrm>
          <a:off x="13411200" y="1440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152400</xdr:colOff>
      <xdr:row>71</xdr:row>
      <xdr:rowOff>106680</xdr:rowOff>
    </xdr:to>
    <xdr:sp macro="" textlink="">
      <xdr:nvSpPr>
        <xdr:cNvPr id="6801" name="AutoShape 1681" descr="BRAZIL3"/>
        <xdr:cNvSpPr>
          <a:spLocks noChangeAspect="1" noChangeArrowheads="1"/>
        </xdr:cNvSpPr>
      </xdr:nvSpPr>
      <xdr:spPr bwMode="auto">
        <a:xfrm>
          <a:off x="0" y="14577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71</xdr:row>
      <xdr:rowOff>0</xdr:rowOff>
    </xdr:from>
    <xdr:to>
      <xdr:col>22</xdr:col>
      <xdr:colOff>304800</xdr:colOff>
      <xdr:row>72</xdr:row>
      <xdr:rowOff>53340</xdr:rowOff>
    </xdr:to>
    <xdr:sp macro="" textlink="">
      <xdr:nvSpPr>
        <xdr:cNvPr id="6802" name="AutoShape 1682" descr="https://www.soccerstats.com/img/own/sshplogo.png">
          <a:hlinkClick xmlns:r="http://schemas.openxmlformats.org/officeDocument/2006/relationships" r:id="rId729"/>
        </xdr:cNvPr>
        <xdr:cNvSpPr>
          <a:spLocks noChangeAspect="1" noChangeArrowheads="1"/>
        </xdr:cNvSpPr>
      </xdr:nvSpPr>
      <xdr:spPr bwMode="auto">
        <a:xfrm>
          <a:off x="13411200" y="14577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152400</xdr:colOff>
      <xdr:row>72</xdr:row>
      <xdr:rowOff>106680</xdr:rowOff>
    </xdr:to>
    <xdr:sp macro="" textlink="">
      <xdr:nvSpPr>
        <xdr:cNvPr id="6803" name="AutoShape 1683" descr="BRAZIL5"/>
        <xdr:cNvSpPr>
          <a:spLocks noChangeAspect="1" noChangeArrowheads="1"/>
        </xdr:cNvSpPr>
      </xdr:nvSpPr>
      <xdr:spPr bwMode="auto">
        <a:xfrm>
          <a:off x="0" y="14752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72</xdr:row>
      <xdr:rowOff>0</xdr:rowOff>
    </xdr:from>
    <xdr:to>
      <xdr:col>22</xdr:col>
      <xdr:colOff>304800</xdr:colOff>
      <xdr:row>73</xdr:row>
      <xdr:rowOff>53340</xdr:rowOff>
    </xdr:to>
    <xdr:sp macro="" textlink="">
      <xdr:nvSpPr>
        <xdr:cNvPr id="6804" name="AutoShape 1684" descr="https://www.soccerstats.com/img/own/sshplogo.png">
          <a:hlinkClick xmlns:r="http://schemas.openxmlformats.org/officeDocument/2006/relationships" r:id="rId730"/>
        </xdr:cNvPr>
        <xdr:cNvSpPr>
          <a:spLocks noChangeAspect="1" noChangeArrowheads="1"/>
        </xdr:cNvSpPr>
      </xdr:nvSpPr>
      <xdr:spPr bwMode="auto">
        <a:xfrm>
          <a:off x="13411200" y="14752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152400</xdr:colOff>
      <xdr:row>73</xdr:row>
      <xdr:rowOff>106680</xdr:rowOff>
    </xdr:to>
    <xdr:sp macro="" textlink="">
      <xdr:nvSpPr>
        <xdr:cNvPr id="6805" name="AutoShape 1685" descr="BRAZIL5"/>
        <xdr:cNvSpPr>
          <a:spLocks noChangeAspect="1" noChangeArrowheads="1"/>
        </xdr:cNvSpPr>
      </xdr:nvSpPr>
      <xdr:spPr bwMode="auto">
        <a:xfrm>
          <a:off x="0" y="14927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73</xdr:row>
      <xdr:rowOff>0</xdr:rowOff>
    </xdr:from>
    <xdr:to>
      <xdr:col>22</xdr:col>
      <xdr:colOff>304800</xdr:colOff>
      <xdr:row>74</xdr:row>
      <xdr:rowOff>129540</xdr:rowOff>
    </xdr:to>
    <xdr:sp macro="" textlink="">
      <xdr:nvSpPr>
        <xdr:cNvPr id="6806" name="AutoShape 1686" descr="https://www.soccerstats.com/img/own/sshplogo.png">
          <a:hlinkClick xmlns:r="http://schemas.openxmlformats.org/officeDocument/2006/relationships" r:id="rId731"/>
        </xdr:cNvPr>
        <xdr:cNvSpPr>
          <a:spLocks noChangeAspect="1" noChangeArrowheads="1"/>
        </xdr:cNvSpPr>
      </xdr:nvSpPr>
      <xdr:spPr bwMode="auto">
        <a:xfrm>
          <a:off x="13411200" y="14927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152400</xdr:colOff>
      <xdr:row>74</xdr:row>
      <xdr:rowOff>106680</xdr:rowOff>
    </xdr:to>
    <xdr:sp macro="" textlink="">
      <xdr:nvSpPr>
        <xdr:cNvPr id="6807" name="AutoShape 1687" descr="BRAZIL5"/>
        <xdr:cNvSpPr>
          <a:spLocks noChangeAspect="1" noChangeArrowheads="1"/>
        </xdr:cNvSpPr>
      </xdr:nvSpPr>
      <xdr:spPr bwMode="auto">
        <a:xfrm>
          <a:off x="0" y="15102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74</xdr:row>
      <xdr:rowOff>0</xdr:rowOff>
    </xdr:from>
    <xdr:to>
      <xdr:col>22</xdr:col>
      <xdr:colOff>304800</xdr:colOff>
      <xdr:row>75</xdr:row>
      <xdr:rowOff>129540</xdr:rowOff>
    </xdr:to>
    <xdr:sp macro="" textlink="">
      <xdr:nvSpPr>
        <xdr:cNvPr id="6808" name="AutoShape 1688" descr="https://www.soccerstats.com/img/own/sshplogo.png">
          <a:hlinkClick xmlns:r="http://schemas.openxmlformats.org/officeDocument/2006/relationships" r:id="rId732"/>
        </xdr:cNvPr>
        <xdr:cNvSpPr>
          <a:spLocks noChangeAspect="1" noChangeArrowheads="1"/>
        </xdr:cNvSpPr>
      </xdr:nvSpPr>
      <xdr:spPr bwMode="auto">
        <a:xfrm>
          <a:off x="13411200" y="15102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152400</xdr:colOff>
      <xdr:row>75</xdr:row>
      <xdr:rowOff>106680</xdr:rowOff>
    </xdr:to>
    <xdr:sp macro="" textlink="">
      <xdr:nvSpPr>
        <xdr:cNvPr id="6809" name="AutoShape 1689" descr="BULGARIA"/>
        <xdr:cNvSpPr>
          <a:spLocks noChangeAspect="1" noChangeArrowheads="1"/>
        </xdr:cNvSpPr>
      </xdr:nvSpPr>
      <xdr:spPr bwMode="auto">
        <a:xfrm>
          <a:off x="0" y="15278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75</xdr:row>
      <xdr:rowOff>0</xdr:rowOff>
    </xdr:from>
    <xdr:to>
      <xdr:col>22</xdr:col>
      <xdr:colOff>304800</xdr:colOff>
      <xdr:row>76</xdr:row>
      <xdr:rowOff>129540</xdr:rowOff>
    </xdr:to>
    <xdr:sp macro="" textlink="">
      <xdr:nvSpPr>
        <xdr:cNvPr id="6810" name="AutoShape 1690" descr="https://www.soccerstats.com/img/own/sshplogo.png">
          <a:hlinkClick xmlns:r="http://schemas.openxmlformats.org/officeDocument/2006/relationships" r:id="rId733"/>
        </xdr:cNvPr>
        <xdr:cNvSpPr>
          <a:spLocks noChangeAspect="1" noChangeArrowheads="1"/>
        </xdr:cNvSpPr>
      </xdr:nvSpPr>
      <xdr:spPr bwMode="auto">
        <a:xfrm>
          <a:off x="13411200" y="15278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152400</xdr:colOff>
      <xdr:row>76</xdr:row>
      <xdr:rowOff>106680</xdr:rowOff>
    </xdr:to>
    <xdr:sp macro="" textlink="">
      <xdr:nvSpPr>
        <xdr:cNvPr id="6811" name="AutoShape 1691" descr="BULGARIA"/>
        <xdr:cNvSpPr>
          <a:spLocks noChangeAspect="1" noChangeArrowheads="1"/>
        </xdr:cNvSpPr>
      </xdr:nvSpPr>
      <xdr:spPr bwMode="auto">
        <a:xfrm>
          <a:off x="0" y="15453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76</xdr:row>
      <xdr:rowOff>0</xdr:rowOff>
    </xdr:from>
    <xdr:to>
      <xdr:col>22</xdr:col>
      <xdr:colOff>304800</xdr:colOff>
      <xdr:row>77</xdr:row>
      <xdr:rowOff>129540</xdr:rowOff>
    </xdr:to>
    <xdr:sp macro="" textlink="">
      <xdr:nvSpPr>
        <xdr:cNvPr id="6812" name="AutoShape 1692" descr="https://www.soccerstats.com/img/own/sshplogo.png">
          <a:hlinkClick xmlns:r="http://schemas.openxmlformats.org/officeDocument/2006/relationships" r:id="rId734"/>
        </xdr:cNvPr>
        <xdr:cNvSpPr>
          <a:spLocks noChangeAspect="1" noChangeArrowheads="1"/>
        </xdr:cNvSpPr>
      </xdr:nvSpPr>
      <xdr:spPr bwMode="auto">
        <a:xfrm>
          <a:off x="13411200" y="15453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152400</xdr:colOff>
      <xdr:row>77</xdr:row>
      <xdr:rowOff>106680</xdr:rowOff>
    </xdr:to>
    <xdr:sp macro="" textlink="">
      <xdr:nvSpPr>
        <xdr:cNvPr id="6813" name="AutoShape 1693" descr="BULGARIA2"/>
        <xdr:cNvSpPr>
          <a:spLocks noChangeAspect="1" noChangeArrowheads="1"/>
        </xdr:cNvSpPr>
      </xdr:nvSpPr>
      <xdr:spPr bwMode="auto">
        <a:xfrm>
          <a:off x="0" y="15628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77</xdr:row>
      <xdr:rowOff>0</xdr:rowOff>
    </xdr:from>
    <xdr:to>
      <xdr:col>22</xdr:col>
      <xdr:colOff>304800</xdr:colOff>
      <xdr:row>78</xdr:row>
      <xdr:rowOff>129540</xdr:rowOff>
    </xdr:to>
    <xdr:sp macro="" textlink="">
      <xdr:nvSpPr>
        <xdr:cNvPr id="6814" name="AutoShape 1694" descr="https://www.soccerstats.com/img/own/sshplogo.png">
          <a:hlinkClick xmlns:r="http://schemas.openxmlformats.org/officeDocument/2006/relationships" r:id="rId735"/>
        </xdr:cNvPr>
        <xdr:cNvSpPr>
          <a:spLocks noChangeAspect="1" noChangeArrowheads="1"/>
        </xdr:cNvSpPr>
      </xdr:nvSpPr>
      <xdr:spPr bwMode="auto">
        <a:xfrm>
          <a:off x="13411200" y="15628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152400</xdr:colOff>
      <xdr:row>78</xdr:row>
      <xdr:rowOff>106680</xdr:rowOff>
    </xdr:to>
    <xdr:sp macro="" textlink="">
      <xdr:nvSpPr>
        <xdr:cNvPr id="6815" name="AutoShape 1695" descr="BULGARIA2"/>
        <xdr:cNvSpPr>
          <a:spLocks noChangeAspect="1" noChangeArrowheads="1"/>
        </xdr:cNvSpPr>
      </xdr:nvSpPr>
      <xdr:spPr bwMode="auto">
        <a:xfrm>
          <a:off x="0" y="15880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78</xdr:row>
      <xdr:rowOff>0</xdr:rowOff>
    </xdr:from>
    <xdr:to>
      <xdr:col>22</xdr:col>
      <xdr:colOff>304800</xdr:colOff>
      <xdr:row>79</xdr:row>
      <xdr:rowOff>129540</xdr:rowOff>
    </xdr:to>
    <xdr:sp macro="" textlink="">
      <xdr:nvSpPr>
        <xdr:cNvPr id="6816" name="AutoShape 1696" descr="https://www.soccerstats.com/img/own/sshplogo.png">
          <a:hlinkClick xmlns:r="http://schemas.openxmlformats.org/officeDocument/2006/relationships" r:id="rId736"/>
        </xdr:cNvPr>
        <xdr:cNvSpPr>
          <a:spLocks noChangeAspect="1" noChangeArrowheads="1"/>
        </xdr:cNvSpPr>
      </xdr:nvSpPr>
      <xdr:spPr bwMode="auto">
        <a:xfrm>
          <a:off x="13411200" y="15880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152400</xdr:colOff>
      <xdr:row>79</xdr:row>
      <xdr:rowOff>106680</xdr:rowOff>
    </xdr:to>
    <xdr:sp macro="" textlink="">
      <xdr:nvSpPr>
        <xdr:cNvPr id="6817" name="AutoShape 1697" descr="BULGARIA2"/>
        <xdr:cNvSpPr>
          <a:spLocks noChangeAspect="1" noChangeArrowheads="1"/>
        </xdr:cNvSpPr>
      </xdr:nvSpPr>
      <xdr:spPr bwMode="auto">
        <a:xfrm>
          <a:off x="0" y="16131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79</xdr:row>
      <xdr:rowOff>0</xdr:rowOff>
    </xdr:from>
    <xdr:to>
      <xdr:col>22</xdr:col>
      <xdr:colOff>304800</xdr:colOff>
      <xdr:row>80</xdr:row>
      <xdr:rowOff>53340</xdr:rowOff>
    </xdr:to>
    <xdr:sp macro="" textlink="">
      <xdr:nvSpPr>
        <xdr:cNvPr id="6818" name="AutoShape 1698" descr="https://www.soccerstats.com/img/own/sshplogo.png">
          <a:hlinkClick xmlns:r="http://schemas.openxmlformats.org/officeDocument/2006/relationships" r:id="rId737"/>
        </xdr:cNvPr>
        <xdr:cNvSpPr>
          <a:spLocks noChangeAspect="1" noChangeArrowheads="1"/>
        </xdr:cNvSpPr>
      </xdr:nvSpPr>
      <xdr:spPr bwMode="auto">
        <a:xfrm>
          <a:off x="13411200" y="16131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152400</xdr:colOff>
      <xdr:row>80</xdr:row>
      <xdr:rowOff>106680</xdr:rowOff>
    </xdr:to>
    <xdr:sp macro="" textlink="">
      <xdr:nvSpPr>
        <xdr:cNvPr id="6819" name="AutoShape 1699" descr="BULGARIA2"/>
        <xdr:cNvSpPr>
          <a:spLocks noChangeAspect="1" noChangeArrowheads="1"/>
        </xdr:cNvSpPr>
      </xdr:nvSpPr>
      <xdr:spPr bwMode="auto">
        <a:xfrm>
          <a:off x="0" y="16306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80</xdr:row>
      <xdr:rowOff>0</xdr:rowOff>
    </xdr:from>
    <xdr:to>
      <xdr:col>22</xdr:col>
      <xdr:colOff>304800</xdr:colOff>
      <xdr:row>81</xdr:row>
      <xdr:rowOff>129540</xdr:rowOff>
    </xdr:to>
    <xdr:sp macro="" textlink="">
      <xdr:nvSpPr>
        <xdr:cNvPr id="6820" name="AutoShape 1700" descr="https://www.soccerstats.com/img/own/sshplogo.png">
          <a:hlinkClick xmlns:r="http://schemas.openxmlformats.org/officeDocument/2006/relationships" r:id="rId738"/>
        </xdr:cNvPr>
        <xdr:cNvSpPr>
          <a:spLocks noChangeAspect="1" noChangeArrowheads="1"/>
        </xdr:cNvSpPr>
      </xdr:nvSpPr>
      <xdr:spPr bwMode="auto">
        <a:xfrm>
          <a:off x="13411200" y="1630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152400</xdr:colOff>
      <xdr:row>81</xdr:row>
      <xdr:rowOff>106680</xdr:rowOff>
    </xdr:to>
    <xdr:sp macro="" textlink="">
      <xdr:nvSpPr>
        <xdr:cNvPr id="6821" name="AutoShape 1701" descr="BULGARIA2"/>
        <xdr:cNvSpPr>
          <a:spLocks noChangeAspect="1" noChangeArrowheads="1"/>
        </xdr:cNvSpPr>
      </xdr:nvSpPr>
      <xdr:spPr bwMode="auto">
        <a:xfrm>
          <a:off x="0" y="16482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81</xdr:row>
      <xdr:rowOff>0</xdr:rowOff>
    </xdr:from>
    <xdr:to>
      <xdr:col>22</xdr:col>
      <xdr:colOff>304800</xdr:colOff>
      <xdr:row>82</xdr:row>
      <xdr:rowOff>53340</xdr:rowOff>
    </xdr:to>
    <xdr:sp macro="" textlink="">
      <xdr:nvSpPr>
        <xdr:cNvPr id="6822" name="AutoShape 1702" descr="https://www.soccerstats.com/img/own/sshplogo.png">
          <a:hlinkClick xmlns:r="http://schemas.openxmlformats.org/officeDocument/2006/relationships" r:id="rId739"/>
        </xdr:cNvPr>
        <xdr:cNvSpPr>
          <a:spLocks noChangeAspect="1" noChangeArrowheads="1"/>
        </xdr:cNvSpPr>
      </xdr:nvSpPr>
      <xdr:spPr bwMode="auto">
        <a:xfrm>
          <a:off x="13411200" y="16482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152400</xdr:colOff>
      <xdr:row>82</xdr:row>
      <xdr:rowOff>106680</xdr:rowOff>
    </xdr:to>
    <xdr:sp macro="" textlink="">
      <xdr:nvSpPr>
        <xdr:cNvPr id="6823" name="AutoShape 1703" descr="CANADA"/>
        <xdr:cNvSpPr>
          <a:spLocks noChangeAspect="1" noChangeArrowheads="1"/>
        </xdr:cNvSpPr>
      </xdr:nvSpPr>
      <xdr:spPr bwMode="auto">
        <a:xfrm>
          <a:off x="0" y="16657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82</xdr:row>
      <xdr:rowOff>0</xdr:rowOff>
    </xdr:from>
    <xdr:to>
      <xdr:col>22</xdr:col>
      <xdr:colOff>304800</xdr:colOff>
      <xdr:row>83</xdr:row>
      <xdr:rowOff>129540</xdr:rowOff>
    </xdr:to>
    <xdr:sp macro="" textlink="">
      <xdr:nvSpPr>
        <xdr:cNvPr id="6824" name="AutoShape 1704" descr="https://www.soccerstats.com/img/own/sshplogo.png">
          <a:hlinkClick xmlns:r="http://schemas.openxmlformats.org/officeDocument/2006/relationships" r:id="rId740"/>
        </xdr:cNvPr>
        <xdr:cNvSpPr>
          <a:spLocks noChangeAspect="1" noChangeArrowheads="1"/>
        </xdr:cNvSpPr>
      </xdr:nvSpPr>
      <xdr:spPr bwMode="auto">
        <a:xfrm>
          <a:off x="13411200" y="16657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152400</xdr:colOff>
      <xdr:row>83</xdr:row>
      <xdr:rowOff>106680</xdr:rowOff>
    </xdr:to>
    <xdr:sp macro="" textlink="">
      <xdr:nvSpPr>
        <xdr:cNvPr id="6825" name="AutoShape 1705" descr="CANADA"/>
        <xdr:cNvSpPr>
          <a:spLocks noChangeAspect="1" noChangeArrowheads="1"/>
        </xdr:cNvSpPr>
      </xdr:nvSpPr>
      <xdr:spPr bwMode="auto">
        <a:xfrm>
          <a:off x="0" y="16908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83</xdr:row>
      <xdr:rowOff>0</xdr:rowOff>
    </xdr:from>
    <xdr:to>
      <xdr:col>22</xdr:col>
      <xdr:colOff>304800</xdr:colOff>
      <xdr:row>84</xdr:row>
      <xdr:rowOff>53340</xdr:rowOff>
    </xdr:to>
    <xdr:sp macro="" textlink="">
      <xdr:nvSpPr>
        <xdr:cNvPr id="6826" name="AutoShape 1706" descr="https://www.soccerstats.com/img/own/sshplogo.png">
          <a:hlinkClick xmlns:r="http://schemas.openxmlformats.org/officeDocument/2006/relationships" r:id="rId741"/>
        </xdr:cNvPr>
        <xdr:cNvSpPr>
          <a:spLocks noChangeAspect="1" noChangeArrowheads="1"/>
        </xdr:cNvSpPr>
      </xdr:nvSpPr>
      <xdr:spPr bwMode="auto">
        <a:xfrm>
          <a:off x="13411200" y="16908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152400</xdr:colOff>
      <xdr:row>84</xdr:row>
      <xdr:rowOff>106680</xdr:rowOff>
    </xdr:to>
    <xdr:sp macro="" textlink="">
      <xdr:nvSpPr>
        <xdr:cNvPr id="6827" name="AutoShape 1707" descr="CHILE"/>
        <xdr:cNvSpPr>
          <a:spLocks noChangeAspect="1" noChangeArrowheads="1"/>
        </xdr:cNvSpPr>
      </xdr:nvSpPr>
      <xdr:spPr bwMode="auto">
        <a:xfrm>
          <a:off x="0" y="17160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84</xdr:row>
      <xdr:rowOff>0</xdr:rowOff>
    </xdr:from>
    <xdr:to>
      <xdr:col>22</xdr:col>
      <xdr:colOff>304800</xdr:colOff>
      <xdr:row>85</xdr:row>
      <xdr:rowOff>129540</xdr:rowOff>
    </xdr:to>
    <xdr:sp macro="" textlink="">
      <xdr:nvSpPr>
        <xdr:cNvPr id="6828" name="AutoShape 1708" descr="https://www.soccerstats.com/img/own/sshplogo.png">
          <a:hlinkClick xmlns:r="http://schemas.openxmlformats.org/officeDocument/2006/relationships" r:id="rId742"/>
        </xdr:cNvPr>
        <xdr:cNvSpPr>
          <a:spLocks noChangeAspect="1" noChangeArrowheads="1"/>
        </xdr:cNvSpPr>
      </xdr:nvSpPr>
      <xdr:spPr bwMode="auto">
        <a:xfrm>
          <a:off x="13411200" y="17160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152400</xdr:colOff>
      <xdr:row>85</xdr:row>
      <xdr:rowOff>106680</xdr:rowOff>
    </xdr:to>
    <xdr:sp macro="" textlink="">
      <xdr:nvSpPr>
        <xdr:cNvPr id="6829" name="AutoShape 1709" descr="CHILE"/>
        <xdr:cNvSpPr>
          <a:spLocks noChangeAspect="1" noChangeArrowheads="1"/>
        </xdr:cNvSpPr>
      </xdr:nvSpPr>
      <xdr:spPr bwMode="auto">
        <a:xfrm>
          <a:off x="0" y="17411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85</xdr:row>
      <xdr:rowOff>0</xdr:rowOff>
    </xdr:from>
    <xdr:to>
      <xdr:col>22</xdr:col>
      <xdr:colOff>304800</xdr:colOff>
      <xdr:row>86</xdr:row>
      <xdr:rowOff>129540</xdr:rowOff>
    </xdr:to>
    <xdr:sp macro="" textlink="">
      <xdr:nvSpPr>
        <xdr:cNvPr id="6830" name="AutoShape 1710" descr="https://www.soccerstats.com/img/own/sshplogo.png">
          <a:hlinkClick xmlns:r="http://schemas.openxmlformats.org/officeDocument/2006/relationships" r:id="rId743"/>
        </xdr:cNvPr>
        <xdr:cNvSpPr>
          <a:spLocks noChangeAspect="1" noChangeArrowheads="1"/>
        </xdr:cNvSpPr>
      </xdr:nvSpPr>
      <xdr:spPr bwMode="auto">
        <a:xfrm>
          <a:off x="13411200" y="1741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152400</xdr:colOff>
      <xdr:row>86</xdr:row>
      <xdr:rowOff>106680</xdr:rowOff>
    </xdr:to>
    <xdr:sp macro="" textlink="">
      <xdr:nvSpPr>
        <xdr:cNvPr id="6831" name="AutoShape 1711" descr="CHILE"/>
        <xdr:cNvSpPr>
          <a:spLocks noChangeAspect="1" noChangeArrowheads="1"/>
        </xdr:cNvSpPr>
      </xdr:nvSpPr>
      <xdr:spPr bwMode="auto">
        <a:xfrm>
          <a:off x="0" y="17663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86</xdr:row>
      <xdr:rowOff>0</xdr:rowOff>
    </xdr:from>
    <xdr:to>
      <xdr:col>22</xdr:col>
      <xdr:colOff>304800</xdr:colOff>
      <xdr:row>87</xdr:row>
      <xdr:rowOff>53340</xdr:rowOff>
    </xdr:to>
    <xdr:sp macro="" textlink="">
      <xdr:nvSpPr>
        <xdr:cNvPr id="6832" name="AutoShape 1712" descr="https://www.soccerstats.com/img/own/sshplogo.png">
          <a:hlinkClick xmlns:r="http://schemas.openxmlformats.org/officeDocument/2006/relationships" r:id="rId744"/>
        </xdr:cNvPr>
        <xdr:cNvSpPr>
          <a:spLocks noChangeAspect="1" noChangeArrowheads="1"/>
        </xdr:cNvSpPr>
      </xdr:nvSpPr>
      <xdr:spPr bwMode="auto">
        <a:xfrm>
          <a:off x="13411200" y="17663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152400</xdr:colOff>
      <xdr:row>87</xdr:row>
      <xdr:rowOff>106680</xdr:rowOff>
    </xdr:to>
    <xdr:sp macro="" textlink="">
      <xdr:nvSpPr>
        <xdr:cNvPr id="6833" name="AutoShape 1713" descr="CHILE"/>
        <xdr:cNvSpPr>
          <a:spLocks noChangeAspect="1" noChangeArrowheads="1"/>
        </xdr:cNvSpPr>
      </xdr:nvSpPr>
      <xdr:spPr bwMode="auto">
        <a:xfrm>
          <a:off x="0" y="17838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87</xdr:row>
      <xdr:rowOff>0</xdr:rowOff>
    </xdr:from>
    <xdr:to>
      <xdr:col>22</xdr:col>
      <xdr:colOff>304800</xdr:colOff>
      <xdr:row>88</xdr:row>
      <xdr:rowOff>129540</xdr:rowOff>
    </xdr:to>
    <xdr:sp macro="" textlink="">
      <xdr:nvSpPr>
        <xdr:cNvPr id="6834" name="AutoShape 1714" descr="https://www.soccerstats.com/img/own/sshplogo.png">
          <a:hlinkClick xmlns:r="http://schemas.openxmlformats.org/officeDocument/2006/relationships" r:id="rId745"/>
        </xdr:cNvPr>
        <xdr:cNvSpPr>
          <a:spLocks noChangeAspect="1" noChangeArrowheads="1"/>
        </xdr:cNvSpPr>
      </xdr:nvSpPr>
      <xdr:spPr bwMode="auto">
        <a:xfrm>
          <a:off x="13411200" y="17838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152400</xdr:colOff>
      <xdr:row>88</xdr:row>
      <xdr:rowOff>106680</xdr:rowOff>
    </xdr:to>
    <xdr:sp macro="" textlink="">
      <xdr:nvSpPr>
        <xdr:cNvPr id="6835" name="AutoShape 1715" descr="CHILE2"/>
        <xdr:cNvSpPr>
          <a:spLocks noChangeAspect="1" noChangeArrowheads="1"/>
        </xdr:cNvSpPr>
      </xdr:nvSpPr>
      <xdr:spPr bwMode="auto">
        <a:xfrm>
          <a:off x="0" y="18013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88</xdr:row>
      <xdr:rowOff>0</xdr:rowOff>
    </xdr:from>
    <xdr:to>
      <xdr:col>22</xdr:col>
      <xdr:colOff>304800</xdr:colOff>
      <xdr:row>89</xdr:row>
      <xdr:rowOff>53340</xdr:rowOff>
    </xdr:to>
    <xdr:sp macro="" textlink="">
      <xdr:nvSpPr>
        <xdr:cNvPr id="6836" name="AutoShape 1716" descr="https://www.soccerstats.com/img/own/sshplogo.png">
          <a:hlinkClick xmlns:r="http://schemas.openxmlformats.org/officeDocument/2006/relationships" r:id="rId746"/>
        </xdr:cNvPr>
        <xdr:cNvSpPr>
          <a:spLocks noChangeAspect="1" noChangeArrowheads="1"/>
        </xdr:cNvSpPr>
      </xdr:nvSpPr>
      <xdr:spPr bwMode="auto">
        <a:xfrm>
          <a:off x="13411200" y="18013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152400</xdr:colOff>
      <xdr:row>89</xdr:row>
      <xdr:rowOff>106680</xdr:rowOff>
    </xdr:to>
    <xdr:sp macro="" textlink="">
      <xdr:nvSpPr>
        <xdr:cNvPr id="6837" name="AutoShape 1717" descr="CHILE2"/>
        <xdr:cNvSpPr>
          <a:spLocks noChangeAspect="1" noChangeArrowheads="1"/>
        </xdr:cNvSpPr>
      </xdr:nvSpPr>
      <xdr:spPr bwMode="auto">
        <a:xfrm>
          <a:off x="0" y="18265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89</xdr:row>
      <xdr:rowOff>0</xdr:rowOff>
    </xdr:from>
    <xdr:to>
      <xdr:col>22</xdr:col>
      <xdr:colOff>304800</xdr:colOff>
      <xdr:row>90</xdr:row>
      <xdr:rowOff>53340</xdr:rowOff>
    </xdr:to>
    <xdr:sp macro="" textlink="">
      <xdr:nvSpPr>
        <xdr:cNvPr id="6838" name="AutoShape 1718" descr="https://www.soccerstats.com/img/own/sshplogo.png">
          <a:hlinkClick xmlns:r="http://schemas.openxmlformats.org/officeDocument/2006/relationships" r:id="rId747"/>
        </xdr:cNvPr>
        <xdr:cNvSpPr>
          <a:spLocks noChangeAspect="1" noChangeArrowheads="1"/>
        </xdr:cNvSpPr>
      </xdr:nvSpPr>
      <xdr:spPr bwMode="auto">
        <a:xfrm>
          <a:off x="13411200" y="18265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152400</xdr:colOff>
      <xdr:row>90</xdr:row>
      <xdr:rowOff>106680</xdr:rowOff>
    </xdr:to>
    <xdr:sp macro="" textlink="">
      <xdr:nvSpPr>
        <xdr:cNvPr id="6839" name="AutoShape 1719" descr="CHILE2"/>
        <xdr:cNvSpPr>
          <a:spLocks noChangeAspect="1" noChangeArrowheads="1"/>
        </xdr:cNvSpPr>
      </xdr:nvSpPr>
      <xdr:spPr bwMode="auto">
        <a:xfrm>
          <a:off x="0" y="18440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90</xdr:row>
      <xdr:rowOff>0</xdr:rowOff>
    </xdr:from>
    <xdr:to>
      <xdr:col>22</xdr:col>
      <xdr:colOff>304800</xdr:colOff>
      <xdr:row>91</xdr:row>
      <xdr:rowOff>129540</xdr:rowOff>
    </xdr:to>
    <xdr:sp macro="" textlink="">
      <xdr:nvSpPr>
        <xdr:cNvPr id="6840" name="AutoShape 1720" descr="https://www.soccerstats.com/img/own/sshplogo.png">
          <a:hlinkClick xmlns:r="http://schemas.openxmlformats.org/officeDocument/2006/relationships" r:id="rId748"/>
        </xdr:cNvPr>
        <xdr:cNvSpPr>
          <a:spLocks noChangeAspect="1" noChangeArrowheads="1"/>
        </xdr:cNvSpPr>
      </xdr:nvSpPr>
      <xdr:spPr bwMode="auto">
        <a:xfrm>
          <a:off x="13411200" y="18440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152400</xdr:colOff>
      <xdr:row>91</xdr:row>
      <xdr:rowOff>106680</xdr:rowOff>
    </xdr:to>
    <xdr:sp macro="" textlink="">
      <xdr:nvSpPr>
        <xdr:cNvPr id="6841" name="AutoShape 1721" descr="CHINA2"/>
        <xdr:cNvSpPr>
          <a:spLocks noChangeAspect="1" noChangeArrowheads="1"/>
        </xdr:cNvSpPr>
      </xdr:nvSpPr>
      <xdr:spPr bwMode="auto">
        <a:xfrm>
          <a:off x="0" y="18615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91</xdr:row>
      <xdr:rowOff>0</xdr:rowOff>
    </xdr:from>
    <xdr:to>
      <xdr:col>22</xdr:col>
      <xdr:colOff>304800</xdr:colOff>
      <xdr:row>92</xdr:row>
      <xdr:rowOff>129540</xdr:rowOff>
    </xdr:to>
    <xdr:sp macro="" textlink="">
      <xdr:nvSpPr>
        <xdr:cNvPr id="6842" name="AutoShape 1722" descr="https://www.soccerstats.com/img/own/sshplogo.png">
          <a:hlinkClick xmlns:r="http://schemas.openxmlformats.org/officeDocument/2006/relationships" r:id="rId749"/>
        </xdr:cNvPr>
        <xdr:cNvSpPr>
          <a:spLocks noChangeAspect="1" noChangeArrowheads="1"/>
        </xdr:cNvSpPr>
      </xdr:nvSpPr>
      <xdr:spPr bwMode="auto">
        <a:xfrm>
          <a:off x="13411200" y="18615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152400</xdr:colOff>
      <xdr:row>92</xdr:row>
      <xdr:rowOff>106680</xdr:rowOff>
    </xdr:to>
    <xdr:sp macro="" textlink="">
      <xdr:nvSpPr>
        <xdr:cNvPr id="6843" name="AutoShape 1723" descr="CHINA2"/>
        <xdr:cNvSpPr>
          <a:spLocks noChangeAspect="1" noChangeArrowheads="1"/>
        </xdr:cNvSpPr>
      </xdr:nvSpPr>
      <xdr:spPr bwMode="auto">
        <a:xfrm>
          <a:off x="0" y="18867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92</xdr:row>
      <xdr:rowOff>0</xdr:rowOff>
    </xdr:from>
    <xdr:to>
      <xdr:col>22</xdr:col>
      <xdr:colOff>304800</xdr:colOff>
      <xdr:row>93</xdr:row>
      <xdr:rowOff>129540</xdr:rowOff>
    </xdr:to>
    <xdr:sp macro="" textlink="">
      <xdr:nvSpPr>
        <xdr:cNvPr id="6844" name="AutoShape 1724" descr="https://www.soccerstats.com/img/own/sshplogo.png">
          <a:hlinkClick xmlns:r="http://schemas.openxmlformats.org/officeDocument/2006/relationships" r:id="rId750"/>
        </xdr:cNvPr>
        <xdr:cNvSpPr>
          <a:spLocks noChangeAspect="1" noChangeArrowheads="1"/>
        </xdr:cNvSpPr>
      </xdr:nvSpPr>
      <xdr:spPr bwMode="auto">
        <a:xfrm>
          <a:off x="13411200" y="18867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152400</xdr:colOff>
      <xdr:row>93</xdr:row>
      <xdr:rowOff>106680</xdr:rowOff>
    </xdr:to>
    <xdr:sp macro="" textlink="">
      <xdr:nvSpPr>
        <xdr:cNvPr id="6845" name="AutoShape 1725" descr="CHINA2"/>
        <xdr:cNvSpPr>
          <a:spLocks noChangeAspect="1" noChangeArrowheads="1"/>
        </xdr:cNvSpPr>
      </xdr:nvSpPr>
      <xdr:spPr bwMode="auto">
        <a:xfrm>
          <a:off x="0" y="19118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93</xdr:row>
      <xdr:rowOff>0</xdr:rowOff>
    </xdr:from>
    <xdr:to>
      <xdr:col>22</xdr:col>
      <xdr:colOff>304800</xdr:colOff>
      <xdr:row>94</xdr:row>
      <xdr:rowOff>129540</xdr:rowOff>
    </xdr:to>
    <xdr:sp macro="" textlink="">
      <xdr:nvSpPr>
        <xdr:cNvPr id="6846" name="AutoShape 1726" descr="https://www.soccerstats.com/img/own/sshplogo.png">
          <a:hlinkClick xmlns:r="http://schemas.openxmlformats.org/officeDocument/2006/relationships" r:id="rId751"/>
        </xdr:cNvPr>
        <xdr:cNvSpPr>
          <a:spLocks noChangeAspect="1" noChangeArrowheads="1"/>
        </xdr:cNvSpPr>
      </xdr:nvSpPr>
      <xdr:spPr bwMode="auto">
        <a:xfrm>
          <a:off x="13411200" y="19118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152400</xdr:colOff>
      <xdr:row>94</xdr:row>
      <xdr:rowOff>106680</xdr:rowOff>
    </xdr:to>
    <xdr:sp macro="" textlink="">
      <xdr:nvSpPr>
        <xdr:cNvPr id="6847" name="AutoShape 1727" descr="CHINA2"/>
        <xdr:cNvSpPr>
          <a:spLocks noChangeAspect="1" noChangeArrowheads="1"/>
        </xdr:cNvSpPr>
      </xdr:nvSpPr>
      <xdr:spPr bwMode="auto">
        <a:xfrm>
          <a:off x="0" y="19370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94</xdr:row>
      <xdr:rowOff>0</xdr:rowOff>
    </xdr:from>
    <xdr:to>
      <xdr:col>22</xdr:col>
      <xdr:colOff>304800</xdr:colOff>
      <xdr:row>95</xdr:row>
      <xdr:rowOff>129540</xdr:rowOff>
    </xdr:to>
    <xdr:sp macro="" textlink="">
      <xdr:nvSpPr>
        <xdr:cNvPr id="6848" name="AutoShape 1728" descr="https://www.soccerstats.com/img/own/sshplogo.png">
          <a:hlinkClick xmlns:r="http://schemas.openxmlformats.org/officeDocument/2006/relationships" r:id="rId752"/>
        </xdr:cNvPr>
        <xdr:cNvSpPr>
          <a:spLocks noChangeAspect="1" noChangeArrowheads="1"/>
        </xdr:cNvSpPr>
      </xdr:nvSpPr>
      <xdr:spPr bwMode="auto">
        <a:xfrm>
          <a:off x="13411200" y="19370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152400</xdr:colOff>
      <xdr:row>95</xdr:row>
      <xdr:rowOff>106680</xdr:rowOff>
    </xdr:to>
    <xdr:sp macro="" textlink="">
      <xdr:nvSpPr>
        <xdr:cNvPr id="6849" name="AutoShape 1729" descr="COLOMBIA2"/>
        <xdr:cNvSpPr>
          <a:spLocks noChangeAspect="1" noChangeArrowheads="1"/>
        </xdr:cNvSpPr>
      </xdr:nvSpPr>
      <xdr:spPr bwMode="auto">
        <a:xfrm>
          <a:off x="0" y="19545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95</xdr:row>
      <xdr:rowOff>0</xdr:rowOff>
    </xdr:from>
    <xdr:to>
      <xdr:col>22</xdr:col>
      <xdr:colOff>304800</xdr:colOff>
      <xdr:row>96</xdr:row>
      <xdr:rowOff>53340</xdr:rowOff>
    </xdr:to>
    <xdr:sp macro="" textlink="">
      <xdr:nvSpPr>
        <xdr:cNvPr id="6850" name="AutoShape 1730" descr="https://www.soccerstats.com/img/own/sshplogo.png">
          <a:hlinkClick xmlns:r="http://schemas.openxmlformats.org/officeDocument/2006/relationships" r:id="rId753"/>
        </xdr:cNvPr>
        <xdr:cNvSpPr>
          <a:spLocks noChangeAspect="1" noChangeArrowheads="1"/>
        </xdr:cNvSpPr>
      </xdr:nvSpPr>
      <xdr:spPr bwMode="auto">
        <a:xfrm>
          <a:off x="13411200" y="1954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152400</xdr:colOff>
      <xdr:row>96</xdr:row>
      <xdr:rowOff>106680</xdr:rowOff>
    </xdr:to>
    <xdr:sp macro="" textlink="">
      <xdr:nvSpPr>
        <xdr:cNvPr id="6851" name="AutoShape 1731" descr="COLOMBIA2"/>
        <xdr:cNvSpPr>
          <a:spLocks noChangeAspect="1" noChangeArrowheads="1"/>
        </xdr:cNvSpPr>
      </xdr:nvSpPr>
      <xdr:spPr bwMode="auto">
        <a:xfrm>
          <a:off x="0" y="19720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96</xdr:row>
      <xdr:rowOff>0</xdr:rowOff>
    </xdr:from>
    <xdr:to>
      <xdr:col>22</xdr:col>
      <xdr:colOff>304800</xdr:colOff>
      <xdr:row>97</xdr:row>
      <xdr:rowOff>129540</xdr:rowOff>
    </xdr:to>
    <xdr:sp macro="" textlink="">
      <xdr:nvSpPr>
        <xdr:cNvPr id="6852" name="AutoShape 1732" descr="https://www.soccerstats.com/img/own/sshplogo.png">
          <a:hlinkClick xmlns:r="http://schemas.openxmlformats.org/officeDocument/2006/relationships" r:id="rId754"/>
        </xdr:cNvPr>
        <xdr:cNvSpPr>
          <a:spLocks noChangeAspect="1" noChangeArrowheads="1"/>
        </xdr:cNvSpPr>
      </xdr:nvSpPr>
      <xdr:spPr bwMode="auto">
        <a:xfrm>
          <a:off x="13411200" y="19720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152400</xdr:colOff>
      <xdr:row>97</xdr:row>
      <xdr:rowOff>106680</xdr:rowOff>
    </xdr:to>
    <xdr:sp macro="" textlink="">
      <xdr:nvSpPr>
        <xdr:cNvPr id="6853" name="AutoShape 1733" descr="COLOMBIA2"/>
        <xdr:cNvSpPr>
          <a:spLocks noChangeAspect="1" noChangeArrowheads="1"/>
        </xdr:cNvSpPr>
      </xdr:nvSpPr>
      <xdr:spPr bwMode="auto">
        <a:xfrm>
          <a:off x="0" y="19972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97</xdr:row>
      <xdr:rowOff>0</xdr:rowOff>
    </xdr:from>
    <xdr:to>
      <xdr:col>22</xdr:col>
      <xdr:colOff>304800</xdr:colOff>
      <xdr:row>98</xdr:row>
      <xdr:rowOff>129540</xdr:rowOff>
    </xdr:to>
    <xdr:sp macro="" textlink="">
      <xdr:nvSpPr>
        <xdr:cNvPr id="6854" name="AutoShape 1734" descr="https://www.soccerstats.com/img/own/sshplogo.png">
          <a:hlinkClick xmlns:r="http://schemas.openxmlformats.org/officeDocument/2006/relationships" r:id="rId755"/>
        </xdr:cNvPr>
        <xdr:cNvSpPr>
          <a:spLocks noChangeAspect="1" noChangeArrowheads="1"/>
        </xdr:cNvSpPr>
      </xdr:nvSpPr>
      <xdr:spPr bwMode="auto">
        <a:xfrm>
          <a:off x="13411200" y="19972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152400</xdr:colOff>
      <xdr:row>98</xdr:row>
      <xdr:rowOff>106680</xdr:rowOff>
    </xdr:to>
    <xdr:sp macro="" textlink="">
      <xdr:nvSpPr>
        <xdr:cNvPr id="6855" name="AutoShape 1735" descr="COSTARICA"/>
        <xdr:cNvSpPr>
          <a:spLocks noChangeAspect="1" noChangeArrowheads="1"/>
        </xdr:cNvSpPr>
      </xdr:nvSpPr>
      <xdr:spPr bwMode="auto">
        <a:xfrm>
          <a:off x="0" y="20223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98</xdr:row>
      <xdr:rowOff>0</xdr:rowOff>
    </xdr:from>
    <xdr:to>
      <xdr:col>22</xdr:col>
      <xdr:colOff>304800</xdr:colOff>
      <xdr:row>99</xdr:row>
      <xdr:rowOff>129540</xdr:rowOff>
    </xdr:to>
    <xdr:sp macro="" textlink="">
      <xdr:nvSpPr>
        <xdr:cNvPr id="6856" name="AutoShape 1736" descr="https://www.soccerstats.com/img/own/sshplogo.png">
          <a:hlinkClick xmlns:r="http://schemas.openxmlformats.org/officeDocument/2006/relationships" r:id="rId756"/>
        </xdr:cNvPr>
        <xdr:cNvSpPr>
          <a:spLocks noChangeAspect="1" noChangeArrowheads="1"/>
        </xdr:cNvSpPr>
      </xdr:nvSpPr>
      <xdr:spPr bwMode="auto">
        <a:xfrm>
          <a:off x="13411200" y="20223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152400</xdr:colOff>
      <xdr:row>99</xdr:row>
      <xdr:rowOff>106680</xdr:rowOff>
    </xdr:to>
    <xdr:sp macro="" textlink="">
      <xdr:nvSpPr>
        <xdr:cNvPr id="6857" name="AutoShape 1737" descr="COSTARICA"/>
        <xdr:cNvSpPr>
          <a:spLocks noChangeAspect="1" noChangeArrowheads="1"/>
        </xdr:cNvSpPr>
      </xdr:nvSpPr>
      <xdr:spPr bwMode="auto">
        <a:xfrm>
          <a:off x="0" y="20398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99</xdr:row>
      <xdr:rowOff>0</xdr:rowOff>
    </xdr:from>
    <xdr:to>
      <xdr:col>22</xdr:col>
      <xdr:colOff>304800</xdr:colOff>
      <xdr:row>100</xdr:row>
      <xdr:rowOff>129540</xdr:rowOff>
    </xdr:to>
    <xdr:sp macro="" textlink="">
      <xdr:nvSpPr>
        <xdr:cNvPr id="6858" name="AutoShape 1738" descr="https://www.soccerstats.com/img/own/sshplogo.png">
          <a:hlinkClick xmlns:r="http://schemas.openxmlformats.org/officeDocument/2006/relationships" r:id="rId757"/>
        </xdr:cNvPr>
        <xdr:cNvSpPr>
          <a:spLocks noChangeAspect="1" noChangeArrowheads="1"/>
        </xdr:cNvSpPr>
      </xdr:nvSpPr>
      <xdr:spPr bwMode="auto">
        <a:xfrm>
          <a:off x="13411200" y="20398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152400</xdr:colOff>
      <xdr:row>100</xdr:row>
      <xdr:rowOff>106680</xdr:rowOff>
    </xdr:to>
    <xdr:sp macro="" textlink="">
      <xdr:nvSpPr>
        <xdr:cNvPr id="6859" name="AutoShape 1739" descr="CROATIA"/>
        <xdr:cNvSpPr>
          <a:spLocks noChangeAspect="1" noChangeArrowheads="1"/>
        </xdr:cNvSpPr>
      </xdr:nvSpPr>
      <xdr:spPr bwMode="auto">
        <a:xfrm>
          <a:off x="0" y="20574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100</xdr:row>
      <xdr:rowOff>0</xdr:rowOff>
    </xdr:from>
    <xdr:to>
      <xdr:col>22</xdr:col>
      <xdr:colOff>304800</xdr:colOff>
      <xdr:row>101</xdr:row>
      <xdr:rowOff>129540</xdr:rowOff>
    </xdr:to>
    <xdr:sp macro="" textlink="">
      <xdr:nvSpPr>
        <xdr:cNvPr id="6860" name="AutoShape 1740" descr="https://www.soccerstats.com/img/own/sshplogo.png">
          <a:hlinkClick xmlns:r="http://schemas.openxmlformats.org/officeDocument/2006/relationships" r:id="rId758"/>
        </xdr:cNvPr>
        <xdr:cNvSpPr>
          <a:spLocks noChangeAspect="1" noChangeArrowheads="1"/>
        </xdr:cNvSpPr>
      </xdr:nvSpPr>
      <xdr:spPr bwMode="auto">
        <a:xfrm>
          <a:off x="13411200" y="205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152400</xdr:colOff>
      <xdr:row>101</xdr:row>
      <xdr:rowOff>106680</xdr:rowOff>
    </xdr:to>
    <xdr:sp macro="" textlink="">
      <xdr:nvSpPr>
        <xdr:cNvPr id="6861" name="AutoShape 1741" descr="CROATIA"/>
        <xdr:cNvSpPr>
          <a:spLocks noChangeAspect="1" noChangeArrowheads="1"/>
        </xdr:cNvSpPr>
      </xdr:nvSpPr>
      <xdr:spPr bwMode="auto">
        <a:xfrm>
          <a:off x="0" y="20749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101</xdr:row>
      <xdr:rowOff>0</xdr:rowOff>
    </xdr:from>
    <xdr:to>
      <xdr:col>22</xdr:col>
      <xdr:colOff>304800</xdr:colOff>
      <xdr:row>102</xdr:row>
      <xdr:rowOff>129540</xdr:rowOff>
    </xdr:to>
    <xdr:sp macro="" textlink="">
      <xdr:nvSpPr>
        <xdr:cNvPr id="6862" name="AutoShape 1742" descr="https://www.soccerstats.com/img/own/sshplogo.png">
          <a:hlinkClick xmlns:r="http://schemas.openxmlformats.org/officeDocument/2006/relationships" r:id="rId759"/>
        </xdr:cNvPr>
        <xdr:cNvSpPr>
          <a:spLocks noChangeAspect="1" noChangeArrowheads="1"/>
        </xdr:cNvSpPr>
      </xdr:nvSpPr>
      <xdr:spPr bwMode="auto">
        <a:xfrm>
          <a:off x="13411200" y="20749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152400</xdr:colOff>
      <xdr:row>102</xdr:row>
      <xdr:rowOff>106680</xdr:rowOff>
    </xdr:to>
    <xdr:sp macro="" textlink="">
      <xdr:nvSpPr>
        <xdr:cNvPr id="6863" name="AutoShape 1743" descr="CZECHREPUBLIC2"/>
        <xdr:cNvSpPr>
          <a:spLocks noChangeAspect="1" noChangeArrowheads="1"/>
        </xdr:cNvSpPr>
      </xdr:nvSpPr>
      <xdr:spPr bwMode="auto">
        <a:xfrm>
          <a:off x="0" y="20924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102</xdr:row>
      <xdr:rowOff>0</xdr:rowOff>
    </xdr:from>
    <xdr:to>
      <xdr:col>22</xdr:col>
      <xdr:colOff>304800</xdr:colOff>
      <xdr:row>103</xdr:row>
      <xdr:rowOff>53340</xdr:rowOff>
    </xdr:to>
    <xdr:sp macro="" textlink="">
      <xdr:nvSpPr>
        <xdr:cNvPr id="6864" name="AutoShape 1744" descr="https://www.soccerstats.com/img/own/sshplogo.png">
          <a:hlinkClick xmlns:r="http://schemas.openxmlformats.org/officeDocument/2006/relationships" r:id="rId760"/>
        </xdr:cNvPr>
        <xdr:cNvSpPr>
          <a:spLocks noChangeAspect="1" noChangeArrowheads="1"/>
        </xdr:cNvSpPr>
      </xdr:nvSpPr>
      <xdr:spPr bwMode="auto">
        <a:xfrm>
          <a:off x="13411200" y="20924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152400</xdr:colOff>
      <xdr:row>103</xdr:row>
      <xdr:rowOff>106680</xdr:rowOff>
    </xdr:to>
    <xdr:sp macro="" textlink="">
      <xdr:nvSpPr>
        <xdr:cNvPr id="6865" name="AutoShape 1745" descr="DENMARK"/>
        <xdr:cNvSpPr>
          <a:spLocks noChangeAspect="1" noChangeArrowheads="1"/>
        </xdr:cNvSpPr>
      </xdr:nvSpPr>
      <xdr:spPr bwMode="auto">
        <a:xfrm>
          <a:off x="0" y="21175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103</xdr:row>
      <xdr:rowOff>0</xdr:rowOff>
    </xdr:from>
    <xdr:to>
      <xdr:col>22</xdr:col>
      <xdr:colOff>304800</xdr:colOff>
      <xdr:row>104</xdr:row>
      <xdr:rowOff>129540</xdr:rowOff>
    </xdr:to>
    <xdr:sp macro="" textlink="">
      <xdr:nvSpPr>
        <xdr:cNvPr id="6866" name="AutoShape 1746" descr="https://www.soccerstats.com/img/own/sshplogo.png">
          <a:hlinkClick xmlns:r="http://schemas.openxmlformats.org/officeDocument/2006/relationships" r:id="rId761"/>
        </xdr:cNvPr>
        <xdr:cNvSpPr>
          <a:spLocks noChangeAspect="1" noChangeArrowheads="1"/>
        </xdr:cNvSpPr>
      </xdr:nvSpPr>
      <xdr:spPr bwMode="auto">
        <a:xfrm>
          <a:off x="13411200" y="21175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152400</xdr:colOff>
      <xdr:row>104</xdr:row>
      <xdr:rowOff>106680</xdr:rowOff>
    </xdr:to>
    <xdr:sp macro="" textlink="">
      <xdr:nvSpPr>
        <xdr:cNvPr id="6867" name="AutoShape 1747" descr="DENMARK"/>
        <xdr:cNvSpPr>
          <a:spLocks noChangeAspect="1" noChangeArrowheads="1"/>
        </xdr:cNvSpPr>
      </xdr:nvSpPr>
      <xdr:spPr bwMode="auto">
        <a:xfrm>
          <a:off x="0" y="21351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104</xdr:row>
      <xdr:rowOff>0</xdr:rowOff>
    </xdr:from>
    <xdr:to>
      <xdr:col>22</xdr:col>
      <xdr:colOff>304800</xdr:colOff>
      <xdr:row>105</xdr:row>
      <xdr:rowOff>53340</xdr:rowOff>
    </xdr:to>
    <xdr:sp macro="" textlink="">
      <xdr:nvSpPr>
        <xdr:cNvPr id="6868" name="AutoShape 1748" descr="https://www.soccerstats.com/img/own/sshplogo.png">
          <a:hlinkClick xmlns:r="http://schemas.openxmlformats.org/officeDocument/2006/relationships" r:id="rId762"/>
        </xdr:cNvPr>
        <xdr:cNvSpPr>
          <a:spLocks noChangeAspect="1" noChangeArrowheads="1"/>
        </xdr:cNvSpPr>
      </xdr:nvSpPr>
      <xdr:spPr bwMode="auto">
        <a:xfrm>
          <a:off x="13411200" y="21351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152400</xdr:colOff>
      <xdr:row>105</xdr:row>
      <xdr:rowOff>106680</xdr:rowOff>
    </xdr:to>
    <xdr:sp macro="" textlink="">
      <xdr:nvSpPr>
        <xdr:cNvPr id="6869" name="AutoShape 1749" descr="DENMARK"/>
        <xdr:cNvSpPr>
          <a:spLocks noChangeAspect="1" noChangeArrowheads="1"/>
        </xdr:cNvSpPr>
      </xdr:nvSpPr>
      <xdr:spPr bwMode="auto">
        <a:xfrm>
          <a:off x="0" y="21526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105</xdr:row>
      <xdr:rowOff>0</xdr:rowOff>
    </xdr:from>
    <xdr:to>
      <xdr:col>22</xdr:col>
      <xdr:colOff>304800</xdr:colOff>
      <xdr:row>106</xdr:row>
      <xdr:rowOff>129540</xdr:rowOff>
    </xdr:to>
    <xdr:sp macro="" textlink="">
      <xdr:nvSpPr>
        <xdr:cNvPr id="6870" name="AutoShape 1750" descr="https://www.soccerstats.com/img/own/sshplogo.png">
          <a:hlinkClick xmlns:r="http://schemas.openxmlformats.org/officeDocument/2006/relationships" r:id="rId763"/>
        </xdr:cNvPr>
        <xdr:cNvSpPr>
          <a:spLocks noChangeAspect="1" noChangeArrowheads="1"/>
        </xdr:cNvSpPr>
      </xdr:nvSpPr>
      <xdr:spPr bwMode="auto">
        <a:xfrm>
          <a:off x="13411200" y="2152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152400</xdr:colOff>
      <xdr:row>106</xdr:row>
      <xdr:rowOff>106680</xdr:rowOff>
    </xdr:to>
    <xdr:sp macro="" textlink="">
      <xdr:nvSpPr>
        <xdr:cNvPr id="6871" name="AutoShape 1751" descr="DENMARK"/>
        <xdr:cNvSpPr>
          <a:spLocks noChangeAspect="1" noChangeArrowheads="1"/>
        </xdr:cNvSpPr>
      </xdr:nvSpPr>
      <xdr:spPr bwMode="auto">
        <a:xfrm>
          <a:off x="0" y="21777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106</xdr:row>
      <xdr:rowOff>0</xdr:rowOff>
    </xdr:from>
    <xdr:to>
      <xdr:col>22</xdr:col>
      <xdr:colOff>304800</xdr:colOff>
      <xdr:row>107</xdr:row>
      <xdr:rowOff>53340</xdr:rowOff>
    </xdr:to>
    <xdr:sp macro="" textlink="">
      <xdr:nvSpPr>
        <xdr:cNvPr id="6872" name="AutoShape 1752" descr="https://www.soccerstats.com/img/own/sshplogo.png">
          <a:hlinkClick xmlns:r="http://schemas.openxmlformats.org/officeDocument/2006/relationships" r:id="rId764"/>
        </xdr:cNvPr>
        <xdr:cNvSpPr>
          <a:spLocks noChangeAspect="1" noChangeArrowheads="1"/>
        </xdr:cNvSpPr>
      </xdr:nvSpPr>
      <xdr:spPr bwMode="auto">
        <a:xfrm>
          <a:off x="13411200" y="21777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152400</xdr:colOff>
      <xdr:row>107</xdr:row>
      <xdr:rowOff>106680</xdr:rowOff>
    </xdr:to>
    <xdr:sp macro="" textlink="">
      <xdr:nvSpPr>
        <xdr:cNvPr id="6873" name="AutoShape 1753" descr="DENMARK2"/>
        <xdr:cNvSpPr>
          <a:spLocks noChangeAspect="1" noChangeArrowheads="1"/>
        </xdr:cNvSpPr>
      </xdr:nvSpPr>
      <xdr:spPr bwMode="auto">
        <a:xfrm>
          <a:off x="0" y="22029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107</xdr:row>
      <xdr:rowOff>0</xdr:rowOff>
    </xdr:from>
    <xdr:to>
      <xdr:col>22</xdr:col>
      <xdr:colOff>304800</xdr:colOff>
      <xdr:row>108</xdr:row>
      <xdr:rowOff>53340</xdr:rowOff>
    </xdr:to>
    <xdr:sp macro="" textlink="">
      <xdr:nvSpPr>
        <xdr:cNvPr id="6874" name="AutoShape 1754" descr="https://www.soccerstats.com/img/own/sshplogo.png">
          <a:hlinkClick xmlns:r="http://schemas.openxmlformats.org/officeDocument/2006/relationships" r:id="rId765"/>
        </xdr:cNvPr>
        <xdr:cNvSpPr>
          <a:spLocks noChangeAspect="1" noChangeArrowheads="1"/>
        </xdr:cNvSpPr>
      </xdr:nvSpPr>
      <xdr:spPr bwMode="auto">
        <a:xfrm>
          <a:off x="13411200" y="22029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152400</xdr:colOff>
      <xdr:row>108</xdr:row>
      <xdr:rowOff>106680</xdr:rowOff>
    </xdr:to>
    <xdr:sp macro="" textlink="">
      <xdr:nvSpPr>
        <xdr:cNvPr id="6875" name="AutoShape 1755" descr="ECUADOR"/>
        <xdr:cNvSpPr>
          <a:spLocks noChangeAspect="1" noChangeArrowheads="1"/>
        </xdr:cNvSpPr>
      </xdr:nvSpPr>
      <xdr:spPr bwMode="auto">
        <a:xfrm>
          <a:off x="0" y="22280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108</xdr:row>
      <xdr:rowOff>0</xdr:rowOff>
    </xdr:from>
    <xdr:to>
      <xdr:col>22</xdr:col>
      <xdr:colOff>304800</xdr:colOff>
      <xdr:row>109</xdr:row>
      <xdr:rowOff>129540</xdr:rowOff>
    </xdr:to>
    <xdr:sp macro="" textlink="">
      <xdr:nvSpPr>
        <xdr:cNvPr id="6876" name="AutoShape 1756" descr="https://www.soccerstats.com/img/own/sshplogo.png">
          <a:hlinkClick xmlns:r="http://schemas.openxmlformats.org/officeDocument/2006/relationships" r:id="rId766"/>
        </xdr:cNvPr>
        <xdr:cNvSpPr>
          <a:spLocks noChangeAspect="1" noChangeArrowheads="1"/>
        </xdr:cNvSpPr>
      </xdr:nvSpPr>
      <xdr:spPr bwMode="auto">
        <a:xfrm>
          <a:off x="13411200" y="22280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152400</xdr:colOff>
      <xdr:row>109</xdr:row>
      <xdr:rowOff>106680</xdr:rowOff>
    </xdr:to>
    <xdr:sp macro="" textlink="">
      <xdr:nvSpPr>
        <xdr:cNvPr id="6877" name="AutoShape 1757" descr="ECUADOR"/>
        <xdr:cNvSpPr>
          <a:spLocks noChangeAspect="1" noChangeArrowheads="1"/>
        </xdr:cNvSpPr>
      </xdr:nvSpPr>
      <xdr:spPr bwMode="auto">
        <a:xfrm>
          <a:off x="0" y="22456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109</xdr:row>
      <xdr:rowOff>0</xdr:rowOff>
    </xdr:from>
    <xdr:to>
      <xdr:col>22</xdr:col>
      <xdr:colOff>304800</xdr:colOff>
      <xdr:row>110</xdr:row>
      <xdr:rowOff>53340</xdr:rowOff>
    </xdr:to>
    <xdr:sp macro="" textlink="">
      <xdr:nvSpPr>
        <xdr:cNvPr id="6878" name="AutoShape 1758" descr="https://www.soccerstats.com/img/own/sshplogo.png">
          <a:hlinkClick xmlns:r="http://schemas.openxmlformats.org/officeDocument/2006/relationships" r:id="rId767"/>
        </xdr:cNvPr>
        <xdr:cNvSpPr>
          <a:spLocks noChangeAspect="1" noChangeArrowheads="1"/>
        </xdr:cNvSpPr>
      </xdr:nvSpPr>
      <xdr:spPr bwMode="auto">
        <a:xfrm>
          <a:off x="13411200" y="22456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152400</xdr:colOff>
      <xdr:row>110</xdr:row>
      <xdr:rowOff>106680</xdr:rowOff>
    </xdr:to>
    <xdr:sp macro="" textlink="">
      <xdr:nvSpPr>
        <xdr:cNvPr id="6879" name="AutoShape 1759" descr="ECUADOR"/>
        <xdr:cNvSpPr>
          <a:spLocks noChangeAspect="1" noChangeArrowheads="1"/>
        </xdr:cNvSpPr>
      </xdr:nvSpPr>
      <xdr:spPr bwMode="auto">
        <a:xfrm>
          <a:off x="0" y="22631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110</xdr:row>
      <xdr:rowOff>0</xdr:rowOff>
    </xdr:from>
    <xdr:to>
      <xdr:col>22</xdr:col>
      <xdr:colOff>304800</xdr:colOff>
      <xdr:row>111</xdr:row>
      <xdr:rowOff>129540</xdr:rowOff>
    </xdr:to>
    <xdr:sp macro="" textlink="">
      <xdr:nvSpPr>
        <xdr:cNvPr id="6880" name="AutoShape 1760" descr="https://www.soccerstats.com/img/own/sshplogo.png">
          <a:hlinkClick xmlns:r="http://schemas.openxmlformats.org/officeDocument/2006/relationships" r:id="rId768"/>
        </xdr:cNvPr>
        <xdr:cNvSpPr>
          <a:spLocks noChangeAspect="1" noChangeArrowheads="1"/>
        </xdr:cNvSpPr>
      </xdr:nvSpPr>
      <xdr:spPr bwMode="auto">
        <a:xfrm>
          <a:off x="13411200" y="22631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152400</xdr:colOff>
      <xdr:row>111</xdr:row>
      <xdr:rowOff>106680</xdr:rowOff>
    </xdr:to>
    <xdr:sp macro="" textlink="">
      <xdr:nvSpPr>
        <xdr:cNvPr id="6881" name="AutoShape 1761" descr="ESTONIA"/>
        <xdr:cNvSpPr>
          <a:spLocks noChangeAspect="1" noChangeArrowheads="1"/>
        </xdr:cNvSpPr>
      </xdr:nvSpPr>
      <xdr:spPr bwMode="auto">
        <a:xfrm>
          <a:off x="0" y="22806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111</xdr:row>
      <xdr:rowOff>0</xdr:rowOff>
    </xdr:from>
    <xdr:to>
      <xdr:col>22</xdr:col>
      <xdr:colOff>304800</xdr:colOff>
      <xdr:row>112</xdr:row>
      <xdr:rowOff>53340</xdr:rowOff>
    </xdr:to>
    <xdr:sp macro="" textlink="">
      <xdr:nvSpPr>
        <xdr:cNvPr id="6882" name="AutoShape 1762" descr="https://www.soccerstats.com/img/own/sshplogo.png">
          <a:hlinkClick xmlns:r="http://schemas.openxmlformats.org/officeDocument/2006/relationships" r:id="rId769"/>
        </xdr:cNvPr>
        <xdr:cNvSpPr>
          <a:spLocks noChangeAspect="1" noChangeArrowheads="1"/>
        </xdr:cNvSpPr>
      </xdr:nvSpPr>
      <xdr:spPr bwMode="auto">
        <a:xfrm>
          <a:off x="13411200" y="22806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152400</xdr:colOff>
      <xdr:row>112</xdr:row>
      <xdr:rowOff>106680</xdr:rowOff>
    </xdr:to>
    <xdr:sp macro="" textlink="">
      <xdr:nvSpPr>
        <xdr:cNvPr id="6883" name="AutoShape 1763" descr="ESTONIA"/>
        <xdr:cNvSpPr>
          <a:spLocks noChangeAspect="1" noChangeArrowheads="1"/>
        </xdr:cNvSpPr>
      </xdr:nvSpPr>
      <xdr:spPr bwMode="auto">
        <a:xfrm>
          <a:off x="0" y="22981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112</xdr:row>
      <xdr:rowOff>0</xdr:rowOff>
    </xdr:from>
    <xdr:to>
      <xdr:col>22</xdr:col>
      <xdr:colOff>304800</xdr:colOff>
      <xdr:row>113</xdr:row>
      <xdr:rowOff>129540</xdr:rowOff>
    </xdr:to>
    <xdr:sp macro="" textlink="">
      <xdr:nvSpPr>
        <xdr:cNvPr id="6884" name="AutoShape 1764" descr="https://www.soccerstats.com/img/own/sshplogo.png">
          <a:hlinkClick xmlns:r="http://schemas.openxmlformats.org/officeDocument/2006/relationships" r:id="rId770"/>
        </xdr:cNvPr>
        <xdr:cNvSpPr>
          <a:spLocks noChangeAspect="1" noChangeArrowheads="1"/>
        </xdr:cNvSpPr>
      </xdr:nvSpPr>
      <xdr:spPr bwMode="auto">
        <a:xfrm>
          <a:off x="13411200" y="22981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152400</xdr:colOff>
      <xdr:row>113</xdr:row>
      <xdr:rowOff>106680</xdr:rowOff>
    </xdr:to>
    <xdr:sp macro="" textlink="">
      <xdr:nvSpPr>
        <xdr:cNvPr id="6885" name="AutoShape 1765" descr="ESTONIA"/>
        <xdr:cNvSpPr>
          <a:spLocks noChangeAspect="1" noChangeArrowheads="1"/>
        </xdr:cNvSpPr>
      </xdr:nvSpPr>
      <xdr:spPr bwMode="auto">
        <a:xfrm>
          <a:off x="0" y="23157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113</xdr:row>
      <xdr:rowOff>0</xdr:rowOff>
    </xdr:from>
    <xdr:to>
      <xdr:col>22</xdr:col>
      <xdr:colOff>304800</xdr:colOff>
      <xdr:row>114</xdr:row>
      <xdr:rowOff>53340</xdr:rowOff>
    </xdr:to>
    <xdr:sp macro="" textlink="">
      <xdr:nvSpPr>
        <xdr:cNvPr id="6886" name="AutoShape 1766" descr="https://www.soccerstats.com/img/own/sshplogo.png">
          <a:hlinkClick xmlns:r="http://schemas.openxmlformats.org/officeDocument/2006/relationships" r:id="rId771"/>
        </xdr:cNvPr>
        <xdr:cNvSpPr>
          <a:spLocks noChangeAspect="1" noChangeArrowheads="1"/>
        </xdr:cNvSpPr>
      </xdr:nvSpPr>
      <xdr:spPr bwMode="auto">
        <a:xfrm>
          <a:off x="13411200" y="23157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152400</xdr:colOff>
      <xdr:row>114</xdr:row>
      <xdr:rowOff>106680</xdr:rowOff>
    </xdr:to>
    <xdr:sp macro="" textlink="">
      <xdr:nvSpPr>
        <xdr:cNvPr id="6887" name="AutoShape 1767" descr="ESTONIA"/>
        <xdr:cNvSpPr>
          <a:spLocks noChangeAspect="1" noChangeArrowheads="1"/>
        </xdr:cNvSpPr>
      </xdr:nvSpPr>
      <xdr:spPr bwMode="auto">
        <a:xfrm>
          <a:off x="0" y="23332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114</xdr:row>
      <xdr:rowOff>0</xdr:rowOff>
    </xdr:from>
    <xdr:to>
      <xdr:col>22</xdr:col>
      <xdr:colOff>304800</xdr:colOff>
      <xdr:row>115</xdr:row>
      <xdr:rowOff>53340</xdr:rowOff>
    </xdr:to>
    <xdr:sp macro="" textlink="">
      <xdr:nvSpPr>
        <xdr:cNvPr id="6888" name="AutoShape 1768" descr="https://www.soccerstats.com/img/own/sshplogo.png">
          <a:hlinkClick xmlns:r="http://schemas.openxmlformats.org/officeDocument/2006/relationships" r:id="rId772"/>
        </xdr:cNvPr>
        <xdr:cNvSpPr>
          <a:spLocks noChangeAspect="1" noChangeArrowheads="1"/>
        </xdr:cNvSpPr>
      </xdr:nvSpPr>
      <xdr:spPr bwMode="auto">
        <a:xfrm>
          <a:off x="13411200" y="23332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152400</xdr:colOff>
      <xdr:row>115</xdr:row>
      <xdr:rowOff>106680</xdr:rowOff>
    </xdr:to>
    <xdr:sp macro="" textlink="">
      <xdr:nvSpPr>
        <xdr:cNvPr id="6889" name="AutoShape 1769" descr="FAROEISLANDS"/>
        <xdr:cNvSpPr>
          <a:spLocks noChangeAspect="1" noChangeArrowheads="1"/>
        </xdr:cNvSpPr>
      </xdr:nvSpPr>
      <xdr:spPr bwMode="auto">
        <a:xfrm>
          <a:off x="0" y="23507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115</xdr:row>
      <xdr:rowOff>0</xdr:rowOff>
    </xdr:from>
    <xdr:to>
      <xdr:col>22</xdr:col>
      <xdr:colOff>304800</xdr:colOff>
      <xdr:row>116</xdr:row>
      <xdr:rowOff>129540</xdr:rowOff>
    </xdr:to>
    <xdr:sp macro="" textlink="">
      <xdr:nvSpPr>
        <xdr:cNvPr id="6890" name="AutoShape 1770" descr="https://www.soccerstats.com/img/own/sshplogo.png">
          <a:hlinkClick xmlns:r="http://schemas.openxmlformats.org/officeDocument/2006/relationships" r:id="rId773"/>
        </xdr:cNvPr>
        <xdr:cNvSpPr>
          <a:spLocks noChangeAspect="1" noChangeArrowheads="1"/>
        </xdr:cNvSpPr>
      </xdr:nvSpPr>
      <xdr:spPr bwMode="auto">
        <a:xfrm>
          <a:off x="13411200" y="2350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152400</xdr:colOff>
      <xdr:row>116</xdr:row>
      <xdr:rowOff>106680</xdr:rowOff>
    </xdr:to>
    <xdr:sp macro="" textlink="">
      <xdr:nvSpPr>
        <xdr:cNvPr id="6891" name="AutoShape 1771" descr="FAROEISLANDS"/>
        <xdr:cNvSpPr>
          <a:spLocks noChangeAspect="1" noChangeArrowheads="1"/>
        </xdr:cNvSpPr>
      </xdr:nvSpPr>
      <xdr:spPr bwMode="auto">
        <a:xfrm>
          <a:off x="0" y="23682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116</xdr:row>
      <xdr:rowOff>0</xdr:rowOff>
    </xdr:from>
    <xdr:to>
      <xdr:col>22</xdr:col>
      <xdr:colOff>304800</xdr:colOff>
      <xdr:row>117</xdr:row>
      <xdr:rowOff>129540</xdr:rowOff>
    </xdr:to>
    <xdr:sp macro="" textlink="">
      <xdr:nvSpPr>
        <xdr:cNvPr id="6892" name="AutoShape 1772" descr="https://www.soccerstats.com/img/own/sshplogo.png">
          <a:hlinkClick xmlns:r="http://schemas.openxmlformats.org/officeDocument/2006/relationships" r:id="rId774"/>
        </xdr:cNvPr>
        <xdr:cNvSpPr>
          <a:spLocks noChangeAspect="1" noChangeArrowheads="1"/>
        </xdr:cNvSpPr>
      </xdr:nvSpPr>
      <xdr:spPr bwMode="auto">
        <a:xfrm>
          <a:off x="13411200" y="23682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152400</xdr:colOff>
      <xdr:row>117</xdr:row>
      <xdr:rowOff>106680</xdr:rowOff>
    </xdr:to>
    <xdr:sp macro="" textlink="">
      <xdr:nvSpPr>
        <xdr:cNvPr id="6893" name="AutoShape 1773" descr="FAROEISLANDS"/>
        <xdr:cNvSpPr>
          <a:spLocks noChangeAspect="1" noChangeArrowheads="1"/>
        </xdr:cNvSpPr>
      </xdr:nvSpPr>
      <xdr:spPr bwMode="auto">
        <a:xfrm>
          <a:off x="0" y="23858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117</xdr:row>
      <xdr:rowOff>0</xdr:rowOff>
    </xdr:from>
    <xdr:to>
      <xdr:col>22</xdr:col>
      <xdr:colOff>304800</xdr:colOff>
      <xdr:row>118</xdr:row>
      <xdr:rowOff>53340</xdr:rowOff>
    </xdr:to>
    <xdr:sp macro="" textlink="">
      <xdr:nvSpPr>
        <xdr:cNvPr id="6894" name="AutoShape 1774" descr="https://www.soccerstats.com/img/own/sshplogo.png">
          <a:hlinkClick xmlns:r="http://schemas.openxmlformats.org/officeDocument/2006/relationships" r:id="rId775"/>
        </xdr:cNvPr>
        <xdr:cNvSpPr>
          <a:spLocks noChangeAspect="1" noChangeArrowheads="1"/>
        </xdr:cNvSpPr>
      </xdr:nvSpPr>
      <xdr:spPr bwMode="auto">
        <a:xfrm>
          <a:off x="13411200" y="23858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152400</xdr:colOff>
      <xdr:row>118</xdr:row>
      <xdr:rowOff>106680</xdr:rowOff>
    </xdr:to>
    <xdr:sp macro="" textlink="">
      <xdr:nvSpPr>
        <xdr:cNvPr id="6895" name="AutoShape 1775" descr="FAROEISLANDS"/>
        <xdr:cNvSpPr>
          <a:spLocks noChangeAspect="1" noChangeArrowheads="1"/>
        </xdr:cNvSpPr>
      </xdr:nvSpPr>
      <xdr:spPr bwMode="auto">
        <a:xfrm>
          <a:off x="0" y="24033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118</xdr:row>
      <xdr:rowOff>0</xdr:rowOff>
    </xdr:from>
    <xdr:to>
      <xdr:col>22</xdr:col>
      <xdr:colOff>304800</xdr:colOff>
      <xdr:row>119</xdr:row>
      <xdr:rowOff>53340</xdr:rowOff>
    </xdr:to>
    <xdr:sp macro="" textlink="">
      <xdr:nvSpPr>
        <xdr:cNvPr id="6896" name="AutoShape 1776" descr="https://www.soccerstats.com/img/own/sshplogo.png">
          <a:hlinkClick xmlns:r="http://schemas.openxmlformats.org/officeDocument/2006/relationships" r:id="rId776"/>
        </xdr:cNvPr>
        <xdr:cNvSpPr>
          <a:spLocks noChangeAspect="1" noChangeArrowheads="1"/>
        </xdr:cNvSpPr>
      </xdr:nvSpPr>
      <xdr:spPr bwMode="auto">
        <a:xfrm>
          <a:off x="13411200" y="24033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152400</xdr:colOff>
      <xdr:row>119</xdr:row>
      <xdr:rowOff>106680</xdr:rowOff>
    </xdr:to>
    <xdr:sp macro="" textlink="">
      <xdr:nvSpPr>
        <xdr:cNvPr id="6897" name="AutoShape 1777" descr="FAROEISLANDS"/>
        <xdr:cNvSpPr>
          <a:spLocks noChangeAspect="1" noChangeArrowheads="1"/>
        </xdr:cNvSpPr>
      </xdr:nvSpPr>
      <xdr:spPr bwMode="auto">
        <a:xfrm>
          <a:off x="0" y="24208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119</xdr:row>
      <xdr:rowOff>0</xdr:rowOff>
    </xdr:from>
    <xdr:to>
      <xdr:col>22</xdr:col>
      <xdr:colOff>304800</xdr:colOff>
      <xdr:row>120</xdr:row>
      <xdr:rowOff>129540</xdr:rowOff>
    </xdr:to>
    <xdr:sp macro="" textlink="">
      <xdr:nvSpPr>
        <xdr:cNvPr id="6898" name="AutoShape 1778" descr="https://www.soccerstats.com/img/own/sshplogo.png">
          <a:hlinkClick xmlns:r="http://schemas.openxmlformats.org/officeDocument/2006/relationships" r:id="rId777"/>
        </xdr:cNvPr>
        <xdr:cNvSpPr>
          <a:spLocks noChangeAspect="1" noChangeArrowheads="1"/>
        </xdr:cNvSpPr>
      </xdr:nvSpPr>
      <xdr:spPr bwMode="auto">
        <a:xfrm>
          <a:off x="13411200" y="24208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152400</xdr:colOff>
      <xdr:row>120</xdr:row>
      <xdr:rowOff>106680</xdr:rowOff>
    </xdr:to>
    <xdr:sp macro="" textlink="">
      <xdr:nvSpPr>
        <xdr:cNvPr id="6899" name="AutoShape 1779" descr="FINLAND"/>
        <xdr:cNvSpPr>
          <a:spLocks noChangeAspect="1" noChangeArrowheads="1"/>
        </xdr:cNvSpPr>
      </xdr:nvSpPr>
      <xdr:spPr bwMode="auto">
        <a:xfrm>
          <a:off x="0" y="24384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120</xdr:row>
      <xdr:rowOff>0</xdr:rowOff>
    </xdr:from>
    <xdr:to>
      <xdr:col>22</xdr:col>
      <xdr:colOff>304800</xdr:colOff>
      <xdr:row>121</xdr:row>
      <xdr:rowOff>129540</xdr:rowOff>
    </xdr:to>
    <xdr:sp macro="" textlink="">
      <xdr:nvSpPr>
        <xdr:cNvPr id="6900" name="AutoShape 1780" descr="https://www.soccerstats.com/img/own/sshplogo.png">
          <a:hlinkClick xmlns:r="http://schemas.openxmlformats.org/officeDocument/2006/relationships" r:id="rId778"/>
        </xdr:cNvPr>
        <xdr:cNvSpPr>
          <a:spLocks noChangeAspect="1" noChangeArrowheads="1"/>
        </xdr:cNvSpPr>
      </xdr:nvSpPr>
      <xdr:spPr bwMode="auto">
        <a:xfrm>
          <a:off x="13411200" y="2438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152400</xdr:colOff>
      <xdr:row>121</xdr:row>
      <xdr:rowOff>106680</xdr:rowOff>
    </xdr:to>
    <xdr:sp macro="" textlink="">
      <xdr:nvSpPr>
        <xdr:cNvPr id="6901" name="AutoShape 1781" descr="FINLAND"/>
        <xdr:cNvSpPr>
          <a:spLocks noChangeAspect="1" noChangeArrowheads="1"/>
        </xdr:cNvSpPr>
      </xdr:nvSpPr>
      <xdr:spPr bwMode="auto">
        <a:xfrm>
          <a:off x="0" y="24559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121</xdr:row>
      <xdr:rowOff>0</xdr:rowOff>
    </xdr:from>
    <xdr:to>
      <xdr:col>22</xdr:col>
      <xdr:colOff>304800</xdr:colOff>
      <xdr:row>122</xdr:row>
      <xdr:rowOff>129540</xdr:rowOff>
    </xdr:to>
    <xdr:sp macro="" textlink="">
      <xdr:nvSpPr>
        <xdr:cNvPr id="6902" name="AutoShape 1782" descr="https://www.soccerstats.com/img/own/sshplogo.png">
          <a:hlinkClick xmlns:r="http://schemas.openxmlformats.org/officeDocument/2006/relationships" r:id="rId779"/>
        </xdr:cNvPr>
        <xdr:cNvSpPr>
          <a:spLocks noChangeAspect="1" noChangeArrowheads="1"/>
        </xdr:cNvSpPr>
      </xdr:nvSpPr>
      <xdr:spPr bwMode="auto">
        <a:xfrm>
          <a:off x="13411200" y="24559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152400</xdr:colOff>
      <xdr:row>122</xdr:row>
      <xdr:rowOff>106680</xdr:rowOff>
    </xdr:to>
    <xdr:sp macro="" textlink="">
      <xdr:nvSpPr>
        <xdr:cNvPr id="6903" name="AutoShape 1783" descr="FINLAND"/>
        <xdr:cNvSpPr>
          <a:spLocks noChangeAspect="1" noChangeArrowheads="1"/>
        </xdr:cNvSpPr>
      </xdr:nvSpPr>
      <xdr:spPr bwMode="auto">
        <a:xfrm>
          <a:off x="0" y="24734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122</xdr:row>
      <xdr:rowOff>0</xdr:rowOff>
    </xdr:from>
    <xdr:to>
      <xdr:col>22</xdr:col>
      <xdr:colOff>304800</xdr:colOff>
      <xdr:row>123</xdr:row>
      <xdr:rowOff>129540</xdr:rowOff>
    </xdr:to>
    <xdr:sp macro="" textlink="">
      <xdr:nvSpPr>
        <xdr:cNvPr id="6904" name="AutoShape 1784" descr="https://www.soccerstats.com/img/own/sshplogo.png">
          <a:hlinkClick xmlns:r="http://schemas.openxmlformats.org/officeDocument/2006/relationships" r:id="rId780"/>
        </xdr:cNvPr>
        <xdr:cNvSpPr>
          <a:spLocks noChangeAspect="1" noChangeArrowheads="1"/>
        </xdr:cNvSpPr>
      </xdr:nvSpPr>
      <xdr:spPr bwMode="auto">
        <a:xfrm>
          <a:off x="13411200" y="24734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152400</xdr:colOff>
      <xdr:row>123</xdr:row>
      <xdr:rowOff>106680</xdr:rowOff>
    </xdr:to>
    <xdr:sp macro="" textlink="">
      <xdr:nvSpPr>
        <xdr:cNvPr id="6905" name="AutoShape 1785" descr="FINLAND2"/>
        <xdr:cNvSpPr>
          <a:spLocks noChangeAspect="1" noChangeArrowheads="1"/>
        </xdr:cNvSpPr>
      </xdr:nvSpPr>
      <xdr:spPr bwMode="auto">
        <a:xfrm>
          <a:off x="0" y="24909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123</xdr:row>
      <xdr:rowOff>0</xdr:rowOff>
    </xdr:from>
    <xdr:to>
      <xdr:col>22</xdr:col>
      <xdr:colOff>304800</xdr:colOff>
      <xdr:row>124</xdr:row>
      <xdr:rowOff>129540</xdr:rowOff>
    </xdr:to>
    <xdr:sp macro="" textlink="">
      <xdr:nvSpPr>
        <xdr:cNvPr id="6906" name="AutoShape 1786" descr="https://www.soccerstats.com/img/own/sshplogo.png">
          <a:hlinkClick xmlns:r="http://schemas.openxmlformats.org/officeDocument/2006/relationships" r:id="rId781"/>
        </xdr:cNvPr>
        <xdr:cNvSpPr>
          <a:spLocks noChangeAspect="1" noChangeArrowheads="1"/>
        </xdr:cNvSpPr>
      </xdr:nvSpPr>
      <xdr:spPr bwMode="auto">
        <a:xfrm>
          <a:off x="13411200" y="24909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152400</xdr:colOff>
      <xdr:row>124</xdr:row>
      <xdr:rowOff>106680</xdr:rowOff>
    </xdr:to>
    <xdr:sp macro="" textlink="">
      <xdr:nvSpPr>
        <xdr:cNvPr id="6907" name="AutoShape 1787" descr="FINLAND3"/>
        <xdr:cNvSpPr>
          <a:spLocks noChangeAspect="1" noChangeArrowheads="1"/>
        </xdr:cNvSpPr>
      </xdr:nvSpPr>
      <xdr:spPr bwMode="auto">
        <a:xfrm>
          <a:off x="0" y="25085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124</xdr:row>
      <xdr:rowOff>0</xdr:rowOff>
    </xdr:from>
    <xdr:to>
      <xdr:col>22</xdr:col>
      <xdr:colOff>304800</xdr:colOff>
      <xdr:row>125</xdr:row>
      <xdr:rowOff>53340</xdr:rowOff>
    </xdr:to>
    <xdr:sp macro="" textlink="">
      <xdr:nvSpPr>
        <xdr:cNvPr id="6908" name="AutoShape 1788" descr="https://www.soccerstats.com/img/own/sshplogo.png">
          <a:hlinkClick xmlns:r="http://schemas.openxmlformats.org/officeDocument/2006/relationships" r:id="rId782"/>
        </xdr:cNvPr>
        <xdr:cNvSpPr>
          <a:spLocks noChangeAspect="1" noChangeArrowheads="1"/>
        </xdr:cNvSpPr>
      </xdr:nvSpPr>
      <xdr:spPr bwMode="auto">
        <a:xfrm>
          <a:off x="13411200" y="25085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152400</xdr:colOff>
      <xdr:row>125</xdr:row>
      <xdr:rowOff>106680</xdr:rowOff>
    </xdr:to>
    <xdr:sp macro="" textlink="">
      <xdr:nvSpPr>
        <xdr:cNvPr id="6909" name="AutoShape 1789" descr="FINLAND3"/>
        <xdr:cNvSpPr>
          <a:spLocks noChangeAspect="1" noChangeArrowheads="1"/>
        </xdr:cNvSpPr>
      </xdr:nvSpPr>
      <xdr:spPr bwMode="auto">
        <a:xfrm>
          <a:off x="0" y="25260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125</xdr:row>
      <xdr:rowOff>0</xdr:rowOff>
    </xdr:from>
    <xdr:to>
      <xdr:col>22</xdr:col>
      <xdr:colOff>304800</xdr:colOff>
      <xdr:row>126</xdr:row>
      <xdr:rowOff>129540</xdr:rowOff>
    </xdr:to>
    <xdr:sp macro="" textlink="">
      <xdr:nvSpPr>
        <xdr:cNvPr id="6910" name="AutoShape 1790" descr="https://www.soccerstats.com/img/own/sshplogo.png">
          <a:hlinkClick xmlns:r="http://schemas.openxmlformats.org/officeDocument/2006/relationships" r:id="rId783"/>
        </xdr:cNvPr>
        <xdr:cNvSpPr>
          <a:spLocks noChangeAspect="1" noChangeArrowheads="1"/>
        </xdr:cNvSpPr>
      </xdr:nvSpPr>
      <xdr:spPr bwMode="auto">
        <a:xfrm>
          <a:off x="13411200" y="25260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152400</xdr:colOff>
      <xdr:row>126</xdr:row>
      <xdr:rowOff>106680</xdr:rowOff>
    </xdr:to>
    <xdr:sp macro="" textlink="">
      <xdr:nvSpPr>
        <xdr:cNvPr id="6911" name="AutoShape 1791" descr="FINLAND3"/>
        <xdr:cNvSpPr>
          <a:spLocks noChangeAspect="1" noChangeArrowheads="1"/>
        </xdr:cNvSpPr>
      </xdr:nvSpPr>
      <xdr:spPr bwMode="auto">
        <a:xfrm>
          <a:off x="0" y="25435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126</xdr:row>
      <xdr:rowOff>0</xdr:rowOff>
    </xdr:from>
    <xdr:to>
      <xdr:col>22</xdr:col>
      <xdr:colOff>304800</xdr:colOff>
      <xdr:row>127</xdr:row>
      <xdr:rowOff>129540</xdr:rowOff>
    </xdr:to>
    <xdr:sp macro="" textlink="">
      <xdr:nvSpPr>
        <xdr:cNvPr id="6912" name="AutoShape 1792" descr="https://www.soccerstats.com/img/own/sshplogo.png">
          <a:hlinkClick xmlns:r="http://schemas.openxmlformats.org/officeDocument/2006/relationships" r:id="rId784"/>
        </xdr:cNvPr>
        <xdr:cNvSpPr>
          <a:spLocks noChangeAspect="1" noChangeArrowheads="1"/>
        </xdr:cNvSpPr>
      </xdr:nvSpPr>
      <xdr:spPr bwMode="auto">
        <a:xfrm>
          <a:off x="13411200" y="25435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152400</xdr:colOff>
      <xdr:row>127</xdr:row>
      <xdr:rowOff>106680</xdr:rowOff>
    </xdr:to>
    <xdr:sp macro="" textlink="">
      <xdr:nvSpPr>
        <xdr:cNvPr id="6913" name="AutoShape 1793" descr="FINLAND4"/>
        <xdr:cNvSpPr>
          <a:spLocks noChangeAspect="1" noChangeArrowheads="1"/>
        </xdr:cNvSpPr>
      </xdr:nvSpPr>
      <xdr:spPr bwMode="auto">
        <a:xfrm>
          <a:off x="0" y="25610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127</xdr:row>
      <xdr:rowOff>0</xdr:rowOff>
    </xdr:from>
    <xdr:to>
      <xdr:col>22</xdr:col>
      <xdr:colOff>304800</xdr:colOff>
      <xdr:row>128</xdr:row>
      <xdr:rowOff>129540</xdr:rowOff>
    </xdr:to>
    <xdr:sp macro="" textlink="">
      <xdr:nvSpPr>
        <xdr:cNvPr id="6914" name="AutoShape 1794" descr="https://www.soccerstats.com/img/own/sshplogo.png">
          <a:hlinkClick xmlns:r="http://schemas.openxmlformats.org/officeDocument/2006/relationships" r:id="rId785"/>
        </xdr:cNvPr>
        <xdr:cNvSpPr>
          <a:spLocks noChangeAspect="1" noChangeArrowheads="1"/>
        </xdr:cNvSpPr>
      </xdr:nvSpPr>
      <xdr:spPr bwMode="auto">
        <a:xfrm>
          <a:off x="13411200" y="25610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152400</xdr:colOff>
      <xdr:row>128</xdr:row>
      <xdr:rowOff>106680</xdr:rowOff>
    </xdr:to>
    <xdr:sp macro="" textlink="">
      <xdr:nvSpPr>
        <xdr:cNvPr id="6915" name="AutoShape 1795" descr="FINLAND6"/>
        <xdr:cNvSpPr>
          <a:spLocks noChangeAspect="1" noChangeArrowheads="1"/>
        </xdr:cNvSpPr>
      </xdr:nvSpPr>
      <xdr:spPr bwMode="auto">
        <a:xfrm>
          <a:off x="0" y="25786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128</xdr:row>
      <xdr:rowOff>0</xdr:rowOff>
    </xdr:from>
    <xdr:to>
      <xdr:col>22</xdr:col>
      <xdr:colOff>304800</xdr:colOff>
      <xdr:row>129</xdr:row>
      <xdr:rowOff>53340</xdr:rowOff>
    </xdr:to>
    <xdr:sp macro="" textlink="">
      <xdr:nvSpPr>
        <xdr:cNvPr id="6916" name="AutoShape 1796" descr="https://www.soccerstats.com/img/own/sshplogo.png">
          <a:hlinkClick xmlns:r="http://schemas.openxmlformats.org/officeDocument/2006/relationships" r:id="rId786"/>
        </xdr:cNvPr>
        <xdr:cNvSpPr>
          <a:spLocks noChangeAspect="1" noChangeArrowheads="1"/>
        </xdr:cNvSpPr>
      </xdr:nvSpPr>
      <xdr:spPr bwMode="auto">
        <a:xfrm>
          <a:off x="13411200" y="25786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152400</xdr:colOff>
      <xdr:row>129</xdr:row>
      <xdr:rowOff>106680</xdr:rowOff>
    </xdr:to>
    <xdr:sp macro="" textlink="">
      <xdr:nvSpPr>
        <xdr:cNvPr id="6917" name="AutoShape 1797" descr="FINLAND6"/>
        <xdr:cNvSpPr>
          <a:spLocks noChangeAspect="1" noChangeArrowheads="1"/>
        </xdr:cNvSpPr>
      </xdr:nvSpPr>
      <xdr:spPr bwMode="auto">
        <a:xfrm>
          <a:off x="0" y="25961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129</xdr:row>
      <xdr:rowOff>0</xdr:rowOff>
    </xdr:from>
    <xdr:to>
      <xdr:col>22</xdr:col>
      <xdr:colOff>304800</xdr:colOff>
      <xdr:row>130</xdr:row>
      <xdr:rowOff>53340</xdr:rowOff>
    </xdr:to>
    <xdr:sp macro="" textlink="">
      <xdr:nvSpPr>
        <xdr:cNvPr id="6918" name="AutoShape 1798" descr="https://www.soccerstats.com/img/own/sshplogo.png">
          <a:hlinkClick xmlns:r="http://schemas.openxmlformats.org/officeDocument/2006/relationships" r:id="rId787"/>
        </xdr:cNvPr>
        <xdr:cNvSpPr>
          <a:spLocks noChangeAspect="1" noChangeArrowheads="1"/>
        </xdr:cNvSpPr>
      </xdr:nvSpPr>
      <xdr:spPr bwMode="auto">
        <a:xfrm>
          <a:off x="13411200" y="25961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152400</xdr:colOff>
      <xdr:row>130</xdr:row>
      <xdr:rowOff>106680</xdr:rowOff>
    </xdr:to>
    <xdr:sp macro="" textlink="">
      <xdr:nvSpPr>
        <xdr:cNvPr id="6919" name="AutoShape 1799" descr="GEORGIA"/>
        <xdr:cNvSpPr>
          <a:spLocks noChangeAspect="1" noChangeArrowheads="1"/>
        </xdr:cNvSpPr>
      </xdr:nvSpPr>
      <xdr:spPr bwMode="auto">
        <a:xfrm>
          <a:off x="0" y="26212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130</xdr:row>
      <xdr:rowOff>0</xdr:rowOff>
    </xdr:from>
    <xdr:to>
      <xdr:col>22</xdr:col>
      <xdr:colOff>304800</xdr:colOff>
      <xdr:row>131</xdr:row>
      <xdr:rowOff>129540</xdr:rowOff>
    </xdr:to>
    <xdr:sp macro="" textlink="">
      <xdr:nvSpPr>
        <xdr:cNvPr id="6920" name="AutoShape 1800" descr="https://www.soccerstats.com/img/own/sshplogo.png">
          <a:hlinkClick xmlns:r="http://schemas.openxmlformats.org/officeDocument/2006/relationships" r:id="rId788"/>
        </xdr:cNvPr>
        <xdr:cNvSpPr>
          <a:spLocks noChangeAspect="1" noChangeArrowheads="1"/>
        </xdr:cNvSpPr>
      </xdr:nvSpPr>
      <xdr:spPr bwMode="auto">
        <a:xfrm>
          <a:off x="13411200" y="2621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152400</xdr:colOff>
      <xdr:row>131</xdr:row>
      <xdr:rowOff>106680</xdr:rowOff>
    </xdr:to>
    <xdr:sp macro="" textlink="">
      <xdr:nvSpPr>
        <xdr:cNvPr id="6921" name="AutoShape 1801" descr="GEORGIA"/>
        <xdr:cNvSpPr>
          <a:spLocks noChangeAspect="1" noChangeArrowheads="1"/>
        </xdr:cNvSpPr>
      </xdr:nvSpPr>
      <xdr:spPr bwMode="auto">
        <a:xfrm>
          <a:off x="0" y="26388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131</xdr:row>
      <xdr:rowOff>0</xdr:rowOff>
    </xdr:from>
    <xdr:to>
      <xdr:col>22</xdr:col>
      <xdr:colOff>304800</xdr:colOff>
      <xdr:row>132</xdr:row>
      <xdr:rowOff>129540</xdr:rowOff>
    </xdr:to>
    <xdr:sp macro="" textlink="">
      <xdr:nvSpPr>
        <xdr:cNvPr id="6922" name="AutoShape 1802" descr="https://www.soccerstats.com/img/own/sshplogo.png">
          <a:hlinkClick xmlns:r="http://schemas.openxmlformats.org/officeDocument/2006/relationships" r:id="rId789"/>
        </xdr:cNvPr>
        <xdr:cNvSpPr>
          <a:spLocks noChangeAspect="1" noChangeArrowheads="1"/>
        </xdr:cNvSpPr>
      </xdr:nvSpPr>
      <xdr:spPr bwMode="auto">
        <a:xfrm>
          <a:off x="13411200" y="26388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152400</xdr:colOff>
      <xdr:row>132</xdr:row>
      <xdr:rowOff>106680</xdr:rowOff>
    </xdr:to>
    <xdr:sp macro="" textlink="">
      <xdr:nvSpPr>
        <xdr:cNvPr id="6923" name="AutoShape 1803" descr="GERMANY3"/>
        <xdr:cNvSpPr>
          <a:spLocks noChangeAspect="1" noChangeArrowheads="1"/>
        </xdr:cNvSpPr>
      </xdr:nvSpPr>
      <xdr:spPr bwMode="auto">
        <a:xfrm>
          <a:off x="0" y="26639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132</xdr:row>
      <xdr:rowOff>0</xdr:rowOff>
    </xdr:from>
    <xdr:to>
      <xdr:col>22</xdr:col>
      <xdr:colOff>304800</xdr:colOff>
      <xdr:row>133</xdr:row>
      <xdr:rowOff>129540</xdr:rowOff>
    </xdr:to>
    <xdr:sp macro="" textlink="">
      <xdr:nvSpPr>
        <xdr:cNvPr id="6924" name="AutoShape 1804" descr="https://www.soccerstats.com/img/own/sshplogo.png">
          <a:hlinkClick xmlns:r="http://schemas.openxmlformats.org/officeDocument/2006/relationships" r:id="rId790"/>
        </xdr:cNvPr>
        <xdr:cNvSpPr>
          <a:spLocks noChangeAspect="1" noChangeArrowheads="1"/>
        </xdr:cNvSpPr>
      </xdr:nvSpPr>
      <xdr:spPr bwMode="auto">
        <a:xfrm>
          <a:off x="13411200" y="26639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152400</xdr:colOff>
      <xdr:row>133</xdr:row>
      <xdr:rowOff>106680</xdr:rowOff>
    </xdr:to>
    <xdr:sp macro="" textlink="">
      <xdr:nvSpPr>
        <xdr:cNvPr id="6925" name="AutoShape 1805" descr="GERMANY3"/>
        <xdr:cNvSpPr>
          <a:spLocks noChangeAspect="1" noChangeArrowheads="1"/>
        </xdr:cNvSpPr>
      </xdr:nvSpPr>
      <xdr:spPr bwMode="auto">
        <a:xfrm>
          <a:off x="0" y="26890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133</xdr:row>
      <xdr:rowOff>0</xdr:rowOff>
    </xdr:from>
    <xdr:to>
      <xdr:col>22</xdr:col>
      <xdr:colOff>304800</xdr:colOff>
      <xdr:row>134</xdr:row>
      <xdr:rowOff>129540</xdr:rowOff>
    </xdr:to>
    <xdr:sp macro="" textlink="">
      <xdr:nvSpPr>
        <xdr:cNvPr id="6926" name="AutoShape 1806" descr="https://www.soccerstats.com/img/own/sshplogo.png">
          <a:hlinkClick xmlns:r="http://schemas.openxmlformats.org/officeDocument/2006/relationships" r:id="rId791"/>
        </xdr:cNvPr>
        <xdr:cNvSpPr>
          <a:spLocks noChangeAspect="1" noChangeArrowheads="1"/>
        </xdr:cNvSpPr>
      </xdr:nvSpPr>
      <xdr:spPr bwMode="auto">
        <a:xfrm>
          <a:off x="13411200" y="26890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152400</xdr:colOff>
      <xdr:row>134</xdr:row>
      <xdr:rowOff>106680</xdr:rowOff>
    </xdr:to>
    <xdr:sp macro="" textlink="">
      <xdr:nvSpPr>
        <xdr:cNvPr id="6927" name="AutoShape 1807" descr="GERMANY3"/>
        <xdr:cNvSpPr>
          <a:spLocks noChangeAspect="1" noChangeArrowheads="1"/>
        </xdr:cNvSpPr>
      </xdr:nvSpPr>
      <xdr:spPr bwMode="auto">
        <a:xfrm>
          <a:off x="0" y="27066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134</xdr:row>
      <xdr:rowOff>0</xdr:rowOff>
    </xdr:from>
    <xdr:to>
      <xdr:col>22</xdr:col>
      <xdr:colOff>304800</xdr:colOff>
      <xdr:row>135</xdr:row>
      <xdr:rowOff>129540</xdr:rowOff>
    </xdr:to>
    <xdr:sp macro="" textlink="">
      <xdr:nvSpPr>
        <xdr:cNvPr id="6928" name="AutoShape 1808" descr="https://www.soccerstats.com/img/own/sshplogo.png">
          <a:hlinkClick xmlns:r="http://schemas.openxmlformats.org/officeDocument/2006/relationships" r:id="rId792"/>
        </xdr:cNvPr>
        <xdr:cNvSpPr>
          <a:spLocks noChangeAspect="1" noChangeArrowheads="1"/>
        </xdr:cNvSpPr>
      </xdr:nvSpPr>
      <xdr:spPr bwMode="auto">
        <a:xfrm>
          <a:off x="13411200" y="27066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152400</xdr:colOff>
      <xdr:row>135</xdr:row>
      <xdr:rowOff>106680</xdr:rowOff>
    </xdr:to>
    <xdr:sp macro="" textlink="">
      <xdr:nvSpPr>
        <xdr:cNvPr id="6929" name="AutoShape 1809" descr="GERMANY4"/>
        <xdr:cNvSpPr>
          <a:spLocks noChangeAspect="1" noChangeArrowheads="1"/>
        </xdr:cNvSpPr>
      </xdr:nvSpPr>
      <xdr:spPr bwMode="auto">
        <a:xfrm>
          <a:off x="0" y="27317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135</xdr:row>
      <xdr:rowOff>0</xdr:rowOff>
    </xdr:from>
    <xdr:to>
      <xdr:col>22</xdr:col>
      <xdr:colOff>304800</xdr:colOff>
      <xdr:row>136</xdr:row>
      <xdr:rowOff>129540</xdr:rowOff>
    </xdr:to>
    <xdr:sp macro="" textlink="">
      <xdr:nvSpPr>
        <xdr:cNvPr id="6930" name="AutoShape 1810" descr="https://www.soccerstats.com/img/own/sshplogo.png">
          <a:hlinkClick xmlns:r="http://schemas.openxmlformats.org/officeDocument/2006/relationships" r:id="rId793"/>
        </xdr:cNvPr>
        <xdr:cNvSpPr>
          <a:spLocks noChangeAspect="1" noChangeArrowheads="1"/>
        </xdr:cNvSpPr>
      </xdr:nvSpPr>
      <xdr:spPr bwMode="auto">
        <a:xfrm>
          <a:off x="13411200" y="2731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152400</xdr:colOff>
      <xdr:row>136</xdr:row>
      <xdr:rowOff>106680</xdr:rowOff>
    </xdr:to>
    <xdr:sp macro="" textlink="">
      <xdr:nvSpPr>
        <xdr:cNvPr id="6931" name="AutoShape 1811" descr="GERMANY4"/>
        <xdr:cNvSpPr>
          <a:spLocks noChangeAspect="1" noChangeArrowheads="1"/>
        </xdr:cNvSpPr>
      </xdr:nvSpPr>
      <xdr:spPr bwMode="auto">
        <a:xfrm>
          <a:off x="0" y="27569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136</xdr:row>
      <xdr:rowOff>0</xdr:rowOff>
    </xdr:from>
    <xdr:to>
      <xdr:col>22</xdr:col>
      <xdr:colOff>304800</xdr:colOff>
      <xdr:row>137</xdr:row>
      <xdr:rowOff>53340</xdr:rowOff>
    </xdr:to>
    <xdr:sp macro="" textlink="">
      <xdr:nvSpPr>
        <xdr:cNvPr id="6932" name="AutoShape 1812" descr="https://www.soccerstats.com/img/own/sshplogo.png">
          <a:hlinkClick xmlns:r="http://schemas.openxmlformats.org/officeDocument/2006/relationships" r:id="rId794"/>
        </xdr:cNvPr>
        <xdr:cNvSpPr>
          <a:spLocks noChangeAspect="1" noChangeArrowheads="1"/>
        </xdr:cNvSpPr>
      </xdr:nvSpPr>
      <xdr:spPr bwMode="auto">
        <a:xfrm>
          <a:off x="13411200" y="27569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152400</xdr:colOff>
      <xdr:row>137</xdr:row>
      <xdr:rowOff>106680</xdr:rowOff>
    </xdr:to>
    <xdr:sp macro="" textlink="">
      <xdr:nvSpPr>
        <xdr:cNvPr id="6933" name="AutoShape 1813" descr="GERMANY4"/>
        <xdr:cNvSpPr>
          <a:spLocks noChangeAspect="1" noChangeArrowheads="1"/>
        </xdr:cNvSpPr>
      </xdr:nvSpPr>
      <xdr:spPr bwMode="auto">
        <a:xfrm>
          <a:off x="0" y="27820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137</xdr:row>
      <xdr:rowOff>0</xdr:rowOff>
    </xdr:from>
    <xdr:to>
      <xdr:col>22</xdr:col>
      <xdr:colOff>304800</xdr:colOff>
      <xdr:row>138</xdr:row>
      <xdr:rowOff>53340</xdr:rowOff>
    </xdr:to>
    <xdr:sp macro="" textlink="">
      <xdr:nvSpPr>
        <xdr:cNvPr id="6934" name="AutoShape 1814" descr="https://www.soccerstats.com/img/own/sshplogo.png">
          <a:hlinkClick xmlns:r="http://schemas.openxmlformats.org/officeDocument/2006/relationships" r:id="rId795"/>
        </xdr:cNvPr>
        <xdr:cNvSpPr>
          <a:spLocks noChangeAspect="1" noChangeArrowheads="1"/>
        </xdr:cNvSpPr>
      </xdr:nvSpPr>
      <xdr:spPr bwMode="auto">
        <a:xfrm>
          <a:off x="13411200" y="27820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152400</xdr:colOff>
      <xdr:row>138</xdr:row>
      <xdr:rowOff>106680</xdr:rowOff>
    </xdr:to>
    <xdr:sp macro="" textlink="">
      <xdr:nvSpPr>
        <xdr:cNvPr id="6935" name="AutoShape 1815" descr="GERMANY4"/>
        <xdr:cNvSpPr>
          <a:spLocks noChangeAspect="1" noChangeArrowheads="1"/>
        </xdr:cNvSpPr>
      </xdr:nvSpPr>
      <xdr:spPr bwMode="auto">
        <a:xfrm>
          <a:off x="0" y="28072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138</xdr:row>
      <xdr:rowOff>0</xdr:rowOff>
    </xdr:from>
    <xdr:to>
      <xdr:col>22</xdr:col>
      <xdr:colOff>304800</xdr:colOff>
      <xdr:row>139</xdr:row>
      <xdr:rowOff>53340</xdr:rowOff>
    </xdr:to>
    <xdr:sp macro="" textlink="">
      <xdr:nvSpPr>
        <xdr:cNvPr id="6936" name="AutoShape 1816" descr="https://www.soccerstats.com/img/own/sshplogo.png">
          <a:hlinkClick xmlns:r="http://schemas.openxmlformats.org/officeDocument/2006/relationships" r:id="rId796"/>
        </xdr:cNvPr>
        <xdr:cNvSpPr>
          <a:spLocks noChangeAspect="1" noChangeArrowheads="1"/>
        </xdr:cNvSpPr>
      </xdr:nvSpPr>
      <xdr:spPr bwMode="auto">
        <a:xfrm>
          <a:off x="13411200" y="28072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152400</xdr:colOff>
      <xdr:row>139</xdr:row>
      <xdr:rowOff>106680</xdr:rowOff>
    </xdr:to>
    <xdr:sp macro="" textlink="">
      <xdr:nvSpPr>
        <xdr:cNvPr id="6937" name="AutoShape 1817" descr="GERMANY4"/>
        <xdr:cNvSpPr>
          <a:spLocks noChangeAspect="1" noChangeArrowheads="1"/>
        </xdr:cNvSpPr>
      </xdr:nvSpPr>
      <xdr:spPr bwMode="auto">
        <a:xfrm>
          <a:off x="0" y="28323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139</xdr:row>
      <xdr:rowOff>0</xdr:rowOff>
    </xdr:from>
    <xdr:to>
      <xdr:col>22</xdr:col>
      <xdr:colOff>304800</xdr:colOff>
      <xdr:row>140</xdr:row>
      <xdr:rowOff>129540</xdr:rowOff>
    </xdr:to>
    <xdr:sp macro="" textlink="">
      <xdr:nvSpPr>
        <xdr:cNvPr id="6938" name="AutoShape 1818" descr="https://www.soccerstats.com/img/own/sshplogo.png">
          <a:hlinkClick xmlns:r="http://schemas.openxmlformats.org/officeDocument/2006/relationships" r:id="rId797"/>
        </xdr:cNvPr>
        <xdr:cNvSpPr>
          <a:spLocks noChangeAspect="1" noChangeArrowheads="1"/>
        </xdr:cNvSpPr>
      </xdr:nvSpPr>
      <xdr:spPr bwMode="auto">
        <a:xfrm>
          <a:off x="13411200" y="28323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152400</xdr:colOff>
      <xdr:row>140</xdr:row>
      <xdr:rowOff>106680</xdr:rowOff>
    </xdr:to>
    <xdr:sp macro="" textlink="">
      <xdr:nvSpPr>
        <xdr:cNvPr id="6939" name="AutoShape 1819" descr="GERMANY5"/>
        <xdr:cNvSpPr>
          <a:spLocks noChangeAspect="1" noChangeArrowheads="1"/>
        </xdr:cNvSpPr>
      </xdr:nvSpPr>
      <xdr:spPr bwMode="auto">
        <a:xfrm>
          <a:off x="0" y="28498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140</xdr:row>
      <xdr:rowOff>0</xdr:rowOff>
    </xdr:from>
    <xdr:to>
      <xdr:col>22</xdr:col>
      <xdr:colOff>304800</xdr:colOff>
      <xdr:row>141</xdr:row>
      <xdr:rowOff>53340</xdr:rowOff>
    </xdr:to>
    <xdr:sp macro="" textlink="">
      <xdr:nvSpPr>
        <xdr:cNvPr id="6940" name="AutoShape 1820" descr="https://www.soccerstats.com/img/own/sshplogo.png">
          <a:hlinkClick xmlns:r="http://schemas.openxmlformats.org/officeDocument/2006/relationships" r:id="rId798"/>
        </xdr:cNvPr>
        <xdr:cNvSpPr>
          <a:spLocks noChangeAspect="1" noChangeArrowheads="1"/>
        </xdr:cNvSpPr>
      </xdr:nvSpPr>
      <xdr:spPr bwMode="auto">
        <a:xfrm>
          <a:off x="13411200" y="2849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41" name="AutoShape 1821" descr="GERMANY5"/>
        <xdr:cNvSpPr>
          <a:spLocks noChangeAspect="1" noChangeArrowheads="1"/>
        </xdr:cNvSpPr>
      </xdr:nvSpPr>
      <xdr:spPr bwMode="auto">
        <a:xfrm>
          <a:off x="0" y="28674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942" name="AutoShape 1822" descr="https://www.soccerstats.com/img/own/sshplogo.png">
          <a:hlinkClick xmlns:r="http://schemas.openxmlformats.org/officeDocument/2006/relationships" r:id="rId799"/>
        </xdr:cNvPr>
        <xdr:cNvSpPr>
          <a:spLocks noChangeAspect="1" noChangeArrowheads="1"/>
        </xdr:cNvSpPr>
      </xdr:nvSpPr>
      <xdr:spPr bwMode="auto">
        <a:xfrm>
          <a:off x="13411200" y="28674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43" name="AutoShape 1823" descr="GERMANY6"/>
        <xdr:cNvSpPr>
          <a:spLocks noChangeAspect="1" noChangeArrowheads="1"/>
        </xdr:cNvSpPr>
      </xdr:nvSpPr>
      <xdr:spPr bwMode="auto">
        <a:xfrm>
          <a:off x="0" y="28925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944" name="AutoShape 1824" descr="https://www.soccerstats.com/img/own/sshplogo.png">
          <a:hlinkClick xmlns:r="http://schemas.openxmlformats.org/officeDocument/2006/relationships" r:id="rId800"/>
        </xdr:cNvPr>
        <xdr:cNvSpPr>
          <a:spLocks noChangeAspect="1" noChangeArrowheads="1"/>
        </xdr:cNvSpPr>
      </xdr:nvSpPr>
      <xdr:spPr bwMode="auto">
        <a:xfrm>
          <a:off x="13411200" y="28925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45" name="AutoShape 1825" descr="GERMANY7"/>
        <xdr:cNvSpPr>
          <a:spLocks noChangeAspect="1" noChangeArrowheads="1"/>
        </xdr:cNvSpPr>
      </xdr:nvSpPr>
      <xdr:spPr bwMode="auto">
        <a:xfrm>
          <a:off x="0" y="29100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946" name="AutoShape 1826" descr="https://www.soccerstats.com/img/own/sshplogo.png">
          <a:hlinkClick xmlns:r="http://schemas.openxmlformats.org/officeDocument/2006/relationships" r:id="rId801"/>
        </xdr:cNvPr>
        <xdr:cNvSpPr>
          <a:spLocks noChangeAspect="1" noChangeArrowheads="1"/>
        </xdr:cNvSpPr>
      </xdr:nvSpPr>
      <xdr:spPr bwMode="auto">
        <a:xfrm>
          <a:off x="13411200" y="29100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47" name="AutoShape 1827" descr="GERMANY7"/>
        <xdr:cNvSpPr>
          <a:spLocks noChangeAspect="1" noChangeArrowheads="1"/>
        </xdr:cNvSpPr>
      </xdr:nvSpPr>
      <xdr:spPr bwMode="auto">
        <a:xfrm>
          <a:off x="0" y="29276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948" name="AutoShape 1828" descr="https://www.soccerstats.com/img/own/sshplogo.png">
          <a:hlinkClick xmlns:r="http://schemas.openxmlformats.org/officeDocument/2006/relationships" r:id="rId802"/>
        </xdr:cNvPr>
        <xdr:cNvSpPr>
          <a:spLocks noChangeAspect="1" noChangeArrowheads="1"/>
        </xdr:cNvSpPr>
      </xdr:nvSpPr>
      <xdr:spPr bwMode="auto">
        <a:xfrm>
          <a:off x="13411200" y="29276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49" name="AutoShape 1829" descr="GERMANY7"/>
        <xdr:cNvSpPr>
          <a:spLocks noChangeAspect="1" noChangeArrowheads="1"/>
        </xdr:cNvSpPr>
      </xdr:nvSpPr>
      <xdr:spPr bwMode="auto">
        <a:xfrm>
          <a:off x="0" y="29451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950" name="AutoShape 1830" descr="https://www.soccerstats.com/img/own/sshplogo.png">
          <a:hlinkClick xmlns:r="http://schemas.openxmlformats.org/officeDocument/2006/relationships" r:id="rId803"/>
        </xdr:cNvPr>
        <xdr:cNvSpPr>
          <a:spLocks noChangeAspect="1" noChangeArrowheads="1"/>
        </xdr:cNvSpPr>
      </xdr:nvSpPr>
      <xdr:spPr bwMode="auto">
        <a:xfrm>
          <a:off x="13411200" y="29451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51" name="AutoShape 1831" descr="GUATEMALA"/>
        <xdr:cNvSpPr>
          <a:spLocks noChangeAspect="1" noChangeArrowheads="1"/>
        </xdr:cNvSpPr>
      </xdr:nvSpPr>
      <xdr:spPr bwMode="auto">
        <a:xfrm>
          <a:off x="0" y="29702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952" name="AutoShape 1832" descr="https://www.soccerstats.com/img/own/sshplogo.png">
          <a:hlinkClick xmlns:r="http://schemas.openxmlformats.org/officeDocument/2006/relationships" r:id="rId804"/>
        </xdr:cNvPr>
        <xdr:cNvSpPr>
          <a:spLocks noChangeAspect="1" noChangeArrowheads="1"/>
        </xdr:cNvSpPr>
      </xdr:nvSpPr>
      <xdr:spPr bwMode="auto">
        <a:xfrm>
          <a:off x="13411200" y="29702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53" name="AutoShape 1833" descr="GUATEMALA"/>
        <xdr:cNvSpPr>
          <a:spLocks noChangeAspect="1" noChangeArrowheads="1"/>
        </xdr:cNvSpPr>
      </xdr:nvSpPr>
      <xdr:spPr bwMode="auto">
        <a:xfrm>
          <a:off x="0" y="29954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954" name="AutoShape 1834" descr="https://www.soccerstats.com/img/own/sshplogo.png">
          <a:hlinkClick xmlns:r="http://schemas.openxmlformats.org/officeDocument/2006/relationships" r:id="rId805"/>
        </xdr:cNvPr>
        <xdr:cNvSpPr>
          <a:spLocks noChangeAspect="1" noChangeArrowheads="1"/>
        </xdr:cNvSpPr>
      </xdr:nvSpPr>
      <xdr:spPr bwMode="auto">
        <a:xfrm>
          <a:off x="13411200" y="29954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55" name="AutoShape 1835" descr="GUATEMALA"/>
        <xdr:cNvSpPr>
          <a:spLocks noChangeAspect="1" noChangeArrowheads="1"/>
        </xdr:cNvSpPr>
      </xdr:nvSpPr>
      <xdr:spPr bwMode="auto">
        <a:xfrm>
          <a:off x="0" y="30129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956" name="AutoShape 1836" descr="https://www.soccerstats.com/img/own/sshplogo.png">
          <a:hlinkClick xmlns:r="http://schemas.openxmlformats.org/officeDocument/2006/relationships" r:id="rId806"/>
        </xdr:cNvPr>
        <xdr:cNvSpPr>
          <a:spLocks noChangeAspect="1" noChangeArrowheads="1"/>
        </xdr:cNvSpPr>
      </xdr:nvSpPr>
      <xdr:spPr bwMode="auto">
        <a:xfrm>
          <a:off x="13411200" y="30129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57" name="AutoShape 1837" descr="HUNGARY"/>
        <xdr:cNvSpPr>
          <a:spLocks noChangeAspect="1" noChangeArrowheads="1"/>
        </xdr:cNvSpPr>
      </xdr:nvSpPr>
      <xdr:spPr bwMode="auto">
        <a:xfrm>
          <a:off x="0" y="30380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958" name="AutoShape 1838" descr="https://www.soccerstats.com/img/own/sshplogo.png">
          <a:hlinkClick xmlns:r="http://schemas.openxmlformats.org/officeDocument/2006/relationships" r:id="rId807"/>
        </xdr:cNvPr>
        <xdr:cNvSpPr>
          <a:spLocks noChangeAspect="1" noChangeArrowheads="1"/>
        </xdr:cNvSpPr>
      </xdr:nvSpPr>
      <xdr:spPr bwMode="auto">
        <a:xfrm>
          <a:off x="13411200" y="30380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59" name="AutoShape 1839" descr="HUNGARY"/>
        <xdr:cNvSpPr>
          <a:spLocks noChangeAspect="1" noChangeArrowheads="1"/>
        </xdr:cNvSpPr>
      </xdr:nvSpPr>
      <xdr:spPr bwMode="auto">
        <a:xfrm>
          <a:off x="0" y="30556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960" name="AutoShape 1840" descr="https://www.soccerstats.com/img/own/sshplogo.png">
          <a:hlinkClick xmlns:r="http://schemas.openxmlformats.org/officeDocument/2006/relationships" r:id="rId808"/>
        </xdr:cNvPr>
        <xdr:cNvSpPr>
          <a:spLocks noChangeAspect="1" noChangeArrowheads="1"/>
        </xdr:cNvSpPr>
      </xdr:nvSpPr>
      <xdr:spPr bwMode="auto">
        <a:xfrm>
          <a:off x="13411200" y="30556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61" name="AutoShape 1841" descr="HUNGARY2"/>
        <xdr:cNvSpPr>
          <a:spLocks noChangeAspect="1" noChangeArrowheads="1"/>
        </xdr:cNvSpPr>
      </xdr:nvSpPr>
      <xdr:spPr bwMode="auto">
        <a:xfrm>
          <a:off x="0" y="30731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962" name="AutoShape 1842" descr="https://www.soccerstats.com/img/own/sshplogo.png">
          <a:hlinkClick xmlns:r="http://schemas.openxmlformats.org/officeDocument/2006/relationships" r:id="rId809"/>
        </xdr:cNvPr>
        <xdr:cNvSpPr>
          <a:spLocks noChangeAspect="1" noChangeArrowheads="1"/>
        </xdr:cNvSpPr>
      </xdr:nvSpPr>
      <xdr:spPr bwMode="auto">
        <a:xfrm>
          <a:off x="13411200" y="30731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63" name="AutoShape 1843" descr="HUNGARY2"/>
        <xdr:cNvSpPr>
          <a:spLocks noChangeAspect="1" noChangeArrowheads="1"/>
        </xdr:cNvSpPr>
      </xdr:nvSpPr>
      <xdr:spPr bwMode="auto">
        <a:xfrm>
          <a:off x="0" y="30906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964" name="AutoShape 1844" descr="https://www.soccerstats.com/img/own/sshplogo.png">
          <a:hlinkClick xmlns:r="http://schemas.openxmlformats.org/officeDocument/2006/relationships" r:id="rId810"/>
        </xdr:cNvPr>
        <xdr:cNvSpPr>
          <a:spLocks noChangeAspect="1" noChangeArrowheads="1"/>
        </xdr:cNvSpPr>
      </xdr:nvSpPr>
      <xdr:spPr bwMode="auto">
        <a:xfrm>
          <a:off x="13411200" y="30906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65" name="AutoShape 1845" descr="ICELAND"/>
        <xdr:cNvSpPr>
          <a:spLocks noChangeAspect="1" noChangeArrowheads="1"/>
        </xdr:cNvSpPr>
      </xdr:nvSpPr>
      <xdr:spPr bwMode="auto">
        <a:xfrm>
          <a:off x="0" y="31081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966" name="AutoShape 1846" descr="https://www.soccerstats.com/img/own/sshplogo.png">
          <a:hlinkClick xmlns:r="http://schemas.openxmlformats.org/officeDocument/2006/relationships" r:id="rId811"/>
        </xdr:cNvPr>
        <xdr:cNvSpPr>
          <a:spLocks noChangeAspect="1" noChangeArrowheads="1"/>
        </xdr:cNvSpPr>
      </xdr:nvSpPr>
      <xdr:spPr bwMode="auto">
        <a:xfrm>
          <a:off x="13411200" y="31081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67" name="AutoShape 1847" descr="ICELAND"/>
        <xdr:cNvSpPr>
          <a:spLocks noChangeAspect="1" noChangeArrowheads="1"/>
        </xdr:cNvSpPr>
      </xdr:nvSpPr>
      <xdr:spPr bwMode="auto">
        <a:xfrm>
          <a:off x="0" y="31257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968" name="AutoShape 1848" descr="https://www.soccerstats.com/img/own/sshplogo.png">
          <a:hlinkClick xmlns:r="http://schemas.openxmlformats.org/officeDocument/2006/relationships" r:id="rId812"/>
        </xdr:cNvPr>
        <xdr:cNvSpPr>
          <a:spLocks noChangeAspect="1" noChangeArrowheads="1"/>
        </xdr:cNvSpPr>
      </xdr:nvSpPr>
      <xdr:spPr bwMode="auto">
        <a:xfrm>
          <a:off x="13411200" y="31257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69" name="AutoShape 1849" descr="ICELAND"/>
        <xdr:cNvSpPr>
          <a:spLocks noChangeAspect="1" noChangeArrowheads="1"/>
        </xdr:cNvSpPr>
      </xdr:nvSpPr>
      <xdr:spPr bwMode="auto">
        <a:xfrm>
          <a:off x="0" y="31432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970" name="AutoShape 1850" descr="https://www.soccerstats.com/img/own/sshplogo.png">
          <a:hlinkClick xmlns:r="http://schemas.openxmlformats.org/officeDocument/2006/relationships" r:id="rId813"/>
        </xdr:cNvPr>
        <xdr:cNvSpPr>
          <a:spLocks noChangeAspect="1" noChangeArrowheads="1"/>
        </xdr:cNvSpPr>
      </xdr:nvSpPr>
      <xdr:spPr bwMode="auto">
        <a:xfrm>
          <a:off x="13411200" y="3143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71" name="AutoShape 1851" descr="JAPAN2"/>
        <xdr:cNvSpPr>
          <a:spLocks noChangeAspect="1" noChangeArrowheads="1"/>
        </xdr:cNvSpPr>
      </xdr:nvSpPr>
      <xdr:spPr bwMode="auto">
        <a:xfrm>
          <a:off x="0" y="31607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972" name="AutoShape 1852" descr="https://www.soccerstats.com/img/own/sshplogo.png">
          <a:hlinkClick xmlns:r="http://schemas.openxmlformats.org/officeDocument/2006/relationships" r:id="rId814"/>
        </xdr:cNvPr>
        <xdr:cNvSpPr>
          <a:spLocks noChangeAspect="1" noChangeArrowheads="1"/>
        </xdr:cNvSpPr>
      </xdr:nvSpPr>
      <xdr:spPr bwMode="auto">
        <a:xfrm>
          <a:off x="13411200" y="31607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73" name="AutoShape 1853" descr="JAPAN2"/>
        <xdr:cNvSpPr>
          <a:spLocks noChangeAspect="1" noChangeArrowheads="1"/>
        </xdr:cNvSpPr>
      </xdr:nvSpPr>
      <xdr:spPr bwMode="auto">
        <a:xfrm>
          <a:off x="0" y="31859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974" name="AutoShape 1854" descr="https://www.soccerstats.com/img/own/sshplogo.png">
          <a:hlinkClick xmlns:r="http://schemas.openxmlformats.org/officeDocument/2006/relationships" r:id="rId815"/>
        </xdr:cNvPr>
        <xdr:cNvSpPr>
          <a:spLocks noChangeAspect="1" noChangeArrowheads="1"/>
        </xdr:cNvSpPr>
      </xdr:nvSpPr>
      <xdr:spPr bwMode="auto">
        <a:xfrm>
          <a:off x="13411200" y="31859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75" name="AutoShape 1855" descr="JAPAN3"/>
        <xdr:cNvSpPr>
          <a:spLocks noChangeAspect="1" noChangeArrowheads="1"/>
        </xdr:cNvSpPr>
      </xdr:nvSpPr>
      <xdr:spPr bwMode="auto">
        <a:xfrm>
          <a:off x="0" y="32034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976" name="AutoShape 1856" descr="https://www.soccerstats.com/img/own/sshplogo.png">
          <a:hlinkClick xmlns:r="http://schemas.openxmlformats.org/officeDocument/2006/relationships" r:id="rId816"/>
        </xdr:cNvPr>
        <xdr:cNvSpPr>
          <a:spLocks noChangeAspect="1" noChangeArrowheads="1"/>
        </xdr:cNvSpPr>
      </xdr:nvSpPr>
      <xdr:spPr bwMode="auto">
        <a:xfrm>
          <a:off x="13411200" y="32034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77" name="AutoShape 1857" descr="JAPAN3"/>
        <xdr:cNvSpPr>
          <a:spLocks noChangeAspect="1" noChangeArrowheads="1"/>
        </xdr:cNvSpPr>
      </xdr:nvSpPr>
      <xdr:spPr bwMode="auto">
        <a:xfrm>
          <a:off x="0" y="32285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978" name="AutoShape 1858" descr="https://www.soccerstats.com/img/own/sshplogo.png">
          <a:hlinkClick xmlns:r="http://schemas.openxmlformats.org/officeDocument/2006/relationships" r:id="rId817"/>
        </xdr:cNvPr>
        <xdr:cNvSpPr>
          <a:spLocks noChangeAspect="1" noChangeArrowheads="1"/>
        </xdr:cNvSpPr>
      </xdr:nvSpPr>
      <xdr:spPr bwMode="auto">
        <a:xfrm>
          <a:off x="13411200" y="32285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79" name="AutoShape 1859" descr="JAPAN3"/>
        <xdr:cNvSpPr>
          <a:spLocks noChangeAspect="1" noChangeArrowheads="1"/>
        </xdr:cNvSpPr>
      </xdr:nvSpPr>
      <xdr:spPr bwMode="auto">
        <a:xfrm>
          <a:off x="0" y="32537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980" name="AutoShape 1860" descr="https://www.soccerstats.com/img/own/sshplogo.png">
          <a:hlinkClick xmlns:r="http://schemas.openxmlformats.org/officeDocument/2006/relationships" r:id="rId818"/>
        </xdr:cNvPr>
        <xdr:cNvSpPr>
          <a:spLocks noChangeAspect="1" noChangeArrowheads="1"/>
        </xdr:cNvSpPr>
      </xdr:nvSpPr>
      <xdr:spPr bwMode="auto">
        <a:xfrm>
          <a:off x="13411200" y="32537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81" name="AutoShape 1861" descr="JAPAN3"/>
        <xdr:cNvSpPr>
          <a:spLocks noChangeAspect="1" noChangeArrowheads="1"/>
        </xdr:cNvSpPr>
      </xdr:nvSpPr>
      <xdr:spPr bwMode="auto">
        <a:xfrm>
          <a:off x="0" y="32788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982" name="AutoShape 1862" descr="https://www.soccerstats.com/img/own/sshplogo.png">
          <a:hlinkClick xmlns:r="http://schemas.openxmlformats.org/officeDocument/2006/relationships" r:id="rId819"/>
        </xdr:cNvPr>
        <xdr:cNvSpPr>
          <a:spLocks noChangeAspect="1" noChangeArrowheads="1"/>
        </xdr:cNvSpPr>
      </xdr:nvSpPr>
      <xdr:spPr bwMode="auto">
        <a:xfrm>
          <a:off x="13411200" y="32788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83" name="AutoShape 1863" descr="KAZAKHSTAN"/>
        <xdr:cNvSpPr>
          <a:spLocks noChangeAspect="1" noChangeArrowheads="1"/>
        </xdr:cNvSpPr>
      </xdr:nvSpPr>
      <xdr:spPr bwMode="auto">
        <a:xfrm>
          <a:off x="0" y="33040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984" name="AutoShape 1864" descr="https://www.soccerstats.com/img/own/sshplogo.png">
          <a:hlinkClick xmlns:r="http://schemas.openxmlformats.org/officeDocument/2006/relationships" r:id="rId820"/>
        </xdr:cNvPr>
        <xdr:cNvSpPr>
          <a:spLocks noChangeAspect="1" noChangeArrowheads="1"/>
        </xdr:cNvSpPr>
      </xdr:nvSpPr>
      <xdr:spPr bwMode="auto">
        <a:xfrm>
          <a:off x="13411200" y="3304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85" name="AutoShape 1865" descr="KAZAKHSTAN"/>
        <xdr:cNvSpPr>
          <a:spLocks noChangeAspect="1" noChangeArrowheads="1"/>
        </xdr:cNvSpPr>
      </xdr:nvSpPr>
      <xdr:spPr bwMode="auto">
        <a:xfrm>
          <a:off x="0" y="33215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986" name="AutoShape 1866" descr="https://www.soccerstats.com/img/own/sshplogo.png">
          <a:hlinkClick xmlns:r="http://schemas.openxmlformats.org/officeDocument/2006/relationships" r:id="rId821"/>
        </xdr:cNvPr>
        <xdr:cNvSpPr>
          <a:spLocks noChangeAspect="1" noChangeArrowheads="1"/>
        </xdr:cNvSpPr>
      </xdr:nvSpPr>
      <xdr:spPr bwMode="auto">
        <a:xfrm>
          <a:off x="13411200" y="33215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87" name="AutoShape 1867" descr="KAZAKHSTAN"/>
        <xdr:cNvSpPr>
          <a:spLocks noChangeAspect="1" noChangeArrowheads="1"/>
        </xdr:cNvSpPr>
      </xdr:nvSpPr>
      <xdr:spPr bwMode="auto">
        <a:xfrm>
          <a:off x="0" y="33390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988" name="AutoShape 1868" descr="https://www.soccerstats.com/img/own/sshplogo.png">
          <a:hlinkClick xmlns:r="http://schemas.openxmlformats.org/officeDocument/2006/relationships" r:id="rId822"/>
        </xdr:cNvPr>
        <xdr:cNvSpPr>
          <a:spLocks noChangeAspect="1" noChangeArrowheads="1"/>
        </xdr:cNvSpPr>
      </xdr:nvSpPr>
      <xdr:spPr bwMode="auto">
        <a:xfrm>
          <a:off x="13411200" y="33390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89" name="AutoShape 1869" descr="KAZAKHSTAN"/>
        <xdr:cNvSpPr>
          <a:spLocks noChangeAspect="1" noChangeArrowheads="1"/>
        </xdr:cNvSpPr>
      </xdr:nvSpPr>
      <xdr:spPr bwMode="auto">
        <a:xfrm>
          <a:off x="0" y="33566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990" name="AutoShape 1870" descr="https://www.soccerstats.com/img/own/sshplogo.png">
          <a:hlinkClick xmlns:r="http://schemas.openxmlformats.org/officeDocument/2006/relationships" r:id="rId823"/>
        </xdr:cNvPr>
        <xdr:cNvSpPr>
          <a:spLocks noChangeAspect="1" noChangeArrowheads="1"/>
        </xdr:cNvSpPr>
      </xdr:nvSpPr>
      <xdr:spPr bwMode="auto">
        <a:xfrm>
          <a:off x="13411200" y="33566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91" name="AutoShape 1871" descr="LITHUANIA"/>
        <xdr:cNvSpPr>
          <a:spLocks noChangeAspect="1" noChangeArrowheads="1"/>
        </xdr:cNvSpPr>
      </xdr:nvSpPr>
      <xdr:spPr bwMode="auto">
        <a:xfrm>
          <a:off x="0" y="33817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992" name="AutoShape 1872" descr="https://www.soccerstats.com/img/own/sshplogo.png">
          <a:hlinkClick xmlns:r="http://schemas.openxmlformats.org/officeDocument/2006/relationships" r:id="rId824"/>
        </xdr:cNvPr>
        <xdr:cNvSpPr>
          <a:spLocks noChangeAspect="1" noChangeArrowheads="1"/>
        </xdr:cNvSpPr>
      </xdr:nvSpPr>
      <xdr:spPr bwMode="auto">
        <a:xfrm>
          <a:off x="13411200" y="33817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93" name="AutoShape 1873" descr="LITHUANIA"/>
        <xdr:cNvSpPr>
          <a:spLocks noChangeAspect="1" noChangeArrowheads="1"/>
        </xdr:cNvSpPr>
      </xdr:nvSpPr>
      <xdr:spPr bwMode="auto">
        <a:xfrm>
          <a:off x="0" y="34069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994" name="AutoShape 1874" descr="https://www.soccerstats.com/img/own/sshplogo.png">
          <a:hlinkClick xmlns:r="http://schemas.openxmlformats.org/officeDocument/2006/relationships" r:id="rId825"/>
        </xdr:cNvPr>
        <xdr:cNvSpPr>
          <a:spLocks noChangeAspect="1" noChangeArrowheads="1"/>
        </xdr:cNvSpPr>
      </xdr:nvSpPr>
      <xdr:spPr bwMode="auto">
        <a:xfrm>
          <a:off x="13411200" y="34069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95" name="AutoShape 1875" descr="MEXICO"/>
        <xdr:cNvSpPr>
          <a:spLocks noChangeAspect="1" noChangeArrowheads="1"/>
        </xdr:cNvSpPr>
      </xdr:nvSpPr>
      <xdr:spPr bwMode="auto">
        <a:xfrm>
          <a:off x="0" y="34244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996" name="AutoShape 1876" descr="https://www.soccerstats.com/img/own/sshplogo.png">
          <a:hlinkClick xmlns:r="http://schemas.openxmlformats.org/officeDocument/2006/relationships" r:id="rId826"/>
        </xdr:cNvPr>
        <xdr:cNvSpPr>
          <a:spLocks noChangeAspect="1" noChangeArrowheads="1"/>
        </xdr:cNvSpPr>
      </xdr:nvSpPr>
      <xdr:spPr bwMode="auto">
        <a:xfrm>
          <a:off x="13411200" y="34244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97" name="AutoShape 1877" descr="MEXICO"/>
        <xdr:cNvSpPr>
          <a:spLocks noChangeAspect="1" noChangeArrowheads="1"/>
        </xdr:cNvSpPr>
      </xdr:nvSpPr>
      <xdr:spPr bwMode="auto">
        <a:xfrm>
          <a:off x="0" y="34419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6998" name="AutoShape 1878" descr="https://www.soccerstats.com/img/own/sshplogo.png">
          <a:hlinkClick xmlns:r="http://schemas.openxmlformats.org/officeDocument/2006/relationships" r:id="rId827"/>
        </xdr:cNvPr>
        <xdr:cNvSpPr>
          <a:spLocks noChangeAspect="1" noChangeArrowheads="1"/>
        </xdr:cNvSpPr>
      </xdr:nvSpPr>
      <xdr:spPr bwMode="auto">
        <a:xfrm>
          <a:off x="13411200" y="34419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6999" name="AutoShape 1879" descr="MEXICO"/>
        <xdr:cNvSpPr>
          <a:spLocks noChangeAspect="1" noChangeArrowheads="1"/>
        </xdr:cNvSpPr>
      </xdr:nvSpPr>
      <xdr:spPr bwMode="auto">
        <a:xfrm>
          <a:off x="0" y="34594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00" name="AutoShape 1880" descr="https://www.soccerstats.com/img/own/sshplogo.png">
          <a:hlinkClick xmlns:r="http://schemas.openxmlformats.org/officeDocument/2006/relationships" r:id="rId828"/>
        </xdr:cNvPr>
        <xdr:cNvSpPr>
          <a:spLocks noChangeAspect="1" noChangeArrowheads="1"/>
        </xdr:cNvSpPr>
      </xdr:nvSpPr>
      <xdr:spPr bwMode="auto">
        <a:xfrm>
          <a:off x="13411200" y="3459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01" name="AutoShape 1881" descr="MEXICO"/>
        <xdr:cNvSpPr>
          <a:spLocks noChangeAspect="1" noChangeArrowheads="1"/>
        </xdr:cNvSpPr>
      </xdr:nvSpPr>
      <xdr:spPr bwMode="auto">
        <a:xfrm>
          <a:off x="0" y="34846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02" name="AutoShape 1882" descr="https://www.soccerstats.com/img/own/sshplogo.png">
          <a:hlinkClick xmlns:r="http://schemas.openxmlformats.org/officeDocument/2006/relationships" r:id="rId829"/>
        </xdr:cNvPr>
        <xdr:cNvSpPr>
          <a:spLocks noChangeAspect="1" noChangeArrowheads="1"/>
        </xdr:cNvSpPr>
      </xdr:nvSpPr>
      <xdr:spPr bwMode="auto">
        <a:xfrm>
          <a:off x="13411200" y="34846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03" name="AutoShape 1883" descr="MOLDOVA"/>
        <xdr:cNvSpPr>
          <a:spLocks noChangeAspect="1" noChangeArrowheads="1"/>
        </xdr:cNvSpPr>
      </xdr:nvSpPr>
      <xdr:spPr bwMode="auto">
        <a:xfrm>
          <a:off x="0" y="35021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04" name="AutoShape 1884" descr="https://www.soccerstats.com/img/own/sshplogo.png">
          <a:hlinkClick xmlns:r="http://schemas.openxmlformats.org/officeDocument/2006/relationships" r:id="rId830"/>
        </xdr:cNvPr>
        <xdr:cNvSpPr>
          <a:spLocks noChangeAspect="1" noChangeArrowheads="1"/>
        </xdr:cNvSpPr>
      </xdr:nvSpPr>
      <xdr:spPr bwMode="auto">
        <a:xfrm>
          <a:off x="13411200" y="35021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05" name="AutoShape 1885" descr="MOLDOVA"/>
        <xdr:cNvSpPr>
          <a:spLocks noChangeAspect="1" noChangeArrowheads="1"/>
        </xdr:cNvSpPr>
      </xdr:nvSpPr>
      <xdr:spPr bwMode="auto">
        <a:xfrm>
          <a:off x="0" y="35196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06" name="AutoShape 1886" descr="https://www.soccerstats.com/img/own/sshplogo.png">
          <a:hlinkClick xmlns:r="http://schemas.openxmlformats.org/officeDocument/2006/relationships" r:id="rId831"/>
        </xdr:cNvPr>
        <xdr:cNvSpPr>
          <a:spLocks noChangeAspect="1" noChangeArrowheads="1"/>
        </xdr:cNvSpPr>
      </xdr:nvSpPr>
      <xdr:spPr bwMode="auto">
        <a:xfrm>
          <a:off x="13411200" y="35196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07" name="AutoShape 1887" descr="MONTENEGRO"/>
        <xdr:cNvSpPr>
          <a:spLocks noChangeAspect="1" noChangeArrowheads="1"/>
        </xdr:cNvSpPr>
      </xdr:nvSpPr>
      <xdr:spPr bwMode="auto">
        <a:xfrm>
          <a:off x="0" y="35448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08" name="AutoShape 1888" descr="https://www.soccerstats.com/img/own/sshplogo.png">
          <a:hlinkClick xmlns:r="http://schemas.openxmlformats.org/officeDocument/2006/relationships" r:id="rId832"/>
        </xdr:cNvPr>
        <xdr:cNvSpPr>
          <a:spLocks noChangeAspect="1" noChangeArrowheads="1"/>
        </xdr:cNvSpPr>
      </xdr:nvSpPr>
      <xdr:spPr bwMode="auto">
        <a:xfrm>
          <a:off x="13411200" y="35448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09" name="AutoShape 1889" descr="MONTENEGRO"/>
        <xdr:cNvSpPr>
          <a:spLocks noChangeAspect="1" noChangeArrowheads="1"/>
        </xdr:cNvSpPr>
      </xdr:nvSpPr>
      <xdr:spPr bwMode="auto">
        <a:xfrm>
          <a:off x="0" y="35623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10" name="AutoShape 1890" descr="https://www.soccerstats.com/img/own/sshplogo.png">
          <a:hlinkClick xmlns:r="http://schemas.openxmlformats.org/officeDocument/2006/relationships" r:id="rId833"/>
        </xdr:cNvPr>
        <xdr:cNvSpPr>
          <a:spLocks noChangeAspect="1" noChangeArrowheads="1"/>
        </xdr:cNvSpPr>
      </xdr:nvSpPr>
      <xdr:spPr bwMode="auto">
        <a:xfrm>
          <a:off x="13411200" y="3562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11" name="AutoShape 1891" descr="MONTENEGRO"/>
        <xdr:cNvSpPr>
          <a:spLocks noChangeAspect="1" noChangeArrowheads="1"/>
        </xdr:cNvSpPr>
      </xdr:nvSpPr>
      <xdr:spPr bwMode="auto">
        <a:xfrm>
          <a:off x="0" y="35798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12" name="AutoShape 1892" descr="https://www.soccerstats.com/img/own/sshplogo.png">
          <a:hlinkClick xmlns:r="http://schemas.openxmlformats.org/officeDocument/2006/relationships" r:id="rId834"/>
        </xdr:cNvPr>
        <xdr:cNvSpPr>
          <a:spLocks noChangeAspect="1" noChangeArrowheads="1"/>
        </xdr:cNvSpPr>
      </xdr:nvSpPr>
      <xdr:spPr bwMode="auto">
        <a:xfrm>
          <a:off x="13411200" y="35798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13" name="AutoShape 1893" descr="NORWAY"/>
        <xdr:cNvSpPr>
          <a:spLocks noChangeAspect="1" noChangeArrowheads="1"/>
        </xdr:cNvSpPr>
      </xdr:nvSpPr>
      <xdr:spPr bwMode="auto">
        <a:xfrm>
          <a:off x="0" y="35974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14" name="AutoShape 1894" descr="https://www.soccerstats.com/img/own/sshplogo.png">
          <a:hlinkClick xmlns:r="http://schemas.openxmlformats.org/officeDocument/2006/relationships" r:id="rId835"/>
        </xdr:cNvPr>
        <xdr:cNvSpPr>
          <a:spLocks noChangeAspect="1" noChangeArrowheads="1"/>
        </xdr:cNvSpPr>
      </xdr:nvSpPr>
      <xdr:spPr bwMode="auto">
        <a:xfrm>
          <a:off x="13411200" y="35974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15" name="AutoShape 1895" descr="NORWAY"/>
        <xdr:cNvSpPr>
          <a:spLocks noChangeAspect="1" noChangeArrowheads="1"/>
        </xdr:cNvSpPr>
      </xdr:nvSpPr>
      <xdr:spPr bwMode="auto">
        <a:xfrm>
          <a:off x="0" y="36149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16" name="AutoShape 1896" descr="https://www.soccerstats.com/img/own/sshplogo.png">
          <a:hlinkClick xmlns:r="http://schemas.openxmlformats.org/officeDocument/2006/relationships" r:id="rId836"/>
        </xdr:cNvPr>
        <xdr:cNvSpPr>
          <a:spLocks noChangeAspect="1" noChangeArrowheads="1"/>
        </xdr:cNvSpPr>
      </xdr:nvSpPr>
      <xdr:spPr bwMode="auto">
        <a:xfrm>
          <a:off x="13411200" y="36149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17" name="AutoShape 1897" descr="NORWAY"/>
        <xdr:cNvSpPr>
          <a:spLocks noChangeAspect="1" noChangeArrowheads="1"/>
        </xdr:cNvSpPr>
      </xdr:nvSpPr>
      <xdr:spPr bwMode="auto">
        <a:xfrm>
          <a:off x="0" y="3632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18" name="AutoShape 1898" descr="https://www.soccerstats.com/img/own/sshplogo.png">
          <a:hlinkClick xmlns:r="http://schemas.openxmlformats.org/officeDocument/2006/relationships" r:id="rId837"/>
        </xdr:cNvPr>
        <xdr:cNvSpPr>
          <a:spLocks noChangeAspect="1" noChangeArrowheads="1"/>
        </xdr:cNvSpPr>
      </xdr:nvSpPr>
      <xdr:spPr bwMode="auto">
        <a:xfrm>
          <a:off x="13411200" y="3632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19" name="AutoShape 1899" descr="NORWAY"/>
        <xdr:cNvSpPr>
          <a:spLocks noChangeAspect="1" noChangeArrowheads="1"/>
        </xdr:cNvSpPr>
      </xdr:nvSpPr>
      <xdr:spPr bwMode="auto">
        <a:xfrm>
          <a:off x="0" y="36499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20" name="AutoShape 1900" descr="https://www.soccerstats.com/img/own/sshplogo.png">
          <a:hlinkClick xmlns:r="http://schemas.openxmlformats.org/officeDocument/2006/relationships" r:id="rId838"/>
        </xdr:cNvPr>
        <xdr:cNvSpPr>
          <a:spLocks noChangeAspect="1" noChangeArrowheads="1"/>
        </xdr:cNvSpPr>
      </xdr:nvSpPr>
      <xdr:spPr bwMode="auto">
        <a:xfrm>
          <a:off x="13411200" y="36499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21" name="AutoShape 1901" descr="NORWAY"/>
        <xdr:cNvSpPr>
          <a:spLocks noChangeAspect="1" noChangeArrowheads="1"/>
        </xdr:cNvSpPr>
      </xdr:nvSpPr>
      <xdr:spPr bwMode="auto">
        <a:xfrm>
          <a:off x="0" y="3667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22" name="AutoShape 1902" descr="https://www.soccerstats.com/img/own/sshplogo.png">
          <a:hlinkClick xmlns:r="http://schemas.openxmlformats.org/officeDocument/2006/relationships" r:id="rId839"/>
        </xdr:cNvPr>
        <xdr:cNvSpPr>
          <a:spLocks noChangeAspect="1" noChangeArrowheads="1"/>
        </xdr:cNvSpPr>
      </xdr:nvSpPr>
      <xdr:spPr bwMode="auto">
        <a:xfrm>
          <a:off x="13411200" y="3667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23" name="AutoShape 1903" descr="NORWAY2"/>
        <xdr:cNvSpPr>
          <a:spLocks noChangeAspect="1" noChangeArrowheads="1"/>
        </xdr:cNvSpPr>
      </xdr:nvSpPr>
      <xdr:spPr bwMode="auto">
        <a:xfrm>
          <a:off x="0" y="36850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24" name="AutoShape 1904" descr="https://www.soccerstats.com/img/own/sshplogo.png">
          <a:hlinkClick xmlns:r="http://schemas.openxmlformats.org/officeDocument/2006/relationships" r:id="rId840"/>
        </xdr:cNvPr>
        <xdr:cNvSpPr>
          <a:spLocks noChangeAspect="1" noChangeArrowheads="1"/>
        </xdr:cNvSpPr>
      </xdr:nvSpPr>
      <xdr:spPr bwMode="auto">
        <a:xfrm>
          <a:off x="13411200" y="3685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25" name="AutoShape 1905" descr="NORWAY2"/>
        <xdr:cNvSpPr>
          <a:spLocks noChangeAspect="1" noChangeArrowheads="1"/>
        </xdr:cNvSpPr>
      </xdr:nvSpPr>
      <xdr:spPr bwMode="auto">
        <a:xfrm>
          <a:off x="0" y="37025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26" name="AutoShape 1906" descr="https://www.soccerstats.com/img/own/sshplogo.png">
          <a:hlinkClick xmlns:r="http://schemas.openxmlformats.org/officeDocument/2006/relationships" r:id="rId841"/>
        </xdr:cNvPr>
        <xdr:cNvSpPr>
          <a:spLocks noChangeAspect="1" noChangeArrowheads="1"/>
        </xdr:cNvSpPr>
      </xdr:nvSpPr>
      <xdr:spPr bwMode="auto">
        <a:xfrm>
          <a:off x="13411200" y="37025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27" name="AutoShape 1907" descr="NORWAY2"/>
        <xdr:cNvSpPr>
          <a:spLocks noChangeAspect="1" noChangeArrowheads="1"/>
        </xdr:cNvSpPr>
      </xdr:nvSpPr>
      <xdr:spPr bwMode="auto">
        <a:xfrm>
          <a:off x="0" y="37200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28" name="AutoShape 1908" descr="https://www.soccerstats.com/img/own/sshplogo.png">
          <a:hlinkClick xmlns:r="http://schemas.openxmlformats.org/officeDocument/2006/relationships" r:id="rId842"/>
        </xdr:cNvPr>
        <xdr:cNvSpPr>
          <a:spLocks noChangeAspect="1" noChangeArrowheads="1"/>
        </xdr:cNvSpPr>
      </xdr:nvSpPr>
      <xdr:spPr bwMode="auto">
        <a:xfrm>
          <a:off x="13411200" y="37200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29" name="AutoShape 1909" descr="NORWAY2"/>
        <xdr:cNvSpPr>
          <a:spLocks noChangeAspect="1" noChangeArrowheads="1"/>
        </xdr:cNvSpPr>
      </xdr:nvSpPr>
      <xdr:spPr bwMode="auto">
        <a:xfrm>
          <a:off x="0" y="37376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30" name="AutoShape 1910" descr="https://www.soccerstats.com/img/own/sshplogo.png">
          <a:hlinkClick xmlns:r="http://schemas.openxmlformats.org/officeDocument/2006/relationships" r:id="rId843"/>
        </xdr:cNvPr>
        <xdr:cNvSpPr>
          <a:spLocks noChangeAspect="1" noChangeArrowheads="1"/>
        </xdr:cNvSpPr>
      </xdr:nvSpPr>
      <xdr:spPr bwMode="auto">
        <a:xfrm>
          <a:off x="13411200" y="37376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31" name="AutoShape 1911" descr="NORWAY2"/>
        <xdr:cNvSpPr>
          <a:spLocks noChangeAspect="1" noChangeArrowheads="1"/>
        </xdr:cNvSpPr>
      </xdr:nvSpPr>
      <xdr:spPr bwMode="auto">
        <a:xfrm>
          <a:off x="0" y="37551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32" name="AutoShape 1912" descr="https://www.soccerstats.com/img/own/sshplogo.png">
          <a:hlinkClick xmlns:r="http://schemas.openxmlformats.org/officeDocument/2006/relationships" r:id="rId844"/>
        </xdr:cNvPr>
        <xdr:cNvSpPr>
          <a:spLocks noChangeAspect="1" noChangeArrowheads="1"/>
        </xdr:cNvSpPr>
      </xdr:nvSpPr>
      <xdr:spPr bwMode="auto">
        <a:xfrm>
          <a:off x="13411200" y="37551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33" name="AutoShape 1913" descr="NORWAY3"/>
        <xdr:cNvSpPr>
          <a:spLocks noChangeAspect="1" noChangeArrowheads="1"/>
        </xdr:cNvSpPr>
      </xdr:nvSpPr>
      <xdr:spPr bwMode="auto">
        <a:xfrm>
          <a:off x="0" y="37726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34" name="AutoShape 1914" descr="https://www.soccerstats.com/img/own/sshplogo.png">
          <a:hlinkClick xmlns:r="http://schemas.openxmlformats.org/officeDocument/2006/relationships" r:id="rId845"/>
        </xdr:cNvPr>
        <xdr:cNvSpPr>
          <a:spLocks noChangeAspect="1" noChangeArrowheads="1"/>
        </xdr:cNvSpPr>
      </xdr:nvSpPr>
      <xdr:spPr bwMode="auto">
        <a:xfrm>
          <a:off x="13411200" y="37726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35" name="AutoShape 1915" descr="NORWAY3"/>
        <xdr:cNvSpPr>
          <a:spLocks noChangeAspect="1" noChangeArrowheads="1"/>
        </xdr:cNvSpPr>
      </xdr:nvSpPr>
      <xdr:spPr bwMode="auto">
        <a:xfrm>
          <a:off x="0" y="37901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36" name="AutoShape 1916" descr="https://www.soccerstats.com/img/own/sshplogo.png">
          <a:hlinkClick xmlns:r="http://schemas.openxmlformats.org/officeDocument/2006/relationships" r:id="rId846"/>
        </xdr:cNvPr>
        <xdr:cNvSpPr>
          <a:spLocks noChangeAspect="1" noChangeArrowheads="1"/>
        </xdr:cNvSpPr>
      </xdr:nvSpPr>
      <xdr:spPr bwMode="auto">
        <a:xfrm>
          <a:off x="13411200" y="37901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37" name="AutoShape 1917" descr="NORWAY3"/>
        <xdr:cNvSpPr>
          <a:spLocks noChangeAspect="1" noChangeArrowheads="1"/>
        </xdr:cNvSpPr>
      </xdr:nvSpPr>
      <xdr:spPr bwMode="auto">
        <a:xfrm>
          <a:off x="0" y="38153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38" name="AutoShape 1918" descr="https://www.soccerstats.com/img/own/sshplogo.png">
          <a:hlinkClick xmlns:r="http://schemas.openxmlformats.org/officeDocument/2006/relationships" r:id="rId847"/>
        </xdr:cNvPr>
        <xdr:cNvSpPr>
          <a:spLocks noChangeAspect="1" noChangeArrowheads="1"/>
        </xdr:cNvSpPr>
      </xdr:nvSpPr>
      <xdr:spPr bwMode="auto">
        <a:xfrm>
          <a:off x="13411200" y="38153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39" name="AutoShape 1919" descr="NORWAY4"/>
        <xdr:cNvSpPr>
          <a:spLocks noChangeAspect="1" noChangeArrowheads="1"/>
        </xdr:cNvSpPr>
      </xdr:nvSpPr>
      <xdr:spPr bwMode="auto">
        <a:xfrm>
          <a:off x="0" y="38328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40" name="AutoShape 1920" descr="https://www.soccerstats.com/img/own/sshplogo.png">
          <a:hlinkClick xmlns:r="http://schemas.openxmlformats.org/officeDocument/2006/relationships" r:id="rId848"/>
        </xdr:cNvPr>
        <xdr:cNvSpPr>
          <a:spLocks noChangeAspect="1" noChangeArrowheads="1"/>
        </xdr:cNvSpPr>
      </xdr:nvSpPr>
      <xdr:spPr bwMode="auto">
        <a:xfrm>
          <a:off x="13411200" y="38328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41" name="AutoShape 1921" descr="NORWAY4"/>
        <xdr:cNvSpPr>
          <a:spLocks noChangeAspect="1" noChangeArrowheads="1"/>
        </xdr:cNvSpPr>
      </xdr:nvSpPr>
      <xdr:spPr bwMode="auto">
        <a:xfrm>
          <a:off x="0" y="38503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42" name="AutoShape 1922" descr="https://www.soccerstats.com/img/own/sshplogo.png">
          <a:hlinkClick xmlns:r="http://schemas.openxmlformats.org/officeDocument/2006/relationships" r:id="rId849"/>
        </xdr:cNvPr>
        <xdr:cNvSpPr>
          <a:spLocks noChangeAspect="1" noChangeArrowheads="1"/>
        </xdr:cNvSpPr>
      </xdr:nvSpPr>
      <xdr:spPr bwMode="auto">
        <a:xfrm>
          <a:off x="13411200" y="38503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43" name="AutoShape 1923" descr="NORWAY4"/>
        <xdr:cNvSpPr>
          <a:spLocks noChangeAspect="1" noChangeArrowheads="1"/>
        </xdr:cNvSpPr>
      </xdr:nvSpPr>
      <xdr:spPr bwMode="auto">
        <a:xfrm>
          <a:off x="0" y="38679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44" name="AutoShape 1924" descr="https://www.soccerstats.com/img/own/sshplogo.png">
          <a:hlinkClick xmlns:r="http://schemas.openxmlformats.org/officeDocument/2006/relationships" r:id="rId850"/>
        </xdr:cNvPr>
        <xdr:cNvSpPr>
          <a:spLocks noChangeAspect="1" noChangeArrowheads="1"/>
        </xdr:cNvSpPr>
      </xdr:nvSpPr>
      <xdr:spPr bwMode="auto">
        <a:xfrm>
          <a:off x="13411200" y="3867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45" name="AutoShape 1925" descr="NORWAY4"/>
        <xdr:cNvSpPr>
          <a:spLocks noChangeAspect="1" noChangeArrowheads="1"/>
        </xdr:cNvSpPr>
      </xdr:nvSpPr>
      <xdr:spPr bwMode="auto">
        <a:xfrm>
          <a:off x="0" y="38854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46" name="AutoShape 1926" descr="https://www.soccerstats.com/img/own/sshplogo.png">
          <a:hlinkClick xmlns:r="http://schemas.openxmlformats.org/officeDocument/2006/relationships" r:id="rId851"/>
        </xdr:cNvPr>
        <xdr:cNvSpPr>
          <a:spLocks noChangeAspect="1" noChangeArrowheads="1"/>
        </xdr:cNvSpPr>
      </xdr:nvSpPr>
      <xdr:spPr bwMode="auto">
        <a:xfrm>
          <a:off x="13411200" y="38854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47" name="AutoShape 1927" descr="NORWAY4"/>
        <xdr:cNvSpPr>
          <a:spLocks noChangeAspect="1" noChangeArrowheads="1"/>
        </xdr:cNvSpPr>
      </xdr:nvSpPr>
      <xdr:spPr bwMode="auto">
        <a:xfrm>
          <a:off x="0" y="39105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48" name="AutoShape 1928" descr="https://www.soccerstats.com/img/own/sshplogo.png">
          <a:hlinkClick xmlns:r="http://schemas.openxmlformats.org/officeDocument/2006/relationships" r:id="rId852"/>
        </xdr:cNvPr>
        <xdr:cNvSpPr>
          <a:spLocks noChangeAspect="1" noChangeArrowheads="1"/>
        </xdr:cNvSpPr>
      </xdr:nvSpPr>
      <xdr:spPr bwMode="auto">
        <a:xfrm>
          <a:off x="13411200" y="39105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49" name="AutoShape 1929" descr="NORWAY4"/>
        <xdr:cNvSpPr>
          <a:spLocks noChangeAspect="1" noChangeArrowheads="1"/>
        </xdr:cNvSpPr>
      </xdr:nvSpPr>
      <xdr:spPr bwMode="auto">
        <a:xfrm>
          <a:off x="0" y="39281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50" name="AutoShape 1930" descr="https://www.soccerstats.com/img/own/sshplogo.png">
          <a:hlinkClick xmlns:r="http://schemas.openxmlformats.org/officeDocument/2006/relationships" r:id="rId853"/>
        </xdr:cNvPr>
        <xdr:cNvSpPr>
          <a:spLocks noChangeAspect="1" noChangeArrowheads="1"/>
        </xdr:cNvSpPr>
      </xdr:nvSpPr>
      <xdr:spPr bwMode="auto">
        <a:xfrm>
          <a:off x="13411200" y="39281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51" name="AutoShape 1931" descr="PARAGUAY2"/>
        <xdr:cNvSpPr>
          <a:spLocks noChangeAspect="1" noChangeArrowheads="1"/>
        </xdr:cNvSpPr>
      </xdr:nvSpPr>
      <xdr:spPr bwMode="auto">
        <a:xfrm>
          <a:off x="0" y="39456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52" name="AutoShape 1932" descr="https://www.soccerstats.com/img/own/sshplogo.png">
          <a:hlinkClick xmlns:r="http://schemas.openxmlformats.org/officeDocument/2006/relationships" r:id="rId854"/>
        </xdr:cNvPr>
        <xdr:cNvSpPr>
          <a:spLocks noChangeAspect="1" noChangeArrowheads="1"/>
        </xdr:cNvSpPr>
      </xdr:nvSpPr>
      <xdr:spPr bwMode="auto">
        <a:xfrm>
          <a:off x="13411200" y="39456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53" name="AutoShape 1933" descr="PARAGUAY2"/>
        <xdr:cNvSpPr>
          <a:spLocks noChangeAspect="1" noChangeArrowheads="1"/>
        </xdr:cNvSpPr>
      </xdr:nvSpPr>
      <xdr:spPr bwMode="auto">
        <a:xfrm>
          <a:off x="0" y="39707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54" name="AutoShape 1934" descr="https://www.soccerstats.com/img/own/sshplogo.png">
          <a:hlinkClick xmlns:r="http://schemas.openxmlformats.org/officeDocument/2006/relationships" r:id="rId855"/>
        </xdr:cNvPr>
        <xdr:cNvSpPr>
          <a:spLocks noChangeAspect="1" noChangeArrowheads="1"/>
        </xdr:cNvSpPr>
      </xdr:nvSpPr>
      <xdr:spPr bwMode="auto">
        <a:xfrm>
          <a:off x="13411200" y="39707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55" name="AutoShape 1935" descr="PARAGUAY2"/>
        <xdr:cNvSpPr>
          <a:spLocks noChangeAspect="1" noChangeArrowheads="1"/>
        </xdr:cNvSpPr>
      </xdr:nvSpPr>
      <xdr:spPr bwMode="auto">
        <a:xfrm>
          <a:off x="0" y="39883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56" name="AutoShape 1936" descr="https://www.soccerstats.com/img/own/sshplogo.png">
          <a:hlinkClick xmlns:r="http://schemas.openxmlformats.org/officeDocument/2006/relationships" r:id="rId856"/>
        </xdr:cNvPr>
        <xdr:cNvSpPr>
          <a:spLocks noChangeAspect="1" noChangeArrowheads="1"/>
        </xdr:cNvSpPr>
      </xdr:nvSpPr>
      <xdr:spPr bwMode="auto">
        <a:xfrm>
          <a:off x="13411200" y="39883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57" name="AutoShape 1937" descr="POLAND"/>
        <xdr:cNvSpPr>
          <a:spLocks noChangeAspect="1" noChangeArrowheads="1"/>
        </xdr:cNvSpPr>
      </xdr:nvSpPr>
      <xdr:spPr bwMode="auto">
        <a:xfrm>
          <a:off x="0" y="40058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58" name="AutoShape 1938" descr="https://www.soccerstats.com/img/own/sshplogo.png">
          <a:hlinkClick xmlns:r="http://schemas.openxmlformats.org/officeDocument/2006/relationships" r:id="rId857"/>
        </xdr:cNvPr>
        <xdr:cNvSpPr>
          <a:spLocks noChangeAspect="1" noChangeArrowheads="1"/>
        </xdr:cNvSpPr>
      </xdr:nvSpPr>
      <xdr:spPr bwMode="auto">
        <a:xfrm>
          <a:off x="13411200" y="4005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59" name="AutoShape 1939" descr="POLAND"/>
        <xdr:cNvSpPr>
          <a:spLocks noChangeAspect="1" noChangeArrowheads="1"/>
        </xdr:cNvSpPr>
      </xdr:nvSpPr>
      <xdr:spPr bwMode="auto">
        <a:xfrm>
          <a:off x="0" y="40233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60" name="AutoShape 1940" descr="https://www.soccerstats.com/img/own/sshplogo.png">
          <a:hlinkClick xmlns:r="http://schemas.openxmlformats.org/officeDocument/2006/relationships" r:id="rId858"/>
        </xdr:cNvPr>
        <xdr:cNvSpPr>
          <a:spLocks noChangeAspect="1" noChangeArrowheads="1"/>
        </xdr:cNvSpPr>
      </xdr:nvSpPr>
      <xdr:spPr bwMode="auto">
        <a:xfrm>
          <a:off x="13411200" y="40233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61" name="AutoShape 1941" descr="POLAND"/>
        <xdr:cNvSpPr>
          <a:spLocks noChangeAspect="1" noChangeArrowheads="1"/>
        </xdr:cNvSpPr>
      </xdr:nvSpPr>
      <xdr:spPr bwMode="auto">
        <a:xfrm>
          <a:off x="0" y="4048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62" name="AutoShape 1942" descr="https://www.soccerstats.com/img/own/sshplogo.png">
          <a:hlinkClick xmlns:r="http://schemas.openxmlformats.org/officeDocument/2006/relationships" r:id="rId859"/>
        </xdr:cNvPr>
        <xdr:cNvSpPr>
          <a:spLocks noChangeAspect="1" noChangeArrowheads="1"/>
        </xdr:cNvSpPr>
      </xdr:nvSpPr>
      <xdr:spPr bwMode="auto">
        <a:xfrm>
          <a:off x="13411200" y="4048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63" name="AutoShape 1943" descr="POLAND"/>
        <xdr:cNvSpPr>
          <a:spLocks noChangeAspect="1" noChangeArrowheads="1"/>
        </xdr:cNvSpPr>
      </xdr:nvSpPr>
      <xdr:spPr bwMode="auto">
        <a:xfrm>
          <a:off x="0" y="40660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64" name="AutoShape 1944" descr="https://www.soccerstats.com/img/own/sshplogo.png">
          <a:hlinkClick xmlns:r="http://schemas.openxmlformats.org/officeDocument/2006/relationships" r:id="rId860"/>
        </xdr:cNvPr>
        <xdr:cNvSpPr>
          <a:spLocks noChangeAspect="1" noChangeArrowheads="1"/>
        </xdr:cNvSpPr>
      </xdr:nvSpPr>
      <xdr:spPr bwMode="auto">
        <a:xfrm>
          <a:off x="13411200" y="4066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65" name="AutoShape 1945" descr="POLAND2"/>
        <xdr:cNvSpPr>
          <a:spLocks noChangeAspect="1" noChangeArrowheads="1"/>
        </xdr:cNvSpPr>
      </xdr:nvSpPr>
      <xdr:spPr bwMode="auto">
        <a:xfrm>
          <a:off x="0" y="40835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66" name="AutoShape 1946" descr="https://www.soccerstats.com/img/own/sshplogo.png">
          <a:hlinkClick xmlns:r="http://schemas.openxmlformats.org/officeDocument/2006/relationships" r:id="rId861"/>
        </xdr:cNvPr>
        <xdr:cNvSpPr>
          <a:spLocks noChangeAspect="1" noChangeArrowheads="1"/>
        </xdr:cNvSpPr>
      </xdr:nvSpPr>
      <xdr:spPr bwMode="auto">
        <a:xfrm>
          <a:off x="13411200" y="40835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67" name="AutoShape 1947" descr="POLAND2"/>
        <xdr:cNvSpPr>
          <a:spLocks noChangeAspect="1" noChangeArrowheads="1"/>
        </xdr:cNvSpPr>
      </xdr:nvSpPr>
      <xdr:spPr bwMode="auto">
        <a:xfrm>
          <a:off x="0" y="41010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68" name="AutoShape 1948" descr="https://www.soccerstats.com/img/own/sshplogo.png">
          <a:hlinkClick xmlns:r="http://schemas.openxmlformats.org/officeDocument/2006/relationships" r:id="rId862"/>
        </xdr:cNvPr>
        <xdr:cNvSpPr>
          <a:spLocks noChangeAspect="1" noChangeArrowheads="1"/>
        </xdr:cNvSpPr>
      </xdr:nvSpPr>
      <xdr:spPr bwMode="auto">
        <a:xfrm>
          <a:off x="13411200" y="41010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69" name="AutoShape 1949" descr="POLAND2"/>
        <xdr:cNvSpPr>
          <a:spLocks noChangeAspect="1" noChangeArrowheads="1"/>
        </xdr:cNvSpPr>
      </xdr:nvSpPr>
      <xdr:spPr bwMode="auto">
        <a:xfrm>
          <a:off x="0" y="41262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70" name="AutoShape 1950" descr="https://www.soccerstats.com/img/own/sshplogo.png">
          <a:hlinkClick xmlns:r="http://schemas.openxmlformats.org/officeDocument/2006/relationships" r:id="rId863"/>
        </xdr:cNvPr>
        <xdr:cNvSpPr>
          <a:spLocks noChangeAspect="1" noChangeArrowheads="1"/>
        </xdr:cNvSpPr>
      </xdr:nvSpPr>
      <xdr:spPr bwMode="auto">
        <a:xfrm>
          <a:off x="13411200" y="41262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71" name="AutoShape 1951" descr="POLAND3"/>
        <xdr:cNvSpPr>
          <a:spLocks noChangeAspect="1" noChangeArrowheads="1"/>
        </xdr:cNvSpPr>
      </xdr:nvSpPr>
      <xdr:spPr bwMode="auto">
        <a:xfrm>
          <a:off x="0" y="41513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72" name="AutoShape 1952" descr="https://www.soccerstats.com/img/own/sshplogo.png">
          <a:hlinkClick xmlns:r="http://schemas.openxmlformats.org/officeDocument/2006/relationships" r:id="rId864"/>
        </xdr:cNvPr>
        <xdr:cNvSpPr>
          <a:spLocks noChangeAspect="1" noChangeArrowheads="1"/>
        </xdr:cNvSpPr>
      </xdr:nvSpPr>
      <xdr:spPr bwMode="auto">
        <a:xfrm>
          <a:off x="13411200" y="41513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73" name="AutoShape 1953" descr="POLAND3"/>
        <xdr:cNvSpPr>
          <a:spLocks noChangeAspect="1" noChangeArrowheads="1"/>
        </xdr:cNvSpPr>
      </xdr:nvSpPr>
      <xdr:spPr bwMode="auto">
        <a:xfrm>
          <a:off x="0" y="41765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74" name="AutoShape 1954" descr="https://www.soccerstats.com/img/own/sshplogo.png">
          <a:hlinkClick xmlns:r="http://schemas.openxmlformats.org/officeDocument/2006/relationships" r:id="rId865"/>
        </xdr:cNvPr>
        <xdr:cNvSpPr>
          <a:spLocks noChangeAspect="1" noChangeArrowheads="1"/>
        </xdr:cNvSpPr>
      </xdr:nvSpPr>
      <xdr:spPr bwMode="auto">
        <a:xfrm>
          <a:off x="13411200" y="41765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75" name="AutoShape 1955" descr="POLAND3"/>
        <xdr:cNvSpPr>
          <a:spLocks noChangeAspect="1" noChangeArrowheads="1"/>
        </xdr:cNvSpPr>
      </xdr:nvSpPr>
      <xdr:spPr bwMode="auto">
        <a:xfrm>
          <a:off x="0" y="42016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76" name="AutoShape 1956" descr="https://www.soccerstats.com/img/own/sshplogo.png">
          <a:hlinkClick xmlns:r="http://schemas.openxmlformats.org/officeDocument/2006/relationships" r:id="rId866"/>
        </xdr:cNvPr>
        <xdr:cNvSpPr>
          <a:spLocks noChangeAspect="1" noChangeArrowheads="1"/>
        </xdr:cNvSpPr>
      </xdr:nvSpPr>
      <xdr:spPr bwMode="auto">
        <a:xfrm>
          <a:off x="13411200" y="42016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77" name="AutoShape 1957" descr="POLAND3"/>
        <xdr:cNvSpPr>
          <a:spLocks noChangeAspect="1" noChangeArrowheads="1"/>
        </xdr:cNvSpPr>
      </xdr:nvSpPr>
      <xdr:spPr bwMode="auto">
        <a:xfrm>
          <a:off x="0" y="42268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78" name="AutoShape 1958" descr="https://www.soccerstats.com/img/own/sshplogo.png">
          <a:hlinkClick xmlns:r="http://schemas.openxmlformats.org/officeDocument/2006/relationships" r:id="rId867"/>
        </xdr:cNvPr>
        <xdr:cNvSpPr>
          <a:spLocks noChangeAspect="1" noChangeArrowheads="1"/>
        </xdr:cNvSpPr>
      </xdr:nvSpPr>
      <xdr:spPr bwMode="auto">
        <a:xfrm>
          <a:off x="13411200" y="4226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79" name="AutoShape 1959" descr="PORTUGAL2"/>
        <xdr:cNvSpPr>
          <a:spLocks noChangeAspect="1" noChangeArrowheads="1"/>
        </xdr:cNvSpPr>
      </xdr:nvSpPr>
      <xdr:spPr bwMode="auto">
        <a:xfrm>
          <a:off x="0" y="4244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80" name="AutoShape 1960" descr="https://www.soccerstats.com/img/own/sshplogo.png">
          <a:hlinkClick xmlns:r="http://schemas.openxmlformats.org/officeDocument/2006/relationships" r:id="rId868"/>
        </xdr:cNvPr>
        <xdr:cNvSpPr>
          <a:spLocks noChangeAspect="1" noChangeArrowheads="1"/>
        </xdr:cNvSpPr>
      </xdr:nvSpPr>
      <xdr:spPr bwMode="auto">
        <a:xfrm>
          <a:off x="13411200" y="4244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81" name="AutoShape 1961" descr="PORTUGAL2"/>
        <xdr:cNvSpPr>
          <a:spLocks noChangeAspect="1" noChangeArrowheads="1"/>
        </xdr:cNvSpPr>
      </xdr:nvSpPr>
      <xdr:spPr bwMode="auto">
        <a:xfrm>
          <a:off x="0" y="42694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82" name="AutoShape 1962" descr="https://www.soccerstats.com/img/own/sshplogo.png">
          <a:hlinkClick xmlns:r="http://schemas.openxmlformats.org/officeDocument/2006/relationships" r:id="rId869"/>
        </xdr:cNvPr>
        <xdr:cNvSpPr>
          <a:spLocks noChangeAspect="1" noChangeArrowheads="1"/>
        </xdr:cNvSpPr>
      </xdr:nvSpPr>
      <xdr:spPr bwMode="auto">
        <a:xfrm>
          <a:off x="13411200" y="42694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83" name="AutoShape 1963" descr="PORTUGAL2"/>
        <xdr:cNvSpPr>
          <a:spLocks noChangeAspect="1" noChangeArrowheads="1"/>
        </xdr:cNvSpPr>
      </xdr:nvSpPr>
      <xdr:spPr bwMode="auto">
        <a:xfrm>
          <a:off x="0" y="42870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84" name="AutoShape 1964" descr="https://www.soccerstats.com/img/own/sshplogo.png">
          <a:hlinkClick xmlns:r="http://schemas.openxmlformats.org/officeDocument/2006/relationships" r:id="rId870"/>
        </xdr:cNvPr>
        <xdr:cNvSpPr>
          <a:spLocks noChangeAspect="1" noChangeArrowheads="1"/>
        </xdr:cNvSpPr>
      </xdr:nvSpPr>
      <xdr:spPr bwMode="auto">
        <a:xfrm>
          <a:off x="13411200" y="42870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85" name="AutoShape 1965" descr="PORTUGAL2"/>
        <xdr:cNvSpPr>
          <a:spLocks noChangeAspect="1" noChangeArrowheads="1"/>
        </xdr:cNvSpPr>
      </xdr:nvSpPr>
      <xdr:spPr bwMode="auto">
        <a:xfrm>
          <a:off x="0" y="43045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86" name="AutoShape 1966" descr="https://www.soccerstats.com/img/own/sshplogo.png">
          <a:hlinkClick xmlns:r="http://schemas.openxmlformats.org/officeDocument/2006/relationships" r:id="rId871"/>
        </xdr:cNvPr>
        <xdr:cNvSpPr>
          <a:spLocks noChangeAspect="1" noChangeArrowheads="1"/>
        </xdr:cNvSpPr>
      </xdr:nvSpPr>
      <xdr:spPr bwMode="auto">
        <a:xfrm>
          <a:off x="13411200" y="43045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87" name="AutoShape 1967" descr="ROMANIA"/>
        <xdr:cNvSpPr>
          <a:spLocks noChangeAspect="1" noChangeArrowheads="1"/>
        </xdr:cNvSpPr>
      </xdr:nvSpPr>
      <xdr:spPr bwMode="auto">
        <a:xfrm>
          <a:off x="0" y="4322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88" name="AutoShape 1968" descr="https://www.soccerstats.com/img/own/sshplogo.png">
          <a:hlinkClick xmlns:r="http://schemas.openxmlformats.org/officeDocument/2006/relationships" r:id="rId872"/>
        </xdr:cNvPr>
        <xdr:cNvSpPr>
          <a:spLocks noChangeAspect="1" noChangeArrowheads="1"/>
        </xdr:cNvSpPr>
      </xdr:nvSpPr>
      <xdr:spPr bwMode="auto">
        <a:xfrm>
          <a:off x="13411200" y="4322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89" name="AutoShape 1969" descr="ROMANIA"/>
        <xdr:cNvSpPr>
          <a:spLocks noChangeAspect="1" noChangeArrowheads="1"/>
        </xdr:cNvSpPr>
      </xdr:nvSpPr>
      <xdr:spPr bwMode="auto">
        <a:xfrm>
          <a:off x="0" y="43395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90" name="AutoShape 1970" descr="https://www.soccerstats.com/img/own/sshplogo.png">
          <a:hlinkClick xmlns:r="http://schemas.openxmlformats.org/officeDocument/2006/relationships" r:id="rId873"/>
        </xdr:cNvPr>
        <xdr:cNvSpPr>
          <a:spLocks noChangeAspect="1" noChangeArrowheads="1"/>
        </xdr:cNvSpPr>
      </xdr:nvSpPr>
      <xdr:spPr bwMode="auto">
        <a:xfrm>
          <a:off x="13411200" y="43395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91" name="AutoShape 1971" descr="RUSSIA"/>
        <xdr:cNvSpPr>
          <a:spLocks noChangeAspect="1" noChangeArrowheads="1"/>
        </xdr:cNvSpPr>
      </xdr:nvSpPr>
      <xdr:spPr bwMode="auto">
        <a:xfrm>
          <a:off x="0" y="43571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92" name="AutoShape 1972" descr="https://www.soccerstats.com/img/own/sshplogo.png">
          <a:hlinkClick xmlns:r="http://schemas.openxmlformats.org/officeDocument/2006/relationships" r:id="rId874"/>
        </xdr:cNvPr>
        <xdr:cNvSpPr>
          <a:spLocks noChangeAspect="1" noChangeArrowheads="1"/>
        </xdr:cNvSpPr>
      </xdr:nvSpPr>
      <xdr:spPr bwMode="auto">
        <a:xfrm>
          <a:off x="13411200" y="43571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93" name="AutoShape 1973" descr="RUSSIA"/>
        <xdr:cNvSpPr>
          <a:spLocks noChangeAspect="1" noChangeArrowheads="1"/>
        </xdr:cNvSpPr>
      </xdr:nvSpPr>
      <xdr:spPr bwMode="auto">
        <a:xfrm>
          <a:off x="0" y="43822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94" name="AutoShape 1974" descr="https://www.soccerstats.com/img/own/sshplogo.png">
          <a:hlinkClick xmlns:r="http://schemas.openxmlformats.org/officeDocument/2006/relationships" r:id="rId875"/>
        </xdr:cNvPr>
        <xdr:cNvSpPr>
          <a:spLocks noChangeAspect="1" noChangeArrowheads="1"/>
        </xdr:cNvSpPr>
      </xdr:nvSpPr>
      <xdr:spPr bwMode="auto">
        <a:xfrm>
          <a:off x="13411200" y="43822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95" name="AutoShape 1975" descr="RUSSIA"/>
        <xdr:cNvSpPr>
          <a:spLocks noChangeAspect="1" noChangeArrowheads="1"/>
        </xdr:cNvSpPr>
      </xdr:nvSpPr>
      <xdr:spPr bwMode="auto">
        <a:xfrm>
          <a:off x="0" y="44074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96" name="AutoShape 1976" descr="https://www.soccerstats.com/img/own/sshplogo.png">
          <a:hlinkClick xmlns:r="http://schemas.openxmlformats.org/officeDocument/2006/relationships" r:id="rId876"/>
        </xdr:cNvPr>
        <xdr:cNvSpPr>
          <a:spLocks noChangeAspect="1" noChangeArrowheads="1"/>
        </xdr:cNvSpPr>
      </xdr:nvSpPr>
      <xdr:spPr bwMode="auto">
        <a:xfrm>
          <a:off x="13411200" y="44074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97" name="AutoShape 1977" descr="SERBIA"/>
        <xdr:cNvSpPr>
          <a:spLocks noChangeAspect="1" noChangeArrowheads="1"/>
        </xdr:cNvSpPr>
      </xdr:nvSpPr>
      <xdr:spPr bwMode="auto">
        <a:xfrm>
          <a:off x="0" y="44325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098" name="AutoShape 1978" descr="https://www.soccerstats.com/img/own/sshplogo.png">
          <a:hlinkClick xmlns:r="http://schemas.openxmlformats.org/officeDocument/2006/relationships" r:id="rId409"/>
        </xdr:cNvPr>
        <xdr:cNvSpPr>
          <a:spLocks noChangeAspect="1" noChangeArrowheads="1"/>
        </xdr:cNvSpPr>
      </xdr:nvSpPr>
      <xdr:spPr bwMode="auto">
        <a:xfrm>
          <a:off x="13411200" y="44325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099" name="AutoShape 1979" descr="SERBIA"/>
        <xdr:cNvSpPr>
          <a:spLocks noChangeAspect="1" noChangeArrowheads="1"/>
        </xdr:cNvSpPr>
      </xdr:nvSpPr>
      <xdr:spPr bwMode="auto">
        <a:xfrm>
          <a:off x="0" y="44577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00" name="AutoShape 1980" descr="https://www.soccerstats.com/img/own/sshplogo.png">
          <a:hlinkClick xmlns:r="http://schemas.openxmlformats.org/officeDocument/2006/relationships" r:id="rId411"/>
        </xdr:cNvPr>
        <xdr:cNvSpPr>
          <a:spLocks noChangeAspect="1" noChangeArrowheads="1"/>
        </xdr:cNvSpPr>
      </xdr:nvSpPr>
      <xdr:spPr bwMode="auto">
        <a:xfrm>
          <a:off x="13411200" y="4457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01" name="AutoShape 1981" descr="SERBIA"/>
        <xdr:cNvSpPr>
          <a:spLocks noChangeAspect="1" noChangeArrowheads="1"/>
        </xdr:cNvSpPr>
      </xdr:nvSpPr>
      <xdr:spPr bwMode="auto">
        <a:xfrm>
          <a:off x="0" y="44752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02" name="AutoShape 1982" descr="https://www.soccerstats.com/img/own/sshplogo.png">
          <a:hlinkClick xmlns:r="http://schemas.openxmlformats.org/officeDocument/2006/relationships" r:id="rId414"/>
        </xdr:cNvPr>
        <xdr:cNvSpPr>
          <a:spLocks noChangeAspect="1" noChangeArrowheads="1"/>
        </xdr:cNvSpPr>
      </xdr:nvSpPr>
      <xdr:spPr bwMode="auto">
        <a:xfrm>
          <a:off x="13411200" y="44752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03" name="AutoShape 1983" descr="SLOVAKIA"/>
        <xdr:cNvSpPr>
          <a:spLocks noChangeAspect="1" noChangeArrowheads="1"/>
        </xdr:cNvSpPr>
      </xdr:nvSpPr>
      <xdr:spPr bwMode="auto">
        <a:xfrm>
          <a:off x="0" y="45003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04" name="AutoShape 1984" descr="https://www.soccerstats.com/img/own/sshplogo.png">
          <a:hlinkClick xmlns:r="http://schemas.openxmlformats.org/officeDocument/2006/relationships" r:id="rId877"/>
        </xdr:cNvPr>
        <xdr:cNvSpPr>
          <a:spLocks noChangeAspect="1" noChangeArrowheads="1"/>
        </xdr:cNvSpPr>
      </xdr:nvSpPr>
      <xdr:spPr bwMode="auto">
        <a:xfrm>
          <a:off x="13411200" y="45003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05" name="AutoShape 1985" descr="SLOVAKIA"/>
        <xdr:cNvSpPr>
          <a:spLocks noChangeAspect="1" noChangeArrowheads="1"/>
        </xdr:cNvSpPr>
      </xdr:nvSpPr>
      <xdr:spPr bwMode="auto">
        <a:xfrm>
          <a:off x="0" y="45255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06" name="AutoShape 1986" descr="https://www.soccerstats.com/img/own/sshplogo.png">
          <a:hlinkClick xmlns:r="http://schemas.openxmlformats.org/officeDocument/2006/relationships" r:id="rId878"/>
        </xdr:cNvPr>
        <xdr:cNvSpPr>
          <a:spLocks noChangeAspect="1" noChangeArrowheads="1"/>
        </xdr:cNvSpPr>
      </xdr:nvSpPr>
      <xdr:spPr bwMode="auto">
        <a:xfrm>
          <a:off x="13411200" y="45255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07" name="AutoShape 1987" descr="SLOVENIA"/>
        <xdr:cNvSpPr>
          <a:spLocks noChangeAspect="1" noChangeArrowheads="1"/>
        </xdr:cNvSpPr>
      </xdr:nvSpPr>
      <xdr:spPr bwMode="auto">
        <a:xfrm>
          <a:off x="0" y="45430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08" name="AutoShape 1988" descr="https://www.soccerstats.com/img/own/sshplogo.png">
          <a:hlinkClick xmlns:r="http://schemas.openxmlformats.org/officeDocument/2006/relationships" r:id="rId879"/>
        </xdr:cNvPr>
        <xdr:cNvSpPr>
          <a:spLocks noChangeAspect="1" noChangeArrowheads="1"/>
        </xdr:cNvSpPr>
      </xdr:nvSpPr>
      <xdr:spPr bwMode="auto">
        <a:xfrm>
          <a:off x="13411200" y="45430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09" name="AutoShape 1989" descr="SLOVENIA"/>
        <xdr:cNvSpPr>
          <a:spLocks noChangeAspect="1" noChangeArrowheads="1"/>
        </xdr:cNvSpPr>
      </xdr:nvSpPr>
      <xdr:spPr bwMode="auto">
        <a:xfrm>
          <a:off x="0" y="45605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10" name="AutoShape 1990" descr="https://www.soccerstats.com/img/own/sshplogo.png">
          <a:hlinkClick xmlns:r="http://schemas.openxmlformats.org/officeDocument/2006/relationships" r:id="rId880"/>
        </xdr:cNvPr>
        <xdr:cNvSpPr>
          <a:spLocks noChangeAspect="1" noChangeArrowheads="1"/>
        </xdr:cNvSpPr>
      </xdr:nvSpPr>
      <xdr:spPr bwMode="auto">
        <a:xfrm>
          <a:off x="13411200" y="4560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11" name="AutoShape 1991" descr="SLOVENIA"/>
        <xdr:cNvSpPr>
          <a:spLocks noChangeAspect="1" noChangeArrowheads="1"/>
        </xdr:cNvSpPr>
      </xdr:nvSpPr>
      <xdr:spPr bwMode="auto">
        <a:xfrm>
          <a:off x="0" y="45780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12" name="AutoShape 1992" descr="https://www.soccerstats.com/img/own/sshplogo.png">
          <a:hlinkClick xmlns:r="http://schemas.openxmlformats.org/officeDocument/2006/relationships" r:id="rId881"/>
        </xdr:cNvPr>
        <xdr:cNvSpPr>
          <a:spLocks noChangeAspect="1" noChangeArrowheads="1"/>
        </xdr:cNvSpPr>
      </xdr:nvSpPr>
      <xdr:spPr bwMode="auto">
        <a:xfrm>
          <a:off x="13411200" y="45780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13" name="AutoShape 1993" descr="SOUTHAFRICA"/>
        <xdr:cNvSpPr>
          <a:spLocks noChangeAspect="1" noChangeArrowheads="1"/>
        </xdr:cNvSpPr>
      </xdr:nvSpPr>
      <xdr:spPr bwMode="auto">
        <a:xfrm>
          <a:off x="0" y="4595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14" name="AutoShape 1994" descr="https://www.soccerstats.com/img/own/sshplogo.png">
          <a:hlinkClick xmlns:r="http://schemas.openxmlformats.org/officeDocument/2006/relationships" r:id="rId882"/>
        </xdr:cNvPr>
        <xdr:cNvSpPr>
          <a:spLocks noChangeAspect="1" noChangeArrowheads="1"/>
        </xdr:cNvSpPr>
      </xdr:nvSpPr>
      <xdr:spPr bwMode="auto">
        <a:xfrm>
          <a:off x="13411200" y="4595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15" name="AutoShape 1995" descr="SOUTHAFRICA"/>
        <xdr:cNvSpPr>
          <a:spLocks noChangeAspect="1" noChangeArrowheads="1"/>
        </xdr:cNvSpPr>
      </xdr:nvSpPr>
      <xdr:spPr bwMode="auto">
        <a:xfrm>
          <a:off x="0" y="4620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16" name="AutoShape 1996" descr="https://www.soccerstats.com/img/own/sshplogo.png">
          <a:hlinkClick xmlns:r="http://schemas.openxmlformats.org/officeDocument/2006/relationships" r:id="rId883"/>
        </xdr:cNvPr>
        <xdr:cNvSpPr>
          <a:spLocks noChangeAspect="1" noChangeArrowheads="1"/>
        </xdr:cNvSpPr>
      </xdr:nvSpPr>
      <xdr:spPr bwMode="auto">
        <a:xfrm>
          <a:off x="13411200" y="4620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17" name="AutoShape 1997" descr="SOUTHKOREA"/>
        <xdr:cNvSpPr>
          <a:spLocks noChangeAspect="1" noChangeArrowheads="1"/>
        </xdr:cNvSpPr>
      </xdr:nvSpPr>
      <xdr:spPr bwMode="auto">
        <a:xfrm>
          <a:off x="0" y="46459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18" name="AutoShape 1998" descr="https://www.soccerstats.com/img/own/sshplogo.png">
          <a:hlinkClick xmlns:r="http://schemas.openxmlformats.org/officeDocument/2006/relationships" r:id="rId884"/>
        </xdr:cNvPr>
        <xdr:cNvSpPr>
          <a:spLocks noChangeAspect="1" noChangeArrowheads="1"/>
        </xdr:cNvSpPr>
      </xdr:nvSpPr>
      <xdr:spPr bwMode="auto">
        <a:xfrm>
          <a:off x="13411200" y="46459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19" name="AutoShape 1999" descr="SOUTHKOREA"/>
        <xdr:cNvSpPr>
          <a:spLocks noChangeAspect="1" noChangeArrowheads="1"/>
        </xdr:cNvSpPr>
      </xdr:nvSpPr>
      <xdr:spPr bwMode="auto">
        <a:xfrm>
          <a:off x="0" y="46634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20" name="AutoShape 2000" descr="https://www.soccerstats.com/img/own/sshplogo.png">
          <a:hlinkClick xmlns:r="http://schemas.openxmlformats.org/officeDocument/2006/relationships" r:id="rId885"/>
        </xdr:cNvPr>
        <xdr:cNvSpPr>
          <a:spLocks noChangeAspect="1" noChangeArrowheads="1"/>
        </xdr:cNvSpPr>
      </xdr:nvSpPr>
      <xdr:spPr bwMode="auto">
        <a:xfrm>
          <a:off x="13411200" y="46634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21" name="AutoShape 2001" descr="SOUTHKOREA"/>
        <xdr:cNvSpPr>
          <a:spLocks noChangeAspect="1" noChangeArrowheads="1"/>
        </xdr:cNvSpPr>
      </xdr:nvSpPr>
      <xdr:spPr bwMode="auto">
        <a:xfrm>
          <a:off x="0" y="46885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22" name="AutoShape 2002" descr="https://www.soccerstats.com/img/own/sshplogo.png">
          <a:hlinkClick xmlns:r="http://schemas.openxmlformats.org/officeDocument/2006/relationships" r:id="rId886"/>
        </xdr:cNvPr>
        <xdr:cNvSpPr>
          <a:spLocks noChangeAspect="1" noChangeArrowheads="1"/>
        </xdr:cNvSpPr>
      </xdr:nvSpPr>
      <xdr:spPr bwMode="auto">
        <a:xfrm>
          <a:off x="13411200" y="46885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23" name="AutoShape 2003" descr="SOUTHKOREA2"/>
        <xdr:cNvSpPr>
          <a:spLocks noChangeAspect="1" noChangeArrowheads="1"/>
        </xdr:cNvSpPr>
      </xdr:nvSpPr>
      <xdr:spPr bwMode="auto">
        <a:xfrm>
          <a:off x="0" y="47061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24" name="AutoShape 2004" descr="https://www.soccerstats.com/img/own/sshplogo.png">
          <a:hlinkClick xmlns:r="http://schemas.openxmlformats.org/officeDocument/2006/relationships" r:id="rId887"/>
        </xdr:cNvPr>
        <xdr:cNvSpPr>
          <a:spLocks noChangeAspect="1" noChangeArrowheads="1"/>
        </xdr:cNvSpPr>
      </xdr:nvSpPr>
      <xdr:spPr bwMode="auto">
        <a:xfrm>
          <a:off x="13411200" y="47061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25" name="AutoShape 2005" descr="SOUTHKOREA2"/>
        <xdr:cNvSpPr>
          <a:spLocks noChangeAspect="1" noChangeArrowheads="1"/>
        </xdr:cNvSpPr>
      </xdr:nvSpPr>
      <xdr:spPr bwMode="auto">
        <a:xfrm>
          <a:off x="0" y="47236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26" name="AutoShape 2006" descr="https://www.soccerstats.com/img/own/sshplogo.png">
          <a:hlinkClick xmlns:r="http://schemas.openxmlformats.org/officeDocument/2006/relationships" r:id="rId888"/>
        </xdr:cNvPr>
        <xdr:cNvSpPr>
          <a:spLocks noChangeAspect="1" noChangeArrowheads="1"/>
        </xdr:cNvSpPr>
      </xdr:nvSpPr>
      <xdr:spPr bwMode="auto">
        <a:xfrm>
          <a:off x="13411200" y="47236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27" name="AutoShape 2007" descr="SOUTHKOREA2"/>
        <xdr:cNvSpPr>
          <a:spLocks noChangeAspect="1" noChangeArrowheads="1"/>
        </xdr:cNvSpPr>
      </xdr:nvSpPr>
      <xdr:spPr bwMode="auto">
        <a:xfrm>
          <a:off x="0" y="47411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28" name="AutoShape 2008" descr="https://www.soccerstats.com/img/own/sshplogo.png">
          <a:hlinkClick xmlns:r="http://schemas.openxmlformats.org/officeDocument/2006/relationships" r:id="rId889"/>
        </xdr:cNvPr>
        <xdr:cNvSpPr>
          <a:spLocks noChangeAspect="1" noChangeArrowheads="1"/>
        </xdr:cNvSpPr>
      </xdr:nvSpPr>
      <xdr:spPr bwMode="auto">
        <a:xfrm>
          <a:off x="13411200" y="47411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29" name="AutoShape 2009" descr="SOUTHKOREA2"/>
        <xdr:cNvSpPr>
          <a:spLocks noChangeAspect="1" noChangeArrowheads="1"/>
        </xdr:cNvSpPr>
      </xdr:nvSpPr>
      <xdr:spPr bwMode="auto">
        <a:xfrm>
          <a:off x="0" y="47586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30" name="AutoShape 2010" descr="https://www.soccerstats.com/img/own/sshplogo.png">
          <a:hlinkClick xmlns:r="http://schemas.openxmlformats.org/officeDocument/2006/relationships" r:id="rId890"/>
        </xdr:cNvPr>
        <xdr:cNvSpPr>
          <a:spLocks noChangeAspect="1" noChangeArrowheads="1"/>
        </xdr:cNvSpPr>
      </xdr:nvSpPr>
      <xdr:spPr bwMode="auto">
        <a:xfrm>
          <a:off x="13411200" y="47586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31" name="AutoShape 2011" descr="SWEDEN"/>
        <xdr:cNvSpPr>
          <a:spLocks noChangeAspect="1" noChangeArrowheads="1"/>
        </xdr:cNvSpPr>
      </xdr:nvSpPr>
      <xdr:spPr bwMode="auto">
        <a:xfrm>
          <a:off x="0" y="47838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32" name="AutoShape 2012" descr="https://www.soccerstats.com/img/own/sshplogo.png">
          <a:hlinkClick xmlns:r="http://schemas.openxmlformats.org/officeDocument/2006/relationships" r:id="rId891"/>
        </xdr:cNvPr>
        <xdr:cNvSpPr>
          <a:spLocks noChangeAspect="1" noChangeArrowheads="1"/>
        </xdr:cNvSpPr>
      </xdr:nvSpPr>
      <xdr:spPr bwMode="auto">
        <a:xfrm>
          <a:off x="13411200" y="47838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33" name="AutoShape 2013" descr="SWEDEN"/>
        <xdr:cNvSpPr>
          <a:spLocks noChangeAspect="1" noChangeArrowheads="1"/>
        </xdr:cNvSpPr>
      </xdr:nvSpPr>
      <xdr:spPr bwMode="auto">
        <a:xfrm>
          <a:off x="0" y="48089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34" name="AutoShape 2014" descr="https://www.soccerstats.com/img/own/sshplogo.png">
          <a:hlinkClick xmlns:r="http://schemas.openxmlformats.org/officeDocument/2006/relationships" r:id="rId892"/>
        </xdr:cNvPr>
        <xdr:cNvSpPr>
          <a:spLocks noChangeAspect="1" noChangeArrowheads="1"/>
        </xdr:cNvSpPr>
      </xdr:nvSpPr>
      <xdr:spPr bwMode="auto">
        <a:xfrm>
          <a:off x="13411200" y="48089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35" name="AutoShape 2015" descr="SWEDEN"/>
        <xdr:cNvSpPr>
          <a:spLocks noChangeAspect="1" noChangeArrowheads="1"/>
        </xdr:cNvSpPr>
      </xdr:nvSpPr>
      <xdr:spPr bwMode="auto">
        <a:xfrm>
          <a:off x="0" y="48265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36" name="AutoShape 2016" descr="https://www.soccerstats.com/img/own/sshplogo.png">
          <a:hlinkClick xmlns:r="http://schemas.openxmlformats.org/officeDocument/2006/relationships" r:id="rId893"/>
        </xdr:cNvPr>
        <xdr:cNvSpPr>
          <a:spLocks noChangeAspect="1" noChangeArrowheads="1"/>
        </xdr:cNvSpPr>
      </xdr:nvSpPr>
      <xdr:spPr bwMode="auto">
        <a:xfrm>
          <a:off x="13411200" y="48265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37" name="AutoShape 2017" descr="SWEDEN"/>
        <xdr:cNvSpPr>
          <a:spLocks noChangeAspect="1" noChangeArrowheads="1"/>
        </xdr:cNvSpPr>
      </xdr:nvSpPr>
      <xdr:spPr bwMode="auto">
        <a:xfrm>
          <a:off x="0" y="48440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38" name="AutoShape 2018" descr="https://www.soccerstats.com/img/own/sshplogo.png">
          <a:hlinkClick xmlns:r="http://schemas.openxmlformats.org/officeDocument/2006/relationships" r:id="rId894"/>
        </xdr:cNvPr>
        <xdr:cNvSpPr>
          <a:spLocks noChangeAspect="1" noChangeArrowheads="1"/>
        </xdr:cNvSpPr>
      </xdr:nvSpPr>
      <xdr:spPr bwMode="auto">
        <a:xfrm>
          <a:off x="13411200" y="48440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39" name="AutoShape 2019" descr="SWEDEN"/>
        <xdr:cNvSpPr>
          <a:spLocks noChangeAspect="1" noChangeArrowheads="1"/>
        </xdr:cNvSpPr>
      </xdr:nvSpPr>
      <xdr:spPr bwMode="auto">
        <a:xfrm>
          <a:off x="0" y="48615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40" name="AutoShape 2020" descr="https://www.soccerstats.com/img/own/sshplogo.png">
          <a:hlinkClick xmlns:r="http://schemas.openxmlformats.org/officeDocument/2006/relationships" r:id="rId895"/>
        </xdr:cNvPr>
        <xdr:cNvSpPr>
          <a:spLocks noChangeAspect="1" noChangeArrowheads="1"/>
        </xdr:cNvSpPr>
      </xdr:nvSpPr>
      <xdr:spPr bwMode="auto">
        <a:xfrm>
          <a:off x="13411200" y="48615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41" name="AutoShape 2021" descr="SWEDEN2"/>
        <xdr:cNvSpPr>
          <a:spLocks noChangeAspect="1" noChangeArrowheads="1"/>
        </xdr:cNvSpPr>
      </xdr:nvSpPr>
      <xdr:spPr bwMode="auto">
        <a:xfrm>
          <a:off x="0" y="48790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42" name="AutoShape 2022" descr="https://www.soccerstats.com/img/own/sshplogo.png">
          <a:hlinkClick xmlns:r="http://schemas.openxmlformats.org/officeDocument/2006/relationships" r:id="rId896"/>
        </xdr:cNvPr>
        <xdr:cNvSpPr>
          <a:spLocks noChangeAspect="1" noChangeArrowheads="1"/>
        </xdr:cNvSpPr>
      </xdr:nvSpPr>
      <xdr:spPr bwMode="auto">
        <a:xfrm>
          <a:off x="13411200" y="48790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43" name="AutoShape 2023" descr="SWEDEN3"/>
        <xdr:cNvSpPr>
          <a:spLocks noChangeAspect="1" noChangeArrowheads="1"/>
        </xdr:cNvSpPr>
      </xdr:nvSpPr>
      <xdr:spPr bwMode="auto">
        <a:xfrm>
          <a:off x="0" y="48966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44" name="AutoShape 2024" descr="https://www.soccerstats.com/img/own/sshplogo.png">
          <a:hlinkClick xmlns:r="http://schemas.openxmlformats.org/officeDocument/2006/relationships" r:id="rId897"/>
        </xdr:cNvPr>
        <xdr:cNvSpPr>
          <a:spLocks noChangeAspect="1" noChangeArrowheads="1"/>
        </xdr:cNvSpPr>
      </xdr:nvSpPr>
      <xdr:spPr bwMode="auto">
        <a:xfrm>
          <a:off x="13411200" y="48966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45" name="AutoShape 2025" descr="SWEDEN3"/>
        <xdr:cNvSpPr>
          <a:spLocks noChangeAspect="1" noChangeArrowheads="1"/>
        </xdr:cNvSpPr>
      </xdr:nvSpPr>
      <xdr:spPr bwMode="auto">
        <a:xfrm>
          <a:off x="0" y="49141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46" name="AutoShape 2026" descr="https://www.soccerstats.com/img/own/sshplogo.png">
          <a:hlinkClick xmlns:r="http://schemas.openxmlformats.org/officeDocument/2006/relationships" r:id="rId898"/>
        </xdr:cNvPr>
        <xdr:cNvSpPr>
          <a:spLocks noChangeAspect="1" noChangeArrowheads="1"/>
        </xdr:cNvSpPr>
      </xdr:nvSpPr>
      <xdr:spPr bwMode="auto">
        <a:xfrm>
          <a:off x="13411200" y="49141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47" name="AutoShape 2027" descr="SWEDEN3"/>
        <xdr:cNvSpPr>
          <a:spLocks noChangeAspect="1" noChangeArrowheads="1"/>
        </xdr:cNvSpPr>
      </xdr:nvSpPr>
      <xdr:spPr bwMode="auto">
        <a:xfrm>
          <a:off x="0" y="49392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48" name="AutoShape 2028" descr="https://www.soccerstats.com/img/own/sshplogo.png">
          <a:hlinkClick xmlns:r="http://schemas.openxmlformats.org/officeDocument/2006/relationships" r:id="rId899"/>
        </xdr:cNvPr>
        <xdr:cNvSpPr>
          <a:spLocks noChangeAspect="1" noChangeArrowheads="1"/>
        </xdr:cNvSpPr>
      </xdr:nvSpPr>
      <xdr:spPr bwMode="auto">
        <a:xfrm>
          <a:off x="13411200" y="49392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49" name="AutoShape 2029" descr="SWEDEN4"/>
        <xdr:cNvSpPr>
          <a:spLocks noChangeAspect="1" noChangeArrowheads="1"/>
        </xdr:cNvSpPr>
      </xdr:nvSpPr>
      <xdr:spPr bwMode="auto">
        <a:xfrm>
          <a:off x="0" y="49568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50" name="AutoShape 2030" descr="https://www.soccerstats.com/img/own/sshplogo.png">
          <a:hlinkClick xmlns:r="http://schemas.openxmlformats.org/officeDocument/2006/relationships" r:id="rId900"/>
        </xdr:cNvPr>
        <xdr:cNvSpPr>
          <a:spLocks noChangeAspect="1" noChangeArrowheads="1"/>
        </xdr:cNvSpPr>
      </xdr:nvSpPr>
      <xdr:spPr bwMode="auto">
        <a:xfrm>
          <a:off x="13411200" y="49568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51" name="AutoShape 2031" descr="SWEDEN4"/>
        <xdr:cNvSpPr>
          <a:spLocks noChangeAspect="1" noChangeArrowheads="1"/>
        </xdr:cNvSpPr>
      </xdr:nvSpPr>
      <xdr:spPr bwMode="auto">
        <a:xfrm>
          <a:off x="0" y="49743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52" name="AutoShape 2032" descr="https://www.soccerstats.com/img/own/sshplogo.png">
          <a:hlinkClick xmlns:r="http://schemas.openxmlformats.org/officeDocument/2006/relationships" r:id="rId901"/>
        </xdr:cNvPr>
        <xdr:cNvSpPr>
          <a:spLocks noChangeAspect="1" noChangeArrowheads="1"/>
        </xdr:cNvSpPr>
      </xdr:nvSpPr>
      <xdr:spPr bwMode="auto">
        <a:xfrm>
          <a:off x="13411200" y="49743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53" name="AutoShape 2033" descr="SWEDEN4"/>
        <xdr:cNvSpPr>
          <a:spLocks noChangeAspect="1" noChangeArrowheads="1"/>
        </xdr:cNvSpPr>
      </xdr:nvSpPr>
      <xdr:spPr bwMode="auto">
        <a:xfrm>
          <a:off x="0" y="49918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54" name="AutoShape 2034" descr="https://www.soccerstats.com/img/own/sshplogo.png">
          <a:hlinkClick xmlns:r="http://schemas.openxmlformats.org/officeDocument/2006/relationships" r:id="rId902"/>
        </xdr:cNvPr>
        <xdr:cNvSpPr>
          <a:spLocks noChangeAspect="1" noChangeArrowheads="1"/>
        </xdr:cNvSpPr>
      </xdr:nvSpPr>
      <xdr:spPr bwMode="auto">
        <a:xfrm>
          <a:off x="13411200" y="49918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55" name="AutoShape 2035" descr="SWEDEN11"/>
        <xdr:cNvSpPr>
          <a:spLocks noChangeAspect="1" noChangeArrowheads="1"/>
        </xdr:cNvSpPr>
      </xdr:nvSpPr>
      <xdr:spPr bwMode="auto">
        <a:xfrm>
          <a:off x="0" y="50093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56" name="AutoShape 2036" descr="https://www.soccerstats.com/img/own/sshplogo.png">
          <a:hlinkClick xmlns:r="http://schemas.openxmlformats.org/officeDocument/2006/relationships" r:id="rId903"/>
        </xdr:cNvPr>
        <xdr:cNvSpPr>
          <a:spLocks noChangeAspect="1" noChangeArrowheads="1"/>
        </xdr:cNvSpPr>
      </xdr:nvSpPr>
      <xdr:spPr bwMode="auto">
        <a:xfrm>
          <a:off x="13411200" y="50093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57" name="AutoShape 2037" descr="TURKEY"/>
        <xdr:cNvSpPr>
          <a:spLocks noChangeAspect="1" noChangeArrowheads="1"/>
        </xdr:cNvSpPr>
      </xdr:nvSpPr>
      <xdr:spPr bwMode="auto">
        <a:xfrm>
          <a:off x="0" y="50345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58" name="AutoShape 2038" descr="https://www.soccerstats.com/img/own/sshplogo.png">
          <a:hlinkClick xmlns:r="http://schemas.openxmlformats.org/officeDocument/2006/relationships" r:id="rId904"/>
        </xdr:cNvPr>
        <xdr:cNvSpPr>
          <a:spLocks noChangeAspect="1" noChangeArrowheads="1"/>
        </xdr:cNvSpPr>
      </xdr:nvSpPr>
      <xdr:spPr bwMode="auto">
        <a:xfrm>
          <a:off x="13411200" y="50345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59" name="AutoShape 2039" descr="TURKEY"/>
        <xdr:cNvSpPr>
          <a:spLocks noChangeAspect="1" noChangeArrowheads="1"/>
        </xdr:cNvSpPr>
      </xdr:nvSpPr>
      <xdr:spPr bwMode="auto">
        <a:xfrm>
          <a:off x="0" y="50520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60" name="AutoShape 2040" descr="https://www.soccerstats.com/img/own/sshplogo.png">
          <a:hlinkClick xmlns:r="http://schemas.openxmlformats.org/officeDocument/2006/relationships" r:id="rId905"/>
        </xdr:cNvPr>
        <xdr:cNvSpPr>
          <a:spLocks noChangeAspect="1" noChangeArrowheads="1"/>
        </xdr:cNvSpPr>
      </xdr:nvSpPr>
      <xdr:spPr bwMode="auto">
        <a:xfrm>
          <a:off x="13411200" y="5052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61" name="AutoShape 2041" descr="TURKEY"/>
        <xdr:cNvSpPr>
          <a:spLocks noChangeAspect="1" noChangeArrowheads="1"/>
        </xdr:cNvSpPr>
      </xdr:nvSpPr>
      <xdr:spPr bwMode="auto">
        <a:xfrm>
          <a:off x="0" y="50695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62" name="AutoShape 2042" descr="https://www.soccerstats.com/img/own/sshplogo.png">
          <a:hlinkClick xmlns:r="http://schemas.openxmlformats.org/officeDocument/2006/relationships" r:id="rId906"/>
        </xdr:cNvPr>
        <xdr:cNvSpPr>
          <a:spLocks noChangeAspect="1" noChangeArrowheads="1"/>
        </xdr:cNvSpPr>
      </xdr:nvSpPr>
      <xdr:spPr bwMode="auto">
        <a:xfrm>
          <a:off x="13411200" y="50695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63" name="AutoShape 2043" descr="TURKEY2"/>
        <xdr:cNvSpPr>
          <a:spLocks noChangeAspect="1" noChangeArrowheads="1"/>
        </xdr:cNvSpPr>
      </xdr:nvSpPr>
      <xdr:spPr bwMode="auto">
        <a:xfrm>
          <a:off x="0" y="50871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64" name="AutoShape 2044" descr="https://www.soccerstats.com/img/own/sshplogo.png">
          <a:hlinkClick xmlns:r="http://schemas.openxmlformats.org/officeDocument/2006/relationships" r:id="rId907"/>
        </xdr:cNvPr>
        <xdr:cNvSpPr>
          <a:spLocks noChangeAspect="1" noChangeArrowheads="1"/>
        </xdr:cNvSpPr>
      </xdr:nvSpPr>
      <xdr:spPr bwMode="auto">
        <a:xfrm>
          <a:off x="13411200" y="50871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65" name="AutoShape 2045" descr="TURKEY2"/>
        <xdr:cNvSpPr>
          <a:spLocks noChangeAspect="1" noChangeArrowheads="1"/>
        </xdr:cNvSpPr>
      </xdr:nvSpPr>
      <xdr:spPr bwMode="auto">
        <a:xfrm>
          <a:off x="0" y="51046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66" name="AutoShape 2046" descr="https://www.soccerstats.com/img/own/sshplogo.png">
          <a:hlinkClick xmlns:r="http://schemas.openxmlformats.org/officeDocument/2006/relationships" r:id="rId908"/>
        </xdr:cNvPr>
        <xdr:cNvSpPr>
          <a:spLocks noChangeAspect="1" noChangeArrowheads="1"/>
        </xdr:cNvSpPr>
      </xdr:nvSpPr>
      <xdr:spPr bwMode="auto">
        <a:xfrm>
          <a:off x="13411200" y="51046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67" name="AutoShape 2047" descr="TURKEY2"/>
        <xdr:cNvSpPr>
          <a:spLocks noChangeAspect="1" noChangeArrowheads="1"/>
        </xdr:cNvSpPr>
      </xdr:nvSpPr>
      <xdr:spPr bwMode="auto">
        <a:xfrm>
          <a:off x="0" y="51221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68" name="AutoShape 2048" descr="https://www.soccerstats.com/img/own/sshplogo.png">
          <a:hlinkClick xmlns:r="http://schemas.openxmlformats.org/officeDocument/2006/relationships" r:id="rId909"/>
        </xdr:cNvPr>
        <xdr:cNvSpPr>
          <a:spLocks noChangeAspect="1" noChangeArrowheads="1"/>
        </xdr:cNvSpPr>
      </xdr:nvSpPr>
      <xdr:spPr bwMode="auto">
        <a:xfrm>
          <a:off x="13411200" y="51221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69" name="AutoShape 2049" descr="TURKEY2"/>
        <xdr:cNvSpPr>
          <a:spLocks noChangeAspect="1" noChangeArrowheads="1"/>
        </xdr:cNvSpPr>
      </xdr:nvSpPr>
      <xdr:spPr bwMode="auto">
        <a:xfrm>
          <a:off x="0" y="51396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70" name="AutoShape 2050" descr="https://www.soccerstats.com/img/own/sshplogo.png">
          <a:hlinkClick xmlns:r="http://schemas.openxmlformats.org/officeDocument/2006/relationships" r:id="rId910"/>
        </xdr:cNvPr>
        <xdr:cNvSpPr>
          <a:spLocks noChangeAspect="1" noChangeArrowheads="1"/>
        </xdr:cNvSpPr>
      </xdr:nvSpPr>
      <xdr:spPr bwMode="auto">
        <a:xfrm>
          <a:off x="13411200" y="51396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71" name="AutoShape 2051" descr="UKRAINE"/>
        <xdr:cNvSpPr>
          <a:spLocks noChangeAspect="1" noChangeArrowheads="1"/>
        </xdr:cNvSpPr>
      </xdr:nvSpPr>
      <xdr:spPr bwMode="auto">
        <a:xfrm>
          <a:off x="0" y="51648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72" name="AutoShape 2052" descr="https://www.soccerstats.com/img/own/sshplogo.png">
          <a:hlinkClick xmlns:r="http://schemas.openxmlformats.org/officeDocument/2006/relationships" r:id="rId911"/>
        </xdr:cNvPr>
        <xdr:cNvSpPr>
          <a:spLocks noChangeAspect="1" noChangeArrowheads="1"/>
        </xdr:cNvSpPr>
      </xdr:nvSpPr>
      <xdr:spPr bwMode="auto">
        <a:xfrm>
          <a:off x="13411200" y="51648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73" name="AutoShape 2053" descr="UKRAINE"/>
        <xdr:cNvSpPr>
          <a:spLocks noChangeAspect="1" noChangeArrowheads="1"/>
        </xdr:cNvSpPr>
      </xdr:nvSpPr>
      <xdr:spPr bwMode="auto">
        <a:xfrm>
          <a:off x="0" y="51899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74" name="AutoShape 2054" descr="https://www.soccerstats.com/img/own/sshplogo.png">
          <a:hlinkClick xmlns:r="http://schemas.openxmlformats.org/officeDocument/2006/relationships" r:id="rId912"/>
        </xdr:cNvPr>
        <xdr:cNvSpPr>
          <a:spLocks noChangeAspect="1" noChangeArrowheads="1"/>
        </xdr:cNvSpPr>
      </xdr:nvSpPr>
      <xdr:spPr bwMode="auto">
        <a:xfrm>
          <a:off x="13411200" y="51899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75" name="AutoShape 2055" descr="UKRAINE"/>
        <xdr:cNvSpPr>
          <a:spLocks noChangeAspect="1" noChangeArrowheads="1"/>
        </xdr:cNvSpPr>
      </xdr:nvSpPr>
      <xdr:spPr bwMode="auto">
        <a:xfrm>
          <a:off x="0" y="52075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76" name="AutoShape 2056" descr="https://www.soccerstats.com/img/own/sshplogo.png">
          <a:hlinkClick xmlns:r="http://schemas.openxmlformats.org/officeDocument/2006/relationships" r:id="rId913"/>
        </xdr:cNvPr>
        <xdr:cNvSpPr>
          <a:spLocks noChangeAspect="1" noChangeArrowheads="1"/>
        </xdr:cNvSpPr>
      </xdr:nvSpPr>
      <xdr:spPr bwMode="auto">
        <a:xfrm>
          <a:off x="13411200" y="52075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77" name="AutoShape 2057" descr="URUGUAY3"/>
        <xdr:cNvSpPr>
          <a:spLocks noChangeAspect="1" noChangeArrowheads="1"/>
        </xdr:cNvSpPr>
      </xdr:nvSpPr>
      <xdr:spPr bwMode="auto">
        <a:xfrm>
          <a:off x="0" y="52326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78" name="AutoShape 2058" descr="https://www.soccerstats.com/img/own/sshplogo.png">
          <a:hlinkClick xmlns:r="http://schemas.openxmlformats.org/officeDocument/2006/relationships" r:id="rId914"/>
        </xdr:cNvPr>
        <xdr:cNvSpPr>
          <a:spLocks noChangeAspect="1" noChangeArrowheads="1"/>
        </xdr:cNvSpPr>
      </xdr:nvSpPr>
      <xdr:spPr bwMode="auto">
        <a:xfrm>
          <a:off x="13411200" y="52326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79" name="AutoShape 2059" descr="URUGUAY3"/>
        <xdr:cNvSpPr>
          <a:spLocks noChangeAspect="1" noChangeArrowheads="1"/>
        </xdr:cNvSpPr>
      </xdr:nvSpPr>
      <xdr:spPr bwMode="auto">
        <a:xfrm>
          <a:off x="0" y="52578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80" name="AutoShape 2060" descr="https://www.soccerstats.com/img/own/sshplogo.png">
          <a:hlinkClick xmlns:r="http://schemas.openxmlformats.org/officeDocument/2006/relationships" r:id="rId915"/>
        </xdr:cNvPr>
        <xdr:cNvSpPr>
          <a:spLocks noChangeAspect="1" noChangeArrowheads="1"/>
        </xdr:cNvSpPr>
      </xdr:nvSpPr>
      <xdr:spPr bwMode="auto">
        <a:xfrm>
          <a:off x="13411200" y="5257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81" name="AutoShape 2061" descr="URUGUAY3"/>
        <xdr:cNvSpPr>
          <a:spLocks noChangeAspect="1" noChangeArrowheads="1"/>
        </xdr:cNvSpPr>
      </xdr:nvSpPr>
      <xdr:spPr bwMode="auto">
        <a:xfrm>
          <a:off x="0" y="52753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82" name="AutoShape 2062" descr="https://www.soccerstats.com/img/own/sshplogo.png">
          <a:hlinkClick xmlns:r="http://schemas.openxmlformats.org/officeDocument/2006/relationships" r:id="rId916"/>
        </xdr:cNvPr>
        <xdr:cNvSpPr>
          <a:spLocks noChangeAspect="1" noChangeArrowheads="1"/>
        </xdr:cNvSpPr>
      </xdr:nvSpPr>
      <xdr:spPr bwMode="auto">
        <a:xfrm>
          <a:off x="13411200" y="52753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83" name="AutoShape 2063" descr="USA"/>
        <xdr:cNvSpPr>
          <a:spLocks noChangeAspect="1" noChangeArrowheads="1"/>
        </xdr:cNvSpPr>
      </xdr:nvSpPr>
      <xdr:spPr bwMode="auto">
        <a:xfrm>
          <a:off x="0" y="53004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84" name="AutoShape 2064" descr="https://www.soccerstats.com/img/own/sshplogo.png">
          <a:hlinkClick xmlns:r="http://schemas.openxmlformats.org/officeDocument/2006/relationships" r:id="rId917"/>
        </xdr:cNvPr>
        <xdr:cNvSpPr>
          <a:spLocks noChangeAspect="1" noChangeArrowheads="1"/>
        </xdr:cNvSpPr>
      </xdr:nvSpPr>
      <xdr:spPr bwMode="auto">
        <a:xfrm>
          <a:off x="13411200" y="53004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85" name="AutoShape 2065" descr="USA"/>
        <xdr:cNvSpPr>
          <a:spLocks noChangeAspect="1" noChangeArrowheads="1"/>
        </xdr:cNvSpPr>
      </xdr:nvSpPr>
      <xdr:spPr bwMode="auto">
        <a:xfrm>
          <a:off x="0" y="53256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86" name="AutoShape 2066" descr="https://www.soccerstats.com/img/own/sshplogo.png">
          <a:hlinkClick xmlns:r="http://schemas.openxmlformats.org/officeDocument/2006/relationships" r:id="rId918"/>
        </xdr:cNvPr>
        <xdr:cNvSpPr>
          <a:spLocks noChangeAspect="1" noChangeArrowheads="1"/>
        </xdr:cNvSpPr>
      </xdr:nvSpPr>
      <xdr:spPr bwMode="auto">
        <a:xfrm>
          <a:off x="13411200" y="53256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87" name="AutoShape 2067" descr="USA"/>
        <xdr:cNvSpPr>
          <a:spLocks noChangeAspect="1" noChangeArrowheads="1"/>
        </xdr:cNvSpPr>
      </xdr:nvSpPr>
      <xdr:spPr bwMode="auto">
        <a:xfrm>
          <a:off x="0" y="53431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88" name="AutoShape 2068" descr="https://www.soccerstats.com/img/own/sshplogo.png">
          <a:hlinkClick xmlns:r="http://schemas.openxmlformats.org/officeDocument/2006/relationships" r:id="rId919"/>
        </xdr:cNvPr>
        <xdr:cNvSpPr>
          <a:spLocks noChangeAspect="1" noChangeArrowheads="1"/>
        </xdr:cNvSpPr>
      </xdr:nvSpPr>
      <xdr:spPr bwMode="auto">
        <a:xfrm>
          <a:off x="13411200" y="53431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89" name="AutoShape 2069" descr="USA"/>
        <xdr:cNvSpPr>
          <a:spLocks noChangeAspect="1" noChangeArrowheads="1"/>
        </xdr:cNvSpPr>
      </xdr:nvSpPr>
      <xdr:spPr bwMode="auto">
        <a:xfrm>
          <a:off x="0" y="53682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90" name="AutoShape 2070" descr="https://www.soccerstats.com/img/own/sshplogo.png">
          <a:hlinkClick xmlns:r="http://schemas.openxmlformats.org/officeDocument/2006/relationships" r:id="rId920"/>
        </xdr:cNvPr>
        <xdr:cNvSpPr>
          <a:spLocks noChangeAspect="1" noChangeArrowheads="1"/>
        </xdr:cNvSpPr>
      </xdr:nvSpPr>
      <xdr:spPr bwMode="auto">
        <a:xfrm>
          <a:off x="13411200" y="53682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91" name="AutoShape 2071" descr="USA"/>
        <xdr:cNvSpPr>
          <a:spLocks noChangeAspect="1" noChangeArrowheads="1"/>
        </xdr:cNvSpPr>
      </xdr:nvSpPr>
      <xdr:spPr bwMode="auto">
        <a:xfrm>
          <a:off x="0" y="53934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92" name="AutoShape 2072" descr="https://www.soccerstats.com/img/own/sshplogo.png">
          <a:hlinkClick xmlns:r="http://schemas.openxmlformats.org/officeDocument/2006/relationships" r:id="rId921"/>
        </xdr:cNvPr>
        <xdr:cNvSpPr>
          <a:spLocks noChangeAspect="1" noChangeArrowheads="1"/>
        </xdr:cNvSpPr>
      </xdr:nvSpPr>
      <xdr:spPr bwMode="auto">
        <a:xfrm>
          <a:off x="13411200" y="53934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93" name="AutoShape 2073" descr="USA"/>
        <xdr:cNvSpPr>
          <a:spLocks noChangeAspect="1" noChangeArrowheads="1"/>
        </xdr:cNvSpPr>
      </xdr:nvSpPr>
      <xdr:spPr bwMode="auto">
        <a:xfrm>
          <a:off x="0" y="54185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94" name="AutoShape 2074" descr="https://www.soccerstats.com/img/own/sshplogo.png">
          <a:hlinkClick xmlns:r="http://schemas.openxmlformats.org/officeDocument/2006/relationships" r:id="rId922"/>
        </xdr:cNvPr>
        <xdr:cNvSpPr>
          <a:spLocks noChangeAspect="1" noChangeArrowheads="1"/>
        </xdr:cNvSpPr>
      </xdr:nvSpPr>
      <xdr:spPr bwMode="auto">
        <a:xfrm>
          <a:off x="13411200" y="54185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95" name="AutoShape 2075" descr="USA"/>
        <xdr:cNvSpPr>
          <a:spLocks noChangeAspect="1" noChangeArrowheads="1"/>
        </xdr:cNvSpPr>
      </xdr:nvSpPr>
      <xdr:spPr bwMode="auto">
        <a:xfrm>
          <a:off x="0" y="54437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96" name="AutoShape 2076" descr="https://www.soccerstats.com/img/own/sshplogo.png">
          <a:hlinkClick xmlns:r="http://schemas.openxmlformats.org/officeDocument/2006/relationships" r:id="rId923"/>
        </xdr:cNvPr>
        <xdr:cNvSpPr>
          <a:spLocks noChangeAspect="1" noChangeArrowheads="1"/>
        </xdr:cNvSpPr>
      </xdr:nvSpPr>
      <xdr:spPr bwMode="auto">
        <a:xfrm>
          <a:off x="13411200" y="54437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97" name="AutoShape 2077" descr="USA"/>
        <xdr:cNvSpPr>
          <a:spLocks noChangeAspect="1" noChangeArrowheads="1"/>
        </xdr:cNvSpPr>
      </xdr:nvSpPr>
      <xdr:spPr bwMode="auto">
        <a:xfrm>
          <a:off x="0" y="54612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198" name="AutoShape 2078" descr="https://www.soccerstats.com/img/own/sshplogo.png">
          <a:hlinkClick xmlns:r="http://schemas.openxmlformats.org/officeDocument/2006/relationships" r:id="rId924"/>
        </xdr:cNvPr>
        <xdr:cNvSpPr>
          <a:spLocks noChangeAspect="1" noChangeArrowheads="1"/>
        </xdr:cNvSpPr>
      </xdr:nvSpPr>
      <xdr:spPr bwMode="auto">
        <a:xfrm>
          <a:off x="13411200" y="54612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199" name="AutoShape 2079" descr="USA2"/>
        <xdr:cNvSpPr>
          <a:spLocks noChangeAspect="1" noChangeArrowheads="1"/>
        </xdr:cNvSpPr>
      </xdr:nvSpPr>
      <xdr:spPr bwMode="auto">
        <a:xfrm>
          <a:off x="0" y="54864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200" name="AutoShape 2080" descr="https://www.soccerstats.com/img/own/sshplogo.png">
          <a:hlinkClick xmlns:r="http://schemas.openxmlformats.org/officeDocument/2006/relationships" r:id="rId925"/>
        </xdr:cNvPr>
        <xdr:cNvSpPr>
          <a:spLocks noChangeAspect="1" noChangeArrowheads="1"/>
        </xdr:cNvSpPr>
      </xdr:nvSpPr>
      <xdr:spPr bwMode="auto">
        <a:xfrm>
          <a:off x="13411200" y="5486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201" name="AutoShape 2081" descr="USA2"/>
        <xdr:cNvSpPr>
          <a:spLocks noChangeAspect="1" noChangeArrowheads="1"/>
        </xdr:cNvSpPr>
      </xdr:nvSpPr>
      <xdr:spPr bwMode="auto">
        <a:xfrm>
          <a:off x="0" y="55115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202" name="AutoShape 2082" descr="https://www.soccerstats.com/img/own/sshplogo.png">
          <a:hlinkClick xmlns:r="http://schemas.openxmlformats.org/officeDocument/2006/relationships" r:id="rId926"/>
        </xdr:cNvPr>
        <xdr:cNvSpPr>
          <a:spLocks noChangeAspect="1" noChangeArrowheads="1"/>
        </xdr:cNvSpPr>
      </xdr:nvSpPr>
      <xdr:spPr bwMode="auto">
        <a:xfrm>
          <a:off x="13411200" y="5511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203" name="AutoShape 2083" descr="USA2"/>
        <xdr:cNvSpPr>
          <a:spLocks noChangeAspect="1" noChangeArrowheads="1"/>
        </xdr:cNvSpPr>
      </xdr:nvSpPr>
      <xdr:spPr bwMode="auto">
        <a:xfrm>
          <a:off x="0" y="55290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204" name="AutoShape 2084" descr="https://www.soccerstats.com/img/own/sshplogo.png">
          <a:hlinkClick xmlns:r="http://schemas.openxmlformats.org/officeDocument/2006/relationships" r:id="rId927"/>
        </xdr:cNvPr>
        <xdr:cNvSpPr>
          <a:spLocks noChangeAspect="1" noChangeArrowheads="1"/>
        </xdr:cNvSpPr>
      </xdr:nvSpPr>
      <xdr:spPr bwMode="auto">
        <a:xfrm>
          <a:off x="13411200" y="55290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205" name="AutoShape 2085" descr="USA2"/>
        <xdr:cNvSpPr>
          <a:spLocks noChangeAspect="1" noChangeArrowheads="1"/>
        </xdr:cNvSpPr>
      </xdr:nvSpPr>
      <xdr:spPr bwMode="auto">
        <a:xfrm>
          <a:off x="0" y="55465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206" name="AutoShape 2086" descr="https://www.soccerstats.com/img/own/sshplogo.png">
          <a:hlinkClick xmlns:r="http://schemas.openxmlformats.org/officeDocument/2006/relationships" r:id="rId928"/>
        </xdr:cNvPr>
        <xdr:cNvSpPr>
          <a:spLocks noChangeAspect="1" noChangeArrowheads="1"/>
        </xdr:cNvSpPr>
      </xdr:nvSpPr>
      <xdr:spPr bwMode="auto">
        <a:xfrm>
          <a:off x="13411200" y="55465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207" name="AutoShape 2087" descr="USA2"/>
        <xdr:cNvSpPr>
          <a:spLocks noChangeAspect="1" noChangeArrowheads="1"/>
        </xdr:cNvSpPr>
      </xdr:nvSpPr>
      <xdr:spPr bwMode="auto">
        <a:xfrm>
          <a:off x="0" y="55717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208" name="AutoShape 2088" descr="https://www.soccerstats.com/img/own/sshplogo.png">
          <a:hlinkClick xmlns:r="http://schemas.openxmlformats.org/officeDocument/2006/relationships" r:id="rId929"/>
        </xdr:cNvPr>
        <xdr:cNvSpPr>
          <a:spLocks noChangeAspect="1" noChangeArrowheads="1"/>
        </xdr:cNvSpPr>
      </xdr:nvSpPr>
      <xdr:spPr bwMode="auto">
        <a:xfrm>
          <a:off x="13411200" y="55717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209" name="AutoShape 2089" descr="USA2"/>
        <xdr:cNvSpPr>
          <a:spLocks noChangeAspect="1" noChangeArrowheads="1"/>
        </xdr:cNvSpPr>
      </xdr:nvSpPr>
      <xdr:spPr bwMode="auto">
        <a:xfrm>
          <a:off x="0" y="55968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210" name="AutoShape 2090" descr="https://www.soccerstats.com/img/own/sshplogo.png">
          <a:hlinkClick xmlns:r="http://schemas.openxmlformats.org/officeDocument/2006/relationships" r:id="rId930"/>
        </xdr:cNvPr>
        <xdr:cNvSpPr>
          <a:spLocks noChangeAspect="1" noChangeArrowheads="1"/>
        </xdr:cNvSpPr>
      </xdr:nvSpPr>
      <xdr:spPr bwMode="auto">
        <a:xfrm>
          <a:off x="13411200" y="5596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211" name="AutoShape 2091" descr="USA2"/>
        <xdr:cNvSpPr>
          <a:spLocks noChangeAspect="1" noChangeArrowheads="1"/>
        </xdr:cNvSpPr>
      </xdr:nvSpPr>
      <xdr:spPr bwMode="auto">
        <a:xfrm>
          <a:off x="0" y="56144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212" name="AutoShape 2092" descr="https://www.soccerstats.com/img/own/sshplogo.png">
          <a:hlinkClick xmlns:r="http://schemas.openxmlformats.org/officeDocument/2006/relationships" r:id="rId931"/>
        </xdr:cNvPr>
        <xdr:cNvSpPr>
          <a:spLocks noChangeAspect="1" noChangeArrowheads="1"/>
        </xdr:cNvSpPr>
      </xdr:nvSpPr>
      <xdr:spPr bwMode="auto">
        <a:xfrm>
          <a:off x="13411200" y="56144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213" name="AutoShape 2093" descr="USA3"/>
        <xdr:cNvSpPr>
          <a:spLocks noChangeAspect="1" noChangeArrowheads="1"/>
        </xdr:cNvSpPr>
      </xdr:nvSpPr>
      <xdr:spPr bwMode="auto">
        <a:xfrm>
          <a:off x="0" y="56395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214" name="AutoShape 2094" descr="https://www.soccerstats.com/img/own/sshplogo.png">
          <a:hlinkClick xmlns:r="http://schemas.openxmlformats.org/officeDocument/2006/relationships" r:id="rId932"/>
        </xdr:cNvPr>
        <xdr:cNvSpPr>
          <a:spLocks noChangeAspect="1" noChangeArrowheads="1"/>
        </xdr:cNvSpPr>
      </xdr:nvSpPr>
      <xdr:spPr bwMode="auto">
        <a:xfrm>
          <a:off x="13411200" y="56395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215" name="AutoShape 2095" descr="USA3"/>
        <xdr:cNvSpPr>
          <a:spLocks noChangeAspect="1" noChangeArrowheads="1"/>
        </xdr:cNvSpPr>
      </xdr:nvSpPr>
      <xdr:spPr bwMode="auto">
        <a:xfrm>
          <a:off x="0" y="56647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216" name="AutoShape 2096" descr="https://www.soccerstats.com/img/own/sshplogo.png">
          <a:hlinkClick xmlns:r="http://schemas.openxmlformats.org/officeDocument/2006/relationships" r:id="rId933"/>
        </xdr:cNvPr>
        <xdr:cNvSpPr>
          <a:spLocks noChangeAspect="1" noChangeArrowheads="1"/>
        </xdr:cNvSpPr>
      </xdr:nvSpPr>
      <xdr:spPr bwMode="auto">
        <a:xfrm>
          <a:off x="13411200" y="56647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217" name="AutoShape 2097" descr="USA3"/>
        <xdr:cNvSpPr>
          <a:spLocks noChangeAspect="1" noChangeArrowheads="1"/>
        </xdr:cNvSpPr>
      </xdr:nvSpPr>
      <xdr:spPr bwMode="auto">
        <a:xfrm>
          <a:off x="0" y="56898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218" name="AutoShape 2098" descr="https://www.soccerstats.com/img/own/sshplogo.png">
          <a:hlinkClick xmlns:r="http://schemas.openxmlformats.org/officeDocument/2006/relationships" r:id="rId934"/>
        </xdr:cNvPr>
        <xdr:cNvSpPr>
          <a:spLocks noChangeAspect="1" noChangeArrowheads="1"/>
        </xdr:cNvSpPr>
      </xdr:nvSpPr>
      <xdr:spPr bwMode="auto">
        <a:xfrm>
          <a:off x="13411200" y="56898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219" name="AutoShape 2099" descr="USA6"/>
        <xdr:cNvSpPr>
          <a:spLocks noChangeAspect="1" noChangeArrowheads="1"/>
        </xdr:cNvSpPr>
      </xdr:nvSpPr>
      <xdr:spPr bwMode="auto">
        <a:xfrm>
          <a:off x="0" y="57150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220" name="AutoShape 2100" descr="https://www.soccerstats.com/img/own/sshplogo.png">
          <a:hlinkClick xmlns:r="http://schemas.openxmlformats.org/officeDocument/2006/relationships" r:id="rId935"/>
        </xdr:cNvPr>
        <xdr:cNvSpPr>
          <a:spLocks noChangeAspect="1" noChangeArrowheads="1"/>
        </xdr:cNvSpPr>
      </xdr:nvSpPr>
      <xdr:spPr bwMode="auto">
        <a:xfrm>
          <a:off x="13411200" y="571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221" name="AutoShape 2101" descr="USA6"/>
        <xdr:cNvSpPr>
          <a:spLocks noChangeAspect="1" noChangeArrowheads="1"/>
        </xdr:cNvSpPr>
      </xdr:nvSpPr>
      <xdr:spPr bwMode="auto">
        <a:xfrm>
          <a:off x="0" y="57401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222" name="AutoShape 2102" descr="https://www.soccerstats.com/img/own/sshplogo.png">
          <a:hlinkClick xmlns:r="http://schemas.openxmlformats.org/officeDocument/2006/relationships" r:id="rId936"/>
        </xdr:cNvPr>
        <xdr:cNvSpPr>
          <a:spLocks noChangeAspect="1" noChangeArrowheads="1"/>
        </xdr:cNvSpPr>
      </xdr:nvSpPr>
      <xdr:spPr bwMode="auto">
        <a:xfrm>
          <a:off x="13411200" y="57401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223" name="AutoShape 2103" descr="USA7"/>
        <xdr:cNvSpPr>
          <a:spLocks noChangeAspect="1" noChangeArrowheads="1"/>
        </xdr:cNvSpPr>
      </xdr:nvSpPr>
      <xdr:spPr bwMode="auto">
        <a:xfrm>
          <a:off x="0" y="57652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224" name="AutoShape 2104" descr="https://www.soccerstats.com/img/own/sshplogo.png">
          <a:hlinkClick xmlns:r="http://schemas.openxmlformats.org/officeDocument/2006/relationships" r:id="rId937"/>
        </xdr:cNvPr>
        <xdr:cNvSpPr>
          <a:spLocks noChangeAspect="1" noChangeArrowheads="1"/>
        </xdr:cNvSpPr>
      </xdr:nvSpPr>
      <xdr:spPr bwMode="auto">
        <a:xfrm>
          <a:off x="13411200" y="57652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3292" name="AutoShape 1" descr="NETHERLANDS"/>
        <xdr:cNvSpPr>
          <a:spLocks noChangeAspect="1" noChangeArrowheads="1"/>
        </xdr:cNvSpPr>
      </xdr:nvSpPr>
      <xdr:spPr bwMode="auto">
        <a:xfrm>
          <a:off x="0" y="17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3293" name="AutoShape 2" descr="https://www.soccerstats.com/img/own/sshplogo.png">
          <a:hlinkClick xmlns:r="http://schemas.openxmlformats.org/officeDocument/2006/relationships" r:id="rId516"/>
        </xdr:cNvPr>
        <xdr:cNvSpPr>
          <a:spLocks noChangeAspect="1" noChangeArrowheads="1"/>
        </xdr:cNvSpPr>
      </xdr:nvSpPr>
      <xdr:spPr bwMode="auto">
        <a:xfrm>
          <a:off x="13411200" y="17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152400</xdr:colOff>
      <xdr:row>2</xdr:row>
      <xdr:rowOff>106680</xdr:rowOff>
    </xdr:to>
    <xdr:sp macro="" textlink="">
      <xdr:nvSpPr>
        <xdr:cNvPr id="3294" name="AutoShape 3" descr="PORTUGAL"/>
        <xdr:cNvSpPr>
          <a:spLocks noChangeAspect="1" noChangeArrowheads="1"/>
        </xdr:cNvSpPr>
      </xdr:nvSpPr>
      <xdr:spPr bwMode="auto">
        <a:xfrm>
          <a:off x="0" y="350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</xdr:row>
      <xdr:rowOff>0</xdr:rowOff>
    </xdr:from>
    <xdr:to>
      <xdr:col>22</xdr:col>
      <xdr:colOff>304800</xdr:colOff>
      <xdr:row>3</xdr:row>
      <xdr:rowOff>129540</xdr:rowOff>
    </xdr:to>
    <xdr:sp macro="" textlink="">
      <xdr:nvSpPr>
        <xdr:cNvPr id="3295" name="AutoShape 4" descr="https://www.soccerstats.com/img/own/sshplogo.png">
          <a:hlinkClick xmlns:r="http://schemas.openxmlformats.org/officeDocument/2006/relationships" r:id="rId517"/>
        </xdr:cNvPr>
        <xdr:cNvSpPr>
          <a:spLocks noChangeAspect="1" noChangeArrowheads="1"/>
        </xdr:cNvSpPr>
      </xdr:nvSpPr>
      <xdr:spPr bwMode="auto">
        <a:xfrm>
          <a:off x="13411200" y="350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152400</xdr:colOff>
      <xdr:row>3</xdr:row>
      <xdr:rowOff>106680</xdr:rowOff>
    </xdr:to>
    <xdr:sp macro="" textlink="">
      <xdr:nvSpPr>
        <xdr:cNvPr id="3296" name="AutoShape 5" descr="ENGLAND2"/>
        <xdr:cNvSpPr>
          <a:spLocks noChangeAspect="1" noChangeArrowheads="1"/>
        </xdr:cNvSpPr>
      </xdr:nvSpPr>
      <xdr:spPr bwMode="auto">
        <a:xfrm>
          <a:off x="0" y="525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</xdr:row>
      <xdr:rowOff>0</xdr:rowOff>
    </xdr:from>
    <xdr:to>
      <xdr:col>22</xdr:col>
      <xdr:colOff>304800</xdr:colOff>
      <xdr:row>4</xdr:row>
      <xdr:rowOff>53340</xdr:rowOff>
    </xdr:to>
    <xdr:sp macro="" textlink="">
      <xdr:nvSpPr>
        <xdr:cNvPr id="3297" name="AutoShape 6" descr="https://www.soccerstats.com/img/own/sshplogo.png">
          <a:hlinkClick xmlns:r="http://schemas.openxmlformats.org/officeDocument/2006/relationships" r:id="rId518"/>
        </xdr:cNvPr>
        <xdr:cNvSpPr>
          <a:spLocks noChangeAspect="1" noChangeArrowheads="1"/>
        </xdr:cNvSpPr>
      </xdr:nvSpPr>
      <xdr:spPr bwMode="auto">
        <a:xfrm>
          <a:off x="13411200" y="525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152400</xdr:colOff>
      <xdr:row>4</xdr:row>
      <xdr:rowOff>106680</xdr:rowOff>
    </xdr:to>
    <xdr:sp macro="" textlink="">
      <xdr:nvSpPr>
        <xdr:cNvPr id="3298" name="AutoShape 7" descr="SPAIN2"/>
        <xdr:cNvSpPr>
          <a:spLocks noChangeAspect="1" noChangeArrowheads="1"/>
        </xdr:cNvSpPr>
      </xdr:nvSpPr>
      <xdr:spPr bwMode="auto">
        <a:xfrm>
          <a:off x="0" y="777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</xdr:row>
      <xdr:rowOff>0</xdr:rowOff>
    </xdr:from>
    <xdr:to>
      <xdr:col>22</xdr:col>
      <xdr:colOff>304800</xdr:colOff>
      <xdr:row>5</xdr:row>
      <xdr:rowOff>53340</xdr:rowOff>
    </xdr:to>
    <xdr:sp macro="" textlink="">
      <xdr:nvSpPr>
        <xdr:cNvPr id="3299" name="AutoShape 8" descr="https://www.soccerstats.com/img/own/sshplogo.png">
          <a:hlinkClick xmlns:r="http://schemas.openxmlformats.org/officeDocument/2006/relationships" r:id="rId519"/>
        </xdr:cNvPr>
        <xdr:cNvSpPr>
          <a:spLocks noChangeAspect="1" noChangeArrowheads="1"/>
        </xdr:cNvSpPr>
      </xdr:nvSpPr>
      <xdr:spPr bwMode="auto">
        <a:xfrm>
          <a:off x="13411200" y="777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152400</xdr:colOff>
      <xdr:row>5</xdr:row>
      <xdr:rowOff>106680</xdr:rowOff>
    </xdr:to>
    <xdr:sp macro="" textlink="">
      <xdr:nvSpPr>
        <xdr:cNvPr id="3300" name="AutoShape 9" descr="FRANCE2"/>
        <xdr:cNvSpPr>
          <a:spLocks noChangeAspect="1" noChangeArrowheads="1"/>
        </xdr:cNvSpPr>
      </xdr:nvSpPr>
      <xdr:spPr bwMode="auto">
        <a:xfrm>
          <a:off x="0" y="1028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304800</xdr:colOff>
      <xdr:row>6</xdr:row>
      <xdr:rowOff>53340</xdr:rowOff>
    </xdr:to>
    <xdr:sp macro="" textlink="">
      <xdr:nvSpPr>
        <xdr:cNvPr id="3301" name="AutoShape 10" descr="https://www.soccerstats.com/img/own/sshplogo.png">
          <a:hlinkClick xmlns:r="http://schemas.openxmlformats.org/officeDocument/2006/relationships" r:id="rId520"/>
        </xdr:cNvPr>
        <xdr:cNvSpPr>
          <a:spLocks noChangeAspect="1" noChangeArrowheads="1"/>
        </xdr:cNvSpPr>
      </xdr:nvSpPr>
      <xdr:spPr bwMode="auto">
        <a:xfrm>
          <a:off x="134112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152400</xdr:colOff>
      <xdr:row>6</xdr:row>
      <xdr:rowOff>106680</xdr:rowOff>
    </xdr:to>
    <xdr:sp macro="" textlink="">
      <xdr:nvSpPr>
        <xdr:cNvPr id="3302" name="AutoShape 11" descr="FRANCE2"/>
        <xdr:cNvSpPr>
          <a:spLocks noChangeAspect="1" noChangeArrowheads="1"/>
        </xdr:cNvSpPr>
      </xdr:nvSpPr>
      <xdr:spPr bwMode="auto">
        <a:xfrm>
          <a:off x="0" y="1280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</xdr:row>
      <xdr:rowOff>0</xdr:rowOff>
    </xdr:from>
    <xdr:to>
      <xdr:col>22</xdr:col>
      <xdr:colOff>304800</xdr:colOff>
      <xdr:row>7</xdr:row>
      <xdr:rowOff>129540</xdr:rowOff>
    </xdr:to>
    <xdr:sp macro="" textlink="">
      <xdr:nvSpPr>
        <xdr:cNvPr id="3303" name="AutoShape 12" descr="https://www.soccerstats.com/img/own/sshplogo.png">
          <a:hlinkClick xmlns:r="http://schemas.openxmlformats.org/officeDocument/2006/relationships" r:id="rId521"/>
        </xdr:cNvPr>
        <xdr:cNvSpPr>
          <a:spLocks noChangeAspect="1" noChangeArrowheads="1"/>
        </xdr:cNvSpPr>
      </xdr:nvSpPr>
      <xdr:spPr bwMode="auto">
        <a:xfrm>
          <a:off x="13411200" y="1280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152400</xdr:colOff>
      <xdr:row>7</xdr:row>
      <xdr:rowOff>106680</xdr:rowOff>
    </xdr:to>
    <xdr:sp macro="" textlink="">
      <xdr:nvSpPr>
        <xdr:cNvPr id="3304" name="AutoShape 13" descr="FRANCE2"/>
        <xdr:cNvSpPr>
          <a:spLocks noChangeAspect="1" noChangeArrowheads="1"/>
        </xdr:cNvSpPr>
      </xdr:nvSpPr>
      <xdr:spPr bwMode="auto">
        <a:xfrm>
          <a:off x="0" y="1455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</xdr:row>
      <xdr:rowOff>0</xdr:rowOff>
    </xdr:from>
    <xdr:to>
      <xdr:col>22</xdr:col>
      <xdr:colOff>304800</xdr:colOff>
      <xdr:row>8</xdr:row>
      <xdr:rowOff>129540</xdr:rowOff>
    </xdr:to>
    <xdr:sp macro="" textlink="">
      <xdr:nvSpPr>
        <xdr:cNvPr id="3305" name="AutoShape 14" descr="https://www.soccerstats.com/img/own/sshplogo.png">
          <a:hlinkClick xmlns:r="http://schemas.openxmlformats.org/officeDocument/2006/relationships" r:id="rId522"/>
        </xdr:cNvPr>
        <xdr:cNvSpPr>
          <a:spLocks noChangeAspect="1" noChangeArrowheads="1"/>
        </xdr:cNvSpPr>
      </xdr:nvSpPr>
      <xdr:spPr bwMode="auto">
        <a:xfrm>
          <a:off x="13411200" y="1455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152400</xdr:colOff>
      <xdr:row>8</xdr:row>
      <xdr:rowOff>106680</xdr:rowOff>
    </xdr:to>
    <xdr:sp macro="" textlink="">
      <xdr:nvSpPr>
        <xdr:cNvPr id="3306" name="AutoShape 15" descr="FRANCE2"/>
        <xdr:cNvSpPr>
          <a:spLocks noChangeAspect="1" noChangeArrowheads="1"/>
        </xdr:cNvSpPr>
      </xdr:nvSpPr>
      <xdr:spPr bwMode="auto">
        <a:xfrm>
          <a:off x="0" y="1630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</xdr:row>
      <xdr:rowOff>0</xdr:rowOff>
    </xdr:from>
    <xdr:to>
      <xdr:col>22</xdr:col>
      <xdr:colOff>304800</xdr:colOff>
      <xdr:row>9</xdr:row>
      <xdr:rowOff>129540</xdr:rowOff>
    </xdr:to>
    <xdr:sp macro="" textlink="">
      <xdr:nvSpPr>
        <xdr:cNvPr id="3307" name="AutoShape 16" descr="https://www.soccerstats.com/img/own/sshplogo.png">
          <a:hlinkClick xmlns:r="http://schemas.openxmlformats.org/officeDocument/2006/relationships" r:id="rId523"/>
        </xdr:cNvPr>
        <xdr:cNvSpPr>
          <a:spLocks noChangeAspect="1" noChangeArrowheads="1"/>
        </xdr:cNvSpPr>
      </xdr:nvSpPr>
      <xdr:spPr bwMode="auto">
        <a:xfrm>
          <a:off x="13411200" y="1630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152400</xdr:colOff>
      <xdr:row>9</xdr:row>
      <xdr:rowOff>106680</xdr:rowOff>
    </xdr:to>
    <xdr:sp macro="" textlink="">
      <xdr:nvSpPr>
        <xdr:cNvPr id="3308" name="AutoShape 17" descr="FRANCE2"/>
        <xdr:cNvSpPr>
          <a:spLocks noChangeAspect="1" noChangeArrowheads="1"/>
        </xdr:cNvSpPr>
      </xdr:nvSpPr>
      <xdr:spPr bwMode="auto">
        <a:xfrm>
          <a:off x="0" y="1805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</xdr:row>
      <xdr:rowOff>0</xdr:rowOff>
    </xdr:from>
    <xdr:to>
      <xdr:col>22</xdr:col>
      <xdr:colOff>304800</xdr:colOff>
      <xdr:row>10</xdr:row>
      <xdr:rowOff>129540</xdr:rowOff>
    </xdr:to>
    <xdr:sp macro="" textlink="">
      <xdr:nvSpPr>
        <xdr:cNvPr id="3309" name="AutoShape 18" descr="https://www.soccerstats.com/img/own/sshplogo.png">
          <a:hlinkClick xmlns:r="http://schemas.openxmlformats.org/officeDocument/2006/relationships" r:id="rId524"/>
        </xdr:cNvPr>
        <xdr:cNvSpPr>
          <a:spLocks noChangeAspect="1" noChangeArrowheads="1"/>
        </xdr:cNvSpPr>
      </xdr:nvSpPr>
      <xdr:spPr bwMode="auto">
        <a:xfrm>
          <a:off x="13411200" y="1805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152400</xdr:colOff>
      <xdr:row>10</xdr:row>
      <xdr:rowOff>106680</xdr:rowOff>
    </xdr:to>
    <xdr:sp macro="" textlink="">
      <xdr:nvSpPr>
        <xdr:cNvPr id="3310" name="AutoShape 19" descr="FRANCE2"/>
        <xdr:cNvSpPr>
          <a:spLocks noChangeAspect="1" noChangeArrowheads="1"/>
        </xdr:cNvSpPr>
      </xdr:nvSpPr>
      <xdr:spPr bwMode="auto">
        <a:xfrm>
          <a:off x="0" y="1981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</xdr:row>
      <xdr:rowOff>0</xdr:rowOff>
    </xdr:from>
    <xdr:to>
      <xdr:col>22</xdr:col>
      <xdr:colOff>304800</xdr:colOff>
      <xdr:row>11</xdr:row>
      <xdr:rowOff>129540</xdr:rowOff>
    </xdr:to>
    <xdr:sp macro="" textlink="">
      <xdr:nvSpPr>
        <xdr:cNvPr id="3311" name="AutoShape 20" descr="https://www.soccerstats.com/img/own/sshplogo.png">
          <a:hlinkClick xmlns:r="http://schemas.openxmlformats.org/officeDocument/2006/relationships" r:id="rId525"/>
        </xdr:cNvPr>
        <xdr:cNvSpPr>
          <a:spLocks noChangeAspect="1" noChangeArrowheads="1"/>
        </xdr:cNvSpPr>
      </xdr:nvSpPr>
      <xdr:spPr bwMode="auto">
        <a:xfrm>
          <a:off x="13411200" y="1981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152400</xdr:colOff>
      <xdr:row>11</xdr:row>
      <xdr:rowOff>106680</xdr:rowOff>
    </xdr:to>
    <xdr:sp macro="" textlink="">
      <xdr:nvSpPr>
        <xdr:cNvPr id="3312" name="AutoShape 21" descr="FRANCE2"/>
        <xdr:cNvSpPr>
          <a:spLocks noChangeAspect="1" noChangeArrowheads="1"/>
        </xdr:cNvSpPr>
      </xdr:nvSpPr>
      <xdr:spPr bwMode="auto">
        <a:xfrm>
          <a:off x="0" y="2156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</xdr:row>
      <xdr:rowOff>0</xdr:rowOff>
    </xdr:from>
    <xdr:to>
      <xdr:col>22</xdr:col>
      <xdr:colOff>304800</xdr:colOff>
      <xdr:row>12</xdr:row>
      <xdr:rowOff>129540</xdr:rowOff>
    </xdr:to>
    <xdr:sp macro="" textlink="">
      <xdr:nvSpPr>
        <xdr:cNvPr id="3313" name="AutoShape 22" descr="https://www.soccerstats.com/img/own/sshplogo.png">
          <a:hlinkClick xmlns:r="http://schemas.openxmlformats.org/officeDocument/2006/relationships" r:id="rId526"/>
        </xdr:cNvPr>
        <xdr:cNvSpPr>
          <a:spLocks noChangeAspect="1" noChangeArrowheads="1"/>
        </xdr:cNvSpPr>
      </xdr:nvSpPr>
      <xdr:spPr bwMode="auto">
        <a:xfrm>
          <a:off x="13411200" y="2156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152400</xdr:colOff>
      <xdr:row>12</xdr:row>
      <xdr:rowOff>106680</xdr:rowOff>
    </xdr:to>
    <xdr:sp macro="" textlink="">
      <xdr:nvSpPr>
        <xdr:cNvPr id="3314" name="AutoShape 23" descr="FRANCE2"/>
        <xdr:cNvSpPr>
          <a:spLocks noChangeAspect="1" noChangeArrowheads="1"/>
        </xdr:cNvSpPr>
      </xdr:nvSpPr>
      <xdr:spPr bwMode="auto">
        <a:xfrm>
          <a:off x="0" y="2331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</xdr:row>
      <xdr:rowOff>0</xdr:rowOff>
    </xdr:from>
    <xdr:to>
      <xdr:col>22</xdr:col>
      <xdr:colOff>304800</xdr:colOff>
      <xdr:row>13</xdr:row>
      <xdr:rowOff>53340</xdr:rowOff>
    </xdr:to>
    <xdr:sp macro="" textlink="">
      <xdr:nvSpPr>
        <xdr:cNvPr id="3315" name="AutoShape 24" descr="https://www.soccerstats.com/img/own/sshplogo.png">
          <a:hlinkClick xmlns:r="http://schemas.openxmlformats.org/officeDocument/2006/relationships" r:id="rId527"/>
        </xdr:cNvPr>
        <xdr:cNvSpPr>
          <a:spLocks noChangeAspect="1" noChangeArrowheads="1"/>
        </xdr:cNvSpPr>
      </xdr:nvSpPr>
      <xdr:spPr bwMode="auto">
        <a:xfrm>
          <a:off x="13411200" y="2331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152400</xdr:colOff>
      <xdr:row>13</xdr:row>
      <xdr:rowOff>106680</xdr:rowOff>
    </xdr:to>
    <xdr:sp macro="" textlink="">
      <xdr:nvSpPr>
        <xdr:cNvPr id="3316" name="AutoShape 25" descr="FRANCE2"/>
        <xdr:cNvSpPr>
          <a:spLocks noChangeAspect="1" noChangeArrowheads="1"/>
        </xdr:cNvSpPr>
      </xdr:nvSpPr>
      <xdr:spPr bwMode="auto">
        <a:xfrm>
          <a:off x="0" y="2583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</xdr:row>
      <xdr:rowOff>0</xdr:rowOff>
    </xdr:from>
    <xdr:to>
      <xdr:col>22</xdr:col>
      <xdr:colOff>304800</xdr:colOff>
      <xdr:row>14</xdr:row>
      <xdr:rowOff>129540</xdr:rowOff>
    </xdr:to>
    <xdr:sp macro="" textlink="">
      <xdr:nvSpPr>
        <xdr:cNvPr id="3317" name="AutoShape 26" descr="https://www.soccerstats.com/img/own/sshplogo.png">
          <a:hlinkClick xmlns:r="http://schemas.openxmlformats.org/officeDocument/2006/relationships" r:id="rId528"/>
        </xdr:cNvPr>
        <xdr:cNvSpPr>
          <a:spLocks noChangeAspect="1" noChangeArrowheads="1"/>
        </xdr:cNvSpPr>
      </xdr:nvSpPr>
      <xdr:spPr bwMode="auto">
        <a:xfrm>
          <a:off x="13411200" y="2583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152400</xdr:colOff>
      <xdr:row>14</xdr:row>
      <xdr:rowOff>106680</xdr:rowOff>
    </xdr:to>
    <xdr:sp macro="" textlink="">
      <xdr:nvSpPr>
        <xdr:cNvPr id="3318" name="AutoShape 27" descr="GERMANY2"/>
        <xdr:cNvSpPr>
          <a:spLocks noChangeAspect="1" noChangeArrowheads="1"/>
        </xdr:cNvSpPr>
      </xdr:nvSpPr>
      <xdr:spPr bwMode="auto">
        <a:xfrm>
          <a:off x="0" y="2758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</xdr:row>
      <xdr:rowOff>0</xdr:rowOff>
    </xdr:from>
    <xdr:to>
      <xdr:col>22</xdr:col>
      <xdr:colOff>304800</xdr:colOff>
      <xdr:row>15</xdr:row>
      <xdr:rowOff>53340</xdr:rowOff>
    </xdr:to>
    <xdr:sp macro="" textlink="">
      <xdr:nvSpPr>
        <xdr:cNvPr id="3319" name="AutoShape 28" descr="https://www.soccerstats.com/img/own/sshplogo.png">
          <a:hlinkClick xmlns:r="http://schemas.openxmlformats.org/officeDocument/2006/relationships" r:id="rId529"/>
        </xdr:cNvPr>
        <xdr:cNvSpPr>
          <a:spLocks noChangeAspect="1" noChangeArrowheads="1"/>
        </xdr:cNvSpPr>
      </xdr:nvSpPr>
      <xdr:spPr bwMode="auto">
        <a:xfrm>
          <a:off x="13411200" y="2758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152400</xdr:colOff>
      <xdr:row>15</xdr:row>
      <xdr:rowOff>106680</xdr:rowOff>
    </xdr:to>
    <xdr:sp macro="" textlink="">
      <xdr:nvSpPr>
        <xdr:cNvPr id="3320" name="AutoShape 29" descr="GERMANY2"/>
        <xdr:cNvSpPr>
          <a:spLocks noChangeAspect="1" noChangeArrowheads="1"/>
        </xdr:cNvSpPr>
      </xdr:nvSpPr>
      <xdr:spPr bwMode="auto">
        <a:xfrm>
          <a:off x="0" y="3009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</xdr:row>
      <xdr:rowOff>0</xdr:rowOff>
    </xdr:from>
    <xdr:to>
      <xdr:col>22</xdr:col>
      <xdr:colOff>304800</xdr:colOff>
      <xdr:row>16</xdr:row>
      <xdr:rowOff>129540</xdr:rowOff>
    </xdr:to>
    <xdr:sp macro="" textlink="">
      <xdr:nvSpPr>
        <xdr:cNvPr id="3321" name="AutoShape 30" descr="https://www.soccerstats.com/img/own/sshplogo.png">
          <a:hlinkClick xmlns:r="http://schemas.openxmlformats.org/officeDocument/2006/relationships" r:id="rId530"/>
        </xdr:cNvPr>
        <xdr:cNvSpPr>
          <a:spLocks noChangeAspect="1" noChangeArrowheads="1"/>
        </xdr:cNvSpPr>
      </xdr:nvSpPr>
      <xdr:spPr bwMode="auto">
        <a:xfrm>
          <a:off x="13411200" y="3009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152400</xdr:colOff>
      <xdr:row>16</xdr:row>
      <xdr:rowOff>106680</xdr:rowOff>
    </xdr:to>
    <xdr:sp macro="" textlink="">
      <xdr:nvSpPr>
        <xdr:cNvPr id="3322" name="AutoShape 31" descr="NETHERLANDS2"/>
        <xdr:cNvSpPr>
          <a:spLocks noChangeAspect="1" noChangeArrowheads="1"/>
        </xdr:cNvSpPr>
      </xdr:nvSpPr>
      <xdr:spPr bwMode="auto">
        <a:xfrm>
          <a:off x="0" y="3185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</xdr:row>
      <xdr:rowOff>0</xdr:rowOff>
    </xdr:from>
    <xdr:to>
      <xdr:col>22</xdr:col>
      <xdr:colOff>304800</xdr:colOff>
      <xdr:row>17</xdr:row>
      <xdr:rowOff>129540</xdr:rowOff>
    </xdr:to>
    <xdr:sp macro="" textlink="">
      <xdr:nvSpPr>
        <xdr:cNvPr id="3323" name="AutoShape 32" descr="https://www.soccerstats.com/img/own/sshplogo.png">
          <a:hlinkClick xmlns:r="http://schemas.openxmlformats.org/officeDocument/2006/relationships" r:id="rId531"/>
        </xdr:cNvPr>
        <xdr:cNvSpPr>
          <a:spLocks noChangeAspect="1" noChangeArrowheads="1"/>
        </xdr:cNvSpPr>
      </xdr:nvSpPr>
      <xdr:spPr bwMode="auto">
        <a:xfrm>
          <a:off x="13411200" y="3185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152400</xdr:colOff>
      <xdr:row>17</xdr:row>
      <xdr:rowOff>106680</xdr:rowOff>
    </xdr:to>
    <xdr:sp macro="" textlink="">
      <xdr:nvSpPr>
        <xdr:cNvPr id="3324" name="AutoShape 33" descr="NETHERLANDS2"/>
        <xdr:cNvSpPr>
          <a:spLocks noChangeAspect="1" noChangeArrowheads="1"/>
        </xdr:cNvSpPr>
      </xdr:nvSpPr>
      <xdr:spPr bwMode="auto">
        <a:xfrm>
          <a:off x="0" y="3360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</xdr:row>
      <xdr:rowOff>0</xdr:rowOff>
    </xdr:from>
    <xdr:to>
      <xdr:col>22</xdr:col>
      <xdr:colOff>304800</xdr:colOff>
      <xdr:row>18</xdr:row>
      <xdr:rowOff>53340</xdr:rowOff>
    </xdr:to>
    <xdr:sp macro="" textlink="">
      <xdr:nvSpPr>
        <xdr:cNvPr id="3325" name="AutoShape 34" descr="https://www.soccerstats.com/img/own/sshplogo.png">
          <a:hlinkClick xmlns:r="http://schemas.openxmlformats.org/officeDocument/2006/relationships" r:id="rId532"/>
        </xdr:cNvPr>
        <xdr:cNvSpPr>
          <a:spLocks noChangeAspect="1" noChangeArrowheads="1"/>
        </xdr:cNvSpPr>
      </xdr:nvSpPr>
      <xdr:spPr bwMode="auto">
        <a:xfrm>
          <a:off x="13411200" y="3360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152400</xdr:colOff>
      <xdr:row>18</xdr:row>
      <xdr:rowOff>106680</xdr:rowOff>
    </xdr:to>
    <xdr:sp macro="" textlink="">
      <xdr:nvSpPr>
        <xdr:cNvPr id="3326" name="AutoShape 35" descr="NETHERLANDS2"/>
        <xdr:cNvSpPr>
          <a:spLocks noChangeAspect="1" noChangeArrowheads="1"/>
        </xdr:cNvSpPr>
      </xdr:nvSpPr>
      <xdr:spPr bwMode="auto">
        <a:xfrm>
          <a:off x="0" y="3611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</xdr:row>
      <xdr:rowOff>0</xdr:rowOff>
    </xdr:from>
    <xdr:to>
      <xdr:col>22</xdr:col>
      <xdr:colOff>304800</xdr:colOff>
      <xdr:row>19</xdr:row>
      <xdr:rowOff>53340</xdr:rowOff>
    </xdr:to>
    <xdr:sp macro="" textlink="">
      <xdr:nvSpPr>
        <xdr:cNvPr id="3327" name="AutoShape 36" descr="https://www.soccerstats.com/img/own/sshplogo.png">
          <a:hlinkClick xmlns:r="http://schemas.openxmlformats.org/officeDocument/2006/relationships" r:id="rId533"/>
        </xdr:cNvPr>
        <xdr:cNvSpPr>
          <a:spLocks noChangeAspect="1" noChangeArrowheads="1"/>
        </xdr:cNvSpPr>
      </xdr:nvSpPr>
      <xdr:spPr bwMode="auto">
        <a:xfrm>
          <a:off x="13411200" y="3611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152400</xdr:colOff>
      <xdr:row>19</xdr:row>
      <xdr:rowOff>106680</xdr:rowOff>
    </xdr:to>
    <xdr:sp macro="" textlink="">
      <xdr:nvSpPr>
        <xdr:cNvPr id="7225" name="AutoShape 37" descr="NETHERLANDS2"/>
        <xdr:cNvSpPr>
          <a:spLocks noChangeAspect="1" noChangeArrowheads="1"/>
        </xdr:cNvSpPr>
      </xdr:nvSpPr>
      <xdr:spPr bwMode="auto">
        <a:xfrm>
          <a:off x="0" y="3863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</xdr:row>
      <xdr:rowOff>0</xdr:rowOff>
    </xdr:from>
    <xdr:to>
      <xdr:col>22</xdr:col>
      <xdr:colOff>304800</xdr:colOff>
      <xdr:row>20</xdr:row>
      <xdr:rowOff>129540</xdr:rowOff>
    </xdr:to>
    <xdr:sp macro="" textlink="">
      <xdr:nvSpPr>
        <xdr:cNvPr id="7226" name="AutoShape 38" descr="https://www.soccerstats.com/img/own/sshplogo.png">
          <a:hlinkClick xmlns:r="http://schemas.openxmlformats.org/officeDocument/2006/relationships" r:id="rId534"/>
        </xdr:cNvPr>
        <xdr:cNvSpPr>
          <a:spLocks noChangeAspect="1" noChangeArrowheads="1"/>
        </xdr:cNvSpPr>
      </xdr:nvSpPr>
      <xdr:spPr bwMode="auto">
        <a:xfrm>
          <a:off x="13411200" y="3863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152400</xdr:colOff>
      <xdr:row>20</xdr:row>
      <xdr:rowOff>106680</xdr:rowOff>
    </xdr:to>
    <xdr:sp macro="" textlink="">
      <xdr:nvSpPr>
        <xdr:cNvPr id="7227" name="AutoShape 39" descr="NETHERLANDS2"/>
        <xdr:cNvSpPr>
          <a:spLocks noChangeAspect="1" noChangeArrowheads="1"/>
        </xdr:cNvSpPr>
      </xdr:nvSpPr>
      <xdr:spPr bwMode="auto">
        <a:xfrm>
          <a:off x="0" y="4038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</xdr:row>
      <xdr:rowOff>0</xdr:rowOff>
    </xdr:from>
    <xdr:to>
      <xdr:col>22</xdr:col>
      <xdr:colOff>304800</xdr:colOff>
      <xdr:row>21</xdr:row>
      <xdr:rowOff>129540</xdr:rowOff>
    </xdr:to>
    <xdr:sp macro="" textlink="">
      <xdr:nvSpPr>
        <xdr:cNvPr id="7228" name="AutoShape 40" descr="https://www.soccerstats.com/img/own/sshplogo.png">
          <a:hlinkClick xmlns:r="http://schemas.openxmlformats.org/officeDocument/2006/relationships" r:id="rId535"/>
        </xdr:cNvPr>
        <xdr:cNvSpPr>
          <a:spLocks noChangeAspect="1" noChangeArrowheads="1"/>
        </xdr:cNvSpPr>
      </xdr:nvSpPr>
      <xdr:spPr bwMode="auto">
        <a:xfrm>
          <a:off x="13411200" y="4038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152400</xdr:colOff>
      <xdr:row>21</xdr:row>
      <xdr:rowOff>106680</xdr:rowOff>
    </xdr:to>
    <xdr:sp macro="" textlink="">
      <xdr:nvSpPr>
        <xdr:cNvPr id="7229" name="AutoShape 41" descr="NETHERLANDS2"/>
        <xdr:cNvSpPr>
          <a:spLocks noChangeAspect="1" noChangeArrowheads="1"/>
        </xdr:cNvSpPr>
      </xdr:nvSpPr>
      <xdr:spPr bwMode="auto">
        <a:xfrm>
          <a:off x="0" y="4213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</xdr:row>
      <xdr:rowOff>0</xdr:rowOff>
    </xdr:from>
    <xdr:to>
      <xdr:col>22</xdr:col>
      <xdr:colOff>304800</xdr:colOff>
      <xdr:row>22</xdr:row>
      <xdr:rowOff>53340</xdr:rowOff>
    </xdr:to>
    <xdr:sp macro="" textlink="">
      <xdr:nvSpPr>
        <xdr:cNvPr id="7230" name="AutoShape 42" descr="https://www.soccerstats.com/img/own/sshplogo.png">
          <a:hlinkClick xmlns:r="http://schemas.openxmlformats.org/officeDocument/2006/relationships" r:id="rId536"/>
        </xdr:cNvPr>
        <xdr:cNvSpPr>
          <a:spLocks noChangeAspect="1" noChangeArrowheads="1"/>
        </xdr:cNvSpPr>
      </xdr:nvSpPr>
      <xdr:spPr bwMode="auto">
        <a:xfrm>
          <a:off x="13411200" y="4213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152400</xdr:colOff>
      <xdr:row>22</xdr:row>
      <xdr:rowOff>106680</xdr:rowOff>
    </xdr:to>
    <xdr:sp macro="" textlink="">
      <xdr:nvSpPr>
        <xdr:cNvPr id="7231" name="AutoShape 43" descr="ARGENTINA2"/>
        <xdr:cNvSpPr>
          <a:spLocks noChangeAspect="1" noChangeArrowheads="1"/>
        </xdr:cNvSpPr>
      </xdr:nvSpPr>
      <xdr:spPr bwMode="auto">
        <a:xfrm>
          <a:off x="0" y="4465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</xdr:row>
      <xdr:rowOff>0</xdr:rowOff>
    </xdr:from>
    <xdr:to>
      <xdr:col>22</xdr:col>
      <xdr:colOff>304800</xdr:colOff>
      <xdr:row>23</xdr:row>
      <xdr:rowOff>129540</xdr:rowOff>
    </xdr:to>
    <xdr:sp macro="" textlink="">
      <xdr:nvSpPr>
        <xdr:cNvPr id="7232" name="AutoShape 44" descr="https://www.soccerstats.com/img/own/sshplogo.png">
          <a:hlinkClick xmlns:r="http://schemas.openxmlformats.org/officeDocument/2006/relationships" r:id="rId537"/>
        </xdr:cNvPr>
        <xdr:cNvSpPr>
          <a:spLocks noChangeAspect="1" noChangeArrowheads="1"/>
        </xdr:cNvSpPr>
      </xdr:nvSpPr>
      <xdr:spPr bwMode="auto">
        <a:xfrm>
          <a:off x="13411200" y="4465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152400</xdr:colOff>
      <xdr:row>23</xdr:row>
      <xdr:rowOff>106680</xdr:rowOff>
    </xdr:to>
    <xdr:sp macro="" textlink="">
      <xdr:nvSpPr>
        <xdr:cNvPr id="7233" name="AutoShape 45" descr="ARGENTINA3"/>
        <xdr:cNvSpPr>
          <a:spLocks noChangeAspect="1" noChangeArrowheads="1"/>
        </xdr:cNvSpPr>
      </xdr:nvSpPr>
      <xdr:spPr bwMode="auto">
        <a:xfrm>
          <a:off x="0" y="4640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</xdr:row>
      <xdr:rowOff>0</xdr:rowOff>
    </xdr:from>
    <xdr:to>
      <xdr:col>22</xdr:col>
      <xdr:colOff>304800</xdr:colOff>
      <xdr:row>24</xdr:row>
      <xdr:rowOff>129540</xdr:rowOff>
    </xdr:to>
    <xdr:sp macro="" textlink="">
      <xdr:nvSpPr>
        <xdr:cNvPr id="7234" name="AutoShape 46" descr="https://www.soccerstats.com/img/own/sshplogo.png">
          <a:hlinkClick xmlns:r="http://schemas.openxmlformats.org/officeDocument/2006/relationships" r:id="rId538"/>
        </xdr:cNvPr>
        <xdr:cNvSpPr>
          <a:spLocks noChangeAspect="1" noChangeArrowheads="1"/>
        </xdr:cNvSpPr>
      </xdr:nvSpPr>
      <xdr:spPr bwMode="auto">
        <a:xfrm>
          <a:off x="13411200" y="4640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7235" name="AutoShape 47" descr="ARGENTINA3"/>
        <xdr:cNvSpPr>
          <a:spLocks noChangeAspect="1" noChangeArrowheads="1"/>
        </xdr:cNvSpPr>
      </xdr:nvSpPr>
      <xdr:spPr bwMode="auto">
        <a:xfrm>
          <a:off x="0" y="4815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7236" name="AutoShape 48" descr="https://www.soccerstats.com/img/own/sshplogo.png">
          <a:hlinkClick xmlns:r="http://schemas.openxmlformats.org/officeDocument/2006/relationships" r:id="rId539"/>
        </xdr:cNvPr>
        <xdr:cNvSpPr>
          <a:spLocks noChangeAspect="1" noChangeArrowheads="1"/>
        </xdr:cNvSpPr>
      </xdr:nvSpPr>
      <xdr:spPr bwMode="auto">
        <a:xfrm>
          <a:off x="13411200" y="4815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152400</xdr:colOff>
      <xdr:row>25</xdr:row>
      <xdr:rowOff>106680</xdr:rowOff>
    </xdr:to>
    <xdr:sp macro="" textlink="">
      <xdr:nvSpPr>
        <xdr:cNvPr id="7237" name="AutoShape 49" descr="ARMENIA"/>
        <xdr:cNvSpPr>
          <a:spLocks noChangeAspect="1" noChangeArrowheads="1"/>
        </xdr:cNvSpPr>
      </xdr:nvSpPr>
      <xdr:spPr bwMode="auto">
        <a:xfrm>
          <a:off x="0" y="5067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25</xdr:row>
      <xdr:rowOff>0</xdr:rowOff>
    </xdr:from>
    <xdr:to>
      <xdr:col>22</xdr:col>
      <xdr:colOff>304800</xdr:colOff>
      <xdr:row>26</xdr:row>
      <xdr:rowOff>129540</xdr:rowOff>
    </xdr:to>
    <xdr:sp macro="" textlink="">
      <xdr:nvSpPr>
        <xdr:cNvPr id="7238" name="AutoShape 50" descr="https://www.soccerstats.com/img/own/sshplogo.png">
          <a:hlinkClick xmlns:r="http://schemas.openxmlformats.org/officeDocument/2006/relationships" r:id="rId540"/>
        </xdr:cNvPr>
        <xdr:cNvSpPr>
          <a:spLocks noChangeAspect="1" noChangeArrowheads="1"/>
        </xdr:cNvSpPr>
      </xdr:nvSpPr>
      <xdr:spPr bwMode="auto">
        <a:xfrm>
          <a:off x="13411200" y="5067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152400</xdr:colOff>
      <xdr:row>26</xdr:row>
      <xdr:rowOff>106680</xdr:rowOff>
    </xdr:to>
    <xdr:sp macro="" textlink="">
      <xdr:nvSpPr>
        <xdr:cNvPr id="7239" name="AutoShape 51" descr="AUSTRALIA3"/>
        <xdr:cNvSpPr>
          <a:spLocks noChangeAspect="1" noChangeArrowheads="1"/>
        </xdr:cNvSpPr>
      </xdr:nvSpPr>
      <xdr:spPr bwMode="auto">
        <a:xfrm>
          <a:off x="0" y="5242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26</xdr:row>
      <xdr:rowOff>0</xdr:rowOff>
    </xdr:from>
    <xdr:to>
      <xdr:col>22</xdr:col>
      <xdr:colOff>304800</xdr:colOff>
      <xdr:row>27</xdr:row>
      <xdr:rowOff>53340</xdr:rowOff>
    </xdr:to>
    <xdr:sp macro="" textlink="">
      <xdr:nvSpPr>
        <xdr:cNvPr id="7240" name="AutoShape 52" descr="https://www.soccerstats.com/img/own/sshplogo.png">
          <a:hlinkClick xmlns:r="http://schemas.openxmlformats.org/officeDocument/2006/relationships" r:id="rId541"/>
        </xdr:cNvPr>
        <xdr:cNvSpPr>
          <a:spLocks noChangeAspect="1" noChangeArrowheads="1"/>
        </xdr:cNvSpPr>
      </xdr:nvSpPr>
      <xdr:spPr bwMode="auto">
        <a:xfrm>
          <a:off x="13411200" y="5242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152400</xdr:colOff>
      <xdr:row>27</xdr:row>
      <xdr:rowOff>106680</xdr:rowOff>
    </xdr:to>
    <xdr:sp macro="" textlink="">
      <xdr:nvSpPr>
        <xdr:cNvPr id="7241" name="AutoShape 53" descr="AUSTRALIA3"/>
        <xdr:cNvSpPr>
          <a:spLocks noChangeAspect="1" noChangeArrowheads="1"/>
        </xdr:cNvSpPr>
      </xdr:nvSpPr>
      <xdr:spPr bwMode="auto">
        <a:xfrm>
          <a:off x="0" y="5494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27</xdr:row>
      <xdr:rowOff>0</xdr:rowOff>
    </xdr:from>
    <xdr:to>
      <xdr:col>22</xdr:col>
      <xdr:colOff>304800</xdr:colOff>
      <xdr:row>28</xdr:row>
      <xdr:rowOff>129540</xdr:rowOff>
    </xdr:to>
    <xdr:sp macro="" textlink="">
      <xdr:nvSpPr>
        <xdr:cNvPr id="7242" name="AutoShape 54" descr="https://www.soccerstats.com/img/own/sshplogo.png">
          <a:hlinkClick xmlns:r="http://schemas.openxmlformats.org/officeDocument/2006/relationships" r:id="rId542"/>
        </xdr:cNvPr>
        <xdr:cNvSpPr>
          <a:spLocks noChangeAspect="1" noChangeArrowheads="1"/>
        </xdr:cNvSpPr>
      </xdr:nvSpPr>
      <xdr:spPr bwMode="auto">
        <a:xfrm>
          <a:off x="13411200" y="5494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152400</xdr:colOff>
      <xdr:row>28</xdr:row>
      <xdr:rowOff>106680</xdr:rowOff>
    </xdr:to>
    <xdr:sp macro="" textlink="">
      <xdr:nvSpPr>
        <xdr:cNvPr id="7243" name="AutoShape 55" descr="AUSTRALIA3"/>
        <xdr:cNvSpPr>
          <a:spLocks noChangeAspect="1" noChangeArrowheads="1"/>
        </xdr:cNvSpPr>
      </xdr:nvSpPr>
      <xdr:spPr bwMode="auto">
        <a:xfrm>
          <a:off x="0" y="5669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28</xdr:row>
      <xdr:rowOff>0</xdr:rowOff>
    </xdr:from>
    <xdr:to>
      <xdr:col>22</xdr:col>
      <xdr:colOff>304800</xdr:colOff>
      <xdr:row>29</xdr:row>
      <xdr:rowOff>129540</xdr:rowOff>
    </xdr:to>
    <xdr:sp macro="" textlink="">
      <xdr:nvSpPr>
        <xdr:cNvPr id="7244" name="AutoShape 56" descr="https://www.soccerstats.com/img/own/sshplogo.png">
          <a:hlinkClick xmlns:r="http://schemas.openxmlformats.org/officeDocument/2006/relationships" r:id="rId543"/>
        </xdr:cNvPr>
        <xdr:cNvSpPr>
          <a:spLocks noChangeAspect="1" noChangeArrowheads="1"/>
        </xdr:cNvSpPr>
      </xdr:nvSpPr>
      <xdr:spPr bwMode="auto">
        <a:xfrm>
          <a:off x="13411200" y="5669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152400</xdr:colOff>
      <xdr:row>29</xdr:row>
      <xdr:rowOff>106680</xdr:rowOff>
    </xdr:to>
    <xdr:sp macro="" textlink="">
      <xdr:nvSpPr>
        <xdr:cNvPr id="7245" name="AutoShape 57" descr="AUSTRALIA4"/>
        <xdr:cNvSpPr>
          <a:spLocks noChangeAspect="1" noChangeArrowheads="1"/>
        </xdr:cNvSpPr>
      </xdr:nvSpPr>
      <xdr:spPr bwMode="auto">
        <a:xfrm>
          <a:off x="0" y="584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</xdr:row>
      <xdr:rowOff>0</xdr:rowOff>
    </xdr:from>
    <xdr:to>
      <xdr:col>22</xdr:col>
      <xdr:colOff>304800</xdr:colOff>
      <xdr:row>30</xdr:row>
      <xdr:rowOff>53340</xdr:rowOff>
    </xdr:to>
    <xdr:sp macro="" textlink="">
      <xdr:nvSpPr>
        <xdr:cNvPr id="7246" name="AutoShape 58" descr="https://www.soccerstats.com/img/own/sshplogo.png">
          <a:hlinkClick xmlns:r="http://schemas.openxmlformats.org/officeDocument/2006/relationships" r:id="rId544"/>
        </xdr:cNvPr>
        <xdr:cNvSpPr>
          <a:spLocks noChangeAspect="1" noChangeArrowheads="1"/>
        </xdr:cNvSpPr>
      </xdr:nvSpPr>
      <xdr:spPr bwMode="auto">
        <a:xfrm>
          <a:off x="13411200" y="584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152400</xdr:colOff>
      <xdr:row>30</xdr:row>
      <xdr:rowOff>106680</xdr:rowOff>
    </xdr:to>
    <xdr:sp macro="" textlink="">
      <xdr:nvSpPr>
        <xdr:cNvPr id="7247" name="AutoShape 59" descr="AUSTRALIA4"/>
        <xdr:cNvSpPr>
          <a:spLocks noChangeAspect="1" noChangeArrowheads="1"/>
        </xdr:cNvSpPr>
      </xdr:nvSpPr>
      <xdr:spPr bwMode="auto">
        <a:xfrm>
          <a:off x="0" y="6096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30</xdr:row>
      <xdr:rowOff>0</xdr:rowOff>
    </xdr:from>
    <xdr:to>
      <xdr:col>22</xdr:col>
      <xdr:colOff>304800</xdr:colOff>
      <xdr:row>31</xdr:row>
      <xdr:rowOff>53340</xdr:rowOff>
    </xdr:to>
    <xdr:sp macro="" textlink="">
      <xdr:nvSpPr>
        <xdr:cNvPr id="7248" name="AutoShape 60" descr="https://www.soccerstats.com/img/own/sshplogo.png">
          <a:hlinkClick xmlns:r="http://schemas.openxmlformats.org/officeDocument/2006/relationships" r:id="rId545"/>
        </xdr:cNvPr>
        <xdr:cNvSpPr>
          <a:spLocks noChangeAspect="1" noChangeArrowheads="1"/>
        </xdr:cNvSpPr>
      </xdr:nvSpPr>
      <xdr:spPr bwMode="auto">
        <a:xfrm>
          <a:off x="13411200" y="609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152400</xdr:colOff>
      <xdr:row>31</xdr:row>
      <xdr:rowOff>106680</xdr:rowOff>
    </xdr:to>
    <xdr:sp macro="" textlink="">
      <xdr:nvSpPr>
        <xdr:cNvPr id="7249" name="AutoShape 61" descr="AUSTRALIA4"/>
        <xdr:cNvSpPr>
          <a:spLocks noChangeAspect="1" noChangeArrowheads="1"/>
        </xdr:cNvSpPr>
      </xdr:nvSpPr>
      <xdr:spPr bwMode="auto">
        <a:xfrm>
          <a:off x="0" y="6347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31</xdr:row>
      <xdr:rowOff>0</xdr:rowOff>
    </xdr:from>
    <xdr:to>
      <xdr:col>22</xdr:col>
      <xdr:colOff>304800</xdr:colOff>
      <xdr:row>32</xdr:row>
      <xdr:rowOff>53340</xdr:rowOff>
    </xdr:to>
    <xdr:sp macro="" textlink="">
      <xdr:nvSpPr>
        <xdr:cNvPr id="7250" name="AutoShape 62" descr="https://www.soccerstats.com/img/own/sshplogo.png">
          <a:hlinkClick xmlns:r="http://schemas.openxmlformats.org/officeDocument/2006/relationships" r:id="rId546"/>
        </xdr:cNvPr>
        <xdr:cNvSpPr>
          <a:spLocks noChangeAspect="1" noChangeArrowheads="1"/>
        </xdr:cNvSpPr>
      </xdr:nvSpPr>
      <xdr:spPr bwMode="auto">
        <a:xfrm>
          <a:off x="13411200" y="6347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152400</xdr:colOff>
      <xdr:row>32</xdr:row>
      <xdr:rowOff>106680</xdr:rowOff>
    </xdr:to>
    <xdr:sp macro="" textlink="">
      <xdr:nvSpPr>
        <xdr:cNvPr id="7251" name="AutoShape 63" descr="AUSTRALIA4"/>
        <xdr:cNvSpPr>
          <a:spLocks noChangeAspect="1" noChangeArrowheads="1"/>
        </xdr:cNvSpPr>
      </xdr:nvSpPr>
      <xdr:spPr bwMode="auto">
        <a:xfrm>
          <a:off x="0" y="6598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32</xdr:row>
      <xdr:rowOff>0</xdr:rowOff>
    </xdr:from>
    <xdr:to>
      <xdr:col>22</xdr:col>
      <xdr:colOff>304800</xdr:colOff>
      <xdr:row>33</xdr:row>
      <xdr:rowOff>129540</xdr:rowOff>
    </xdr:to>
    <xdr:sp macro="" textlink="">
      <xdr:nvSpPr>
        <xdr:cNvPr id="7252" name="AutoShape 64" descr="https://www.soccerstats.com/img/own/sshplogo.png">
          <a:hlinkClick xmlns:r="http://schemas.openxmlformats.org/officeDocument/2006/relationships" r:id="rId547"/>
        </xdr:cNvPr>
        <xdr:cNvSpPr>
          <a:spLocks noChangeAspect="1" noChangeArrowheads="1"/>
        </xdr:cNvSpPr>
      </xdr:nvSpPr>
      <xdr:spPr bwMode="auto">
        <a:xfrm>
          <a:off x="13411200" y="6598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152400</xdr:colOff>
      <xdr:row>33</xdr:row>
      <xdr:rowOff>106680</xdr:rowOff>
    </xdr:to>
    <xdr:sp macro="" textlink="">
      <xdr:nvSpPr>
        <xdr:cNvPr id="7253" name="AutoShape 65" descr="AUSTRALIA4"/>
        <xdr:cNvSpPr>
          <a:spLocks noChangeAspect="1" noChangeArrowheads="1"/>
        </xdr:cNvSpPr>
      </xdr:nvSpPr>
      <xdr:spPr bwMode="auto">
        <a:xfrm>
          <a:off x="0" y="6774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33</xdr:row>
      <xdr:rowOff>0</xdr:rowOff>
    </xdr:from>
    <xdr:to>
      <xdr:col>22</xdr:col>
      <xdr:colOff>304800</xdr:colOff>
      <xdr:row>34</xdr:row>
      <xdr:rowOff>129540</xdr:rowOff>
    </xdr:to>
    <xdr:sp macro="" textlink="">
      <xdr:nvSpPr>
        <xdr:cNvPr id="7254" name="AutoShape 66" descr="https://www.soccerstats.com/img/own/sshplogo.png">
          <a:hlinkClick xmlns:r="http://schemas.openxmlformats.org/officeDocument/2006/relationships" r:id="rId548"/>
        </xdr:cNvPr>
        <xdr:cNvSpPr>
          <a:spLocks noChangeAspect="1" noChangeArrowheads="1"/>
        </xdr:cNvSpPr>
      </xdr:nvSpPr>
      <xdr:spPr bwMode="auto">
        <a:xfrm>
          <a:off x="13411200" y="6774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152400</xdr:colOff>
      <xdr:row>34</xdr:row>
      <xdr:rowOff>106680</xdr:rowOff>
    </xdr:to>
    <xdr:sp macro="" textlink="">
      <xdr:nvSpPr>
        <xdr:cNvPr id="7255" name="AutoShape 67" descr="AUSTRALIA4"/>
        <xdr:cNvSpPr>
          <a:spLocks noChangeAspect="1" noChangeArrowheads="1"/>
        </xdr:cNvSpPr>
      </xdr:nvSpPr>
      <xdr:spPr bwMode="auto">
        <a:xfrm>
          <a:off x="0" y="6949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34</xdr:row>
      <xdr:rowOff>0</xdr:rowOff>
    </xdr:from>
    <xdr:to>
      <xdr:col>22</xdr:col>
      <xdr:colOff>304800</xdr:colOff>
      <xdr:row>35</xdr:row>
      <xdr:rowOff>53340</xdr:rowOff>
    </xdr:to>
    <xdr:sp macro="" textlink="">
      <xdr:nvSpPr>
        <xdr:cNvPr id="7256" name="AutoShape 68" descr="https://www.soccerstats.com/img/own/sshplogo.png">
          <a:hlinkClick xmlns:r="http://schemas.openxmlformats.org/officeDocument/2006/relationships" r:id="rId549"/>
        </xdr:cNvPr>
        <xdr:cNvSpPr>
          <a:spLocks noChangeAspect="1" noChangeArrowheads="1"/>
        </xdr:cNvSpPr>
      </xdr:nvSpPr>
      <xdr:spPr bwMode="auto">
        <a:xfrm>
          <a:off x="13411200" y="6949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152400</xdr:colOff>
      <xdr:row>35</xdr:row>
      <xdr:rowOff>106680</xdr:rowOff>
    </xdr:to>
    <xdr:sp macro="" textlink="">
      <xdr:nvSpPr>
        <xdr:cNvPr id="7257" name="AutoShape 69" descr="AUSTRALIA5"/>
        <xdr:cNvSpPr>
          <a:spLocks noChangeAspect="1" noChangeArrowheads="1"/>
        </xdr:cNvSpPr>
      </xdr:nvSpPr>
      <xdr:spPr bwMode="auto">
        <a:xfrm>
          <a:off x="0" y="7200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35</xdr:row>
      <xdr:rowOff>0</xdr:rowOff>
    </xdr:from>
    <xdr:to>
      <xdr:col>22</xdr:col>
      <xdr:colOff>304800</xdr:colOff>
      <xdr:row>36</xdr:row>
      <xdr:rowOff>129540</xdr:rowOff>
    </xdr:to>
    <xdr:sp macro="" textlink="">
      <xdr:nvSpPr>
        <xdr:cNvPr id="7258" name="AutoShape 70" descr="https://www.soccerstats.com/img/own/sshplogo.png">
          <a:hlinkClick xmlns:r="http://schemas.openxmlformats.org/officeDocument/2006/relationships" r:id="rId550"/>
        </xdr:cNvPr>
        <xdr:cNvSpPr>
          <a:spLocks noChangeAspect="1" noChangeArrowheads="1"/>
        </xdr:cNvSpPr>
      </xdr:nvSpPr>
      <xdr:spPr bwMode="auto">
        <a:xfrm>
          <a:off x="13411200" y="7200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152400</xdr:colOff>
      <xdr:row>36</xdr:row>
      <xdr:rowOff>106680</xdr:rowOff>
    </xdr:to>
    <xdr:sp macro="" textlink="">
      <xdr:nvSpPr>
        <xdr:cNvPr id="7259" name="AutoShape 71" descr="AUSTRALIA11"/>
        <xdr:cNvSpPr>
          <a:spLocks noChangeAspect="1" noChangeArrowheads="1"/>
        </xdr:cNvSpPr>
      </xdr:nvSpPr>
      <xdr:spPr bwMode="auto">
        <a:xfrm>
          <a:off x="0" y="7376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36</xdr:row>
      <xdr:rowOff>0</xdr:rowOff>
    </xdr:from>
    <xdr:to>
      <xdr:col>22</xdr:col>
      <xdr:colOff>304800</xdr:colOff>
      <xdr:row>37</xdr:row>
      <xdr:rowOff>53340</xdr:rowOff>
    </xdr:to>
    <xdr:sp macro="" textlink="">
      <xdr:nvSpPr>
        <xdr:cNvPr id="7260" name="AutoShape 72" descr="https://www.soccerstats.com/img/own/sshplogo.png">
          <a:hlinkClick xmlns:r="http://schemas.openxmlformats.org/officeDocument/2006/relationships" r:id="rId551"/>
        </xdr:cNvPr>
        <xdr:cNvSpPr>
          <a:spLocks noChangeAspect="1" noChangeArrowheads="1"/>
        </xdr:cNvSpPr>
      </xdr:nvSpPr>
      <xdr:spPr bwMode="auto">
        <a:xfrm>
          <a:off x="13411200" y="7376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152400</xdr:colOff>
      <xdr:row>37</xdr:row>
      <xdr:rowOff>106680</xdr:rowOff>
    </xdr:to>
    <xdr:sp macro="" textlink="">
      <xdr:nvSpPr>
        <xdr:cNvPr id="7261" name="AutoShape 73" descr="AUSTRIA"/>
        <xdr:cNvSpPr>
          <a:spLocks noChangeAspect="1" noChangeArrowheads="1"/>
        </xdr:cNvSpPr>
      </xdr:nvSpPr>
      <xdr:spPr bwMode="auto">
        <a:xfrm>
          <a:off x="0" y="7627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37</xdr:row>
      <xdr:rowOff>0</xdr:rowOff>
    </xdr:from>
    <xdr:to>
      <xdr:col>22</xdr:col>
      <xdr:colOff>304800</xdr:colOff>
      <xdr:row>38</xdr:row>
      <xdr:rowOff>129540</xdr:rowOff>
    </xdr:to>
    <xdr:sp macro="" textlink="">
      <xdr:nvSpPr>
        <xdr:cNvPr id="7262" name="AutoShape 74" descr="https://www.soccerstats.com/img/own/sshplogo.png">
          <a:hlinkClick xmlns:r="http://schemas.openxmlformats.org/officeDocument/2006/relationships" r:id="rId552"/>
        </xdr:cNvPr>
        <xdr:cNvSpPr>
          <a:spLocks noChangeAspect="1" noChangeArrowheads="1"/>
        </xdr:cNvSpPr>
      </xdr:nvSpPr>
      <xdr:spPr bwMode="auto">
        <a:xfrm>
          <a:off x="13411200" y="7627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152400</xdr:colOff>
      <xdr:row>38</xdr:row>
      <xdr:rowOff>106680</xdr:rowOff>
    </xdr:to>
    <xdr:sp macro="" textlink="">
      <xdr:nvSpPr>
        <xdr:cNvPr id="7263" name="AutoShape 75" descr="AUSTRIA2"/>
        <xdr:cNvSpPr>
          <a:spLocks noChangeAspect="1" noChangeArrowheads="1"/>
        </xdr:cNvSpPr>
      </xdr:nvSpPr>
      <xdr:spPr bwMode="auto">
        <a:xfrm>
          <a:off x="0" y="7802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38</xdr:row>
      <xdr:rowOff>0</xdr:rowOff>
    </xdr:from>
    <xdr:to>
      <xdr:col>22</xdr:col>
      <xdr:colOff>304800</xdr:colOff>
      <xdr:row>39</xdr:row>
      <xdr:rowOff>129540</xdr:rowOff>
    </xdr:to>
    <xdr:sp macro="" textlink="">
      <xdr:nvSpPr>
        <xdr:cNvPr id="7264" name="AutoShape 76" descr="https://www.soccerstats.com/img/own/sshplogo.png">
          <a:hlinkClick xmlns:r="http://schemas.openxmlformats.org/officeDocument/2006/relationships" r:id="rId553"/>
        </xdr:cNvPr>
        <xdr:cNvSpPr>
          <a:spLocks noChangeAspect="1" noChangeArrowheads="1"/>
        </xdr:cNvSpPr>
      </xdr:nvSpPr>
      <xdr:spPr bwMode="auto">
        <a:xfrm>
          <a:off x="13411200" y="780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152400</xdr:colOff>
      <xdr:row>39</xdr:row>
      <xdr:rowOff>106680</xdr:rowOff>
    </xdr:to>
    <xdr:sp macro="" textlink="">
      <xdr:nvSpPr>
        <xdr:cNvPr id="7265" name="AutoShape 77" descr="AUSTRIA2"/>
        <xdr:cNvSpPr>
          <a:spLocks noChangeAspect="1" noChangeArrowheads="1"/>
        </xdr:cNvSpPr>
      </xdr:nvSpPr>
      <xdr:spPr bwMode="auto">
        <a:xfrm>
          <a:off x="0" y="7978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39</xdr:row>
      <xdr:rowOff>0</xdr:rowOff>
    </xdr:from>
    <xdr:to>
      <xdr:col>22</xdr:col>
      <xdr:colOff>304800</xdr:colOff>
      <xdr:row>40</xdr:row>
      <xdr:rowOff>129540</xdr:rowOff>
    </xdr:to>
    <xdr:sp macro="" textlink="">
      <xdr:nvSpPr>
        <xdr:cNvPr id="7266" name="AutoShape 78" descr="https://www.soccerstats.com/img/own/sshplogo.png">
          <a:hlinkClick xmlns:r="http://schemas.openxmlformats.org/officeDocument/2006/relationships" r:id="rId554"/>
        </xdr:cNvPr>
        <xdr:cNvSpPr>
          <a:spLocks noChangeAspect="1" noChangeArrowheads="1"/>
        </xdr:cNvSpPr>
      </xdr:nvSpPr>
      <xdr:spPr bwMode="auto">
        <a:xfrm>
          <a:off x="13411200" y="797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152400</xdr:colOff>
      <xdr:row>40</xdr:row>
      <xdr:rowOff>106680</xdr:rowOff>
    </xdr:to>
    <xdr:sp macro="" textlink="">
      <xdr:nvSpPr>
        <xdr:cNvPr id="7267" name="AutoShape 79" descr="AZERBAIJAN"/>
        <xdr:cNvSpPr>
          <a:spLocks noChangeAspect="1" noChangeArrowheads="1"/>
        </xdr:cNvSpPr>
      </xdr:nvSpPr>
      <xdr:spPr bwMode="auto">
        <a:xfrm>
          <a:off x="0" y="815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40</xdr:row>
      <xdr:rowOff>0</xdr:rowOff>
    </xdr:from>
    <xdr:to>
      <xdr:col>22</xdr:col>
      <xdr:colOff>304800</xdr:colOff>
      <xdr:row>41</xdr:row>
      <xdr:rowOff>129540</xdr:rowOff>
    </xdr:to>
    <xdr:sp macro="" textlink="">
      <xdr:nvSpPr>
        <xdr:cNvPr id="7268" name="AutoShape 80" descr="https://www.soccerstats.com/img/own/sshplogo.png">
          <a:hlinkClick xmlns:r="http://schemas.openxmlformats.org/officeDocument/2006/relationships" r:id="rId556"/>
        </xdr:cNvPr>
        <xdr:cNvSpPr>
          <a:spLocks noChangeAspect="1" noChangeArrowheads="1"/>
        </xdr:cNvSpPr>
      </xdr:nvSpPr>
      <xdr:spPr bwMode="auto">
        <a:xfrm>
          <a:off x="13411200" y="815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152400</xdr:colOff>
      <xdr:row>41</xdr:row>
      <xdr:rowOff>106680</xdr:rowOff>
    </xdr:to>
    <xdr:sp macro="" textlink="">
      <xdr:nvSpPr>
        <xdr:cNvPr id="7269" name="AutoShape 81" descr="AZERBAIJAN"/>
        <xdr:cNvSpPr>
          <a:spLocks noChangeAspect="1" noChangeArrowheads="1"/>
        </xdr:cNvSpPr>
      </xdr:nvSpPr>
      <xdr:spPr bwMode="auto">
        <a:xfrm>
          <a:off x="0" y="832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41</xdr:row>
      <xdr:rowOff>0</xdr:rowOff>
    </xdr:from>
    <xdr:to>
      <xdr:col>22</xdr:col>
      <xdr:colOff>304800</xdr:colOff>
      <xdr:row>42</xdr:row>
      <xdr:rowOff>129540</xdr:rowOff>
    </xdr:to>
    <xdr:sp macro="" textlink="">
      <xdr:nvSpPr>
        <xdr:cNvPr id="7270" name="AutoShape 82" descr="https://www.soccerstats.com/img/own/sshplogo.png">
          <a:hlinkClick xmlns:r="http://schemas.openxmlformats.org/officeDocument/2006/relationships" r:id="rId559"/>
        </xdr:cNvPr>
        <xdr:cNvSpPr>
          <a:spLocks noChangeAspect="1" noChangeArrowheads="1"/>
        </xdr:cNvSpPr>
      </xdr:nvSpPr>
      <xdr:spPr bwMode="auto">
        <a:xfrm>
          <a:off x="13411200" y="832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152400</xdr:colOff>
      <xdr:row>42</xdr:row>
      <xdr:rowOff>106680</xdr:rowOff>
    </xdr:to>
    <xdr:sp macro="" textlink="">
      <xdr:nvSpPr>
        <xdr:cNvPr id="7271" name="AutoShape 83" descr="BELARUS"/>
        <xdr:cNvSpPr>
          <a:spLocks noChangeAspect="1" noChangeArrowheads="1"/>
        </xdr:cNvSpPr>
      </xdr:nvSpPr>
      <xdr:spPr bwMode="auto">
        <a:xfrm>
          <a:off x="0" y="8503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42</xdr:row>
      <xdr:rowOff>0</xdr:rowOff>
    </xdr:from>
    <xdr:to>
      <xdr:col>22</xdr:col>
      <xdr:colOff>304800</xdr:colOff>
      <xdr:row>43</xdr:row>
      <xdr:rowOff>129540</xdr:rowOff>
    </xdr:to>
    <xdr:sp macro="" textlink="">
      <xdr:nvSpPr>
        <xdr:cNvPr id="7272" name="AutoShape 84" descr="https://www.soccerstats.com/img/own/sshplogo.png">
          <a:hlinkClick xmlns:r="http://schemas.openxmlformats.org/officeDocument/2006/relationships" r:id="rId561"/>
        </xdr:cNvPr>
        <xdr:cNvSpPr>
          <a:spLocks noChangeAspect="1" noChangeArrowheads="1"/>
        </xdr:cNvSpPr>
      </xdr:nvSpPr>
      <xdr:spPr bwMode="auto">
        <a:xfrm>
          <a:off x="13411200" y="8503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152400</xdr:colOff>
      <xdr:row>43</xdr:row>
      <xdr:rowOff>106680</xdr:rowOff>
    </xdr:to>
    <xdr:sp macro="" textlink="">
      <xdr:nvSpPr>
        <xdr:cNvPr id="7273" name="AutoShape 85" descr="BELARUS"/>
        <xdr:cNvSpPr>
          <a:spLocks noChangeAspect="1" noChangeArrowheads="1"/>
        </xdr:cNvSpPr>
      </xdr:nvSpPr>
      <xdr:spPr bwMode="auto">
        <a:xfrm>
          <a:off x="0" y="8679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43</xdr:row>
      <xdr:rowOff>0</xdr:rowOff>
    </xdr:from>
    <xdr:to>
      <xdr:col>22</xdr:col>
      <xdr:colOff>304800</xdr:colOff>
      <xdr:row>44</xdr:row>
      <xdr:rowOff>53340</xdr:rowOff>
    </xdr:to>
    <xdr:sp macro="" textlink="">
      <xdr:nvSpPr>
        <xdr:cNvPr id="7274" name="AutoShape 86" descr="https://www.soccerstats.com/img/own/sshplogo.png">
          <a:hlinkClick xmlns:r="http://schemas.openxmlformats.org/officeDocument/2006/relationships" r:id="rId562"/>
        </xdr:cNvPr>
        <xdr:cNvSpPr>
          <a:spLocks noChangeAspect="1" noChangeArrowheads="1"/>
        </xdr:cNvSpPr>
      </xdr:nvSpPr>
      <xdr:spPr bwMode="auto">
        <a:xfrm>
          <a:off x="13411200" y="8679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152400</xdr:colOff>
      <xdr:row>44</xdr:row>
      <xdr:rowOff>106680</xdr:rowOff>
    </xdr:to>
    <xdr:sp macro="" textlink="">
      <xdr:nvSpPr>
        <xdr:cNvPr id="7275" name="AutoShape 87" descr="BELGIUM"/>
        <xdr:cNvSpPr>
          <a:spLocks noChangeAspect="1" noChangeArrowheads="1"/>
        </xdr:cNvSpPr>
      </xdr:nvSpPr>
      <xdr:spPr bwMode="auto">
        <a:xfrm>
          <a:off x="0" y="893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44</xdr:row>
      <xdr:rowOff>0</xdr:rowOff>
    </xdr:from>
    <xdr:to>
      <xdr:col>22</xdr:col>
      <xdr:colOff>304800</xdr:colOff>
      <xdr:row>45</xdr:row>
      <xdr:rowOff>53340</xdr:rowOff>
    </xdr:to>
    <xdr:sp macro="" textlink="">
      <xdr:nvSpPr>
        <xdr:cNvPr id="7276" name="AutoShape 88" descr="https://www.soccerstats.com/img/own/sshplogo.png">
          <a:hlinkClick xmlns:r="http://schemas.openxmlformats.org/officeDocument/2006/relationships" r:id="rId563"/>
        </xdr:cNvPr>
        <xdr:cNvSpPr>
          <a:spLocks noChangeAspect="1" noChangeArrowheads="1"/>
        </xdr:cNvSpPr>
      </xdr:nvSpPr>
      <xdr:spPr bwMode="auto">
        <a:xfrm>
          <a:off x="13411200" y="893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152400</xdr:colOff>
      <xdr:row>45</xdr:row>
      <xdr:rowOff>106680</xdr:rowOff>
    </xdr:to>
    <xdr:sp macro="" textlink="">
      <xdr:nvSpPr>
        <xdr:cNvPr id="7277" name="AutoShape 89" descr="BELGIUM2"/>
        <xdr:cNvSpPr>
          <a:spLocks noChangeAspect="1" noChangeArrowheads="1"/>
        </xdr:cNvSpPr>
      </xdr:nvSpPr>
      <xdr:spPr bwMode="auto">
        <a:xfrm>
          <a:off x="0" y="9182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45</xdr:row>
      <xdr:rowOff>0</xdr:rowOff>
    </xdr:from>
    <xdr:to>
      <xdr:col>22</xdr:col>
      <xdr:colOff>304800</xdr:colOff>
      <xdr:row>46</xdr:row>
      <xdr:rowOff>129540</xdr:rowOff>
    </xdr:to>
    <xdr:sp macro="" textlink="">
      <xdr:nvSpPr>
        <xdr:cNvPr id="7278" name="AutoShape 90" descr="https://www.soccerstats.com/img/own/sshplogo.png">
          <a:hlinkClick xmlns:r="http://schemas.openxmlformats.org/officeDocument/2006/relationships" r:id="rId564"/>
        </xdr:cNvPr>
        <xdr:cNvSpPr>
          <a:spLocks noChangeAspect="1" noChangeArrowheads="1"/>
        </xdr:cNvSpPr>
      </xdr:nvSpPr>
      <xdr:spPr bwMode="auto">
        <a:xfrm>
          <a:off x="13411200" y="9182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152400</xdr:colOff>
      <xdr:row>46</xdr:row>
      <xdr:rowOff>106680</xdr:rowOff>
    </xdr:to>
    <xdr:sp macro="" textlink="">
      <xdr:nvSpPr>
        <xdr:cNvPr id="7279" name="AutoShape 91" descr="BELGIUM2"/>
        <xdr:cNvSpPr>
          <a:spLocks noChangeAspect="1" noChangeArrowheads="1"/>
        </xdr:cNvSpPr>
      </xdr:nvSpPr>
      <xdr:spPr bwMode="auto">
        <a:xfrm>
          <a:off x="0" y="9357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46</xdr:row>
      <xdr:rowOff>0</xdr:rowOff>
    </xdr:from>
    <xdr:to>
      <xdr:col>22</xdr:col>
      <xdr:colOff>304800</xdr:colOff>
      <xdr:row>47</xdr:row>
      <xdr:rowOff>53340</xdr:rowOff>
    </xdr:to>
    <xdr:sp macro="" textlink="">
      <xdr:nvSpPr>
        <xdr:cNvPr id="7280" name="AutoShape 92" descr="https://www.soccerstats.com/img/own/sshplogo.png">
          <a:hlinkClick xmlns:r="http://schemas.openxmlformats.org/officeDocument/2006/relationships" r:id="rId565"/>
        </xdr:cNvPr>
        <xdr:cNvSpPr>
          <a:spLocks noChangeAspect="1" noChangeArrowheads="1"/>
        </xdr:cNvSpPr>
      </xdr:nvSpPr>
      <xdr:spPr bwMode="auto">
        <a:xfrm>
          <a:off x="13411200" y="9357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152400</xdr:colOff>
      <xdr:row>47</xdr:row>
      <xdr:rowOff>106680</xdr:rowOff>
    </xdr:to>
    <xdr:sp macro="" textlink="">
      <xdr:nvSpPr>
        <xdr:cNvPr id="7281" name="AutoShape 93" descr="BOSNIA"/>
        <xdr:cNvSpPr>
          <a:spLocks noChangeAspect="1" noChangeArrowheads="1"/>
        </xdr:cNvSpPr>
      </xdr:nvSpPr>
      <xdr:spPr bwMode="auto">
        <a:xfrm>
          <a:off x="0" y="9608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47</xdr:row>
      <xdr:rowOff>0</xdr:rowOff>
    </xdr:from>
    <xdr:to>
      <xdr:col>22</xdr:col>
      <xdr:colOff>304800</xdr:colOff>
      <xdr:row>48</xdr:row>
      <xdr:rowOff>129540</xdr:rowOff>
    </xdr:to>
    <xdr:sp macro="" textlink="">
      <xdr:nvSpPr>
        <xdr:cNvPr id="7282" name="AutoShape 94" descr="https://www.soccerstats.com/img/own/sshplogo.png">
          <a:hlinkClick xmlns:r="http://schemas.openxmlformats.org/officeDocument/2006/relationships" r:id="rId117"/>
        </xdr:cNvPr>
        <xdr:cNvSpPr>
          <a:spLocks noChangeAspect="1" noChangeArrowheads="1"/>
        </xdr:cNvSpPr>
      </xdr:nvSpPr>
      <xdr:spPr bwMode="auto">
        <a:xfrm>
          <a:off x="13411200" y="9608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152400</xdr:colOff>
      <xdr:row>48</xdr:row>
      <xdr:rowOff>106680</xdr:rowOff>
    </xdr:to>
    <xdr:sp macro="" textlink="">
      <xdr:nvSpPr>
        <xdr:cNvPr id="7283" name="AutoShape 95" descr="BRAZIL2"/>
        <xdr:cNvSpPr>
          <a:spLocks noChangeAspect="1" noChangeArrowheads="1"/>
        </xdr:cNvSpPr>
      </xdr:nvSpPr>
      <xdr:spPr bwMode="auto">
        <a:xfrm>
          <a:off x="0" y="9784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48</xdr:row>
      <xdr:rowOff>0</xdr:rowOff>
    </xdr:from>
    <xdr:to>
      <xdr:col>22</xdr:col>
      <xdr:colOff>304800</xdr:colOff>
      <xdr:row>49</xdr:row>
      <xdr:rowOff>129540</xdr:rowOff>
    </xdr:to>
    <xdr:sp macro="" textlink="">
      <xdr:nvSpPr>
        <xdr:cNvPr id="7284" name="AutoShape 96" descr="https://www.soccerstats.com/img/own/sshplogo.png">
          <a:hlinkClick xmlns:r="http://schemas.openxmlformats.org/officeDocument/2006/relationships" r:id="rId566"/>
        </xdr:cNvPr>
        <xdr:cNvSpPr>
          <a:spLocks noChangeAspect="1" noChangeArrowheads="1"/>
        </xdr:cNvSpPr>
      </xdr:nvSpPr>
      <xdr:spPr bwMode="auto">
        <a:xfrm>
          <a:off x="13411200" y="9784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152400</xdr:colOff>
      <xdr:row>49</xdr:row>
      <xdr:rowOff>106680</xdr:rowOff>
    </xdr:to>
    <xdr:sp macro="" textlink="">
      <xdr:nvSpPr>
        <xdr:cNvPr id="7285" name="AutoShape 97" descr="BRAZIL2"/>
        <xdr:cNvSpPr>
          <a:spLocks noChangeAspect="1" noChangeArrowheads="1"/>
        </xdr:cNvSpPr>
      </xdr:nvSpPr>
      <xdr:spPr bwMode="auto">
        <a:xfrm>
          <a:off x="0" y="9959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49</xdr:row>
      <xdr:rowOff>0</xdr:rowOff>
    </xdr:from>
    <xdr:to>
      <xdr:col>22</xdr:col>
      <xdr:colOff>304800</xdr:colOff>
      <xdr:row>50</xdr:row>
      <xdr:rowOff>129540</xdr:rowOff>
    </xdr:to>
    <xdr:sp macro="" textlink="">
      <xdr:nvSpPr>
        <xdr:cNvPr id="7286" name="AutoShape 98" descr="https://www.soccerstats.com/img/own/sshplogo.png">
          <a:hlinkClick xmlns:r="http://schemas.openxmlformats.org/officeDocument/2006/relationships" r:id="rId567"/>
        </xdr:cNvPr>
        <xdr:cNvSpPr>
          <a:spLocks noChangeAspect="1" noChangeArrowheads="1"/>
        </xdr:cNvSpPr>
      </xdr:nvSpPr>
      <xdr:spPr bwMode="auto">
        <a:xfrm>
          <a:off x="13411200" y="9959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152400</xdr:colOff>
      <xdr:row>50</xdr:row>
      <xdr:rowOff>106680</xdr:rowOff>
    </xdr:to>
    <xdr:sp macro="" textlink="">
      <xdr:nvSpPr>
        <xdr:cNvPr id="7287" name="AutoShape 99" descr="BRAZIL2"/>
        <xdr:cNvSpPr>
          <a:spLocks noChangeAspect="1" noChangeArrowheads="1"/>
        </xdr:cNvSpPr>
      </xdr:nvSpPr>
      <xdr:spPr bwMode="auto">
        <a:xfrm>
          <a:off x="0" y="10134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50</xdr:row>
      <xdr:rowOff>0</xdr:rowOff>
    </xdr:from>
    <xdr:to>
      <xdr:col>22</xdr:col>
      <xdr:colOff>304800</xdr:colOff>
      <xdr:row>51</xdr:row>
      <xdr:rowOff>129540</xdr:rowOff>
    </xdr:to>
    <xdr:sp macro="" textlink="">
      <xdr:nvSpPr>
        <xdr:cNvPr id="7288" name="AutoShape 100" descr="https://www.soccerstats.com/img/own/sshplogo.png">
          <a:hlinkClick xmlns:r="http://schemas.openxmlformats.org/officeDocument/2006/relationships" r:id="rId568"/>
        </xdr:cNvPr>
        <xdr:cNvSpPr>
          <a:spLocks noChangeAspect="1" noChangeArrowheads="1"/>
        </xdr:cNvSpPr>
      </xdr:nvSpPr>
      <xdr:spPr bwMode="auto">
        <a:xfrm>
          <a:off x="13411200" y="1013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152400</xdr:colOff>
      <xdr:row>51</xdr:row>
      <xdr:rowOff>106680</xdr:rowOff>
    </xdr:to>
    <xdr:sp macro="" textlink="">
      <xdr:nvSpPr>
        <xdr:cNvPr id="7289" name="AutoShape 101" descr="BULGARIA"/>
        <xdr:cNvSpPr>
          <a:spLocks noChangeAspect="1" noChangeArrowheads="1"/>
        </xdr:cNvSpPr>
      </xdr:nvSpPr>
      <xdr:spPr bwMode="auto">
        <a:xfrm>
          <a:off x="0" y="10309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51</xdr:row>
      <xdr:rowOff>0</xdr:rowOff>
    </xdr:from>
    <xdr:to>
      <xdr:col>22</xdr:col>
      <xdr:colOff>304800</xdr:colOff>
      <xdr:row>52</xdr:row>
      <xdr:rowOff>53340</xdr:rowOff>
    </xdr:to>
    <xdr:sp macro="" textlink="">
      <xdr:nvSpPr>
        <xdr:cNvPr id="7290" name="AutoShape 102" descr="https://www.soccerstats.com/img/own/sshplogo.png">
          <a:hlinkClick xmlns:r="http://schemas.openxmlformats.org/officeDocument/2006/relationships" r:id="rId569"/>
        </xdr:cNvPr>
        <xdr:cNvSpPr>
          <a:spLocks noChangeAspect="1" noChangeArrowheads="1"/>
        </xdr:cNvSpPr>
      </xdr:nvSpPr>
      <xdr:spPr bwMode="auto">
        <a:xfrm>
          <a:off x="13411200" y="10309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152400</xdr:colOff>
      <xdr:row>52</xdr:row>
      <xdr:rowOff>106680</xdr:rowOff>
    </xdr:to>
    <xdr:sp macro="" textlink="">
      <xdr:nvSpPr>
        <xdr:cNvPr id="7291" name="AutoShape 103" descr="BULGARIA2"/>
        <xdr:cNvSpPr>
          <a:spLocks noChangeAspect="1" noChangeArrowheads="1"/>
        </xdr:cNvSpPr>
      </xdr:nvSpPr>
      <xdr:spPr bwMode="auto">
        <a:xfrm>
          <a:off x="0" y="10561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52</xdr:row>
      <xdr:rowOff>0</xdr:rowOff>
    </xdr:from>
    <xdr:to>
      <xdr:col>22</xdr:col>
      <xdr:colOff>304800</xdr:colOff>
      <xdr:row>53</xdr:row>
      <xdr:rowOff>129540</xdr:rowOff>
    </xdr:to>
    <xdr:sp macro="" textlink="">
      <xdr:nvSpPr>
        <xdr:cNvPr id="7292" name="AutoShape 104" descr="https://www.soccerstats.com/img/own/sshplogo.png">
          <a:hlinkClick xmlns:r="http://schemas.openxmlformats.org/officeDocument/2006/relationships" r:id="rId570"/>
        </xdr:cNvPr>
        <xdr:cNvSpPr>
          <a:spLocks noChangeAspect="1" noChangeArrowheads="1"/>
        </xdr:cNvSpPr>
      </xdr:nvSpPr>
      <xdr:spPr bwMode="auto">
        <a:xfrm>
          <a:off x="13411200" y="10561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152400</xdr:colOff>
      <xdr:row>53</xdr:row>
      <xdr:rowOff>106680</xdr:rowOff>
    </xdr:to>
    <xdr:sp macro="" textlink="">
      <xdr:nvSpPr>
        <xdr:cNvPr id="7293" name="AutoShape 105" descr="CHILE"/>
        <xdr:cNvSpPr>
          <a:spLocks noChangeAspect="1" noChangeArrowheads="1"/>
        </xdr:cNvSpPr>
      </xdr:nvSpPr>
      <xdr:spPr bwMode="auto">
        <a:xfrm>
          <a:off x="0" y="10736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53</xdr:row>
      <xdr:rowOff>0</xdr:rowOff>
    </xdr:from>
    <xdr:to>
      <xdr:col>22</xdr:col>
      <xdr:colOff>304800</xdr:colOff>
      <xdr:row>54</xdr:row>
      <xdr:rowOff>53340</xdr:rowOff>
    </xdr:to>
    <xdr:sp macro="" textlink="">
      <xdr:nvSpPr>
        <xdr:cNvPr id="7294" name="AutoShape 106" descr="https://www.soccerstats.com/img/own/sshplogo.png">
          <a:hlinkClick xmlns:r="http://schemas.openxmlformats.org/officeDocument/2006/relationships" r:id="rId571"/>
        </xdr:cNvPr>
        <xdr:cNvSpPr>
          <a:spLocks noChangeAspect="1" noChangeArrowheads="1"/>
        </xdr:cNvSpPr>
      </xdr:nvSpPr>
      <xdr:spPr bwMode="auto">
        <a:xfrm>
          <a:off x="13411200" y="10736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152400</xdr:colOff>
      <xdr:row>54</xdr:row>
      <xdr:rowOff>106680</xdr:rowOff>
    </xdr:to>
    <xdr:sp macro="" textlink="">
      <xdr:nvSpPr>
        <xdr:cNvPr id="7295" name="AutoShape 107" descr="CHILE2"/>
        <xdr:cNvSpPr>
          <a:spLocks noChangeAspect="1" noChangeArrowheads="1"/>
        </xdr:cNvSpPr>
      </xdr:nvSpPr>
      <xdr:spPr bwMode="auto">
        <a:xfrm>
          <a:off x="0" y="10988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54</xdr:row>
      <xdr:rowOff>0</xdr:rowOff>
    </xdr:from>
    <xdr:to>
      <xdr:col>22</xdr:col>
      <xdr:colOff>304800</xdr:colOff>
      <xdr:row>55</xdr:row>
      <xdr:rowOff>53340</xdr:rowOff>
    </xdr:to>
    <xdr:sp macro="" textlink="">
      <xdr:nvSpPr>
        <xdr:cNvPr id="7296" name="AutoShape 108" descr="https://www.soccerstats.com/img/own/sshplogo.png">
          <a:hlinkClick xmlns:r="http://schemas.openxmlformats.org/officeDocument/2006/relationships" r:id="rId572"/>
        </xdr:cNvPr>
        <xdr:cNvSpPr>
          <a:spLocks noChangeAspect="1" noChangeArrowheads="1"/>
        </xdr:cNvSpPr>
      </xdr:nvSpPr>
      <xdr:spPr bwMode="auto">
        <a:xfrm>
          <a:off x="13411200" y="10988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152400</xdr:colOff>
      <xdr:row>55</xdr:row>
      <xdr:rowOff>106680</xdr:rowOff>
    </xdr:to>
    <xdr:sp macro="" textlink="">
      <xdr:nvSpPr>
        <xdr:cNvPr id="7297" name="AutoShape 109" descr="CHILE2"/>
        <xdr:cNvSpPr>
          <a:spLocks noChangeAspect="1" noChangeArrowheads="1"/>
        </xdr:cNvSpPr>
      </xdr:nvSpPr>
      <xdr:spPr bwMode="auto">
        <a:xfrm>
          <a:off x="0" y="1123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55</xdr:row>
      <xdr:rowOff>0</xdr:rowOff>
    </xdr:from>
    <xdr:to>
      <xdr:col>22</xdr:col>
      <xdr:colOff>304800</xdr:colOff>
      <xdr:row>56</xdr:row>
      <xdr:rowOff>129540</xdr:rowOff>
    </xdr:to>
    <xdr:sp macro="" textlink="">
      <xdr:nvSpPr>
        <xdr:cNvPr id="7298" name="AutoShape 110" descr="https://www.soccerstats.com/img/own/sshplogo.png">
          <a:hlinkClick xmlns:r="http://schemas.openxmlformats.org/officeDocument/2006/relationships" r:id="rId573"/>
        </xdr:cNvPr>
        <xdr:cNvSpPr>
          <a:spLocks noChangeAspect="1" noChangeArrowheads="1"/>
        </xdr:cNvSpPr>
      </xdr:nvSpPr>
      <xdr:spPr bwMode="auto">
        <a:xfrm>
          <a:off x="13411200" y="1123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152400</xdr:colOff>
      <xdr:row>56</xdr:row>
      <xdr:rowOff>106680</xdr:rowOff>
    </xdr:to>
    <xdr:sp macro="" textlink="">
      <xdr:nvSpPr>
        <xdr:cNvPr id="7299" name="AutoShape 111" descr="CHINA"/>
        <xdr:cNvSpPr>
          <a:spLocks noChangeAspect="1" noChangeArrowheads="1"/>
        </xdr:cNvSpPr>
      </xdr:nvSpPr>
      <xdr:spPr bwMode="auto">
        <a:xfrm>
          <a:off x="0" y="11414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56</xdr:row>
      <xdr:rowOff>0</xdr:rowOff>
    </xdr:from>
    <xdr:to>
      <xdr:col>22</xdr:col>
      <xdr:colOff>304800</xdr:colOff>
      <xdr:row>57</xdr:row>
      <xdr:rowOff>53340</xdr:rowOff>
    </xdr:to>
    <xdr:sp macro="" textlink="">
      <xdr:nvSpPr>
        <xdr:cNvPr id="7300" name="AutoShape 112" descr="https://www.soccerstats.com/img/own/sshplogo.png">
          <a:hlinkClick xmlns:r="http://schemas.openxmlformats.org/officeDocument/2006/relationships" r:id="rId574"/>
        </xdr:cNvPr>
        <xdr:cNvSpPr>
          <a:spLocks noChangeAspect="1" noChangeArrowheads="1"/>
        </xdr:cNvSpPr>
      </xdr:nvSpPr>
      <xdr:spPr bwMode="auto">
        <a:xfrm>
          <a:off x="13411200" y="11414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152400</xdr:colOff>
      <xdr:row>57</xdr:row>
      <xdr:rowOff>106680</xdr:rowOff>
    </xdr:to>
    <xdr:sp macro="" textlink="">
      <xdr:nvSpPr>
        <xdr:cNvPr id="7301" name="AutoShape 113" descr="CHINA"/>
        <xdr:cNvSpPr>
          <a:spLocks noChangeAspect="1" noChangeArrowheads="1"/>
        </xdr:cNvSpPr>
      </xdr:nvSpPr>
      <xdr:spPr bwMode="auto">
        <a:xfrm>
          <a:off x="0" y="1166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57</xdr:row>
      <xdr:rowOff>0</xdr:rowOff>
    </xdr:from>
    <xdr:to>
      <xdr:col>22</xdr:col>
      <xdr:colOff>304800</xdr:colOff>
      <xdr:row>58</xdr:row>
      <xdr:rowOff>53340</xdr:rowOff>
    </xdr:to>
    <xdr:sp macro="" textlink="">
      <xdr:nvSpPr>
        <xdr:cNvPr id="7302" name="AutoShape 114" descr="https://www.soccerstats.com/img/own/sshplogo.png">
          <a:hlinkClick xmlns:r="http://schemas.openxmlformats.org/officeDocument/2006/relationships" r:id="rId575"/>
        </xdr:cNvPr>
        <xdr:cNvSpPr>
          <a:spLocks noChangeAspect="1" noChangeArrowheads="1"/>
        </xdr:cNvSpPr>
      </xdr:nvSpPr>
      <xdr:spPr bwMode="auto">
        <a:xfrm>
          <a:off x="13411200" y="1166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152400</xdr:colOff>
      <xdr:row>58</xdr:row>
      <xdr:rowOff>106680</xdr:rowOff>
    </xdr:to>
    <xdr:sp macro="" textlink="">
      <xdr:nvSpPr>
        <xdr:cNvPr id="7303" name="AutoShape 115" descr="CHINA"/>
        <xdr:cNvSpPr>
          <a:spLocks noChangeAspect="1" noChangeArrowheads="1"/>
        </xdr:cNvSpPr>
      </xdr:nvSpPr>
      <xdr:spPr bwMode="auto">
        <a:xfrm>
          <a:off x="0" y="1191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58</xdr:row>
      <xdr:rowOff>0</xdr:rowOff>
    </xdr:from>
    <xdr:to>
      <xdr:col>22</xdr:col>
      <xdr:colOff>304800</xdr:colOff>
      <xdr:row>59</xdr:row>
      <xdr:rowOff>53340</xdr:rowOff>
    </xdr:to>
    <xdr:sp macro="" textlink="">
      <xdr:nvSpPr>
        <xdr:cNvPr id="7304" name="AutoShape 116" descr="https://www.soccerstats.com/img/own/sshplogo.png">
          <a:hlinkClick xmlns:r="http://schemas.openxmlformats.org/officeDocument/2006/relationships" r:id="rId576"/>
        </xdr:cNvPr>
        <xdr:cNvSpPr>
          <a:spLocks noChangeAspect="1" noChangeArrowheads="1"/>
        </xdr:cNvSpPr>
      </xdr:nvSpPr>
      <xdr:spPr bwMode="auto">
        <a:xfrm>
          <a:off x="13411200" y="1191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152400</xdr:colOff>
      <xdr:row>59</xdr:row>
      <xdr:rowOff>106680</xdr:rowOff>
    </xdr:to>
    <xdr:sp macro="" textlink="">
      <xdr:nvSpPr>
        <xdr:cNvPr id="7305" name="AutoShape 117" descr="COLOMBIA2"/>
        <xdr:cNvSpPr>
          <a:spLocks noChangeAspect="1" noChangeArrowheads="1"/>
        </xdr:cNvSpPr>
      </xdr:nvSpPr>
      <xdr:spPr bwMode="auto">
        <a:xfrm>
          <a:off x="0" y="12169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59</xdr:row>
      <xdr:rowOff>0</xdr:rowOff>
    </xdr:from>
    <xdr:to>
      <xdr:col>22</xdr:col>
      <xdr:colOff>304800</xdr:colOff>
      <xdr:row>60</xdr:row>
      <xdr:rowOff>53340</xdr:rowOff>
    </xdr:to>
    <xdr:sp macro="" textlink="">
      <xdr:nvSpPr>
        <xdr:cNvPr id="7306" name="AutoShape 118" descr="https://www.soccerstats.com/img/own/sshplogo.png">
          <a:hlinkClick xmlns:r="http://schemas.openxmlformats.org/officeDocument/2006/relationships" r:id="rId577"/>
        </xdr:cNvPr>
        <xdr:cNvSpPr>
          <a:spLocks noChangeAspect="1" noChangeArrowheads="1"/>
        </xdr:cNvSpPr>
      </xdr:nvSpPr>
      <xdr:spPr bwMode="auto">
        <a:xfrm>
          <a:off x="13411200" y="12169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60</xdr:row>
      <xdr:rowOff>0</xdr:rowOff>
    </xdr:from>
    <xdr:to>
      <xdr:col>22</xdr:col>
      <xdr:colOff>304800</xdr:colOff>
      <xdr:row>60</xdr:row>
      <xdr:rowOff>304800</xdr:rowOff>
    </xdr:to>
    <xdr:sp macro="" textlink="">
      <xdr:nvSpPr>
        <xdr:cNvPr id="7307" name="AutoShape 119" descr="https://www.soccerstats.com/img/own/sshplogo.png">
          <a:hlinkClick xmlns:r="http://schemas.openxmlformats.org/officeDocument/2006/relationships" r:id="rId578" tooltip="Cienciano vs Botafogo"/>
        </xdr:cNvPr>
        <xdr:cNvSpPr>
          <a:spLocks noChangeAspect="1" noChangeArrowheads="1"/>
        </xdr:cNvSpPr>
      </xdr:nvSpPr>
      <xdr:spPr bwMode="auto">
        <a:xfrm>
          <a:off x="13411200" y="1242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61</xdr:row>
      <xdr:rowOff>0</xdr:rowOff>
    </xdr:from>
    <xdr:to>
      <xdr:col>22</xdr:col>
      <xdr:colOff>304800</xdr:colOff>
      <xdr:row>62</xdr:row>
      <xdr:rowOff>53340</xdr:rowOff>
    </xdr:to>
    <xdr:sp macro="" textlink="">
      <xdr:nvSpPr>
        <xdr:cNvPr id="7308" name="AutoShape 120" descr="https://www.soccerstats.com/img/own/sshplogo.png">
          <a:hlinkClick xmlns:r="http://schemas.openxmlformats.org/officeDocument/2006/relationships" r:id="rId579" tooltip="Rosario Central vs Corinthians"/>
        </xdr:cNvPr>
        <xdr:cNvSpPr>
          <a:spLocks noChangeAspect="1" noChangeArrowheads="1"/>
        </xdr:cNvSpPr>
      </xdr:nvSpPr>
      <xdr:spPr bwMode="auto">
        <a:xfrm>
          <a:off x="13411200" y="1276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152400</xdr:colOff>
      <xdr:row>62</xdr:row>
      <xdr:rowOff>106680</xdr:rowOff>
    </xdr:to>
    <xdr:sp macro="" textlink="">
      <xdr:nvSpPr>
        <xdr:cNvPr id="7309" name="AutoShape 121" descr="CROATIA"/>
        <xdr:cNvSpPr>
          <a:spLocks noChangeAspect="1" noChangeArrowheads="1"/>
        </xdr:cNvSpPr>
      </xdr:nvSpPr>
      <xdr:spPr bwMode="auto">
        <a:xfrm>
          <a:off x="0" y="13014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62</xdr:row>
      <xdr:rowOff>0</xdr:rowOff>
    </xdr:from>
    <xdr:to>
      <xdr:col>22</xdr:col>
      <xdr:colOff>304800</xdr:colOff>
      <xdr:row>63</xdr:row>
      <xdr:rowOff>53340</xdr:rowOff>
    </xdr:to>
    <xdr:sp macro="" textlink="">
      <xdr:nvSpPr>
        <xdr:cNvPr id="7310" name="AutoShape 122" descr="https://www.soccerstats.com/img/own/sshplogo.png">
          <a:hlinkClick xmlns:r="http://schemas.openxmlformats.org/officeDocument/2006/relationships" r:id="rId580"/>
        </xdr:cNvPr>
        <xdr:cNvSpPr>
          <a:spLocks noChangeAspect="1" noChangeArrowheads="1"/>
        </xdr:cNvSpPr>
      </xdr:nvSpPr>
      <xdr:spPr bwMode="auto">
        <a:xfrm>
          <a:off x="13411200" y="13014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152400</xdr:colOff>
      <xdr:row>63</xdr:row>
      <xdr:rowOff>106680</xdr:rowOff>
    </xdr:to>
    <xdr:sp macro="" textlink="">
      <xdr:nvSpPr>
        <xdr:cNvPr id="7311" name="AutoShape 123" descr="CZECHREPUBLIC2"/>
        <xdr:cNvSpPr>
          <a:spLocks noChangeAspect="1" noChangeArrowheads="1"/>
        </xdr:cNvSpPr>
      </xdr:nvSpPr>
      <xdr:spPr bwMode="auto">
        <a:xfrm>
          <a:off x="0" y="13266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63</xdr:row>
      <xdr:rowOff>0</xdr:rowOff>
    </xdr:from>
    <xdr:to>
      <xdr:col>22</xdr:col>
      <xdr:colOff>304800</xdr:colOff>
      <xdr:row>64</xdr:row>
      <xdr:rowOff>53340</xdr:rowOff>
    </xdr:to>
    <xdr:sp macro="" textlink="">
      <xdr:nvSpPr>
        <xdr:cNvPr id="7312" name="AutoShape 124" descr="https://www.soccerstats.com/img/own/sshplogo.png">
          <a:hlinkClick xmlns:r="http://schemas.openxmlformats.org/officeDocument/2006/relationships" r:id="rId581"/>
        </xdr:cNvPr>
        <xdr:cNvSpPr>
          <a:spLocks noChangeAspect="1" noChangeArrowheads="1"/>
        </xdr:cNvSpPr>
      </xdr:nvSpPr>
      <xdr:spPr bwMode="auto">
        <a:xfrm>
          <a:off x="13411200" y="13266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152400</xdr:colOff>
      <xdr:row>64</xdr:row>
      <xdr:rowOff>106680</xdr:rowOff>
    </xdr:to>
    <xdr:sp macro="" textlink="">
      <xdr:nvSpPr>
        <xdr:cNvPr id="7313" name="AutoShape 125" descr="CZECHREPUBLIC2"/>
        <xdr:cNvSpPr>
          <a:spLocks noChangeAspect="1" noChangeArrowheads="1"/>
        </xdr:cNvSpPr>
      </xdr:nvSpPr>
      <xdr:spPr bwMode="auto">
        <a:xfrm>
          <a:off x="0" y="13517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64</xdr:row>
      <xdr:rowOff>0</xdr:rowOff>
    </xdr:from>
    <xdr:to>
      <xdr:col>22</xdr:col>
      <xdr:colOff>304800</xdr:colOff>
      <xdr:row>65</xdr:row>
      <xdr:rowOff>129540</xdr:rowOff>
    </xdr:to>
    <xdr:sp macro="" textlink="">
      <xdr:nvSpPr>
        <xdr:cNvPr id="7314" name="AutoShape 126" descr="https://www.soccerstats.com/img/own/sshplogo.png">
          <a:hlinkClick xmlns:r="http://schemas.openxmlformats.org/officeDocument/2006/relationships" r:id="rId582"/>
        </xdr:cNvPr>
        <xdr:cNvSpPr>
          <a:spLocks noChangeAspect="1" noChangeArrowheads="1"/>
        </xdr:cNvSpPr>
      </xdr:nvSpPr>
      <xdr:spPr bwMode="auto">
        <a:xfrm>
          <a:off x="13411200" y="13517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152400</xdr:colOff>
      <xdr:row>65</xdr:row>
      <xdr:rowOff>106680</xdr:rowOff>
    </xdr:to>
    <xdr:sp macro="" textlink="">
      <xdr:nvSpPr>
        <xdr:cNvPr id="7315" name="AutoShape 127" descr="DENMARK"/>
        <xdr:cNvSpPr>
          <a:spLocks noChangeAspect="1" noChangeArrowheads="1"/>
        </xdr:cNvSpPr>
      </xdr:nvSpPr>
      <xdr:spPr bwMode="auto">
        <a:xfrm>
          <a:off x="0" y="13693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65</xdr:row>
      <xdr:rowOff>0</xdr:rowOff>
    </xdr:from>
    <xdr:to>
      <xdr:col>22</xdr:col>
      <xdr:colOff>304800</xdr:colOff>
      <xdr:row>66</xdr:row>
      <xdr:rowOff>129540</xdr:rowOff>
    </xdr:to>
    <xdr:sp macro="" textlink="">
      <xdr:nvSpPr>
        <xdr:cNvPr id="7316" name="AutoShape 128" descr="https://www.soccerstats.com/img/own/sshplogo.png">
          <a:hlinkClick xmlns:r="http://schemas.openxmlformats.org/officeDocument/2006/relationships" r:id="rId583"/>
        </xdr:cNvPr>
        <xdr:cNvSpPr>
          <a:spLocks noChangeAspect="1" noChangeArrowheads="1"/>
        </xdr:cNvSpPr>
      </xdr:nvSpPr>
      <xdr:spPr bwMode="auto">
        <a:xfrm>
          <a:off x="13411200" y="13693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152400</xdr:colOff>
      <xdr:row>66</xdr:row>
      <xdr:rowOff>106680</xdr:rowOff>
    </xdr:to>
    <xdr:sp macro="" textlink="">
      <xdr:nvSpPr>
        <xdr:cNvPr id="7317" name="AutoShape 129" descr="DENMARK2"/>
        <xdr:cNvSpPr>
          <a:spLocks noChangeAspect="1" noChangeArrowheads="1"/>
        </xdr:cNvSpPr>
      </xdr:nvSpPr>
      <xdr:spPr bwMode="auto">
        <a:xfrm>
          <a:off x="0" y="13868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66</xdr:row>
      <xdr:rowOff>0</xdr:rowOff>
    </xdr:from>
    <xdr:to>
      <xdr:col>22</xdr:col>
      <xdr:colOff>304800</xdr:colOff>
      <xdr:row>67</xdr:row>
      <xdr:rowOff>129540</xdr:rowOff>
    </xdr:to>
    <xdr:sp macro="" textlink="">
      <xdr:nvSpPr>
        <xdr:cNvPr id="7318" name="AutoShape 130" descr="https://www.soccerstats.com/img/own/sshplogo.png">
          <a:hlinkClick xmlns:r="http://schemas.openxmlformats.org/officeDocument/2006/relationships" r:id="rId584"/>
        </xdr:cNvPr>
        <xdr:cNvSpPr>
          <a:spLocks noChangeAspect="1" noChangeArrowheads="1"/>
        </xdr:cNvSpPr>
      </xdr:nvSpPr>
      <xdr:spPr bwMode="auto">
        <a:xfrm>
          <a:off x="13411200" y="1386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152400</xdr:colOff>
      <xdr:row>67</xdr:row>
      <xdr:rowOff>106680</xdr:rowOff>
    </xdr:to>
    <xdr:sp macro="" textlink="">
      <xdr:nvSpPr>
        <xdr:cNvPr id="7319" name="AutoShape 131" descr="DENMARK2"/>
        <xdr:cNvSpPr>
          <a:spLocks noChangeAspect="1" noChangeArrowheads="1"/>
        </xdr:cNvSpPr>
      </xdr:nvSpPr>
      <xdr:spPr bwMode="auto">
        <a:xfrm>
          <a:off x="0" y="14043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67</xdr:row>
      <xdr:rowOff>0</xdr:rowOff>
    </xdr:from>
    <xdr:to>
      <xdr:col>22</xdr:col>
      <xdr:colOff>304800</xdr:colOff>
      <xdr:row>68</xdr:row>
      <xdr:rowOff>129540</xdr:rowOff>
    </xdr:to>
    <xdr:sp macro="" textlink="">
      <xdr:nvSpPr>
        <xdr:cNvPr id="7320" name="AutoShape 132" descr="https://www.soccerstats.com/img/own/sshplogo.png">
          <a:hlinkClick xmlns:r="http://schemas.openxmlformats.org/officeDocument/2006/relationships" r:id="rId585"/>
        </xdr:cNvPr>
        <xdr:cNvSpPr>
          <a:spLocks noChangeAspect="1" noChangeArrowheads="1"/>
        </xdr:cNvSpPr>
      </xdr:nvSpPr>
      <xdr:spPr bwMode="auto">
        <a:xfrm>
          <a:off x="13411200" y="14043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152400</xdr:colOff>
      <xdr:row>68</xdr:row>
      <xdr:rowOff>106680</xdr:rowOff>
    </xdr:to>
    <xdr:sp macro="" textlink="">
      <xdr:nvSpPr>
        <xdr:cNvPr id="7321" name="AutoShape 133" descr="DENMARK3"/>
        <xdr:cNvSpPr>
          <a:spLocks noChangeAspect="1" noChangeArrowheads="1"/>
        </xdr:cNvSpPr>
      </xdr:nvSpPr>
      <xdr:spPr bwMode="auto">
        <a:xfrm>
          <a:off x="0" y="14218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68</xdr:row>
      <xdr:rowOff>0</xdr:rowOff>
    </xdr:from>
    <xdr:to>
      <xdr:col>22</xdr:col>
      <xdr:colOff>304800</xdr:colOff>
      <xdr:row>69</xdr:row>
      <xdr:rowOff>129540</xdr:rowOff>
    </xdr:to>
    <xdr:sp macro="" textlink="">
      <xdr:nvSpPr>
        <xdr:cNvPr id="7322" name="AutoShape 134" descr="https://www.soccerstats.com/img/own/sshplogo.png">
          <a:hlinkClick xmlns:r="http://schemas.openxmlformats.org/officeDocument/2006/relationships" r:id="rId586"/>
        </xdr:cNvPr>
        <xdr:cNvSpPr>
          <a:spLocks noChangeAspect="1" noChangeArrowheads="1"/>
        </xdr:cNvSpPr>
      </xdr:nvSpPr>
      <xdr:spPr bwMode="auto">
        <a:xfrm>
          <a:off x="13411200" y="14218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152400</xdr:colOff>
      <xdr:row>69</xdr:row>
      <xdr:rowOff>106680</xdr:rowOff>
    </xdr:to>
    <xdr:sp macro="" textlink="">
      <xdr:nvSpPr>
        <xdr:cNvPr id="7323" name="AutoShape 135" descr="DENMARK3"/>
        <xdr:cNvSpPr>
          <a:spLocks noChangeAspect="1" noChangeArrowheads="1"/>
        </xdr:cNvSpPr>
      </xdr:nvSpPr>
      <xdr:spPr bwMode="auto">
        <a:xfrm>
          <a:off x="0" y="14394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69</xdr:row>
      <xdr:rowOff>0</xdr:rowOff>
    </xdr:from>
    <xdr:to>
      <xdr:col>22</xdr:col>
      <xdr:colOff>304800</xdr:colOff>
      <xdr:row>70</xdr:row>
      <xdr:rowOff>129540</xdr:rowOff>
    </xdr:to>
    <xdr:sp macro="" textlink="">
      <xdr:nvSpPr>
        <xdr:cNvPr id="7324" name="AutoShape 136" descr="https://www.soccerstats.com/img/own/sshplogo.png">
          <a:hlinkClick xmlns:r="http://schemas.openxmlformats.org/officeDocument/2006/relationships" r:id="rId587"/>
        </xdr:cNvPr>
        <xdr:cNvSpPr>
          <a:spLocks noChangeAspect="1" noChangeArrowheads="1"/>
        </xdr:cNvSpPr>
      </xdr:nvSpPr>
      <xdr:spPr bwMode="auto">
        <a:xfrm>
          <a:off x="13411200" y="14394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152400</xdr:colOff>
      <xdr:row>70</xdr:row>
      <xdr:rowOff>106680</xdr:rowOff>
    </xdr:to>
    <xdr:sp macro="" textlink="">
      <xdr:nvSpPr>
        <xdr:cNvPr id="7325" name="AutoShape 137" descr="DENMARK3"/>
        <xdr:cNvSpPr>
          <a:spLocks noChangeAspect="1" noChangeArrowheads="1"/>
        </xdr:cNvSpPr>
      </xdr:nvSpPr>
      <xdr:spPr bwMode="auto">
        <a:xfrm>
          <a:off x="0" y="14569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70</xdr:row>
      <xdr:rowOff>0</xdr:rowOff>
    </xdr:from>
    <xdr:to>
      <xdr:col>22</xdr:col>
      <xdr:colOff>304800</xdr:colOff>
      <xdr:row>71</xdr:row>
      <xdr:rowOff>129540</xdr:rowOff>
    </xdr:to>
    <xdr:sp macro="" textlink="">
      <xdr:nvSpPr>
        <xdr:cNvPr id="7326" name="AutoShape 138" descr="https://www.soccerstats.com/img/own/sshplogo.png">
          <a:hlinkClick xmlns:r="http://schemas.openxmlformats.org/officeDocument/2006/relationships" r:id="rId588"/>
        </xdr:cNvPr>
        <xdr:cNvSpPr>
          <a:spLocks noChangeAspect="1" noChangeArrowheads="1"/>
        </xdr:cNvSpPr>
      </xdr:nvSpPr>
      <xdr:spPr bwMode="auto">
        <a:xfrm>
          <a:off x="13411200" y="14569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152400</xdr:colOff>
      <xdr:row>71</xdr:row>
      <xdr:rowOff>106680</xdr:rowOff>
    </xdr:to>
    <xdr:sp macro="" textlink="">
      <xdr:nvSpPr>
        <xdr:cNvPr id="7327" name="AutoShape 139" descr="DENMARK3"/>
        <xdr:cNvSpPr>
          <a:spLocks noChangeAspect="1" noChangeArrowheads="1"/>
        </xdr:cNvSpPr>
      </xdr:nvSpPr>
      <xdr:spPr bwMode="auto">
        <a:xfrm>
          <a:off x="0" y="14744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71</xdr:row>
      <xdr:rowOff>0</xdr:rowOff>
    </xdr:from>
    <xdr:to>
      <xdr:col>22</xdr:col>
      <xdr:colOff>304800</xdr:colOff>
      <xdr:row>72</xdr:row>
      <xdr:rowOff>53340</xdr:rowOff>
    </xdr:to>
    <xdr:sp macro="" textlink="">
      <xdr:nvSpPr>
        <xdr:cNvPr id="7328" name="AutoShape 140" descr="https://www.soccerstats.com/img/own/sshplogo.png">
          <a:hlinkClick xmlns:r="http://schemas.openxmlformats.org/officeDocument/2006/relationships" r:id="rId589"/>
        </xdr:cNvPr>
        <xdr:cNvSpPr>
          <a:spLocks noChangeAspect="1" noChangeArrowheads="1"/>
        </xdr:cNvSpPr>
      </xdr:nvSpPr>
      <xdr:spPr bwMode="auto">
        <a:xfrm>
          <a:off x="13411200" y="1474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152400</xdr:colOff>
      <xdr:row>72</xdr:row>
      <xdr:rowOff>106680</xdr:rowOff>
    </xdr:to>
    <xdr:sp macro="" textlink="">
      <xdr:nvSpPr>
        <xdr:cNvPr id="7329" name="AutoShape 141" descr="ENGLAND7"/>
        <xdr:cNvSpPr>
          <a:spLocks noChangeAspect="1" noChangeArrowheads="1"/>
        </xdr:cNvSpPr>
      </xdr:nvSpPr>
      <xdr:spPr bwMode="auto">
        <a:xfrm>
          <a:off x="0" y="14996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72</xdr:row>
      <xdr:rowOff>0</xdr:rowOff>
    </xdr:from>
    <xdr:to>
      <xdr:col>22</xdr:col>
      <xdr:colOff>304800</xdr:colOff>
      <xdr:row>73</xdr:row>
      <xdr:rowOff>53340</xdr:rowOff>
    </xdr:to>
    <xdr:sp macro="" textlink="">
      <xdr:nvSpPr>
        <xdr:cNvPr id="7330" name="AutoShape 142" descr="https://www.soccerstats.com/img/own/sshplogo.png">
          <a:hlinkClick xmlns:r="http://schemas.openxmlformats.org/officeDocument/2006/relationships" r:id="rId590"/>
        </xdr:cNvPr>
        <xdr:cNvSpPr>
          <a:spLocks noChangeAspect="1" noChangeArrowheads="1"/>
        </xdr:cNvSpPr>
      </xdr:nvSpPr>
      <xdr:spPr bwMode="auto">
        <a:xfrm>
          <a:off x="13411200" y="14996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152400</xdr:colOff>
      <xdr:row>73</xdr:row>
      <xdr:rowOff>106680</xdr:rowOff>
    </xdr:to>
    <xdr:sp macro="" textlink="">
      <xdr:nvSpPr>
        <xdr:cNvPr id="7331" name="AutoShape 143" descr="ENGLAND9"/>
        <xdr:cNvSpPr>
          <a:spLocks noChangeAspect="1" noChangeArrowheads="1"/>
        </xdr:cNvSpPr>
      </xdr:nvSpPr>
      <xdr:spPr bwMode="auto">
        <a:xfrm>
          <a:off x="0" y="15247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73</xdr:row>
      <xdr:rowOff>0</xdr:rowOff>
    </xdr:from>
    <xdr:to>
      <xdr:col>22</xdr:col>
      <xdr:colOff>304800</xdr:colOff>
      <xdr:row>74</xdr:row>
      <xdr:rowOff>129540</xdr:rowOff>
    </xdr:to>
    <xdr:sp macro="" textlink="">
      <xdr:nvSpPr>
        <xdr:cNvPr id="7332" name="AutoShape 144" descr="https://www.soccerstats.com/img/own/sshplogo.png">
          <a:hlinkClick xmlns:r="http://schemas.openxmlformats.org/officeDocument/2006/relationships" r:id="rId591"/>
        </xdr:cNvPr>
        <xdr:cNvSpPr>
          <a:spLocks noChangeAspect="1" noChangeArrowheads="1"/>
        </xdr:cNvSpPr>
      </xdr:nvSpPr>
      <xdr:spPr bwMode="auto">
        <a:xfrm>
          <a:off x="13411200" y="15247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152400</xdr:colOff>
      <xdr:row>74</xdr:row>
      <xdr:rowOff>106680</xdr:rowOff>
    </xdr:to>
    <xdr:sp macro="" textlink="">
      <xdr:nvSpPr>
        <xdr:cNvPr id="7333" name="AutoShape 145" descr="ESTONIA"/>
        <xdr:cNvSpPr>
          <a:spLocks noChangeAspect="1" noChangeArrowheads="1"/>
        </xdr:cNvSpPr>
      </xdr:nvSpPr>
      <xdr:spPr bwMode="auto">
        <a:xfrm>
          <a:off x="0" y="15422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74</xdr:row>
      <xdr:rowOff>0</xdr:rowOff>
    </xdr:from>
    <xdr:to>
      <xdr:col>22</xdr:col>
      <xdr:colOff>304800</xdr:colOff>
      <xdr:row>75</xdr:row>
      <xdr:rowOff>129540</xdr:rowOff>
    </xdr:to>
    <xdr:sp macro="" textlink="">
      <xdr:nvSpPr>
        <xdr:cNvPr id="7334" name="AutoShape 146" descr="https://www.soccerstats.com/img/own/sshplogo.png">
          <a:hlinkClick xmlns:r="http://schemas.openxmlformats.org/officeDocument/2006/relationships" r:id="rId592"/>
        </xdr:cNvPr>
        <xdr:cNvSpPr>
          <a:spLocks noChangeAspect="1" noChangeArrowheads="1"/>
        </xdr:cNvSpPr>
      </xdr:nvSpPr>
      <xdr:spPr bwMode="auto">
        <a:xfrm>
          <a:off x="13411200" y="1542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152400</xdr:colOff>
      <xdr:row>75</xdr:row>
      <xdr:rowOff>106680</xdr:rowOff>
    </xdr:to>
    <xdr:sp macro="" textlink="">
      <xdr:nvSpPr>
        <xdr:cNvPr id="7335" name="AutoShape 147" descr="FINLAND"/>
        <xdr:cNvSpPr>
          <a:spLocks noChangeAspect="1" noChangeArrowheads="1"/>
        </xdr:cNvSpPr>
      </xdr:nvSpPr>
      <xdr:spPr bwMode="auto">
        <a:xfrm>
          <a:off x="0" y="15598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75</xdr:row>
      <xdr:rowOff>0</xdr:rowOff>
    </xdr:from>
    <xdr:to>
      <xdr:col>22</xdr:col>
      <xdr:colOff>304800</xdr:colOff>
      <xdr:row>76</xdr:row>
      <xdr:rowOff>129540</xdr:rowOff>
    </xdr:to>
    <xdr:sp macro="" textlink="">
      <xdr:nvSpPr>
        <xdr:cNvPr id="7336" name="AutoShape 148" descr="https://www.soccerstats.com/img/own/sshplogo.png">
          <a:hlinkClick xmlns:r="http://schemas.openxmlformats.org/officeDocument/2006/relationships" r:id="rId593"/>
        </xdr:cNvPr>
        <xdr:cNvSpPr>
          <a:spLocks noChangeAspect="1" noChangeArrowheads="1"/>
        </xdr:cNvSpPr>
      </xdr:nvSpPr>
      <xdr:spPr bwMode="auto">
        <a:xfrm>
          <a:off x="13411200" y="1559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152400</xdr:colOff>
      <xdr:row>76</xdr:row>
      <xdr:rowOff>106680</xdr:rowOff>
    </xdr:to>
    <xdr:sp macro="" textlink="">
      <xdr:nvSpPr>
        <xdr:cNvPr id="7337" name="AutoShape 149" descr="FINLAND2"/>
        <xdr:cNvSpPr>
          <a:spLocks noChangeAspect="1" noChangeArrowheads="1"/>
        </xdr:cNvSpPr>
      </xdr:nvSpPr>
      <xdr:spPr bwMode="auto">
        <a:xfrm>
          <a:off x="0" y="1577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76</xdr:row>
      <xdr:rowOff>0</xdr:rowOff>
    </xdr:from>
    <xdr:to>
      <xdr:col>22</xdr:col>
      <xdr:colOff>304800</xdr:colOff>
      <xdr:row>77</xdr:row>
      <xdr:rowOff>129540</xdr:rowOff>
    </xdr:to>
    <xdr:sp macro="" textlink="">
      <xdr:nvSpPr>
        <xdr:cNvPr id="7338" name="AutoShape 150" descr="https://www.soccerstats.com/img/own/sshplogo.png">
          <a:hlinkClick xmlns:r="http://schemas.openxmlformats.org/officeDocument/2006/relationships" r:id="rId594"/>
        </xdr:cNvPr>
        <xdr:cNvSpPr>
          <a:spLocks noChangeAspect="1" noChangeArrowheads="1"/>
        </xdr:cNvSpPr>
      </xdr:nvSpPr>
      <xdr:spPr bwMode="auto">
        <a:xfrm>
          <a:off x="13411200" y="1577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152400</xdr:colOff>
      <xdr:row>77</xdr:row>
      <xdr:rowOff>106680</xdr:rowOff>
    </xdr:to>
    <xdr:sp macro="" textlink="">
      <xdr:nvSpPr>
        <xdr:cNvPr id="7339" name="AutoShape 151" descr="FRANCE3"/>
        <xdr:cNvSpPr>
          <a:spLocks noChangeAspect="1" noChangeArrowheads="1"/>
        </xdr:cNvSpPr>
      </xdr:nvSpPr>
      <xdr:spPr bwMode="auto">
        <a:xfrm>
          <a:off x="0" y="1594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77</xdr:row>
      <xdr:rowOff>0</xdr:rowOff>
    </xdr:from>
    <xdr:to>
      <xdr:col>22</xdr:col>
      <xdr:colOff>304800</xdr:colOff>
      <xdr:row>78</xdr:row>
      <xdr:rowOff>129540</xdr:rowOff>
    </xdr:to>
    <xdr:sp macro="" textlink="">
      <xdr:nvSpPr>
        <xdr:cNvPr id="7340" name="AutoShape 152" descr="https://www.soccerstats.com/img/own/sshplogo.png">
          <a:hlinkClick xmlns:r="http://schemas.openxmlformats.org/officeDocument/2006/relationships" r:id="rId595"/>
        </xdr:cNvPr>
        <xdr:cNvSpPr>
          <a:spLocks noChangeAspect="1" noChangeArrowheads="1"/>
        </xdr:cNvSpPr>
      </xdr:nvSpPr>
      <xdr:spPr bwMode="auto">
        <a:xfrm>
          <a:off x="13411200" y="1594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152400</xdr:colOff>
      <xdr:row>78</xdr:row>
      <xdr:rowOff>106680</xdr:rowOff>
    </xdr:to>
    <xdr:sp macro="" textlink="">
      <xdr:nvSpPr>
        <xdr:cNvPr id="7341" name="AutoShape 153" descr="FRANCE3"/>
        <xdr:cNvSpPr>
          <a:spLocks noChangeAspect="1" noChangeArrowheads="1"/>
        </xdr:cNvSpPr>
      </xdr:nvSpPr>
      <xdr:spPr bwMode="auto">
        <a:xfrm>
          <a:off x="0" y="16123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78</xdr:row>
      <xdr:rowOff>0</xdr:rowOff>
    </xdr:from>
    <xdr:to>
      <xdr:col>22</xdr:col>
      <xdr:colOff>304800</xdr:colOff>
      <xdr:row>79</xdr:row>
      <xdr:rowOff>129540</xdr:rowOff>
    </xdr:to>
    <xdr:sp macro="" textlink="">
      <xdr:nvSpPr>
        <xdr:cNvPr id="7342" name="AutoShape 154" descr="https://www.soccerstats.com/img/own/sshplogo.png">
          <a:hlinkClick xmlns:r="http://schemas.openxmlformats.org/officeDocument/2006/relationships" r:id="rId596"/>
        </xdr:cNvPr>
        <xdr:cNvSpPr>
          <a:spLocks noChangeAspect="1" noChangeArrowheads="1"/>
        </xdr:cNvSpPr>
      </xdr:nvSpPr>
      <xdr:spPr bwMode="auto">
        <a:xfrm>
          <a:off x="13411200" y="16123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152400</xdr:colOff>
      <xdr:row>79</xdr:row>
      <xdr:rowOff>106680</xdr:rowOff>
    </xdr:to>
    <xdr:sp macro="" textlink="">
      <xdr:nvSpPr>
        <xdr:cNvPr id="7343" name="AutoShape 155" descr="FRANCE3"/>
        <xdr:cNvSpPr>
          <a:spLocks noChangeAspect="1" noChangeArrowheads="1"/>
        </xdr:cNvSpPr>
      </xdr:nvSpPr>
      <xdr:spPr bwMode="auto">
        <a:xfrm>
          <a:off x="0" y="16299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79</xdr:row>
      <xdr:rowOff>0</xdr:rowOff>
    </xdr:from>
    <xdr:to>
      <xdr:col>22</xdr:col>
      <xdr:colOff>304800</xdr:colOff>
      <xdr:row>80</xdr:row>
      <xdr:rowOff>53340</xdr:rowOff>
    </xdr:to>
    <xdr:sp macro="" textlink="">
      <xdr:nvSpPr>
        <xdr:cNvPr id="7344" name="AutoShape 156" descr="https://www.soccerstats.com/img/own/sshplogo.png">
          <a:hlinkClick xmlns:r="http://schemas.openxmlformats.org/officeDocument/2006/relationships" r:id="rId597"/>
        </xdr:cNvPr>
        <xdr:cNvSpPr>
          <a:spLocks noChangeAspect="1" noChangeArrowheads="1"/>
        </xdr:cNvSpPr>
      </xdr:nvSpPr>
      <xdr:spPr bwMode="auto">
        <a:xfrm>
          <a:off x="13411200" y="16299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152400</xdr:colOff>
      <xdr:row>80</xdr:row>
      <xdr:rowOff>106680</xdr:rowOff>
    </xdr:to>
    <xdr:sp macro="" textlink="">
      <xdr:nvSpPr>
        <xdr:cNvPr id="7345" name="AutoShape 157" descr="FRANCE3"/>
        <xdr:cNvSpPr>
          <a:spLocks noChangeAspect="1" noChangeArrowheads="1"/>
        </xdr:cNvSpPr>
      </xdr:nvSpPr>
      <xdr:spPr bwMode="auto">
        <a:xfrm>
          <a:off x="0" y="1655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80</xdr:row>
      <xdr:rowOff>0</xdr:rowOff>
    </xdr:from>
    <xdr:to>
      <xdr:col>22</xdr:col>
      <xdr:colOff>304800</xdr:colOff>
      <xdr:row>81</xdr:row>
      <xdr:rowOff>129540</xdr:rowOff>
    </xdr:to>
    <xdr:sp macro="" textlink="">
      <xdr:nvSpPr>
        <xdr:cNvPr id="7346" name="AutoShape 158" descr="https://www.soccerstats.com/img/own/sshplogo.png">
          <a:hlinkClick xmlns:r="http://schemas.openxmlformats.org/officeDocument/2006/relationships" r:id="rId598"/>
        </xdr:cNvPr>
        <xdr:cNvSpPr>
          <a:spLocks noChangeAspect="1" noChangeArrowheads="1"/>
        </xdr:cNvSpPr>
      </xdr:nvSpPr>
      <xdr:spPr bwMode="auto">
        <a:xfrm>
          <a:off x="13411200" y="1655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152400</xdr:colOff>
      <xdr:row>81</xdr:row>
      <xdr:rowOff>106680</xdr:rowOff>
    </xdr:to>
    <xdr:sp macro="" textlink="">
      <xdr:nvSpPr>
        <xdr:cNvPr id="7347" name="AutoShape 159" descr="FRANCE3"/>
        <xdr:cNvSpPr>
          <a:spLocks noChangeAspect="1" noChangeArrowheads="1"/>
        </xdr:cNvSpPr>
      </xdr:nvSpPr>
      <xdr:spPr bwMode="auto">
        <a:xfrm>
          <a:off x="0" y="16725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81</xdr:row>
      <xdr:rowOff>0</xdr:rowOff>
    </xdr:from>
    <xdr:to>
      <xdr:col>22</xdr:col>
      <xdr:colOff>304800</xdr:colOff>
      <xdr:row>82</xdr:row>
      <xdr:rowOff>53340</xdr:rowOff>
    </xdr:to>
    <xdr:sp macro="" textlink="">
      <xdr:nvSpPr>
        <xdr:cNvPr id="7348" name="AutoShape 160" descr="https://www.soccerstats.com/img/own/sshplogo.png">
          <a:hlinkClick xmlns:r="http://schemas.openxmlformats.org/officeDocument/2006/relationships" r:id="rId599"/>
        </xdr:cNvPr>
        <xdr:cNvSpPr>
          <a:spLocks noChangeAspect="1" noChangeArrowheads="1"/>
        </xdr:cNvSpPr>
      </xdr:nvSpPr>
      <xdr:spPr bwMode="auto">
        <a:xfrm>
          <a:off x="13411200" y="16725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152400</xdr:colOff>
      <xdr:row>82</xdr:row>
      <xdr:rowOff>106680</xdr:rowOff>
    </xdr:to>
    <xdr:sp macro="" textlink="">
      <xdr:nvSpPr>
        <xdr:cNvPr id="7349" name="AutoShape 161" descr="FRANCE3"/>
        <xdr:cNvSpPr>
          <a:spLocks noChangeAspect="1" noChangeArrowheads="1"/>
        </xdr:cNvSpPr>
      </xdr:nvSpPr>
      <xdr:spPr bwMode="auto">
        <a:xfrm>
          <a:off x="0" y="16977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82</xdr:row>
      <xdr:rowOff>0</xdr:rowOff>
    </xdr:from>
    <xdr:to>
      <xdr:col>22</xdr:col>
      <xdr:colOff>304800</xdr:colOff>
      <xdr:row>83</xdr:row>
      <xdr:rowOff>129540</xdr:rowOff>
    </xdr:to>
    <xdr:sp macro="" textlink="">
      <xdr:nvSpPr>
        <xdr:cNvPr id="7350" name="AutoShape 162" descr="https://www.soccerstats.com/img/own/sshplogo.png">
          <a:hlinkClick xmlns:r="http://schemas.openxmlformats.org/officeDocument/2006/relationships" r:id="rId600"/>
        </xdr:cNvPr>
        <xdr:cNvSpPr>
          <a:spLocks noChangeAspect="1" noChangeArrowheads="1"/>
        </xdr:cNvSpPr>
      </xdr:nvSpPr>
      <xdr:spPr bwMode="auto">
        <a:xfrm>
          <a:off x="13411200" y="16977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152400</xdr:colOff>
      <xdr:row>83</xdr:row>
      <xdr:rowOff>106680</xdr:rowOff>
    </xdr:to>
    <xdr:sp macro="" textlink="">
      <xdr:nvSpPr>
        <xdr:cNvPr id="7351" name="AutoShape 163" descr="FRANCE3"/>
        <xdr:cNvSpPr>
          <a:spLocks noChangeAspect="1" noChangeArrowheads="1"/>
        </xdr:cNvSpPr>
      </xdr:nvSpPr>
      <xdr:spPr bwMode="auto">
        <a:xfrm>
          <a:off x="0" y="17152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83</xdr:row>
      <xdr:rowOff>0</xdr:rowOff>
    </xdr:from>
    <xdr:to>
      <xdr:col>22</xdr:col>
      <xdr:colOff>304800</xdr:colOff>
      <xdr:row>84</xdr:row>
      <xdr:rowOff>53340</xdr:rowOff>
    </xdr:to>
    <xdr:sp macro="" textlink="">
      <xdr:nvSpPr>
        <xdr:cNvPr id="7352" name="AutoShape 164" descr="https://www.soccerstats.com/img/own/sshplogo.png">
          <a:hlinkClick xmlns:r="http://schemas.openxmlformats.org/officeDocument/2006/relationships" r:id="rId601"/>
        </xdr:cNvPr>
        <xdr:cNvSpPr>
          <a:spLocks noChangeAspect="1" noChangeArrowheads="1"/>
        </xdr:cNvSpPr>
      </xdr:nvSpPr>
      <xdr:spPr bwMode="auto">
        <a:xfrm>
          <a:off x="13411200" y="17152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152400</xdr:colOff>
      <xdr:row>84</xdr:row>
      <xdr:rowOff>106680</xdr:rowOff>
    </xdr:to>
    <xdr:sp macro="" textlink="">
      <xdr:nvSpPr>
        <xdr:cNvPr id="7353" name="AutoShape 165" descr="FRANCE3"/>
        <xdr:cNvSpPr>
          <a:spLocks noChangeAspect="1" noChangeArrowheads="1"/>
        </xdr:cNvSpPr>
      </xdr:nvSpPr>
      <xdr:spPr bwMode="auto">
        <a:xfrm>
          <a:off x="0" y="17404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84</xdr:row>
      <xdr:rowOff>0</xdr:rowOff>
    </xdr:from>
    <xdr:to>
      <xdr:col>22</xdr:col>
      <xdr:colOff>304800</xdr:colOff>
      <xdr:row>85</xdr:row>
      <xdr:rowOff>129540</xdr:rowOff>
    </xdr:to>
    <xdr:sp macro="" textlink="">
      <xdr:nvSpPr>
        <xdr:cNvPr id="7354" name="AutoShape 166" descr="https://www.soccerstats.com/img/own/sshplogo.png">
          <a:hlinkClick xmlns:r="http://schemas.openxmlformats.org/officeDocument/2006/relationships" r:id="rId602"/>
        </xdr:cNvPr>
        <xdr:cNvSpPr>
          <a:spLocks noChangeAspect="1" noChangeArrowheads="1"/>
        </xdr:cNvSpPr>
      </xdr:nvSpPr>
      <xdr:spPr bwMode="auto">
        <a:xfrm>
          <a:off x="13411200" y="17404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152400</xdr:colOff>
      <xdr:row>85</xdr:row>
      <xdr:rowOff>106680</xdr:rowOff>
    </xdr:to>
    <xdr:sp macro="" textlink="">
      <xdr:nvSpPr>
        <xdr:cNvPr id="7355" name="AutoShape 167" descr="FRANCE3"/>
        <xdr:cNvSpPr>
          <a:spLocks noChangeAspect="1" noChangeArrowheads="1"/>
        </xdr:cNvSpPr>
      </xdr:nvSpPr>
      <xdr:spPr bwMode="auto">
        <a:xfrm>
          <a:off x="0" y="17579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85</xdr:row>
      <xdr:rowOff>0</xdr:rowOff>
    </xdr:from>
    <xdr:to>
      <xdr:col>22</xdr:col>
      <xdr:colOff>304800</xdr:colOff>
      <xdr:row>86</xdr:row>
      <xdr:rowOff>129540</xdr:rowOff>
    </xdr:to>
    <xdr:sp macro="" textlink="">
      <xdr:nvSpPr>
        <xdr:cNvPr id="7356" name="AutoShape 168" descr="https://www.soccerstats.com/img/own/sshplogo.png">
          <a:hlinkClick xmlns:r="http://schemas.openxmlformats.org/officeDocument/2006/relationships" r:id="rId603"/>
        </xdr:cNvPr>
        <xdr:cNvSpPr>
          <a:spLocks noChangeAspect="1" noChangeArrowheads="1"/>
        </xdr:cNvSpPr>
      </xdr:nvSpPr>
      <xdr:spPr bwMode="auto">
        <a:xfrm>
          <a:off x="13411200" y="17579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152400</xdr:colOff>
      <xdr:row>86</xdr:row>
      <xdr:rowOff>106680</xdr:rowOff>
    </xdr:to>
    <xdr:sp macro="" textlink="">
      <xdr:nvSpPr>
        <xdr:cNvPr id="7357" name="AutoShape 169" descr="GERMANY3"/>
        <xdr:cNvSpPr>
          <a:spLocks noChangeAspect="1" noChangeArrowheads="1"/>
        </xdr:cNvSpPr>
      </xdr:nvSpPr>
      <xdr:spPr bwMode="auto">
        <a:xfrm>
          <a:off x="0" y="17754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86</xdr:row>
      <xdr:rowOff>0</xdr:rowOff>
    </xdr:from>
    <xdr:to>
      <xdr:col>22</xdr:col>
      <xdr:colOff>304800</xdr:colOff>
      <xdr:row>87</xdr:row>
      <xdr:rowOff>53340</xdr:rowOff>
    </xdr:to>
    <xdr:sp macro="" textlink="">
      <xdr:nvSpPr>
        <xdr:cNvPr id="7358" name="AutoShape 170" descr="https://www.soccerstats.com/img/own/sshplogo.png">
          <a:hlinkClick xmlns:r="http://schemas.openxmlformats.org/officeDocument/2006/relationships" r:id="rId604"/>
        </xdr:cNvPr>
        <xdr:cNvSpPr>
          <a:spLocks noChangeAspect="1" noChangeArrowheads="1"/>
        </xdr:cNvSpPr>
      </xdr:nvSpPr>
      <xdr:spPr bwMode="auto">
        <a:xfrm>
          <a:off x="13411200" y="1775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152400</xdr:colOff>
      <xdr:row>87</xdr:row>
      <xdr:rowOff>106680</xdr:rowOff>
    </xdr:to>
    <xdr:sp macro="" textlink="">
      <xdr:nvSpPr>
        <xdr:cNvPr id="7359" name="AutoShape 171" descr="GERMANY5"/>
        <xdr:cNvSpPr>
          <a:spLocks noChangeAspect="1" noChangeArrowheads="1"/>
        </xdr:cNvSpPr>
      </xdr:nvSpPr>
      <xdr:spPr bwMode="auto">
        <a:xfrm>
          <a:off x="0" y="1800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87</xdr:row>
      <xdr:rowOff>0</xdr:rowOff>
    </xdr:from>
    <xdr:to>
      <xdr:col>22</xdr:col>
      <xdr:colOff>304800</xdr:colOff>
      <xdr:row>88</xdr:row>
      <xdr:rowOff>129540</xdr:rowOff>
    </xdr:to>
    <xdr:sp macro="" textlink="">
      <xdr:nvSpPr>
        <xdr:cNvPr id="7360" name="AutoShape 172" descr="https://www.soccerstats.com/img/own/sshplogo.png">
          <a:hlinkClick xmlns:r="http://schemas.openxmlformats.org/officeDocument/2006/relationships" r:id="rId605"/>
        </xdr:cNvPr>
        <xdr:cNvSpPr>
          <a:spLocks noChangeAspect="1" noChangeArrowheads="1"/>
        </xdr:cNvSpPr>
      </xdr:nvSpPr>
      <xdr:spPr bwMode="auto">
        <a:xfrm>
          <a:off x="13411200" y="18006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152400</xdr:colOff>
      <xdr:row>88</xdr:row>
      <xdr:rowOff>106680</xdr:rowOff>
    </xdr:to>
    <xdr:sp macro="" textlink="">
      <xdr:nvSpPr>
        <xdr:cNvPr id="7361" name="AutoShape 173" descr="GERMANY5"/>
        <xdr:cNvSpPr>
          <a:spLocks noChangeAspect="1" noChangeArrowheads="1"/>
        </xdr:cNvSpPr>
      </xdr:nvSpPr>
      <xdr:spPr bwMode="auto">
        <a:xfrm>
          <a:off x="0" y="18181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88</xdr:row>
      <xdr:rowOff>0</xdr:rowOff>
    </xdr:from>
    <xdr:to>
      <xdr:col>22</xdr:col>
      <xdr:colOff>304800</xdr:colOff>
      <xdr:row>89</xdr:row>
      <xdr:rowOff>53340</xdr:rowOff>
    </xdr:to>
    <xdr:sp macro="" textlink="">
      <xdr:nvSpPr>
        <xdr:cNvPr id="7362" name="AutoShape 174" descr="https://www.soccerstats.com/img/own/sshplogo.png">
          <a:hlinkClick xmlns:r="http://schemas.openxmlformats.org/officeDocument/2006/relationships" r:id="rId606"/>
        </xdr:cNvPr>
        <xdr:cNvSpPr>
          <a:spLocks noChangeAspect="1" noChangeArrowheads="1"/>
        </xdr:cNvSpPr>
      </xdr:nvSpPr>
      <xdr:spPr bwMode="auto">
        <a:xfrm>
          <a:off x="13411200" y="18181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152400</xdr:colOff>
      <xdr:row>89</xdr:row>
      <xdr:rowOff>106680</xdr:rowOff>
    </xdr:to>
    <xdr:sp macro="" textlink="">
      <xdr:nvSpPr>
        <xdr:cNvPr id="7363" name="AutoShape 175" descr="GERMANY5"/>
        <xdr:cNvSpPr>
          <a:spLocks noChangeAspect="1" noChangeArrowheads="1"/>
        </xdr:cNvSpPr>
      </xdr:nvSpPr>
      <xdr:spPr bwMode="auto">
        <a:xfrm>
          <a:off x="0" y="18432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89</xdr:row>
      <xdr:rowOff>0</xdr:rowOff>
    </xdr:from>
    <xdr:to>
      <xdr:col>22</xdr:col>
      <xdr:colOff>304800</xdr:colOff>
      <xdr:row>90</xdr:row>
      <xdr:rowOff>53340</xdr:rowOff>
    </xdr:to>
    <xdr:sp macro="" textlink="">
      <xdr:nvSpPr>
        <xdr:cNvPr id="7364" name="AutoShape 176" descr="https://www.soccerstats.com/img/own/sshplogo.png">
          <a:hlinkClick xmlns:r="http://schemas.openxmlformats.org/officeDocument/2006/relationships" r:id="rId607"/>
        </xdr:cNvPr>
        <xdr:cNvSpPr>
          <a:spLocks noChangeAspect="1" noChangeArrowheads="1"/>
        </xdr:cNvSpPr>
      </xdr:nvSpPr>
      <xdr:spPr bwMode="auto">
        <a:xfrm>
          <a:off x="13411200" y="18432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152400</xdr:colOff>
      <xdr:row>90</xdr:row>
      <xdr:rowOff>106680</xdr:rowOff>
    </xdr:to>
    <xdr:sp macro="" textlink="">
      <xdr:nvSpPr>
        <xdr:cNvPr id="7365" name="AutoShape 177" descr="GERMANY5"/>
        <xdr:cNvSpPr>
          <a:spLocks noChangeAspect="1" noChangeArrowheads="1"/>
        </xdr:cNvSpPr>
      </xdr:nvSpPr>
      <xdr:spPr bwMode="auto">
        <a:xfrm>
          <a:off x="0" y="18684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90</xdr:row>
      <xdr:rowOff>0</xdr:rowOff>
    </xdr:from>
    <xdr:to>
      <xdr:col>22</xdr:col>
      <xdr:colOff>304800</xdr:colOff>
      <xdr:row>91</xdr:row>
      <xdr:rowOff>129540</xdr:rowOff>
    </xdr:to>
    <xdr:sp macro="" textlink="">
      <xdr:nvSpPr>
        <xdr:cNvPr id="7366" name="AutoShape 178" descr="https://www.soccerstats.com/img/own/sshplogo.png">
          <a:hlinkClick xmlns:r="http://schemas.openxmlformats.org/officeDocument/2006/relationships" r:id="rId608"/>
        </xdr:cNvPr>
        <xdr:cNvSpPr>
          <a:spLocks noChangeAspect="1" noChangeArrowheads="1"/>
        </xdr:cNvSpPr>
      </xdr:nvSpPr>
      <xdr:spPr bwMode="auto">
        <a:xfrm>
          <a:off x="13411200" y="18684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152400</xdr:colOff>
      <xdr:row>91</xdr:row>
      <xdr:rowOff>106680</xdr:rowOff>
    </xdr:to>
    <xdr:sp macro="" textlink="">
      <xdr:nvSpPr>
        <xdr:cNvPr id="7367" name="AutoShape 179" descr="GERMANY6"/>
        <xdr:cNvSpPr>
          <a:spLocks noChangeAspect="1" noChangeArrowheads="1"/>
        </xdr:cNvSpPr>
      </xdr:nvSpPr>
      <xdr:spPr bwMode="auto">
        <a:xfrm>
          <a:off x="0" y="1885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91</xdr:row>
      <xdr:rowOff>0</xdr:rowOff>
    </xdr:from>
    <xdr:to>
      <xdr:col>22</xdr:col>
      <xdr:colOff>304800</xdr:colOff>
      <xdr:row>92</xdr:row>
      <xdr:rowOff>129540</xdr:rowOff>
    </xdr:to>
    <xdr:sp macro="" textlink="">
      <xdr:nvSpPr>
        <xdr:cNvPr id="7368" name="AutoShape 180" descr="https://www.soccerstats.com/img/own/sshplogo.png">
          <a:hlinkClick xmlns:r="http://schemas.openxmlformats.org/officeDocument/2006/relationships" r:id="rId609"/>
        </xdr:cNvPr>
        <xdr:cNvSpPr>
          <a:spLocks noChangeAspect="1" noChangeArrowheads="1"/>
        </xdr:cNvSpPr>
      </xdr:nvSpPr>
      <xdr:spPr bwMode="auto">
        <a:xfrm>
          <a:off x="13411200" y="1885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152400</xdr:colOff>
      <xdr:row>92</xdr:row>
      <xdr:rowOff>106680</xdr:rowOff>
    </xdr:to>
    <xdr:sp macro="" textlink="">
      <xdr:nvSpPr>
        <xdr:cNvPr id="7369" name="AutoShape 181" descr="GERMANY6"/>
        <xdr:cNvSpPr>
          <a:spLocks noChangeAspect="1" noChangeArrowheads="1"/>
        </xdr:cNvSpPr>
      </xdr:nvSpPr>
      <xdr:spPr bwMode="auto">
        <a:xfrm>
          <a:off x="0" y="19034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92</xdr:row>
      <xdr:rowOff>0</xdr:rowOff>
    </xdr:from>
    <xdr:to>
      <xdr:col>22</xdr:col>
      <xdr:colOff>304800</xdr:colOff>
      <xdr:row>93</xdr:row>
      <xdr:rowOff>129540</xdr:rowOff>
    </xdr:to>
    <xdr:sp macro="" textlink="">
      <xdr:nvSpPr>
        <xdr:cNvPr id="7370" name="AutoShape 182" descr="https://www.soccerstats.com/img/own/sshplogo.png">
          <a:hlinkClick xmlns:r="http://schemas.openxmlformats.org/officeDocument/2006/relationships" r:id="rId610"/>
        </xdr:cNvPr>
        <xdr:cNvSpPr>
          <a:spLocks noChangeAspect="1" noChangeArrowheads="1"/>
        </xdr:cNvSpPr>
      </xdr:nvSpPr>
      <xdr:spPr bwMode="auto">
        <a:xfrm>
          <a:off x="13411200" y="19034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152400</xdr:colOff>
      <xdr:row>93</xdr:row>
      <xdr:rowOff>106680</xdr:rowOff>
    </xdr:to>
    <xdr:sp macro="" textlink="">
      <xdr:nvSpPr>
        <xdr:cNvPr id="7371" name="AutoShape 183" descr="GERMANY6"/>
        <xdr:cNvSpPr>
          <a:spLocks noChangeAspect="1" noChangeArrowheads="1"/>
        </xdr:cNvSpPr>
      </xdr:nvSpPr>
      <xdr:spPr bwMode="auto">
        <a:xfrm>
          <a:off x="0" y="19210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93</xdr:row>
      <xdr:rowOff>0</xdr:rowOff>
    </xdr:from>
    <xdr:to>
      <xdr:col>22</xdr:col>
      <xdr:colOff>304800</xdr:colOff>
      <xdr:row>94</xdr:row>
      <xdr:rowOff>129540</xdr:rowOff>
    </xdr:to>
    <xdr:sp macro="" textlink="">
      <xdr:nvSpPr>
        <xdr:cNvPr id="7372" name="AutoShape 184" descr="https://www.soccerstats.com/img/own/sshplogo.png">
          <a:hlinkClick xmlns:r="http://schemas.openxmlformats.org/officeDocument/2006/relationships" r:id="rId611"/>
        </xdr:cNvPr>
        <xdr:cNvSpPr>
          <a:spLocks noChangeAspect="1" noChangeArrowheads="1"/>
        </xdr:cNvSpPr>
      </xdr:nvSpPr>
      <xdr:spPr bwMode="auto">
        <a:xfrm>
          <a:off x="13411200" y="19210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152400</xdr:colOff>
      <xdr:row>94</xdr:row>
      <xdr:rowOff>106680</xdr:rowOff>
    </xdr:to>
    <xdr:sp macro="" textlink="">
      <xdr:nvSpPr>
        <xdr:cNvPr id="7373" name="AutoShape 185" descr="GERMANY6"/>
        <xdr:cNvSpPr>
          <a:spLocks noChangeAspect="1" noChangeArrowheads="1"/>
        </xdr:cNvSpPr>
      </xdr:nvSpPr>
      <xdr:spPr bwMode="auto">
        <a:xfrm>
          <a:off x="0" y="19385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94</xdr:row>
      <xdr:rowOff>0</xdr:rowOff>
    </xdr:from>
    <xdr:to>
      <xdr:col>22</xdr:col>
      <xdr:colOff>304800</xdr:colOff>
      <xdr:row>95</xdr:row>
      <xdr:rowOff>129540</xdr:rowOff>
    </xdr:to>
    <xdr:sp macro="" textlink="">
      <xdr:nvSpPr>
        <xdr:cNvPr id="7374" name="AutoShape 186" descr="https://www.soccerstats.com/img/own/sshplogo.png">
          <a:hlinkClick xmlns:r="http://schemas.openxmlformats.org/officeDocument/2006/relationships" r:id="rId612"/>
        </xdr:cNvPr>
        <xdr:cNvSpPr>
          <a:spLocks noChangeAspect="1" noChangeArrowheads="1"/>
        </xdr:cNvSpPr>
      </xdr:nvSpPr>
      <xdr:spPr bwMode="auto">
        <a:xfrm>
          <a:off x="13411200" y="19385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152400</xdr:colOff>
      <xdr:row>95</xdr:row>
      <xdr:rowOff>106680</xdr:rowOff>
    </xdr:to>
    <xdr:sp macro="" textlink="">
      <xdr:nvSpPr>
        <xdr:cNvPr id="7375" name="AutoShape 187" descr="GERMANY7"/>
        <xdr:cNvSpPr>
          <a:spLocks noChangeAspect="1" noChangeArrowheads="1"/>
        </xdr:cNvSpPr>
      </xdr:nvSpPr>
      <xdr:spPr bwMode="auto">
        <a:xfrm>
          <a:off x="0" y="19560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95</xdr:row>
      <xdr:rowOff>0</xdr:rowOff>
    </xdr:from>
    <xdr:to>
      <xdr:col>22</xdr:col>
      <xdr:colOff>304800</xdr:colOff>
      <xdr:row>96</xdr:row>
      <xdr:rowOff>53340</xdr:rowOff>
    </xdr:to>
    <xdr:sp macro="" textlink="">
      <xdr:nvSpPr>
        <xdr:cNvPr id="7376" name="AutoShape 188" descr="https://www.soccerstats.com/img/own/sshplogo.png">
          <a:hlinkClick xmlns:r="http://schemas.openxmlformats.org/officeDocument/2006/relationships" r:id="rId613"/>
        </xdr:cNvPr>
        <xdr:cNvSpPr>
          <a:spLocks noChangeAspect="1" noChangeArrowheads="1"/>
        </xdr:cNvSpPr>
      </xdr:nvSpPr>
      <xdr:spPr bwMode="auto">
        <a:xfrm>
          <a:off x="13411200" y="19560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152400</xdr:colOff>
      <xdr:row>96</xdr:row>
      <xdr:rowOff>106680</xdr:rowOff>
    </xdr:to>
    <xdr:sp macro="" textlink="">
      <xdr:nvSpPr>
        <xdr:cNvPr id="7377" name="AutoShape 189" descr="GERMANY8"/>
        <xdr:cNvSpPr>
          <a:spLocks noChangeAspect="1" noChangeArrowheads="1"/>
        </xdr:cNvSpPr>
      </xdr:nvSpPr>
      <xdr:spPr bwMode="auto">
        <a:xfrm>
          <a:off x="0" y="19812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96</xdr:row>
      <xdr:rowOff>0</xdr:rowOff>
    </xdr:from>
    <xdr:to>
      <xdr:col>22</xdr:col>
      <xdr:colOff>304800</xdr:colOff>
      <xdr:row>97</xdr:row>
      <xdr:rowOff>129540</xdr:rowOff>
    </xdr:to>
    <xdr:sp macro="" textlink="">
      <xdr:nvSpPr>
        <xdr:cNvPr id="7378" name="AutoShape 190" descr="https://www.soccerstats.com/img/own/sshplogo.png">
          <a:hlinkClick xmlns:r="http://schemas.openxmlformats.org/officeDocument/2006/relationships" r:id="rId614"/>
        </xdr:cNvPr>
        <xdr:cNvSpPr>
          <a:spLocks noChangeAspect="1" noChangeArrowheads="1"/>
        </xdr:cNvSpPr>
      </xdr:nvSpPr>
      <xdr:spPr bwMode="auto">
        <a:xfrm>
          <a:off x="13411200" y="198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152400</xdr:colOff>
      <xdr:row>97</xdr:row>
      <xdr:rowOff>106680</xdr:rowOff>
    </xdr:to>
    <xdr:sp macro="" textlink="">
      <xdr:nvSpPr>
        <xdr:cNvPr id="7379" name="AutoShape 191" descr="GERMANY8"/>
        <xdr:cNvSpPr>
          <a:spLocks noChangeAspect="1" noChangeArrowheads="1"/>
        </xdr:cNvSpPr>
      </xdr:nvSpPr>
      <xdr:spPr bwMode="auto">
        <a:xfrm>
          <a:off x="0" y="19987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97</xdr:row>
      <xdr:rowOff>0</xdr:rowOff>
    </xdr:from>
    <xdr:to>
      <xdr:col>22</xdr:col>
      <xdr:colOff>304800</xdr:colOff>
      <xdr:row>98</xdr:row>
      <xdr:rowOff>129540</xdr:rowOff>
    </xdr:to>
    <xdr:sp macro="" textlink="">
      <xdr:nvSpPr>
        <xdr:cNvPr id="7380" name="AutoShape 192" descr="https://www.soccerstats.com/img/own/sshplogo.png">
          <a:hlinkClick xmlns:r="http://schemas.openxmlformats.org/officeDocument/2006/relationships" r:id="rId615"/>
        </xdr:cNvPr>
        <xdr:cNvSpPr>
          <a:spLocks noChangeAspect="1" noChangeArrowheads="1"/>
        </xdr:cNvSpPr>
      </xdr:nvSpPr>
      <xdr:spPr bwMode="auto">
        <a:xfrm>
          <a:off x="13411200" y="19987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152400</xdr:colOff>
      <xdr:row>98</xdr:row>
      <xdr:rowOff>106680</xdr:rowOff>
    </xdr:to>
    <xdr:sp macro="" textlink="">
      <xdr:nvSpPr>
        <xdr:cNvPr id="7381" name="AutoShape 193" descr="GERMANY8"/>
        <xdr:cNvSpPr>
          <a:spLocks noChangeAspect="1" noChangeArrowheads="1"/>
        </xdr:cNvSpPr>
      </xdr:nvSpPr>
      <xdr:spPr bwMode="auto">
        <a:xfrm>
          <a:off x="0" y="20162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98</xdr:row>
      <xdr:rowOff>0</xdr:rowOff>
    </xdr:from>
    <xdr:to>
      <xdr:col>22</xdr:col>
      <xdr:colOff>304800</xdr:colOff>
      <xdr:row>99</xdr:row>
      <xdr:rowOff>129540</xdr:rowOff>
    </xdr:to>
    <xdr:sp macro="" textlink="">
      <xdr:nvSpPr>
        <xdr:cNvPr id="7382" name="AutoShape 194" descr="https://www.soccerstats.com/img/own/sshplogo.png">
          <a:hlinkClick xmlns:r="http://schemas.openxmlformats.org/officeDocument/2006/relationships" r:id="rId616"/>
        </xdr:cNvPr>
        <xdr:cNvSpPr>
          <a:spLocks noChangeAspect="1" noChangeArrowheads="1"/>
        </xdr:cNvSpPr>
      </xdr:nvSpPr>
      <xdr:spPr bwMode="auto">
        <a:xfrm>
          <a:off x="13411200" y="20162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152400</xdr:colOff>
      <xdr:row>99</xdr:row>
      <xdr:rowOff>106680</xdr:rowOff>
    </xdr:to>
    <xdr:sp macro="" textlink="">
      <xdr:nvSpPr>
        <xdr:cNvPr id="7383" name="AutoShape 195" descr="GERMANY8"/>
        <xdr:cNvSpPr>
          <a:spLocks noChangeAspect="1" noChangeArrowheads="1"/>
        </xdr:cNvSpPr>
      </xdr:nvSpPr>
      <xdr:spPr bwMode="auto">
        <a:xfrm>
          <a:off x="0" y="20337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99</xdr:row>
      <xdr:rowOff>0</xdr:rowOff>
    </xdr:from>
    <xdr:to>
      <xdr:col>22</xdr:col>
      <xdr:colOff>304800</xdr:colOff>
      <xdr:row>100</xdr:row>
      <xdr:rowOff>129540</xdr:rowOff>
    </xdr:to>
    <xdr:sp macro="" textlink="">
      <xdr:nvSpPr>
        <xdr:cNvPr id="7384" name="AutoShape 196" descr="https://www.soccerstats.com/img/own/sshplogo.png">
          <a:hlinkClick xmlns:r="http://schemas.openxmlformats.org/officeDocument/2006/relationships" r:id="rId617"/>
        </xdr:cNvPr>
        <xdr:cNvSpPr>
          <a:spLocks noChangeAspect="1" noChangeArrowheads="1"/>
        </xdr:cNvSpPr>
      </xdr:nvSpPr>
      <xdr:spPr bwMode="auto">
        <a:xfrm>
          <a:off x="13411200" y="20337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152400</xdr:colOff>
      <xdr:row>100</xdr:row>
      <xdr:rowOff>106680</xdr:rowOff>
    </xdr:to>
    <xdr:sp macro="" textlink="">
      <xdr:nvSpPr>
        <xdr:cNvPr id="7385" name="AutoShape 197" descr="GERMANY8"/>
        <xdr:cNvSpPr>
          <a:spLocks noChangeAspect="1" noChangeArrowheads="1"/>
        </xdr:cNvSpPr>
      </xdr:nvSpPr>
      <xdr:spPr bwMode="auto">
        <a:xfrm>
          <a:off x="0" y="20513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100</xdr:row>
      <xdr:rowOff>0</xdr:rowOff>
    </xdr:from>
    <xdr:to>
      <xdr:col>22</xdr:col>
      <xdr:colOff>304800</xdr:colOff>
      <xdr:row>101</xdr:row>
      <xdr:rowOff>129540</xdr:rowOff>
    </xdr:to>
    <xdr:sp macro="" textlink="">
      <xdr:nvSpPr>
        <xdr:cNvPr id="7386" name="AutoShape 198" descr="https://www.soccerstats.com/img/own/sshplogo.png">
          <a:hlinkClick xmlns:r="http://schemas.openxmlformats.org/officeDocument/2006/relationships" r:id="rId618"/>
        </xdr:cNvPr>
        <xdr:cNvSpPr>
          <a:spLocks noChangeAspect="1" noChangeArrowheads="1"/>
        </xdr:cNvSpPr>
      </xdr:nvSpPr>
      <xdr:spPr bwMode="auto">
        <a:xfrm>
          <a:off x="13411200" y="20513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152400</xdr:colOff>
      <xdr:row>101</xdr:row>
      <xdr:rowOff>106680</xdr:rowOff>
    </xdr:to>
    <xdr:sp macro="" textlink="">
      <xdr:nvSpPr>
        <xdr:cNvPr id="7387" name="AutoShape 199" descr="GERMANY8"/>
        <xdr:cNvSpPr>
          <a:spLocks noChangeAspect="1" noChangeArrowheads="1"/>
        </xdr:cNvSpPr>
      </xdr:nvSpPr>
      <xdr:spPr bwMode="auto">
        <a:xfrm>
          <a:off x="0" y="20688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101</xdr:row>
      <xdr:rowOff>0</xdr:rowOff>
    </xdr:from>
    <xdr:to>
      <xdr:col>22</xdr:col>
      <xdr:colOff>304800</xdr:colOff>
      <xdr:row>102</xdr:row>
      <xdr:rowOff>129540</xdr:rowOff>
    </xdr:to>
    <xdr:sp macro="" textlink="">
      <xdr:nvSpPr>
        <xdr:cNvPr id="7388" name="AutoShape 200" descr="https://www.soccerstats.com/img/own/sshplogo.png">
          <a:hlinkClick xmlns:r="http://schemas.openxmlformats.org/officeDocument/2006/relationships" r:id="rId619"/>
        </xdr:cNvPr>
        <xdr:cNvSpPr>
          <a:spLocks noChangeAspect="1" noChangeArrowheads="1"/>
        </xdr:cNvSpPr>
      </xdr:nvSpPr>
      <xdr:spPr bwMode="auto">
        <a:xfrm>
          <a:off x="13411200" y="2068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152400</xdr:colOff>
      <xdr:row>102</xdr:row>
      <xdr:rowOff>106680</xdr:rowOff>
    </xdr:to>
    <xdr:sp macro="" textlink="">
      <xdr:nvSpPr>
        <xdr:cNvPr id="7389" name="AutoShape 201" descr="GERMANY8"/>
        <xdr:cNvSpPr>
          <a:spLocks noChangeAspect="1" noChangeArrowheads="1"/>
        </xdr:cNvSpPr>
      </xdr:nvSpPr>
      <xdr:spPr bwMode="auto">
        <a:xfrm>
          <a:off x="0" y="20863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102</xdr:row>
      <xdr:rowOff>0</xdr:rowOff>
    </xdr:from>
    <xdr:to>
      <xdr:col>22</xdr:col>
      <xdr:colOff>304800</xdr:colOff>
      <xdr:row>103</xdr:row>
      <xdr:rowOff>53340</xdr:rowOff>
    </xdr:to>
    <xdr:sp macro="" textlink="">
      <xdr:nvSpPr>
        <xdr:cNvPr id="7390" name="AutoShape 202" descr="https://www.soccerstats.com/img/own/sshplogo.png">
          <a:hlinkClick xmlns:r="http://schemas.openxmlformats.org/officeDocument/2006/relationships" r:id="rId620"/>
        </xdr:cNvPr>
        <xdr:cNvSpPr>
          <a:spLocks noChangeAspect="1" noChangeArrowheads="1"/>
        </xdr:cNvSpPr>
      </xdr:nvSpPr>
      <xdr:spPr bwMode="auto">
        <a:xfrm>
          <a:off x="13411200" y="20863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152400</xdr:colOff>
      <xdr:row>103</xdr:row>
      <xdr:rowOff>106680</xdr:rowOff>
    </xdr:to>
    <xdr:sp macro="" textlink="">
      <xdr:nvSpPr>
        <xdr:cNvPr id="7391" name="AutoShape 203" descr="GERMANY8"/>
        <xdr:cNvSpPr>
          <a:spLocks noChangeAspect="1" noChangeArrowheads="1"/>
        </xdr:cNvSpPr>
      </xdr:nvSpPr>
      <xdr:spPr bwMode="auto">
        <a:xfrm>
          <a:off x="0" y="21115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103</xdr:row>
      <xdr:rowOff>0</xdr:rowOff>
    </xdr:from>
    <xdr:to>
      <xdr:col>22</xdr:col>
      <xdr:colOff>304800</xdr:colOff>
      <xdr:row>104</xdr:row>
      <xdr:rowOff>129540</xdr:rowOff>
    </xdr:to>
    <xdr:sp macro="" textlink="">
      <xdr:nvSpPr>
        <xdr:cNvPr id="7392" name="AutoShape 204" descr="https://www.soccerstats.com/img/own/sshplogo.png">
          <a:hlinkClick xmlns:r="http://schemas.openxmlformats.org/officeDocument/2006/relationships" r:id="rId621"/>
        </xdr:cNvPr>
        <xdr:cNvSpPr>
          <a:spLocks noChangeAspect="1" noChangeArrowheads="1"/>
        </xdr:cNvSpPr>
      </xdr:nvSpPr>
      <xdr:spPr bwMode="auto">
        <a:xfrm>
          <a:off x="13411200" y="21115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152400</xdr:colOff>
      <xdr:row>104</xdr:row>
      <xdr:rowOff>106680</xdr:rowOff>
    </xdr:to>
    <xdr:sp macro="" textlink="">
      <xdr:nvSpPr>
        <xdr:cNvPr id="7393" name="AutoShape 205" descr="GERMANY8"/>
        <xdr:cNvSpPr>
          <a:spLocks noChangeAspect="1" noChangeArrowheads="1"/>
        </xdr:cNvSpPr>
      </xdr:nvSpPr>
      <xdr:spPr bwMode="auto">
        <a:xfrm>
          <a:off x="0" y="21290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104</xdr:row>
      <xdr:rowOff>0</xdr:rowOff>
    </xdr:from>
    <xdr:to>
      <xdr:col>22</xdr:col>
      <xdr:colOff>304800</xdr:colOff>
      <xdr:row>105</xdr:row>
      <xdr:rowOff>53340</xdr:rowOff>
    </xdr:to>
    <xdr:sp macro="" textlink="">
      <xdr:nvSpPr>
        <xdr:cNvPr id="7394" name="AutoShape 206" descr="https://www.soccerstats.com/img/own/sshplogo.png">
          <a:hlinkClick xmlns:r="http://schemas.openxmlformats.org/officeDocument/2006/relationships" r:id="rId622"/>
        </xdr:cNvPr>
        <xdr:cNvSpPr>
          <a:spLocks noChangeAspect="1" noChangeArrowheads="1"/>
        </xdr:cNvSpPr>
      </xdr:nvSpPr>
      <xdr:spPr bwMode="auto">
        <a:xfrm>
          <a:off x="13411200" y="21290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152400</xdr:colOff>
      <xdr:row>105</xdr:row>
      <xdr:rowOff>106680</xdr:rowOff>
    </xdr:to>
    <xdr:sp macro="" textlink="">
      <xdr:nvSpPr>
        <xdr:cNvPr id="7395" name="AutoShape 207" descr="HUNGARY"/>
        <xdr:cNvSpPr>
          <a:spLocks noChangeAspect="1" noChangeArrowheads="1"/>
        </xdr:cNvSpPr>
      </xdr:nvSpPr>
      <xdr:spPr bwMode="auto">
        <a:xfrm>
          <a:off x="0" y="21541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105</xdr:row>
      <xdr:rowOff>0</xdr:rowOff>
    </xdr:from>
    <xdr:to>
      <xdr:col>22</xdr:col>
      <xdr:colOff>304800</xdr:colOff>
      <xdr:row>106</xdr:row>
      <xdr:rowOff>129540</xdr:rowOff>
    </xdr:to>
    <xdr:sp macro="" textlink="">
      <xdr:nvSpPr>
        <xdr:cNvPr id="7396" name="AutoShape 208" descr="https://www.soccerstats.com/img/own/sshplogo.png">
          <a:hlinkClick xmlns:r="http://schemas.openxmlformats.org/officeDocument/2006/relationships" r:id="rId623"/>
        </xdr:cNvPr>
        <xdr:cNvSpPr>
          <a:spLocks noChangeAspect="1" noChangeArrowheads="1"/>
        </xdr:cNvSpPr>
      </xdr:nvSpPr>
      <xdr:spPr bwMode="auto">
        <a:xfrm>
          <a:off x="13411200" y="21541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152400</xdr:colOff>
      <xdr:row>106</xdr:row>
      <xdr:rowOff>106680</xdr:rowOff>
    </xdr:to>
    <xdr:sp macro="" textlink="">
      <xdr:nvSpPr>
        <xdr:cNvPr id="7397" name="AutoShape 209" descr="ICELAND3"/>
        <xdr:cNvSpPr>
          <a:spLocks noChangeAspect="1" noChangeArrowheads="1"/>
        </xdr:cNvSpPr>
      </xdr:nvSpPr>
      <xdr:spPr bwMode="auto">
        <a:xfrm>
          <a:off x="0" y="21717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106</xdr:row>
      <xdr:rowOff>0</xdr:rowOff>
    </xdr:from>
    <xdr:to>
      <xdr:col>22</xdr:col>
      <xdr:colOff>304800</xdr:colOff>
      <xdr:row>107</xdr:row>
      <xdr:rowOff>53340</xdr:rowOff>
    </xdr:to>
    <xdr:sp macro="" textlink="">
      <xdr:nvSpPr>
        <xdr:cNvPr id="7398" name="AutoShape 210" descr="https://www.soccerstats.com/img/own/sshplogo.png">
          <a:hlinkClick xmlns:r="http://schemas.openxmlformats.org/officeDocument/2006/relationships" r:id="rId624"/>
        </xdr:cNvPr>
        <xdr:cNvSpPr>
          <a:spLocks noChangeAspect="1" noChangeArrowheads="1"/>
        </xdr:cNvSpPr>
      </xdr:nvSpPr>
      <xdr:spPr bwMode="auto">
        <a:xfrm>
          <a:off x="13411200" y="2171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152400</xdr:colOff>
      <xdr:row>107</xdr:row>
      <xdr:rowOff>106680</xdr:rowOff>
    </xdr:to>
    <xdr:sp macro="" textlink="">
      <xdr:nvSpPr>
        <xdr:cNvPr id="7399" name="AutoShape 211" descr="JAPAN"/>
        <xdr:cNvSpPr>
          <a:spLocks noChangeAspect="1" noChangeArrowheads="1"/>
        </xdr:cNvSpPr>
      </xdr:nvSpPr>
      <xdr:spPr bwMode="auto">
        <a:xfrm>
          <a:off x="0" y="21968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107</xdr:row>
      <xdr:rowOff>0</xdr:rowOff>
    </xdr:from>
    <xdr:to>
      <xdr:col>22</xdr:col>
      <xdr:colOff>304800</xdr:colOff>
      <xdr:row>108</xdr:row>
      <xdr:rowOff>53340</xdr:rowOff>
    </xdr:to>
    <xdr:sp macro="" textlink="">
      <xdr:nvSpPr>
        <xdr:cNvPr id="7400" name="AutoShape 212" descr="https://www.soccerstats.com/img/own/sshplogo.png">
          <a:hlinkClick xmlns:r="http://schemas.openxmlformats.org/officeDocument/2006/relationships" r:id="rId625"/>
        </xdr:cNvPr>
        <xdr:cNvSpPr>
          <a:spLocks noChangeAspect="1" noChangeArrowheads="1"/>
        </xdr:cNvSpPr>
      </xdr:nvSpPr>
      <xdr:spPr bwMode="auto">
        <a:xfrm>
          <a:off x="13411200" y="21968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152400</xdr:colOff>
      <xdr:row>108</xdr:row>
      <xdr:rowOff>106680</xdr:rowOff>
    </xdr:to>
    <xdr:sp macro="" textlink="">
      <xdr:nvSpPr>
        <xdr:cNvPr id="7401" name="AutoShape 213" descr="NORWAY"/>
        <xdr:cNvSpPr>
          <a:spLocks noChangeAspect="1" noChangeArrowheads="1"/>
        </xdr:cNvSpPr>
      </xdr:nvSpPr>
      <xdr:spPr bwMode="auto">
        <a:xfrm>
          <a:off x="0" y="22219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108</xdr:row>
      <xdr:rowOff>0</xdr:rowOff>
    </xdr:from>
    <xdr:to>
      <xdr:col>22</xdr:col>
      <xdr:colOff>304800</xdr:colOff>
      <xdr:row>109</xdr:row>
      <xdr:rowOff>129540</xdr:rowOff>
    </xdr:to>
    <xdr:sp macro="" textlink="">
      <xdr:nvSpPr>
        <xdr:cNvPr id="7402" name="AutoShape 214" descr="https://www.soccerstats.com/img/own/sshplogo.png">
          <a:hlinkClick xmlns:r="http://schemas.openxmlformats.org/officeDocument/2006/relationships" r:id="rId626"/>
        </xdr:cNvPr>
        <xdr:cNvSpPr>
          <a:spLocks noChangeAspect="1" noChangeArrowheads="1"/>
        </xdr:cNvSpPr>
      </xdr:nvSpPr>
      <xdr:spPr bwMode="auto">
        <a:xfrm>
          <a:off x="13411200" y="22219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152400</xdr:colOff>
      <xdr:row>109</xdr:row>
      <xdr:rowOff>106680</xdr:rowOff>
    </xdr:to>
    <xdr:sp macro="" textlink="">
      <xdr:nvSpPr>
        <xdr:cNvPr id="7403" name="AutoShape 215" descr="NORWAY11"/>
        <xdr:cNvSpPr>
          <a:spLocks noChangeAspect="1" noChangeArrowheads="1"/>
        </xdr:cNvSpPr>
      </xdr:nvSpPr>
      <xdr:spPr bwMode="auto">
        <a:xfrm>
          <a:off x="0" y="22395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109</xdr:row>
      <xdr:rowOff>0</xdr:rowOff>
    </xdr:from>
    <xdr:to>
      <xdr:col>22</xdr:col>
      <xdr:colOff>304800</xdr:colOff>
      <xdr:row>110</xdr:row>
      <xdr:rowOff>53340</xdr:rowOff>
    </xdr:to>
    <xdr:sp macro="" textlink="">
      <xdr:nvSpPr>
        <xdr:cNvPr id="7404" name="AutoShape 216" descr="https://www.soccerstats.com/img/own/sshplogo.png">
          <a:hlinkClick xmlns:r="http://schemas.openxmlformats.org/officeDocument/2006/relationships" r:id="rId627"/>
        </xdr:cNvPr>
        <xdr:cNvSpPr>
          <a:spLocks noChangeAspect="1" noChangeArrowheads="1"/>
        </xdr:cNvSpPr>
      </xdr:nvSpPr>
      <xdr:spPr bwMode="auto">
        <a:xfrm>
          <a:off x="13411200" y="22395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152400</xdr:colOff>
      <xdr:row>110</xdr:row>
      <xdr:rowOff>106680</xdr:rowOff>
    </xdr:to>
    <xdr:sp macro="" textlink="">
      <xdr:nvSpPr>
        <xdr:cNvPr id="7405" name="AutoShape 217" descr="PARAGUAY2"/>
        <xdr:cNvSpPr>
          <a:spLocks noChangeAspect="1" noChangeArrowheads="1"/>
        </xdr:cNvSpPr>
      </xdr:nvSpPr>
      <xdr:spPr bwMode="auto">
        <a:xfrm>
          <a:off x="0" y="22646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110</xdr:row>
      <xdr:rowOff>0</xdr:rowOff>
    </xdr:from>
    <xdr:to>
      <xdr:col>22</xdr:col>
      <xdr:colOff>304800</xdr:colOff>
      <xdr:row>111</xdr:row>
      <xdr:rowOff>129540</xdr:rowOff>
    </xdr:to>
    <xdr:sp macro="" textlink="">
      <xdr:nvSpPr>
        <xdr:cNvPr id="7406" name="AutoShape 218" descr="https://www.soccerstats.com/img/own/sshplogo.png">
          <a:hlinkClick xmlns:r="http://schemas.openxmlformats.org/officeDocument/2006/relationships" r:id="rId628"/>
        </xdr:cNvPr>
        <xdr:cNvSpPr>
          <a:spLocks noChangeAspect="1" noChangeArrowheads="1"/>
        </xdr:cNvSpPr>
      </xdr:nvSpPr>
      <xdr:spPr bwMode="auto">
        <a:xfrm>
          <a:off x="13411200" y="22646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152400</xdr:colOff>
      <xdr:row>111</xdr:row>
      <xdr:rowOff>106680</xdr:rowOff>
    </xdr:to>
    <xdr:sp macro="" textlink="">
      <xdr:nvSpPr>
        <xdr:cNvPr id="7407" name="AutoShape 219" descr="POLAND"/>
        <xdr:cNvSpPr>
          <a:spLocks noChangeAspect="1" noChangeArrowheads="1"/>
        </xdr:cNvSpPr>
      </xdr:nvSpPr>
      <xdr:spPr bwMode="auto">
        <a:xfrm>
          <a:off x="0" y="22821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111</xdr:row>
      <xdr:rowOff>0</xdr:rowOff>
    </xdr:from>
    <xdr:to>
      <xdr:col>22</xdr:col>
      <xdr:colOff>304800</xdr:colOff>
      <xdr:row>112</xdr:row>
      <xdr:rowOff>53340</xdr:rowOff>
    </xdr:to>
    <xdr:sp macro="" textlink="">
      <xdr:nvSpPr>
        <xdr:cNvPr id="7408" name="AutoShape 220" descr="https://www.soccerstats.com/img/own/sshplogo.png">
          <a:hlinkClick xmlns:r="http://schemas.openxmlformats.org/officeDocument/2006/relationships" r:id="rId629"/>
        </xdr:cNvPr>
        <xdr:cNvSpPr>
          <a:spLocks noChangeAspect="1" noChangeArrowheads="1"/>
        </xdr:cNvSpPr>
      </xdr:nvSpPr>
      <xdr:spPr bwMode="auto">
        <a:xfrm>
          <a:off x="13411200" y="22821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152400</xdr:colOff>
      <xdr:row>112</xdr:row>
      <xdr:rowOff>106680</xdr:rowOff>
    </xdr:to>
    <xdr:sp macro="" textlink="">
      <xdr:nvSpPr>
        <xdr:cNvPr id="7409" name="AutoShape 221" descr="POLAND2"/>
        <xdr:cNvSpPr>
          <a:spLocks noChangeAspect="1" noChangeArrowheads="1"/>
        </xdr:cNvSpPr>
      </xdr:nvSpPr>
      <xdr:spPr bwMode="auto">
        <a:xfrm>
          <a:off x="0" y="23073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112</xdr:row>
      <xdr:rowOff>0</xdr:rowOff>
    </xdr:from>
    <xdr:to>
      <xdr:col>22</xdr:col>
      <xdr:colOff>304800</xdr:colOff>
      <xdr:row>113</xdr:row>
      <xdr:rowOff>129540</xdr:rowOff>
    </xdr:to>
    <xdr:sp macro="" textlink="">
      <xdr:nvSpPr>
        <xdr:cNvPr id="7410" name="AutoShape 222" descr="https://www.soccerstats.com/img/own/sshplogo.png">
          <a:hlinkClick xmlns:r="http://schemas.openxmlformats.org/officeDocument/2006/relationships" r:id="rId630"/>
        </xdr:cNvPr>
        <xdr:cNvSpPr>
          <a:spLocks noChangeAspect="1" noChangeArrowheads="1"/>
        </xdr:cNvSpPr>
      </xdr:nvSpPr>
      <xdr:spPr bwMode="auto">
        <a:xfrm>
          <a:off x="13411200" y="23073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152400</xdr:colOff>
      <xdr:row>113</xdr:row>
      <xdr:rowOff>106680</xdr:rowOff>
    </xdr:to>
    <xdr:sp macro="" textlink="">
      <xdr:nvSpPr>
        <xdr:cNvPr id="7411" name="AutoShape 223" descr="POLAND2"/>
        <xdr:cNvSpPr>
          <a:spLocks noChangeAspect="1" noChangeArrowheads="1"/>
        </xdr:cNvSpPr>
      </xdr:nvSpPr>
      <xdr:spPr bwMode="auto">
        <a:xfrm>
          <a:off x="0" y="23248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113</xdr:row>
      <xdr:rowOff>0</xdr:rowOff>
    </xdr:from>
    <xdr:to>
      <xdr:col>22</xdr:col>
      <xdr:colOff>304800</xdr:colOff>
      <xdr:row>114</xdr:row>
      <xdr:rowOff>53340</xdr:rowOff>
    </xdr:to>
    <xdr:sp macro="" textlink="">
      <xdr:nvSpPr>
        <xdr:cNvPr id="7412" name="AutoShape 224" descr="https://www.soccerstats.com/img/own/sshplogo.png">
          <a:hlinkClick xmlns:r="http://schemas.openxmlformats.org/officeDocument/2006/relationships" r:id="rId631"/>
        </xdr:cNvPr>
        <xdr:cNvSpPr>
          <a:spLocks noChangeAspect="1" noChangeArrowheads="1"/>
        </xdr:cNvSpPr>
      </xdr:nvSpPr>
      <xdr:spPr bwMode="auto">
        <a:xfrm>
          <a:off x="13411200" y="23248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152400</xdr:colOff>
      <xdr:row>114</xdr:row>
      <xdr:rowOff>106680</xdr:rowOff>
    </xdr:to>
    <xdr:sp macro="" textlink="">
      <xdr:nvSpPr>
        <xdr:cNvPr id="7413" name="AutoShape 225" descr="POLAND3"/>
        <xdr:cNvSpPr>
          <a:spLocks noChangeAspect="1" noChangeArrowheads="1"/>
        </xdr:cNvSpPr>
      </xdr:nvSpPr>
      <xdr:spPr bwMode="auto">
        <a:xfrm>
          <a:off x="0" y="23500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114</xdr:row>
      <xdr:rowOff>0</xdr:rowOff>
    </xdr:from>
    <xdr:to>
      <xdr:col>22</xdr:col>
      <xdr:colOff>304800</xdr:colOff>
      <xdr:row>115</xdr:row>
      <xdr:rowOff>53340</xdr:rowOff>
    </xdr:to>
    <xdr:sp macro="" textlink="">
      <xdr:nvSpPr>
        <xdr:cNvPr id="7414" name="AutoShape 226" descr="https://www.soccerstats.com/img/own/sshplogo.png">
          <a:hlinkClick xmlns:r="http://schemas.openxmlformats.org/officeDocument/2006/relationships" r:id="rId632"/>
        </xdr:cNvPr>
        <xdr:cNvSpPr>
          <a:spLocks noChangeAspect="1" noChangeArrowheads="1"/>
        </xdr:cNvSpPr>
      </xdr:nvSpPr>
      <xdr:spPr bwMode="auto">
        <a:xfrm>
          <a:off x="13411200" y="23500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152400</xdr:colOff>
      <xdr:row>115</xdr:row>
      <xdr:rowOff>106680</xdr:rowOff>
    </xdr:to>
    <xdr:sp macro="" textlink="">
      <xdr:nvSpPr>
        <xdr:cNvPr id="7415" name="AutoShape 227" descr="PORTUGAL2"/>
        <xdr:cNvSpPr>
          <a:spLocks noChangeAspect="1" noChangeArrowheads="1"/>
        </xdr:cNvSpPr>
      </xdr:nvSpPr>
      <xdr:spPr bwMode="auto">
        <a:xfrm>
          <a:off x="0" y="23751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115</xdr:row>
      <xdr:rowOff>0</xdr:rowOff>
    </xdr:from>
    <xdr:to>
      <xdr:col>22</xdr:col>
      <xdr:colOff>304800</xdr:colOff>
      <xdr:row>116</xdr:row>
      <xdr:rowOff>129540</xdr:rowOff>
    </xdr:to>
    <xdr:sp macro="" textlink="">
      <xdr:nvSpPr>
        <xdr:cNvPr id="7416" name="AutoShape 228" descr="https://www.soccerstats.com/img/own/sshplogo.png">
          <a:hlinkClick xmlns:r="http://schemas.openxmlformats.org/officeDocument/2006/relationships" r:id="rId633"/>
        </xdr:cNvPr>
        <xdr:cNvSpPr>
          <a:spLocks noChangeAspect="1" noChangeArrowheads="1"/>
        </xdr:cNvSpPr>
      </xdr:nvSpPr>
      <xdr:spPr bwMode="auto">
        <a:xfrm>
          <a:off x="13411200" y="23751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152400</xdr:colOff>
      <xdr:row>116</xdr:row>
      <xdr:rowOff>106680</xdr:rowOff>
    </xdr:to>
    <xdr:sp macro="" textlink="">
      <xdr:nvSpPr>
        <xdr:cNvPr id="7417" name="AutoShape 229" descr="ROMANIA"/>
        <xdr:cNvSpPr>
          <a:spLocks noChangeAspect="1" noChangeArrowheads="1"/>
        </xdr:cNvSpPr>
      </xdr:nvSpPr>
      <xdr:spPr bwMode="auto">
        <a:xfrm>
          <a:off x="0" y="23926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116</xdr:row>
      <xdr:rowOff>0</xdr:rowOff>
    </xdr:from>
    <xdr:to>
      <xdr:col>22</xdr:col>
      <xdr:colOff>304800</xdr:colOff>
      <xdr:row>117</xdr:row>
      <xdr:rowOff>129540</xdr:rowOff>
    </xdr:to>
    <xdr:sp macro="" textlink="">
      <xdr:nvSpPr>
        <xdr:cNvPr id="7418" name="AutoShape 230" descr="https://www.soccerstats.com/img/own/sshplogo.png">
          <a:hlinkClick xmlns:r="http://schemas.openxmlformats.org/officeDocument/2006/relationships" r:id="rId634"/>
        </xdr:cNvPr>
        <xdr:cNvSpPr>
          <a:spLocks noChangeAspect="1" noChangeArrowheads="1"/>
        </xdr:cNvSpPr>
      </xdr:nvSpPr>
      <xdr:spPr bwMode="auto">
        <a:xfrm>
          <a:off x="13411200" y="2392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152400</xdr:colOff>
      <xdr:row>117</xdr:row>
      <xdr:rowOff>106680</xdr:rowOff>
    </xdr:to>
    <xdr:sp macro="" textlink="">
      <xdr:nvSpPr>
        <xdr:cNvPr id="7419" name="AutoShape 231" descr="ROMANIA"/>
        <xdr:cNvSpPr>
          <a:spLocks noChangeAspect="1" noChangeArrowheads="1"/>
        </xdr:cNvSpPr>
      </xdr:nvSpPr>
      <xdr:spPr bwMode="auto">
        <a:xfrm>
          <a:off x="0" y="24102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117</xdr:row>
      <xdr:rowOff>0</xdr:rowOff>
    </xdr:from>
    <xdr:to>
      <xdr:col>22</xdr:col>
      <xdr:colOff>304800</xdr:colOff>
      <xdr:row>118</xdr:row>
      <xdr:rowOff>53340</xdr:rowOff>
    </xdr:to>
    <xdr:sp macro="" textlink="">
      <xdr:nvSpPr>
        <xdr:cNvPr id="7420" name="AutoShape 232" descr="https://www.soccerstats.com/img/own/sshplogo.png">
          <a:hlinkClick xmlns:r="http://schemas.openxmlformats.org/officeDocument/2006/relationships" r:id="rId635"/>
        </xdr:cNvPr>
        <xdr:cNvSpPr>
          <a:spLocks noChangeAspect="1" noChangeArrowheads="1"/>
        </xdr:cNvSpPr>
      </xdr:nvSpPr>
      <xdr:spPr bwMode="auto">
        <a:xfrm>
          <a:off x="13411200" y="24102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152400</xdr:colOff>
      <xdr:row>118</xdr:row>
      <xdr:rowOff>106680</xdr:rowOff>
    </xdr:to>
    <xdr:sp macro="" textlink="">
      <xdr:nvSpPr>
        <xdr:cNvPr id="7421" name="AutoShape 233" descr="RUSSIA"/>
        <xdr:cNvSpPr>
          <a:spLocks noChangeAspect="1" noChangeArrowheads="1"/>
        </xdr:cNvSpPr>
      </xdr:nvSpPr>
      <xdr:spPr bwMode="auto">
        <a:xfrm>
          <a:off x="0" y="24353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118</xdr:row>
      <xdr:rowOff>0</xdr:rowOff>
    </xdr:from>
    <xdr:to>
      <xdr:col>22</xdr:col>
      <xdr:colOff>304800</xdr:colOff>
      <xdr:row>119</xdr:row>
      <xdr:rowOff>53340</xdr:rowOff>
    </xdr:to>
    <xdr:sp macro="" textlink="">
      <xdr:nvSpPr>
        <xdr:cNvPr id="7422" name="AutoShape 234" descr="https://www.soccerstats.com/img/own/sshplogo.png">
          <a:hlinkClick xmlns:r="http://schemas.openxmlformats.org/officeDocument/2006/relationships" r:id="rId636"/>
        </xdr:cNvPr>
        <xdr:cNvSpPr>
          <a:spLocks noChangeAspect="1" noChangeArrowheads="1"/>
        </xdr:cNvSpPr>
      </xdr:nvSpPr>
      <xdr:spPr bwMode="auto">
        <a:xfrm>
          <a:off x="13411200" y="24353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152400</xdr:colOff>
      <xdr:row>119</xdr:row>
      <xdr:rowOff>106680</xdr:rowOff>
    </xdr:to>
    <xdr:sp macro="" textlink="">
      <xdr:nvSpPr>
        <xdr:cNvPr id="7423" name="AutoShape 235" descr="SAUDIARABIA"/>
        <xdr:cNvSpPr>
          <a:spLocks noChangeAspect="1" noChangeArrowheads="1"/>
        </xdr:cNvSpPr>
      </xdr:nvSpPr>
      <xdr:spPr bwMode="auto">
        <a:xfrm>
          <a:off x="0" y="24604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119</xdr:row>
      <xdr:rowOff>0</xdr:rowOff>
    </xdr:from>
    <xdr:to>
      <xdr:col>22</xdr:col>
      <xdr:colOff>304800</xdr:colOff>
      <xdr:row>120</xdr:row>
      <xdr:rowOff>129540</xdr:rowOff>
    </xdr:to>
    <xdr:sp macro="" textlink="">
      <xdr:nvSpPr>
        <xdr:cNvPr id="7424" name="AutoShape 236" descr="https://www.soccerstats.com/img/own/sshplogo.png">
          <a:hlinkClick xmlns:r="http://schemas.openxmlformats.org/officeDocument/2006/relationships" r:id="rId637"/>
        </xdr:cNvPr>
        <xdr:cNvSpPr>
          <a:spLocks noChangeAspect="1" noChangeArrowheads="1"/>
        </xdr:cNvSpPr>
      </xdr:nvSpPr>
      <xdr:spPr bwMode="auto">
        <a:xfrm>
          <a:off x="13411200" y="24604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152400</xdr:colOff>
      <xdr:row>120</xdr:row>
      <xdr:rowOff>106680</xdr:rowOff>
    </xdr:to>
    <xdr:sp macro="" textlink="">
      <xdr:nvSpPr>
        <xdr:cNvPr id="7425" name="AutoShape 237" descr="SAUDIARABIA"/>
        <xdr:cNvSpPr>
          <a:spLocks noChangeAspect="1" noChangeArrowheads="1"/>
        </xdr:cNvSpPr>
      </xdr:nvSpPr>
      <xdr:spPr bwMode="auto">
        <a:xfrm>
          <a:off x="0" y="24780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120</xdr:row>
      <xdr:rowOff>0</xdr:rowOff>
    </xdr:from>
    <xdr:to>
      <xdr:col>22</xdr:col>
      <xdr:colOff>304800</xdr:colOff>
      <xdr:row>121</xdr:row>
      <xdr:rowOff>129540</xdr:rowOff>
    </xdr:to>
    <xdr:sp macro="" textlink="">
      <xdr:nvSpPr>
        <xdr:cNvPr id="7426" name="AutoShape 238" descr="https://www.soccerstats.com/img/own/sshplogo.png">
          <a:hlinkClick xmlns:r="http://schemas.openxmlformats.org/officeDocument/2006/relationships" r:id="rId638"/>
        </xdr:cNvPr>
        <xdr:cNvSpPr>
          <a:spLocks noChangeAspect="1" noChangeArrowheads="1"/>
        </xdr:cNvSpPr>
      </xdr:nvSpPr>
      <xdr:spPr bwMode="auto">
        <a:xfrm>
          <a:off x="13411200" y="24780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152400</xdr:colOff>
      <xdr:row>121</xdr:row>
      <xdr:rowOff>106680</xdr:rowOff>
    </xdr:to>
    <xdr:sp macro="" textlink="">
      <xdr:nvSpPr>
        <xdr:cNvPr id="7427" name="AutoShape 239" descr="SAUDIARABIA"/>
        <xdr:cNvSpPr>
          <a:spLocks noChangeAspect="1" noChangeArrowheads="1"/>
        </xdr:cNvSpPr>
      </xdr:nvSpPr>
      <xdr:spPr bwMode="auto">
        <a:xfrm>
          <a:off x="0" y="24955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121</xdr:row>
      <xdr:rowOff>0</xdr:rowOff>
    </xdr:from>
    <xdr:to>
      <xdr:col>22</xdr:col>
      <xdr:colOff>304800</xdr:colOff>
      <xdr:row>122</xdr:row>
      <xdr:rowOff>129540</xdr:rowOff>
    </xdr:to>
    <xdr:sp macro="" textlink="">
      <xdr:nvSpPr>
        <xdr:cNvPr id="7428" name="AutoShape 240" descr="https://www.soccerstats.com/img/own/sshplogo.png">
          <a:hlinkClick xmlns:r="http://schemas.openxmlformats.org/officeDocument/2006/relationships" r:id="rId639"/>
        </xdr:cNvPr>
        <xdr:cNvSpPr>
          <a:spLocks noChangeAspect="1" noChangeArrowheads="1"/>
        </xdr:cNvSpPr>
      </xdr:nvSpPr>
      <xdr:spPr bwMode="auto">
        <a:xfrm>
          <a:off x="13411200" y="2495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152400</xdr:colOff>
      <xdr:row>122</xdr:row>
      <xdr:rowOff>106680</xdr:rowOff>
    </xdr:to>
    <xdr:sp macro="" textlink="">
      <xdr:nvSpPr>
        <xdr:cNvPr id="7429" name="AutoShape 241" descr="SOUTHAFRICA"/>
        <xdr:cNvSpPr>
          <a:spLocks noChangeAspect="1" noChangeArrowheads="1"/>
        </xdr:cNvSpPr>
      </xdr:nvSpPr>
      <xdr:spPr bwMode="auto">
        <a:xfrm>
          <a:off x="0" y="25130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122</xdr:row>
      <xdr:rowOff>0</xdr:rowOff>
    </xdr:from>
    <xdr:to>
      <xdr:col>22</xdr:col>
      <xdr:colOff>304800</xdr:colOff>
      <xdr:row>123</xdr:row>
      <xdr:rowOff>129540</xdr:rowOff>
    </xdr:to>
    <xdr:sp macro="" textlink="">
      <xdr:nvSpPr>
        <xdr:cNvPr id="7430" name="AutoShape 242" descr="https://www.soccerstats.com/img/own/sshplogo.png">
          <a:hlinkClick xmlns:r="http://schemas.openxmlformats.org/officeDocument/2006/relationships" r:id="rId640"/>
        </xdr:cNvPr>
        <xdr:cNvSpPr>
          <a:spLocks noChangeAspect="1" noChangeArrowheads="1"/>
        </xdr:cNvSpPr>
      </xdr:nvSpPr>
      <xdr:spPr bwMode="auto">
        <a:xfrm>
          <a:off x="13411200" y="25130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152400</xdr:colOff>
      <xdr:row>123</xdr:row>
      <xdr:rowOff>106680</xdr:rowOff>
    </xdr:to>
    <xdr:sp macro="" textlink="">
      <xdr:nvSpPr>
        <xdr:cNvPr id="7431" name="AutoShape 243" descr="SOUTHKOREA4"/>
        <xdr:cNvSpPr>
          <a:spLocks noChangeAspect="1" noChangeArrowheads="1"/>
        </xdr:cNvSpPr>
      </xdr:nvSpPr>
      <xdr:spPr bwMode="auto">
        <a:xfrm>
          <a:off x="0" y="25306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123</xdr:row>
      <xdr:rowOff>0</xdr:rowOff>
    </xdr:from>
    <xdr:to>
      <xdr:col>22</xdr:col>
      <xdr:colOff>304800</xdr:colOff>
      <xdr:row>124</xdr:row>
      <xdr:rowOff>129540</xdr:rowOff>
    </xdr:to>
    <xdr:sp macro="" textlink="">
      <xdr:nvSpPr>
        <xdr:cNvPr id="7432" name="AutoShape 244" descr="https://www.soccerstats.com/img/own/sshplogo.png">
          <a:hlinkClick xmlns:r="http://schemas.openxmlformats.org/officeDocument/2006/relationships" r:id="rId641"/>
        </xdr:cNvPr>
        <xdr:cNvSpPr>
          <a:spLocks noChangeAspect="1" noChangeArrowheads="1"/>
        </xdr:cNvSpPr>
      </xdr:nvSpPr>
      <xdr:spPr bwMode="auto">
        <a:xfrm>
          <a:off x="13411200" y="25306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152400</xdr:colOff>
      <xdr:row>124</xdr:row>
      <xdr:rowOff>106680</xdr:rowOff>
    </xdr:to>
    <xdr:sp macro="" textlink="">
      <xdr:nvSpPr>
        <xdr:cNvPr id="7433" name="AutoShape 245" descr="SOUTHKOREA4"/>
        <xdr:cNvSpPr>
          <a:spLocks noChangeAspect="1" noChangeArrowheads="1"/>
        </xdr:cNvSpPr>
      </xdr:nvSpPr>
      <xdr:spPr bwMode="auto">
        <a:xfrm>
          <a:off x="0" y="2548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124</xdr:row>
      <xdr:rowOff>0</xdr:rowOff>
    </xdr:from>
    <xdr:to>
      <xdr:col>22</xdr:col>
      <xdr:colOff>304800</xdr:colOff>
      <xdr:row>125</xdr:row>
      <xdr:rowOff>53340</xdr:rowOff>
    </xdr:to>
    <xdr:sp macro="" textlink="">
      <xdr:nvSpPr>
        <xdr:cNvPr id="7434" name="AutoShape 246" descr="https://www.soccerstats.com/img/own/sshplogo.png">
          <a:hlinkClick xmlns:r="http://schemas.openxmlformats.org/officeDocument/2006/relationships" r:id="rId642"/>
        </xdr:cNvPr>
        <xdr:cNvSpPr>
          <a:spLocks noChangeAspect="1" noChangeArrowheads="1"/>
        </xdr:cNvSpPr>
      </xdr:nvSpPr>
      <xdr:spPr bwMode="auto">
        <a:xfrm>
          <a:off x="13411200" y="2548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152400</xdr:colOff>
      <xdr:row>125</xdr:row>
      <xdr:rowOff>106680</xdr:rowOff>
    </xdr:to>
    <xdr:sp macro="" textlink="">
      <xdr:nvSpPr>
        <xdr:cNvPr id="7435" name="AutoShape 247" descr="SWEDEN"/>
        <xdr:cNvSpPr>
          <a:spLocks noChangeAspect="1" noChangeArrowheads="1"/>
        </xdr:cNvSpPr>
      </xdr:nvSpPr>
      <xdr:spPr bwMode="auto">
        <a:xfrm>
          <a:off x="0" y="25732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125</xdr:row>
      <xdr:rowOff>0</xdr:rowOff>
    </xdr:from>
    <xdr:to>
      <xdr:col>22</xdr:col>
      <xdr:colOff>304800</xdr:colOff>
      <xdr:row>126</xdr:row>
      <xdr:rowOff>129540</xdr:rowOff>
    </xdr:to>
    <xdr:sp macro="" textlink="">
      <xdr:nvSpPr>
        <xdr:cNvPr id="7436" name="AutoShape 248" descr="https://www.soccerstats.com/img/own/sshplogo.png">
          <a:hlinkClick xmlns:r="http://schemas.openxmlformats.org/officeDocument/2006/relationships" r:id="rId643"/>
        </xdr:cNvPr>
        <xdr:cNvSpPr>
          <a:spLocks noChangeAspect="1" noChangeArrowheads="1"/>
        </xdr:cNvSpPr>
      </xdr:nvSpPr>
      <xdr:spPr bwMode="auto">
        <a:xfrm>
          <a:off x="13411200" y="25732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152400</xdr:colOff>
      <xdr:row>126</xdr:row>
      <xdr:rowOff>106680</xdr:rowOff>
    </xdr:to>
    <xdr:sp macro="" textlink="">
      <xdr:nvSpPr>
        <xdr:cNvPr id="7437" name="AutoShape 249" descr="SWEDEN2"/>
        <xdr:cNvSpPr>
          <a:spLocks noChangeAspect="1" noChangeArrowheads="1"/>
        </xdr:cNvSpPr>
      </xdr:nvSpPr>
      <xdr:spPr bwMode="auto">
        <a:xfrm>
          <a:off x="0" y="25908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126</xdr:row>
      <xdr:rowOff>0</xdr:rowOff>
    </xdr:from>
    <xdr:to>
      <xdr:col>22</xdr:col>
      <xdr:colOff>304800</xdr:colOff>
      <xdr:row>127</xdr:row>
      <xdr:rowOff>129540</xdr:rowOff>
    </xdr:to>
    <xdr:sp macro="" textlink="">
      <xdr:nvSpPr>
        <xdr:cNvPr id="7438" name="AutoShape 250" descr="https://www.soccerstats.com/img/own/sshplogo.png">
          <a:hlinkClick xmlns:r="http://schemas.openxmlformats.org/officeDocument/2006/relationships" r:id="rId644"/>
        </xdr:cNvPr>
        <xdr:cNvSpPr>
          <a:spLocks noChangeAspect="1" noChangeArrowheads="1"/>
        </xdr:cNvSpPr>
      </xdr:nvSpPr>
      <xdr:spPr bwMode="auto">
        <a:xfrm>
          <a:off x="13411200" y="2590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152400</xdr:colOff>
      <xdr:row>127</xdr:row>
      <xdr:rowOff>106680</xdr:rowOff>
    </xdr:to>
    <xdr:sp macro="" textlink="">
      <xdr:nvSpPr>
        <xdr:cNvPr id="7439" name="AutoShape 251" descr="SWEDEN2"/>
        <xdr:cNvSpPr>
          <a:spLocks noChangeAspect="1" noChangeArrowheads="1"/>
        </xdr:cNvSpPr>
      </xdr:nvSpPr>
      <xdr:spPr bwMode="auto">
        <a:xfrm>
          <a:off x="0" y="26083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127</xdr:row>
      <xdr:rowOff>0</xdr:rowOff>
    </xdr:from>
    <xdr:to>
      <xdr:col>22</xdr:col>
      <xdr:colOff>304800</xdr:colOff>
      <xdr:row>128</xdr:row>
      <xdr:rowOff>129540</xdr:rowOff>
    </xdr:to>
    <xdr:sp macro="" textlink="">
      <xdr:nvSpPr>
        <xdr:cNvPr id="7440" name="AutoShape 252" descr="https://www.soccerstats.com/img/own/sshplogo.png">
          <a:hlinkClick xmlns:r="http://schemas.openxmlformats.org/officeDocument/2006/relationships" r:id="rId645"/>
        </xdr:cNvPr>
        <xdr:cNvSpPr>
          <a:spLocks noChangeAspect="1" noChangeArrowheads="1"/>
        </xdr:cNvSpPr>
      </xdr:nvSpPr>
      <xdr:spPr bwMode="auto">
        <a:xfrm>
          <a:off x="13411200" y="26083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152400</xdr:colOff>
      <xdr:row>128</xdr:row>
      <xdr:rowOff>106680</xdr:rowOff>
    </xdr:to>
    <xdr:sp macro="" textlink="">
      <xdr:nvSpPr>
        <xdr:cNvPr id="7441" name="AutoShape 253" descr="SWEDEN3"/>
        <xdr:cNvSpPr>
          <a:spLocks noChangeAspect="1" noChangeArrowheads="1"/>
        </xdr:cNvSpPr>
      </xdr:nvSpPr>
      <xdr:spPr bwMode="auto">
        <a:xfrm>
          <a:off x="0" y="26258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128</xdr:row>
      <xdr:rowOff>0</xdr:rowOff>
    </xdr:from>
    <xdr:to>
      <xdr:col>22</xdr:col>
      <xdr:colOff>304800</xdr:colOff>
      <xdr:row>129</xdr:row>
      <xdr:rowOff>53340</xdr:rowOff>
    </xdr:to>
    <xdr:sp macro="" textlink="">
      <xdr:nvSpPr>
        <xdr:cNvPr id="7442" name="AutoShape 254" descr="https://www.soccerstats.com/img/own/sshplogo.png">
          <a:hlinkClick xmlns:r="http://schemas.openxmlformats.org/officeDocument/2006/relationships" r:id="rId646"/>
        </xdr:cNvPr>
        <xdr:cNvSpPr>
          <a:spLocks noChangeAspect="1" noChangeArrowheads="1"/>
        </xdr:cNvSpPr>
      </xdr:nvSpPr>
      <xdr:spPr bwMode="auto">
        <a:xfrm>
          <a:off x="13411200" y="26258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152400</xdr:colOff>
      <xdr:row>129</xdr:row>
      <xdr:rowOff>106680</xdr:rowOff>
    </xdr:to>
    <xdr:sp macro="" textlink="">
      <xdr:nvSpPr>
        <xdr:cNvPr id="7443" name="AutoShape 255" descr="SWEDEN4"/>
        <xdr:cNvSpPr>
          <a:spLocks noChangeAspect="1" noChangeArrowheads="1"/>
        </xdr:cNvSpPr>
      </xdr:nvSpPr>
      <xdr:spPr bwMode="auto">
        <a:xfrm>
          <a:off x="0" y="26509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129</xdr:row>
      <xdr:rowOff>0</xdr:rowOff>
    </xdr:from>
    <xdr:to>
      <xdr:col>22</xdr:col>
      <xdr:colOff>304800</xdr:colOff>
      <xdr:row>130</xdr:row>
      <xdr:rowOff>53340</xdr:rowOff>
    </xdr:to>
    <xdr:sp macro="" textlink="">
      <xdr:nvSpPr>
        <xdr:cNvPr id="7444" name="AutoShape 256" descr="https://www.soccerstats.com/img/own/sshplogo.png">
          <a:hlinkClick xmlns:r="http://schemas.openxmlformats.org/officeDocument/2006/relationships" r:id="rId647"/>
        </xdr:cNvPr>
        <xdr:cNvSpPr>
          <a:spLocks noChangeAspect="1" noChangeArrowheads="1"/>
        </xdr:cNvSpPr>
      </xdr:nvSpPr>
      <xdr:spPr bwMode="auto">
        <a:xfrm>
          <a:off x="13411200" y="26509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152400</xdr:colOff>
      <xdr:row>130</xdr:row>
      <xdr:rowOff>106680</xdr:rowOff>
    </xdr:to>
    <xdr:sp macro="" textlink="">
      <xdr:nvSpPr>
        <xdr:cNvPr id="7445" name="AutoShape 257" descr="SWEDEN11"/>
        <xdr:cNvSpPr>
          <a:spLocks noChangeAspect="1" noChangeArrowheads="1"/>
        </xdr:cNvSpPr>
      </xdr:nvSpPr>
      <xdr:spPr bwMode="auto">
        <a:xfrm>
          <a:off x="0" y="26761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130</xdr:row>
      <xdr:rowOff>0</xdr:rowOff>
    </xdr:from>
    <xdr:to>
      <xdr:col>22</xdr:col>
      <xdr:colOff>304800</xdr:colOff>
      <xdr:row>131</xdr:row>
      <xdr:rowOff>129540</xdr:rowOff>
    </xdr:to>
    <xdr:sp macro="" textlink="">
      <xdr:nvSpPr>
        <xdr:cNvPr id="7446" name="AutoShape 258" descr="https://www.soccerstats.com/img/own/sshplogo.png">
          <a:hlinkClick xmlns:r="http://schemas.openxmlformats.org/officeDocument/2006/relationships" r:id="rId648"/>
        </xdr:cNvPr>
        <xdr:cNvSpPr>
          <a:spLocks noChangeAspect="1" noChangeArrowheads="1"/>
        </xdr:cNvSpPr>
      </xdr:nvSpPr>
      <xdr:spPr bwMode="auto">
        <a:xfrm>
          <a:off x="13411200" y="26761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152400</xdr:colOff>
      <xdr:row>131</xdr:row>
      <xdr:rowOff>106680</xdr:rowOff>
    </xdr:to>
    <xdr:sp macro="" textlink="">
      <xdr:nvSpPr>
        <xdr:cNvPr id="7447" name="AutoShape 259" descr="TURKEY"/>
        <xdr:cNvSpPr>
          <a:spLocks noChangeAspect="1" noChangeArrowheads="1"/>
        </xdr:cNvSpPr>
      </xdr:nvSpPr>
      <xdr:spPr bwMode="auto">
        <a:xfrm>
          <a:off x="0" y="26936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131</xdr:row>
      <xdr:rowOff>0</xdr:rowOff>
    </xdr:from>
    <xdr:to>
      <xdr:col>22</xdr:col>
      <xdr:colOff>304800</xdr:colOff>
      <xdr:row>132</xdr:row>
      <xdr:rowOff>129540</xdr:rowOff>
    </xdr:to>
    <xdr:sp macro="" textlink="">
      <xdr:nvSpPr>
        <xdr:cNvPr id="7448" name="AutoShape 260" descr="https://www.soccerstats.com/img/own/sshplogo.png">
          <a:hlinkClick xmlns:r="http://schemas.openxmlformats.org/officeDocument/2006/relationships" r:id="rId649"/>
        </xdr:cNvPr>
        <xdr:cNvSpPr>
          <a:spLocks noChangeAspect="1" noChangeArrowheads="1"/>
        </xdr:cNvSpPr>
      </xdr:nvSpPr>
      <xdr:spPr bwMode="auto">
        <a:xfrm>
          <a:off x="13411200" y="26936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152400</xdr:colOff>
      <xdr:row>132</xdr:row>
      <xdr:rowOff>106680</xdr:rowOff>
    </xdr:to>
    <xdr:sp macro="" textlink="">
      <xdr:nvSpPr>
        <xdr:cNvPr id="7449" name="AutoShape 261" descr="TURKEY2"/>
        <xdr:cNvSpPr>
          <a:spLocks noChangeAspect="1" noChangeArrowheads="1"/>
        </xdr:cNvSpPr>
      </xdr:nvSpPr>
      <xdr:spPr bwMode="auto">
        <a:xfrm>
          <a:off x="0" y="27111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132</xdr:row>
      <xdr:rowOff>0</xdr:rowOff>
    </xdr:from>
    <xdr:to>
      <xdr:col>22</xdr:col>
      <xdr:colOff>304800</xdr:colOff>
      <xdr:row>133</xdr:row>
      <xdr:rowOff>129540</xdr:rowOff>
    </xdr:to>
    <xdr:sp macro="" textlink="">
      <xdr:nvSpPr>
        <xdr:cNvPr id="7450" name="AutoShape 262" descr="https://www.soccerstats.com/img/own/sshplogo.png">
          <a:hlinkClick xmlns:r="http://schemas.openxmlformats.org/officeDocument/2006/relationships" r:id="rId650"/>
        </xdr:cNvPr>
        <xdr:cNvSpPr>
          <a:spLocks noChangeAspect="1" noChangeArrowheads="1"/>
        </xdr:cNvSpPr>
      </xdr:nvSpPr>
      <xdr:spPr bwMode="auto">
        <a:xfrm>
          <a:off x="13411200" y="27111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152400</xdr:colOff>
      <xdr:row>133</xdr:row>
      <xdr:rowOff>106680</xdr:rowOff>
    </xdr:to>
    <xdr:sp macro="" textlink="">
      <xdr:nvSpPr>
        <xdr:cNvPr id="7451" name="AutoShape 263" descr="UKRAINE"/>
        <xdr:cNvSpPr>
          <a:spLocks noChangeAspect="1" noChangeArrowheads="1"/>
        </xdr:cNvSpPr>
      </xdr:nvSpPr>
      <xdr:spPr bwMode="auto">
        <a:xfrm>
          <a:off x="0" y="27287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133</xdr:row>
      <xdr:rowOff>0</xdr:rowOff>
    </xdr:from>
    <xdr:to>
      <xdr:col>22</xdr:col>
      <xdr:colOff>304800</xdr:colOff>
      <xdr:row>134</xdr:row>
      <xdr:rowOff>129540</xdr:rowOff>
    </xdr:to>
    <xdr:sp macro="" textlink="">
      <xdr:nvSpPr>
        <xdr:cNvPr id="7452" name="AutoShape 264" descr="https://www.soccerstats.com/img/own/sshplogo.png">
          <a:hlinkClick xmlns:r="http://schemas.openxmlformats.org/officeDocument/2006/relationships" r:id="rId651"/>
        </xdr:cNvPr>
        <xdr:cNvSpPr>
          <a:spLocks noChangeAspect="1" noChangeArrowheads="1"/>
        </xdr:cNvSpPr>
      </xdr:nvSpPr>
      <xdr:spPr bwMode="auto">
        <a:xfrm>
          <a:off x="13411200" y="27287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152400</xdr:colOff>
      <xdr:row>134</xdr:row>
      <xdr:rowOff>106680</xdr:rowOff>
    </xdr:to>
    <xdr:sp macro="" textlink="">
      <xdr:nvSpPr>
        <xdr:cNvPr id="7453" name="AutoShape 265" descr="URUGUAY3"/>
        <xdr:cNvSpPr>
          <a:spLocks noChangeAspect="1" noChangeArrowheads="1"/>
        </xdr:cNvSpPr>
      </xdr:nvSpPr>
      <xdr:spPr bwMode="auto">
        <a:xfrm>
          <a:off x="0" y="27462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134</xdr:row>
      <xdr:rowOff>0</xdr:rowOff>
    </xdr:from>
    <xdr:to>
      <xdr:col>22</xdr:col>
      <xdr:colOff>304800</xdr:colOff>
      <xdr:row>135</xdr:row>
      <xdr:rowOff>129540</xdr:rowOff>
    </xdr:to>
    <xdr:sp macro="" textlink="">
      <xdr:nvSpPr>
        <xdr:cNvPr id="7454" name="AutoShape 266" descr="https://www.soccerstats.com/img/own/sshplogo.png">
          <a:hlinkClick xmlns:r="http://schemas.openxmlformats.org/officeDocument/2006/relationships" r:id="rId652"/>
        </xdr:cNvPr>
        <xdr:cNvSpPr>
          <a:spLocks noChangeAspect="1" noChangeArrowheads="1"/>
        </xdr:cNvSpPr>
      </xdr:nvSpPr>
      <xdr:spPr bwMode="auto">
        <a:xfrm>
          <a:off x="13411200" y="27462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152400</xdr:colOff>
      <xdr:row>135</xdr:row>
      <xdr:rowOff>106680</xdr:rowOff>
    </xdr:to>
    <xdr:sp macro="" textlink="">
      <xdr:nvSpPr>
        <xdr:cNvPr id="7455" name="AutoShape 267" descr="WALES"/>
        <xdr:cNvSpPr>
          <a:spLocks noChangeAspect="1" noChangeArrowheads="1"/>
        </xdr:cNvSpPr>
      </xdr:nvSpPr>
      <xdr:spPr bwMode="auto">
        <a:xfrm>
          <a:off x="0" y="27637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135</xdr:row>
      <xdr:rowOff>0</xdr:rowOff>
    </xdr:from>
    <xdr:to>
      <xdr:col>22</xdr:col>
      <xdr:colOff>304800</xdr:colOff>
      <xdr:row>136</xdr:row>
      <xdr:rowOff>129540</xdr:rowOff>
    </xdr:to>
    <xdr:sp macro="" textlink="">
      <xdr:nvSpPr>
        <xdr:cNvPr id="7456" name="AutoShape 268" descr="https://www.soccerstats.com/img/own/sshplogo.png">
          <a:hlinkClick xmlns:r="http://schemas.openxmlformats.org/officeDocument/2006/relationships" r:id="rId653"/>
        </xdr:cNvPr>
        <xdr:cNvSpPr>
          <a:spLocks noChangeAspect="1" noChangeArrowheads="1"/>
        </xdr:cNvSpPr>
      </xdr:nvSpPr>
      <xdr:spPr bwMode="auto">
        <a:xfrm>
          <a:off x="13411200" y="27637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152400</xdr:colOff>
      <xdr:row>136</xdr:row>
      <xdr:rowOff>106680</xdr:rowOff>
    </xdr:to>
    <xdr:sp macro="" textlink="">
      <xdr:nvSpPr>
        <xdr:cNvPr id="7457" name="AutoShape 269" descr="WALES"/>
        <xdr:cNvSpPr>
          <a:spLocks noChangeAspect="1" noChangeArrowheads="1"/>
        </xdr:cNvSpPr>
      </xdr:nvSpPr>
      <xdr:spPr bwMode="auto">
        <a:xfrm>
          <a:off x="0" y="27813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136</xdr:row>
      <xdr:rowOff>0</xdr:rowOff>
    </xdr:from>
    <xdr:to>
      <xdr:col>22</xdr:col>
      <xdr:colOff>304800</xdr:colOff>
      <xdr:row>137</xdr:row>
      <xdr:rowOff>53340</xdr:rowOff>
    </xdr:to>
    <xdr:sp macro="" textlink="">
      <xdr:nvSpPr>
        <xdr:cNvPr id="7458" name="AutoShape 270" descr="https://www.soccerstats.com/img/own/sshplogo.png">
          <a:hlinkClick xmlns:r="http://schemas.openxmlformats.org/officeDocument/2006/relationships" r:id="rId654"/>
        </xdr:cNvPr>
        <xdr:cNvSpPr>
          <a:spLocks noChangeAspect="1" noChangeArrowheads="1"/>
        </xdr:cNvSpPr>
      </xdr:nvSpPr>
      <xdr:spPr bwMode="auto">
        <a:xfrm>
          <a:off x="13411200" y="2781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152400</xdr:colOff>
      <xdr:row>137</xdr:row>
      <xdr:rowOff>106680</xdr:rowOff>
    </xdr:to>
    <xdr:sp macro="" textlink="">
      <xdr:nvSpPr>
        <xdr:cNvPr id="7459" name="AutoShape 271" descr="WALES"/>
        <xdr:cNvSpPr>
          <a:spLocks noChangeAspect="1" noChangeArrowheads="1"/>
        </xdr:cNvSpPr>
      </xdr:nvSpPr>
      <xdr:spPr bwMode="auto">
        <a:xfrm>
          <a:off x="0" y="28064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137</xdr:row>
      <xdr:rowOff>0</xdr:rowOff>
    </xdr:from>
    <xdr:to>
      <xdr:col>22</xdr:col>
      <xdr:colOff>304800</xdr:colOff>
      <xdr:row>138</xdr:row>
      <xdr:rowOff>53340</xdr:rowOff>
    </xdr:to>
    <xdr:sp macro="" textlink="">
      <xdr:nvSpPr>
        <xdr:cNvPr id="7460" name="AutoShape 272" descr="https://www.soccerstats.com/img/own/sshplogo.png">
          <a:hlinkClick xmlns:r="http://schemas.openxmlformats.org/officeDocument/2006/relationships" r:id="rId655"/>
        </xdr:cNvPr>
        <xdr:cNvSpPr>
          <a:spLocks noChangeAspect="1" noChangeArrowheads="1"/>
        </xdr:cNvSpPr>
      </xdr:nvSpPr>
      <xdr:spPr bwMode="auto">
        <a:xfrm>
          <a:off x="13411200" y="28064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152400</xdr:colOff>
      <xdr:row>138</xdr:row>
      <xdr:rowOff>106680</xdr:rowOff>
    </xdr:to>
    <xdr:sp macro="" textlink="">
      <xdr:nvSpPr>
        <xdr:cNvPr id="7461" name="AutoShape 273" descr="WALES"/>
        <xdr:cNvSpPr>
          <a:spLocks noChangeAspect="1" noChangeArrowheads="1"/>
        </xdr:cNvSpPr>
      </xdr:nvSpPr>
      <xdr:spPr bwMode="auto">
        <a:xfrm>
          <a:off x="0" y="28315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138</xdr:row>
      <xdr:rowOff>0</xdr:rowOff>
    </xdr:from>
    <xdr:to>
      <xdr:col>22</xdr:col>
      <xdr:colOff>304800</xdr:colOff>
      <xdr:row>139</xdr:row>
      <xdr:rowOff>53340</xdr:rowOff>
    </xdr:to>
    <xdr:sp macro="" textlink="">
      <xdr:nvSpPr>
        <xdr:cNvPr id="7462" name="AutoShape 274" descr="https://www.soccerstats.com/img/own/sshplogo.png">
          <a:hlinkClick xmlns:r="http://schemas.openxmlformats.org/officeDocument/2006/relationships" r:id="rId656"/>
        </xdr:cNvPr>
        <xdr:cNvSpPr>
          <a:spLocks noChangeAspect="1" noChangeArrowheads="1"/>
        </xdr:cNvSpPr>
      </xdr:nvSpPr>
      <xdr:spPr bwMode="auto">
        <a:xfrm>
          <a:off x="13411200" y="28315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152400</xdr:colOff>
      <xdr:row>139</xdr:row>
      <xdr:rowOff>106680</xdr:rowOff>
    </xdr:to>
    <xdr:sp macro="" textlink="">
      <xdr:nvSpPr>
        <xdr:cNvPr id="7463" name="AutoShape 275" descr="WALES"/>
        <xdr:cNvSpPr>
          <a:spLocks noChangeAspect="1" noChangeArrowheads="1"/>
        </xdr:cNvSpPr>
      </xdr:nvSpPr>
      <xdr:spPr bwMode="auto">
        <a:xfrm>
          <a:off x="0" y="28567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139</xdr:row>
      <xdr:rowOff>0</xdr:rowOff>
    </xdr:from>
    <xdr:to>
      <xdr:col>22</xdr:col>
      <xdr:colOff>304800</xdr:colOff>
      <xdr:row>140</xdr:row>
      <xdr:rowOff>129540</xdr:rowOff>
    </xdr:to>
    <xdr:sp macro="" textlink="">
      <xdr:nvSpPr>
        <xdr:cNvPr id="7464" name="AutoShape 276" descr="https://www.soccerstats.com/img/own/sshplogo.png">
          <a:hlinkClick xmlns:r="http://schemas.openxmlformats.org/officeDocument/2006/relationships" r:id="rId657"/>
        </xdr:cNvPr>
        <xdr:cNvSpPr>
          <a:spLocks noChangeAspect="1" noChangeArrowheads="1"/>
        </xdr:cNvSpPr>
      </xdr:nvSpPr>
      <xdr:spPr bwMode="auto">
        <a:xfrm>
          <a:off x="13411200" y="28567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152400</xdr:colOff>
      <xdr:row>140</xdr:row>
      <xdr:rowOff>106680</xdr:rowOff>
    </xdr:to>
    <xdr:sp macro="" textlink="">
      <xdr:nvSpPr>
        <xdr:cNvPr id="7465" name="AutoShape 277" descr="WALES"/>
        <xdr:cNvSpPr>
          <a:spLocks noChangeAspect="1" noChangeArrowheads="1"/>
        </xdr:cNvSpPr>
      </xdr:nvSpPr>
      <xdr:spPr bwMode="auto">
        <a:xfrm>
          <a:off x="0" y="28742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140</xdr:row>
      <xdr:rowOff>0</xdr:rowOff>
    </xdr:from>
    <xdr:to>
      <xdr:col>22</xdr:col>
      <xdr:colOff>304800</xdr:colOff>
      <xdr:row>141</xdr:row>
      <xdr:rowOff>53340</xdr:rowOff>
    </xdr:to>
    <xdr:sp macro="" textlink="">
      <xdr:nvSpPr>
        <xdr:cNvPr id="7466" name="AutoShape 278" descr="https://www.soccerstats.com/img/own/sshplogo.png">
          <a:hlinkClick xmlns:r="http://schemas.openxmlformats.org/officeDocument/2006/relationships" r:id="rId658"/>
        </xdr:cNvPr>
        <xdr:cNvSpPr>
          <a:spLocks noChangeAspect="1" noChangeArrowheads="1"/>
        </xdr:cNvSpPr>
      </xdr:nvSpPr>
      <xdr:spPr bwMode="auto">
        <a:xfrm>
          <a:off x="13411200" y="28742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106680</xdr:rowOff>
    </xdr:to>
    <xdr:sp macro="" textlink="">
      <xdr:nvSpPr>
        <xdr:cNvPr id="7467" name="AutoShape 1" descr="NETHERLANDS"/>
        <xdr:cNvSpPr>
          <a:spLocks noChangeAspect="1" noChangeArrowheads="1"/>
        </xdr:cNvSpPr>
      </xdr:nvSpPr>
      <xdr:spPr bwMode="auto">
        <a:xfrm>
          <a:off x="0" y="17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304800</xdr:colOff>
      <xdr:row>2</xdr:row>
      <xdr:rowOff>129540</xdr:rowOff>
    </xdr:to>
    <xdr:sp macro="" textlink="">
      <xdr:nvSpPr>
        <xdr:cNvPr id="7468" name="AutoShape 2" descr="https://www.soccerstats.com/img/own/sshplogo.png">
          <a:hlinkClick xmlns:r="http://schemas.openxmlformats.org/officeDocument/2006/relationships" r:id="rId516"/>
        </xdr:cNvPr>
        <xdr:cNvSpPr>
          <a:spLocks noChangeAspect="1" noChangeArrowheads="1"/>
        </xdr:cNvSpPr>
      </xdr:nvSpPr>
      <xdr:spPr bwMode="auto">
        <a:xfrm>
          <a:off x="13411200" y="17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152400</xdr:colOff>
      <xdr:row>2</xdr:row>
      <xdr:rowOff>106680</xdr:rowOff>
    </xdr:to>
    <xdr:sp macro="" textlink="">
      <xdr:nvSpPr>
        <xdr:cNvPr id="7469" name="AutoShape 3" descr="PORTUGAL"/>
        <xdr:cNvSpPr>
          <a:spLocks noChangeAspect="1" noChangeArrowheads="1"/>
        </xdr:cNvSpPr>
      </xdr:nvSpPr>
      <xdr:spPr bwMode="auto">
        <a:xfrm>
          <a:off x="0" y="350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</xdr:row>
      <xdr:rowOff>0</xdr:rowOff>
    </xdr:from>
    <xdr:to>
      <xdr:col>22</xdr:col>
      <xdr:colOff>304800</xdr:colOff>
      <xdr:row>3</xdr:row>
      <xdr:rowOff>129540</xdr:rowOff>
    </xdr:to>
    <xdr:sp macro="" textlink="">
      <xdr:nvSpPr>
        <xdr:cNvPr id="7470" name="AutoShape 4" descr="https://www.soccerstats.com/img/own/sshplogo.png">
          <a:hlinkClick xmlns:r="http://schemas.openxmlformats.org/officeDocument/2006/relationships" r:id="rId517"/>
        </xdr:cNvPr>
        <xdr:cNvSpPr>
          <a:spLocks noChangeAspect="1" noChangeArrowheads="1"/>
        </xdr:cNvSpPr>
      </xdr:nvSpPr>
      <xdr:spPr bwMode="auto">
        <a:xfrm>
          <a:off x="13411200" y="350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152400</xdr:colOff>
      <xdr:row>3</xdr:row>
      <xdr:rowOff>106680</xdr:rowOff>
    </xdr:to>
    <xdr:sp macro="" textlink="">
      <xdr:nvSpPr>
        <xdr:cNvPr id="7471" name="AutoShape 5" descr="ENGLAND2"/>
        <xdr:cNvSpPr>
          <a:spLocks noChangeAspect="1" noChangeArrowheads="1"/>
        </xdr:cNvSpPr>
      </xdr:nvSpPr>
      <xdr:spPr bwMode="auto">
        <a:xfrm>
          <a:off x="0" y="525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</xdr:row>
      <xdr:rowOff>0</xdr:rowOff>
    </xdr:from>
    <xdr:to>
      <xdr:col>22</xdr:col>
      <xdr:colOff>304800</xdr:colOff>
      <xdr:row>4</xdr:row>
      <xdr:rowOff>53340</xdr:rowOff>
    </xdr:to>
    <xdr:sp macro="" textlink="">
      <xdr:nvSpPr>
        <xdr:cNvPr id="7472" name="AutoShape 6" descr="https://www.soccerstats.com/img/own/sshplogo.png">
          <a:hlinkClick xmlns:r="http://schemas.openxmlformats.org/officeDocument/2006/relationships" r:id="rId518"/>
        </xdr:cNvPr>
        <xdr:cNvSpPr>
          <a:spLocks noChangeAspect="1" noChangeArrowheads="1"/>
        </xdr:cNvSpPr>
      </xdr:nvSpPr>
      <xdr:spPr bwMode="auto">
        <a:xfrm>
          <a:off x="13411200" y="525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152400</xdr:colOff>
      <xdr:row>4</xdr:row>
      <xdr:rowOff>106680</xdr:rowOff>
    </xdr:to>
    <xdr:sp macro="" textlink="">
      <xdr:nvSpPr>
        <xdr:cNvPr id="7473" name="AutoShape 7" descr="SPAIN2"/>
        <xdr:cNvSpPr>
          <a:spLocks noChangeAspect="1" noChangeArrowheads="1"/>
        </xdr:cNvSpPr>
      </xdr:nvSpPr>
      <xdr:spPr bwMode="auto">
        <a:xfrm>
          <a:off x="0" y="777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</xdr:row>
      <xdr:rowOff>0</xdr:rowOff>
    </xdr:from>
    <xdr:to>
      <xdr:col>22</xdr:col>
      <xdr:colOff>304800</xdr:colOff>
      <xdr:row>5</xdr:row>
      <xdr:rowOff>53340</xdr:rowOff>
    </xdr:to>
    <xdr:sp macro="" textlink="">
      <xdr:nvSpPr>
        <xdr:cNvPr id="7474" name="AutoShape 8" descr="https://www.soccerstats.com/img/own/sshplogo.png">
          <a:hlinkClick xmlns:r="http://schemas.openxmlformats.org/officeDocument/2006/relationships" r:id="rId519"/>
        </xdr:cNvPr>
        <xdr:cNvSpPr>
          <a:spLocks noChangeAspect="1" noChangeArrowheads="1"/>
        </xdr:cNvSpPr>
      </xdr:nvSpPr>
      <xdr:spPr bwMode="auto">
        <a:xfrm>
          <a:off x="13411200" y="777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152400</xdr:colOff>
      <xdr:row>5</xdr:row>
      <xdr:rowOff>106680</xdr:rowOff>
    </xdr:to>
    <xdr:sp macro="" textlink="">
      <xdr:nvSpPr>
        <xdr:cNvPr id="7475" name="AutoShape 9" descr="FRANCE2"/>
        <xdr:cNvSpPr>
          <a:spLocks noChangeAspect="1" noChangeArrowheads="1"/>
        </xdr:cNvSpPr>
      </xdr:nvSpPr>
      <xdr:spPr bwMode="auto">
        <a:xfrm>
          <a:off x="0" y="1028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304800</xdr:colOff>
      <xdr:row>6</xdr:row>
      <xdr:rowOff>53340</xdr:rowOff>
    </xdr:to>
    <xdr:sp macro="" textlink="">
      <xdr:nvSpPr>
        <xdr:cNvPr id="7476" name="AutoShape 10" descr="https://www.soccerstats.com/img/own/sshplogo.png">
          <a:hlinkClick xmlns:r="http://schemas.openxmlformats.org/officeDocument/2006/relationships" r:id="rId520"/>
        </xdr:cNvPr>
        <xdr:cNvSpPr>
          <a:spLocks noChangeAspect="1" noChangeArrowheads="1"/>
        </xdr:cNvSpPr>
      </xdr:nvSpPr>
      <xdr:spPr bwMode="auto">
        <a:xfrm>
          <a:off x="134112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152400</xdr:colOff>
      <xdr:row>6</xdr:row>
      <xdr:rowOff>106680</xdr:rowOff>
    </xdr:to>
    <xdr:sp macro="" textlink="">
      <xdr:nvSpPr>
        <xdr:cNvPr id="7477" name="AutoShape 11" descr="FRANCE2"/>
        <xdr:cNvSpPr>
          <a:spLocks noChangeAspect="1" noChangeArrowheads="1"/>
        </xdr:cNvSpPr>
      </xdr:nvSpPr>
      <xdr:spPr bwMode="auto">
        <a:xfrm>
          <a:off x="0" y="1280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</xdr:row>
      <xdr:rowOff>0</xdr:rowOff>
    </xdr:from>
    <xdr:to>
      <xdr:col>22</xdr:col>
      <xdr:colOff>304800</xdr:colOff>
      <xdr:row>7</xdr:row>
      <xdr:rowOff>129540</xdr:rowOff>
    </xdr:to>
    <xdr:sp macro="" textlink="">
      <xdr:nvSpPr>
        <xdr:cNvPr id="7478" name="AutoShape 12" descr="https://www.soccerstats.com/img/own/sshplogo.png">
          <a:hlinkClick xmlns:r="http://schemas.openxmlformats.org/officeDocument/2006/relationships" r:id="rId521"/>
        </xdr:cNvPr>
        <xdr:cNvSpPr>
          <a:spLocks noChangeAspect="1" noChangeArrowheads="1"/>
        </xdr:cNvSpPr>
      </xdr:nvSpPr>
      <xdr:spPr bwMode="auto">
        <a:xfrm>
          <a:off x="13411200" y="1280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152400</xdr:colOff>
      <xdr:row>7</xdr:row>
      <xdr:rowOff>106680</xdr:rowOff>
    </xdr:to>
    <xdr:sp macro="" textlink="">
      <xdr:nvSpPr>
        <xdr:cNvPr id="7479" name="AutoShape 13" descr="FRANCE2"/>
        <xdr:cNvSpPr>
          <a:spLocks noChangeAspect="1" noChangeArrowheads="1"/>
        </xdr:cNvSpPr>
      </xdr:nvSpPr>
      <xdr:spPr bwMode="auto">
        <a:xfrm>
          <a:off x="0" y="1455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</xdr:row>
      <xdr:rowOff>0</xdr:rowOff>
    </xdr:from>
    <xdr:to>
      <xdr:col>22</xdr:col>
      <xdr:colOff>304800</xdr:colOff>
      <xdr:row>8</xdr:row>
      <xdr:rowOff>129540</xdr:rowOff>
    </xdr:to>
    <xdr:sp macro="" textlink="">
      <xdr:nvSpPr>
        <xdr:cNvPr id="7480" name="AutoShape 14" descr="https://www.soccerstats.com/img/own/sshplogo.png">
          <a:hlinkClick xmlns:r="http://schemas.openxmlformats.org/officeDocument/2006/relationships" r:id="rId522"/>
        </xdr:cNvPr>
        <xdr:cNvSpPr>
          <a:spLocks noChangeAspect="1" noChangeArrowheads="1"/>
        </xdr:cNvSpPr>
      </xdr:nvSpPr>
      <xdr:spPr bwMode="auto">
        <a:xfrm>
          <a:off x="13411200" y="1455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152400</xdr:colOff>
      <xdr:row>8</xdr:row>
      <xdr:rowOff>106680</xdr:rowOff>
    </xdr:to>
    <xdr:sp macro="" textlink="">
      <xdr:nvSpPr>
        <xdr:cNvPr id="7481" name="AutoShape 15" descr="FRANCE2"/>
        <xdr:cNvSpPr>
          <a:spLocks noChangeAspect="1" noChangeArrowheads="1"/>
        </xdr:cNvSpPr>
      </xdr:nvSpPr>
      <xdr:spPr bwMode="auto">
        <a:xfrm>
          <a:off x="0" y="1630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</xdr:row>
      <xdr:rowOff>0</xdr:rowOff>
    </xdr:from>
    <xdr:to>
      <xdr:col>22</xdr:col>
      <xdr:colOff>304800</xdr:colOff>
      <xdr:row>9</xdr:row>
      <xdr:rowOff>129540</xdr:rowOff>
    </xdr:to>
    <xdr:sp macro="" textlink="">
      <xdr:nvSpPr>
        <xdr:cNvPr id="7482" name="AutoShape 16" descr="https://www.soccerstats.com/img/own/sshplogo.png">
          <a:hlinkClick xmlns:r="http://schemas.openxmlformats.org/officeDocument/2006/relationships" r:id="rId523"/>
        </xdr:cNvPr>
        <xdr:cNvSpPr>
          <a:spLocks noChangeAspect="1" noChangeArrowheads="1"/>
        </xdr:cNvSpPr>
      </xdr:nvSpPr>
      <xdr:spPr bwMode="auto">
        <a:xfrm>
          <a:off x="13411200" y="1630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152400</xdr:colOff>
      <xdr:row>9</xdr:row>
      <xdr:rowOff>106680</xdr:rowOff>
    </xdr:to>
    <xdr:sp macro="" textlink="">
      <xdr:nvSpPr>
        <xdr:cNvPr id="7483" name="AutoShape 17" descr="FRANCE2"/>
        <xdr:cNvSpPr>
          <a:spLocks noChangeAspect="1" noChangeArrowheads="1"/>
        </xdr:cNvSpPr>
      </xdr:nvSpPr>
      <xdr:spPr bwMode="auto">
        <a:xfrm>
          <a:off x="0" y="1805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</xdr:row>
      <xdr:rowOff>0</xdr:rowOff>
    </xdr:from>
    <xdr:to>
      <xdr:col>22</xdr:col>
      <xdr:colOff>304800</xdr:colOff>
      <xdr:row>10</xdr:row>
      <xdr:rowOff>129540</xdr:rowOff>
    </xdr:to>
    <xdr:sp macro="" textlink="">
      <xdr:nvSpPr>
        <xdr:cNvPr id="7484" name="AutoShape 18" descr="https://www.soccerstats.com/img/own/sshplogo.png">
          <a:hlinkClick xmlns:r="http://schemas.openxmlformats.org/officeDocument/2006/relationships" r:id="rId524"/>
        </xdr:cNvPr>
        <xdr:cNvSpPr>
          <a:spLocks noChangeAspect="1" noChangeArrowheads="1"/>
        </xdr:cNvSpPr>
      </xdr:nvSpPr>
      <xdr:spPr bwMode="auto">
        <a:xfrm>
          <a:off x="13411200" y="1805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152400</xdr:colOff>
      <xdr:row>10</xdr:row>
      <xdr:rowOff>106680</xdr:rowOff>
    </xdr:to>
    <xdr:sp macro="" textlink="">
      <xdr:nvSpPr>
        <xdr:cNvPr id="7485" name="AutoShape 19" descr="FRANCE2"/>
        <xdr:cNvSpPr>
          <a:spLocks noChangeAspect="1" noChangeArrowheads="1"/>
        </xdr:cNvSpPr>
      </xdr:nvSpPr>
      <xdr:spPr bwMode="auto">
        <a:xfrm>
          <a:off x="0" y="1981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</xdr:row>
      <xdr:rowOff>0</xdr:rowOff>
    </xdr:from>
    <xdr:to>
      <xdr:col>22</xdr:col>
      <xdr:colOff>304800</xdr:colOff>
      <xdr:row>11</xdr:row>
      <xdr:rowOff>129540</xdr:rowOff>
    </xdr:to>
    <xdr:sp macro="" textlink="">
      <xdr:nvSpPr>
        <xdr:cNvPr id="7486" name="AutoShape 20" descr="https://www.soccerstats.com/img/own/sshplogo.png">
          <a:hlinkClick xmlns:r="http://schemas.openxmlformats.org/officeDocument/2006/relationships" r:id="rId525"/>
        </xdr:cNvPr>
        <xdr:cNvSpPr>
          <a:spLocks noChangeAspect="1" noChangeArrowheads="1"/>
        </xdr:cNvSpPr>
      </xdr:nvSpPr>
      <xdr:spPr bwMode="auto">
        <a:xfrm>
          <a:off x="13411200" y="1981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152400</xdr:colOff>
      <xdr:row>11</xdr:row>
      <xdr:rowOff>106680</xdr:rowOff>
    </xdr:to>
    <xdr:sp macro="" textlink="">
      <xdr:nvSpPr>
        <xdr:cNvPr id="7487" name="AutoShape 21" descr="FRANCE2"/>
        <xdr:cNvSpPr>
          <a:spLocks noChangeAspect="1" noChangeArrowheads="1"/>
        </xdr:cNvSpPr>
      </xdr:nvSpPr>
      <xdr:spPr bwMode="auto">
        <a:xfrm>
          <a:off x="0" y="2156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</xdr:row>
      <xdr:rowOff>0</xdr:rowOff>
    </xdr:from>
    <xdr:to>
      <xdr:col>22</xdr:col>
      <xdr:colOff>304800</xdr:colOff>
      <xdr:row>12</xdr:row>
      <xdr:rowOff>129540</xdr:rowOff>
    </xdr:to>
    <xdr:sp macro="" textlink="">
      <xdr:nvSpPr>
        <xdr:cNvPr id="7488" name="AutoShape 22" descr="https://www.soccerstats.com/img/own/sshplogo.png">
          <a:hlinkClick xmlns:r="http://schemas.openxmlformats.org/officeDocument/2006/relationships" r:id="rId526"/>
        </xdr:cNvPr>
        <xdr:cNvSpPr>
          <a:spLocks noChangeAspect="1" noChangeArrowheads="1"/>
        </xdr:cNvSpPr>
      </xdr:nvSpPr>
      <xdr:spPr bwMode="auto">
        <a:xfrm>
          <a:off x="13411200" y="2156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152400</xdr:colOff>
      <xdr:row>12</xdr:row>
      <xdr:rowOff>106680</xdr:rowOff>
    </xdr:to>
    <xdr:sp macro="" textlink="">
      <xdr:nvSpPr>
        <xdr:cNvPr id="7489" name="AutoShape 23" descr="FRANCE2"/>
        <xdr:cNvSpPr>
          <a:spLocks noChangeAspect="1" noChangeArrowheads="1"/>
        </xdr:cNvSpPr>
      </xdr:nvSpPr>
      <xdr:spPr bwMode="auto">
        <a:xfrm>
          <a:off x="0" y="2331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</xdr:row>
      <xdr:rowOff>0</xdr:rowOff>
    </xdr:from>
    <xdr:to>
      <xdr:col>22</xdr:col>
      <xdr:colOff>304800</xdr:colOff>
      <xdr:row>13</xdr:row>
      <xdr:rowOff>53340</xdr:rowOff>
    </xdr:to>
    <xdr:sp macro="" textlink="">
      <xdr:nvSpPr>
        <xdr:cNvPr id="7490" name="AutoShape 24" descr="https://www.soccerstats.com/img/own/sshplogo.png">
          <a:hlinkClick xmlns:r="http://schemas.openxmlformats.org/officeDocument/2006/relationships" r:id="rId527"/>
        </xdr:cNvPr>
        <xdr:cNvSpPr>
          <a:spLocks noChangeAspect="1" noChangeArrowheads="1"/>
        </xdr:cNvSpPr>
      </xdr:nvSpPr>
      <xdr:spPr bwMode="auto">
        <a:xfrm>
          <a:off x="13411200" y="2331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152400</xdr:colOff>
      <xdr:row>13</xdr:row>
      <xdr:rowOff>106680</xdr:rowOff>
    </xdr:to>
    <xdr:sp macro="" textlink="">
      <xdr:nvSpPr>
        <xdr:cNvPr id="7491" name="AutoShape 25" descr="FRANCE2"/>
        <xdr:cNvSpPr>
          <a:spLocks noChangeAspect="1" noChangeArrowheads="1"/>
        </xdr:cNvSpPr>
      </xdr:nvSpPr>
      <xdr:spPr bwMode="auto">
        <a:xfrm>
          <a:off x="0" y="2583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</xdr:row>
      <xdr:rowOff>0</xdr:rowOff>
    </xdr:from>
    <xdr:to>
      <xdr:col>22</xdr:col>
      <xdr:colOff>304800</xdr:colOff>
      <xdr:row>14</xdr:row>
      <xdr:rowOff>129540</xdr:rowOff>
    </xdr:to>
    <xdr:sp macro="" textlink="">
      <xdr:nvSpPr>
        <xdr:cNvPr id="7492" name="AutoShape 26" descr="https://www.soccerstats.com/img/own/sshplogo.png">
          <a:hlinkClick xmlns:r="http://schemas.openxmlformats.org/officeDocument/2006/relationships" r:id="rId528"/>
        </xdr:cNvPr>
        <xdr:cNvSpPr>
          <a:spLocks noChangeAspect="1" noChangeArrowheads="1"/>
        </xdr:cNvSpPr>
      </xdr:nvSpPr>
      <xdr:spPr bwMode="auto">
        <a:xfrm>
          <a:off x="13411200" y="2583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152400</xdr:colOff>
      <xdr:row>14</xdr:row>
      <xdr:rowOff>106680</xdr:rowOff>
    </xdr:to>
    <xdr:sp macro="" textlink="">
      <xdr:nvSpPr>
        <xdr:cNvPr id="7493" name="AutoShape 27" descr="GERMANY2"/>
        <xdr:cNvSpPr>
          <a:spLocks noChangeAspect="1" noChangeArrowheads="1"/>
        </xdr:cNvSpPr>
      </xdr:nvSpPr>
      <xdr:spPr bwMode="auto">
        <a:xfrm>
          <a:off x="0" y="2758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</xdr:row>
      <xdr:rowOff>0</xdr:rowOff>
    </xdr:from>
    <xdr:to>
      <xdr:col>22</xdr:col>
      <xdr:colOff>304800</xdr:colOff>
      <xdr:row>15</xdr:row>
      <xdr:rowOff>53340</xdr:rowOff>
    </xdr:to>
    <xdr:sp macro="" textlink="">
      <xdr:nvSpPr>
        <xdr:cNvPr id="7494" name="AutoShape 28" descr="https://www.soccerstats.com/img/own/sshplogo.png">
          <a:hlinkClick xmlns:r="http://schemas.openxmlformats.org/officeDocument/2006/relationships" r:id="rId529"/>
        </xdr:cNvPr>
        <xdr:cNvSpPr>
          <a:spLocks noChangeAspect="1" noChangeArrowheads="1"/>
        </xdr:cNvSpPr>
      </xdr:nvSpPr>
      <xdr:spPr bwMode="auto">
        <a:xfrm>
          <a:off x="13411200" y="2758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152400</xdr:colOff>
      <xdr:row>15</xdr:row>
      <xdr:rowOff>106680</xdr:rowOff>
    </xdr:to>
    <xdr:sp macro="" textlink="">
      <xdr:nvSpPr>
        <xdr:cNvPr id="7495" name="AutoShape 29" descr="GERMANY2"/>
        <xdr:cNvSpPr>
          <a:spLocks noChangeAspect="1" noChangeArrowheads="1"/>
        </xdr:cNvSpPr>
      </xdr:nvSpPr>
      <xdr:spPr bwMode="auto">
        <a:xfrm>
          <a:off x="0" y="3009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</xdr:row>
      <xdr:rowOff>0</xdr:rowOff>
    </xdr:from>
    <xdr:to>
      <xdr:col>22</xdr:col>
      <xdr:colOff>304800</xdr:colOff>
      <xdr:row>16</xdr:row>
      <xdr:rowOff>129540</xdr:rowOff>
    </xdr:to>
    <xdr:sp macro="" textlink="">
      <xdr:nvSpPr>
        <xdr:cNvPr id="7496" name="AutoShape 30" descr="https://www.soccerstats.com/img/own/sshplogo.png">
          <a:hlinkClick xmlns:r="http://schemas.openxmlformats.org/officeDocument/2006/relationships" r:id="rId530"/>
        </xdr:cNvPr>
        <xdr:cNvSpPr>
          <a:spLocks noChangeAspect="1" noChangeArrowheads="1"/>
        </xdr:cNvSpPr>
      </xdr:nvSpPr>
      <xdr:spPr bwMode="auto">
        <a:xfrm>
          <a:off x="13411200" y="3009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152400</xdr:colOff>
      <xdr:row>16</xdr:row>
      <xdr:rowOff>106680</xdr:rowOff>
    </xdr:to>
    <xdr:sp macro="" textlink="">
      <xdr:nvSpPr>
        <xdr:cNvPr id="7497" name="AutoShape 31" descr="NETHERLANDS2"/>
        <xdr:cNvSpPr>
          <a:spLocks noChangeAspect="1" noChangeArrowheads="1"/>
        </xdr:cNvSpPr>
      </xdr:nvSpPr>
      <xdr:spPr bwMode="auto">
        <a:xfrm>
          <a:off x="0" y="3185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</xdr:row>
      <xdr:rowOff>0</xdr:rowOff>
    </xdr:from>
    <xdr:to>
      <xdr:col>22</xdr:col>
      <xdr:colOff>304800</xdr:colOff>
      <xdr:row>17</xdr:row>
      <xdr:rowOff>129540</xdr:rowOff>
    </xdr:to>
    <xdr:sp macro="" textlink="">
      <xdr:nvSpPr>
        <xdr:cNvPr id="7498" name="AutoShape 32" descr="https://www.soccerstats.com/img/own/sshplogo.png">
          <a:hlinkClick xmlns:r="http://schemas.openxmlformats.org/officeDocument/2006/relationships" r:id="rId531"/>
        </xdr:cNvPr>
        <xdr:cNvSpPr>
          <a:spLocks noChangeAspect="1" noChangeArrowheads="1"/>
        </xdr:cNvSpPr>
      </xdr:nvSpPr>
      <xdr:spPr bwMode="auto">
        <a:xfrm>
          <a:off x="13411200" y="3185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152400</xdr:colOff>
      <xdr:row>17</xdr:row>
      <xdr:rowOff>106680</xdr:rowOff>
    </xdr:to>
    <xdr:sp macro="" textlink="">
      <xdr:nvSpPr>
        <xdr:cNvPr id="7499" name="AutoShape 33" descr="NETHERLANDS2"/>
        <xdr:cNvSpPr>
          <a:spLocks noChangeAspect="1" noChangeArrowheads="1"/>
        </xdr:cNvSpPr>
      </xdr:nvSpPr>
      <xdr:spPr bwMode="auto">
        <a:xfrm>
          <a:off x="0" y="3360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</xdr:row>
      <xdr:rowOff>0</xdr:rowOff>
    </xdr:from>
    <xdr:to>
      <xdr:col>22</xdr:col>
      <xdr:colOff>304800</xdr:colOff>
      <xdr:row>18</xdr:row>
      <xdr:rowOff>53340</xdr:rowOff>
    </xdr:to>
    <xdr:sp macro="" textlink="">
      <xdr:nvSpPr>
        <xdr:cNvPr id="7500" name="AutoShape 34" descr="https://www.soccerstats.com/img/own/sshplogo.png">
          <a:hlinkClick xmlns:r="http://schemas.openxmlformats.org/officeDocument/2006/relationships" r:id="rId532"/>
        </xdr:cNvPr>
        <xdr:cNvSpPr>
          <a:spLocks noChangeAspect="1" noChangeArrowheads="1"/>
        </xdr:cNvSpPr>
      </xdr:nvSpPr>
      <xdr:spPr bwMode="auto">
        <a:xfrm>
          <a:off x="13411200" y="3360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152400</xdr:colOff>
      <xdr:row>18</xdr:row>
      <xdr:rowOff>106680</xdr:rowOff>
    </xdr:to>
    <xdr:sp macro="" textlink="">
      <xdr:nvSpPr>
        <xdr:cNvPr id="7501" name="AutoShape 35" descr="NETHERLANDS2"/>
        <xdr:cNvSpPr>
          <a:spLocks noChangeAspect="1" noChangeArrowheads="1"/>
        </xdr:cNvSpPr>
      </xdr:nvSpPr>
      <xdr:spPr bwMode="auto">
        <a:xfrm>
          <a:off x="0" y="3611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</xdr:row>
      <xdr:rowOff>0</xdr:rowOff>
    </xdr:from>
    <xdr:to>
      <xdr:col>22</xdr:col>
      <xdr:colOff>304800</xdr:colOff>
      <xdr:row>19</xdr:row>
      <xdr:rowOff>53340</xdr:rowOff>
    </xdr:to>
    <xdr:sp macro="" textlink="">
      <xdr:nvSpPr>
        <xdr:cNvPr id="7502" name="AutoShape 36" descr="https://www.soccerstats.com/img/own/sshplogo.png">
          <a:hlinkClick xmlns:r="http://schemas.openxmlformats.org/officeDocument/2006/relationships" r:id="rId533"/>
        </xdr:cNvPr>
        <xdr:cNvSpPr>
          <a:spLocks noChangeAspect="1" noChangeArrowheads="1"/>
        </xdr:cNvSpPr>
      </xdr:nvSpPr>
      <xdr:spPr bwMode="auto">
        <a:xfrm>
          <a:off x="13411200" y="3611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152400</xdr:colOff>
      <xdr:row>19</xdr:row>
      <xdr:rowOff>106680</xdr:rowOff>
    </xdr:to>
    <xdr:sp macro="" textlink="">
      <xdr:nvSpPr>
        <xdr:cNvPr id="7503" name="AutoShape 37" descr="NETHERLANDS2"/>
        <xdr:cNvSpPr>
          <a:spLocks noChangeAspect="1" noChangeArrowheads="1"/>
        </xdr:cNvSpPr>
      </xdr:nvSpPr>
      <xdr:spPr bwMode="auto">
        <a:xfrm>
          <a:off x="0" y="3863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</xdr:row>
      <xdr:rowOff>0</xdr:rowOff>
    </xdr:from>
    <xdr:to>
      <xdr:col>22</xdr:col>
      <xdr:colOff>304800</xdr:colOff>
      <xdr:row>20</xdr:row>
      <xdr:rowOff>129540</xdr:rowOff>
    </xdr:to>
    <xdr:sp macro="" textlink="">
      <xdr:nvSpPr>
        <xdr:cNvPr id="7504" name="AutoShape 38" descr="https://www.soccerstats.com/img/own/sshplogo.png">
          <a:hlinkClick xmlns:r="http://schemas.openxmlformats.org/officeDocument/2006/relationships" r:id="rId534"/>
        </xdr:cNvPr>
        <xdr:cNvSpPr>
          <a:spLocks noChangeAspect="1" noChangeArrowheads="1"/>
        </xdr:cNvSpPr>
      </xdr:nvSpPr>
      <xdr:spPr bwMode="auto">
        <a:xfrm>
          <a:off x="13411200" y="3863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152400</xdr:colOff>
      <xdr:row>20</xdr:row>
      <xdr:rowOff>106680</xdr:rowOff>
    </xdr:to>
    <xdr:sp macro="" textlink="">
      <xdr:nvSpPr>
        <xdr:cNvPr id="7505" name="AutoShape 39" descr="NETHERLANDS2"/>
        <xdr:cNvSpPr>
          <a:spLocks noChangeAspect="1" noChangeArrowheads="1"/>
        </xdr:cNvSpPr>
      </xdr:nvSpPr>
      <xdr:spPr bwMode="auto">
        <a:xfrm>
          <a:off x="0" y="4038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</xdr:row>
      <xdr:rowOff>0</xdr:rowOff>
    </xdr:from>
    <xdr:to>
      <xdr:col>22</xdr:col>
      <xdr:colOff>304800</xdr:colOff>
      <xdr:row>21</xdr:row>
      <xdr:rowOff>129540</xdr:rowOff>
    </xdr:to>
    <xdr:sp macro="" textlink="">
      <xdr:nvSpPr>
        <xdr:cNvPr id="7506" name="AutoShape 40" descr="https://www.soccerstats.com/img/own/sshplogo.png">
          <a:hlinkClick xmlns:r="http://schemas.openxmlformats.org/officeDocument/2006/relationships" r:id="rId535"/>
        </xdr:cNvPr>
        <xdr:cNvSpPr>
          <a:spLocks noChangeAspect="1" noChangeArrowheads="1"/>
        </xdr:cNvSpPr>
      </xdr:nvSpPr>
      <xdr:spPr bwMode="auto">
        <a:xfrm>
          <a:off x="13411200" y="4038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152400</xdr:colOff>
      <xdr:row>21</xdr:row>
      <xdr:rowOff>106680</xdr:rowOff>
    </xdr:to>
    <xdr:sp macro="" textlink="">
      <xdr:nvSpPr>
        <xdr:cNvPr id="7507" name="AutoShape 41" descr="NETHERLANDS2"/>
        <xdr:cNvSpPr>
          <a:spLocks noChangeAspect="1" noChangeArrowheads="1"/>
        </xdr:cNvSpPr>
      </xdr:nvSpPr>
      <xdr:spPr bwMode="auto">
        <a:xfrm>
          <a:off x="0" y="4213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</xdr:row>
      <xdr:rowOff>0</xdr:rowOff>
    </xdr:from>
    <xdr:to>
      <xdr:col>22</xdr:col>
      <xdr:colOff>304800</xdr:colOff>
      <xdr:row>22</xdr:row>
      <xdr:rowOff>53340</xdr:rowOff>
    </xdr:to>
    <xdr:sp macro="" textlink="">
      <xdr:nvSpPr>
        <xdr:cNvPr id="7508" name="AutoShape 42" descr="https://www.soccerstats.com/img/own/sshplogo.png">
          <a:hlinkClick xmlns:r="http://schemas.openxmlformats.org/officeDocument/2006/relationships" r:id="rId536"/>
        </xdr:cNvPr>
        <xdr:cNvSpPr>
          <a:spLocks noChangeAspect="1" noChangeArrowheads="1"/>
        </xdr:cNvSpPr>
      </xdr:nvSpPr>
      <xdr:spPr bwMode="auto">
        <a:xfrm>
          <a:off x="13411200" y="4213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152400</xdr:colOff>
      <xdr:row>22</xdr:row>
      <xdr:rowOff>106680</xdr:rowOff>
    </xdr:to>
    <xdr:sp macro="" textlink="">
      <xdr:nvSpPr>
        <xdr:cNvPr id="7509" name="AutoShape 43" descr="ARGENTINA2"/>
        <xdr:cNvSpPr>
          <a:spLocks noChangeAspect="1" noChangeArrowheads="1"/>
        </xdr:cNvSpPr>
      </xdr:nvSpPr>
      <xdr:spPr bwMode="auto">
        <a:xfrm>
          <a:off x="0" y="4465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</xdr:row>
      <xdr:rowOff>0</xdr:rowOff>
    </xdr:from>
    <xdr:to>
      <xdr:col>22</xdr:col>
      <xdr:colOff>304800</xdr:colOff>
      <xdr:row>23</xdr:row>
      <xdr:rowOff>129540</xdr:rowOff>
    </xdr:to>
    <xdr:sp macro="" textlink="">
      <xdr:nvSpPr>
        <xdr:cNvPr id="7510" name="AutoShape 44" descr="https://www.soccerstats.com/img/own/sshplogo.png">
          <a:hlinkClick xmlns:r="http://schemas.openxmlformats.org/officeDocument/2006/relationships" r:id="rId537"/>
        </xdr:cNvPr>
        <xdr:cNvSpPr>
          <a:spLocks noChangeAspect="1" noChangeArrowheads="1"/>
        </xdr:cNvSpPr>
      </xdr:nvSpPr>
      <xdr:spPr bwMode="auto">
        <a:xfrm>
          <a:off x="13411200" y="4465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152400</xdr:colOff>
      <xdr:row>23</xdr:row>
      <xdr:rowOff>106680</xdr:rowOff>
    </xdr:to>
    <xdr:sp macro="" textlink="">
      <xdr:nvSpPr>
        <xdr:cNvPr id="7511" name="AutoShape 45" descr="ARGENTINA3"/>
        <xdr:cNvSpPr>
          <a:spLocks noChangeAspect="1" noChangeArrowheads="1"/>
        </xdr:cNvSpPr>
      </xdr:nvSpPr>
      <xdr:spPr bwMode="auto">
        <a:xfrm>
          <a:off x="0" y="4640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</xdr:row>
      <xdr:rowOff>0</xdr:rowOff>
    </xdr:from>
    <xdr:to>
      <xdr:col>22</xdr:col>
      <xdr:colOff>304800</xdr:colOff>
      <xdr:row>24</xdr:row>
      <xdr:rowOff>129540</xdr:rowOff>
    </xdr:to>
    <xdr:sp macro="" textlink="">
      <xdr:nvSpPr>
        <xdr:cNvPr id="7512" name="AutoShape 46" descr="https://www.soccerstats.com/img/own/sshplogo.png">
          <a:hlinkClick xmlns:r="http://schemas.openxmlformats.org/officeDocument/2006/relationships" r:id="rId538"/>
        </xdr:cNvPr>
        <xdr:cNvSpPr>
          <a:spLocks noChangeAspect="1" noChangeArrowheads="1"/>
        </xdr:cNvSpPr>
      </xdr:nvSpPr>
      <xdr:spPr bwMode="auto">
        <a:xfrm>
          <a:off x="13411200" y="4640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152400</xdr:colOff>
      <xdr:row>24</xdr:row>
      <xdr:rowOff>106680</xdr:rowOff>
    </xdr:to>
    <xdr:sp macro="" textlink="">
      <xdr:nvSpPr>
        <xdr:cNvPr id="7513" name="AutoShape 47" descr="ARGENTINA3"/>
        <xdr:cNvSpPr>
          <a:spLocks noChangeAspect="1" noChangeArrowheads="1"/>
        </xdr:cNvSpPr>
      </xdr:nvSpPr>
      <xdr:spPr bwMode="auto">
        <a:xfrm>
          <a:off x="0" y="4815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</xdr:row>
      <xdr:rowOff>0</xdr:rowOff>
    </xdr:from>
    <xdr:to>
      <xdr:col>22</xdr:col>
      <xdr:colOff>304800</xdr:colOff>
      <xdr:row>25</xdr:row>
      <xdr:rowOff>53340</xdr:rowOff>
    </xdr:to>
    <xdr:sp macro="" textlink="">
      <xdr:nvSpPr>
        <xdr:cNvPr id="7514" name="AutoShape 48" descr="https://www.soccerstats.com/img/own/sshplogo.png">
          <a:hlinkClick xmlns:r="http://schemas.openxmlformats.org/officeDocument/2006/relationships" r:id="rId539"/>
        </xdr:cNvPr>
        <xdr:cNvSpPr>
          <a:spLocks noChangeAspect="1" noChangeArrowheads="1"/>
        </xdr:cNvSpPr>
      </xdr:nvSpPr>
      <xdr:spPr bwMode="auto">
        <a:xfrm>
          <a:off x="13411200" y="4815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152400</xdr:colOff>
      <xdr:row>25</xdr:row>
      <xdr:rowOff>106680</xdr:rowOff>
    </xdr:to>
    <xdr:sp macro="" textlink="">
      <xdr:nvSpPr>
        <xdr:cNvPr id="7515" name="AutoShape 49" descr="ARMENIA"/>
        <xdr:cNvSpPr>
          <a:spLocks noChangeAspect="1" noChangeArrowheads="1"/>
        </xdr:cNvSpPr>
      </xdr:nvSpPr>
      <xdr:spPr bwMode="auto">
        <a:xfrm>
          <a:off x="0" y="5067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25</xdr:row>
      <xdr:rowOff>0</xdr:rowOff>
    </xdr:from>
    <xdr:to>
      <xdr:col>22</xdr:col>
      <xdr:colOff>304800</xdr:colOff>
      <xdr:row>26</xdr:row>
      <xdr:rowOff>129540</xdr:rowOff>
    </xdr:to>
    <xdr:sp macro="" textlink="">
      <xdr:nvSpPr>
        <xdr:cNvPr id="7516" name="AutoShape 50" descr="https://www.soccerstats.com/img/own/sshplogo.png">
          <a:hlinkClick xmlns:r="http://schemas.openxmlformats.org/officeDocument/2006/relationships" r:id="rId540"/>
        </xdr:cNvPr>
        <xdr:cNvSpPr>
          <a:spLocks noChangeAspect="1" noChangeArrowheads="1"/>
        </xdr:cNvSpPr>
      </xdr:nvSpPr>
      <xdr:spPr bwMode="auto">
        <a:xfrm>
          <a:off x="13411200" y="5067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152400</xdr:colOff>
      <xdr:row>26</xdr:row>
      <xdr:rowOff>106680</xdr:rowOff>
    </xdr:to>
    <xdr:sp macro="" textlink="">
      <xdr:nvSpPr>
        <xdr:cNvPr id="7517" name="AutoShape 51" descr="AUSTRALIA3"/>
        <xdr:cNvSpPr>
          <a:spLocks noChangeAspect="1" noChangeArrowheads="1"/>
        </xdr:cNvSpPr>
      </xdr:nvSpPr>
      <xdr:spPr bwMode="auto">
        <a:xfrm>
          <a:off x="0" y="5242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26</xdr:row>
      <xdr:rowOff>0</xdr:rowOff>
    </xdr:from>
    <xdr:to>
      <xdr:col>22</xdr:col>
      <xdr:colOff>304800</xdr:colOff>
      <xdr:row>27</xdr:row>
      <xdr:rowOff>53340</xdr:rowOff>
    </xdr:to>
    <xdr:sp macro="" textlink="">
      <xdr:nvSpPr>
        <xdr:cNvPr id="7518" name="AutoShape 52" descr="https://www.soccerstats.com/img/own/sshplogo.png">
          <a:hlinkClick xmlns:r="http://schemas.openxmlformats.org/officeDocument/2006/relationships" r:id="rId541"/>
        </xdr:cNvPr>
        <xdr:cNvSpPr>
          <a:spLocks noChangeAspect="1" noChangeArrowheads="1"/>
        </xdr:cNvSpPr>
      </xdr:nvSpPr>
      <xdr:spPr bwMode="auto">
        <a:xfrm>
          <a:off x="13411200" y="5242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152400</xdr:colOff>
      <xdr:row>27</xdr:row>
      <xdr:rowOff>106680</xdr:rowOff>
    </xdr:to>
    <xdr:sp macro="" textlink="">
      <xdr:nvSpPr>
        <xdr:cNvPr id="7519" name="AutoShape 53" descr="AUSTRALIA3"/>
        <xdr:cNvSpPr>
          <a:spLocks noChangeAspect="1" noChangeArrowheads="1"/>
        </xdr:cNvSpPr>
      </xdr:nvSpPr>
      <xdr:spPr bwMode="auto">
        <a:xfrm>
          <a:off x="0" y="5494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27</xdr:row>
      <xdr:rowOff>0</xdr:rowOff>
    </xdr:from>
    <xdr:to>
      <xdr:col>22</xdr:col>
      <xdr:colOff>304800</xdr:colOff>
      <xdr:row>28</xdr:row>
      <xdr:rowOff>129540</xdr:rowOff>
    </xdr:to>
    <xdr:sp macro="" textlink="">
      <xdr:nvSpPr>
        <xdr:cNvPr id="7520" name="AutoShape 54" descr="https://www.soccerstats.com/img/own/sshplogo.png">
          <a:hlinkClick xmlns:r="http://schemas.openxmlformats.org/officeDocument/2006/relationships" r:id="rId542"/>
        </xdr:cNvPr>
        <xdr:cNvSpPr>
          <a:spLocks noChangeAspect="1" noChangeArrowheads="1"/>
        </xdr:cNvSpPr>
      </xdr:nvSpPr>
      <xdr:spPr bwMode="auto">
        <a:xfrm>
          <a:off x="13411200" y="5494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152400</xdr:colOff>
      <xdr:row>28</xdr:row>
      <xdr:rowOff>106680</xdr:rowOff>
    </xdr:to>
    <xdr:sp macro="" textlink="">
      <xdr:nvSpPr>
        <xdr:cNvPr id="7521" name="AutoShape 55" descr="AUSTRALIA3"/>
        <xdr:cNvSpPr>
          <a:spLocks noChangeAspect="1" noChangeArrowheads="1"/>
        </xdr:cNvSpPr>
      </xdr:nvSpPr>
      <xdr:spPr bwMode="auto">
        <a:xfrm>
          <a:off x="0" y="5669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28</xdr:row>
      <xdr:rowOff>0</xdr:rowOff>
    </xdr:from>
    <xdr:to>
      <xdr:col>22</xdr:col>
      <xdr:colOff>304800</xdr:colOff>
      <xdr:row>29</xdr:row>
      <xdr:rowOff>129540</xdr:rowOff>
    </xdr:to>
    <xdr:sp macro="" textlink="">
      <xdr:nvSpPr>
        <xdr:cNvPr id="7522" name="AutoShape 56" descr="https://www.soccerstats.com/img/own/sshplogo.png">
          <a:hlinkClick xmlns:r="http://schemas.openxmlformats.org/officeDocument/2006/relationships" r:id="rId543"/>
        </xdr:cNvPr>
        <xdr:cNvSpPr>
          <a:spLocks noChangeAspect="1" noChangeArrowheads="1"/>
        </xdr:cNvSpPr>
      </xdr:nvSpPr>
      <xdr:spPr bwMode="auto">
        <a:xfrm>
          <a:off x="13411200" y="5669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152400</xdr:colOff>
      <xdr:row>29</xdr:row>
      <xdr:rowOff>106680</xdr:rowOff>
    </xdr:to>
    <xdr:sp macro="" textlink="">
      <xdr:nvSpPr>
        <xdr:cNvPr id="7523" name="AutoShape 57" descr="AUSTRALIA4"/>
        <xdr:cNvSpPr>
          <a:spLocks noChangeAspect="1" noChangeArrowheads="1"/>
        </xdr:cNvSpPr>
      </xdr:nvSpPr>
      <xdr:spPr bwMode="auto">
        <a:xfrm>
          <a:off x="0" y="584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</xdr:row>
      <xdr:rowOff>0</xdr:rowOff>
    </xdr:from>
    <xdr:to>
      <xdr:col>22</xdr:col>
      <xdr:colOff>304800</xdr:colOff>
      <xdr:row>30</xdr:row>
      <xdr:rowOff>53340</xdr:rowOff>
    </xdr:to>
    <xdr:sp macro="" textlink="">
      <xdr:nvSpPr>
        <xdr:cNvPr id="7524" name="AutoShape 58" descr="https://www.soccerstats.com/img/own/sshplogo.png">
          <a:hlinkClick xmlns:r="http://schemas.openxmlformats.org/officeDocument/2006/relationships" r:id="rId544"/>
        </xdr:cNvPr>
        <xdr:cNvSpPr>
          <a:spLocks noChangeAspect="1" noChangeArrowheads="1"/>
        </xdr:cNvSpPr>
      </xdr:nvSpPr>
      <xdr:spPr bwMode="auto">
        <a:xfrm>
          <a:off x="13411200" y="584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152400</xdr:colOff>
      <xdr:row>30</xdr:row>
      <xdr:rowOff>106680</xdr:rowOff>
    </xdr:to>
    <xdr:sp macro="" textlink="">
      <xdr:nvSpPr>
        <xdr:cNvPr id="7525" name="AutoShape 59" descr="AUSTRALIA4"/>
        <xdr:cNvSpPr>
          <a:spLocks noChangeAspect="1" noChangeArrowheads="1"/>
        </xdr:cNvSpPr>
      </xdr:nvSpPr>
      <xdr:spPr bwMode="auto">
        <a:xfrm>
          <a:off x="0" y="6096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30</xdr:row>
      <xdr:rowOff>0</xdr:rowOff>
    </xdr:from>
    <xdr:to>
      <xdr:col>22</xdr:col>
      <xdr:colOff>304800</xdr:colOff>
      <xdr:row>31</xdr:row>
      <xdr:rowOff>53340</xdr:rowOff>
    </xdr:to>
    <xdr:sp macro="" textlink="">
      <xdr:nvSpPr>
        <xdr:cNvPr id="7526" name="AutoShape 60" descr="https://www.soccerstats.com/img/own/sshplogo.png">
          <a:hlinkClick xmlns:r="http://schemas.openxmlformats.org/officeDocument/2006/relationships" r:id="rId545"/>
        </xdr:cNvPr>
        <xdr:cNvSpPr>
          <a:spLocks noChangeAspect="1" noChangeArrowheads="1"/>
        </xdr:cNvSpPr>
      </xdr:nvSpPr>
      <xdr:spPr bwMode="auto">
        <a:xfrm>
          <a:off x="13411200" y="609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152400</xdr:colOff>
      <xdr:row>31</xdr:row>
      <xdr:rowOff>106680</xdr:rowOff>
    </xdr:to>
    <xdr:sp macro="" textlink="">
      <xdr:nvSpPr>
        <xdr:cNvPr id="7527" name="AutoShape 61" descr="AUSTRALIA4"/>
        <xdr:cNvSpPr>
          <a:spLocks noChangeAspect="1" noChangeArrowheads="1"/>
        </xdr:cNvSpPr>
      </xdr:nvSpPr>
      <xdr:spPr bwMode="auto">
        <a:xfrm>
          <a:off x="0" y="6347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31</xdr:row>
      <xdr:rowOff>0</xdr:rowOff>
    </xdr:from>
    <xdr:to>
      <xdr:col>22</xdr:col>
      <xdr:colOff>304800</xdr:colOff>
      <xdr:row>32</xdr:row>
      <xdr:rowOff>53340</xdr:rowOff>
    </xdr:to>
    <xdr:sp macro="" textlink="">
      <xdr:nvSpPr>
        <xdr:cNvPr id="7528" name="AutoShape 62" descr="https://www.soccerstats.com/img/own/sshplogo.png">
          <a:hlinkClick xmlns:r="http://schemas.openxmlformats.org/officeDocument/2006/relationships" r:id="rId546"/>
        </xdr:cNvPr>
        <xdr:cNvSpPr>
          <a:spLocks noChangeAspect="1" noChangeArrowheads="1"/>
        </xdr:cNvSpPr>
      </xdr:nvSpPr>
      <xdr:spPr bwMode="auto">
        <a:xfrm>
          <a:off x="13411200" y="6347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152400</xdr:colOff>
      <xdr:row>32</xdr:row>
      <xdr:rowOff>106680</xdr:rowOff>
    </xdr:to>
    <xdr:sp macro="" textlink="">
      <xdr:nvSpPr>
        <xdr:cNvPr id="7529" name="AutoShape 63" descr="AUSTRALIA4"/>
        <xdr:cNvSpPr>
          <a:spLocks noChangeAspect="1" noChangeArrowheads="1"/>
        </xdr:cNvSpPr>
      </xdr:nvSpPr>
      <xdr:spPr bwMode="auto">
        <a:xfrm>
          <a:off x="0" y="6598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32</xdr:row>
      <xdr:rowOff>0</xdr:rowOff>
    </xdr:from>
    <xdr:to>
      <xdr:col>22</xdr:col>
      <xdr:colOff>304800</xdr:colOff>
      <xdr:row>33</xdr:row>
      <xdr:rowOff>129540</xdr:rowOff>
    </xdr:to>
    <xdr:sp macro="" textlink="">
      <xdr:nvSpPr>
        <xdr:cNvPr id="7530" name="AutoShape 64" descr="https://www.soccerstats.com/img/own/sshplogo.png">
          <a:hlinkClick xmlns:r="http://schemas.openxmlformats.org/officeDocument/2006/relationships" r:id="rId547"/>
        </xdr:cNvPr>
        <xdr:cNvSpPr>
          <a:spLocks noChangeAspect="1" noChangeArrowheads="1"/>
        </xdr:cNvSpPr>
      </xdr:nvSpPr>
      <xdr:spPr bwMode="auto">
        <a:xfrm>
          <a:off x="13411200" y="6598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152400</xdr:colOff>
      <xdr:row>33</xdr:row>
      <xdr:rowOff>106680</xdr:rowOff>
    </xdr:to>
    <xdr:sp macro="" textlink="">
      <xdr:nvSpPr>
        <xdr:cNvPr id="7531" name="AutoShape 65" descr="AUSTRALIA4"/>
        <xdr:cNvSpPr>
          <a:spLocks noChangeAspect="1" noChangeArrowheads="1"/>
        </xdr:cNvSpPr>
      </xdr:nvSpPr>
      <xdr:spPr bwMode="auto">
        <a:xfrm>
          <a:off x="0" y="6774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33</xdr:row>
      <xdr:rowOff>0</xdr:rowOff>
    </xdr:from>
    <xdr:to>
      <xdr:col>22</xdr:col>
      <xdr:colOff>304800</xdr:colOff>
      <xdr:row>34</xdr:row>
      <xdr:rowOff>129540</xdr:rowOff>
    </xdr:to>
    <xdr:sp macro="" textlink="">
      <xdr:nvSpPr>
        <xdr:cNvPr id="7532" name="AutoShape 66" descr="https://www.soccerstats.com/img/own/sshplogo.png">
          <a:hlinkClick xmlns:r="http://schemas.openxmlformats.org/officeDocument/2006/relationships" r:id="rId548"/>
        </xdr:cNvPr>
        <xdr:cNvSpPr>
          <a:spLocks noChangeAspect="1" noChangeArrowheads="1"/>
        </xdr:cNvSpPr>
      </xdr:nvSpPr>
      <xdr:spPr bwMode="auto">
        <a:xfrm>
          <a:off x="13411200" y="6774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152400</xdr:colOff>
      <xdr:row>34</xdr:row>
      <xdr:rowOff>106680</xdr:rowOff>
    </xdr:to>
    <xdr:sp macro="" textlink="">
      <xdr:nvSpPr>
        <xdr:cNvPr id="7533" name="AutoShape 67" descr="AUSTRALIA4"/>
        <xdr:cNvSpPr>
          <a:spLocks noChangeAspect="1" noChangeArrowheads="1"/>
        </xdr:cNvSpPr>
      </xdr:nvSpPr>
      <xdr:spPr bwMode="auto">
        <a:xfrm>
          <a:off x="0" y="6949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34</xdr:row>
      <xdr:rowOff>0</xdr:rowOff>
    </xdr:from>
    <xdr:to>
      <xdr:col>22</xdr:col>
      <xdr:colOff>304800</xdr:colOff>
      <xdr:row>35</xdr:row>
      <xdr:rowOff>53340</xdr:rowOff>
    </xdr:to>
    <xdr:sp macro="" textlink="">
      <xdr:nvSpPr>
        <xdr:cNvPr id="7534" name="AutoShape 68" descr="https://www.soccerstats.com/img/own/sshplogo.png">
          <a:hlinkClick xmlns:r="http://schemas.openxmlformats.org/officeDocument/2006/relationships" r:id="rId549"/>
        </xdr:cNvPr>
        <xdr:cNvSpPr>
          <a:spLocks noChangeAspect="1" noChangeArrowheads="1"/>
        </xdr:cNvSpPr>
      </xdr:nvSpPr>
      <xdr:spPr bwMode="auto">
        <a:xfrm>
          <a:off x="13411200" y="6949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152400</xdr:colOff>
      <xdr:row>35</xdr:row>
      <xdr:rowOff>106680</xdr:rowOff>
    </xdr:to>
    <xdr:sp macro="" textlink="">
      <xdr:nvSpPr>
        <xdr:cNvPr id="7535" name="AutoShape 69" descr="AUSTRALIA5"/>
        <xdr:cNvSpPr>
          <a:spLocks noChangeAspect="1" noChangeArrowheads="1"/>
        </xdr:cNvSpPr>
      </xdr:nvSpPr>
      <xdr:spPr bwMode="auto">
        <a:xfrm>
          <a:off x="0" y="7200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35</xdr:row>
      <xdr:rowOff>0</xdr:rowOff>
    </xdr:from>
    <xdr:to>
      <xdr:col>22</xdr:col>
      <xdr:colOff>304800</xdr:colOff>
      <xdr:row>36</xdr:row>
      <xdr:rowOff>129540</xdr:rowOff>
    </xdr:to>
    <xdr:sp macro="" textlink="">
      <xdr:nvSpPr>
        <xdr:cNvPr id="7536" name="AutoShape 70" descr="https://www.soccerstats.com/img/own/sshplogo.png">
          <a:hlinkClick xmlns:r="http://schemas.openxmlformats.org/officeDocument/2006/relationships" r:id="rId550"/>
        </xdr:cNvPr>
        <xdr:cNvSpPr>
          <a:spLocks noChangeAspect="1" noChangeArrowheads="1"/>
        </xdr:cNvSpPr>
      </xdr:nvSpPr>
      <xdr:spPr bwMode="auto">
        <a:xfrm>
          <a:off x="13411200" y="7200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152400</xdr:colOff>
      <xdr:row>36</xdr:row>
      <xdr:rowOff>106680</xdr:rowOff>
    </xdr:to>
    <xdr:sp macro="" textlink="">
      <xdr:nvSpPr>
        <xdr:cNvPr id="7537" name="AutoShape 71" descr="AUSTRALIA11"/>
        <xdr:cNvSpPr>
          <a:spLocks noChangeAspect="1" noChangeArrowheads="1"/>
        </xdr:cNvSpPr>
      </xdr:nvSpPr>
      <xdr:spPr bwMode="auto">
        <a:xfrm>
          <a:off x="0" y="7376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36</xdr:row>
      <xdr:rowOff>0</xdr:rowOff>
    </xdr:from>
    <xdr:to>
      <xdr:col>22</xdr:col>
      <xdr:colOff>304800</xdr:colOff>
      <xdr:row>37</xdr:row>
      <xdr:rowOff>53340</xdr:rowOff>
    </xdr:to>
    <xdr:sp macro="" textlink="">
      <xdr:nvSpPr>
        <xdr:cNvPr id="7538" name="AutoShape 72" descr="https://www.soccerstats.com/img/own/sshplogo.png">
          <a:hlinkClick xmlns:r="http://schemas.openxmlformats.org/officeDocument/2006/relationships" r:id="rId551"/>
        </xdr:cNvPr>
        <xdr:cNvSpPr>
          <a:spLocks noChangeAspect="1" noChangeArrowheads="1"/>
        </xdr:cNvSpPr>
      </xdr:nvSpPr>
      <xdr:spPr bwMode="auto">
        <a:xfrm>
          <a:off x="13411200" y="7376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152400</xdr:colOff>
      <xdr:row>37</xdr:row>
      <xdr:rowOff>106680</xdr:rowOff>
    </xdr:to>
    <xdr:sp macro="" textlink="">
      <xdr:nvSpPr>
        <xdr:cNvPr id="7539" name="AutoShape 73" descr="AUSTRIA"/>
        <xdr:cNvSpPr>
          <a:spLocks noChangeAspect="1" noChangeArrowheads="1"/>
        </xdr:cNvSpPr>
      </xdr:nvSpPr>
      <xdr:spPr bwMode="auto">
        <a:xfrm>
          <a:off x="0" y="7627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37</xdr:row>
      <xdr:rowOff>0</xdr:rowOff>
    </xdr:from>
    <xdr:to>
      <xdr:col>22</xdr:col>
      <xdr:colOff>304800</xdr:colOff>
      <xdr:row>38</xdr:row>
      <xdr:rowOff>129540</xdr:rowOff>
    </xdr:to>
    <xdr:sp macro="" textlink="">
      <xdr:nvSpPr>
        <xdr:cNvPr id="7540" name="AutoShape 74" descr="https://www.soccerstats.com/img/own/sshplogo.png">
          <a:hlinkClick xmlns:r="http://schemas.openxmlformats.org/officeDocument/2006/relationships" r:id="rId552"/>
        </xdr:cNvPr>
        <xdr:cNvSpPr>
          <a:spLocks noChangeAspect="1" noChangeArrowheads="1"/>
        </xdr:cNvSpPr>
      </xdr:nvSpPr>
      <xdr:spPr bwMode="auto">
        <a:xfrm>
          <a:off x="13411200" y="7627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152400</xdr:colOff>
      <xdr:row>38</xdr:row>
      <xdr:rowOff>106680</xdr:rowOff>
    </xdr:to>
    <xdr:sp macro="" textlink="">
      <xdr:nvSpPr>
        <xdr:cNvPr id="7541" name="AutoShape 75" descr="AUSTRIA2"/>
        <xdr:cNvSpPr>
          <a:spLocks noChangeAspect="1" noChangeArrowheads="1"/>
        </xdr:cNvSpPr>
      </xdr:nvSpPr>
      <xdr:spPr bwMode="auto">
        <a:xfrm>
          <a:off x="0" y="7802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38</xdr:row>
      <xdr:rowOff>0</xdr:rowOff>
    </xdr:from>
    <xdr:to>
      <xdr:col>22</xdr:col>
      <xdr:colOff>304800</xdr:colOff>
      <xdr:row>39</xdr:row>
      <xdr:rowOff>129540</xdr:rowOff>
    </xdr:to>
    <xdr:sp macro="" textlink="">
      <xdr:nvSpPr>
        <xdr:cNvPr id="7542" name="AutoShape 76" descr="https://www.soccerstats.com/img/own/sshplogo.png">
          <a:hlinkClick xmlns:r="http://schemas.openxmlformats.org/officeDocument/2006/relationships" r:id="rId553"/>
        </xdr:cNvPr>
        <xdr:cNvSpPr>
          <a:spLocks noChangeAspect="1" noChangeArrowheads="1"/>
        </xdr:cNvSpPr>
      </xdr:nvSpPr>
      <xdr:spPr bwMode="auto">
        <a:xfrm>
          <a:off x="13411200" y="780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152400</xdr:colOff>
      <xdr:row>39</xdr:row>
      <xdr:rowOff>106680</xdr:rowOff>
    </xdr:to>
    <xdr:sp macro="" textlink="">
      <xdr:nvSpPr>
        <xdr:cNvPr id="7543" name="AutoShape 77" descr="AUSTRIA2"/>
        <xdr:cNvSpPr>
          <a:spLocks noChangeAspect="1" noChangeArrowheads="1"/>
        </xdr:cNvSpPr>
      </xdr:nvSpPr>
      <xdr:spPr bwMode="auto">
        <a:xfrm>
          <a:off x="0" y="7978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39</xdr:row>
      <xdr:rowOff>0</xdr:rowOff>
    </xdr:from>
    <xdr:to>
      <xdr:col>22</xdr:col>
      <xdr:colOff>304800</xdr:colOff>
      <xdr:row>40</xdr:row>
      <xdr:rowOff>129540</xdr:rowOff>
    </xdr:to>
    <xdr:sp macro="" textlink="">
      <xdr:nvSpPr>
        <xdr:cNvPr id="7544" name="AutoShape 78" descr="https://www.soccerstats.com/img/own/sshplogo.png">
          <a:hlinkClick xmlns:r="http://schemas.openxmlformats.org/officeDocument/2006/relationships" r:id="rId554"/>
        </xdr:cNvPr>
        <xdr:cNvSpPr>
          <a:spLocks noChangeAspect="1" noChangeArrowheads="1"/>
        </xdr:cNvSpPr>
      </xdr:nvSpPr>
      <xdr:spPr bwMode="auto">
        <a:xfrm>
          <a:off x="13411200" y="797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152400</xdr:colOff>
      <xdr:row>40</xdr:row>
      <xdr:rowOff>106680</xdr:rowOff>
    </xdr:to>
    <xdr:sp macro="" textlink="">
      <xdr:nvSpPr>
        <xdr:cNvPr id="7545" name="AutoShape 79" descr="AZERBAIJAN"/>
        <xdr:cNvSpPr>
          <a:spLocks noChangeAspect="1" noChangeArrowheads="1"/>
        </xdr:cNvSpPr>
      </xdr:nvSpPr>
      <xdr:spPr bwMode="auto">
        <a:xfrm>
          <a:off x="0" y="815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40</xdr:row>
      <xdr:rowOff>0</xdr:rowOff>
    </xdr:from>
    <xdr:to>
      <xdr:col>22</xdr:col>
      <xdr:colOff>304800</xdr:colOff>
      <xdr:row>41</xdr:row>
      <xdr:rowOff>129540</xdr:rowOff>
    </xdr:to>
    <xdr:sp macro="" textlink="">
      <xdr:nvSpPr>
        <xdr:cNvPr id="7546" name="AutoShape 80" descr="https://www.soccerstats.com/img/own/sshplogo.png">
          <a:hlinkClick xmlns:r="http://schemas.openxmlformats.org/officeDocument/2006/relationships" r:id="rId556"/>
        </xdr:cNvPr>
        <xdr:cNvSpPr>
          <a:spLocks noChangeAspect="1" noChangeArrowheads="1"/>
        </xdr:cNvSpPr>
      </xdr:nvSpPr>
      <xdr:spPr bwMode="auto">
        <a:xfrm>
          <a:off x="13411200" y="815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152400</xdr:colOff>
      <xdr:row>41</xdr:row>
      <xdr:rowOff>106680</xdr:rowOff>
    </xdr:to>
    <xdr:sp macro="" textlink="">
      <xdr:nvSpPr>
        <xdr:cNvPr id="7547" name="AutoShape 81" descr="AZERBAIJAN"/>
        <xdr:cNvSpPr>
          <a:spLocks noChangeAspect="1" noChangeArrowheads="1"/>
        </xdr:cNvSpPr>
      </xdr:nvSpPr>
      <xdr:spPr bwMode="auto">
        <a:xfrm>
          <a:off x="0" y="832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41</xdr:row>
      <xdr:rowOff>0</xdr:rowOff>
    </xdr:from>
    <xdr:to>
      <xdr:col>22</xdr:col>
      <xdr:colOff>304800</xdr:colOff>
      <xdr:row>42</xdr:row>
      <xdr:rowOff>129540</xdr:rowOff>
    </xdr:to>
    <xdr:sp macro="" textlink="">
      <xdr:nvSpPr>
        <xdr:cNvPr id="7548" name="AutoShape 82" descr="https://www.soccerstats.com/img/own/sshplogo.png">
          <a:hlinkClick xmlns:r="http://schemas.openxmlformats.org/officeDocument/2006/relationships" r:id="rId559"/>
        </xdr:cNvPr>
        <xdr:cNvSpPr>
          <a:spLocks noChangeAspect="1" noChangeArrowheads="1"/>
        </xdr:cNvSpPr>
      </xdr:nvSpPr>
      <xdr:spPr bwMode="auto">
        <a:xfrm>
          <a:off x="13411200" y="832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152400</xdr:colOff>
      <xdr:row>42</xdr:row>
      <xdr:rowOff>106680</xdr:rowOff>
    </xdr:to>
    <xdr:sp macro="" textlink="">
      <xdr:nvSpPr>
        <xdr:cNvPr id="7549" name="AutoShape 83" descr="BELARUS"/>
        <xdr:cNvSpPr>
          <a:spLocks noChangeAspect="1" noChangeArrowheads="1"/>
        </xdr:cNvSpPr>
      </xdr:nvSpPr>
      <xdr:spPr bwMode="auto">
        <a:xfrm>
          <a:off x="0" y="8503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42</xdr:row>
      <xdr:rowOff>0</xdr:rowOff>
    </xdr:from>
    <xdr:to>
      <xdr:col>22</xdr:col>
      <xdr:colOff>304800</xdr:colOff>
      <xdr:row>43</xdr:row>
      <xdr:rowOff>129540</xdr:rowOff>
    </xdr:to>
    <xdr:sp macro="" textlink="">
      <xdr:nvSpPr>
        <xdr:cNvPr id="7550" name="AutoShape 84" descr="https://www.soccerstats.com/img/own/sshplogo.png">
          <a:hlinkClick xmlns:r="http://schemas.openxmlformats.org/officeDocument/2006/relationships" r:id="rId561"/>
        </xdr:cNvPr>
        <xdr:cNvSpPr>
          <a:spLocks noChangeAspect="1" noChangeArrowheads="1"/>
        </xdr:cNvSpPr>
      </xdr:nvSpPr>
      <xdr:spPr bwMode="auto">
        <a:xfrm>
          <a:off x="13411200" y="8503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152400</xdr:colOff>
      <xdr:row>43</xdr:row>
      <xdr:rowOff>106680</xdr:rowOff>
    </xdr:to>
    <xdr:sp macro="" textlink="">
      <xdr:nvSpPr>
        <xdr:cNvPr id="7551" name="AutoShape 85" descr="BELARUS"/>
        <xdr:cNvSpPr>
          <a:spLocks noChangeAspect="1" noChangeArrowheads="1"/>
        </xdr:cNvSpPr>
      </xdr:nvSpPr>
      <xdr:spPr bwMode="auto">
        <a:xfrm>
          <a:off x="0" y="8679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43</xdr:row>
      <xdr:rowOff>0</xdr:rowOff>
    </xdr:from>
    <xdr:to>
      <xdr:col>22</xdr:col>
      <xdr:colOff>304800</xdr:colOff>
      <xdr:row>44</xdr:row>
      <xdr:rowOff>53340</xdr:rowOff>
    </xdr:to>
    <xdr:sp macro="" textlink="">
      <xdr:nvSpPr>
        <xdr:cNvPr id="7552" name="AutoShape 86" descr="https://www.soccerstats.com/img/own/sshplogo.png">
          <a:hlinkClick xmlns:r="http://schemas.openxmlformats.org/officeDocument/2006/relationships" r:id="rId562"/>
        </xdr:cNvPr>
        <xdr:cNvSpPr>
          <a:spLocks noChangeAspect="1" noChangeArrowheads="1"/>
        </xdr:cNvSpPr>
      </xdr:nvSpPr>
      <xdr:spPr bwMode="auto">
        <a:xfrm>
          <a:off x="13411200" y="8679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152400</xdr:colOff>
      <xdr:row>44</xdr:row>
      <xdr:rowOff>106680</xdr:rowOff>
    </xdr:to>
    <xdr:sp macro="" textlink="">
      <xdr:nvSpPr>
        <xdr:cNvPr id="7553" name="AutoShape 87" descr="BELGIUM"/>
        <xdr:cNvSpPr>
          <a:spLocks noChangeAspect="1" noChangeArrowheads="1"/>
        </xdr:cNvSpPr>
      </xdr:nvSpPr>
      <xdr:spPr bwMode="auto">
        <a:xfrm>
          <a:off x="0" y="893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44</xdr:row>
      <xdr:rowOff>0</xdr:rowOff>
    </xdr:from>
    <xdr:to>
      <xdr:col>22</xdr:col>
      <xdr:colOff>304800</xdr:colOff>
      <xdr:row>45</xdr:row>
      <xdr:rowOff>53340</xdr:rowOff>
    </xdr:to>
    <xdr:sp macro="" textlink="">
      <xdr:nvSpPr>
        <xdr:cNvPr id="7554" name="AutoShape 88" descr="https://www.soccerstats.com/img/own/sshplogo.png">
          <a:hlinkClick xmlns:r="http://schemas.openxmlformats.org/officeDocument/2006/relationships" r:id="rId563"/>
        </xdr:cNvPr>
        <xdr:cNvSpPr>
          <a:spLocks noChangeAspect="1" noChangeArrowheads="1"/>
        </xdr:cNvSpPr>
      </xdr:nvSpPr>
      <xdr:spPr bwMode="auto">
        <a:xfrm>
          <a:off x="13411200" y="893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152400</xdr:colOff>
      <xdr:row>45</xdr:row>
      <xdr:rowOff>106680</xdr:rowOff>
    </xdr:to>
    <xdr:sp macro="" textlink="">
      <xdr:nvSpPr>
        <xdr:cNvPr id="7555" name="AutoShape 89" descr="BELGIUM2"/>
        <xdr:cNvSpPr>
          <a:spLocks noChangeAspect="1" noChangeArrowheads="1"/>
        </xdr:cNvSpPr>
      </xdr:nvSpPr>
      <xdr:spPr bwMode="auto">
        <a:xfrm>
          <a:off x="0" y="9182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45</xdr:row>
      <xdr:rowOff>0</xdr:rowOff>
    </xdr:from>
    <xdr:to>
      <xdr:col>22</xdr:col>
      <xdr:colOff>304800</xdr:colOff>
      <xdr:row>46</xdr:row>
      <xdr:rowOff>129540</xdr:rowOff>
    </xdr:to>
    <xdr:sp macro="" textlink="">
      <xdr:nvSpPr>
        <xdr:cNvPr id="7556" name="AutoShape 90" descr="https://www.soccerstats.com/img/own/sshplogo.png">
          <a:hlinkClick xmlns:r="http://schemas.openxmlformats.org/officeDocument/2006/relationships" r:id="rId564"/>
        </xdr:cNvPr>
        <xdr:cNvSpPr>
          <a:spLocks noChangeAspect="1" noChangeArrowheads="1"/>
        </xdr:cNvSpPr>
      </xdr:nvSpPr>
      <xdr:spPr bwMode="auto">
        <a:xfrm>
          <a:off x="13411200" y="9182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152400</xdr:colOff>
      <xdr:row>46</xdr:row>
      <xdr:rowOff>106680</xdr:rowOff>
    </xdr:to>
    <xdr:sp macro="" textlink="">
      <xdr:nvSpPr>
        <xdr:cNvPr id="7557" name="AutoShape 91" descr="BELGIUM2"/>
        <xdr:cNvSpPr>
          <a:spLocks noChangeAspect="1" noChangeArrowheads="1"/>
        </xdr:cNvSpPr>
      </xdr:nvSpPr>
      <xdr:spPr bwMode="auto">
        <a:xfrm>
          <a:off x="0" y="9357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46</xdr:row>
      <xdr:rowOff>0</xdr:rowOff>
    </xdr:from>
    <xdr:to>
      <xdr:col>22</xdr:col>
      <xdr:colOff>304800</xdr:colOff>
      <xdr:row>47</xdr:row>
      <xdr:rowOff>53340</xdr:rowOff>
    </xdr:to>
    <xdr:sp macro="" textlink="">
      <xdr:nvSpPr>
        <xdr:cNvPr id="7558" name="AutoShape 92" descr="https://www.soccerstats.com/img/own/sshplogo.png">
          <a:hlinkClick xmlns:r="http://schemas.openxmlformats.org/officeDocument/2006/relationships" r:id="rId565"/>
        </xdr:cNvPr>
        <xdr:cNvSpPr>
          <a:spLocks noChangeAspect="1" noChangeArrowheads="1"/>
        </xdr:cNvSpPr>
      </xdr:nvSpPr>
      <xdr:spPr bwMode="auto">
        <a:xfrm>
          <a:off x="13411200" y="9357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152400</xdr:colOff>
      <xdr:row>47</xdr:row>
      <xdr:rowOff>106680</xdr:rowOff>
    </xdr:to>
    <xdr:sp macro="" textlink="">
      <xdr:nvSpPr>
        <xdr:cNvPr id="7559" name="AutoShape 93" descr="BOSNIA"/>
        <xdr:cNvSpPr>
          <a:spLocks noChangeAspect="1" noChangeArrowheads="1"/>
        </xdr:cNvSpPr>
      </xdr:nvSpPr>
      <xdr:spPr bwMode="auto">
        <a:xfrm>
          <a:off x="0" y="9608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47</xdr:row>
      <xdr:rowOff>0</xdr:rowOff>
    </xdr:from>
    <xdr:to>
      <xdr:col>22</xdr:col>
      <xdr:colOff>304800</xdr:colOff>
      <xdr:row>48</xdr:row>
      <xdr:rowOff>129540</xdr:rowOff>
    </xdr:to>
    <xdr:sp macro="" textlink="">
      <xdr:nvSpPr>
        <xdr:cNvPr id="7560" name="AutoShape 94" descr="https://www.soccerstats.com/img/own/sshplogo.png">
          <a:hlinkClick xmlns:r="http://schemas.openxmlformats.org/officeDocument/2006/relationships" r:id="rId117"/>
        </xdr:cNvPr>
        <xdr:cNvSpPr>
          <a:spLocks noChangeAspect="1" noChangeArrowheads="1"/>
        </xdr:cNvSpPr>
      </xdr:nvSpPr>
      <xdr:spPr bwMode="auto">
        <a:xfrm>
          <a:off x="13411200" y="9608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152400</xdr:colOff>
      <xdr:row>48</xdr:row>
      <xdr:rowOff>106680</xdr:rowOff>
    </xdr:to>
    <xdr:sp macro="" textlink="">
      <xdr:nvSpPr>
        <xdr:cNvPr id="7561" name="AutoShape 95" descr="BRAZIL2"/>
        <xdr:cNvSpPr>
          <a:spLocks noChangeAspect="1" noChangeArrowheads="1"/>
        </xdr:cNvSpPr>
      </xdr:nvSpPr>
      <xdr:spPr bwMode="auto">
        <a:xfrm>
          <a:off x="0" y="9784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48</xdr:row>
      <xdr:rowOff>0</xdr:rowOff>
    </xdr:from>
    <xdr:to>
      <xdr:col>22</xdr:col>
      <xdr:colOff>304800</xdr:colOff>
      <xdr:row>49</xdr:row>
      <xdr:rowOff>129540</xdr:rowOff>
    </xdr:to>
    <xdr:sp macro="" textlink="">
      <xdr:nvSpPr>
        <xdr:cNvPr id="7562" name="AutoShape 96" descr="https://www.soccerstats.com/img/own/sshplogo.png">
          <a:hlinkClick xmlns:r="http://schemas.openxmlformats.org/officeDocument/2006/relationships" r:id="rId566"/>
        </xdr:cNvPr>
        <xdr:cNvSpPr>
          <a:spLocks noChangeAspect="1" noChangeArrowheads="1"/>
        </xdr:cNvSpPr>
      </xdr:nvSpPr>
      <xdr:spPr bwMode="auto">
        <a:xfrm>
          <a:off x="13411200" y="9784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152400</xdr:colOff>
      <xdr:row>49</xdr:row>
      <xdr:rowOff>106680</xdr:rowOff>
    </xdr:to>
    <xdr:sp macro="" textlink="">
      <xdr:nvSpPr>
        <xdr:cNvPr id="7563" name="AutoShape 97" descr="BRAZIL2"/>
        <xdr:cNvSpPr>
          <a:spLocks noChangeAspect="1" noChangeArrowheads="1"/>
        </xdr:cNvSpPr>
      </xdr:nvSpPr>
      <xdr:spPr bwMode="auto">
        <a:xfrm>
          <a:off x="0" y="9959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49</xdr:row>
      <xdr:rowOff>0</xdr:rowOff>
    </xdr:from>
    <xdr:to>
      <xdr:col>22</xdr:col>
      <xdr:colOff>304800</xdr:colOff>
      <xdr:row>50</xdr:row>
      <xdr:rowOff>129540</xdr:rowOff>
    </xdr:to>
    <xdr:sp macro="" textlink="">
      <xdr:nvSpPr>
        <xdr:cNvPr id="7564" name="AutoShape 98" descr="https://www.soccerstats.com/img/own/sshplogo.png">
          <a:hlinkClick xmlns:r="http://schemas.openxmlformats.org/officeDocument/2006/relationships" r:id="rId567"/>
        </xdr:cNvPr>
        <xdr:cNvSpPr>
          <a:spLocks noChangeAspect="1" noChangeArrowheads="1"/>
        </xdr:cNvSpPr>
      </xdr:nvSpPr>
      <xdr:spPr bwMode="auto">
        <a:xfrm>
          <a:off x="13411200" y="9959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152400</xdr:colOff>
      <xdr:row>50</xdr:row>
      <xdr:rowOff>106680</xdr:rowOff>
    </xdr:to>
    <xdr:sp macro="" textlink="">
      <xdr:nvSpPr>
        <xdr:cNvPr id="7565" name="AutoShape 99" descr="BRAZIL2"/>
        <xdr:cNvSpPr>
          <a:spLocks noChangeAspect="1" noChangeArrowheads="1"/>
        </xdr:cNvSpPr>
      </xdr:nvSpPr>
      <xdr:spPr bwMode="auto">
        <a:xfrm>
          <a:off x="0" y="10134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50</xdr:row>
      <xdr:rowOff>0</xdr:rowOff>
    </xdr:from>
    <xdr:to>
      <xdr:col>22</xdr:col>
      <xdr:colOff>304800</xdr:colOff>
      <xdr:row>51</xdr:row>
      <xdr:rowOff>129540</xdr:rowOff>
    </xdr:to>
    <xdr:sp macro="" textlink="">
      <xdr:nvSpPr>
        <xdr:cNvPr id="7566" name="AutoShape 100" descr="https://www.soccerstats.com/img/own/sshplogo.png">
          <a:hlinkClick xmlns:r="http://schemas.openxmlformats.org/officeDocument/2006/relationships" r:id="rId568"/>
        </xdr:cNvPr>
        <xdr:cNvSpPr>
          <a:spLocks noChangeAspect="1" noChangeArrowheads="1"/>
        </xdr:cNvSpPr>
      </xdr:nvSpPr>
      <xdr:spPr bwMode="auto">
        <a:xfrm>
          <a:off x="13411200" y="1013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152400</xdr:colOff>
      <xdr:row>51</xdr:row>
      <xdr:rowOff>106680</xdr:rowOff>
    </xdr:to>
    <xdr:sp macro="" textlink="">
      <xdr:nvSpPr>
        <xdr:cNvPr id="7567" name="AutoShape 101" descr="BULGARIA"/>
        <xdr:cNvSpPr>
          <a:spLocks noChangeAspect="1" noChangeArrowheads="1"/>
        </xdr:cNvSpPr>
      </xdr:nvSpPr>
      <xdr:spPr bwMode="auto">
        <a:xfrm>
          <a:off x="0" y="10309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51</xdr:row>
      <xdr:rowOff>0</xdr:rowOff>
    </xdr:from>
    <xdr:to>
      <xdr:col>22</xdr:col>
      <xdr:colOff>304800</xdr:colOff>
      <xdr:row>52</xdr:row>
      <xdr:rowOff>53340</xdr:rowOff>
    </xdr:to>
    <xdr:sp macro="" textlink="">
      <xdr:nvSpPr>
        <xdr:cNvPr id="7568" name="AutoShape 102" descr="https://www.soccerstats.com/img/own/sshplogo.png">
          <a:hlinkClick xmlns:r="http://schemas.openxmlformats.org/officeDocument/2006/relationships" r:id="rId569"/>
        </xdr:cNvPr>
        <xdr:cNvSpPr>
          <a:spLocks noChangeAspect="1" noChangeArrowheads="1"/>
        </xdr:cNvSpPr>
      </xdr:nvSpPr>
      <xdr:spPr bwMode="auto">
        <a:xfrm>
          <a:off x="13411200" y="10309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152400</xdr:colOff>
      <xdr:row>52</xdr:row>
      <xdr:rowOff>106680</xdr:rowOff>
    </xdr:to>
    <xdr:sp macro="" textlink="">
      <xdr:nvSpPr>
        <xdr:cNvPr id="7569" name="AutoShape 103" descr="BULGARIA2"/>
        <xdr:cNvSpPr>
          <a:spLocks noChangeAspect="1" noChangeArrowheads="1"/>
        </xdr:cNvSpPr>
      </xdr:nvSpPr>
      <xdr:spPr bwMode="auto">
        <a:xfrm>
          <a:off x="0" y="10561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52</xdr:row>
      <xdr:rowOff>0</xdr:rowOff>
    </xdr:from>
    <xdr:to>
      <xdr:col>22</xdr:col>
      <xdr:colOff>304800</xdr:colOff>
      <xdr:row>53</xdr:row>
      <xdr:rowOff>129540</xdr:rowOff>
    </xdr:to>
    <xdr:sp macro="" textlink="">
      <xdr:nvSpPr>
        <xdr:cNvPr id="7570" name="AutoShape 104" descr="https://www.soccerstats.com/img/own/sshplogo.png">
          <a:hlinkClick xmlns:r="http://schemas.openxmlformats.org/officeDocument/2006/relationships" r:id="rId570"/>
        </xdr:cNvPr>
        <xdr:cNvSpPr>
          <a:spLocks noChangeAspect="1" noChangeArrowheads="1"/>
        </xdr:cNvSpPr>
      </xdr:nvSpPr>
      <xdr:spPr bwMode="auto">
        <a:xfrm>
          <a:off x="13411200" y="10561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152400</xdr:colOff>
      <xdr:row>53</xdr:row>
      <xdr:rowOff>106680</xdr:rowOff>
    </xdr:to>
    <xdr:sp macro="" textlink="">
      <xdr:nvSpPr>
        <xdr:cNvPr id="7571" name="AutoShape 105" descr="CHILE"/>
        <xdr:cNvSpPr>
          <a:spLocks noChangeAspect="1" noChangeArrowheads="1"/>
        </xdr:cNvSpPr>
      </xdr:nvSpPr>
      <xdr:spPr bwMode="auto">
        <a:xfrm>
          <a:off x="0" y="10736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53</xdr:row>
      <xdr:rowOff>0</xdr:rowOff>
    </xdr:from>
    <xdr:to>
      <xdr:col>22</xdr:col>
      <xdr:colOff>304800</xdr:colOff>
      <xdr:row>54</xdr:row>
      <xdr:rowOff>53340</xdr:rowOff>
    </xdr:to>
    <xdr:sp macro="" textlink="">
      <xdr:nvSpPr>
        <xdr:cNvPr id="7572" name="AutoShape 106" descr="https://www.soccerstats.com/img/own/sshplogo.png">
          <a:hlinkClick xmlns:r="http://schemas.openxmlformats.org/officeDocument/2006/relationships" r:id="rId571"/>
        </xdr:cNvPr>
        <xdr:cNvSpPr>
          <a:spLocks noChangeAspect="1" noChangeArrowheads="1"/>
        </xdr:cNvSpPr>
      </xdr:nvSpPr>
      <xdr:spPr bwMode="auto">
        <a:xfrm>
          <a:off x="13411200" y="10736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152400</xdr:colOff>
      <xdr:row>54</xdr:row>
      <xdr:rowOff>106680</xdr:rowOff>
    </xdr:to>
    <xdr:sp macro="" textlink="">
      <xdr:nvSpPr>
        <xdr:cNvPr id="7573" name="AutoShape 107" descr="CHILE2"/>
        <xdr:cNvSpPr>
          <a:spLocks noChangeAspect="1" noChangeArrowheads="1"/>
        </xdr:cNvSpPr>
      </xdr:nvSpPr>
      <xdr:spPr bwMode="auto">
        <a:xfrm>
          <a:off x="0" y="10988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54</xdr:row>
      <xdr:rowOff>0</xdr:rowOff>
    </xdr:from>
    <xdr:to>
      <xdr:col>22</xdr:col>
      <xdr:colOff>304800</xdr:colOff>
      <xdr:row>55</xdr:row>
      <xdr:rowOff>53340</xdr:rowOff>
    </xdr:to>
    <xdr:sp macro="" textlink="">
      <xdr:nvSpPr>
        <xdr:cNvPr id="7574" name="AutoShape 108" descr="https://www.soccerstats.com/img/own/sshplogo.png">
          <a:hlinkClick xmlns:r="http://schemas.openxmlformats.org/officeDocument/2006/relationships" r:id="rId572"/>
        </xdr:cNvPr>
        <xdr:cNvSpPr>
          <a:spLocks noChangeAspect="1" noChangeArrowheads="1"/>
        </xdr:cNvSpPr>
      </xdr:nvSpPr>
      <xdr:spPr bwMode="auto">
        <a:xfrm>
          <a:off x="13411200" y="10988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152400</xdr:colOff>
      <xdr:row>55</xdr:row>
      <xdr:rowOff>106680</xdr:rowOff>
    </xdr:to>
    <xdr:sp macro="" textlink="">
      <xdr:nvSpPr>
        <xdr:cNvPr id="7575" name="AutoShape 109" descr="CHILE2"/>
        <xdr:cNvSpPr>
          <a:spLocks noChangeAspect="1" noChangeArrowheads="1"/>
        </xdr:cNvSpPr>
      </xdr:nvSpPr>
      <xdr:spPr bwMode="auto">
        <a:xfrm>
          <a:off x="0" y="1123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55</xdr:row>
      <xdr:rowOff>0</xdr:rowOff>
    </xdr:from>
    <xdr:to>
      <xdr:col>22</xdr:col>
      <xdr:colOff>304800</xdr:colOff>
      <xdr:row>56</xdr:row>
      <xdr:rowOff>129540</xdr:rowOff>
    </xdr:to>
    <xdr:sp macro="" textlink="">
      <xdr:nvSpPr>
        <xdr:cNvPr id="7576" name="AutoShape 110" descr="https://www.soccerstats.com/img/own/sshplogo.png">
          <a:hlinkClick xmlns:r="http://schemas.openxmlformats.org/officeDocument/2006/relationships" r:id="rId573"/>
        </xdr:cNvPr>
        <xdr:cNvSpPr>
          <a:spLocks noChangeAspect="1" noChangeArrowheads="1"/>
        </xdr:cNvSpPr>
      </xdr:nvSpPr>
      <xdr:spPr bwMode="auto">
        <a:xfrm>
          <a:off x="13411200" y="1123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152400</xdr:colOff>
      <xdr:row>56</xdr:row>
      <xdr:rowOff>106680</xdr:rowOff>
    </xdr:to>
    <xdr:sp macro="" textlink="">
      <xdr:nvSpPr>
        <xdr:cNvPr id="7577" name="AutoShape 111" descr="CHINA"/>
        <xdr:cNvSpPr>
          <a:spLocks noChangeAspect="1" noChangeArrowheads="1"/>
        </xdr:cNvSpPr>
      </xdr:nvSpPr>
      <xdr:spPr bwMode="auto">
        <a:xfrm>
          <a:off x="0" y="11414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56</xdr:row>
      <xdr:rowOff>0</xdr:rowOff>
    </xdr:from>
    <xdr:to>
      <xdr:col>22</xdr:col>
      <xdr:colOff>304800</xdr:colOff>
      <xdr:row>57</xdr:row>
      <xdr:rowOff>53340</xdr:rowOff>
    </xdr:to>
    <xdr:sp macro="" textlink="">
      <xdr:nvSpPr>
        <xdr:cNvPr id="7578" name="AutoShape 112" descr="https://www.soccerstats.com/img/own/sshplogo.png">
          <a:hlinkClick xmlns:r="http://schemas.openxmlformats.org/officeDocument/2006/relationships" r:id="rId574"/>
        </xdr:cNvPr>
        <xdr:cNvSpPr>
          <a:spLocks noChangeAspect="1" noChangeArrowheads="1"/>
        </xdr:cNvSpPr>
      </xdr:nvSpPr>
      <xdr:spPr bwMode="auto">
        <a:xfrm>
          <a:off x="13411200" y="11414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152400</xdr:colOff>
      <xdr:row>57</xdr:row>
      <xdr:rowOff>106680</xdr:rowOff>
    </xdr:to>
    <xdr:sp macro="" textlink="">
      <xdr:nvSpPr>
        <xdr:cNvPr id="7579" name="AutoShape 113" descr="CHINA"/>
        <xdr:cNvSpPr>
          <a:spLocks noChangeAspect="1" noChangeArrowheads="1"/>
        </xdr:cNvSpPr>
      </xdr:nvSpPr>
      <xdr:spPr bwMode="auto">
        <a:xfrm>
          <a:off x="0" y="11666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57</xdr:row>
      <xdr:rowOff>0</xdr:rowOff>
    </xdr:from>
    <xdr:to>
      <xdr:col>22</xdr:col>
      <xdr:colOff>304800</xdr:colOff>
      <xdr:row>58</xdr:row>
      <xdr:rowOff>53340</xdr:rowOff>
    </xdr:to>
    <xdr:sp macro="" textlink="">
      <xdr:nvSpPr>
        <xdr:cNvPr id="7580" name="AutoShape 114" descr="https://www.soccerstats.com/img/own/sshplogo.png">
          <a:hlinkClick xmlns:r="http://schemas.openxmlformats.org/officeDocument/2006/relationships" r:id="rId575"/>
        </xdr:cNvPr>
        <xdr:cNvSpPr>
          <a:spLocks noChangeAspect="1" noChangeArrowheads="1"/>
        </xdr:cNvSpPr>
      </xdr:nvSpPr>
      <xdr:spPr bwMode="auto">
        <a:xfrm>
          <a:off x="13411200" y="11666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152400</xdr:colOff>
      <xdr:row>58</xdr:row>
      <xdr:rowOff>106680</xdr:rowOff>
    </xdr:to>
    <xdr:sp macro="" textlink="">
      <xdr:nvSpPr>
        <xdr:cNvPr id="7581" name="AutoShape 115" descr="CHINA"/>
        <xdr:cNvSpPr>
          <a:spLocks noChangeAspect="1" noChangeArrowheads="1"/>
        </xdr:cNvSpPr>
      </xdr:nvSpPr>
      <xdr:spPr bwMode="auto">
        <a:xfrm>
          <a:off x="0" y="11917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58</xdr:row>
      <xdr:rowOff>0</xdr:rowOff>
    </xdr:from>
    <xdr:to>
      <xdr:col>22</xdr:col>
      <xdr:colOff>304800</xdr:colOff>
      <xdr:row>59</xdr:row>
      <xdr:rowOff>53340</xdr:rowOff>
    </xdr:to>
    <xdr:sp macro="" textlink="">
      <xdr:nvSpPr>
        <xdr:cNvPr id="7582" name="AutoShape 116" descr="https://www.soccerstats.com/img/own/sshplogo.png">
          <a:hlinkClick xmlns:r="http://schemas.openxmlformats.org/officeDocument/2006/relationships" r:id="rId576"/>
        </xdr:cNvPr>
        <xdr:cNvSpPr>
          <a:spLocks noChangeAspect="1" noChangeArrowheads="1"/>
        </xdr:cNvSpPr>
      </xdr:nvSpPr>
      <xdr:spPr bwMode="auto">
        <a:xfrm>
          <a:off x="13411200" y="11917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152400</xdr:colOff>
      <xdr:row>59</xdr:row>
      <xdr:rowOff>106680</xdr:rowOff>
    </xdr:to>
    <xdr:sp macro="" textlink="">
      <xdr:nvSpPr>
        <xdr:cNvPr id="7583" name="AutoShape 117" descr="COLOMBIA2"/>
        <xdr:cNvSpPr>
          <a:spLocks noChangeAspect="1" noChangeArrowheads="1"/>
        </xdr:cNvSpPr>
      </xdr:nvSpPr>
      <xdr:spPr bwMode="auto">
        <a:xfrm>
          <a:off x="0" y="12169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59</xdr:row>
      <xdr:rowOff>0</xdr:rowOff>
    </xdr:from>
    <xdr:to>
      <xdr:col>22</xdr:col>
      <xdr:colOff>304800</xdr:colOff>
      <xdr:row>60</xdr:row>
      <xdr:rowOff>53340</xdr:rowOff>
    </xdr:to>
    <xdr:sp macro="" textlink="">
      <xdr:nvSpPr>
        <xdr:cNvPr id="7584" name="AutoShape 118" descr="https://www.soccerstats.com/img/own/sshplogo.png">
          <a:hlinkClick xmlns:r="http://schemas.openxmlformats.org/officeDocument/2006/relationships" r:id="rId577"/>
        </xdr:cNvPr>
        <xdr:cNvSpPr>
          <a:spLocks noChangeAspect="1" noChangeArrowheads="1"/>
        </xdr:cNvSpPr>
      </xdr:nvSpPr>
      <xdr:spPr bwMode="auto">
        <a:xfrm>
          <a:off x="13411200" y="12169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60</xdr:row>
      <xdr:rowOff>0</xdr:rowOff>
    </xdr:from>
    <xdr:to>
      <xdr:col>22</xdr:col>
      <xdr:colOff>304800</xdr:colOff>
      <xdr:row>60</xdr:row>
      <xdr:rowOff>304800</xdr:rowOff>
    </xdr:to>
    <xdr:sp macro="" textlink="">
      <xdr:nvSpPr>
        <xdr:cNvPr id="7585" name="AutoShape 119" descr="https://www.soccerstats.com/img/own/sshplogo.png">
          <a:hlinkClick xmlns:r="http://schemas.openxmlformats.org/officeDocument/2006/relationships" r:id="rId578" tooltip="Cienciano vs Botafogo"/>
        </xdr:cNvPr>
        <xdr:cNvSpPr>
          <a:spLocks noChangeAspect="1" noChangeArrowheads="1"/>
        </xdr:cNvSpPr>
      </xdr:nvSpPr>
      <xdr:spPr bwMode="auto">
        <a:xfrm>
          <a:off x="13411200" y="1242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61</xdr:row>
      <xdr:rowOff>0</xdr:rowOff>
    </xdr:from>
    <xdr:to>
      <xdr:col>22</xdr:col>
      <xdr:colOff>304800</xdr:colOff>
      <xdr:row>62</xdr:row>
      <xdr:rowOff>53340</xdr:rowOff>
    </xdr:to>
    <xdr:sp macro="" textlink="">
      <xdr:nvSpPr>
        <xdr:cNvPr id="7586" name="AutoShape 120" descr="https://www.soccerstats.com/img/own/sshplogo.png">
          <a:hlinkClick xmlns:r="http://schemas.openxmlformats.org/officeDocument/2006/relationships" r:id="rId579" tooltip="Rosario Central vs Corinthians"/>
        </xdr:cNvPr>
        <xdr:cNvSpPr>
          <a:spLocks noChangeAspect="1" noChangeArrowheads="1"/>
        </xdr:cNvSpPr>
      </xdr:nvSpPr>
      <xdr:spPr bwMode="auto">
        <a:xfrm>
          <a:off x="13411200" y="1276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152400</xdr:colOff>
      <xdr:row>62</xdr:row>
      <xdr:rowOff>106680</xdr:rowOff>
    </xdr:to>
    <xdr:sp macro="" textlink="">
      <xdr:nvSpPr>
        <xdr:cNvPr id="7587" name="AutoShape 121" descr="CROATIA"/>
        <xdr:cNvSpPr>
          <a:spLocks noChangeAspect="1" noChangeArrowheads="1"/>
        </xdr:cNvSpPr>
      </xdr:nvSpPr>
      <xdr:spPr bwMode="auto">
        <a:xfrm>
          <a:off x="0" y="13014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62</xdr:row>
      <xdr:rowOff>0</xdr:rowOff>
    </xdr:from>
    <xdr:to>
      <xdr:col>22</xdr:col>
      <xdr:colOff>304800</xdr:colOff>
      <xdr:row>63</xdr:row>
      <xdr:rowOff>53340</xdr:rowOff>
    </xdr:to>
    <xdr:sp macro="" textlink="">
      <xdr:nvSpPr>
        <xdr:cNvPr id="7588" name="AutoShape 122" descr="https://www.soccerstats.com/img/own/sshplogo.png">
          <a:hlinkClick xmlns:r="http://schemas.openxmlformats.org/officeDocument/2006/relationships" r:id="rId580"/>
        </xdr:cNvPr>
        <xdr:cNvSpPr>
          <a:spLocks noChangeAspect="1" noChangeArrowheads="1"/>
        </xdr:cNvSpPr>
      </xdr:nvSpPr>
      <xdr:spPr bwMode="auto">
        <a:xfrm>
          <a:off x="13411200" y="13014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152400</xdr:colOff>
      <xdr:row>63</xdr:row>
      <xdr:rowOff>106680</xdr:rowOff>
    </xdr:to>
    <xdr:sp macro="" textlink="">
      <xdr:nvSpPr>
        <xdr:cNvPr id="7589" name="AutoShape 123" descr="CZECHREPUBLIC2"/>
        <xdr:cNvSpPr>
          <a:spLocks noChangeAspect="1" noChangeArrowheads="1"/>
        </xdr:cNvSpPr>
      </xdr:nvSpPr>
      <xdr:spPr bwMode="auto">
        <a:xfrm>
          <a:off x="0" y="13266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63</xdr:row>
      <xdr:rowOff>0</xdr:rowOff>
    </xdr:from>
    <xdr:to>
      <xdr:col>22</xdr:col>
      <xdr:colOff>304800</xdr:colOff>
      <xdr:row>64</xdr:row>
      <xdr:rowOff>53340</xdr:rowOff>
    </xdr:to>
    <xdr:sp macro="" textlink="">
      <xdr:nvSpPr>
        <xdr:cNvPr id="7590" name="AutoShape 124" descr="https://www.soccerstats.com/img/own/sshplogo.png">
          <a:hlinkClick xmlns:r="http://schemas.openxmlformats.org/officeDocument/2006/relationships" r:id="rId581"/>
        </xdr:cNvPr>
        <xdr:cNvSpPr>
          <a:spLocks noChangeAspect="1" noChangeArrowheads="1"/>
        </xdr:cNvSpPr>
      </xdr:nvSpPr>
      <xdr:spPr bwMode="auto">
        <a:xfrm>
          <a:off x="13411200" y="13266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152400</xdr:colOff>
      <xdr:row>64</xdr:row>
      <xdr:rowOff>106680</xdr:rowOff>
    </xdr:to>
    <xdr:sp macro="" textlink="">
      <xdr:nvSpPr>
        <xdr:cNvPr id="7591" name="AutoShape 125" descr="CZECHREPUBLIC2"/>
        <xdr:cNvSpPr>
          <a:spLocks noChangeAspect="1" noChangeArrowheads="1"/>
        </xdr:cNvSpPr>
      </xdr:nvSpPr>
      <xdr:spPr bwMode="auto">
        <a:xfrm>
          <a:off x="0" y="13517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64</xdr:row>
      <xdr:rowOff>0</xdr:rowOff>
    </xdr:from>
    <xdr:to>
      <xdr:col>22</xdr:col>
      <xdr:colOff>304800</xdr:colOff>
      <xdr:row>65</xdr:row>
      <xdr:rowOff>129540</xdr:rowOff>
    </xdr:to>
    <xdr:sp macro="" textlink="">
      <xdr:nvSpPr>
        <xdr:cNvPr id="7592" name="AutoShape 126" descr="https://www.soccerstats.com/img/own/sshplogo.png">
          <a:hlinkClick xmlns:r="http://schemas.openxmlformats.org/officeDocument/2006/relationships" r:id="rId582"/>
        </xdr:cNvPr>
        <xdr:cNvSpPr>
          <a:spLocks noChangeAspect="1" noChangeArrowheads="1"/>
        </xdr:cNvSpPr>
      </xdr:nvSpPr>
      <xdr:spPr bwMode="auto">
        <a:xfrm>
          <a:off x="13411200" y="13517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152400</xdr:colOff>
      <xdr:row>65</xdr:row>
      <xdr:rowOff>106680</xdr:rowOff>
    </xdr:to>
    <xdr:sp macro="" textlink="">
      <xdr:nvSpPr>
        <xdr:cNvPr id="7593" name="AutoShape 127" descr="DENMARK"/>
        <xdr:cNvSpPr>
          <a:spLocks noChangeAspect="1" noChangeArrowheads="1"/>
        </xdr:cNvSpPr>
      </xdr:nvSpPr>
      <xdr:spPr bwMode="auto">
        <a:xfrm>
          <a:off x="0" y="13693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65</xdr:row>
      <xdr:rowOff>0</xdr:rowOff>
    </xdr:from>
    <xdr:to>
      <xdr:col>22</xdr:col>
      <xdr:colOff>304800</xdr:colOff>
      <xdr:row>66</xdr:row>
      <xdr:rowOff>129540</xdr:rowOff>
    </xdr:to>
    <xdr:sp macro="" textlink="">
      <xdr:nvSpPr>
        <xdr:cNvPr id="7594" name="AutoShape 128" descr="https://www.soccerstats.com/img/own/sshplogo.png">
          <a:hlinkClick xmlns:r="http://schemas.openxmlformats.org/officeDocument/2006/relationships" r:id="rId583"/>
        </xdr:cNvPr>
        <xdr:cNvSpPr>
          <a:spLocks noChangeAspect="1" noChangeArrowheads="1"/>
        </xdr:cNvSpPr>
      </xdr:nvSpPr>
      <xdr:spPr bwMode="auto">
        <a:xfrm>
          <a:off x="13411200" y="13693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152400</xdr:colOff>
      <xdr:row>66</xdr:row>
      <xdr:rowOff>106680</xdr:rowOff>
    </xdr:to>
    <xdr:sp macro="" textlink="">
      <xdr:nvSpPr>
        <xdr:cNvPr id="7595" name="AutoShape 129" descr="DENMARK2"/>
        <xdr:cNvSpPr>
          <a:spLocks noChangeAspect="1" noChangeArrowheads="1"/>
        </xdr:cNvSpPr>
      </xdr:nvSpPr>
      <xdr:spPr bwMode="auto">
        <a:xfrm>
          <a:off x="0" y="13868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66</xdr:row>
      <xdr:rowOff>0</xdr:rowOff>
    </xdr:from>
    <xdr:to>
      <xdr:col>22</xdr:col>
      <xdr:colOff>304800</xdr:colOff>
      <xdr:row>67</xdr:row>
      <xdr:rowOff>129540</xdr:rowOff>
    </xdr:to>
    <xdr:sp macro="" textlink="">
      <xdr:nvSpPr>
        <xdr:cNvPr id="7596" name="AutoShape 130" descr="https://www.soccerstats.com/img/own/sshplogo.png">
          <a:hlinkClick xmlns:r="http://schemas.openxmlformats.org/officeDocument/2006/relationships" r:id="rId584"/>
        </xdr:cNvPr>
        <xdr:cNvSpPr>
          <a:spLocks noChangeAspect="1" noChangeArrowheads="1"/>
        </xdr:cNvSpPr>
      </xdr:nvSpPr>
      <xdr:spPr bwMode="auto">
        <a:xfrm>
          <a:off x="13411200" y="1386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152400</xdr:colOff>
      <xdr:row>67</xdr:row>
      <xdr:rowOff>106680</xdr:rowOff>
    </xdr:to>
    <xdr:sp macro="" textlink="">
      <xdr:nvSpPr>
        <xdr:cNvPr id="7597" name="AutoShape 131" descr="DENMARK2"/>
        <xdr:cNvSpPr>
          <a:spLocks noChangeAspect="1" noChangeArrowheads="1"/>
        </xdr:cNvSpPr>
      </xdr:nvSpPr>
      <xdr:spPr bwMode="auto">
        <a:xfrm>
          <a:off x="0" y="14043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67</xdr:row>
      <xdr:rowOff>0</xdr:rowOff>
    </xdr:from>
    <xdr:to>
      <xdr:col>22</xdr:col>
      <xdr:colOff>304800</xdr:colOff>
      <xdr:row>68</xdr:row>
      <xdr:rowOff>129540</xdr:rowOff>
    </xdr:to>
    <xdr:sp macro="" textlink="">
      <xdr:nvSpPr>
        <xdr:cNvPr id="7598" name="AutoShape 132" descr="https://www.soccerstats.com/img/own/sshplogo.png">
          <a:hlinkClick xmlns:r="http://schemas.openxmlformats.org/officeDocument/2006/relationships" r:id="rId585"/>
        </xdr:cNvPr>
        <xdr:cNvSpPr>
          <a:spLocks noChangeAspect="1" noChangeArrowheads="1"/>
        </xdr:cNvSpPr>
      </xdr:nvSpPr>
      <xdr:spPr bwMode="auto">
        <a:xfrm>
          <a:off x="13411200" y="14043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152400</xdr:colOff>
      <xdr:row>68</xdr:row>
      <xdr:rowOff>106680</xdr:rowOff>
    </xdr:to>
    <xdr:sp macro="" textlink="">
      <xdr:nvSpPr>
        <xdr:cNvPr id="7599" name="AutoShape 133" descr="DENMARK3"/>
        <xdr:cNvSpPr>
          <a:spLocks noChangeAspect="1" noChangeArrowheads="1"/>
        </xdr:cNvSpPr>
      </xdr:nvSpPr>
      <xdr:spPr bwMode="auto">
        <a:xfrm>
          <a:off x="0" y="14218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68</xdr:row>
      <xdr:rowOff>0</xdr:rowOff>
    </xdr:from>
    <xdr:to>
      <xdr:col>22</xdr:col>
      <xdr:colOff>304800</xdr:colOff>
      <xdr:row>69</xdr:row>
      <xdr:rowOff>129540</xdr:rowOff>
    </xdr:to>
    <xdr:sp macro="" textlink="">
      <xdr:nvSpPr>
        <xdr:cNvPr id="7600" name="AutoShape 134" descr="https://www.soccerstats.com/img/own/sshplogo.png">
          <a:hlinkClick xmlns:r="http://schemas.openxmlformats.org/officeDocument/2006/relationships" r:id="rId586"/>
        </xdr:cNvPr>
        <xdr:cNvSpPr>
          <a:spLocks noChangeAspect="1" noChangeArrowheads="1"/>
        </xdr:cNvSpPr>
      </xdr:nvSpPr>
      <xdr:spPr bwMode="auto">
        <a:xfrm>
          <a:off x="13411200" y="14218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152400</xdr:colOff>
      <xdr:row>69</xdr:row>
      <xdr:rowOff>106680</xdr:rowOff>
    </xdr:to>
    <xdr:sp macro="" textlink="">
      <xdr:nvSpPr>
        <xdr:cNvPr id="7601" name="AutoShape 135" descr="DENMARK3"/>
        <xdr:cNvSpPr>
          <a:spLocks noChangeAspect="1" noChangeArrowheads="1"/>
        </xdr:cNvSpPr>
      </xdr:nvSpPr>
      <xdr:spPr bwMode="auto">
        <a:xfrm>
          <a:off x="0" y="14394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69</xdr:row>
      <xdr:rowOff>0</xdr:rowOff>
    </xdr:from>
    <xdr:to>
      <xdr:col>22</xdr:col>
      <xdr:colOff>304800</xdr:colOff>
      <xdr:row>70</xdr:row>
      <xdr:rowOff>129540</xdr:rowOff>
    </xdr:to>
    <xdr:sp macro="" textlink="">
      <xdr:nvSpPr>
        <xdr:cNvPr id="7602" name="AutoShape 136" descr="https://www.soccerstats.com/img/own/sshplogo.png">
          <a:hlinkClick xmlns:r="http://schemas.openxmlformats.org/officeDocument/2006/relationships" r:id="rId587"/>
        </xdr:cNvPr>
        <xdr:cNvSpPr>
          <a:spLocks noChangeAspect="1" noChangeArrowheads="1"/>
        </xdr:cNvSpPr>
      </xdr:nvSpPr>
      <xdr:spPr bwMode="auto">
        <a:xfrm>
          <a:off x="13411200" y="14394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152400</xdr:colOff>
      <xdr:row>70</xdr:row>
      <xdr:rowOff>106680</xdr:rowOff>
    </xdr:to>
    <xdr:sp macro="" textlink="">
      <xdr:nvSpPr>
        <xdr:cNvPr id="7603" name="AutoShape 137" descr="DENMARK3"/>
        <xdr:cNvSpPr>
          <a:spLocks noChangeAspect="1" noChangeArrowheads="1"/>
        </xdr:cNvSpPr>
      </xdr:nvSpPr>
      <xdr:spPr bwMode="auto">
        <a:xfrm>
          <a:off x="0" y="14569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70</xdr:row>
      <xdr:rowOff>0</xdr:rowOff>
    </xdr:from>
    <xdr:to>
      <xdr:col>22</xdr:col>
      <xdr:colOff>304800</xdr:colOff>
      <xdr:row>71</xdr:row>
      <xdr:rowOff>129540</xdr:rowOff>
    </xdr:to>
    <xdr:sp macro="" textlink="">
      <xdr:nvSpPr>
        <xdr:cNvPr id="7604" name="AutoShape 138" descr="https://www.soccerstats.com/img/own/sshplogo.png">
          <a:hlinkClick xmlns:r="http://schemas.openxmlformats.org/officeDocument/2006/relationships" r:id="rId588"/>
        </xdr:cNvPr>
        <xdr:cNvSpPr>
          <a:spLocks noChangeAspect="1" noChangeArrowheads="1"/>
        </xdr:cNvSpPr>
      </xdr:nvSpPr>
      <xdr:spPr bwMode="auto">
        <a:xfrm>
          <a:off x="13411200" y="14569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152400</xdr:colOff>
      <xdr:row>71</xdr:row>
      <xdr:rowOff>106680</xdr:rowOff>
    </xdr:to>
    <xdr:sp macro="" textlink="">
      <xdr:nvSpPr>
        <xdr:cNvPr id="7605" name="AutoShape 139" descr="DENMARK3"/>
        <xdr:cNvSpPr>
          <a:spLocks noChangeAspect="1" noChangeArrowheads="1"/>
        </xdr:cNvSpPr>
      </xdr:nvSpPr>
      <xdr:spPr bwMode="auto">
        <a:xfrm>
          <a:off x="0" y="14744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71</xdr:row>
      <xdr:rowOff>0</xdr:rowOff>
    </xdr:from>
    <xdr:to>
      <xdr:col>22</xdr:col>
      <xdr:colOff>304800</xdr:colOff>
      <xdr:row>72</xdr:row>
      <xdr:rowOff>53340</xdr:rowOff>
    </xdr:to>
    <xdr:sp macro="" textlink="">
      <xdr:nvSpPr>
        <xdr:cNvPr id="7606" name="AutoShape 140" descr="https://www.soccerstats.com/img/own/sshplogo.png">
          <a:hlinkClick xmlns:r="http://schemas.openxmlformats.org/officeDocument/2006/relationships" r:id="rId589"/>
        </xdr:cNvPr>
        <xdr:cNvSpPr>
          <a:spLocks noChangeAspect="1" noChangeArrowheads="1"/>
        </xdr:cNvSpPr>
      </xdr:nvSpPr>
      <xdr:spPr bwMode="auto">
        <a:xfrm>
          <a:off x="13411200" y="1474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152400</xdr:colOff>
      <xdr:row>72</xdr:row>
      <xdr:rowOff>106680</xdr:rowOff>
    </xdr:to>
    <xdr:sp macro="" textlink="">
      <xdr:nvSpPr>
        <xdr:cNvPr id="7607" name="AutoShape 141" descr="ENGLAND7"/>
        <xdr:cNvSpPr>
          <a:spLocks noChangeAspect="1" noChangeArrowheads="1"/>
        </xdr:cNvSpPr>
      </xdr:nvSpPr>
      <xdr:spPr bwMode="auto">
        <a:xfrm>
          <a:off x="0" y="14996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72</xdr:row>
      <xdr:rowOff>0</xdr:rowOff>
    </xdr:from>
    <xdr:to>
      <xdr:col>22</xdr:col>
      <xdr:colOff>304800</xdr:colOff>
      <xdr:row>73</xdr:row>
      <xdr:rowOff>53340</xdr:rowOff>
    </xdr:to>
    <xdr:sp macro="" textlink="">
      <xdr:nvSpPr>
        <xdr:cNvPr id="7608" name="AutoShape 142" descr="https://www.soccerstats.com/img/own/sshplogo.png">
          <a:hlinkClick xmlns:r="http://schemas.openxmlformats.org/officeDocument/2006/relationships" r:id="rId590"/>
        </xdr:cNvPr>
        <xdr:cNvSpPr>
          <a:spLocks noChangeAspect="1" noChangeArrowheads="1"/>
        </xdr:cNvSpPr>
      </xdr:nvSpPr>
      <xdr:spPr bwMode="auto">
        <a:xfrm>
          <a:off x="13411200" y="14996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152400</xdr:colOff>
      <xdr:row>73</xdr:row>
      <xdr:rowOff>106680</xdr:rowOff>
    </xdr:to>
    <xdr:sp macro="" textlink="">
      <xdr:nvSpPr>
        <xdr:cNvPr id="7609" name="AutoShape 143" descr="ENGLAND9"/>
        <xdr:cNvSpPr>
          <a:spLocks noChangeAspect="1" noChangeArrowheads="1"/>
        </xdr:cNvSpPr>
      </xdr:nvSpPr>
      <xdr:spPr bwMode="auto">
        <a:xfrm>
          <a:off x="0" y="15247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73</xdr:row>
      <xdr:rowOff>0</xdr:rowOff>
    </xdr:from>
    <xdr:to>
      <xdr:col>22</xdr:col>
      <xdr:colOff>304800</xdr:colOff>
      <xdr:row>74</xdr:row>
      <xdr:rowOff>129540</xdr:rowOff>
    </xdr:to>
    <xdr:sp macro="" textlink="">
      <xdr:nvSpPr>
        <xdr:cNvPr id="7610" name="AutoShape 144" descr="https://www.soccerstats.com/img/own/sshplogo.png">
          <a:hlinkClick xmlns:r="http://schemas.openxmlformats.org/officeDocument/2006/relationships" r:id="rId591"/>
        </xdr:cNvPr>
        <xdr:cNvSpPr>
          <a:spLocks noChangeAspect="1" noChangeArrowheads="1"/>
        </xdr:cNvSpPr>
      </xdr:nvSpPr>
      <xdr:spPr bwMode="auto">
        <a:xfrm>
          <a:off x="13411200" y="15247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152400</xdr:colOff>
      <xdr:row>74</xdr:row>
      <xdr:rowOff>106680</xdr:rowOff>
    </xdr:to>
    <xdr:sp macro="" textlink="">
      <xdr:nvSpPr>
        <xdr:cNvPr id="7611" name="AutoShape 145" descr="ESTONIA"/>
        <xdr:cNvSpPr>
          <a:spLocks noChangeAspect="1" noChangeArrowheads="1"/>
        </xdr:cNvSpPr>
      </xdr:nvSpPr>
      <xdr:spPr bwMode="auto">
        <a:xfrm>
          <a:off x="0" y="15422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74</xdr:row>
      <xdr:rowOff>0</xdr:rowOff>
    </xdr:from>
    <xdr:to>
      <xdr:col>22</xdr:col>
      <xdr:colOff>304800</xdr:colOff>
      <xdr:row>75</xdr:row>
      <xdr:rowOff>129540</xdr:rowOff>
    </xdr:to>
    <xdr:sp macro="" textlink="">
      <xdr:nvSpPr>
        <xdr:cNvPr id="7612" name="AutoShape 146" descr="https://www.soccerstats.com/img/own/sshplogo.png">
          <a:hlinkClick xmlns:r="http://schemas.openxmlformats.org/officeDocument/2006/relationships" r:id="rId592"/>
        </xdr:cNvPr>
        <xdr:cNvSpPr>
          <a:spLocks noChangeAspect="1" noChangeArrowheads="1"/>
        </xdr:cNvSpPr>
      </xdr:nvSpPr>
      <xdr:spPr bwMode="auto">
        <a:xfrm>
          <a:off x="13411200" y="1542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152400</xdr:colOff>
      <xdr:row>75</xdr:row>
      <xdr:rowOff>106680</xdr:rowOff>
    </xdr:to>
    <xdr:sp macro="" textlink="">
      <xdr:nvSpPr>
        <xdr:cNvPr id="7613" name="AutoShape 147" descr="FINLAND"/>
        <xdr:cNvSpPr>
          <a:spLocks noChangeAspect="1" noChangeArrowheads="1"/>
        </xdr:cNvSpPr>
      </xdr:nvSpPr>
      <xdr:spPr bwMode="auto">
        <a:xfrm>
          <a:off x="0" y="15598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75</xdr:row>
      <xdr:rowOff>0</xdr:rowOff>
    </xdr:from>
    <xdr:to>
      <xdr:col>22</xdr:col>
      <xdr:colOff>304800</xdr:colOff>
      <xdr:row>76</xdr:row>
      <xdr:rowOff>129540</xdr:rowOff>
    </xdr:to>
    <xdr:sp macro="" textlink="">
      <xdr:nvSpPr>
        <xdr:cNvPr id="7614" name="AutoShape 148" descr="https://www.soccerstats.com/img/own/sshplogo.png">
          <a:hlinkClick xmlns:r="http://schemas.openxmlformats.org/officeDocument/2006/relationships" r:id="rId593"/>
        </xdr:cNvPr>
        <xdr:cNvSpPr>
          <a:spLocks noChangeAspect="1" noChangeArrowheads="1"/>
        </xdr:cNvSpPr>
      </xdr:nvSpPr>
      <xdr:spPr bwMode="auto">
        <a:xfrm>
          <a:off x="13411200" y="1559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152400</xdr:colOff>
      <xdr:row>76</xdr:row>
      <xdr:rowOff>106680</xdr:rowOff>
    </xdr:to>
    <xdr:sp macro="" textlink="">
      <xdr:nvSpPr>
        <xdr:cNvPr id="7615" name="AutoShape 149" descr="FINLAND2"/>
        <xdr:cNvSpPr>
          <a:spLocks noChangeAspect="1" noChangeArrowheads="1"/>
        </xdr:cNvSpPr>
      </xdr:nvSpPr>
      <xdr:spPr bwMode="auto">
        <a:xfrm>
          <a:off x="0" y="1577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76</xdr:row>
      <xdr:rowOff>0</xdr:rowOff>
    </xdr:from>
    <xdr:to>
      <xdr:col>22</xdr:col>
      <xdr:colOff>304800</xdr:colOff>
      <xdr:row>77</xdr:row>
      <xdr:rowOff>129540</xdr:rowOff>
    </xdr:to>
    <xdr:sp macro="" textlink="">
      <xdr:nvSpPr>
        <xdr:cNvPr id="7616" name="AutoShape 150" descr="https://www.soccerstats.com/img/own/sshplogo.png">
          <a:hlinkClick xmlns:r="http://schemas.openxmlformats.org/officeDocument/2006/relationships" r:id="rId594"/>
        </xdr:cNvPr>
        <xdr:cNvSpPr>
          <a:spLocks noChangeAspect="1" noChangeArrowheads="1"/>
        </xdr:cNvSpPr>
      </xdr:nvSpPr>
      <xdr:spPr bwMode="auto">
        <a:xfrm>
          <a:off x="13411200" y="1577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152400</xdr:colOff>
      <xdr:row>77</xdr:row>
      <xdr:rowOff>106680</xdr:rowOff>
    </xdr:to>
    <xdr:sp macro="" textlink="">
      <xdr:nvSpPr>
        <xdr:cNvPr id="7617" name="AutoShape 151" descr="FRANCE3"/>
        <xdr:cNvSpPr>
          <a:spLocks noChangeAspect="1" noChangeArrowheads="1"/>
        </xdr:cNvSpPr>
      </xdr:nvSpPr>
      <xdr:spPr bwMode="auto">
        <a:xfrm>
          <a:off x="0" y="1594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77</xdr:row>
      <xdr:rowOff>0</xdr:rowOff>
    </xdr:from>
    <xdr:to>
      <xdr:col>22</xdr:col>
      <xdr:colOff>304800</xdr:colOff>
      <xdr:row>78</xdr:row>
      <xdr:rowOff>129540</xdr:rowOff>
    </xdr:to>
    <xdr:sp macro="" textlink="">
      <xdr:nvSpPr>
        <xdr:cNvPr id="7618" name="AutoShape 152" descr="https://www.soccerstats.com/img/own/sshplogo.png">
          <a:hlinkClick xmlns:r="http://schemas.openxmlformats.org/officeDocument/2006/relationships" r:id="rId595"/>
        </xdr:cNvPr>
        <xdr:cNvSpPr>
          <a:spLocks noChangeAspect="1" noChangeArrowheads="1"/>
        </xdr:cNvSpPr>
      </xdr:nvSpPr>
      <xdr:spPr bwMode="auto">
        <a:xfrm>
          <a:off x="13411200" y="1594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152400</xdr:colOff>
      <xdr:row>78</xdr:row>
      <xdr:rowOff>106680</xdr:rowOff>
    </xdr:to>
    <xdr:sp macro="" textlink="">
      <xdr:nvSpPr>
        <xdr:cNvPr id="7619" name="AutoShape 153" descr="FRANCE3"/>
        <xdr:cNvSpPr>
          <a:spLocks noChangeAspect="1" noChangeArrowheads="1"/>
        </xdr:cNvSpPr>
      </xdr:nvSpPr>
      <xdr:spPr bwMode="auto">
        <a:xfrm>
          <a:off x="0" y="16123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78</xdr:row>
      <xdr:rowOff>0</xdr:rowOff>
    </xdr:from>
    <xdr:to>
      <xdr:col>22</xdr:col>
      <xdr:colOff>304800</xdr:colOff>
      <xdr:row>79</xdr:row>
      <xdr:rowOff>129540</xdr:rowOff>
    </xdr:to>
    <xdr:sp macro="" textlink="">
      <xdr:nvSpPr>
        <xdr:cNvPr id="7620" name="AutoShape 154" descr="https://www.soccerstats.com/img/own/sshplogo.png">
          <a:hlinkClick xmlns:r="http://schemas.openxmlformats.org/officeDocument/2006/relationships" r:id="rId596"/>
        </xdr:cNvPr>
        <xdr:cNvSpPr>
          <a:spLocks noChangeAspect="1" noChangeArrowheads="1"/>
        </xdr:cNvSpPr>
      </xdr:nvSpPr>
      <xdr:spPr bwMode="auto">
        <a:xfrm>
          <a:off x="13411200" y="16123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152400</xdr:colOff>
      <xdr:row>79</xdr:row>
      <xdr:rowOff>106680</xdr:rowOff>
    </xdr:to>
    <xdr:sp macro="" textlink="">
      <xdr:nvSpPr>
        <xdr:cNvPr id="7621" name="AutoShape 155" descr="FRANCE3"/>
        <xdr:cNvSpPr>
          <a:spLocks noChangeAspect="1" noChangeArrowheads="1"/>
        </xdr:cNvSpPr>
      </xdr:nvSpPr>
      <xdr:spPr bwMode="auto">
        <a:xfrm>
          <a:off x="0" y="16299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79</xdr:row>
      <xdr:rowOff>0</xdr:rowOff>
    </xdr:from>
    <xdr:to>
      <xdr:col>22</xdr:col>
      <xdr:colOff>304800</xdr:colOff>
      <xdr:row>80</xdr:row>
      <xdr:rowOff>53340</xdr:rowOff>
    </xdr:to>
    <xdr:sp macro="" textlink="">
      <xdr:nvSpPr>
        <xdr:cNvPr id="7622" name="AutoShape 156" descr="https://www.soccerstats.com/img/own/sshplogo.png">
          <a:hlinkClick xmlns:r="http://schemas.openxmlformats.org/officeDocument/2006/relationships" r:id="rId597"/>
        </xdr:cNvPr>
        <xdr:cNvSpPr>
          <a:spLocks noChangeAspect="1" noChangeArrowheads="1"/>
        </xdr:cNvSpPr>
      </xdr:nvSpPr>
      <xdr:spPr bwMode="auto">
        <a:xfrm>
          <a:off x="13411200" y="16299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152400</xdr:colOff>
      <xdr:row>80</xdr:row>
      <xdr:rowOff>106680</xdr:rowOff>
    </xdr:to>
    <xdr:sp macro="" textlink="">
      <xdr:nvSpPr>
        <xdr:cNvPr id="7623" name="AutoShape 157" descr="FRANCE3"/>
        <xdr:cNvSpPr>
          <a:spLocks noChangeAspect="1" noChangeArrowheads="1"/>
        </xdr:cNvSpPr>
      </xdr:nvSpPr>
      <xdr:spPr bwMode="auto">
        <a:xfrm>
          <a:off x="0" y="16550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80</xdr:row>
      <xdr:rowOff>0</xdr:rowOff>
    </xdr:from>
    <xdr:to>
      <xdr:col>22</xdr:col>
      <xdr:colOff>304800</xdr:colOff>
      <xdr:row>81</xdr:row>
      <xdr:rowOff>129540</xdr:rowOff>
    </xdr:to>
    <xdr:sp macro="" textlink="">
      <xdr:nvSpPr>
        <xdr:cNvPr id="7624" name="AutoShape 158" descr="https://www.soccerstats.com/img/own/sshplogo.png">
          <a:hlinkClick xmlns:r="http://schemas.openxmlformats.org/officeDocument/2006/relationships" r:id="rId598"/>
        </xdr:cNvPr>
        <xdr:cNvSpPr>
          <a:spLocks noChangeAspect="1" noChangeArrowheads="1"/>
        </xdr:cNvSpPr>
      </xdr:nvSpPr>
      <xdr:spPr bwMode="auto">
        <a:xfrm>
          <a:off x="13411200" y="1655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152400</xdr:colOff>
      <xdr:row>81</xdr:row>
      <xdr:rowOff>106680</xdr:rowOff>
    </xdr:to>
    <xdr:sp macro="" textlink="">
      <xdr:nvSpPr>
        <xdr:cNvPr id="7625" name="AutoShape 159" descr="FRANCE3"/>
        <xdr:cNvSpPr>
          <a:spLocks noChangeAspect="1" noChangeArrowheads="1"/>
        </xdr:cNvSpPr>
      </xdr:nvSpPr>
      <xdr:spPr bwMode="auto">
        <a:xfrm>
          <a:off x="0" y="16725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81</xdr:row>
      <xdr:rowOff>0</xdr:rowOff>
    </xdr:from>
    <xdr:to>
      <xdr:col>22</xdr:col>
      <xdr:colOff>304800</xdr:colOff>
      <xdr:row>82</xdr:row>
      <xdr:rowOff>53340</xdr:rowOff>
    </xdr:to>
    <xdr:sp macro="" textlink="">
      <xdr:nvSpPr>
        <xdr:cNvPr id="7626" name="AutoShape 160" descr="https://www.soccerstats.com/img/own/sshplogo.png">
          <a:hlinkClick xmlns:r="http://schemas.openxmlformats.org/officeDocument/2006/relationships" r:id="rId599"/>
        </xdr:cNvPr>
        <xdr:cNvSpPr>
          <a:spLocks noChangeAspect="1" noChangeArrowheads="1"/>
        </xdr:cNvSpPr>
      </xdr:nvSpPr>
      <xdr:spPr bwMode="auto">
        <a:xfrm>
          <a:off x="13411200" y="16725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152400</xdr:colOff>
      <xdr:row>82</xdr:row>
      <xdr:rowOff>106680</xdr:rowOff>
    </xdr:to>
    <xdr:sp macro="" textlink="">
      <xdr:nvSpPr>
        <xdr:cNvPr id="7627" name="AutoShape 161" descr="FRANCE3"/>
        <xdr:cNvSpPr>
          <a:spLocks noChangeAspect="1" noChangeArrowheads="1"/>
        </xdr:cNvSpPr>
      </xdr:nvSpPr>
      <xdr:spPr bwMode="auto">
        <a:xfrm>
          <a:off x="0" y="16977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82</xdr:row>
      <xdr:rowOff>0</xdr:rowOff>
    </xdr:from>
    <xdr:to>
      <xdr:col>22</xdr:col>
      <xdr:colOff>304800</xdr:colOff>
      <xdr:row>83</xdr:row>
      <xdr:rowOff>129540</xdr:rowOff>
    </xdr:to>
    <xdr:sp macro="" textlink="">
      <xdr:nvSpPr>
        <xdr:cNvPr id="7628" name="AutoShape 162" descr="https://www.soccerstats.com/img/own/sshplogo.png">
          <a:hlinkClick xmlns:r="http://schemas.openxmlformats.org/officeDocument/2006/relationships" r:id="rId600"/>
        </xdr:cNvPr>
        <xdr:cNvSpPr>
          <a:spLocks noChangeAspect="1" noChangeArrowheads="1"/>
        </xdr:cNvSpPr>
      </xdr:nvSpPr>
      <xdr:spPr bwMode="auto">
        <a:xfrm>
          <a:off x="13411200" y="16977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152400</xdr:colOff>
      <xdr:row>83</xdr:row>
      <xdr:rowOff>106680</xdr:rowOff>
    </xdr:to>
    <xdr:sp macro="" textlink="">
      <xdr:nvSpPr>
        <xdr:cNvPr id="7629" name="AutoShape 163" descr="FRANCE3"/>
        <xdr:cNvSpPr>
          <a:spLocks noChangeAspect="1" noChangeArrowheads="1"/>
        </xdr:cNvSpPr>
      </xdr:nvSpPr>
      <xdr:spPr bwMode="auto">
        <a:xfrm>
          <a:off x="0" y="17152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83</xdr:row>
      <xdr:rowOff>0</xdr:rowOff>
    </xdr:from>
    <xdr:to>
      <xdr:col>22</xdr:col>
      <xdr:colOff>304800</xdr:colOff>
      <xdr:row>84</xdr:row>
      <xdr:rowOff>53340</xdr:rowOff>
    </xdr:to>
    <xdr:sp macro="" textlink="">
      <xdr:nvSpPr>
        <xdr:cNvPr id="7630" name="AutoShape 164" descr="https://www.soccerstats.com/img/own/sshplogo.png">
          <a:hlinkClick xmlns:r="http://schemas.openxmlformats.org/officeDocument/2006/relationships" r:id="rId601"/>
        </xdr:cNvPr>
        <xdr:cNvSpPr>
          <a:spLocks noChangeAspect="1" noChangeArrowheads="1"/>
        </xdr:cNvSpPr>
      </xdr:nvSpPr>
      <xdr:spPr bwMode="auto">
        <a:xfrm>
          <a:off x="13411200" y="17152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152400</xdr:colOff>
      <xdr:row>84</xdr:row>
      <xdr:rowOff>106680</xdr:rowOff>
    </xdr:to>
    <xdr:sp macro="" textlink="">
      <xdr:nvSpPr>
        <xdr:cNvPr id="7631" name="AutoShape 165" descr="FRANCE3"/>
        <xdr:cNvSpPr>
          <a:spLocks noChangeAspect="1" noChangeArrowheads="1"/>
        </xdr:cNvSpPr>
      </xdr:nvSpPr>
      <xdr:spPr bwMode="auto">
        <a:xfrm>
          <a:off x="0" y="17404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84</xdr:row>
      <xdr:rowOff>0</xdr:rowOff>
    </xdr:from>
    <xdr:to>
      <xdr:col>22</xdr:col>
      <xdr:colOff>304800</xdr:colOff>
      <xdr:row>85</xdr:row>
      <xdr:rowOff>129540</xdr:rowOff>
    </xdr:to>
    <xdr:sp macro="" textlink="">
      <xdr:nvSpPr>
        <xdr:cNvPr id="7632" name="AutoShape 166" descr="https://www.soccerstats.com/img/own/sshplogo.png">
          <a:hlinkClick xmlns:r="http://schemas.openxmlformats.org/officeDocument/2006/relationships" r:id="rId602"/>
        </xdr:cNvPr>
        <xdr:cNvSpPr>
          <a:spLocks noChangeAspect="1" noChangeArrowheads="1"/>
        </xdr:cNvSpPr>
      </xdr:nvSpPr>
      <xdr:spPr bwMode="auto">
        <a:xfrm>
          <a:off x="13411200" y="17404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152400</xdr:colOff>
      <xdr:row>85</xdr:row>
      <xdr:rowOff>106680</xdr:rowOff>
    </xdr:to>
    <xdr:sp macro="" textlink="">
      <xdr:nvSpPr>
        <xdr:cNvPr id="7633" name="AutoShape 167" descr="FRANCE3"/>
        <xdr:cNvSpPr>
          <a:spLocks noChangeAspect="1" noChangeArrowheads="1"/>
        </xdr:cNvSpPr>
      </xdr:nvSpPr>
      <xdr:spPr bwMode="auto">
        <a:xfrm>
          <a:off x="0" y="17579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85</xdr:row>
      <xdr:rowOff>0</xdr:rowOff>
    </xdr:from>
    <xdr:to>
      <xdr:col>22</xdr:col>
      <xdr:colOff>304800</xdr:colOff>
      <xdr:row>86</xdr:row>
      <xdr:rowOff>129540</xdr:rowOff>
    </xdr:to>
    <xdr:sp macro="" textlink="">
      <xdr:nvSpPr>
        <xdr:cNvPr id="7634" name="AutoShape 168" descr="https://www.soccerstats.com/img/own/sshplogo.png">
          <a:hlinkClick xmlns:r="http://schemas.openxmlformats.org/officeDocument/2006/relationships" r:id="rId603"/>
        </xdr:cNvPr>
        <xdr:cNvSpPr>
          <a:spLocks noChangeAspect="1" noChangeArrowheads="1"/>
        </xdr:cNvSpPr>
      </xdr:nvSpPr>
      <xdr:spPr bwMode="auto">
        <a:xfrm>
          <a:off x="13411200" y="17579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152400</xdr:colOff>
      <xdr:row>86</xdr:row>
      <xdr:rowOff>106680</xdr:rowOff>
    </xdr:to>
    <xdr:sp macro="" textlink="">
      <xdr:nvSpPr>
        <xdr:cNvPr id="7635" name="AutoShape 169" descr="GERMANY3"/>
        <xdr:cNvSpPr>
          <a:spLocks noChangeAspect="1" noChangeArrowheads="1"/>
        </xdr:cNvSpPr>
      </xdr:nvSpPr>
      <xdr:spPr bwMode="auto">
        <a:xfrm>
          <a:off x="0" y="17754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86</xdr:row>
      <xdr:rowOff>0</xdr:rowOff>
    </xdr:from>
    <xdr:to>
      <xdr:col>22</xdr:col>
      <xdr:colOff>304800</xdr:colOff>
      <xdr:row>87</xdr:row>
      <xdr:rowOff>53340</xdr:rowOff>
    </xdr:to>
    <xdr:sp macro="" textlink="">
      <xdr:nvSpPr>
        <xdr:cNvPr id="7636" name="AutoShape 170" descr="https://www.soccerstats.com/img/own/sshplogo.png">
          <a:hlinkClick xmlns:r="http://schemas.openxmlformats.org/officeDocument/2006/relationships" r:id="rId604"/>
        </xdr:cNvPr>
        <xdr:cNvSpPr>
          <a:spLocks noChangeAspect="1" noChangeArrowheads="1"/>
        </xdr:cNvSpPr>
      </xdr:nvSpPr>
      <xdr:spPr bwMode="auto">
        <a:xfrm>
          <a:off x="13411200" y="1775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152400</xdr:colOff>
      <xdr:row>87</xdr:row>
      <xdr:rowOff>106680</xdr:rowOff>
    </xdr:to>
    <xdr:sp macro="" textlink="">
      <xdr:nvSpPr>
        <xdr:cNvPr id="7637" name="AutoShape 171" descr="GERMANY5"/>
        <xdr:cNvSpPr>
          <a:spLocks noChangeAspect="1" noChangeArrowheads="1"/>
        </xdr:cNvSpPr>
      </xdr:nvSpPr>
      <xdr:spPr bwMode="auto">
        <a:xfrm>
          <a:off x="0" y="1800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87</xdr:row>
      <xdr:rowOff>0</xdr:rowOff>
    </xdr:from>
    <xdr:to>
      <xdr:col>22</xdr:col>
      <xdr:colOff>304800</xdr:colOff>
      <xdr:row>88</xdr:row>
      <xdr:rowOff>129540</xdr:rowOff>
    </xdr:to>
    <xdr:sp macro="" textlink="">
      <xdr:nvSpPr>
        <xdr:cNvPr id="7638" name="AutoShape 172" descr="https://www.soccerstats.com/img/own/sshplogo.png">
          <a:hlinkClick xmlns:r="http://schemas.openxmlformats.org/officeDocument/2006/relationships" r:id="rId605"/>
        </xdr:cNvPr>
        <xdr:cNvSpPr>
          <a:spLocks noChangeAspect="1" noChangeArrowheads="1"/>
        </xdr:cNvSpPr>
      </xdr:nvSpPr>
      <xdr:spPr bwMode="auto">
        <a:xfrm>
          <a:off x="13411200" y="18006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152400</xdr:colOff>
      <xdr:row>88</xdr:row>
      <xdr:rowOff>106680</xdr:rowOff>
    </xdr:to>
    <xdr:sp macro="" textlink="">
      <xdr:nvSpPr>
        <xdr:cNvPr id="7639" name="AutoShape 173" descr="GERMANY5"/>
        <xdr:cNvSpPr>
          <a:spLocks noChangeAspect="1" noChangeArrowheads="1"/>
        </xdr:cNvSpPr>
      </xdr:nvSpPr>
      <xdr:spPr bwMode="auto">
        <a:xfrm>
          <a:off x="0" y="18181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88</xdr:row>
      <xdr:rowOff>0</xdr:rowOff>
    </xdr:from>
    <xdr:to>
      <xdr:col>22</xdr:col>
      <xdr:colOff>304800</xdr:colOff>
      <xdr:row>89</xdr:row>
      <xdr:rowOff>53340</xdr:rowOff>
    </xdr:to>
    <xdr:sp macro="" textlink="">
      <xdr:nvSpPr>
        <xdr:cNvPr id="7640" name="AutoShape 174" descr="https://www.soccerstats.com/img/own/sshplogo.png">
          <a:hlinkClick xmlns:r="http://schemas.openxmlformats.org/officeDocument/2006/relationships" r:id="rId606"/>
        </xdr:cNvPr>
        <xdr:cNvSpPr>
          <a:spLocks noChangeAspect="1" noChangeArrowheads="1"/>
        </xdr:cNvSpPr>
      </xdr:nvSpPr>
      <xdr:spPr bwMode="auto">
        <a:xfrm>
          <a:off x="13411200" y="18181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152400</xdr:colOff>
      <xdr:row>89</xdr:row>
      <xdr:rowOff>106680</xdr:rowOff>
    </xdr:to>
    <xdr:sp macro="" textlink="">
      <xdr:nvSpPr>
        <xdr:cNvPr id="7641" name="AutoShape 175" descr="GERMANY5"/>
        <xdr:cNvSpPr>
          <a:spLocks noChangeAspect="1" noChangeArrowheads="1"/>
        </xdr:cNvSpPr>
      </xdr:nvSpPr>
      <xdr:spPr bwMode="auto">
        <a:xfrm>
          <a:off x="0" y="18432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89</xdr:row>
      <xdr:rowOff>0</xdr:rowOff>
    </xdr:from>
    <xdr:to>
      <xdr:col>22</xdr:col>
      <xdr:colOff>304800</xdr:colOff>
      <xdr:row>90</xdr:row>
      <xdr:rowOff>53340</xdr:rowOff>
    </xdr:to>
    <xdr:sp macro="" textlink="">
      <xdr:nvSpPr>
        <xdr:cNvPr id="7642" name="AutoShape 176" descr="https://www.soccerstats.com/img/own/sshplogo.png">
          <a:hlinkClick xmlns:r="http://schemas.openxmlformats.org/officeDocument/2006/relationships" r:id="rId607"/>
        </xdr:cNvPr>
        <xdr:cNvSpPr>
          <a:spLocks noChangeAspect="1" noChangeArrowheads="1"/>
        </xdr:cNvSpPr>
      </xdr:nvSpPr>
      <xdr:spPr bwMode="auto">
        <a:xfrm>
          <a:off x="13411200" y="18432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152400</xdr:colOff>
      <xdr:row>90</xdr:row>
      <xdr:rowOff>106680</xdr:rowOff>
    </xdr:to>
    <xdr:sp macro="" textlink="">
      <xdr:nvSpPr>
        <xdr:cNvPr id="7643" name="AutoShape 177" descr="GERMANY5"/>
        <xdr:cNvSpPr>
          <a:spLocks noChangeAspect="1" noChangeArrowheads="1"/>
        </xdr:cNvSpPr>
      </xdr:nvSpPr>
      <xdr:spPr bwMode="auto">
        <a:xfrm>
          <a:off x="0" y="18684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90</xdr:row>
      <xdr:rowOff>0</xdr:rowOff>
    </xdr:from>
    <xdr:to>
      <xdr:col>22</xdr:col>
      <xdr:colOff>304800</xdr:colOff>
      <xdr:row>91</xdr:row>
      <xdr:rowOff>129540</xdr:rowOff>
    </xdr:to>
    <xdr:sp macro="" textlink="">
      <xdr:nvSpPr>
        <xdr:cNvPr id="7644" name="AutoShape 178" descr="https://www.soccerstats.com/img/own/sshplogo.png">
          <a:hlinkClick xmlns:r="http://schemas.openxmlformats.org/officeDocument/2006/relationships" r:id="rId608"/>
        </xdr:cNvPr>
        <xdr:cNvSpPr>
          <a:spLocks noChangeAspect="1" noChangeArrowheads="1"/>
        </xdr:cNvSpPr>
      </xdr:nvSpPr>
      <xdr:spPr bwMode="auto">
        <a:xfrm>
          <a:off x="13411200" y="18684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152400</xdr:colOff>
      <xdr:row>91</xdr:row>
      <xdr:rowOff>106680</xdr:rowOff>
    </xdr:to>
    <xdr:sp macro="" textlink="">
      <xdr:nvSpPr>
        <xdr:cNvPr id="7645" name="AutoShape 179" descr="GERMANY6"/>
        <xdr:cNvSpPr>
          <a:spLocks noChangeAspect="1" noChangeArrowheads="1"/>
        </xdr:cNvSpPr>
      </xdr:nvSpPr>
      <xdr:spPr bwMode="auto">
        <a:xfrm>
          <a:off x="0" y="1885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91</xdr:row>
      <xdr:rowOff>0</xdr:rowOff>
    </xdr:from>
    <xdr:to>
      <xdr:col>22</xdr:col>
      <xdr:colOff>304800</xdr:colOff>
      <xdr:row>92</xdr:row>
      <xdr:rowOff>129540</xdr:rowOff>
    </xdr:to>
    <xdr:sp macro="" textlink="">
      <xdr:nvSpPr>
        <xdr:cNvPr id="7646" name="AutoShape 180" descr="https://www.soccerstats.com/img/own/sshplogo.png">
          <a:hlinkClick xmlns:r="http://schemas.openxmlformats.org/officeDocument/2006/relationships" r:id="rId609"/>
        </xdr:cNvPr>
        <xdr:cNvSpPr>
          <a:spLocks noChangeAspect="1" noChangeArrowheads="1"/>
        </xdr:cNvSpPr>
      </xdr:nvSpPr>
      <xdr:spPr bwMode="auto">
        <a:xfrm>
          <a:off x="13411200" y="1885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152400</xdr:colOff>
      <xdr:row>92</xdr:row>
      <xdr:rowOff>106680</xdr:rowOff>
    </xdr:to>
    <xdr:sp macro="" textlink="">
      <xdr:nvSpPr>
        <xdr:cNvPr id="7647" name="AutoShape 181" descr="GERMANY6"/>
        <xdr:cNvSpPr>
          <a:spLocks noChangeAspect="1" noChangeArrowheads="1"/>
        </xdr:cNvSpPr>
      </xdr:nvSpPr>
      <xdr:spPr bwMode="auto">
        <a:xfrm>
          <a:off x="0" y="19034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92</xdr:row>
      <xdr:rowOff>0</xdr:rowOff>
    </xdr:from>
    <xdr:to>
      <xdr:col>22</xdr:col>
      <xdr:colOff>304800</xdr:colOff>
      <xdr:row>93</xdr:row>
      <xdr:rowOff>129540</xdr:rowOff>
    </xdr:to>
    <xdr:sp macro="" textlink="">
      <xdr:nvSpPr>
        <xdr:cNvPr id="7648" name="AutoShape 182" descr="https://www.soccerstats.com/img/own/sshplogo.png">
          <a:hlinkClick xmlns:r="http://schemas.openxmlformats.org/officeDocument/2006/relationships" r:id="rId610"/>
        </xdr:cNvPr>
        <xdr:cNvSpPr>
          <a:spLocks noChangeAspect="1" noChangeArrowheads="1"/>
        </xdr:cNvSpPr>
      </xdr:nvSpPr>
      <xdr:spPr bwMode="auto">
        <a:xfrm>
          <a:off x="13411200" y="19034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152400</xdr:colOff>
      <xdr:row>93</xdr:row>
      <xdr:rowOff>106680</xdr:rowOff>
    </xdr:to>
    <xdr:sp macro="" textlink="">
      <xdr:nvSpPr>
        <xdr:cNvPr id="7649" name="AutoShape 183" descr="GERMANY6"/>
        <xdr:cNvSpPr>
          <a:spLocks noChangeAspect="1" noChangeArrowheads="1"/>
        </xdr:cNvSpPr>
      </xdr:nvSpPr>
      <xdr:spPr bwMode="auto">
        <a:xfrm>
          <a:off x="0" y="19210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93</xdr:row>
      <xdr:rowOff>0</xdr:rowOff>
    </xdr:from>
    <xdr:to>
      <xdr:col>22</xdr:col>
      <xdr:colOff>304800</xdr:colOff>
      <xdr:row>94</xdr:row>
      <xdr:rowOff>129540</xdr:rowOff>
    </xdr:to>
    <xdr:sp macro="" textlink="">
      <xdr:nvSpPr>
        <xdr:cNvPr id="7650" name="AutoShape 184" descr="https://www.soccerstats.com/img/own/sshplogo.png">
          <a:hlinkClick xmlns:r="http://schemas.openxmlformats.org/officeDocument/2006/relationships" r:id="rId611"/>
        </xdr:cNvPr>
        <xdr:cNvSpPr>
          <a:spLocks noChangeAspect="1" noChangeArrowheads="1"/>
        </xdr:cNvSpPr>
      </xdr:nvSpPr>
      <xdr:spPr bwMode="auto">
        <a:xfrm>
          <a:off x="13411200" y="19210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152400</xdr:colOff>
      <xdr:row>94</xdr:row>
      <xdr:rowOff>106680</xdr:rowOff>
    </xdr:to>
    <xdr:sp macro="" textlink="">
      <xdr:nvSpPr>
        <xdr:cNvPr id="7651" name="AutoShape 185" descr="GERMANY6"/>
        <xdr:cNvSpPr>
          <a:spLocks noChangeAspect="1" noChangeArrowheads="1"/>
        </xdr:cNvSpPr>
      </xdr:nvSpPr>
      <xdr:spPr bwMode="auto">
        <a:xfrm>
          <a:off x="0" y="19385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94</xdr:row>
      <xdr:rowOff>0</xdr:rowOff>
    </xdr:from>
    <xdr:to>
      <xdr:col>22</xdr:col>
      <xdr:colOff>304800</xdr:colOff>
      <xdr:row>95</xdr:row>
      <xdr:rowOff>129540</xdr:rowOff>
    </xdr:to>
    <xdr:sp macro="" textlink="">
      <xdr:nvSpPr>
        <xdr:cNvPr id="7652" name="AutoShape 186" descr="https://www.soccerstats.com/img/own/sshplogo.png">
          <a:hlinkClick xmlns:r="http://schemas.openxmlformats.org/officeDocument/2006/relationships" r:id="rId612"/>
        </xdr:cNvPr>
        <xdr:cNvSpPr>
          <a:spLocks noChangeAspect="1" noChangeArrowheads="1"/>
        </xdr:cNvSpPr>
      </xdr:nvSpPr>
      <xdr:spPr bwMode="auto">
        <a:xfrm>
          <a:off x="13411200" y="19385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152400</xdr:colOff>
      <xdr:row>95</xdr:row>
      <xdr:rowOff>106680</xdr:rowOff>
    </xdr:to>
    <xdr:sp macro="" textlink="">
      <xdr:nvSpPr>
        <xdr:cNvPr id="7653" name="AutoShape 187" descr="GERMANY7"/>
        <xdr:cNvSpPr>
          <a:spLocks noChangeAspect="1" noChangeArrowheads="1"/>
        </xdr:cNvSpPr>
      </xdr:nvSpPr>
      <xdr:spPr bwMode="auto">
        <a:xfrm>
          <a:off x="0" y="19560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95</xdr:row>
      <xdr:rowOff>0</xdr:rowOff>
    </xdr:from>
    <xdr:to>
      <xdr:col>22</xdr:col>
      <xdr:colOff>304800</xdr:colOff>
      <xdr:row>96</xdr:row>
      <xdr:rowOff>53340</xdr:rowOff>
    </xdr:to>
    <xdr:sp macro="" textlink="">
      <xdr:nvSpPr>
        <xdr:cNvPr id="7654" name="AutoShape 188" descr="https://www.soccerstats.com/img/own/sshplogo.png">
          <a:hlinkClick xmlns:r="http://schemas.openxmlformats.org/officeDocument/2006/relationships" r:id="rId613"/>
        </xdr:cNvPr>
        <xdr:cNvSpPr>
          <a:spLocks noChangeAspect="1" noChangeArrowheads="1"/>
        </xdr:cNvSpPr>
      </xdr:nvSpPr>
      <xdr:spPr bwMode="auto">
        <a:xfrm>
          <a:off x="13411200" y="19560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152400</xdr:colOff>
      <xdr:row>96</xdr:row>
      <xdr:rowOff>106680</xdr:rowOff>
    </xdr:to>
    <xdr:sp macro="" textlink="">
      <xdr:nvSpPr>
        <xdr:cNvPr id="7655" name="AutoShape 189" descr="GERMANY8"/>
        <xdr:cNvSpPr>
          <a:spLocks noChangeAspect="1" noChangeArrowheads="1"/>
        </xdr:cNvSpPr>
      </xdr:nvSpPr>
      <xdr:spPr bwMode="auto">
        <a:xfrm>
          <a:off x="0" y="19812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96</xdr:row>
      <xdr:rowOff>0</xdr:rowOff>
    </xdr:from>
    <xdr:to>
      <xdr:col>22</xdr:col>
      <xdr:colOff>304800</xdr:colOff>
      <xdr:row>97</xdr:row>
      <xdr:rowOff>129540</xdr:rowOff>
    </xdr:to>
    <xdr:sp macro="" textlink="">
      <xdr:nvSpPr>
        <xdr:cNvPr id="7656" name="AutoShape 190" descr="https://www.soccerstats.com/img/own/sshplogo.png">
          <a:hlinkClick xmlns:r="http://schemas.openxmlformats.org/officeDocument/2006/relationships" r:id="rId614"/>
        </xdr:cNvPr>
        <xdr:cNvSpPr>
          <a:spLocks noChangeAspect="1" noChangeArrowheads="1"/>
        </xdr:cNvSpPr>
      </xdr:nvSpPr>
      <xdr:spPr bwMode="auto">
        <a:xfrm>
          <a:off x="13411200" y="198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152400</xdr:colOff>
      <xdr:row>97</xdr:row>
      <xdr:rowOff>106680</xdr:rowOff>
    </xdr:to>
    <xdr:sp macro="" textlink="">
      <xdr:nvSpPr>
        <xdr:cNvPr id="7657" name="AutoShape 191" descr="GERMANY8"/>
        <xdr:cNvSpPr>
          <a:spLocks noChangeAspect="1" noChangeArrowheads="1"/>
        </xdr:cNvSpPr>
      </xdr:nvSpPr>
      <xdr:spPr bwMode="auto">
        <a:xfrm>
          <a:off x="0" y="19987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97</xdr:row>
      <xdr:rowOff>0</xdr:rowOff>
    </xdr:from>
    <xdr:to>
      <xdr:col>22</xdr:col>
      <xdr:colOff>304800</xdr:colOff>
      <xdr:row>98</xdr:row>
      <xdr:rowOff>129540</xdr:rowOff>
    </xdr:to>
    <xdr:sp macro="" textlink="">
      <xdr:nvSpPr>
        <xdr:cNvPr id="7658" name="AutoShape 192" descr="https://www.soccerstats.com/img/own/sshplogo.png">
          <a:hlinkClick xmlns:r="http://schemas.openxmlformats.org/officeDocument/2006/relationships" r:id="rId615"/>
        </xdr:cNvPr>
        <xdr:cNvSpPr>
          <a:spLocks noChangeAspect="1" noChangeArrowheads="1"/>
        </xdr:cNvSpPr>
      </xdr:nvSpPr>
      <xdr:spPr bwMode="auto">
        <a:xfrm>
          <a:off x="13411200" y="19987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152400</xdr:colOff>
      <xdr:row>98</xdr:row>
      <xdr:rowOff>106680</xdr:rowOff>
    </xdr:to>
    <xdr:sp macro="" textlink="">
      <xdr:nvSpPr>
        <xdr:cNvPr id="7659" name="AutoShape 193" descr="GERMANY8"/>
        <xdr:cNvSpPr>
          <a:spLocks noChangeAspect="1" noChangeArrowheads="1"/>
        </xdr:cNvSpPr>
      </xdr:nvSpPr>
      <xdr:spPr bwMode="auto">
        <a:xfrm>
          <a:off x="0" y="20162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98</xdr:row>
      <xdr:rowOff>0</xdr:rowOff>
    </xdr:from>
    <xdr:to>
      <xdr:col>22</xdr:col>
      <xdr:colOff>304800</xdr:colOff>
      <xdr:row>99</xdr:row>
      <xdr:rowOff>129540</xdr:rowOff>
    </xdr:to>
    <xdr:sp macro="" textlink="">
      <xdr:nvSpPr>
        <xdr:cNvPr id="7660" name="AutoShape 194" descr="https://www.soccerstats.com/img/own/sshplogo.png">
          <a:hlinkClick xmlns:r="http://schemas.openxmlformats.org/officeDocument/2006/relationships" r:id="rId616"/>
        </xdr:cNvPr>
        <xdr:cNvSpPr>
          <a:spLocks noChangeAspect="1" noChangeArrowheads="1"/>
        </xdr:cNvSpPr>
      </xdr:nvSpPr>
      <xdr:spPr bwMode="auto">
        <a:xfrm>
          <a:off x="13411200" y="20162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152400</xdr:colOff>
      <xdr:row>99</xdr:row>
      <xdr:rowOff>106680</xdr:rowOff>
    </xdr:to>
    <xdr:sp macro="" textlink="">
      <xdr:nvSpPr>
        <xdr:cNvPr id="7661" name="AutoShape 195" descr="GERMANY8"/>
        <xdr:cNvSpPr>
          <a:spLocks noChangeAspect="1" noChangeArrowheads="1"/>
        </xdr:cNvSpPr>
      </xdr:nvSpPr>
      <xdr:spPr bwMode="auto">
        <a:xfrm>
          <a:off x="0" y="20337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99</xdr:row>
      <xdr:rowOff>0</xdr:rowOff>
    </xdr:from>
    <xdr:to>
      <xdr:col>22</xdr:col>
      <xdr:colOff>304800</xdr:colOff>
      <xdr:row>100</xdr:row>
      <xdr:rowOff>129540</xdr:rowOff>
    </xdr:to>
    <xdr:sp macro="" textlink="">
      <xdr:nvSpPr>
        <xdr:cNvPr id="7662" name="AutoShape 196" descr="https://www.soccerstats.com/img/own/sshplogo.png">
          <a:hlinkClick xmlns:r="http://schemas.openxmlformats.org/officeDocument/2006/relationships" r:id="rId617"/>
        </xdr:cNvPr>
        <xdr:cNvSpPr>
          <a:spLocks noChangeAspect="1" noChangeArrowheads="1"/>
        </xdr:cNvSpPr>
      </xdr:nvSpPr>
      <xdr:spPr bwMode="auto">
        <a:xfrm>
          <a:off x="13411200" y="20337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152400</xdr:colOff>
      <xdr:row>100</xdr:row>
      <xdr:rowOff>106680</xdr:rowOff>
    </xdr:to>
    <xdr:sp macro="" textlink="">
      <xdr:nvSpPr>
        <xdr:cNvPr id="7663" name="AutoShape 197" descr="GERMANY8"/>
        <xdr:cNvSpPr>
          <a:spLocks noChangeAspect="1" noChangeArrowheads="1"/>
        </xdr:cNvSpPr>
      </xdr:nvSpPr>
      <xdr:spPr bwMode="auto">
        <a:xfrm>
          <a:off x="0" y="20513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100</xdr:row>
      <xdr:rowOff>0</xdr:rowOff>
    </xdr:from>
    <xdr:to>
      <xdr:col>22</xdr:col>
      <xdr:colOff>304800</xdr:colOff>
      <xdr:row>101</xdr:row>
      <xdr:rowOff>129540</xdr:rowOff>
    </xdr:to>
    <xdr:sp macro="" textlink="">
      <xdr:nvSpPr>
        <xdr:cNvPr id="7664" name="AutoShape 198" descr="https://www.soccerstats.com/img/own/sshplogo.png">
          <a:hlinkClick xmlns:r="http://schemas.openxmlformats.org/officeDocument/2006/relationships" r:id="rId618"/>
        </xdr:cNvPr>
        <xdr:cNvSpPr>
          <a:spLocks noChangeAspect="1" noChangeArrowheads="1"/>
        </xdr:cNvSpPr>
      </xdr:nvSpPr>
      <xdr:spPr bwMode="auto">
        <a:xfrm>
          <a:off x="13411200" y="20513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152400</xdr:colOff>
      <xdr:row>101</xdr:row>
      <xdr:rowOff>106680</xdr:rowOff>
    </xdr:to>
    <xdr:sp macro="" textlink="">
      <xdr:nvSpPr>
        <xdr:cNvPr id="7665" name="AutoShape 199" descr="GERMANY8"/>
        <xdr:cNvSpPr>
          <a:spLocks noChangeAspect="1" noChangeArrowheads="1"/>
        </xdr:cNvSpPr>
      </xdr:nvSpPr>
      <xdr:spPr bwMode="auto">
        <a:xfrm>
          <a:off x="0" y="20688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101</xdr:row>
      <xdr:rowOff>0</xdr:rowOff>
    </xdr:from>
    <xdr:to>
      <xdr:col>22</xdr:col>
      <xdr:colOff>304800</xdr:colOff>
      <xdr:row>102</xdr:row>
      <xdr:rowOff>129540</xdr:rowOff>
    </xdr:to>
    <xdr:sp macro="" textlink="">
      <xdr:nvSpPr>
        <xdr:cNvPr id="7666" name="AutoShape 200" descr="https://www.soccerstats.com/img/own/sshplogo.png">
          <a:hlinkClick xmlns:r="http://schemas.openxmlformats.org/officeDocument/2006/relationships" r:id="rId619"/>
        </xdr:cNvPr>
        <xdr:cNvSpPr>
          <a:spLocks noChangeAspect="1" noChangeArrowheads="1"/>
        </xdr:cNvSpPr>
      </xdr:nvSpPr>
      <xdr:spPr bwMode="auto">
        <a:xfrm>
          <a:off x="13411200" y="2068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152400</xdr:colOff>
      <xdr:row>102</xdr:row>
      <xdr:rowOff>106680</xdr:rowOff>
    </xdr:to>
    <xdr:sp macro="" textlink="">
      <xdr:nvSpPr>
        <xdr:cNvPr id="7667" name="AutoShape 201" descr="GERMANY8"/>
        <xdr:cNvSpPr>
          <a:spLocks noChangeAspect="1" noChangeArrowheads="1"/>
        </xdr:cNvSpPr>
      </xdr:nvSpPr>
      <xdr:spPr bwMode="auto">
        <a:xfrm>
          <a:off x="0" y="20863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102</xdr:row>
      <xdr:rowOff>0</xdr:rowOff>
    </xdr:from>
    <xdr:to>
      <xdr:col>22</xdr:col>
      <xdr:colOff>304800</xdr:colOff>
      <xdr:row>103</xdr:row>
      <xdr:rowOff>53340</xdr:rowOff>
    </xdr:to>
    <xdr:sp macro="" textlink="">
      <xdr:nvSpPr>
        <xdr:cNvPr id="7668" name="AutoShape 202" descr="https://www.soccerstats.com/img/own/sshplogo.png">
          <a:hlinkClick xmlns:r="http://schemas.openxmlformats.org/officeDocument/2006/relationships" r:id="rId620"/>
        </xdr:cNvPr>
        <xdr:cNvSpPr>
          <a:spLocks noChangeAspect="1" noChangeArrowheads="1"/>
        </xdr:cNvSpPr>
      </xdr:nvSpPr>
      <xdr:spPr bwMode="auto">
        <a:xfrm>
          <a:off x="13411200" y="20863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152400</xdr:colOff>
      <xdr:row>103</xdr:row>
      <xdr:rowOff>106680</xdr:rowOff>
    </xdr:to>
    <xdr:sp macro="" textlink="">
      <xdr:nvSpPr>
        <xdr:cNvPr id="7669" name="AutoShape 203" descr="GERMANY8"/>
        <xdr:cNvSpPr>
          <a:spLocks noChangeAspect="1" noChangeArrowheads="1"/>
        </xdr:cNvSpPr>
      </xdr:nvSpPr>
      <xdr:spPr bwMode="auto">
        <a:xfrm>
          <a:off x="0" y="21115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103</xdr:row>
      <xdr:rowOff>0</xdr:rowOff>
    </xdr:from>
    <xdr:to>
      <xdr:col>22</xdr:col>
      <xdr:colOff>304800</xdr:colOff>
      <xdr:row>104</xdr:row>
      <xdr:rowOff>129540</xdr:rowOff>
    </xdr:to>
    <xdr:sp macro="" textlink="">
      <xdr:nvSpPr>
        <xdr:cNvPr id="7670" name="AutoShape 204" descr="https://www.soccerstats.com/img/own/sshplogo.png">
          <a:hlinkClick xmlns:r="http://schemas.openxmlformats.org/officeDocument/2006/relationships" r:id="rId621"/>
        </xdr:cNvPr>
        <xdr:cNvSpPr>
          <a:spLocks noChangeAspect="1" noChangeArrowheads="1"/>
        </xdr:cNvSpPr>
      </xdr:nvSpPr>
      <xdr:spPr bwMode="auto">
        <a:xfrm>
          <a:off x="13411200" y="21115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152400</xdr:colOff>
      <xdr:row>104</xdr:row>
      <xdr:rowOff>106680</xdr:rowOff>
    </xdr:to>
    <xdr:sp macro="" textlink="">
      <xdr:nvSpPr>
        <xdr:cNvPr id="7671" name="AutoShape 205" descr="GERMANY8"/>
        <xdr:cNvSpPr>
          <a:spLocks noChangeAspect="1" noChangeArrowheads="1"/>
        </xdr:cNvSpPr>
      </xdr:nvSpPr>
      <xdr:spPr bwMode="auto">
        <a:xfrm>
          <a:off x="0" y="21290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104</xdr:row>
      <xdr:rowOff>0</xdr:rowOff>
    </xdr:from>
    <xdr:to>
      <xdr:col>22</xdr:col>
      <xdr:colOff>304800</xdr:colOff>
      <xdr:row>105</xdr:row>
      <xdr:rowOff>53340</xdr:rowOff>
    </xdr:to>
    <xdr:sp macro="" textlink="">
      <xdr:nvSpPr>
        <xdr:cNvPr id="7672" name="AutoShape 206" descr="https://www.soccerstats.com/img/own/sshplogo.png">
          <a:hlinkClick xmlns:r="http://schemas.openxmlformats.org/officeDocument/2006/relationships" r:id="rId622"/>
        </xdr:cNvPr>
        <xdr:cNvSpPr>
          <a:spLocks noChangeAspect="1" noChangeArrowheads="1"/>
        </xdr:cNvSpPr>
      </xdr:nvSpPr>
      <xdr:spPr bwMode="auto">
        <a:xfrm>
          <a:off x="13411200" y="21290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152400</xdr:colOff>
      <xdr:row>105</xdr:row>
      <xdr:rowOff>106680</xdr:rowOff>
    </xdr:to>
    <xdr:sp macro="" textlink="">
      <xdr:nvSpPr>
        <xdr:cNvPr id="7673" name="AutoShape 207" descr="HUNGARY"/>
        <xdr:cNvSpPr>
          <a:spLocks noChangeAspect="1" noChangeArrowheads="1"/>
        </xdr:cNvSpPr>
      </xdr:nvSpPr>
      <xdr:spPr bwMode="auto">
        <a:xfrm>
          <a:off x="0" y="21541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105</xdr:row>
      <xdr:rowOff>0</xdr:rowOff>
    </xdr:from>
    <xdr:to>
      <xdr:col>22</xdr:col>
      <xdr:colOff>304800</xdr:colOff>
      <xdr:row>106</xdr:row>
      <xdr:rowOff>129540</xdr:rowOff>
    </xdr:to>
    <xdr:sp macro="" textlink="">
      <xdr:nvSpPr>
        <xdr:cNvPr id="7674" name="AutoShape 208" descr="https://www.soccerstats.com/img/own/sshplogo.png">
          <a:hlinkClick xmlns:r="http://schemas.openxmlformats.org/officeDocument/2006/relationships" r:id="rId623"/>
        </xdr:cNvPr>
        <xdr:cNvSpPr>
          <a:spLocks noChangeAspect="1" noChangeArrowheads="1"/>
        </xdr:cNvSpPr>
      </xdr:nvSpPr>
      <xdr:spPr bwMode="auto">
        <a:xfrm>
          <a:off x="13411200" y="21541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152400</xdr:colOff>
      <xdr:row>106</xdr:row>
      <xdr:rowOff>106680</xdr:rowOff>
    </xdr:to>
    <xdr:sp macro="" textlink="">
      <xdr:nvSpPr>
        <xdr:cNvPr id="7675" name="AutoShape 209" descr="ICELAND3"/>
        <xdr:cNvSpPr>
          <a:spLocks noChangeAspect="1" noChangeArrowheads="1"/>
        </xdr:cNvSpPr>
      </xdr:nvSpPr>
      <xdr:spPr bwMode="auto">
        <a:xfrm>
          <a:off x="0" y="21717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106</xdr:row>
      <xdr:rowOff>0</xdr:rowOff>
    </xdr:from>
    <xdr:to>
      <xdr:col>22</xdr:col>
      <xdr:colOff>304800</xdr:colOff>
      <xdr:row>107</xdr:row>
      <xdr:rowOff>53340</xdr:rowOff>
    </xdr:to>
    <xdr:sp macro="" textlink="">
      <xdr:nvSpPr>
        <xdr:cNvPr id="7676" name="AutoShape 210" descr="https://www.soccerstats.com/img/own/sshplogo.png">
          <a:hlinkClick xmlns:r="http://schemas.openxmlformats.org/officeDocument/2006/relationships" r:id="rId624"/>
        </xdr:cNvPr>
        <xdr:cNvSpPr>
          <a:spLocks noChangeAspect="1" noChangeArrowheads="1"/>
        </xdr:cNvSpPr>
      </xdr:nvSpPr>
      <xdr:spPr bwMode="auto">
        <a:xfrm>
          <a:off x="13411200" y="2171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152400</xdr:colOff>
      <xdr:row>107</xdr:row>
      <xdr:rowOff>106680</xdr:rowOff>
    </xdr:to>
    <xdr:sp macro="" textlink="">
      <xdr:nvSpPr>
        <xdr:cNvPr id="7677" name="AutoShape 211" descr="JAPAN"/>
        <xdr:cNvSpPr>
          <a:spLocks noChangeAspect="1" noChangeArrowheads="1"/>
        </xdr:cNvSpPr>
      </xdr:nvSpPr>
      <xdr:spPr bwMode="auto">
        <a:xfrm>
          <a:off x="0" y="21968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107</xdr:row>
      <xdr:rowOff>0</xdr:rowOff>
    </xdr:from>
    <xdr:to>
      <xdr:col>22</xdr:col>
      <xdr:colOff>304800</xdr:colOff>
      <xdr:row>108</xdr:row>
      <xdr:rowOff>53340</xdr:rowOff>
    </xdr:to>
    <xdr:sp macro="" textlink="">
      <xdr:nvSpPr>
        <xdr:cNvPr id="7678" name="AutoShape 212" descr="https://www.soccerstats.com/img/own/sshplogo.png">
          <a:hlinkClick xmlns:r="http://schemas.openxmlformats.org/officeDocument/2006/relationships" r:id="rId625"/>
        </xdr:cNvPr>
        <xdr:cNvSpPr>
          <a:spLocks noChangeAspect="1" noChangeArrowheads="1"/>
        </xdr:cNvSpPr>
      </xdr:nvSpPr>
      <xdr:spPr bwMode="auto">
        <a:xfrm>
          <a:off x="13411200" y="21968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152400</xdr:colOff>
      <xdr:row>108</xdr:row>
      <xdr:rowOff>106680</xdr:rowOff>
    </xdr:to>
    <xdr:sp macro="" textlink="">
      <xdr:nvSpPr>
        <xdr:cNvPr id="7679" name="AutoShape 213" descr="NORWAY"/>
        <xdr:cNvSpPr>
          <a:spLocks noChangeAspect="1" noChangeArrowheads="1"/>
        </xdr:cNvSpPr>
      </xdr:nvSpPr>
      <xdr:spPr bwMode="auto">
        <a:xfrm>
          <a:off x="0" y="22219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108</xdr:row>
      <xdr:rowOff>0</xdr:rowOff>
    </xdr:from>
    <xdr:to>
      <xdr:col>22</xdr:col>
      <xdr:colOff>304800</xdr:colOff>
      <xdr:row>109</xdr:row>
      <xdr:rowOff>129540</xdr:rowOff>
    </xdr:to>
    <xdr:sp macro="" textlink="">
      <xdr:nvSpPr>
        <xdr:cNvPr id="7680" name="AutoShape 214" descr="https://www.soccerstats.com/img/own/sshplogo.png">
          <a:hlinkClick xmlns:r="http://schemas.openxmlformats.org/officeDocument/2006/relationships" r:id="rId626"/>
        </xdr:cNvPr>
        <xdr:cNvSpPr>
          <a:spLocks noChangeAspect="1" noChangeArrowheads="1"/>
        </xdr:cNvSpPr>
      </xdr:nvSpPr>
      <xdr:spPr bwMode="auto">
        <a:xfrm>
          <a:off x="13411200" y="22219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152400</xdr:colOff>
      <xdr:row>109</xdr:row>
      <xdr:rowOff>106680</xdr:rowOff>
    </xdr:to>
    <xdr:sp macro="" textlink="">
      <xdr:nvSpPr>
        <xdr:cNvPr id="7681" name="AutoShape 215" descr="NORWAY11"/>
        <xdr:cNvSpPr>
          <a:spLocks noChangeAspect="1" noChangeArrowheads="1"/>
        </xdr:cNvSpPr>
      </xdr:nvSpPr>
      <xdr:spPr bwMode="auto">
        <a:xfrm>
          <a:off x="0" y="22395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109</xdr:row>
      <xdr:rowOff>0</xdr:rowOff>
    </xdr:from>
    <xdr:to>
      <xdr:col>22</xdr:col>
      <xdr:colOff>304800</xdr:colOff>
      <xdr:row>110</xdr:row>
      <xdr:rowOff>53340</xdr:rowOff>
    </xdr:to>
    <xdr:sp macro="" textlink="">
      <xdr:nvSpPr>
        <xdr:cNvPr id="7682" name="AutoShape 216" descr="https://www.soccerstats.com/img/own/sshplogo.png">
          <a:hlinkClick xmlns:r="http://schemas.openxmlformats.org/officeDocument/2006/relationships" r:id="rId627"/>
        </xdr:cNvPr>
        <xdr:cNvSpPr>
          <a:spLocks noChangeAspect="1" noChangeArrowheads="1"/>
        </xdr:cNvSpPr>
      </xdr:nvSpPr>
      <xdr:spPr bwMode="auto">
        <a:xfrm>
          <a:off x="13411200" y="22395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152400</xdr:colOff>
      <xdr:row>110</xdr:row>
      <xdr:rowOff>106680</xdr:rowOff>
    </xdr:to>
    <xdr:sp macro="" textlink="">
      <xdr:nvSpPr>
        <xdr:cNvPr id="7683" name="AutoShape 217" descr="PARAGUAY2"/>
        <xdr:cNvSpPr>
          <a:spLocks noChangeAspect="1" noChangeArrowheads="1"/>
        </xdr:cNvSpPr>
      </xdr:nvSpPr>
      <xdr:spPr bwMode="auto">
        <a:xfrm>
          <a:off x="0" y="22646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110</xdr:row>
      <xdr:rowOff>0</xdr:rowOff>
    </xdr:from>
    <xdr:to>
      <xdr:col>22</xdr:col>
      <xdr:colOff>304800</xdr:colOff>
      <xdr:row>111</xdr:row>
      <xdr:rowOff>129540</xdr:rowOff>
    </xdr:to>
    <xdr:sp macro="" textlink="">
      <xdr:nvSpPr>
        <xdr:cNvPr id="7684" name="AutoShape 218" descr="https://www.soccerstats.com/img/own/sshplogo.png">
          <a:hlinkClick xmlns:r="http://schemas.openxmlformats.org/officeDocument/2006/relationships" r:id="rId628"/>
        </xdr:cNvPr>
        <xdr:cNvSpPr>
          <a:spLocks noChangeAspect="1" noChangeArrowheads="1"/>
        </xdr:cNvSpPr>
      </xdr:nvSpPr>
      <xdr:spPr bwMode="auto">
        <a:xfrm>
          <a:off x="13411200" y="22646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152400</xdr:colOff>
      <xdr:row>111</xdr:row>
      <xdr:rowOff>106680</xdr:rowOff>
    </xdr:to>
    <xdr:sp macro="" textlink="">
      <xdr:nvSpPr>
        <xdr:cNvPr id="7685" name="AutoShape 219" descr="POLAND"/>
        <xdr:cNvSpPr>
          <a:spLocks noChangeAspect="1" noChangeArrowheads="1"/>
        </xdr:cNvSpPr>
      </xdr:nvSpPr>
      <xdr:spPr bwMode="auto">
        <a:xfrm>
          <a:off x="0" y="22821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111</xdr:row>
      <xdr:rowOff>0</xdr:rowOff>
    </xdr:from>
    <xdr:to>
      <xdr:col>22</xdr:col>
      <xdr:colOff>304800</xdr:colOff>
      <xdr:row>112</xdr:row>
      <xdr:rowOff>53340</xdr:rowOff>
    </xdr:to>
    <xdr:sp macro="" textlink="">
      <xdr:nvSpPr>
        <xdr:cNvPr id="7686" name="AutoShape 220" descr="https://www.soccerstats.com/img/own/sshplogo.png">
          <a:hlinkClick xmlns:r="http://schemas.openxmlformats.org/officeDocument/2006/relationships" r:id="rId629"/>
        </xdr:cNvPr>
        <xdr:cNvSpPr>
          <a:spLocks noChangeAspect="1" noChangeArrowheads="1"/>
        </xdr:cNvSpPr>
      </xdr:nvSpPr>
      <xdr:spPr bwMode="auto">
        <a:xfrm>
          <a:off x="13411200" y="22821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152400</xdr:colOff>
      <xdr:row>112</xdr:row>
      <xdr:rowOff>106680</xdr:rowOff>
    </xdr:to>
    <xdr:sp macro="" textlink="">
      <xdr:nvSpPr>
        <xdr:cNvPr id="7687" name="AutoShape 221" descr="POLAND2"/>
        <xdr:cNvSpPr>
          <a:spLocks noChangeAspect="1" noChangeArrowheads="1"/>
        </xdr:cNvSpPr>
      </xdr:nvSpPr>
      <xdr:spPr bwMode="auto">
        <a:xfrm>
          <a:off x="0" y="23073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112</xdr:row>
      <xdr:rowOff>0</xdr:rowOff>
    </xdr:from>
    <xdr:to>
      <xdr:col>22</xdr:col>
      <xdr:colOff>304800</xdr:colOff>
      <xdr:row>113</xdr:row>
      <xdr:rowOff>129540</xdr:rowOff>
    </xdr:to>
    <xdr:sp macro="" textlink="">
      <xdr:nvSpPr>
        <xdr:cNvPr id="7688" name="AutoShape 222" descr="https://www.soccerstats.com/img/own/sshplogo.png">
          <a:hlinkClick xmlns:r="http://schemas.openxmlformats.org/officeDocument/2006/relationships" r:id="rId630"/>
        </xdr:cNvPr>
        <xdr:cNvSpPr>
          <a:spLocks noChangeAspect="1" noChangeArrowheads="1"/>
        </xdr:cNvSpPr>
      </xdr:nvSpPr>
      <xdr:spPr bwMode="auto">
        <a:xfrm>
          <a:off x="13411200" y="23073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152400</xdr:colOff>
      <xdr:row>113</xdr:row>
      <xdr:rowOff>106680</xdr:rowOff>
    </xdr:to>
    <xdr:sp macro="" textlink="">
      <xdr:nvSpPr>
        <xdr:cNvPr id="7689" name="AutoShape 223" descr="POLAND2"/>
        <xdr:cNvSpPr>
          <a:spLocks noChangeAspect="1" noChangeArrowheads="1"/>
        </xdr:cNvSpPr>
      </xdr:nvSpPr>
      <xdr:spPr bwMode="auto">
        <a:xfrm>
          <a:off x="0" y="23248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113</xdr:row>
      <xdr:rowOff>0</xdr:rowOff>
    </xdr:from>
    <xdr:to>
      <xdr:col>22</xdr:col>
      <xdr:colOff>304800</xdr:colOff>
      <xdr:row>114</xdr:row>
      <xdr:rowOff>53340</xdr:rowOff>
    </xdr:to>
    <xdr:sp macro="" textlink="">
      <xdr:nvSpPr>
        <xdr:cNvPr id="7690" name="AutoShape 224" descr="https://www.soccerstats.com/img/own/sshplogo.png">
          <a:hlinkClick xmlns:r="http://schemas.openxmlformats.org/officeDocument/2006/relationships" r:id="rId631"/>
        </xdr:cNvPr>
        <xdr:cNvSpPr>
          <a:spLocks noChangeAspect="1" noChangeArrowheads="1"/>
        </xdr:cNvSpPr>
      </xdr:nvSpPr>
      <xdr:spPr bwMode="auto">
        <a:xfrm>
          <a:off x="13411200" y="23248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152400</xdr:colOff>
      <xdr:row>114</xdr:row>
      <xdr:rowOff>106680</xdr:rowOff>
    </xdr:to>
    <xdr:sp macro="" textlink="">
      <xdr:nvSpPr>
        <xdr:cNvPr id="7691" name="AutoShape 225" descr="POLAND3"/>
        <xdr:cNvSpPr>
          <a:spLocks noChangeAspect="1" noChangeArrowheads="1"/>
        </xdr:cNvSpPr>
      </xdr:nvSpPr>
      <xdr:spPr bwMode="auto">
        <a:xfrm>
          <a:off x="0" y="23500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114</xdr:row>
      <xdr:rowOff>0</xdr:rowOff>
    </xdr:from>
    <xdr:to>
      <xdr:col>22</xdr:col>
      <xdr:colOff>304800</xdr:colOff>
      <xdr:row>115</xdr:row>
      <xdr:rowOff>53340</xdr:rowOff>
    </xdr:to>
    <xdr:sp macro="" textlink="">
      <xdr:nvSpPr>
        <xdr:cNvPr id="7692" name="AutoShape 226" descr="https://www.soccerstats.com/img/own/sshplogo.png">
          <a:hlinkClick xmlns:r="http://schemas.openxmlformats.org/officeDocument/2006/relationships" r:id="rId632"/>
        </xdr:cNvPr>
        <xdr:cNvSpPr>
          <a:spLocks noChangeAspect="1" noChangeArrowheads="1"/>
        </xdr:cNvSpPr>
      </xdr:nvSpPr>
      <xdr:spPr bwMode="auto">
        <a:xfrm>
          <a:off x="13411200" y="23500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152400</xdr:colOff>
      <xdr:row>115</xdr:row>
      <xdr:rowOff>106680</xdr:rowOff>
    </xdr:to>
    <xdr:sp macro="" textlink="">
      <xdr:nvSpPr>
        <xdr:cNvPr id="7693" name="AutoShape 227" descr="PORTUGAL2"/>
        <xdr:cNvSpPr>
          <a:spLocks noChangeAspect="1" noChangeArrowheads="1"/>
        </xdr:cNvSpPr>
      </xdr:nvSpPr>
      <xdr:spPr bwMode="auto">
        <a:xfrm>
          <a:off x="0" y="23751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115</xdr:row>
      <xdr:rowOff>0</xdr:rowOff>
    </xdr:from>
    <xdr:to>
      <xdr:col>22</xdr:col>
      <xdr:colOff>304800</xdr:colOff>
      <xdr:row>116</xdr:row>
      <xdr:rowOff>129540</xdr:rowOff>
    </xdr:to>
    <xdr:sp macro="" textlink="">
      <xdr:nvSpPr>
        <xdr:cNvPr id="7694" name="AutoShape 228" descr="https://www.soccerstats.com/img/own/sshplogo.png">
          <a:hlinkClick xmlns:r="http://schemas.openxmlformats.org/officeDocument/2006/relationships" r:id="rId633"/>
        </xdr:cNvPr>
        <xdr:cNvSpPr>
          <a:spLocks noChangeAspect="1" noChangeArrowheads="1"/>
        </xdr:cNvSpPr>
      </xdr:nvSpPr>
      <xdr:spPr bwMode="auto">
        <a:xfrm>
          <a:off x="13411200" y="23751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152400</xdr:colOff>
      <xdr:row>116</xdr:row>
      <xdr:rowOff>106680</xdr:rowOff>
    </xdr:to>
    <xdr:sp macro="" textlink="">
      <xdr:nvSpPr>
        <xdr:cNvPr id="7695" name="AutoShape 229" descr="ROMANIA"/>
        <xdr:cNvSpPr>
          <a:spLocks noChangeAspect="1" noChangeArrowheads="1"/>
        </xdr:cNvSpPr>
      </xdr:nvSpPr>
      <xdr:spPr bwMode="auto">
        <a:xfrm>
          <a:off x="0" y="23926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116</xdr:row>
      <xdr:rowOff>0</xdr:rowOff>
    </xdr:from>
    <xdr:to>
      <xdr:col>22</xdr:col>
      <xdr:colOff>304800</xdr:colOff>
      <xdr:row>117</xdr:row>
      <xdr:rowOff>129540</xdr:rowOff>
    </xdr:to>
    <xdr:sp macro="" textlink="">
      <xdr:nvSpPr>
        <xdr:cNvPr id="7696" name="AutoShape 230" descr="https://www.soccerstats.com/img/own/sshplogo.png">
          <a:hlinkClick xmlns:r="http://schemas.openxmlformats.org/officeDocument/2006/relationships" r:id="rId634"/>
        </xdr:cNvPr>
        <xdr:cNvSpPr>
          <a:spLocks noChangeAspect="1" noChangeArrowheads="1"/>
        </xdr:cNvSpPr>
      </xdr:nvSpPr>
      <xdr:spPr bwMode="auto">
        <a:xfrm>
          <a:off x="13411200" y="2392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152400</xdr:colOff>
      <xdr:row>117</xdr:row>
      <xdr:rowOff>106680</xdr:rowOff>
    </xdr:to>
    <xdr:sp macro="" textlink="">
      <xdr:nvSpPr>
        <xdr:cNvPr id="7697" name="AutoShape 231" descr="ROMANIA"/>
        <xdr:cNvSpPr>
          <a:spLocks noChangeAspect="1" noChangeArrowheads="1"/>
        </xdr:cNvSpPr>
      </xdr:nvSpPr>
      <xdr:spPr bwMode="auto">
        <a:xfrm>
          <a:off x="0" y="24102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117</xdr:row>
      <xdr:rowOff>0</xdr:rowOff>
    </xdr:from>
    <xdr:to>
      <xdr:col>22</xdr:col>
      <xdr:colOff>304800</xdr:colOff>
      <xdr:row>118</xdr:row>
      <xdr:rowOff>53340</xdr:rowOff>
    </xdr:to>
    <xdr:sp macro="" textlink="">
      <xdr:nvSpPr>
        <xdr:cNvPr id="7698" name="AutoShape 232" descr="https://www.soccerstats.com/img/own/sshplogo.png">
          <a:hlinkClick xmlns:r="http://schemas.openxmlformats.org/officeDocument/2006/relationships" r:id="rId635"/>
        </xdr:cNvPr>
        <xdr:cNvSpPr>
          <a:spLocks noChangeAspect="1" noChangeArrowheads="1"/>
        </xdr:cNvSpPr>
      </xdr:nvSpPr>
      <xdr:spPr bwMode="auto">
        <a:xfrm>
          <a:off x="13411200" y="24102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152400</xdr:colOff>
      <xdr:row>118</xdr:row>
      <xdr:rowOff>106680</xdr:rowOff>
    </xdr:to>
    <xdr:sp macro="" textlink="">
      <xdr:nvSpPr>
        <xdr:cNvPr id="7699" name="AutoShape 233" descr="RUSSIA"/>
        <xdr:cNvSpPr>
          <a:spLocks noChangeAspect="1" noChangeArrowheads="1"/>
        </xdr:cNvSpPr>
      </xdr:nvSpPr>
      <xdr:spPr bwMode="auto">
        <a:xfrm>
          <a:off x="0" y="24353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118</xdr:row>
      <xdr:rowOff>0</xdr:rowOff>
    </xdr:from>
    <xdr:to>
      <xdr:col>22</xdr:col>
      <xdr:colOff>304800</xdr:colOff>
      <xdr:row>119</xdr:row>
      <xdr:rowOff>53340</xdr:rowOff>
    </xdr:to>
    <xdr:sp macro="" textlink="">
      <xdr:nvSpPr>
        <xdr:cNvPr id="7700" name="AutoShape 234" descr="https://www.soccerstats.com/img/own/sshplogo.png">
          <a:hlinkClick xmlns:r="http://schemas.openxmlformats.org/officeDocument/2006/relationships" r:id="rId636"/>
        </xdr:cNvPr>
        <xdr:cNvSpPr>
          <a:spLocks noChangeAspect="1" noChangeArrowheads="1"/>
        </xdr:cNvSpPr>
      </xdr:nvSpPr>
      <xdr:spPr bwMode="auto">
        <a:xfrm>
          <a:off x="13411200" y="24353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152400</xdr:colOff>
      <xdr:row>119</xdr:row>
      <xdr:rowOff>106680</xdr:rowOff>
    </xdr:to>
    <xdr:sp macro="" textlink="">
      <xdr:nvSpPr>
        <xdr:cNvPr id="7701" name="AutoShape 235" descr="SAUDIARABIA"/>
        <xdr:cNvSpPr>
          <a:spLocks noChangeAspect="1" noChangeArrowheads="1"/>
        </xdr:cNvSpPr>
      </xdr:nvSpPr>
      <xdr:spPr bwMode="auto">
        <a:xfrm>
          <a:off x="0" y="24604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119</xdr:row>
      <xdr:rowOff>0</xdr:rowOff>
    </xdr:from>
    <xdr:to>
      <xdr:col>22</xdr:col>
      <xdr:colOff>304800</xdr:colOff>
      <xdr:row>120</xdr:row>
      <xdr:rowOff>129540</xdr:rowOff>
    </xdr:to>
    <xdr:sp macro="" textlink="">
      <xdr:nvSpPr>
        <xdr:cNvPr id="7702" name="AutoShape 236" descr="https://www.soccerstats.com/img/own/sshplogo.png">
          <a:hlinkClick xmlns:r="http://schemas.openxmlformats.org/officeDocument/2006/relationships" r:id="rId637"/>
        </xdr:cNvPr>
        <xdr:cNvSpPr>
          <a:spLocks noChangeAspect="1" noChangeArrowheads="1"/>
        </xdr:cNvSpPr>
      </xdr:nvSpPr>
      <xdr:spPr bwMode="auto">
        <a:xfrm>
          <a:off x="13411200" y="24604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152400</xdr:colOff>
      <xdr:row>120</xdr:row>
      <xdr:rowOff>106680</xdr:rowOff>
    </xdr:to>
    <xdr:sp macro="" textlink="">
      <xdr:nvSpPr>
        <xdr:cNvPr id="7703" name="AutoShape 237" descr="SAUDIARABIA"/>
        <xdr:cNvSpPr>
          <a:spLocks noChangeAspect="1" noChangeArrowheads="1"/>
        </xdr:cNvSpPr>
      </xdr:nvSpPr>
      <xdr:spPr bwMode="auto">
        <a:xfrm>
          <a:off x="0" y="24780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120</xdr:row>
      <xdr:rowOff>0</xdr:rowOff>
    </xdr:from>
    <xdr:to>
      <xdr:col>22</xdr:col>
      <xdr:colOff>304800</xdr:colOff>
      <xdr:row>121</xdr:row>
      <xdr:rowOff>129540</xdr:rowOff>
    </xdr:to>
    <xdr:sp macro="" textlink="">
      <xdr:nvSpPr>
        <xdr:cNvPr id="7704" name="AutoShape 238" descr="https://www.soccerstats.com/img/own/sshplogo.png">
          <a:hlinkClick xmlns:r="http://schemas.openxmlformats.org/officeDocument/2006/relationships" r:id="rId638"/>
        </xdr:cNvPr>
        <xdr:cNvSpPr>
          <a:spLocks noChangeAspect="1" noChangeArrowheads="1"/>
        </xdr:cNvSpPr>
      </xdr:nvSpPr>
      <xdr:spPr bwMode="auto">
        <a:xfrm>
          <a:off x="13411200" y="24780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152400</xdr:colOff>
      <xdr:row>121</xdr:row>
      <xdr:rowOff>106680</xdr:rowOff>
    </xdr:to>
    <xdr:sp macro="" textlink="">
      <xdr:nvSpPr>
        <xdr:cNvPr id="7705" name="AutoShape 239" descr="SAUDIARABIA"/>
        <xdr:cNvSpPr>
          <a:spLocks noChangeAspect="1" noChangeArrowheads="1"/>
        </xdr:cNvSpPr>
      </xdr:nvSpPr>
      <xdr:spPr bwMode="auto">
        <a:xfrm>
          <a:off x="0" y="24955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121</xdr:row>
      <xdr:rowOff>0</xdr:rowOff>
    </xdr:from>
    <xdr:to>
      <xdr:col>22</xdr:col>
      <xdr:colOff>304800</xdr:colOff>
      <xdr:row>122</xdr:row>
      <xdr:rowOff>129540</xdr:rowOff>
    </xdr:to>
    <xdr:sp macro="" textlink="">
      <xdr:nvSpPr>
        <xdr:cNvPr id="7706" name="AutoShape 240" descr="https://www.soccerstats.com/img/own/sshplogo.png">
          <a:hlinkClick xmlns:r="http://schemas.openxmlformats.org/officeDocument/2006/relationships" r:id="rId639"/>
        </xdr:cNvPr>
        <xdr:cNvSpPr>
          <a:spLocks noChangeAspect="1" noChangeArrowheads="1"/>
        </xdr:cNvSpPr>
      </xdr:nvSpPr>
      <xdr:spPr bwMode="auto">
        <a:xfrm>
          <a:off x="13411200" y="2495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152400</xdr:colOff>
      <xdr:row>122</xdr:row>
      <xdr:rowOff>106680</xdr:rowOff>
    </xdr:to>
    <xdr:sp macro="" textlink="">
      <xdr:nvSpPr>
        <xdr:cNvPr id="7707" name="AutoShape 241" descr="SOUTHAFRICA"/>
        <xdr:cNvSpPr>
          <a:spLocks noChangeAspect="1" noChangeArrowheads="1"/>
        </xdr:cNvSpPr>
      </xdr:nvSpPr>
      <xdr:spPr bwMode="auto">
        <a:xfrm>
          <a:off x="0" y="25130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122</xdr:row>
      <xdr:rowOff>0</xdr:rowOff>
    </xdr:from>
    <xdr:to>
      <xdr:col>22</xdr:col>
      <xdr:colOff>304800</xdr:colOff>
      <xdr:row>123</xdr:row>
      <xdr:rowOff>129540</xdr:rowOff>
    </xdr:to>
    <xdr:sp macro="" textlink="">
      <xdr:nvSpPr>
        <xdr:cNvPr id="7708" name="AutoShape 242" descr="https://www.soccerstats.com/img/own/sshplogo.png">
          <a:hlinkClick xmlns:r="http://schemas.openxmlformats.org/officeDocument/2006/relationships" r:id="rId640"/>
        </xdr:cNvPr>
        <xdr:cNvSpPr>
          <a:spLocks noChangeAspect="1" noChangeArrowheads="1"/>
        </xdr:cNvSpPr>
      </xdr:nvSpPr>
      <xdr:spPr bwMode="auto">
        <a:xfrm>
          <a:off x="13411200" y="25130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152400</xdr:colOff>
      <xdr:row>123</xdr:row>
      <xdr:rowOff>106680</xdr:rowOff>
    </xdr:to>
    <xdr:sp macro="" textlink="">
      <xdr:nvSpPr>
        <xdr:cNvPr id="7709" name="AutoShape 243" descr="SOUTHKOREA4"/>
        <xdr:cNvSpPr>
          <a:spLocks noChangeAspect="1" noChangeArrowheads="1"/>
        </xdr:cNvSpPr>
      </xdr:nvSpPr>
      <xdr:spPr bwMode="auto">
        <a:xfrm>
          <a:off x="0" y="25306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123</xdr:row>
      <xdr:rowOff>0</xdr:rowOff>
    </xdr:from>
    <xdr:to>
      <xdr:col>22</xdr:col>
      <xdr:colOff>304800</xdr:colOff>
      <xdr:row>124</xdr:row>
      <xdr:rowOff>129540</xdr:rowOff>
    </xdr:to>
    <xdr:sp macro="" textlink="">
      <xdr:nvSpPr>
        <xdr:cNvPr id="7710" name="AutoShape 244" descr="https://www.soccerstats.com/img/own/sshplogo.png">
          <a:hlinkClick xmlns:r="http://schemas.openxmlformats.org/officeDocument/2006/relationships" r:id="rId641"/>
        </xdr:cNvPr>
        <xdr:cNvSpPr>
          <a:spLocks noChangeAspect="1" noChangeArrowheads="1"/>
        </xdr:cNvSpPr>
      </xdr:nvSpPr>
      <xdr:spPr bwMode="auto">
        <a:xfrm>
          <a:off x="13411200" y="25306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152400</xdr:colOff>
      <xdr:row>124</xdr:row>
      <xdr:rowOff>106680</xdr:rowOff>
    </xdr:to>
    <xdr:sp macro="" textlink="">
      <xdr:nvSpPr>
        <xdr:cNvPr id="7711" name="AutoShape 245" descr="SOUTHKOREA4"/>
        <xdr:cNvSpPr>
          <a:spLocks noChangeAspect="1" noChangeArrowheads="1"/>
        </xdr:cNvSpPr>
      </xdr:nvSpPr>
      <xdr:spPr bwMode="auto">
        <a:xfrm>
          <a:off x="0" y="2548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124</xdr:row>
      <xdr:rowOff>0</xdr:rowOff>
    </xdr:from>
    <xdr:to>
      <xdr:col>22</xdr:col>
      <xdr:colOff>304800</xdr:colOff>
      <xdr:row>125</xdr:row>
      <xdr:rowOff>53340</xdr:rowOff>
    </xdr:to>
    <xdr:sp macro="" textlink="">
      <xdr:nvSpPr>
        <xdr:cNvPr id="7712" name="AutoShape 246" descr="https://www.soccerstats.com/img/own/sshplogo.png">
          <a:hlinkClick xmlns:r="http://schemas.openxmlformats.org/officeDocument/2006/relationships" r:id="rId642"/>
        </xdr:cNvPr>
        <xdr:cNvSpPr>
          <a:spLocks noChangeAspect="1" noChangeArrowheads="1"/>
        </xdr:cNvSpPr>
      </xdr:nvSpPr>
      <xdr:spPr bwMode="auto">
        <a:xfrm>
          <a:off x="13411200" y="2548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152400</xdr:colOff>
      <xdr:row>125</xdr:row>
      <xdr:rowOff>106680</xdr:rowOff>
    </xdr:to>
    <xdr:sp macro="" textlink="">
      <xdr:nvSpPr>
        <xdr:cNvPr id="7713" name="AutoShape 247" descr="SWEDEN"/>
        <xdr:cNvSpPr>
          <a:spLocks noChangeAspect="1" noChangeArrowheads="1"/>
        </xdr:cNvSpPr>
      </xdr:nvSpPr>
      <xdr:spPr bwMode="auto">
        <a:xfrm>
          <a:off x="0" y="25732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125</xdr:row>
      <xdr:rowOff>0</xdr:rowOff>
    </xdr:from>
    <xdr:to>
      <xdr:col>22</xdr:col>
      <xdr:colOff>304800</xdr:colOff>
      <xdr:row>126</xdr:row>
      <xdr:rowOff>129540</xdr:rowOff>
    </xdr:to>
    <xdr:sp macro="" textlink="">
      <xdr:nvSpPr>
        <xdr:cNvPr id="7714" name="AutoShape 248" descr="https://www.soccerstats.com/img/own/sshplogo.png">
          <a:hlinkClick xmlns:r="http://schemas.openxmlformats.org/officeDocument/2006/relationships" r:id="rId643"/>
        </xdr:cNvPr>
        <xdr:cNvSpPr>
          <a:spLocks noChangeAspect="1" noChangeArrowheads="1"/>
        </xdr:cNvSpPr>
      </xdr:nvSpPr>
      <xdr:spPr bwMode="auto">
        <a:xfrm>
          <a:off x="13411200" y="25732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152400</xdr:colOff>
      <xdr:row>126</xdr:row>
      <xdr:rowOff>106680</xdr:rowOff>
    </xdr:to>
    <xdr:sp macro="" textlink="">
      <xdr:nvSpPr>
        <xdr:cNvPr id="7715" name="AutoShape 249" descr="SWEDEN2"/>
        <xdr:cNvSpPr>
          <a:spLocks noChangeAspect="1" noChangeArrowheads="1"/>
        </xdr:cNvSpPr>
      </xdr:nvSpPr>
      <xdr:spPr bwMode="auto">
        <a:xfrm>
          <a:off x="0" y="25908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126</xdr:row>
      <xdr:rowOff>0</xdr:rowOff>
    </xdr:from>
    <xdr:to>
      <xdr:col>22</xdr:col>
      <xdr:colOff>304800</xdr:colOff>
      <xdr:row>127</xdr:row>
      <xdr:rowOff>129540</xdr:rowOff>
    </xdr:to>
    <xdr:sp macro="" textlink="">
      <xdr:nvSpPr>
        <xdr:cNvPr id="7716" name="AutoShape 250" descr="https://www.soccerstats.com/img/own/sshplogo.png">
          <a:hlinkClick xmlns:r="http://schemas.openxmlformats.org/officeDocument/2006/relationships" r:id="rId644"/>
        </xdr:cNvPr>
        <xdr:cNvSpPr>
          <a:spLocks noChangeAspect="1" noChangeArrowheads="1"/>
        </xdr:cNvSpPr>
      </xdr:nvSpPr>
      <xdr:spPr bwMode="auto">
        <a:xfrm>
          <a:off x="13411200" y="2590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152400</xdr:colOff>
      <xdr:row>127</xdr:row>
      <xdr:rowOff>106680</xdr:rowOff>
    </xdr:to>
    <xdr:sp macro="" textlink="">
      <xdr:nvSpPr>
        <xdr:cNvPr id="7717" name="AutoShape 251" descr="SWEDEN2"/>
        <xdr:cNvSpPr>
          <a:spLocks noChangeAspect="1" noChangeArrowheads="1"/>
        </xdr:cNvSpPr>
      </xdr:nvSpPr>
      <xdr:spPr bwMode="auto">
        <a:xfrm>
          <a:off x="0" y="26083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127</xdr:row>
      <xdr:rowOff>0</xdr:rowOff>
    </xdr:from>
    <xdr:to>
      <xdr:col>22</xdr:col>
      <xdr:colOff>304800</xdr:colOff>
      <xdr:row>128</xdr:row>
      <xdr:rowOff>129540</xdr:rowOff>
    </xdr:to>
    <xdr:sp macro="" textlink="">
      <xdr:nvSpPr>
        <xdr:cNvPr id="7718" name="AutoShape 252" descr="https://www.soccerstats.com/img/own/sshplogo.png">
          <a:hlinkClick xmlns:r="http://schemas.openxmlformats.org/officeDocument/2006/relationships" r:id="rId645"/>
        </xdr:cNvPr>
        <xdr:cNvSpPr>
          <a:spLocks noChangeAspect="1" noChangeArrowheads="1"/>
        </xdr:cNvSpPr>
      </xdr:nvSpPr>
      <xdr:spPr bwMode="auto">
        <a:xfrm>
          <a:off x="13411200" y="26083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152400</xdr:colOff>
      <xdr:row>128</xdr:row>
      <xdr:rowOff>106680</xdr:rowOff>
    </xdr:to>
    <xdr:sp macro="" textlink="">
      <xdr:nvSpPr>
        <xdr:cNvPr id="7719" name="AutoShape 253" descr="SWEDEN3"/>
        <xdr:cNvSpPr>
          <a:spLocks noChangeAspect="1" noChangeArrowheads="1"/>
        </xdr:cNvSpPr>
      </xdr:nvSpPr>
      <xdr:spPr bwMode="auto">
        <a:xfrm>
          <a:off x="0" y="26258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128</xdr:row>
      <xdr:rowOff>0</xdr:rowOff>
    </xdr:from>
    <xdr:to>
      <xdr:col>22</xdr:col>
      <xdr:colOff>304800</xdr:colOff>
      <xdr:row>129</xdr:row>
      <xdr:rowOff>53340</xdr:rowOff>
    </xdr:to>
    <xdr:sp macro="" textlink="">
      <xdr:nvSpPr>
        <xdr:cNvPr id="7720" name="AutoShape 254" descr="https://www.soccerstats.com/img/own/sshplogo.png">
          <a:hlinkClick xmlns:r="http://schemas.openxmlformats.org/officeDocument/2006/relationships" r:id="rId646"/>
        </xdr:cNvPr>
        <xdr:cNvSpPr>
          <a:spLocks noChangeAspect="1" noChangeArrowheads="1"/>
        </xdr:cNvSpPr>
      </xdr:nvSpPr>
      <xdr:spPr bwMode="auto">
        <a:xfrm>
          <a:off x="13411200" y="26258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152400</xdr:colOff>
      <xdr:row>129</xdr:row>
      <xdr:rowOff>106680</xdr:rowOff>
    </xdr:to>
    <xdr:sp macro="" textlink="">
      <xdr:nvSpPr>
        <xdr:cNvPr id="7721" name="AutoShape 255" descr="SWEDEN4"/>
        <xdr:cNvSpPr>
          <a:spLocks noChangeAspect="1" noChangeArrowheads="1"/>
        </xdr:cNvSpPr>
      </xdr:nvSpPr>
      <xdr:spPr bwMode="auto">
        <a:xfrm>
          <a:off x="0" y="26509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129</xdr:row>
      <xdr:rowOff>0</xdr:rowOff>
    </xdr:from>
    <xdr:to>
      <xdr:col>22</xdr:col>
      <xdr:colOff>304800</xdr:colOff>
      <xdr:row>130</xdr:row>
      <xdr:rowOff>53340</xdr:rowOff>
    </xdr:to>
    <xdr:sp macro="" textlink="">
      <xdr:nvSpPr>
        <xdr:cNvPr id="7722" name="AutoShape 256" descr="https://www.soccerstats.com/img/own/sshplogo.png">
          <a:hlinkClick xmlns:r="http://schemas.openxmlformats.org/officeDocument/2006/relationships" r:id="rId647"/>
        </xdr:cNvPr>
        <xdr:cNvSpPr>
          <a:spLocks noChangeAspect="1" noChangeArrowheads="1"/>
        </xdr:cNvSpPr>
      </xdr:nvSpPr>
      <xdr:spPr bwMode="auto">
        <a:xfrm>
          <a:off x="13411200" y="26509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152400</xdr:colOff>
      <xdr:row>130</xdr:row>
      <xdr:rowOff>106680</xdr:rowOff>
    </xdr:to>
    <xdr:sp macro="" textlink="">
      <xdr:nvSpPr>
        <xdr:cNvPr id="7723" name="AutoShape 257" descr="SWEDEN11"/>
        <xdr:cNvSpPr>
          <a:spLocks noChangeAspect="1" noChangeArrowheads="1"/>
        </xdr:cNvSpPr>
      </xdr:nvSpPr>
      <xdr:spPr bwMode="auto">
        <a:xfrm>
          <a:off x="0" y="26761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130</xdr:row>
      <xdr:rowOff>0</xdr:rowOff>
    </xdr:from>
    <xdr:to>
      <xdr:col>22</xdr:col>
      <xdr:colOff>304800</xdr:colOff>
      <xdr:row>131</xdr:row>
      <xdr:rowOff>129540</xdr:rowOff>
    </xdr:to>
    <xdr:sp macro="" textlink="">
      <xdr:nvSpPr>
        <xdr:cNvPr id="7724" name="AutoShape 258" descr="https://www.soccerstats.com/img/own/sshplogo.png">
          <a:hlinkClick xmlns:r="http://schemas.openxmlformats.org/officeDocument/2006/relationships" r:id="rId648"/>
        </xdr:cNvPr>
        <xdr:cNvSpPr>
          <a:spLocks noChangeAspect="1" noChangeArrowheads="1"/>
        </xdr:cNvSpPr>
      </xdr:nvSpPr>
      <xdr:spPr bwMode="auto">
        <a:xfrm>
          <a:off x="13411200" y="26761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152400</xdr:colOff>
      <xdr:row>131</xdr:row>
      <xdr:rowOff>106680</xdr:rowOff>
    </xdr:to>
    <xdr:sp macro="" textlink="">
      <xdr:nvSpPr>
        <xdr:cNvPr id="7725" name="AutoShape 259" descr="TURKEY"/>
        <xdr:cNvSpPr>
          <a:spLocks noChangeAspect="1" noChangeArrowheads="1"/>
        </xdr:cNvSpPr>
      </xdr:nvSpPr>
      <xdr:spPr bwMode="auto">
        <a:xfrm>
          <a:off x="0" y="26936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131</xdr:row>
      <xdr:rowOff>0</xdr:rowOff>
    </xdr:from>
    <xdr:to>
      <xdr:col>22</xdr:col>
      <xdr:colOff>304800</xdr:colOff>
      <xdr:row>132</xdr:row>
      <xdr:rowOff>129540</xdr:rowOff>
    </xdr:to>
    <xdr:sp macro="" textlink="">
      <xdr:nvSpPr>
        <xdr:cNvPr id="7726" name="AutoShape 260" descr="https://www.soccerstats.com/img/own/sshplogo.png">
          <a:hlinkClick xmlns:r="http://schemas.openxmlformats.org/officeDocument/2006/relationships" r:id="rId649"/>
        </xdr:cNvPr>
        <xdr:cNvSpPr>
          <a:spLocks noChangeAspect="1" noChangeArrowheads="1"/>
        </xdr:cNvSpPr>
      </xdr:nvSpPr>
      <xdr:spPr bwMode="auto">
        <a:xfrm>
          <a:off x="13411200" y="26936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152400</xdr:colOff>
      <xdr:row>132</xdr:row>
      <xdr:rowOff>106680</xdr:rowOff>
    </xdr:to>
    <xdr:sp macro="" textlink="">
      <xdr:nvSpPr>
        <xdr:cNvPr id="7727" name="AutoShape 261" descr="TURKEY2"/>
        <xdr:cNvSpPr>
          <a:spLocks noChangeAspect="1" noChangeArrowheads="1"/>
        </xdr:cNvSpPr>
      </xdr:nvSpPr>
      <xdr:spPr bwMode="auto">
        <a:xfrm>
          <a:off x="0" y="27111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132</xdr:row>
      <xdr:rowOff>0</xdr:rowOff>
    </xdr:from>
    <xdr:to>
      <xdr:col>22</xdr:col>
      <xdr:colOff>304800</xdr:colOff>
      <xdr:row>133</xdr:row>
      <xdr:rowOff>129540</xdr:rowOff>
    </xdr:to>
    <xdr:sp macro="" textlink="">
      <xdr:nvSpPr>
        <xdr:cNvPr id="7728" name="AutoShape 262" descr="https://www.soccerstats.com/img/own/sshplogo.png">
          <a:hlinkClick xmlns:r="http://schemas.openxmlformats.org/officeDocument/2006/relationships" r:id="rId650"/>
        </xdr:cNvPr>
        <xdr:cNvSpPr>
          <a:spLocks noChangeAspect="1" noChangeArrowheads="1"/>
        </xdr:cNvSpPr>
      </xdr:nvSpPr>
      <xdr:spPr bwMode="auto">
        <a:xfrm>
          <a:off x="13411200" y="27111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152400</xdr:colOff>
      <xdr:row>133</xdr:row>
      <xdr:rowOff>106680</xdr:rowOff>
    </xdr:to>
    <xdr:sp macro="" textlink="">
      <xdr:nvSpPr>
        <xdr:cNvPr id="7729" name="AutoShape 263" descr="UKRAINE"/>
        <xdr:cNvSpPr>
          <a:spLocks noChangeAspect="1" noChangeArrowheads="1"/>
        </xdr:cNvSpPr>
      </xdr:nvSpPr>
      <xdr:spPr bwMode="auto">
        <a:xfrm>
          <a:off x="0" y="27287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133</xdr:row>
      <xdr:rowOff>0</xdr:rowOff>
    </xdr:from>
    <xdr:to>
      <xdr:col>22</xdr:col>
      <xdr:colOff>304800</xdr:colOff>
      <xdr:row>134</xdr:row>
      <xdr:rowOff>129540</xdr:rowOff>
    </xdr:to>
    <xdr:sp macro="" textlink="">
      <xdr:nvSpPr>
        <xdr:cNvPr id="7730" name="AutoShape 264" descr="https://www.soccerstats.com/img/own/sshplogo.png">
          <a:hlinkClick xmlns:r="http://schemas.openxmlformats.org/officeDocument/2006/relationships" r:id="rId651"/>
        </xdr:cNvPr>
        <xdr:cNvSpPr>
          <a:spLocks noChangeAspect="1" noChangeArrowheads="1"/>
        </xdr:cNvSpPr>
      </xdr:nvSpPr>
      <xdr:spPr bwMode="auto">
        <a:xfrm>
          <a:off x="13411200" y="27287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152400</xdr:colOff>
      <xdr:row>134</xdr:row>
      <xdr:rowOff>106680</xdr:rowOff>
    </xdr:to>
    <xdr:sp macro="" textlink="">
      <xdr:nvSpPr>
        <xdr:cNvPr id="7731" name="AutoShape 265" descr="URUGUAY3"/>
        <xdr:cNvSpPr>
          <a:spLocks noChangeAspect="1" noChangeArrowheads="1"/>
        </xdr:cNvSpPr>
      </xdr:nvSpPr>
      <xdr:spPr bwMode="auto">
        <a:xfrm>
          <a:off x="0" y="27462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134</xdr:row>
      <xdr:rowOff>0</xdr:rowOff>
    </xdr:from>
    <xdr:to>
      <xdr:col>22</xdr:col>
      <xdr:colOff>304800</xdr:colOff>
      <xdr:row>135</xdr:row>
      <xdr:rowOff>129540</xdr:rowOff>
    </xdr:to>
    <xdr:sp macro="" textlink="">
      <xdr:nvSpPr>
        <xdr:cNvPr id="7732" name="AutoShape 266" descr="https://www.soccerstats.com/img/own/sshplogo.png">
          <a:hlinkClick xmlns:r="http://schemas.openxmlformats.org/officeDocument/2006/relationships" r:id="rId652"/>
        </xdr:cNvPr>
        <xdr:cNvSpPr>
          <a:spLocks noChangeAspect="1" noChangeArrowheads="1"/>
        </xdr:cNvSpPr>
      </xdr:nvSpPr>
      <xdr:spPr bwMode="auto">
        <a:xfrm>
          <a:off x="13411200" y="27462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152400</xdr:colOff>
      <xdr:row>135</xdr:row>
      <xdr:rowOff>106680</xdr:rowOff>
    </xdr:to>
    <xdr:sp macro="" textlink="">
      <xdr:nvSpPr>
        <xdr:cNvPr id="7733" name="AutoShape 267" descr="WALES"/>
        <xdr:cNvSpPr>
          <a:spLocks noChangeAspect="1" noChangeArrowheads="1"/>
        </xdr:cNvSpPr>
      </xdr:nvSpPr>
      <xdr:spPr bwMode="auto">
        <a:xfrm>
          <a:off x="0" y="27637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135</xdr:row>
      <xdr:rowOff>0</xdr:rowOff>
    </xdr:from>
    <xdr:to>
      <xdr:col>22</xdr:col>
      <xdr:colOff>304800</xdr:colOff>
      <xdr:row>136</xdr:row>
      <xdr:rowOff>129540</xdr:rowOff>
    </xdr:to>
    <xdr:sp macro="" textlink="">
      <xdr:nvSpPr>
        <xdr:cNvPr id="7734" name="AutoShape 268" descr="https://www.soccerstats.com/img/own/sshplogo.png">
          <a:hlinkClick xmlns:r="http://schemas.openxmlformats.org/officeDocument/2006/relationships" r:id="rId653"/>
        </xdr:cNvPr>
        <xdr:cNvSpPr>
          <a:spLocks noChangeAspect="1" noChangeArrowheads="1"/>
        </xdr:cNvSpPr>
      </xdr:nvSpPr>
      <xdr:spPr bwMode="auto">
        <a:xfrm>
          <a:off x="13411200" y="27637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152400</xdr:colOff>
      <xdr:row>136</xdr:row>
      <xdr:rowOff>106680</xdr:rowOff>
    </xdr:to>
    <xdr:sp macro="" textlink="">
      <xdr:nvSpPr>
        <xdr:cNvPr id="7735" name="AutoShape 269" descr="WALES"/>
        <xdr:cNvSpPr>
          <a:spLocks noChangeAspect="1" noChangeArrowheads="1"/>
        </xdr:cNvSpPr>
      </xdr:nvSpPr>
      <xdr:spPr bwMode="auto">
        <a:xfrm>
          <a:off x="0" y="27813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136</xdr:row>
      <xdr:rowOff>0</xdr:rowOff>
    </xdr:from>
    <xdr:to>
      <xdr:col>22</xdr:col>
      <xdr:colOff>304800</xdr:colOff>
      <xdr:row>137</xdr:row>
      <xdr:rowOff>53340</xdr:rowOff>
    </xdr:to>
    <xdr:sp macro="" textlink="">
      <xdr:nvSpPr>
        <xdr:cNvPr id="7736" name="AutoShape 270" descr="https://www.soccerstats.com/img/own/sshplogo.png">
          <a:hlinkClick xmlns:r="http://schemas.openxmlformats.org/officeDocument/2006/relationships" r:id="rId654"/>
        </xdr:cNvPr>
        <xdr:cNvSpPr>
          <a:spLocks noChangeAspect="1" noChangeArrowheads="1"/>
        </xdr:cNvSpPr>
      </xdr:nvSpPr>
      <xdr:spPr bwMode="auto">
        <a:xfrm>
          <a:off x="13411200" y="2781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152400</xdr:colOff>
      <xdr:row>137</xdr:row>
      <xdr:rowOff>106680</xdr:rowOff>
    </xdr:to>
    <xdr:sp macro="" textlink="">
      <xdr:nvSpPr>
        <xdr:cNvPr id="7737" name="AutoShape 271" descr="WALES"/>
        <xdr:cNvSpPr>
          <a:spLocks noChangeAspect="1" noChangeArrowheads="1"/>
        </xdr:cNvSpPr>
      </xdr:nvSpPr>
      <xdr:spPr bwMode="auto">
        <a:xfrm>
          <a:off x="0" y="28064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137</xdr:row>
      <xdr:rowOff>0</xdr:rowOff>
    </xdr:from>
    <xdr:to>
      <xdr:col>22</xdr:col>
      <xdr:colOff>304800</xdr:colOff>
      <xdr:row>138</xdr:row>
      <xdr:rowOff>53340</xdr:rowOff>
    </xdr:to>
    <xdr:sp macro="" textlink="">
      <xdr:nvSpPr>
        <xdr:cNvPr id="7738" name="AutoShape 272" descr="https://www.soccerstats.com/img/own/sshplogo.png">
          <a:hlinkClick xmlns:r="http://schemas.openxmlformats.org/officeDocument/2006/relationships" r:id="rId655"/>
        </xdr:cNvPr>
        <xdr:cNvSpPr>
          <a:spLocks noChangeAspect="1" noChangeArrowheads="1"/>
        </xdr:cNvSpPr>
      </xdr:nvSpPr>
      <xdr:spPr bwMode="auto">
        <a:xfrm>
          <a:off x="13411200" y="28064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152400</xdr:colOff>
      <xdr:row>138</xdr:row>
      <xdr:rowOff>106680</xdr:rowOff>
    </xdr:to>
    <xdr:sp macro="" textlink="">
      <xdr:nvSpPr>
        <xdr:cNvPr id="7739" name="AutoShape 273" descr="WALES"/>
        <xdr:cNvSpPr>
          <a:spLocks noChangeAspect="1" noChangeArrowheads="1"/>
        </xdr:cNvSpPr>
      </xdr:nvSpPr>
      <xdr:spPr bwMode="auto">
        <a:xfrm>
          <a:off x="0" y="28315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138</xdr:row>
      <xdr:rowOff>0</xdr:rowOff>
    </xdr:from>
    <xdr:to>
      <xdr:col>22</xdr:col>
      <xdr:colOff>304800</xdr:colOff>
      <xdr:row>139</xdr:row>
      <xdr:rowOff>53340</xdr:rowOff>
    </xdr:to>
    <xdr:sp macro="" textlink="">
      <xdr:nvSpPr>
        <xdr:cNvPr id="7740" name="AutoShape 274" descr="https://www.soccerstats.com/img/own/sshplogo.png">
          <a:hlinkClick xmlns:r="http://schemas.openxmlformats.org/officeDocument/2006/relationships" r:id="rId656"/>
        </xdr:cNvPr>
        <xdr:cNvSpPr>
          <a:spLocks noChangeAspect="1" noChangeArrowheads="1"/>
        </xdr:cNvSpPr>
      </xdr:nvSpPr>
      <xdr:spPr bwMode="auto">
        <a:xfrm>
          <a:off x="13411200" y="28315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152400</xdr:colOff>
      <xdr:row>139</xdr:row>
      <xdr:rowOff>106680</xdr:rowOff>
    </xdr:to>
    <xdr:sp macro="" textlink="">
      <xdr:nvSpPr>
        <xdr:cNvPr id="7741" name="AutoShape 275" descr="WALES"/>
        <xdr:cNvSpPr>
          <a:spLocks noChangeAspect="1" noChangeArrowheads="1"/>
        </xdr:cNvSpPr>
      </xdr:nvSpPr>
      <xdr:spPr bwMode="auto">
        <a:xfrm>
          <a:off x="0" y="28567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139</xdr:row>
      <xdr:rowOff>0</xdr:rowOff>
    </xdr:from>
    <xdr:to>
      <xdr:col>22</xdr:col>
      <xdr:colOff>304800</xdr:colOff>
      <xdr:row>140</xdr:row>
      <xdr:rowOff>129540</xdr:rowOff>
    </xdr:to>
    <xdr:sp macro="" textlink="">
      <xdr:nvSpPr>
        <xdr:cNvPr id="7742" name="AutoShape 276" descr="https://www.soccerstats.com/img/own/sshplogo.png">
          <a:hlinkClick xmlns:r="http://schemas.openxmlformats.org/officeDocument/2006/relationships" r:id="rId657"/>
        </xdr:cNvPr>
        <xdr:cNvSpPr>
          <a:spLocks noChangeAspect="1" noChangeArrowheads="1"/>
        </xdr:cNvSpPr>
      </xdr:nvSpPr>
      <xdr:spPr bwMode="auto">
        <a:xfrm>
          <a:off x="13411200" y="28567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152400</xdr:colOff>
      <xdr:row>140</xdr:row>
      <xdr:rowOff>106680</xdr:rowOff>
    </xdr:to>
    <xdr:sp macro="" textlink="">
      <xdr:nvSpPr>
        <xdr:cNvPr id="7743" name="AutoShape 277" descr="WALES"/>
        <xdr:cNvSpPr>
          <a:spLocks noChangeAspect="1" noChangeArrowheads="1"/>
        </xdr:cNvSpPr>
      </xdr:nvSpPr>
      <xdr:spPr bwMode="auto">
        <a:xfrm>
          <a:off x="0" y="28742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140</xdr:row>
      <xdr:rowOff>0</xdr:rowOff>
    </xdr:from>
    <xdr:to>
      <xdr:col>22</xdr:col>
      <xdr:colOff>304800</xdr:colOff>
      <xdr:row>141</xdr:row>
      <xdr:rowOff>53340</xdr:rowOff>
    </xdr:to>
    <xdr:sp macro="" textlink="">
      <xdr:nvSpPr>
        <xdr:cNvPr id="7744" name="AutoShape 278" descr="https://www.soccerstats.com/img/own/sshplogo.png">
          <a:hlinkClick xmlns:r="http://schemas.openxmlformats.org/officeDocument/2006/relationships" r:id="rId658"/>
        </xdr:cNvPr>
        <xdr:cNvSpPr>
          <a:spLocks noChangeAspect="1" noChangeArrowheads="1"/>
        </xdr:cNvSpPr>
      </xdr:nvSpPr>
      <xdr:spPr bwMode="auto">
        <a:xfrm>
          <a:off x="13411200" y="28742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152400</xdr:colOff>
      <xdr:row>141</xdr:row>
      <xdr:rowOff>106680</xdr:rowOff>
    </xdr:to>
    <xdr:sp macro="" textlink="">
      <xdr:nvSpPr>
        <xdr:cNvPr id="7745" name="AutoShape 1" descr="SPAIN"/>
        <xdr:cNvSpPr>
          <a:spLocks noChangeAspect="1" noChangeArrowheads="1"/>
        </xdr:cNvSpPr>
      </xdr:nvSpPr>
      <xdr:spPr bwMode="auto">
        <a:xfrm>
          <a:off x="0" y="28994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141</xdr:row>
      <xdr:rowOff>0</xdr:rowOff>
    </xdr:from>
    <xdr:to>
      <xdr:col>22</xdr:col>
      <xdr:colOff>304800</xdr:colOff>
      <xdr:row>142</xdr:row>
      <xdr:rowOff>129540</xdr:rowOff>
    </xdr:to>
    <xdr:sp macro="" textlink="">
      <xdr:nvSpPr>
        <xdr:cNvPr id="7746" name="AutoShape 2" descr="https://www.soccerstats.com/img/own/sshplogo.png">
          <a:hlinkClick xmlns:r="http://schemas.openxmlformats.org/officeDocument/2006/relationships" r:id="rId1"/>
        </xdr:cNvPr>
        <xdr:cNvSpPr>
          <a:spLocks noChangeAspect="1" noChangeArrowheads="1"/>
        </xdr:cNvSpPr>
      </xdr:nvSpPr>
      <xdr:spPr bwMode="auto">
        <a:xfrm>
          <a:off x="13411200" y="28994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152400</xdr:colOff>
      <xdr:row>142</xdr:row>
      <xdr:rowOff>106680</xdr:rowOff>
    </xdr:to>
    <xdr:sp macro="" textlink="">
      <xdr:nvSpPr>
        <xdr:cNvPr id="7747" name="AutoShape 3" descr="SPAIN"/>
        <xdr:cNvSpPr>
          <a:spLocks noChangeAspect="1" noChangeArrowheads="1"/>
        </xdr:cNvSpPr>
      </xdr:nvSpPr>
      <xdr:spPr bwMode="auto">
        <a:xfrm>
          <a:off x="0" y="29169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142</xdr:row>
      <xdr:rowOff>0</xdr:rowOff>
    </xdr:from>
    <xdr:to>
      <xdr:col>22</xdr:col>
      <xdr:colOff>304800</xdr:colOff>
      <xdr:row>143</xdr:row>
      <xdr:rowOff>53340</xdr:rowOff>
    </xdr:to>
    <xdr:sp macro="" textlink="">
      <xdr:nvSpPr>
        <xdr:cNvPr id="7748" name="AutoShape 4" descr="https://www.soccerstats.com/img/own/sshplogo.png">
          <a:hlinkClick xmlns:r="http://schemas.openxmlformats.org/officeDocument/2006/relationships" r:id="rId2"/>
        </xdr:cNvPr>
        <xdr:cNvSpPr>
          <a:spLocks noChangeAspect="1" noChangeArrowheads="1"/>
        </xdr:cNvSpPr>
      </xdr:nvSpPr>
      <xdr:spPr bwMode="auto">
        <a:xfrm>
          <a:off x="13411200" y="29169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152400</xdr:colOff>
      <xdr:row>143</xdr:row>
      <xdr:rowOff>106680</xdr:rowOff>
    </xdr:to>
    <xdr:sp macro="" textlink="">
      <xdr:nvSpPr>
        <xdr:cNvPr id="7749" name="AutoShape 5" descr="NETHERLANDS"/>
        <xdr:cNvSpPr>
          <a:spLocks noChangeAspect="1" noChangeArrowheads="1"/>
        </xdr:cNvSpPr>
      </xdr:nvSpPr>
      <xdr:spPr bwMode="auto">
        <a:xfrm>
          <a:off x="0" y="29420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143</xdr:row>
      <xdr:rowOff>0</xdr:rowOff>
    </xdr:from>
    <xdr:to>
      <xdr:col>22</xdr:col>
      <xdr:colOff>304800</xdr:colOff>
      <xdr:row>144</xdr:row>
      <xdr:rowOff>53340</xdr:rowOff>
    </xdr:to>
    <xdr:sp macro="" textlink="">
      <xdr:nvSpPr>
        <xdr:cNvPr id="7750" name="AutoShape 6" descr="https://www.soccerstats.com/img/own/sshplogo.png">
          <a:hlinkClick xmlns:r="http://schemas.openxmlformats.org/officeDocument/2006/relationships" r:id="rId3"/>
        </xdr:cNvPr>
        <xdr:cNvSpPr>
          <a:spLocks noChangeAspect="1" noChangeArrowheads="1"/>
        </xdr:cNvSpPr>
      </xdr:nvSpPr>
      <xdr:spPr bwMode="auto">
        <a:xfrm>
          <a:off x="13411200" y="29420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152400</xdr:colOff>
      <xdr:row>144</xdr:row>
      <xdr:rowOff>106680</xdr:rowOff>
    </xdr:to>
    <xdr:sp macro="" textlink="">
      <xdr:nvSpPr>
        <xdr:cNvPr id="7751" name="AutoShape 7" descr="NETHERLANDS"/>
        <xdr:cNvSpPr>
          <a:spLocks noChangeAspect="1" noChangeArrowheads="1"/>
        </xdr:cNvSpPr>
      </xdr:nvSpPr>
      <xdr:spPr bwMode="auto">
        <a:xfrm>
          <a:off x="0" y="29672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144</xdr:row>
      <xdr:rowOff>0</xdr:rowOff>
    </xdr:from>
    <xdr:to>
      <xdr:col>22</xdr:col>
      <xdr:colOff>304800</xdr:colOff>
      <xdr:row>145</xdr:row>
      <xdr:rowOff>129540</xdr:rowOff>
    </xdr:to>
    <xdr:sp macro="" textlink="">
      <xdr:nvSpPr>
        <xdr:cNvPr id="7752" name="AutoShape 8" descr="https://www.soccerstats.com/img/own/sshplogo.png">
          <a:hlinkClick xmlns:r="http://schemas.openxmlformats.org/officeDocument/2006/relationships" r:id="rId4"/>
        </xdr:cNvPr>
        <xdr:cNvSpPr>
          <a:spLocks noChangeAspect="1" noChangeArrowheads="1"/>
        </xdr:cNvSpPr>
      </xdr:nvSpPr>
      <xdr:spPr bwMode="auto">
        <a:xfrm>
          <a:off x="13411200" y="29672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152400</xdr:colOff>
      <xdr:row>145</xdr:row>
      <xdr:rowOff>106680</xdr:rowOff>
    </xdr:to>
    <xdr:sp macro="" textlink="">
      <xdr:nvSpPr>
        <xdr:cNvPr id="7753" name="AutoShape 9" descr="NETHERLANDS"/>
        <xdr:cNvSpPr>
          <a:spLocks noChangeAspect="1" noChangeArrowheads="1"/>
        </xdr:cNvSpPr>
      </xdr:nvSpPr>
      <xdr:spPr bwMode="auto">
        <a:xfrm>
          <a:off x="0" y="29847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145</xdr:row>
      <xdr:rowOff>0</xdr:rowOff>
    </xdr:from>
    <xdr:to>
      <xdr:col>22</xdr:col>
      <xdr:colOff>304800</xdr:colOff>
      <xdr:row>146</xdr:row>
      <xdr:rowOff>53340</xdr:rowOff>
    </xdr:to>
    <xdr:sp macro="" textlink="">
      <xdr:nvSpPr>
        <xdr:cNvPr id="7754" name="AutoShape 10" descr="https://www.soccerstats.com/img/own/sshplogo.png">
          <a:hlinkClick xmlns:r="http://schemas.openxmlformats.org/officeDocument/2006/relationships" r:id="rId5"/>
        </xdr:cNvPr>
        <xdr:cNvSpPr>
          <a:spLocks noChangeAspect="1" noChangeArrowheads="1"/>
        </xdr:cNvSpPr>
      </xdr:nvSpPr>
      <xdr:spPr bwMode="auto">
        <a:xfrm>
          <a:off x="13411200" y="29847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152400</xdr:colOff>
      <xdr:row>146</xdr:row>
      <xdr:rowOff>106680</xdr:rowOff>
    </xdr:to>
    <xdr:sp macro="" textlink="">
      <xdr:nvSpPr>
        <xdr:cNvPr id="7755" name="AutoShape 11" descr="NETHERLANDS"/>
        <xdr:cNvSpPr>
          <a:spLocks noChangeAspect="1" noChangeArrowheads="1"/>
        </xdr:cNvSpPr>
      </xdr:nvSpPr>
      <xdr:spPr bwMode="auto">
        <a:xfrm>
          <a:off x="0" y="30099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146</xdr:row>
      <xdr:rowOff>0</xdr:rowOff>
    </xdr:from>
    <xdr:to>
      <xdr:col>22</xdr:col>
      <xdr:colOff>304800</xdr:colOff>
      <xdr:row>147</xdr:row>
      <xdr:rowOff>53340</xdr:rowOff>
    </xdr:to>
    <xdr:sp macro="" textlink="">
      <xdr:nvSpPr>
        <xdr:cNvPr id="7756" name="AutoShape 12" descr="https://www.soccerstats.com/img/own/sshplogo.png">
          <a:hlinkClick xmlns:r="http://schemas.openxmlformats.org/officeDocument/2006/relationships" r:id="rId6"/>
        </xdr:cNvPr>
        <xdr:cNvSpPr>
          <a:spLocks noChangeAspect="1" noChangeArrowheads="1"/>
        </xdr:cNvSpPr>
      </xdr:nvSpPr>
      <xdr:spPr bwMode="auto">
        <a:xfrm>
          <a:off x="13411200" y="3009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152400</xdr:colOff>
      <xdr:row>147</xdr:row>
      <xdr:rowOff>106680</xdr:rowOff>
    </xdr:to>
    <xdr:sp macro="" textlink="">
      <xdr:nvSpPr>
        <xdr:cNvPr id="7757" name="AutoShape 13" descr="PORTUGAL"/>
        <xdr:cNvSpPr>
          <a:spLocks noChangeAspect="1" noChangeArrowheads="1"/>
        </xdr:cNvSpPr>
      </xdr:nvSpPr>
      <xdr:spPr bwMode="auto">
        <a:xfrm>
          <a:off x="0" y="30350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147</xdr:row>
      <xdr:rowOff>0</xdr:rowOff>
    </xdr:from>
    <xdr:to>
      <xdr:col>22</xdr:col>
      <xdr:colOff>304800</xdr:colOff>
      <xdr:row>148</xdr:row>
      <xdr:rowOff>53340</xdr:rowOff>
    </xdr:to>
    <xdr:sp macro="" textlink="">
      <xdr:nvSpPr>
        <xdr:cNvPr id="7758" name="AutoShape 14" descr="https://www.soccerstats.com/img/own/sshplogo.png">
          <a:hlinkClick xmlns:r="http://schemas.openxmlformats.org/officeDocument/2006/relationships" r:id="rId7"/>
        </xdr:cNvPr>
        <xdr:cNvSpPr>
          <a:spLocks noChangeAspect="1" noChangeArrowheads="1"/>
        </xdr:cNvSpPr>
      </xdr:nvSpPr>
      <xdr:spPr bwMode="auto">
        <a:xfrm>
          <a:off x="13411200" y="30350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152400</xdr:colOff>
      <xdr:row>148</xdr:row>
      <xdr:rowOff>106680</xdr:rowOff>
    </xdr:to>
    <xdr:sp macro="" textlink="">
      <xdr:nvSpPr>
        <xdr:cNvPr id="7759" name="AutoShape 15" descr="PORTUGAL"/>
        <xdr:cNvSpPr>
          <a:spLocks noChangeAspect="1" noChangeArrowheads="1"/>
        </xdr:cNvSpPr>
      </xdr:nvSpPr>
      <xdr:spPr bwMode="auto">
        <a:xfrm>
          <a:off x="0" y="30601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148</xdr:row>
      <xdr:rowOff>0</xdr:rowOff>
    </xdr:from>
    <xdr:to>
      <xdr:col>22</xdr:col>
      <xdr:colOff>304800</xdr:colOff>
      <xdr:row>149</xdr:row>
      <xdr:rowOff>53340</xdr:rowOff>
    </xdr:to>
    <xdr:sp macro="" textlink="">
      <xdr:nvSpPr>
        <xdr:cNvPr id="7760" name="AutoShape 16" descr="https://www.soccerstats.com/img/own/sshplogo.png">
          <a:hlinkClick xmlns:r="http://schemas.openxmlformats.org/officeDocument/2006/relationships" r:id="rId8"/>
        </xdr:cNvPr>
        <xdr:cNvSpPr>
          <a:spLocks noChangeAspect="1" noChangeArrowheads="1"/>
        </xdr:cNvSpPr>
      </xdr:nvSpPr>
      <xdr:spPr bwMode="auto">
        <a:xfrm>
          <a:off x="13411200" y="30601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152400</xdr:colOff>
      <xdr:row>149</xdr:row>
      <xdr:rowOff>106680</xdr:rowOff>
    </xdr:to>
    <xdr:sp macro="" textlink="">
      <xdr:nvSpPr>
        <xdr:cNvPr id="7761" name="AutoShape 17" descr="PORTUGAL"/>
        <xdr:cNvSpPr>
          <a:spLocks noChangeAspect="1" noChangeArrowheads="1"/>
        </xdr:cNvSpPr>
      </xdr:nvSpPr>
      <xdr:spPr bwMode="auto">
        <a:xfrm>
          <a:off x="0" y="30853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149</xdr:row>
      <xdr:rowOff>0</xdr:rowOff>
    </xdr:from>
    <xdr:to>
      <xdr:col>22</xdr:col>
      <xdr:colOff>304800</xdr:colOff>
      <xdr:row>150</xdr:row>
      <xdr:rowOff>129540</xdr:rowOff>
    </xdr:to>
    <xdr:sp macro="" textlink="">
      <xdr:nvSpPr>
        <xdr:cNvPr id="7762" name="AutoShape 18" descr="https://www.soccerstats.com/img/own/sshplogo.png">
          <a:hlinkClick xmlns:r="http://schemas.openxmlformats.org/officeDocument/2006/relationships" r:id="rId9"/>
        </xdr:cNvPr>
        <xdr:cNvSpPr>
          <a:spLocks noChangeAspect="1" noChangeArrowheads="1"/>
        </xdr:cNvSpPr>
      </xdr:nvSpPr>
      <xdr:spPr bwMode="auto">
        <a:xfrm>
          <a:off x="13411200" y="30853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152400</xdr:colOff>
      <xdr:row>150</xdr:row>
      <xdr:rowOff>106680</xdr:rowOff>
    </xdr:to>
    <xdr:sp macro="" textlink="">
      <xdr:nvSpPr>
        <xdr:cNvPr id="7763" name="AutoShape 19" descr="ENGLAND2"/>
        <xdr:cNvSpPr>
          <a:spLocks noChangeAspect="1" noChangeArrowheads="1"/>
        </xdr:cNvSpPr>
      </xdr:nvSpPr>
      <xdr:spPr bwMode="auto">
        <a:xfrm>
          <a:off x="0" y="31028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150</xdr:row>
      <xdr:rowOff>0</xdr:rowOff>
    </xdr:from>
    <xdr:to>
      <xdr:col>22</xdr:col>
      <xdr:colOff>304800</xdr:colOff>
      <xdr:row>151</xdr:row>
      <xdr:rowOff>129540</xdr:rowOff>
    </xdr:to>
    <xdr:sp macro="" textlink="">
      <xdr:nvSpPr>
        <xdr:cNvPr id="7764" name="AutoShape 20" descr="https://www.soccerstats.com/img/own/sshplogo.png">
          <a:hlinkClick xmlns:r="http://schemas.openxmlformats.org/officeDocument/2006/relationships" r:id="rId10"/>
        </xdr:cNvPr>
        <xdr:cNvSpPr>
          <a:spLocks noChangeAspect="1" noChangeArrowheads="1"/>
        </xdr:cNvSpPr>
      </xdr:nvSpPr>
      <xdr:spPr bwMode="auto">
        <a:xfrm>
          <a:off x="13411200" y="31028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152400</xdr:colOff>
      <xdr:row>151</xdr:row>
      <xdr:rowOff>106680</xdr:rowOff>
    </xdr:to>
    <xdr:sp macro="" textlink="">
      <xdr:nvSpPr>
        <xdr:cNvPr id="7765" name="AutoShape 21" descr="ENGLAND2"/>
        <xdr:cNvSpPr>
          <a:spLocks noChangeAspect="1" noChangeArrowheads="1"/>
        </xdr:cNvSpPr>
      </xdr:nvSpPr>
      <xdr:spPr bwMode="auto">
        <a:xfrm>
          <a:off x="0" y="31203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151</xdr:row>
      <xdr:rowOff>0</xdr:rowOff>
    </xdr:from>
    <xdr:to>
      <xdr:col>22</xdr:col>
      <xdr:colOff>304800</xdr:colOff>
      <xdr:row>152</xdr:row>
      <xdr:rowOff>129540</xdr:rowOff>
    </xdr:to>
    <xdr:sp macro="" textlink="">
      <xdr:nvSpPr>
        <xdr:cNvPr id="7766" name="AutoShape 22" descr="https://www.soccerstats.com/img/own/sshplogo.png">
          <a:hlinkClick xmlns:r="http://schemas.openxmlformats.org/officeDocument/2006/relationships" r:id="rId11"/>
        </xdr:cNvPr>
        <xdr:cNvSpPr>
          <a:spLocks noChangeAspect="1" noChangeArrowheads="1"/>
        </xdr:cNvSpPr>
      </xdr:nvSpPr>
      <xdr:spPr bwMode="auto">
        <a:xfrm>
          <a:off x="13411200" y="31203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152400</xdr:colOff>
      <xdr:row>152</xdr:row>
      <xdr:rowOff>106680</xdr:rowOff>
    </xdr:to>
    <xdr:sp macro="" textlink="">
      <xdr:nvSpPr>
        <xdr:cNvPr id="7767" name="AutoShape 23" descr="ENGLAND2"/>
        <xdr:cNvSpPr>
          <a:spLocks noChangeAspect="1" noChangeArrowheads="1"/>
        </xdr:cNvSpPr>
      </xdr:nvSpPr>
      <xdr:spPr bwMode="auto">
        <a:xfrm>
          <a:off x="0" y="31379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152</xdr:row>
      <xdr:rowOff>0</xdr:rowOff>
    </xdr:from>
    <xdr:to>
      <xdr:col>22</xdr:col>
      <xdr:colOff>304800</xdr:colOff>
      <xdr:row>153</xdr:row>
      <xdr:rowOff>129540</xdr:rowOff>
    </xdr:to>
    <xdr:sp macro="" textlink="">
      <xdr:nvSpPr>
        <xdr:cNvPr id="7768" name="AutoShape 24" descr="https://www.soccerstats.com/img/own/sshplogo.png">
          <a:hlinkClick xmlns:r="http://schemas.openxmlformats.org/officeDocument/2006/relationships" r:id="rId12"/>
        </xdr:cNvPr>
        <xdr:cNvSpPr>
          <a:spLocks noChangeAspect="1" noChangeArrowheads="1"/>
        </xdr:cNvSpPr>
      </xdr:nvSpPr>
      <xdr:spPr bwMode="auto">
        <a:xfrm>
          <a:off x="13411200" y="31379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152400</xdr:colOff>
      <xdr:row>153</xdr:row>
      <xdr:rowOff>106680</xdr:rowOff>
    </xdr:to>
    <xdr:sp macro="" textlink="">
      <xdr:nvSpPr>
        <xdr:cNvPr id="7769" name="AutoShape 25" descr="ENGLAND2"/>
        <xdr:cNvSpPr>
          <a:spLocks noChangeAspect="1" noChangeArrowheads="1"/>
        </xdr:cNvSpPr>
      </xdr:nvSpPr>
      <xdr:spPr bwMode="auto">
        <a:xfrm>
          <a:off x="0" y="31554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153</xdr:row>
      <xdr:rowOff>0</xdr:rowOff>
    </xdr:from>
    <xdr:to>
      <xdr:col>22</xdr:col>
      <xdr:colOff>304800</xdr:colOff>
      <xdr:row>154</xdr:row>
      <xdr:rowOff>53340</xdr:rowOff>
    </xdr:to>
    <xdr:sp macro="" textlink="">
      <xdr:nvSpPr>
        <xdr:cNvPr id="7770" name="AutoShape 26" descr="https://www.soccerstats.com/img/own/sshplogo.png">
          <a:hlinkClick xmlns:r="http://schemas.openxmlformats.org/officeDocument/2006/relationships" r:id="rId13"/>
        </xdr:cNvPr>
        <xdr:cNvSpPr>
          <a:spLocks noChangeAspect="1" noChangeArrowheads="1"/>
        </xdr:cNvSpPr>
      </xdr:nvSpPr>
      <xdr:spPr bwMode="auto">
        <a:xfrm>
          <a:off x="13411200" y="31554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152400</xdr:colOff>
      <xdr:row>154</xdr:row>
      <xdr:rowOff>106680</xdr:rowOff>
    </xdr:to>
    <xdr:sp macro="" textlink="">
      <xdr:nvSpPr>
        <xdr:cNvPr id="7771" name="AutoShape 27" descr="ENGLAND2"/>
        <xdr:cNvSpPr>
          <a:spLocks noChangeAspect="1" noChangeArrowheads="1"/>
        </xdr:cNvSpPr>
      </xdr:nvSpPr>
      <xdr:spPr bwMode="auto">
        <a:xfrm>
          <a:off x="0" y="31805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154</xdr:row>
      <xdr:rowOff>0</xdr:rowOff>
    </xdr:from>
    <xdr:to>
      <xdr:col>22</xdr:col>
      <xdr:colOff>304800</xdr:colOff>
      <xdr:row>155</xdr:row>
      <xdr:rowOff>129540</xdr:rowOff>
    </xdr:to>
    <xdr:sp macro="" textlink="">
      <xdr:nvSpPr>
        <xdr:cNvPr id="7772" name="AutoShape 28" descr="https://www.soccerstats.com/img/own/sshplogo.png">
          <a:hlinkClick xmlns:r="http://schemas.openxmlformats.org/officeDocument/2006/relationships" r:id="rId14"/>
        </xdr:cNvPr>
        <xdr:cNvSpPr>
          <a:spLocks noChangeAspect="1" noChangeArrowheads="1"/>
        </xdr:cNvSpPr>
      </xdr:nvSpPr>
      <xdr:spPr bwMode="auto">
        <a:xfrm>
          <a:off x="13411200" y="31805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152400</xdr:colOff>
      <xdr:row>155</xdr:row>
      <xdr:rowOff>106680</xdr:rowOff>
    </xdr:to>
    <xdr:sp macro="" textlink="">
      <xdr:nvSpPr>
        <xdr:cNvPr id="7773" name="AutoShape 29" descr="ENGLAND2"/>
        <xdr:cNvSpPr>
          <a:spLocks noChangeAspect="1" noChangeArrowheads="1"/>
        </xdr:cNvSpPr>
      </xdr:nvSpPr>
      <xdr:spPr bwMode="auto">
        <a:xfrm>
          <a:off x="0" y="31981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155</xdr:row>
      <xdr:rowOff>0</xdr:rowOff>
    </xdr:from>
    <xdr:to>
      <xdr:col>22</xdr:col>
      <xdr:colOff>304800</xdr:colOff>
      <xdr:row>156</xdr:row>
      <xdr:rowOff>129540</xdr:rowOff>
    </xdr:to>
    <xdr:sp macro="" textlink="">
      <xdr:nvSpPr>
        <xdr:cNvPr id="7774" name="AutoShape 30" descr="https://www.soccerstats.com/img/own/sshplogo.png">
          <a:hlinkClick xmlns:r="http://schemas.openxmlformats.org/officeDocument/2006/relationships" r:id="rId15"/>
        </xdr:cNvPr>
        <xdr:cNvSpPr>
          <a:spLocks noChangeAspect="1" noChangeArrowheads="1"/>
        </xdr:cNvSpPr>
      </xdr:nvSpPr>
      <xdr:spPr bwMode="auto">
        <a:xfrm>
          <a:off x="13411200" y="31981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152400</xdr:colOff>
      <xdr:row>156</xdr:row>
      <xdr:rowOff>106680</xdr:rowOff>
    </xdr:to>
    <xdr:sp macro="" textlink="">
      <xdr:nvSpPr>
        <xdr:cNvPr id="7775" name="AutoShape 31" descr="ENGLAND2"/>
        <xdr:cNvSpPr>
          <a:spLocks noChangeAspect="1" noChangeArrowheads="1"/>
        </xdr:cNvSpPr>
      </xdr:nvSpPr>
      <xdr:spPr bwMode="auto">
        <a:xfrm>
          <a:off x="0" y="32156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156</xdr:row>
      <xdr:rowOff>0</xdr:rowOff>
    </xdr:from>
    <xdr:to>
      <xdr:col>22</xdr:col>
      <xdr:colOff>304800</xdr:colOff>
      <xdr:row>157</xdr:row>
      <xdr:rowOff>129540</xdr:rowOff>
    </xdr:to>
    <xdr:sp macro="" textlink="">
      <xdr:nvSpPr>
        <xdr:cNvPr id="7776" name="AutoShape 32" descr="https://www.soccerstats.com/img/own/sshplogo.png">
          <a:hlinkClick xmlns:r="http://schemas.openxmlformats.org/officeDocument/2006/relationships" r:id="rId16"/>
        </xdr:cNvPr>
        <xdr:cNvSpPr>
          <a:spLocks noChangeAspect="1" noChangeArrowheads="1"/>
        </xdr:cNvSpPr>
      </xdr:nvSpPr>
      <xdr:spPr bwMode="auto">
        <a:xfrm>
          <a:off x="13411200" y="3215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152400</xdr:colOff>
      <xdr:row>157</xdr:row>
      <xdr:rowOff>106680</xdr:rowOff>
    </xdr:to>
    <xdr:sp macro="" textlink="">
      <xdr:nvSpPr>
        <xdr:cNvPr id="7777" name="AutoShape 33" descr="ENGLAND2"/>
        <xdr:cNvSpPr>
          <a:spLocks noChangeAspect="1" noChangeArrowheads="1"/>
        </xdr:cNvSpPr>
      </xdr:nvSpPr>
      <xdr:spPr bwMode="auto">
        <a:xfrm>
          <a:off x="0" y="32331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157</xdr:row>
      <xdr:rowOff>0</xdr:rowOff>
    </xdr:from>
    <xdr:to>
      <xdr:col>22</xdr:col>
      <xdr:colOff>304800</xdr:colOff>
      <xdr:row>158</xdr:row>
      <xdr:rowOff>53340</xdr:rowOff>
    </xdr:to>
    <xdr:sp macro="" textlink="">
      <xdr:nvSpPr>
        <xdr:cNvPr id="7778" name="AutoShape 34" descr="https://www.soccerstats.com/img/own/sshplogo.png">
          <a:hlinkClick xmlns:r="http://schemas.openxmlformats.org/officeDocument/2006/relationships" r:id="rId17"/>
        </xdr:cNvPr>
        <xdr:cNvSpPr>
          <a:spLocks noChangeAspect="1" noChangeArrowheads="1"/>
        </xdr:cNvSpPr>
      </xdr:nvSpPr>
      <xdr:spPr bwMode="auto">
        <a:xfrm>
          <a:off x="13411200" y="32331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152400</xdr:colOff>
      <xdr:row>158</xdr:row>
      <xdr:rowOff>106680</xdr:rowOff>
    </xdr:to>
    <xdr:sp macro="" textlink="">
      <xdr:nvSpPr>
        <xdr:cNvPr id="7779" name="AutoShape 35" descr="ENGLAND3"/>
        <xdr:cNvSpPr>
          <a:spLocks noChangeAspect="1" noChangeArrowheads="1"/>
        </xdr:cNvSpPr>
      </xdr:nvSpPr>
      <xdr:spPr bwMode="auto">
        <a:xfrm>
          <a:off x="0" y="32583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158</xdr:row>
      <xdr:rowOff>0</xdr:rowOff>
    </xdr:from>
    <xdr:to>
      <xdr:col>22</xdr:col>
      <xdr:colOff>304800</xdr:colOff>
      <xdr:row>159</xdr:row>
      <xdr:rowOff>129540</xdr:rowOff>
    </xdr:to>
    <xdr:sp macro="" textlink="">
      <xdr:nvSpPr>
        <xdr:cNvPr id="7780" name="AutoShape 36" descr="https://www.soccerstats.com/img/own/sshplogo.png">
          <a:hlinkClick xmlns:r="http://schemas.openxmlformats.org/officeDocument/2006/relationships" r:id="rId18"/>
        </xdr:cNvPr>
        <xdr:cNvSpPr>
          <a:spLocks noChangeAspect="1" noChangeArrowheads="1"/>
        </xdr:cNvSpPr>
      </xdr:nvSpPr>
      <xdr:spPr bwMode="auto">
        <a:xfrm>
          <a:off x="13411200" y="32583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152400</xdr:colOff>
      <xdr:row>159</xdr:row>
      <xdr:rowOff>106680</xdr:rowOff>
    </xdr:to>
    <xdr:sp macro="" textlink="">
      <xdr:nvSpPr>
        <xdr:cNvPr id="7781" name="AutoShape 37" descr="ENGLAND3"/>
        <xdr:cNvSpPr>
          <a:spLocks noChangeAspect="1" noChangeArrowheads="1"/>
        </xdr:cNvSpPr>
      </xdr:nvSpPr>
      <xdr:spPr bwMode="auto">
        <a:xfrm>
          <a:off x="0" y="32758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159</xdr:row>
      <xdr:rowOff>0</xdr:rowOff>
    </xdr:from>
    <xdr:to>
      <xdr:col>22</xdr:col>
      <xdr:colOff>304800</xdr:colOff>
      <xdr:row>160</xdr:row>
      <xdr:rowOff>53340</xdr:rowOff>
    </xdr:to>
    <xdr:sp macro="" textlink="">
      <xdr:nvSpPr>
        <xdr:cNvPr id="7782" name="AutoShape 38" descr="https://www.soccerstats.com/img/own/sshplogo.png">
          <a:hlinkClick xmlns:r="http://schemas.openxmlformats.org/officeDocument/2006/relationships" r:id="rId19"/>
        </xdr:cNvPr>
        <xdr:cNvSpPr>
          <a:spLocks noChangeAspect="1" noChangeArrowheads="1"/>
        </xdr:cNvSpPr>
      </xdr:nvSpPr>
      <xdr:spPr bwMode="auto">
        <a:xfrm>
          <a:off x="13411200" y="32758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152400</xdr:colOff>
      <xdr:row>160</xdr:row>
      <xdr:rowOff>106680</xdr:rowOff>
    </xdr:to>
    <xdr:sp macro="" textlink="">
      <xdr:nvSpPr>
        <xdr:cNvPr id="7783" name="AutoShape 39" descr="ENGLAND3"/>
        <xdr:cNvSpPr>
          <a:spLocks noChangeAspect="1" noChangeArrowheads="1"/>
        </xdr:cNvSpPr>
      </xdr:nvSpPr>
      <xdr:spPr bwMode="auto">
        <a:xfrm>
          <a:off x="0" y="33009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160</xdr:row>
      <xdr:rowOff>0</xdr:rowOff>
    </xdr:from>
    <xdr:to>
      <xdr:col>22</xdr:col>
      <xdr:colOff>304800</xdr:colOff>
      <xdr:row>161</xdr:row>
      <xdr:rowOff>129540</xdr:rowOff>
    </xdr:to>
    <xdr:sp macro="" textlink="">
      <xdr:nvSpPr>
        <xdr:cNvPr id="7784" name="AutoShape 40" descr="https://www.soccerstats.com/img/own/sshplogo.png">
          <a:hlinkClick xmlns:r="http://schemas.openxmlformats.org/officeDocument/2006/relationships" r:id="rId20"/>
        </xdr:cNvPr>
        <xdr:cNvSpPr>
          <a:spLocks noChangeAspect="1" noChangeArrowheads="1"/>
        </xdr:cNvSpPr>
      </xdr:nvSpPr>
      <xdr:spPr bwMode="auto">
        <a:xfrm>
          <a:off x="13411200" y="33009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152400</xdr:colOff>
      <xdr:row>161</xdr:row>
      <xdr:rowOff>106680</xdr:rowOff>
    </xdr:to>
    <xdr:sp macro="" textlink="">
      <xdr:nvSpPr>
        <xdr:cNvPr id="7785" name="AutoShape 41" descr="ENGLAND3"/>
        <xdr:cNvSpPr>
          <a:spLocks noChangeAspect="1" noChangeArrowheads="1"/>
        </xdr:cNvSpPr>
      </xdr:nvSpPr>
      <xdr:spPr bwMode="auto">
        <a:xfrm>
          <a:off x="0" y="33185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161</xdr:row>
      <xdr:rowOff>0</xdr:rowOff>
    </xdr:from>
    <xdr:to>
      <xdr:col>22</xdr:col>
      <xdr:colOff>304800</xdr:colOff>
      <xdr:row>162</xdr:row>
      <xdr:rowOff>129540</xdr:rowOff>
    </xdr:to>
    <xdr:sp macro="" textlink="">
      <xdr:nvSpPr>
        <xdr:cNvPr id="7786" name="AutoShape 42" descr="https://www.soccerstats.com/img/own/sshplogo.png">
          <a:hlinkClick xmlns:r="http://schemas.openxmlformats.org/officeDocument/2006/relationships" r:id="rId21"/>
        </xdr:cNvPr>
        <xdr:cNvSpPr>
          <a:spLocks noChangeAspect="1" noChangeArrowheads="1"/>
        </xdr:cNvSpPr>
      </xdr:nvSpPr>
      <xdr:spPr bwMode="auto">
        <a:xfrm>
          <a:off x="13411200" y="33185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152400</xdr:colOff>
      <xdr:row>162</xdr:row>
      <xdr:rowOff>106680</xdr:rowOff>
    </xdr:to>
    <xdr:sp macro="" textlink="">
      <xdr:nvSpPr>
        <xdr:cNvPr id="7787" name="AutoShape 43" descr="ENGLAND3"/>
        <xdr:cNvSpPr>
          <a:spLocks noChangeAspect="1" noChangeArrowheads="1"/>
        </xdr:cNvSpPr>
      </xdr:nvSpPr>
      <xdr:spPr bwMode="auto">
        <a:xfrm>
          <a:off x="0" y="33360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162</xdr:row>
      <xdr:rowOff>0</xdr:rowOff>
    </xdr:from>
    <xdr:to>
      <xdr:col>22</xdr:col>
      <xdr:colOff>304800</xdr:colOff>
      <xdr:row>163</xdr:row>
      <xdr:rowOff>129540</xdr:rowOff>
    </xdr:to>
    <xdr:sp macro="" textlink="">
      <xdr:nvSpPr>
        <xdr:cNvPr id="7788" name="AutoShape 44" descr="https://www.soccerstats.com/img/own/sshplogo.png">
          <a:hlinkClick xmlns:r="http://schemas.openxmlformats.org/officeDocument/2006/relationships" r:id="rId22"/>
        </xdr:cNvPr>
        <xdr:cNvSpPr>
          <a:spLocks noChangeAspect="1" noChangeArrowheads="1"/>
        </xdr:cNvSpPr>
      </xdr:nvSpPr>
      <xdr:spPr bwMode="auto">
        <a:xfrm>
          <a:off x="13411200" y="33360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152400</xdr:colOff>
      <xdr:row>163</xdr:row>
      <xdr:rowOff>106680</xdr:rowOff>
    </xdr:to>
    <xdr:sp macro="" textlink="">
      <xdr:nvSpPr>
        <xdr:cNvPr id="7789" name="AutoShape 45" descr="ENGLAND3"/>
        <xdr:cNvSpPr>
          <a:spLocks noChangeAspect="1" noChangeArrowheads="1"/>
        </xdr:cNvSpPr>
      </xdr:nvSpPr>
      <xdr:spPr bwMode="auto">
        <a:xfrm>
          <a:off x="0" y="33535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163</xdr:row>
      <xdr:rowOff>0</xdr:rowOff>
    </xdr:from>
    <xdr:to>
      <xdr:col>22</xdr:col>
      <xdr:colOff>304800</xdr:colOff>
      <xdr:row>164</xdr:row>
      <xdr:rowOff>129540</xdr:rowOff>
    </xdr:to>
    <xdr:sp macro="" textlink="">
      <xdr:nvSpPr>
        <xdr:cNvPr id="7790" name="AutoShape 46" descr="https://www.soccerstats.com/img/own/sshplogo.png">
          <a:hlinkClick xmlns:r="http://schemas.openxmlformats.org/officeDocument/2006/relationships" r:id="rId23"/>
        </xdr:cNvPr>
        <xdr:cNvSpPr>
          <a:spLocks noChangeAspect="1" noChangeArrowheads="1"/>
        </xdr:cNvSpPr>
      </xdr:nvSpPr>
      <xdr:spPr bwMode="auto">
        <a:xfrm>
          <a:off x="13411200" y="33535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152400</xdr:colOff>
      <xdr:row>164</xdr:row>
      <xdr:rowOff>106680</xdr:rowOff>
    </xdr:to>
    <xdr:sp macro="" textlink="">
      <xdr:nvSpPr>
        <xdr:cNvPr id="7791" name="AutoShape 47" descr="ENGLAND3"/>
        <xdr:cNvSpPr>
          <a:spLocks noChangeAspect="1" noChangeArrowheads="1"/>
        </xdr:cNvSpPr>
      </xdr:nvSpPr>
      <xdr:spPr bwMode="auto">
        <a:xfrm>
          <a:off x="0" y="33710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164</xdr:row>
      <xdr:rowOff>0</xdr:rowOff>
    </xdr:from>
    <xdr:to>
      <xdr:col>22</xdr:col>
      <xdr:colOff>304800</xdr:colOff>
      <xdr:row>165</xdr:row>
      <xdr:rowOff>53340</xdr:rowOff>
    </xdr:to>
    <xdr:sp macro="" textlink="">
      <xdr:nvSpPr>
        <xdr:cNvPr id="7792" name="AutoShape 48" descr="https://www.soccerstats.com/img/own/sshplogo.png">
          <a:hlinkClick xmlns:r="http://schemas.openxmlformats.org/officeDocument/2006/relationships" r:id="rId24"/>
        </xdr:cNvPr>
        <xdr:cNvSpPr>
          <a:spLocks noChangeAspect="1" noChangeArrowheads="1"/>
        </xdr:cNvSpPr>
      </xdr:nvSpPr>
      <xdr:spPr bwMode="auto">
        <a:xfrm>
          <a:off x="13411200" y="33710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152400</xdr:colOff>
      <xdr:row>165</xdr:row>
      <xdr:rowOff>106680</xdr:rowOff>
    </xdr:to>
    <xdr:sp macro="" textlink="">
      <xdr:nvSpPr>
        <xdr:cNvPr id="7793" name="AutoShape 49" descr="ENGLAND3"/>
        <xdr:cNvSpPr>
          <a:spLocks noChangeAspect="1" noChangeArrowheads="1"/>
        </xdr:cNvSpPr>
      </xdr:nvSpPr>
      <xdr:spPr bwMode="auto">
        <a:xfrm>
          <a:off x="0" y="33962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165</xdr:row>
      <xdr:rowOff>0</xdr:rowOff>
    </xdr:from>
    <xdr:to>
      <xdr:col>22</xdr:col>
      <xdr:colOff>304800</xdr:colOff>
      <xdr:row>166</xdr:row>
      <xdr:rowOff>53340</xdr:rowOff>
    </xdr:to>
    <xdr:sp macro="" textlink="">
      <xdr:nvSpPr>
        <xdr:cNvPr id="7794" name="AutoShape 50" descr="https://www.soccerstats.com/img/own/sshplogo.png">
          <a:hlinkClick xmlns:r="http://schemas.openxmlformats.org/officeDocument/2006/relationships" r:id="rId25"/>
        </xdr:cNvPr>
        <xdr:cNvSpPr>
          <a:spLocks noChangeAspect="1" noChangeArrowheads="1"/>
        </xdr:cNvSpPr>
      </xdr:nvSpPr>
      <xdr:spPr bwMode="auto">
        <a:xfrm>
          <a:off x="13411200" y="33962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152400</xdr:colOff>
      <xdr:row>166</xdr:row>
      <xdr:rowOff>106680</xdr:rowOff>
    </xdr:to>
    <xdr:sp macro="" textlink="">
      <xdr:nvSpPr>
        <xdr:cNvPr id="7795" name="AutoShape 51" descr="ENGLAND3"/>
        <xdr:cNvSpPr>
          <a:spLocks noChangeAspect="1" noChangeArrowheads="1"/>
        </xdr:cNvSpPr>
      </xdr:nvSpPr>
      <xdr:spPr bwMode="auto">
        <a:xfrm>
          <a:off x="0" y="34213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166</xdr:row>
      <xdr:rowOff>0</xdr:rowOff>
    </xdr:from>
    <xdr:to>
      <xdr:col>22</xdr:col>
      <xdr:colOff>304800</xdr:colOff>
      <xdr:row>167</xdr:row>
      <xdr:rowOff>53340</xdr:rowOff>
    </xdr:to>
    <xdr:sp macro="" textlink="">
      <xdr:nvSpPr>
        <xdr:cNvPr id="7796" name="AutoShape 52" descr="https://www.soccerstats.com/img/own/sshplogo.png">
          <a:hlinkClick xmlns:r="http://schemas.openxmlformats.org/officeDocument/2006/relationships" r:id="rId26"/>
        </xdr:cNvPr>
        <xdr:cNvSpPr>
          <a:spLocks noChangeAspect="1" noChangeArrowheads="1"/>
        </xdr:cNvSpPr>
      </xdr:nvSpPr>
      <xdr:spPr bwMode="auto">
        <a:xfrm>
          <a:off x="13411200" y="34213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152400</xdr:colOff>
      <xdr:row>167</xdr:row>
      <xdr:rowOff>106680</xdr:rowOff>
    </xdr:to>
    <xdr:sp macro="" textlink="">
      <xdr:nvSpPr>
        <xdr:cNvPr id="7797" name="AutoShape 53" descr="ENGLAND3"/>
        <xdr:cNvSpPr>
          <a:spLocks noChangeAspect="1" noChangeArrowheads="1"/>
        </xdr:cNvSpPr>
      </xdr:nvSpPr>
      <xdr:spPr bwMode="auto">
        <a:xfrm>
          <a:off x="0" y="34465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167</xdr:row>
      <xdr:rowOff>0</xdr:rowOff>
    </xdr:from>
    <xdr:to>
      <xdr:col>22</xdr:col>
      <xdr:colOff>304800</xdr:colOff>
      <xdr:row>168</xdr:row>
      <xdr:rowOff>129540</xdr:rowOff>
    </xdr:to>
    <xdr:sp macro="" textlink="">
      <xdr:nvSpPr>
        <xdr:cNvPr id="7798" name="AutoShape 54" descr="https://www.soccerstats.com/img/own/sshplogo.png">
          <a:hlinkClick xmlns:r="http://schemas.openxmlformats.org/officeDocument/2006/relationships" r:id="rId27"/>
        </xdr:cNvPr>
        <xdr:cNvSpPr>
          <a:spLocks noChangeAspect="1" noChangeArrowheads="1"/>
        </xdr:cNvSpPr>
      </xdr:nvSpPr>
      <xdr:spPr bwMode="auto">
        <a:xfrm>
          <a:off x="13411200" y="34465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152400</xdr:colOff>
      <xdr:row>168</xdr:row>
      <xdr:rowOff>106680</xdr:rowOff>
    </xdr:to>
    <xdr:sp macro="" textlink="">
      <xdr:nvSpPr>
        <xdr:cNvPr id="7799" name="AutoShape 55" descr="ENGLAND3"/>
        <xdr:cNvSpPr>
          <a:spLocks noChangeAspect="1" noChangeArrowheads="1"/>
        </xdr:cNvSpPr>
      </xdr:nvSpPr>
      <xdr:spPr bwMode="auto">
        <a:xfrm>
          <a:off x="0" y="34640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168</xdr:row>
      <xdr:rowOff>0</xdr:rowOff>
    </xdr:from>
    <xdr:to>
      <xdr:col>22</xdr:col>
      <xdr:colOff>304800</xdr:colOff>
      <xdr:row>169</xdr:row>
      <xdr:rowOff>129540</xdr:rowOff>
    </xdr:to>
    <xdr:sp macro="" textlink="">
      <xdr:nvSpPr>
        <xdr:cNvPr id="7800" name="AutoShape 56" descr="https://www.soccerstats.com/img/own/sshplogo.png">
          <a:hlinkClick xmlns:r="http://schemas.openxmlformats.org/officeDocument/2006/relationships" r:id="rId28"/>
        </xdr:cNvPr>
        <xdr:cNvSpPr>
          <a:spLocks noChangeAspect="1" noChangeArrowheads="1"/>
        </xdr:cNvSpPr>
      </xdr:nvSpPr>
      <xdr:spPr bwMode="auto">
        <a:xfrm>
          <a:off x="13411200" y="34640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152400</xdr:colOff>
      <xdr:row>169</xdr:row>
      <xdr:rowOff>106680</xdr:rowOff>
    </xdr:to>
    <xdr:sp macro="" textlink="">
      <xdr:nvSpPr>
        <xdr:cNvPr id="7801" name="AutoShape 57" descr="ENGLAND3"/>
        <xdr:cNvSpPr>
          <a:spLocks noChangeAspect="1" noChangeArrowheads="1"/>
        </xdr:cNvSpPr>
      </xdr:nvSpPr>
      <xdr:spPr bwMode="auto">
        <a:xfrm>
          <a:off x="0" y="34815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169</xdr:row>
      <xdr:rowOff>0</xdr:rowOff>
    </xdr:from>
    <xdr:to>
      <xdr:col>22</xdr:col>
      <xdr:colOff>304800</xdr:colOff>
      <xdr:row>170</xdr:row>
      <xdr:rowOff>129540</xdr:rowOff>
    </xdr:to>
    <xdr:sp macro="" textlink="">
      <xdr:nvSpPr>
        <xdr:cNvPr id="7802" name="AutoShape 58" descr="https://www.soccerstats.com/img/own/sshplogo.png">
          <a:hlinkClick xmlns:r="http://schemas.openxmlformats.org/officeDocument/2006/relationships" r:id="rId29"/>
        </xdr:cNvPr>
        <xdr:cNvSpPr>
          <a:spLocks noChangeAspect="1" noChangeArrowheads="1"/>
        </xdr:cNvSpPr>
      </xdr:nvSpPr>
      <xdr:spPr bwMode="auto">
        <a:xfrm>
          <a:off x="13411200" y="34815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152400</xdr:colOff>
      <xdr:row>170</xdr:row>
      <xdr:rowOff>106680</xdr:rowOff>
    </xdr:to>
    <xdr:sp macro="" textlink="">
      <xdr:nvSpPr>
        <xdr:cNvPr id="7803" name="AutoShape 59" descr="ENGLAND4"/>
        <xdr:cNvSpPr>
          <a:spLocks noChangeAspect="1" noChangeArrowheads="1"/>
        </xdr:cNvSpPr>
      </xdr:nvSpPr>
      <xdr:spPr bwMode="auto">
        <a:xfrm>
          <a:off x="0" y="34991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170</xdr:row>
      <xdr:rowOff>0</xdr:rowOff>
    </xdr:from>
    <xdr:to>
      <xdr:col>22</xdr:col>
      <xdr:colOff>304800</xdr:colOff>
      <xdr:row>171</xdr:row>
      <xdr:rowOff>129540</xdr:rowOff>
    </xdr:to>
    <xdr:sp macro="" textlink="">
      <xdr:nvSpPr>
        <xdr:cNvPr id="7804" name="AutoShape 60" descr="https://www.soccerstats.com/img/own/sshplogo.png">
          <a:hlinkClick xmlns:r="http://schemas.openxmlformats.org/officeDocument/2006/relationships" r:id="rId30"/>
        </xdr:cNvPr>
        <xdr:cNvSpPr>
          <a:spLocks noChangeAspect="1" noChangeArrowheads="1"/>
        </xdr:cNvSpPr>
      </xdr:nvSpPr>
      <xdr:spPr bwMode="auto">
        <a:xfrm>
          <a:off x="13411200" y="34991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152400</xdr:colOff>
      <xdr:row>171</xdr:row>
      <xdr:rowOff>106680</xdr:rowOff>
    </xdr:to>
    <xdr:sp macro="" textlink="">
      <xdr:nvSpPr>
        <xdr:cNvPr id="7805" name="AutoShape 61" descr="ENGLAND4"/>
        <xdr:cNvSpPr>
          <a:spLocks noChangeAspect="1" noChangeArrowheads="1"/>
        </xdr:cNvSpPr>
      </xdr:nvSpPr>
      <xdr:spPr bwMode="auto">
        <a:xfrm>
          <a:off x="0" y="35166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171</xdr:row>
      <xdr:rowOff>0</xdr:rowOff>
    </xdr:from>
    <xdr:to>
      <xdr:col>22</xdr:col>
      <xdr:colOff>304800</xdr:colOff>
      <xdr:row>172</xdr:row>
      <xdr:rowOff>129540</xdr:rowOff>
    </xdr:to>
    <xdr:sp macro="" textlink="">
      <xdr:nvSpPr>
        <xdr:cNvPr id="7806" name="AutoShape 62" descr="https://www.soccerstats.com/img/own/sshplogo.png">
          <a:hlinkClick xmlns:r="http://schemas.openxmlformats.org/officeDocument/2006/relationships" r:id="rId31"/>
        </xdr:cNvPr>
        <xdr:cNvSpPr>
          <a:spLocks noChangeAspect="1" noChangeArrowheads="1"/>
        </xdr:cNvSpPr>
      </xdr:nvSpPr>
      <xdr:spPr bwMode="auto">
        <a:xfrm>
          <a:off x="13411200" y="3516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152400</xdr:colOff>
      <xdr:row>172</xdr:row>
      <xdr:rowOff>106680</xdr:rowOff>
    </xdr:to>
    <xdr:sp macro="" textlink="">
      <xdr:nvSpPr>
        <xdr:cNvPr id="7807" name="AutoShape 63" descr="ENGLAND4"/>
        <xdr:cNvSpPr>
          <a:spLocks noChangeAspect="1" noChangeArrowheads="1"/>
        </xdr:cNvSpPr>
      </xdr:nvSpPr>
      <xdr:spPr bwMode="auto">
        <a:xfrm>
          <a:off x="0" y="35341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172</xdr:row>
      <xdr:rowOff>0</xdr:rowOff>
    </xdr:from>
    <xdr:to>
      <xdr:col>22</xdr:col>
      <xdr:colOff>304800</xdr:colOff>
      <xdr:row>173</xdr:row>
      <xdr:rowOff>53340</xdr:rowOff>
    </xdr:to>
    <xdr:sp macro="" textlink="">
      <xdr:nvSpPr>
        <xdr:cNvPr id="7808" name="AutoShape 64" descr="https://www.soccerstats.com/img/own/sshplogo.png">
          <a:hlinkClick xmlns:r="http://schemas.openxmlformats.org/officeDocument/2006/relationships" r:id="rId32"/>
        </xdr:cNvPr>
        <xdr:cNvSpPr>
          <a:spLocks noChangeAspect="1" noChangeArrowheads="1"/>
        </xdr:cNvSpPr>
      </xdr:nvSpPr>
      <xdr:spPr bwMode="auto">
        <a:xfrm>
          <a:off x="13411200" y="35341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152400</xdr:colOff>
      <xdr:row>173</xdr:row>
      <xdr:rowOff>106680</xdr:rowOff>
    </xdr:to>
    <xdr:sp macro="" textlink="">
      <xdr:nvSpPr>
        <xdr:cNvPr id="7809" name="AutoShape 65" descr="ENGLAND4"/>
        <xdr:cNvSpPr>
          <a:spLocks noChangeAspect="1" noChangeArrowheads="1"/>
        </xdr:cNvSpPr>
      </xdr:nvSpPr>
      <xdr:spPr bwMode="auto">
        <a:xfrm>
          <a:off x="0" y="35593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173</xdr:row>
      <xdr:rowOff>0</xdr:rowOff>
    </xdr:from>
    <xdr:to>
      <xdr:col>22</xdr:col>
      <xdr:colOff>304800</xdr:colOff>
      <xdr:row>174</xdr:row>
      <xdr:rowOff>129540</xdr:rowOff>
    </xdr:to>
    <xdr:sp macro="" textlink="">
      <xdr:nvSpPr>
        <xdr:cNvPr id="7810" name="AutoShape 66" descr="https://www.soccerstats.com/img/own/sshplogo.png">
          <a:hlinkClick xmlns:r="http://schemas.openxmlformats.org/officeDocument/2006/relationships" r:id="rId33"/>
        </xdr:cNvPr>
        <xdr:cNvSpPr>
          <a:spLocks noChangeAspect="1" noChangeArrowheads="1"/>
        </xdr:cNvSpPr>
      </xdr:nvSpPr>
      <xdr:spPr bwMode="auto">
        <a:xfrm>
          <a:off x="13411200" y="35593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152400</xdr:colOff>
      <xdr:row>174</xdr:row>
      <xdr:rowOff>106680</xdr:rowOff>
    </xdr:to>
    <xdr:sp macro="" textlink="">
      <xdr:nvSpPr>
        <xdr:cNvPr id="7811" name="AutoShape 67" descr="ENGLAND4"/>
        <xdr:cNvSpPr>
          <a:spLocks noChangeAspect="1" noChangeArrowheads="1"/>
        </xdr:cNvSpPr>
      </xdr:nvSpPr>
      <xdr:spPr bwMode="auto">
        <a:xfrm>
          <a:off x="0" y="35768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174</xdr:row>
      <xdr:rowOff>0</xdr:rowOff>
    </xdr:from>
    <xdr:to>
      <xdr:col>22</xdr:col>
      <xdr:colOff>304800</xdr:colOff>
      <xdr:row>175</xdr:row>
      <xdr:rowOff>129540</xdr:rowOff>
    </xdr:to>
    <xdr:sp macro="" textlink="">
      <xdr:nvSpPr>
        <xdr:cNvPr id="7812" name="AutoShape 68" descr="https://www.soccerstats.com/img/own/sshplogo.png">
          <a:hlinkClick xmlns:r="http://schemas.openxmlformats.org/officeDocument/2006/relationships" r:id="rId34"/>
        </xdr:cNvPr>
        <xdr:cNvSpPr>
          <a:spLocks noChangeAspect="1" noChangeArrowheads="1"/>
        </xdr:cNvSpPr>
      </xdr:nvSpPr>
      <xdr:spPr bwMode="auto">
        <a:xfrm>
          <a:off x="13411200" y="35768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152400</xdr:colOff>
      <xdr:row>175</xdr:row>
      <xdr:rowOff>106680</xdr:rowOff>
    </xdr:to>
    <xdr:sp macro="" textlink="">
      <xdr:nvSpPr>
        <xdr:cNvPr id="7813" name="AutoShape 69" descr="ENGLAND4"/>
        <xdr:cNvSpPr>
          <a:spLocks noChangeAspect="1" noChangeArrowheads="1"/>
        </xdr:cNvSpPr>
      </xdr:nvSpPr>
      <xdr:spPr bwMode="auto">
        <a:xfrm>
          <a:off x="0" y="35943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175</xdr:row>
      <xdr:rowOff>0</xdr:rowOff>
    </xdr:from>
    <xdr:to>
      <xdr:col>22</xdr:col>
      <xdr:colOff>304800</xdr:colOff>
      <xdr:row>176</xdr:row>
      <xdr:rowOff>129540</xdr:rowOff>
    </xdr:to>
    <xdr:sp macro="" textlink="">
      <xdr:nvSpPr>
        <xdr:cNvPr id="7814" name="AutoShape 70" descr="https://www.soccerstats.com/img/own/sshplogo.png">
          <a:hlinkClick xmlns:r="http://schemas.openxmlformats.org/officeDocument/2006/relationships" r:id="rId35"/>
        </xdr:cNvPr>
        <xdr:cNvSpPr>
          <a:spLocks noChangeAspect="1" noChangeArrowheads="1"/>
        </xdr:cNvSpPr>
      </xdr:nvSpPr>
      <xdr:spPr bwMode="auto">
        <a:xfrm>
          <a:off x="13411200" y="35943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152400</xdr:colOff>
      <xdr:row>176</xdr:row>
      <xdr:rowOff>106680</xdr:rowOff>
    </xdr:to>
    <xdr:sp macro="" textlink="">
      <xdr:nvSpPr>
        <xdr:cNvPr id="7815" name="AutoShape 71" descr="ENGLAND4"/>
        <xdr:cNvSpPr>
          <a:spLocks noChangeAspect="1" noChangeArrowheads="1"/>
        </xdr:cNvSpPr>
      </xdr:nvSpPr>
      <xdr:spPr bwMode="auto">
        <a:xfrm>
          <a:off x="0" y="36118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176</xdr:row>
      <xdr:rowOff>0</xdr:rowOff>
    </xdr:from>
    <xdr:to>
      <xdr:col>22</xdr:col>
      <xdr:colOff>304800</xdr:colOff>
      <xdr:row>177</xdr:row>
      <xdr:rowOff>53340</xdr:rowOff>
    </xdr:to>
    <xdr:sp macro="" textlink="">
      <xdr:nvSpPr>
        <xdr:cNvPr id="7816" name="AutoShape 72" descr="https://www.soccerstats.com/img/own/sshplogo.png">
          <a:hlinkClick xmlns:r="http://schemas.openxmlformats.org/officeDocument/2006/relationships" r:id="rId36"/>
        </xdr:cNvPr>
        <xdr:cNvSpPr>
          <a:spLocks noChangeAspect="1" noChangeArrowheads="1"/>
        </xdr:cNvSpPr>
      </xdr:nvSpPr>
      <xdr:spPr bwMode="auto">
        <a:xfrm>
          <a:off x="13411200" y="3611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152400</xdr:colOff>
      <xdr:row>177</xdr:row>
      <xdr:rowOff>106680</xdr:rowOff>
    </xdr:to>
    <xdr:sp macro="" textlink="">
      <xdr:nvSpPr>
        <xdr:cNvPr id="7817" name="AutoShape 73" descr="ENGLAND4"/>
        <xdr:cNvSpPr>
          <a:spLocks noChangeAspect="1" noChangeArrowheads="1"/>
        </xdr:cNvSpPr>
      </xdr:nvSpPr>
      <xdr:spPr bwMode="auto">
        <a:xfrm>
          <a:off x="0" y="36370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177</xdr:row>
      <xdr:rowOff>0</xdr:rowOff>
    </xdr:from>
    <xdr:to>
      <xdr:col>22</xdr:col>
      <xdr:colOff>304800</xdr:colOff>
      <xdr:row>178</xdr:row>
      <xdr:rowOff>129540</xdr:rowOff>
    </xdr:to>
    <xdr:sp macro="" textlink="">
      <xdr:nvSpPr>
        <xdr:cNvPr id="7818" name="AutoShape 74" descr="https://www.soccerstats.com/img/own/sshplogo.png">
          <a:hlinkClick xmlns:r="http://schemas.openxmlformats.org/officeDocument/2006/relationships" r:id="rId37"/>
        </xdr:cNvPr>
        <xdr:cNvSpPr>
          <a:spLocks noChangeAspect="1" noChangeArrowheads="1"/>
        </xdr:cNvSpPr>
      </xdr:nvSpPr>
      <xdr:spPr bwMode="auto">
        <a:xfrm>
          <a:off x="13411200" y="36370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152400</xdr:colOff>
      <xdr:row>178</xdr:row>
      <xdr:rowOff>106680</xdr:rowOff>
    </xdr:to>
    <xdr:sp macro="" textlink="">
      <xdr:nvSpPr>
        <xdr:cNvPr id="7819" name="AutoShape 75" descr="ENGLAND4"/>
        <xdr:cNvSpPr>
          <a:spLocks noChangeAspect="1" noChangeArrowheads="1"/>
        </xdr:cNvSpPr>
      </xdr:nvSpPr>
      <xdr:spPr bwMode="auto">
        <a:xfrm>
          <a:off x="0" y="36545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178</xdr:row>
      <xdr:rowOff>0</xdr:rowOff>
    </xdr:from>
    <xdr:to>
      <xdr:col>22</xdr:col>
      <xdr:colOff>304800</xdr:colOff>
      <xdr:row>179</xdr:row>
      <xdr:rowOff>129540</xdr:rowOff>
    </xdr:to>
    <xdr:sp macro="" textlink="">
      <xdr:nvSpPr>
        <xdr:cNvPr id="7820" name="AutoShape 76" descr="https://www.soccerstats.com/img/own/sshplogo.png">
          <a:hlinkClick xmlns:r="http://schemas.openxmlformats.org/officeDocument/2006/relationships" r:id="rId38"/>
        </xdr:cNvPr>
        <xdr:cNvSpPr>
          <a:spLocks noChangeAspect="1" noChangeArrowheads="1"/>
        </xdr:cNvSpPr>
      </xdr:nvSpPr>
      <xdr:spPr bwMode="auto">
        <a:xfrm>
          <a:off x="13411200" y="36545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152400</xdr:colOff>
      <xdr:row>179</xdr:row>
      <xdr:rowOff>106680</xdr:rowOff>
    </xdr:to>
    <xdr:sp macro="" textlink="">
      <xdr:nvSpPr>
        <xdr:cNvPr id="7821" name="AutoShape 77" descr="ENGLAND4"/>
        <xdr:cNvSpPr>
          <a:spLocks noChangeAspect="1" noChangeArrowheads="1"/>
        </xdr:cNvSpPr>
      </xdr:nvSpPr>
      <xdr:spPr bwMode="auto">
        <a:xfrm>
          <a:off x="0" y="36720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179</xdr:row>
      <xdr:rowOff>0</xdr:rowOff>
    </xdr:from>
    <xdr:to>
      <xdr:col>22</xdr:col>
      <xdr:colOff>304800</xdr:colOff>
      <xdr:row>180</xdr:row>
      <xdr:rowOff>53340</xdr:rowOff>
    </xdr:to>
    <xdr:sp macro="" textlink="">
      <xdr:nvSpPr>
        <xdr:cNvPr id="7822" name="AutoShape 78" descr="https://www.soccerstats.com/img/own/sshplogo.png">
          <a:hlinkClick xmlns:r="http://schemas.openxmlformats.org/officeDocument/2006/relationships" r:id="rId39"/>
        </xdr:cNvPr>
        <xdr:cNvSpPr>
          <a:spLocks noChangeAspect="1" noChangeArrowheads="1"/>
        </xdr:cNvSpPr>
      </xdr:nvSpPr>
      <xdr:spPr bwMode="auto">
        <a:xfrm>
          <a:off x="13411200" y="36720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152400</xdr:colOff>
      <xdr:row>180</xdr:row>
      <xdr:rowOff>106680</xdr:rowOff>
    </xdr:to>
    <xdr:sp macro="" textlink="">
      <xdr:nvSpPr>
        <xdr:cNvPr id="7823" name="AutoShape 79" descr="ENGLAND4"/>
        <xdr:cNvSpPr>
          <a:spLocks noChangeAspect="1" noChangeArrowheads="1"/>
        </xdr:cNvSpPr>
      </xdr:nvSpPr>
      <xdr:spPr bwMode="auto">
        <a:xfrm>
          <a:off x="0" y="36972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180</xdr:row>
      <xdr:rowOff>0</xdr:rowOff>
    </xdr:from>
    <xdr:to>
      <xdr:col>22</xdr:col>
      <xdr:colOff>304800</xdr:colOff>
      <xdr:row>181</xdr:row>
      <xdr:rowOff>129540</xdr:rowOff>
    </xdr:to>
    <xdr:sp macro="" textlink="">
      <xdr:nvSpPr>
        <xdr:cNvPr id="7824" name="AutoShape 80" descr="https://www.soccerstats.com/img/own/sshplogo.png">
          <a:hlinkClick xmlns:r="http://schemas.openxmlformats.org/officeDocument/2006/relationships" r:id="rId40"/>
        </xdr:cNvPr>
        <xdr:cNvSpPr>
          <a:spLocks noChangeAspect="1" noChangeArrowheads="1"/>
        </xdr:cNvSpPr>
      </xdr:nvSpPr>
      <xdr:spPr bwMode="auto">
        <a:xfrm>
          <a:off x="13411200" y="36972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152400</xdr:colOff>
      <xdr:row>181</xdr:row>
      <xdr:rowOff>106680</xdr:rowOff>
    </xdr:to>
    <xdr:sp macro="" textlink="">
      <xdr:nvSpPr>
        <xdr:cNvPr id="7825" name="AutoShape 81" descr="ENGLAND4"/>
        <xdr:cNvSpPr>
          <a:spLocks noChangeAspect="1" noChangeArrowheads="1"/>
        </xdr:cNvSpPr>
      </xdr:nvSpPr>
      <xdr:spPr bwMode="auto">
        <a:xfrm>
          <a:off x="0" y="37147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181</xdr:row>
      <xdr:rowOff>0</xdr:rowOff>
    </xdr:from>
    <xdr:to>
      <xdr:col>22</xdr:col>
      <xdr:colOff>304800</xdr:colOff>
      <xdr:row>182</xdr:row>
      <xdr:rowOff>129540</xdr:rowOff>
    </xdr:to>
    <xdr:sp macro="" textlink="">
      <xdr:nvSpPr>
        <xdr:cNvPr id="7826" name="AutoShape 82" descr="https://www.soccerstats.com/img/own/sshplogo.png">
          <a:hlinkClick xmlns:r="http://schemas.openxmlformats.org/officeDocument/2006/relationships" r:id="rId41"/>
        </xdr:cNvPr>
        <xdr:cNvSpPr>
          <a:spLocks noChangeAspect="1" noChangeArrowheads="1"/>
        </xdr:cNvSpPr>
      </xdr:nvSpPr>
      <xdr:spPr bwMode="auto">
        <a:xfrm>
          <a:off x="13411200" y="3714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152400</xdr:colOff>
      <xdr:row>182</xdr:row>
      <xdr:rowOff>106680</xdr:rowOff>
    </xdr:to>
    <xdr:sp macro="" textlink="">
      <xdr:nvSpPr>
        <xdr:cNvPr id="7827" name="AutoShape 83" descr="ENGLAND5"/>
        <xdr:cNvSpPr>
          <a:spLocks noChangeAspect="1" noChangeArrowheads="1"/>
        </xdr:cNvSpPr>
      </xdr:nvSpPr>
      <xdr:spPr bwMode="auto">
        <a:xfrm>
          <a:off x="0" y="37322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182</xdr:row>
      <xdr:rowOff>0</xdr:rowOff>
    </xdr:from>
    <xdr:to>
      <xdr:col>22</xdr:col>
      <xdr:colOff>304800</xdr:colOff>
      <xdr:row>183</xdr:row>
      <xdr:rowOff>53340</xdr:rowOff>
    </xdr:to>
    <xdr:sp macro="" textlink="">
      <xdr:nvSpPr>
        <xdr:cNvPr id="7828" name="AutoShape 84" descr="https://www.soccerstats.com/img/own/sshplogo.png">
          <a:hlinkClick xmlns:r="http://schemas.openxmlformats.org/officeDocument/2006/relationships" r:id="rId42"/>
        </xdr:cNvPr>
        <xdr:cNvSpPr>
          <a:spLocks noChangeAspect="1" noChangeArrowheads="1"/>
        </xdr:cNvSpPr>
      </xdr:nvSpPr>
      <xdr:spPr bwMode="auto">
        <a:xfrm>
          <a:off x="13411200" y="37322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152400</xdr:colOff>
      <xdr:row>183</xdr:row>
      <xdr:rowOff>106680</xdr:rowOff>
    </xdr:to>
    <xdr:sp macro="" textlink="">
      <xdr:nvSpPr>
        <xdr:cNvPr id="7829" name="AutoShape 85" descr="ENGLAND5"/>
        <xdr:cNvSpPr>
          <a:spLocks noChangeAspect="1" noChangeArrowheads="1"/>
        </xdr:cNvSpPr>
      </xdr:nvSpPr>
      <xdr:spPr bwMode="auto">
        <a:xfrm>
          <a:off x="0" y="37574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183</xdr:row>
      <xdr:rowOff>0</xdr:rowOff>
    </xdr:from>
    <xdr:to>
      <xdr:col>22</xdr:col>
      <xdr:colOff>304800</xdr:colOff>
      <xdr:row>184</xdr:row>
      <xdr:rowOff>129540</xdr:rowOff>
    </xdr:to>
    <xdr:sp macro="" textlink="">
      <xdr:nvSpPr>
        <xdr:cNvPr id="7830" name="AutoShape 86" descr="https://www.soccerstats.com/img/own/sshplogo.png">
          <a:hlinkClick xmlns:r="http://schemas.openxmlformats.org/officeDocument/2006/relationships" r:id="rId43"/>
        </xdr:cNvPr>
        <xdr:cNvSpPr>
          <a:spLocks noChangeAspect="1" noChangeArrowheads="1"/>
        </xdr:cNvSpPr>
      </xdr:nvSpPr>
      <xdr:spPr bwMode="auto">
        <a:xfrm>
          <a:off x="13411200" y="37574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152400</xdr:colOff>
      <xdr:row>184</xdr:row>
      <xdr:rowOff>106680</xdr:rowOff>
    </xdr:to>
    <xdr:sp macro="" textlink="">
      <xdr:nvSpPr>
        <xdr:cNvPr id="7831" name="AutoShape 87" descr="ENGLAND5"/>
        <xdr:cNvSpPr>
          <a:spLocks noChangeAspect="1" noChangeArrowheads="1"/>
        </xdr:cNvSpPr>
      </xdr:nvSpPr>
      <xdr:spPr bwMode="auto">
        <a:xfrm>
          <a:off x="0" y="37749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184</xdr:row>
      <xdr:rowOff>0</xdr:rowOff>
    </xdr:from>
    <xdr:to>
      <xdr:col>22</xdr:col>
      <xdr:colOff>304800</xdr:colOff>
      <xdr:row>185</xdr:row>
      <xdr:rowOff>129540</xdr:rowOff>
    </xdr:to>
    <xdr:sp macro="" textlink="">
      <xdr:nvSpPr>
        <xdr:cNvPr id="7832" name="AutoShape 88" descr="https://www.soccerstats.com/img/own/sshplogo.png">
          <a:hlinkClick xmlns:r="http://schemas.openxmlformats.org/officeDocument/2006/relationships" r:id="rId44"/>
        </xdr:cNvPr>
        <xdr:cNvSpPr>
          <a:spLocks noChangeAspect="1" noChangeArrowheads="1"/>
        </xdr:cNvSpPr>
      </xdr:nvSpPr>
      <xdr:spPr bwMode="auto">
        <a:xfrm>
          <a:off x="13411200" y="37749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152400</xdr:colOff>
      <xdr:row>185</xdr:row>
      <xdr:rowOff>106680</xdr:rowOff>
    </xdr:to>
    <xdr:sp macro="" textlink="">
      <xdr:nvSpPr>
        <xdr:cNvPr id="7833" name="AutoShape 89" descr="ENGLAND5"/>
        <xdr:cNvSpPr>
          <a:spLocks noChangeAspect="1" noChangeArrowheads="1"/>
        </xdr:cNvSpPr>
      </xdr:nvSpPr>
      <xdr:spPr bwMode="auto">
        <a:xfrm>
          <a:off x="0" y="37924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185</xdr:row>
      <xdr:rowOff>0</xdr:rowOff>
    </xdr:from>
    <xdr:to>
      <xdr:col>22</xdr:col>
      <xdr:colOff>304800</xdr:colOff>
      <xdr:row>186</xdr:row>
      <xdr:rowOff>53340</xdr:rowOff>
    </xdr:to>
    <xdr:sp macro="" textlink="">
      <xdr:nvSpPr>
        <xdr:cNvPr id="7834" name="AutoShape 90" descr="https://www.soccerstats.com/img/own/sshplogo.png">
          <a:hlinkClick xmlns:r="http://schemas.openxmlformats.org/officeDocument/2006/relationships" r:id="rId45"/>
        </xdr:cNvPr>
        <xdr:cNvSpPr>
          <a:spLocks noChangeAspect="1" noChangeArrowheads="1"/>
        </xdr:cNvSpPr>
      </xdr:nvSpPr>
      <xdr:spPr bwMode="auto">
        <a:xfrm>
          <a:off x="13411200" y="37924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152400</xdr:colOff>
      <xdr:row>186</xdr:row>
      <xdr:rowOff>106680</xdr:rowOff>
    </xdr:to>
    <xdr:sp macro="" textlink="">
      <xdr:nvSpPr>
        <xdr:cNvPr id="7835" name="AutoShape 91" descr="ENGLAND5"/>
        <xdr:cNvSpPr>
          <a:spLocks noChangeAspect="1" noChangeArrowheads="1"/>
        </xdr:cNvSpPr>
      </xdr:nvSpPr>
      <xdr:spPr bwMode="auto">
        <a:xfrm>
          <a:off x="0" y="38176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186</xdr:row>
      <xdr:rowOff>0</xdr:rowOff>
    </xdr:from>
    <xdr:to>
      <xdr:col>22</xdr:col>
      <xdr:colOff>304800</xdr:colOff>
      <xdr:row>187</xdr:row>
      <xdr:rowOff>53340</xdr:rowOff>
    </xdr:to>
    <xdr:sp macro="" textlink="">
      <xdr:nvSpPr>
        <xdr:cNvPr id="7836" name="AutoShape 92" descr="https://www.soccerstats.com/img/own/sshplogo.png">
          <a:hlinkClick xmlns:r="http://schemas.openxmlformats.org/officeDocument/2006/relationships" r:id="rId46"/>
        </xdr:cNvPr>
        <xdr:cNvSpPr>
          <a:spLocks noChangeAspect="1" noChangeArrowheads="1"/>
        </xdr:cNvSpPr>
      </xdr:nvSpPr>
      <xdr:spPr bwMode="auto">
        <a:xfrm>
          <a:off x="13411200" y="38176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152400</xdr:colOff>
      <xdr:row>187</xdr:row>
      <xdr:rowOff>106680</xdr:rowOff>
    </xdr:to>
    <xdr:sp macro="" textlink="">
      <xdr:nvSpPr>
        <xdr:cNvPr id="7837" name="AutoShape 93" descr="ENGLAND5"/>
        <xdr:cNvSpPr>
          <a:spLocks noChangeAspect="1" noChangeArrowheads="1"/>
        </xdr:cNvSpPr>
      </xdr:nvSpPr>
      <xdr:spPr bwMode="auto">
        <a:xfrm>
          <a:off x="0" y="38427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187</xdr:row>
      <xdr:rowOff>0</xdr:rowOff>
    </xdr:from>
    <xdr:to>
      <xdr:col>22</xdr:col>
      <xdr:colOff>304800</xdr:colOff>
      <xdr:row>188</xdr:row>
      <xdr:rowOff>53340</xdr:rowOff>
    </xdr:to>
    <xdr:sp macro="" textlink="">
      <xdr:nvSpPr>
        <xdr:cNvPr id="7838" name="AutoShape 94" descr="https://www.soccerstats.com/img/own/sshplogo.png">
          <a:hlinkClick xmlns:r="http://schemas.openxmlformats.org/officeDocument/2006/relationships" r:id="rId47"/>
        </xdr:cNvPr>
        <xdr:cNvSpPr>
          <a:spLocks noChangeAspect="1" noChangeArrowheads="1"/>
        </xdr:cNvSpPr>
      </xdr:nvSpPr>
      <xdr:spPr bwMode="auto">
        <a:xfrm>
          <a:off x="13411200" y="38427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152400</xdr:colOff>
      <xdr:row>188</xdr:row>
      <xdr:rowOff>106680</xdr:rowOff>
    </xdr:to>
    <xdr:sp macro="" textlink="">
      <xdr:nvSpPr>
        <xdr:cNvPr id="7839" name="AutoShape 95" descr="ENGLAND5"/>
        <xdr:cNvSpPr>
          <a:spLocks noChangeAspect="1" noChangeArrowheads="1"/>
        </xdr:cNvSpPr>
      </xdr:nvSpPr>
      <xdr:spPr bwMode="auto">
        <a:xfrm>
          <a:off x="0" y="38679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188</xdr:row>
      <xdr:rowOff>0</xdr:rowOff>
    </xdr:from>
    <xdr:to>
      <xdr:col>22</xdr:col>
      <xdr:colOff>304800</xdr:colOff>
      <xdr:row>189</xdr:row>
      <xdr:rowOff>129540</xdr:rowOff>
    </xdr:to>
    <xdr:sp macro="" textlink="">
      <xdr:nvSpPr>
        <xdr:cNvPr id="7840" name="AutoShape 96" descr="https://www.soccerstats.com/img/own/sshplogo.png">
          <a:hlinkClick xmlns:r="http://schemas.openxmlformats.org/officeDocument/2006/relationships" r:id="rId48"/>
        </xdr:cNvPr>
        <xdr:cNvSpPr>
          <a:spLocks noChangeAspect="1" noChangeArrowheads="1"/>
        </xdr:cNvSpPr>
      </xdr:nvSpPr>
      <xdr:spPr bwMode="auto">
        <a:xfrm>
          <a:off x="13411200" y="3867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152400</xdr:colOff>
      <xdr:row>189</xdr:row>
      <xdr:rowOff>106680</xdr:rowOff>
    </xdr:to>
    <xdr:sp macro="" textlink="">
      <xdr:nvSpPr>
        <xdr:cNvPr id="7841" name="AutoShape 97" descr="ENGLAND5"/>
        <xdr:cNvSpPr>
          <a:spLocks noChangeAspect="1" noChangeArrowheads="1"/>
        </xdr:cNvSpPr>
      </xdr:nvSpPr>
      <xdr:spPr bwMode="auto">
        <a:xfrm>
          <a:off x="0" y="38854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189</xdr:row>
      <xdr:rowOff>0</xdr:rowOff>
    </xdr:from>
    <xdr:to>
      <xdr:col>22</xdr:col>
      <xdr:colOff>304800</xdr:colOff>
      <xdr:row>190</xdr:row>
      <xdr:rowOff>129540</xdr:rowOff>
    </xdr:to>
    <xdr:sp macro="" textlink="">
      <xdr:nvSpPr>
        <xdr:cNvPr id="7842" name="AutoShape 98" descr="https://www.soccerstats.com/img/own/sshplogo.png">
          <a:hlinkClick xmlns:r="http://schemas.openxmlformats.org/officeDocument/2006/relationships" r:id="rId49"/>
        </xdr:cNvPr>
        <xdr:cNvSpPr>
          <a:spLocks noChangeAspect="1" noChangeArrowheads="1"/>
        </xdr:cNvSpPr>
      </xdr:nvSpPr>
      <xdr:spPr bwMode="auto">
        <a:xfrm>
          <a:off x="13411200" y="38854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152400</xdr:colOff>
      <xdr:row>190</xdr:row>
      <xdr:rowOff>106680</xdr:rowOff>
    </xdr:to>
    <xdr:sp macro="" textlink="">
      <xdr:nvSpPr>
        <xdr:cNvPr id="7843" name="AutoShape 99" descr="ENGLAND5"/>
        <xdr:cNvSpPr>
          <a:spLocks noChangeAspect="1" noChangeArrowheads="1"/>
        </xdr:cNvSpPr>
      </xdr:nvSpPr>
      <xdr:spPr bwMode="auto">
        <a:xfrm>
          <a:off x="0" y="39029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190</xdr:row>
      <xdr:rowOff>0</xdr:rowOff>
    </xdr:from>
    <xdr:to>
      <xdr:col>22</xdr:col>
      <xdr:colOff>304800</xdr:colOff>
      <xdr:row>191</xdr:row>
      <xdr:rowOff>129540</xdr:rowOff>
    </xdr:to>
    <xdr:sp macro="" textlink="">
      <xdr:nvSpPr>
        <xdr:cNvPr id="7844" name="AutoShape 100" descr="https://www.soccerstats.com/img/own/sshplogo.png">
          <a:hlinkClick xmlns:r="http://schemas.openxmlformats.org/officeDocument/2006/relationships" r:id="rId50"/>
        </xdr:cNvPr>
        <xdr:cNvSpPr>
          <a:spLocks noChangeAspect="1" noChangeArrowheads="1"/>
        </xdr:cNvSpPr>
      </xdr:nvSpPr>
      <xdr:spPr bwMode="auto">
        <a:xfrm>
          <a:off x="13411200" y="39029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152400</xdr:colOff>
      <xdr:row>191</xdr:row>
      <xdr:rowOff>106680</xdr:rowOff>
    </xdr:to>
    <xdr:sp macro="" textlink="">
      <xdr:nvSpPr>
        <xdr:cNvPr id="7845" name="AutoShape 101" descr="ENGLAND5"/>
        <xdr:cNvSpPr>
          <a:spLocks noChangeAspect="1" noChangeArrowheads="1"/>
        </xdr:cNvSpPr>
      </xdr:nvSpPr>
      <xdr:spPr bwMode="auto">
        <a:xfrm>
          <a:off x="0" y="39204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191</xdr:row>
      <xdr:rowOff>0</xdr:rowOff>
    </xdr:from>
    <xdr:to>
      <xdr:col>22</xdr:col>
      <xdr:colOff>304800</xdr:colOff>
      <xdr:row>192</xdr:row>
      <xdr:rowOff>129540</xdr:rowOff>
    </xdr:to>
    <xdr:sp macro="" textlink="">
      <xdr:nvSpPr>
        <xdr:cNvPr id="7846" name="AutoShape 102" descr="https://www.soccerstats.com/img/own/sshplogo.png">
          <a:hlinkClick xmlns:r="http://schemas.openxmlformats.org/officeDocument/2006/relationships" r:id="rId51"/>
        </xdr:cNvPr>
        <xdr:cNvSpPr>
          <a:spLocks noChangeAspect="1" noChangeArrowheads="1"/>
        </xdr:cNvSpPr>
      </xdr:nvSpPr>
      <xdr:spPr bwMode="auto">
        <a:xfrm>
          <a:off x="13411200" y="39204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152400</xdr:colOff>
      <xdr:row>192</xdr:row>
      <xdr:rowOff>106680</xdr:rowOff>
    </xdr:to>
    <xdr:sp macro="" textlink="">
      <xdr:nvSpPr>
        <xdr:cNvPr id="7847" name="AutoShape 103" descr="ENGLAND5"/>
        <xdr:cNvSpPr>
          <a:spLocks noChangeAspect="1" noChangeArrowheads="1"/>
        </xdr:cNvSpPr>
      </xdr:nvSpPr>
      <xdr:spPr bwMode="auto">
        <a:xfrm>
          <a:off x="0" y="39380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192</xdr:row>
      <xdr:rowOff>0</xdr:rowOff>
    </xdr:from>
    <xdr:to>
      <xdr:col>22</xdr:col>
      <xdr:colOff>304800</xdr:colOff>
      <xdr:row>193</xdr:row>
      <xdr:rowOff>129540</xdr:rowOff>
    </xdr:to>
    <xdr:sp macro="" textlink="">
      <xdr:nvSpPr>
        <xdr:cNvPr id="7848" name="AutoShape 104" descr="https://www.soccerstats.com/img/own/sshplogo.png">
          <a:hlinkClick xmlns:r="http://schemas.openxmlformats.org/officeDocument/2006/relationships" r:id="rId52"/>
        </xdr:cNvPr>
        <xdr:cNvSpPr>
          <a:spLocks noChangeAspect="1" noChangeArrowheads="1"/>
        </xdr:cNvSpPr>
      </xdr:nvSpPr>
      <xdr:spPr bwMode="auto">
        <a:xfrm>
          <a:off x="13411200" y="39380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152400</xdr:colOff>
      <xdr:row>193</xdr:row>
      <xdr:rowOff>106680</xdr:rowOff>
    </xdr:to>
    <xdr:sp macro="" textlink="">
      <xdr:nvSpPr>
        <xdr:cNvPr id="7849" name="AutoShape 105" descr="ENGLAND5"/>
        <xdr:cNvSpPr>
          <a:spLocks noChangeAspect="1" noChangeArrowheads="1"/>
        </xdr:cNvSpPr>
      </xdr:nvSpPr>
      <xdr:spPr bwMode="auto">
        <a:xfrm>
          <a:off x="0" y="39555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193</xdr:row>
      <xdr:rowOff>0</xdr:rowOff>
    </xdr:from>
    <xdr:to>
      <xdr:col>22</xdr:col>
      <xdr:colOff>304800</xdr:colOff>
      <xdr:row>194</xdr:row>
      <xdr:rowOff>129540</xdr:rowOff>
    </xdr:to>
    <xdr:sp macro="" textlink="">
      <xdr:nvSpPr>
        <xdr:cNvPr id="7850" name="AutoShape 106" descr="https://www.soccerstats.com/img/own/sshplogo.png">
          <a:hlinkClick xmlns:r="http://schemas.openxmlformats.org/officeDocument/2006/relationships" r:id="rId53"/>
        </xdr:cNvPr>
        <xdr:cNvSpPr>
          <a:spLocks noChangeAspect="1" noChangeArrowheads="1"/>
        </xdr:cNvSpPr>
      </xdr:nvSpPr>
      <xdr:spPr bwMode="auto">
        <a:xfrm>
          <a:off x="13411200" y="39555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152400</xdr:colOff>
      <xdr:row>194</xdr:row>
      <xdr:rowOff>106680</xdr:rowOff>
    </xdr:to>
    <xdr:sp macro="" textlink="">
      <xdr:nvSpPr>
        <xdr:cNvPr id="7851" name="AutoShape 107" descr="SPAIN2"/>
        <xdr:cNvSpPr>
          <a:spLocks noChangeAspect="1" noChangeArrowheads="1"/>
        </xdr:cNvSpPr>
      </xdr:nvSpPr>
      <xdr:spPr bwMode="auto">
        <a:xfrm>
          <a:off x="0" y="39730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194</xdr:row>
      <xdr:rowOff>0</xdr:rowOff>
    </xdr:from>
    <xdr:to>
      <xdr:col>22</xdr:col>
      <xdr:colOff>304800</xdr:colOff>
      <xdr:row>195</xdr:row>
      <xdr:rowOff>129540</xdr:rowOff>
    </xdr:to>
    <xdr:sp macro="" textlink="">
      <xdr:nvSpPr>
        <xdr:cNvPr id="7852" name="AutoShape 108" descr="https://www.soccerstats.com/img/own/sshplogo.png">
          <a:hlinkClick xmlns:r="http://schemas.openxmlformats.org/officeDocument/2006/relationships" r:id="rId54"/>
        </xdr:cNvPr>
        <xdr:cNvSpPr>
          <a:spLocks noChangeAspect="1" noChangeArrowheads="1"/>
        </xdr:cNvSpPr>
      </xdr:nvSpPr>
      <xdr:spPr bwMode="auto">
        <a:xfrm>
          <a:off x="13411200" y="39730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152400</xdr:colOff>
      <xdr:row>195</xdr:row>
      <xdr:rowOff>106680</xdr:rowOff>
    </xdr:to>
    <xdr:sp macro="" textlink="">
      <xdr:nvSpPr>
        <xdr:cNvPr id="7853" name="AutoShape 109" descr="SPAIN2"/>
        <xdr:cNvSpPr>
          <a:spLocks noChangeAspect="1" noChangeArrowheads="1"/>
        </xdr:cNvSpPr>
      </xdr:nvSpPr>
      <xdr:spPr bwMode="auto">
        <a:xfrm>
          <a:off x="0" y="39905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195</xdr:row>
      <xdr:rowOff>0</xdr:rowOff>
    </xdr:from>
    <xdr:to>
      <xdr:col>22</xdr:col>
      <xdr:colOff>304800</xdr:colOff>
      <xdr:row>196</xdr:row>
      <xdr:rowOff>129540</xdr:rowOff>
    </xdr:to>
    <xdr:sp macro="" textlink="">
      <xdr:nvSpPr>
        <xdr:cNvPr id="7854" name="AutoShape 110" descr="https://www.soccerstats.com/img/own/sshplogo.png">
          <a:hlinkClick xmlns:r="http://schemas.openxmlformats.org/officeDocument/2006/relationships" r:id="rId55"/>
        </xdr:cNvPr>
        <xdr:cNvSpPr>
          <a:spLocks noChangeAspect="1" noChangeArrowheads="1"/>
        </xdr:cNvSpPr>
      </xdr:nvSpPr>
      <xdr:spPr bwMode="auto">
        <a:xfrm>
          <a:off x="13411200" y="39905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152400</xdr:colOff>
      <xdr:row>196</xdr:row>
      <xdr:rowOff>106680</xdr:rowOff>
    </xdr:to>
    <xdr:sp macro="" textlink="">
      <xdr:nvSpPr>
        <xdr:cNvPr id="7855" name="AutoShape 111" descr="SPAIN2"/>
        <xdr:cNvSpPr>
          <a:spLocks noChangeAspect="1" noChangeArrowheads="1"/>
        </xdr:cNvSpPr>
      </xdr:nvSpPr>
      <xdr:spPr bwMode="auto">
        <a:xfrm>
          <a:off x="0" y="40081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196</xdr:row>
      <xdr:rowOff>0</xdr:rowOff>
    </xdr:from>
    <xdr:to>
      <xdr:col>22</xdr:col>
      <xdr:colOff>304800</xdr:colOff>
      <xdr:row>197</xdr:row>
      <xdr:rowOff>129540</xdr:rowOff>
    </xdr:to>
    <xdr:sp macro="" textlink="">
      <xdr:nvSpPr>
        <xdr:cNvPr id="7856" name="AutoShape 112" descr="https://www.soccerstats.com/img/own/sshplogo.png">
          <a:hlinkClick xmlns:r="http://schemas.openxmlformats.org/officeDocument/2006/relationships" r:id="rId56"/>
        </xdr:cNvPr>
        <xdr:cNvSpPr>
          <a:spLocks noChangeAspect="1" noChangeArrowheads="1"/>
        </xdr:cNvSpPr>
      </xdr:nvSpPr>
      <xdr:spPr bwMode="auto">
        <a:xfrm>
          <a:off x="13411200" y="40081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152400</xdr:colOff>
      <xdr:row>197</xdr:row>
      <xdr:rowOff>106680</xdr:rowOff>
    </xdr:to>
    <xdr:sp macro="" textlink="">
      <xdr:nvSpPr>
        <xdr:cNvPr id="7857" name="AutoShape 113" descr="SPAIN2"/>
        <xdr:cNvSpPr>
          <a:spLocks noChangeAspect="1" noChangeArrowheads="1"/>
        </xdr:cNvSpPr>
      </xdr:nvSpPr>
      <xdr:spPr bwMode="auto">
        <a:xfrm>
          <a:off x="0" y="40256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197</xdr:row>
      <xdr:rowOff>0</xdr:rowOff>
    </xdr:from>
    <xdr:to>
      <xdr:col>22</xdr:col>
      <xdr:colOff>304800</xdr:colOff>
      <xdr:row>198</xdr:row>
      <xdr:rowOff>129540</xdr:rowOff>
    </xdr:to>
    <xdr:sp macro="" textlink="">
      <xdr:nvSpPr>
        <xdr:cNvPr id="7858" name="AutoShape 114" descr="https://www.soccerstats.com/img/own/sshplogo.png">
          <a:hlinkClick xmlns:r="http://schemas.openxmlformats.org/officeDocument/2006/relationships" r:id="rId57"/>
        </xdr:cNvPr>
        <xdr:cNvSpPr>
          <a:spLocks noChangeAspect="1" noChangeArrowheads="1"/>
        </xdr:cNvSpPr>
      </xdr:nvSpPr>
      <xdr:spPr bwMode="auto">
        <a:xfrm>
          <a:off x="13411200" y="40256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152400</xdr:colOff>
      <xdr:row>198</xdr:row>
      <xdr:rowOff>106680</xdr:rowOff>
    </xdr:to>
    <xdr:sp macro="" textlink="">
      <xdr:nvSpPr>
        <xdr:cNvPr id="7859" name="AutoShape 115" descr="GERMANY2"/>
        <xdr:cNvSpPr>
          <a:spLocks noChangeAspect="1" noChangeArrowheads="1"/>
        </xdr:cNvSpPr>
      </xdr:nvSpPr>
      <xdr:spPr bwMode="auto">
        <a:xfrm>
          <a:off x="0" y="40431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198</xdr:row>
      <xdr:rowOff>0</xdr:rowOff>
    </xdr:from>
    <xdr:to>
      <xdr:col>22</xdr:col>
      <xdr:colOff>304800</xdr:colOff>
      <xdr:row>199</xdr:row>
      <xdr:rowOff>53340</xdr:rowOff>
    </xdr:to>
    <xdr:sp macro="" textlink="">
      <xdr:nvSpPr>
        <xdr:cNvPr id="7860" name="AutoShape 116" descr="https://www.soccerstats.com/img/own/sshplogo.png">
          <a:hlinkClick xmlns:r="http://schemas.openxmlformats.org/officeDocument/2006/relationships" r:id="rId58"/>
        </xdr:cNvPr>
        <xdr:cNvSpPr>
          <a:spLocks noChangeAspect="1" noChangeArrowheads="1"/>
        </xdr:cNvSpPr>
      </xdr:nvSpPr>
      <xdr:spPr bwMode="auto">
        <a:xfrm>
          <a:off x="13411200" y="40431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152400</xdr:colOff>
      <xdr:row>199</xdr:row>
      <xdr:rowOff>106680</xdr:rowOff>
    </xdr:to>
    <xdr:sp macro="" textlink="">
      <xdr:nvSpPr>
        <xdr:cNvPr id="7861" name="AutoShape 117" descr="GERMANY2"/>
        <xdr:cNvSpPr>
          <a:spLocks noChangeAspect="1" noChangeArrowheads="1"/>
        </xdr:cNvSpPr>
      </xdr:nvSpPr>
      <xdr:spPr bwMode="auto">
        <a:xfrm>
          <a:off x="0" y="40683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199</xdr:row>
      <xdr:rowOff>0</xdr:rowOff>
    </xdr:from>
    <xdr:to>
      <xdr:col>22</xdr:col>
      <xdr:colOff>304800</xdr:colOff>
      <xdr:row>200</xdr:row>
      <xdr:rowOff>129540</xdr:rowOff>
    </xdr:to>
    <xdr:sp macro="" textlink="">
      <xdr:nvSpPr>
        <xdr:cNvPr id="7862" name="AutoShape 118" descr="https://www.soccerstats.com/img/own/sshplogo.png">
          <a:hlinkClick xmlns:r="http://schemas.openxmlformats.org/officeDocument/2006/relationships" r:id="rId59"/>
        </xdr:cNvPr>
        <xdr:cNvSpPr>
          <a:spLocks noChangeAspect="1" noChangeArrowheads="1"/>
        </xdr:cNvSpPr>
      </xdr:nvSpPr>
      <xdr:spPr bwMode="auto">
        <a:xfrm>
          <a:off x="13411200" y="40683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152400</xdr:colOff>
      <xdr:row>200</xdr:row>
      <xdr:rowOff>106680</xdr:rowOff>
    </xdr:to>
    <xdr:sp macro="" textlink="">
      <xdr:nvSpPr>
        <xdr:cNvPr id="7863" name="AutoShape 119" descr="GERMANY2"/>
        <xdr:cNvSpPr>
          <a:spLocks noChangeAspect="1" noChangeArrowheads="1"/>
        </xdr:cNvSpPr>
      </xdr:nvSpPr>
      <xdr:spPr bwMode="auto">
        <a:xfrm>
          <a:off x="0" y="40858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200</xdr:row>
      <xdr:rowOff>0</xdr:rowOff>
    </xdr:from>
    <xdr:to>
      <xdr:col>22</xdr:col>
      <xdr:colOff>304800</xdr:colOff>
      <xdr:row>201</xdr:row>
      <xdr:rowOff>129540</xdr:rowOff>
    </xdr:to>
    <xdr:sp macro="" textlink="">
      <xdr:nvSpPr>
        <xdr:cNvPr id="7864" name="AutoShape 120" descr="https://www.soccerstats.com/img/own/sshplogo.png">
          <a:hlinkClick xmlns:r="http://schemas.openxmlformats.org/officeDocument/2006/relationships" r:id="rId60"/>
        </xdr:cNvPr>
        <xdr:cNvSpPr>
          <a:spLocks noChangeAspect="1" noChangeArrowheads="1"/>
        </xdr:cNvSpPr>
      </xdr:nvSpPr>
      <xdr:spPr bwMode="auto">
        <a:xfrm>
          <a:off x="13411200" y="40858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152400</xdr:colOff>
      <xdr:row>201</xdr:row>
      <xdr:rowOff>106680</xdr:rowOff>
    </xdr:to>
    <xdr:sp macro="" textlink="">
      <xdr:nvSpPr>
        <xdr:cNvPr id="7865" name="AutoShape 121" descr="GERMANY2"/>
        <xdr:cNvSpPr>
          <a:spLocks noChangeAspect="1" noChangeArrowheads="1"/>
        </xdr:cNvSpPr>
      </xdr:nvSpPr>
      <xdr:spPr bwMode="auto">
        <a:xfrm>
          <a:off x="0" y="41033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201</xdr:row>
      <xdr:rowOff>0</xdr:rowOff>
    </xdr:from>
    <xdr:to>
      <xdr:col>22</xdr:col>
      <xdr:colOff>304800</xdr:colOff>
      <xdr:row>202</xdr:row>
      <xdr:rowOff>129540</xdr:rowOff>
    </xdr:to>
    <xdr:sp macro="" textlink="">
      <xdr:nvSpPr>
        <xdr:cNvPr id="7866" name="AutoShape 122" descr="https://www.soccerstats.com/img/own/sshplogo.png">
          <a:hlinkClick xmlns:r="http://schemas.openxmlformats.org/officeDocument/2006/relationships" r:id="rId61"/>
        </xdr:cNvPr>
        <xdr:cNvSpPr>
          <a:spLocks noChangeAspect="1" noChangeArrowheads="1"/>
        </xdr:cNvSpPr>
      </xdr:nvSpPr>
      <xdr:spPr bwMode="auto">
        <a:xfrm>
          <a:off x="13411200" y="41033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152400</xdr:colOff>
      <xdr:row>202</xdr:row>
      <xdr:rowOff>106680</xdr:rowOff>
    </xdr:to>
    <xdr:sp macro="" textlink="">
      <xdr:nvSpPr>
        <xdr:cNvPr id="7867" name="AutoShape 123" descr="NETHERLANDS2"/>
        <xdr:cNvSpPr>
          <a:spLocks noChangeAspect="1" noChangeArrowheads="1"/>
        </xdr:cNvSpPr>
      </xdr:nvSpPr>
      <xdr:spPr bwMode="auto">
        <a:xfrm>
          <a:off x="0" y="41208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202</xdr:row>
      <xdr:rowOff>0</xdr:rowOff>
    </xdr:from>
    <xdr:to>
      <xdr:col>22</xdr:col>
      <xdr:colOff>304800</xdr:colOff>
      <xdr:row>203</xdr:row>
      <xdr:rowOff>129540</xdr:rowOff>
    </xdr:to>
    <xdr:sp macro="" textlink="">
      <xdr:nvSpPr>
        <xdr:cNvPr id="7868" name="AutoShape 124" descr="https://www.soccerstats.com/img/own/sshplogo.png">
          <a:hlinkClick xmlns:r="http://schemas.openxmlformats.org/officeDocument/2006/relationships" r:id="rId62"/>
        </xdr:cNvPr>
        <xdr:cNvSpPr>
          <a:spLocks noChangeAspect="1" noChangeArrowheads="1"/>
        </xdr:cNvSpPr>
      </xdr:nvSpPr>
      <xdr:spPr bwMode="auto">
        <a:xfrm>
          <a:off x="13411200" y="41208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152400</xdr:colOff>
      <xdr:row>203</xdr:row>
      <xdr:rowOff>106680</xdr:rowOff>
    </xdr:to>
    <xdr:sp macro="" textlink="">
      <xdr:nvSpPr>
        <xdr:cNvPr id="7869" name="AutoShape 125" descr="ARGENTINA2"/>
        <xdr:cNvSpPr>
          <a:spLocks noChangeAspect="1" noChangeArrowheads="1"/>
        </xdr:cNvSpPr>
      </xdr:nvSpPr>
      <xdr:spPr bwMode="auto">
        <a:xfrm>
          <a:off x="0" y="41384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203</xdr:row>
      <xdr:rowOff>0</xdr:rowOff>
    </xdr:from>
    <xdr:to>
      <xdr:col>22</xdr:col>
      <xdr:colOff>304800</xdr:colOff>
      <xdr:row>204</xdr:row>
      <xdr:rowOff>129540</xdr:rowOff>
    </xdr:to>
    <xdr:sp macro="" textlink="">
      <xdr:nvSpPr>
        <xdr:cNvPr id="7870" name="AutoShape 126" descr="https://www.soccerstats.com/img/own/sshplogo.png">
          <a:hlinkClick xmlns:r="http://schemas.openxmlformats.org/officeDocument/2006/relationships" r:id="rId63"/>
        </xdr:cNvPr>
        <xdr:cNvSpPr>
          <a:spLocks noChangeAspect="1" noChangeArrowheads="1"/>
        </xdr:cNvSpPr>
      </xdr:nvSpPr>
      <xdr:spPr bwMode="auto">
        <a:xfrm>
          <a:off x="13411200" y="41384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152400</xdr:colOff>
      <xdr:row>204</xdr:row>
      <xdr:rowOff>106680</xdr:rowOff>
    </xdr:to>
    <xdr:sp macro="" textlink="">
      <xdr:nvSpPr>
        <xdr:cNvPr id="7871" name="AutoShape 127" descr="ARGENTINA2"/>
        <xdr:cNvSpPr>
          <a:spLocks noChangeAspect="1" noChangeArrowheads="1"/>
        </xdr:cNvSpPr>
      </xdr:nvSpPr>
      <xdr:spPr bwMode="auto">
        <a:xfrm>
          <a:off x="0" y="41559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204</xdr:row>
      <xdr:rowOff>0</xdr:rowOff>
    </xdr:from>
    <xdr:to>
      <xdr:col>22</xdr:col>
      <xdr:colOff>304800</xdr:colOff>
      <xdr:row>205</xdr:row>
      <xdr:rowOff>53340</xdr:rowOff>
    </xdr:to>
    <xdr:sp macro="" textlink="">
      <xdr:nvSpPr>
        <xdr:cNvPr id="7872" name="AutoShape 128" descr="https://www.soccerstats.com/img/own/sshplogo.png">
          <a:hlinkClick xmlns:r="http://schemas.openxmlformats.org/officeDocument/2006/relationships" r:id="rId64"/>
        </xdr:cNvPr>
        <xdr:cNvSpPr>
          <a:spLocks noChangeAspect="1" noChangeArrowheads="1"/>
        </xdr:cNvSpPr>
      </xdr:nvSpPr>
      <xdr:spPr bwMode="auto">
        <a:xfrm>
          <a:off x="13411200" y="41559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152400</xdr:colOff>
      <xdr:row>205</xdr:row>
      <xdr:rowOff>106680</xdr:rowOff>
    </xdr:to>
    <xdr:sp macro="" textlink="">
      <xdr:nvSpPr>
        <xdr:cNvPr id="7873" name="AutoShape 129" descr="ARGENTINA2"/>
        <xdr:cNvSpPr>
          <a:spLocks noChangeAspect="1" noChangeArrowheads="1"/>
        </xdr:cNvSpPr>
      </xdr:nvSpPr>
      <xdr:spPr bwMode="auto">
        <a:xfrm>
          <a:off x="0" y="41810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205</xdr:row>
      <xdr:rowOff>0</xdr:rowOff>
    </xdr:from>
    <xdr:to>
      <xdr:col>22</xdr:col>
      <xdr:colOff>304800</xdr:colOff>
      <xdr:row>206</xdr:row>
      <xdr:rowOff>129540</xdr:rowOff>
    </xdr:to>
    <xdr:sp macro="" textlink="">
      <xdr:nvSpPr>
        <xdr:cNvPr id="7874" name="AutoShape 130" descr="https://www.soccerstats.com/img/own/sshplogo.png">
          <a:hlinkClick xmlns:r="http://schemas.openxmlformats.org/officeDocument/2006/relationships" r:id="rId65"/>
        </xdr:cNvPr>
        <xdr:cNvSpPr>
          <a:spLocks noChangeAspect="1" noChangeArrowheads="1"/>
        </xdr:cNvSpPr>
      </xdr:nvSpPr>
      <xdr:spPr bwMode="auto">
        <a:xfrm>
          <a:off x="13411200" y="41810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152400</xdr:colOff>
      <xdr:row>206</xdr:row>
      <xdr:rowOff>106680</xdr:rowOff>
    </xdr:to>
    <xdr:sp macro="" textlink="">
      <xdr:nvSpPr>
        <xdr:cNvPr id="7875" name="AutoShape 131" descr="ARGENTINA2"/>
        <xdr:cNvSpPr>
          <a:spLocks noChangeAspect="1" noChangeArrowheads="1"/>
        </xdr:cNvSpPr>
      </xdr:nvSpPr>
      <xdr:spPr bwMode="auto">
        <a:xfrm>
          <a:off x="0" y="41986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206</xdr:row>
      <xdr:rowOff>0</xdr:rowOff>
    </xdr:from>
    <xdr:to>
      <xdr:col>22</xdr:col>
      <xdr:colOff>304800</xdr:colOff>
      <xdr:row>207</xdr:row>
      <xdr:rowOff>129540</xdr:rowOff>
    </xdr:to>
    <xdr:sp macro="" textlink="">
      <xdr:nvSpPr>
        <xdr:cNvPr id="7876" name="AutoShape 132" descr="https://www.soccerstats.com/img/own/sshplogo.png">
          <a:hlinkClick xmlns:r="http://schemas.openxmlformats.org/officeDocument/2006/relationships" r:id="rId66"/>
        </xdr:cNvPr>
        <xdr:cNvSpPr>
          <a:spLocks noChangeAspect="1" noChangeArrowheads="1"/>
        </xdr:cNvSpPr>
      </xdr:nvSpPr>
      <xdr:spPr bwMode="auto">
        <a:xfrm>
          <a:off x="13411200" y="41986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152400</xdr:colOff>
      <xdr:row>207</xdr:row>
      <xdr:rowOff>106680</xdr:rowOff>
    </xdr:to>
    <xdr:sp macro="" textlink="">
      <xdr:nvSpPr>
        <xdr:cNvPr id="7877" name="AutoShape 133" descr="ARGENTINA2"/>
        <xdr:cNvSpPr>
          <a:spLocks noChangeAspect="1" noChangeArrowheads="1"/>
        </xdr:cNvSpPr>
      </xdr:nvSpPr>
      <xdr:spPr bwMode="auto">
        <a:xfrm>
          <a:off x="0" y="42161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207</xdr:row>
      <xdr:rowOff>0</xdr:rowOff>
    </xdr:from>
    <xdr:to>
      <xdr:col>22</xdr:col>
      <xdr:colOff>304800</xdr:colOff>
      <xdr:row>208</xdr:row>
      <xdr:rowOff>129540</xdr:rowOff>
    </xdr:to>
    <xdr:sp macro="" textlink="">
      <xdr:nvSpPr>
        <xdr:cNvPr id="7878" name="AutoShape 134" descr="https://www.soccerstats.com/img/own/sshplogo.png">
          <a:hlinkClick xmlns:r="http://schemas.openxmlformats.org/officeDocument/2006/relationships" r:id="rId67"/>
        </xdr:cNvPr>
        <xdr:cNvSpPr>
          <a:spLocks noChangeAspect="1" noChangeArrowheads="1"/>
        </xdr:cNvSpPr>
      </xdr:nvSpPr>
      <xdr:spPr bwMode="auto">
        <a:xfrm>
          <a:off x="13411200" y="42161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152400</xdr:colOff>
      <xdr:row>208</xdr:row>
      <xdr:rowOff>106680</xdr:rowOff>
    </xdr:to>
    <xdr:sp macro="" textlink="">
      <xdr:nvSpPr>
        <xdr:cNvPr id="7879" name="AutoShape 135" descr="ARGENTINA3"/>
        <xdr:cNvSpPr>
          <a:spLocks noChangeAspect="1" noChangeArrowheads="1"/>
        </xdr:cNvSpPr>
      </xdr:nvSpPr>
      <xdr:spPr bwMode="auto">
        <a:xfrm>
          <a:off x="0" y="42336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208</xdr:row>
      <xdr:rowOff>0</xdr:rowOff>
    </xdr:from>
    <xdr:to>
      <xdr:col>22</xdr:col>
      <xdr:colOff>304800</xdr:colOff>
      <xdr:row>209</xdr:row>
      <xdr:rowOff>53340</xdr:rowOff>
    </xdr:to>
    <xdr:sp macro="" textlink="">
      <xdr:nvSpPr>
        <xdr:cNvPr id="7880" name="AutoShape 136" descr="https://www.soccerstats.com/img/own/sshplogo.png">
          <a:hlinkClick xmlns:r="http://schemas.openxmlformats.org/officeDocument/2006/relationships" r:id="rId68"/>
        </xdr:cNvPr>
        <xdr:cNvSpPr>
          <a:spLocks noChangeAspect="1" noChangeArrowheads="1"/>
        </xdr:cNvSpPr>
      </xdr:nvSpPr>
      <xdr:spPr bwMode="auto">
        <a:xfrm>
          <a:off x="13411200" y="42336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152400</xdr:colOff>
      <xdr:row>209</xdr:row>
      <xdr:rowOff>106680</xdr:rowOff>
    </xdr:to>
    <xdr:sp macro="" textlink="">
      <xdr:nvSpPr>
        <xdr:cNvPr id="7881" name="AutoShape 137" descr="ARGENTINA3"/>
        <xdr:cNvSpPr>
          <a:spLocks noChangeAspect="1" noChangeArrowheads="1"/>
        </xdr:cNvSpPr>
      </xdr:nvSpPr>
      <xdr:spPr bwMode="auto">
        <a:xfrm>
          <a:off x="0" y="42588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209</xdr:row>
      <xdr:rowOff>0</xdr:rowOff>
    </xdr:from>
    <xdr:to>
      <xdr:col>22</xdr:col>
      <xdr:colOff>304800</xdr:colOff>
      <xdr:row>210</xdr:row>
      <xdr:rowOff>53340</xdr:rowOff>
    </xdr:to>
    <xdr:sp macro="" textlink="">
      <xdr:nvSpPr>
        <xdr:cNvPr id="7882" name="AutoShape 138" descr="https://www.soccerstats.com/img/own/sshplogo.png">
          <a:hlinkClick xmlns:r="http://schemas.openxmlformats.org/officeDocument/2006/relationships" r:id="rId69"/>
        </xdr:cNvPr>
        <xdr:cNvSpPr>
          <a:spLocks noChangeAspect="1" noChangeArrowheads="1"/>
        </xdr:cNvSpPr>
      </xdr:nvSpPr>
      <xdr:spPr bwMode="auto">
        <a:xfrm>
          <a:off x="13411200" y="42588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152400</xdr:colOff>
      <xdr:row>210</xdr:row>
      <xdr:rowOff>106680</xdr:rowOff>
    </xdr:to>
    <xdr:sp macro="" textlink="">
      <xdr:nvSpPr>
        <xdr:cNvPr id="7883" name="AutoShape 139" descr="ARGENTINA3"/>
        <xdr:cNvSpPr>
          <a:spLocks noChangeAspect="1" noChangeArrowheads="1"/>
        </xdr:cNvSpPr>
      </xdr:nvSpPr>
      <xdr:spPr bwMode="auto">
        <a:xfrm>
          <a:off x="0" y="42839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210</xdr:row>
      <xdr:rowOff>0</xdr:rowOff>
    </xdr:from>
    <xdr:to>
      <xdr:col>22</xdr:col>
      <xdr:colOff>304800</xdr:colOff>
      <xdr:row>211</xdr:row>
      <xdr:rowOff>53340</xdr:rowOff>
    </xdr:to>
    <xdr:sp macro="" textlink="">
      <xdr:nvSpPr>
        <xdr:cNvPr id="7884" name="AutoShape 140" descr="https://www.soccerstats.com/img/own/sshplogo.png">
          <a:hlinkClick xmlns:r="http://schemas.openxmlformats.org/officeDocument/2006/relationships" r:id="rId70"/>
        </xdr:cNvPr>
        <xdr:cNvSpPr>
          <a:spLocks noChangeAspect="1" noChangeArrowheads="1"/>
        </xdr:cNvSpPr>
      </xdr:nvSpPr>
      <xdr:spPr bwMode="auto">
        <a:xfrm>
          <a:off x="13411200" y="42839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152400</xdr:colOff>
      <xdr:row>211</xdr:row>
      <xdr:rowOff>106680</xdr:rowOff>
    </xdr:to>
    <xdr:sp macro="" textlink="">
      <xdr:nvSpPr>
        <xdr:cNvPr id="7885" name="AutoShape 141" descr="ARGENTINA3"/>
        <xdr:cNvSpPr>
          <a:spLocks noChangeAspect="1" noChangeArrowheads="1"/>
        </xdr:cNvSpPr>
      </xdr:nvSpPr>
      <xdr:spPr bwMode="auto">
        <a:xfrm>
          <a:off x="0" y="43091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211</xdr:row>
      <xdr:rowOff>0</xdr:rowOff>
    </xdr:from>
    <xdr:to>
      <xdr:col>22</xdr:col>
      <xdr:colOff>304800</xdr:colOff>
      <xdr:row>212</xdr:row>
      <xdr:rowOff>129540</xdr:rowOff>
    </xdr:to>
    <xdr:sp macro="" textlink="">
      <xdr:nvSpPr>
        <xdr:cNvPr id="7886" name="AutoShape 142" descr="https://www.soccerstats.com/img/own/sshplogo.png">
          <a:hlinkClick xmlns:r="http://schemas.openxmlformats.org/officeDocument/2006/relationships" r:id="rId71"/>
        </xdr:cNvPr>
        <xdr:cNvSpPr>
          <a:spLocks noChangeAspect="1" noChangeArrowheads="1"/>
        </xdr:cNvSpPr>
      </xdr:nvSpPr>
      <xdr:spPr bwMode="auto">
        <a:xfrm>
          <a:off x="13411200" y="43091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152400</xdr:colOff>
      <xdr:row>212</xdr:row>
      <xdr:rowOff>106680</xdr:rowOff>
    </xdr:to>
    <xdr:sp macro="" textlink="">
      <xdr:nvSpPr>
        <xdr:cNvPr id="7887" name="AutoShape 143" descr="ARGENTINA3"/>
        <xdr:cNvSpPr>
          <a:spLocks noChangeAspect="1" noChangeArrowheads="1"/>
        </xdr:cNvSpPr>
      </xdr:nvSpPr>
      <xdr:spPr bwMode="auto">
        <a:xfrm>
          <a:off x="0" y="43266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212</xdr:row>
      <xdr:rowOff>0</xdr:rowOff>
    </xdr:from>
    <xdr:to>
      <xdr:col>22</xdr:col>
      <xdr:colOff>304800</xdr:colOff>
      <xdr:row>213</xdr:row>
      <xdr:rowOff>129540</xdr:rowOff>
    </xdr:to>
    <xdr:sp macro="" textlink="">
      <xdr:nvSpPr>
        <xdr:cNvPr id="7888" name="AutoShape 144" descr="https://www.soccerstats.com/img/own/sshplogo.png">
          <a:hlinkClick xmlns:r="http://schemas.openxmlformats.org/officeDocument/2006/relationships" r:id="rId72"/>
        </xdr:cNvPr>
        <xdr:cNvSpPr>
          <a:spLocks noChangeAspect="1" noChangeArrowheads="1"/>
        </xdr:cNvSpPr>
      </xdr:nvSpPr>
      <xdr:spPr bwMode="auto">
        <a:xfrm>
          <a:off x="13411200" y="43266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152400</xdr:colOff>
      <xdr:row>213</xdr:row>
      <xdr:rowOff>106680</xdr:rowOff>
    </xdr:to>
    <xdr:sp macro="" textlink="">
      <xdr:nvSpPr>
        <xdr:cNvPr id="7889" name="AutoShape 145" descr="ARGENTINA3"/>
        <xdr:cNvSpPr>
          <a:spLocks noChangeAspect="1" noChangeArrowheads="1"/>
        </xdr:cNvSpPr>
      </xdr:nvSpPr>
      <xdr:spPr bwMode="auto">
        <a:xfrm>
          <a:off x="0" y="43441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213</xdr:row>
      <xdr:rowOff>0</xdr:rowOff>
    </xdr:from>
    <xdr:to>
      <xdr:col>22</xdr:col>
      <xdr:colOff>304800</xdr:colOff>
      <xdr:row>214</xdr:row>
      <xdr:rowOff>129540</xdr:rowOff>
    </xdr:to>
    <xdr:sp macro="" textlink="">
      <xdr:nvSpPr>
        <xdr:cNvPr id="7890" name="AutoShape 146" descr="https://www.soccerstats.com/img/own/sshplogo.png">
          <a:hlinkClick xmlns:r="http://schemas.openxmlformats.org/officeDocument/2006/relationships" r:id="rId73"/>
        </xdr:cNvPr>
        <xdr:cNvSpPr>
          <a:spLocks noChangeAspect="1" noChangeArrowheads="1"/>
        </xdr:cNvSpPr>
      </xdr:nvSpPr>
      <xdr:spPr bwMode="auto">
        <a:xfrm>
          <a:off x="13411200" y="43441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152400</xdr:colOff>
      <xdr:row>214</xdr:row>
      <xdr:rowOff>106680</xdr:rowOff>
    </xdr:to>
    <xdr:sp macro="" textlink="">
      <xdr:nvSpPr>
        <xdr:cNvPr id="7891" name="AutoShape 147" descr="ARGENTINA3"/>
        <xdr:cNvSpPr>
          <a:spLocks noChangeAspect="1" noChangeArrowheads="1"/>
        </xdr:cNvSpPr>
      </xdr:nvSpPr>
      <xdr:spPr bwMode="auto">
        <a:xfrm>
          <a:off x="0" y="43616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214</xdr:row>
      <xdr:rowOff>0</xdr:rowOff>
    </xdr:from>
    <xdr:to>
      <xdr:col>22</xdr:col>
      <xdr:colOff>304800</xdr:colOff>
      <xdr:row>215</xdr:row>
      <xdr:rowOff>53340</xdr:rowOff>
    </xdr:to>
    <xdr:sp macro="" textlink="">
      <xdr:nvSpPr>
        <xdr:cNvPr id="7892" name="AutoShape 148" descr="https://www.soccerstats.com/img/own/sshplogo.png">
          <a:hlinkClick xmlns:r="http://schemas.openxmlformats.org/officeDocument/2006/relationships" r:id="rId74"/>
        </xdr:cNvPr>
        <xdr:cNvSpPr>
          <a:spLocks noChangeAspect="1" noChangeArrowheads="1"/>
        </xdr:cNvSpPr>
      </xdr:nvSpPr>
      <xdr:spPr bwMode="auto">
        <a:xfrm>
          <a:off x="13411200" y="43616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152400</xdr:colOff>
      <xdr:row>215</xdr:row>
      <xdr:rowOff>106680</xdr:rowOff>
    </xdr:to>
    <xdr:sp macro="" textlink="">
      <xdr:nvSpPr>
        <xdr:cNvPr id="7893" name="AutoShape 149" descr="ARGENTINA3"/>
        <xdr:cNvSpPr>
          <a:spLocks noChangeAspect="1" noChangeArrowheads="1"/>
        </xdr:cNvSpPr>
      </xdr:nvSpPr>
      <xdr:spPr bwMode="auto">
        <a:xfrm>
          <a:off x="0" y="43868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215</xdr:row>
      <xdr:rowOff>0</xdr:rowOff>
    </xdr:from>
    <xdr:to>
      <xdr:col>22</xdr:col>
      <xdr:colOff>304800</xdr:colOff>
      <xdr:row>216</xdr:row>
      <xdr:rowOff>129540</xdr:rowOff>
    </xdr:to>
    <xdr:sp macro="" textlink="">
      <xdr:nvSpPr>
        <xdr:cNvPr id="7894" name="AutoShape 150" descr="https://www.soccerstats.com/img/own/sshplogo.png">
          <a:hlinkClick xmlns:r="http://schemas.openxmlformats.org/officeDocument/2006/relationships" r:id="rId75"/>
        </xdr:cNvPr>
        <xdr:cNvSpPr>
          <a:spLocks noChangeAspect="1" noChangeArrowheads="1"/>
        </xdr:cNvSpPr>
      </xdr:nvSpPr>
      <xdr:spPr bwMode="auto">
        <a:xfrm>
          <a:off x="13411200" y="4386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152400</xdr:colOff>
      <xdr:row>216</xdr:row>
      <xdr:rowOff>106680</xdr:rowOff>
    </xdr:to>
    <xdr:sp macro="" textlink="">
      <xdr:nvSpPr>
        <xdr:cNvPr id="7895" name="AutoShape 151" descr="ARMENIA"/>
        <xdr:cNvSpPr>
          <a:spLocks noChangeAspect="1" noChangeArrowheads="1"/>
        </xdr:cNvSpPr>
      </xdr:nvSpPr>
      <xdr:spPr bwMode="auto">
        <a:xfrm>
          <a:off x="0" y="44043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216</xdr:row>
      <xdr:rowOff>0</xdr:rowOff>
    </xdr:from>
    <xdr:to>
      <xdr:col>22</xdr:col>
      <xdr:colOff>304800</xdr:colOff>
      <xdr:row>217</xdr:row>
      <xdr:rowOff>53340</xdr:rowOff>
    </xdr:to>
    <xdr:sp macro="" textlink="">
      <xdr:nvSpPr>
        <xdr:cNvPr id="7896" name="AutoShape 152" descr="https://www.soccerstats.com/img/own/sshplogo.png">
          <a:hlinkClick xmlns:r="http://schemas.openxmlformats.org/officeDocument/2006/relationships" r:id="rId76"/>
        </xdr:cNvPr>
        <xdr:cNvSpPr>
          <a:spLocks noChangeAspect="1" noChangeArrowheads="1"/>
        </xdr:cNvSpPr>
      </xdr:nvSpPr>
      <xdr:spPr bwMode="auto">
        <a:xfrm>
          <a:off x="13411200" y="44043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152400</xdr:colOff>
      <xdr:row>217</xdr:row>
      <xdr:rowOff>106680</xdr:rowOff>
    </xdr:to>
    <xdr:sp macro="" textlink="">
      <xdr:nvSpPr>
        <xdr:cNvPr id="7897" name="AutoShape 153" descr="ARMENIA"/>
        <xdr:cNvSpPr>
          <a:spLocks noChangeAspect="1" noChangeArrowheads="1"/>
        </xdr:cNvSpPr>
      </xdr:nvSpPr>
      <xdr:spPr bwMode="auto">
        <a:xfrm>
          <a:off x="0" y="4429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217</xdr:row>
      <xdr:rowOff>0</xdr:rowOff>
    </xdr:from>
    <xdr:to>
      <xdr:col>22</xdr:col>
      <xdr:colOff>304800</xdr:colOff>
      <xdr:row>218</xdr:row>
      <xdr:rowOff>53340</xdr:rowOff>
    </xdr:to>
    <xdr:sp macro="" textlink="">
      <xdr:nvSpPr>
        <xdr:cNvPr id="7898" name="AutoShape 154" descr="https://www.soccerstats.com/img/own/sshplogo.png">
          <a:hlinkClick xmlns:r="http://schemas.openxmlformats.org/officeDocument/2006/relationships" r:id="rId77"/>
        </xdr:cNvPr>
        <xdr:cNvSpPr>
          <a:spLocks noChangeAspect="1" noChangeArrowheads="1"/>
        </xdr:cNvSpPr>
      </xdr:nvSpPr>
      <xdr:spPr bwMode="auto">
        <a:xfrm>
          <a:off x="13411200" y="4429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152400</xdr:colOff>
      <xdr:row>218</xdr:row>
      <xdr:rowOff>106680</xdr:rowOff>
    </xdr:to>
    <xdr:sp macro="" textlink="">
      <xdr:nvSpPr>
        <xdr:cNvPr id="7899" name="AutoShape 155" descr="AUSTRALIA3"/>
        <xdr:cNvSpPr>
          <a:spLocks noChangeAspect="1" noChangeArrowheads="1"/>
        </xdr:cNvSpPr>
      </xdr:nvSpPr>
      <xdr:spPr bwMode="auto">
        <a:xfrm>
          <a:off x="0" y="44546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218</xdr:row>
      <xdr:rowOff>0</xdr:rowOff>
    </xdr:from>
    <xdr:to>
      <xdr:col>22</xdr:col>
      <xdr:colOff>304800</xdr:colOff>
      <xdr:row>219</xdr:row>
      <xdr:rowOff>53340</xdr:rowOff>
    </xdr:to>
    <xdr:sp macro="" textlink="">
      <xdr:nvSpPr>
        <xdr:cNvPr id="7900" name="AutoShape 156" descr="https://www.soccerstats.com/img/own/sshplogo.png">
          <a:hlinkClick xmlns:r="http://schemas.openxmlformats.org/officeDocument/2006/relationships" r:id="rId78"/>
        </xdr:cNvPr>
        <xdr:cNvSpPr>
          <a:spLocks noChangeAspect="1" noChangeArrowheads="1"/>
        </xdr:cNvSpPr>
      </xdr:nvSpPr>
      <xdr:spPr bwMode="auto">
        <a:xfrm>
          <a:off x="13411200" y="44546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152400</xdr:colOff>
      <xdr:row>219</xdr:row>
      <xdr:rowOff>106680</xdr:rowOff>
    </xdr:to>
    <xdr:sp macro="" textlink="">
      <xdr:nvSpPr>
        <xdr:cNvPr id="7901" name="AutoShape 157" descr="AUSTRALIA3"/>
        <xdr:cNvSpPr>
          <a:spLocks noChangeAspect="1" noChangeArrowheads="1"/>
        </xdr:cNvSpPr>
      </xdr:nvSpPr>
      <xdr:spPr bwMode="auto">
        <a:xfrm>
          <a:off x="0" y="44797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219</xdr:row>
      <xdr:rowOff>0</xdr:rowOff>
    </xdr:from>
    <xdr:to>
      <xdr:col>22</xdr:col>
      <xdr:colOff>304800</xdr:colOff>
      <xdr:row>220</xdr:row>
      <xdr:rowOff>53340</xdr:rowOff>
    </xdr:to>
    <xdr:sp macro="" textlink="">
      <xdr:nvSpPr>
        <xdr:cNvPr id="7902" name="AutoShape 158" descr="https://www.soccerstats.com/img/own/sshplogo.png">
          <a:hlinkClick xmlns:r="http://schemas.openxmlformats.org/officeDocument/2006/relationships" r:id="rId79"/>
        </xdr:cNvPr>
        <xdr:cNvSpPr>
          <a:spLocks noChangeAspect="1" noChangeArrowheads="1"/>
        </xdr:cNvSpPr>
      </xdr:nvSpPr>
      <xdr:spPr bwMode="auto">
        <a:xfrm>
          <a:off x="13411200" y="44797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152400</xdr:colOff>
      <xdr:row>220</xdr:row>
      <xdr:rowOff>106680</xdr:rowOff>
    </xdr:to>
    <xdr:sp macro="" textlink="">
      <xdr:nvSpPr>
        <xdr:cNvPr id="7903" name="AutoShape 159" descr="AUSTRALIA3"/>
        <xdr:cNvSpPr>
          <a:spLocks noChangeAspect="1" noChangeArrowheads="1"/>
        </xdr:cNvSpPr>
      </xdr:nvSpPr>
      <xdr:spPr bwMode="auto">
        <a:xfrm>
          <a:off x="0" y="45049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220</xdr:row>
      <xdr:rowOff>0</xdr:rowOff>
    </xdr:from>
    <xdr:to>
      <xdr:col>22</xdr:col>
      <xdr:colOff>304800</xdr:colOff>
      <xdr:row>221</xdr:row>
      <xdr:rowOff>129540</xdr:rowOff>
    </xdr:to>
    <xdr:sp macro="" textlink="">
      <xdr:nvSpPr>
        <xdr:cNvPr id="7904" name="AutoShape 160" descr="https://www.soccerstats.com/img/own/sshplogo.png">
          <a:hlinkClick xmlns:r="http://schemas.openxmlformats.org/officeDocument/2006/relationships" r:id="rId80"/>
        </xdr:cNvPr>
        <xdr:cNvSpPr>
          <a:spLocks noChangeAspect="1" noChangeArrowheads="1"/>
        </xdr:cNvSpPr>
      </xdr:nvSpPr>
      <xdr:spPr bwMode="auto">
        <a:xfrm>
          <a:off x="13411200" y="45049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152400</xdr:colOff>
      <xdr:row>221</xdr:row>
      <xdr:rowOff>106680</xdr:rowOff>
    </xdr:to>
    <xdr:sp macro="" textlink="">
      <xdr:nvSpPr>
        <xdr:cNvPr id="7905" name="AutoShape 161" descr="AUSTRALIA5"/>
        <xdr:cNvSpPr>
          <a:spLocks noChangeAspect="1" noChangeArrowheads="1"/>
        </xdr:cNvSpPr>
      </xdr:nvSpPr>
      <xdr:spPr bwMode="auto">
        <a:xfrm>
          <a:off x="0" y="45224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221</xdr:row>
      <xdr:rowOff>0</xdr:rowOff>
    </xdr:from>
    <xdr:to>
      <xdr:col>22</xdr:col>
      <xdr:colOff>304800</xdr:colOff>
      <xdr:row>222</xdr:row>
      <xdr:rowOff>129540</xdr:rowOff>
    </xdr:to>
    <xdr:sp macro="" textlink="">
      <xdr:nvSpPr>
        <xdr:cNvPr id="7906" name="AutoShape 162" descr="https://www.soccerstats.com/img/own/sshplogo.png">
          <a:hlinkClick xmlns:r="http://schemas.openxmlformats.org/officeDocument/2006/relationships" r:id="rId81"/>
        </xdr:cNvPr>
        <xdr:cNvSpPr>
          <a:spLocks noChangeAspect="1" noChangeArrowheads="1"/>
        </xdr:cNvSpPr>
      </xdr:nvSpPr>
      <xdr:spPr bwMode="auto">
        <a:xfrm>
          <a:off x="13411200" y="4522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152400</xdr:colOff>
      <xdr:row>222</xdr:row>
      <xdr:rowOff>106680</xdr:rowOff>
    </xdr:to>
    <xdr:sp macro="" textlink="">
      <xdr:nvSpPr>
        <xdr:cNvPr id="7907" name="AutoShape 163" descr="AUSTRALIA5"/>
        <xdr:cNvSpPr>
          <a:spLocks noChangeAspect="1" noChangeArrowheads="1"/>
        </xdr:cNvSpPr>
      </xdr:nvSpPr>
      <xdr:spPr bwMode="auto">
        <a:xfrm>
          <a:off x="0" y="45399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222</xdr:row>
      <xdr:rowOff>0</xdr:rowOff>
    </xdr:from>
    <xdr:to>
      <xdr:col>22</xdr:col>
      <xdr:colOff>304800</xdr:colOff>
      <xdr:row>223</xdr:row>
      <xdr:rowOff>129540</xdr:rowOff>
    </xdr:to>
    <xdr:sp macro="" textlink="">
      <xdr:nvSpPr>
        <xdr:cNvPr id="7908" name="AutoShape 164" descr="https://www.soccerstats.com/img/own/sshplogo.png">
          <a:hlinkClick xmlns:r="http://schemas.openxmlformats.org/officeDocument/2006/relationships" r:id="rId82"/>
        </xdr:cNvPr>
        <xdr:cNvSpPr>
          <a:spLocks noChangeAspect="1" noChangeArrowheads="1"/>
        </xdr:cNvSpPr>
      </xdr:nvSpPr>
      <xdr:spPr bwMode="auto">
        <a:xfrm>
          <a:off x="13411200" y="45399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152400</xdr:colOff>
      <xdr:row>223</xdr:row>
      <xdr:rowOff>106680</xdr:rowOff>
    </xdr:to>
    <xdr:sp macro="" textlink="">
      <xdr:nvSpPr>
        <xdr:cNvPr id="7909" name="AutoShape 165" descr="AUSTRALIA5"/>
        <xdr:cNvSpPr>
          <a:spLocks noChangeAspect="1" noChangeArrowheads="1"/>
        </xdr:cNvSpPr>
      </xdr:nvSpPr>
      <xdr:spPr bwMode="auto">
        <a:xfrm>
          <a:off x="0" y="45575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223</xdr:row>
      <xdr:rowOff>0</xdr:rowOff>
    </xdr:from>
    <xdr:to>
      <xdr:col>22</xdr:col>
      <xdr:colOff>304800</xdr:colOff>
      <xdr:row>224</xdr:row>
      <xdr:rowOff>53340</xdr:rowOff>
    </xdr:to>
    <xdr:sp macro="" textlink="">
      <xdr:nvSpPr>
        <xdr:cNvPr id="7910" name="AutoShape 166" descr="https://www.soccerstats.com/img/own/sshplogo.png">
          <a:hlinkClick xmlns:r="http://schemas.openxmlformats.org/officeDocument/2006/relationships" r:id="rId83"/>
        </xdr:cNvPr>
        <xdr:cNvSpPr>
          <a:spLocks noChangeAspect="1" noChangeArrowheads="1"/>
        </xdr:cNvSpPr>
      </xdr:nvSpPr>
      <xdr:spPr bwMode="auto">
        <a:xfrm>
          <a:off x="13411200" y="45575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152400</xdr:colOff>
      <xdr:row>224</xdr:row>
      <xdr:rowOff>106680</xdr:rowOff>
    </xdr:to>
    <xdr:sp macro="" textlink="">
      <xdr:nvSpPr>
        <xdr:cNvPr id="7911" name="AutoShape 167" descr="AUSTRALIA5"/>
        <xdr:cNvSpPr>
          <a:spLocks noChangeAspect="1" noChangeArrowheads="1"/>
        </xdr:cNvSpPr>
      </xdr:nvSpPr>
      <xdr:spPr bwMode="auto">
        <a:xfrm>
          <a:off x="0" y="45826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224</xdr:row>
      <xdr:rowOff>0</xdr:rowOff>
    </xdr:from>
    <xdr:to>
      <xdr:col>22</xdr:col>
      <xdr:colOff>304800</xdr:colOff>
      <xdr:row>225</xdr:row>
      <xdr:rowOff>129540</xdr:rowOff>
    </xdr:to>
    <xdr:sp macro="" textlink="">
      <xdr:nvSpPr>
        <xdr:cNvPr id="7912" name="AutoShape 168" descr="https://www.soccerstats.com/img/own/sshplogo.png">
          <a:hlinkClick xmlns:r="http://schemas.openxmlformats.org/officeDocument/2006/relationships" r:id="rId84"/>
        </xdr:cNvPr>
        <xdr:cNvSpPr>
          <a:spLocks noChangeAspect="1" noChangeArrowheads="1"/>
        </xdr:cNvSpPr>
      </xdr:nvSpPr>
      <xdr:spPr bwMode="auto">
        <a:xfrm>
          <a:off x="13411200" y="45826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152400</xdr:colOff>
      <xdr:row>225</xdr:row>
      <xdr:rowOff>106680</xdr:rowOff>
    </xdr:to>
    <xdr:sp macro="" textlink="">
      <xdr:nvSpPr>
        <xdr:cNvPr id="7913" name="AutoShape 169" descr="AUSTRALIA5"/>
        <xdr:cNvSpPr>
          <a:spLocks noChangeAspect="1" noChangeArrowheads="1"/>
        </xdr:cNvSpPr>
      </xdr:nvSpPr>
      <xdr:spPr bwMode="auto">
        <a:xfrm>
          <a:off x="0" y="46001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225</xdr:row>
      <xdr:rowOff>0</xdr:rowOff>
    </xdr:from>
    <xdr:to>
      <xdr:col>22</xdr:col>
      <xdr:colOff>304800</xdr:colOff>
      <xdr:row>226</xdr:row>
      <xdr:rowOff>53340</xdr:rowOff>
    </xdr:to>
    <xdr:sp macro="" textlink="">
      <xdr:nvSpPr>
        <xdr:cNvPr id="7914" name="AutoShape 170" descr="https://www.soccerstats.com/img/own/sshplogo.png">
          <a:hlinkClick xmlns:r="http://schemas.openxmlformats.org/officeDocument/2006/relationships" r:id="rId85"/>
        </xdr:cNvPr>
        <xdr:cNvSpPr>
          <a:spLocks noChangeAspect="1" noChangeArrowheads="1"/>
        </xdr:cNvSpPr>
      </xdr:nvSpPr>
      <xdr:spPr bwMode="auto">
        <a:xfrm>
          <a:off x="13411200" y="46001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152400</xdr:colOff>
      <xdr:row>226</xdr:row>
      <xdr:rowOff>106680</xdr:rowOff>
    </xdr:to>
    <xdr:sp macro="" textlink="">
      <xdr:nvSpPr>
        <xdr:cNvPr id="7915" name="AutoShape 171" descr="AUSTRALIA6"/>
        <xdr:cNvSpPr>
          <a:spLocks noChangeAspect="1" noChangeArrowheads="1"/>
        </xdr:cNvSpPr>
      </xdr:nvSpPr>
      <xdr:spPr bwMode="auto">
        <a:xfrm>
          <a:off x="0" y="46253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226</xdr:row>
      <xdr:rowOff>0</xdr:rowOff>
    </xdr:from>
    <xdr:to>
      <xdr:col>22</xdr:col>
      <xdr:colOff>304800</xdr:colOff>
      <xdr:row>227</xdr:row>
      <xdr:rowOff>129540</xdr:rowOff>
    </xdr:to>
    <xdr:sp macro="" textlink="">
      <xdr:nvSpPr>
        <xdr:cNvPr id="7916" name="AutoShape 172" descr="https://www.soccerstats.com/img/own/sshplogo.png">
          <a:hlinkClick xmlns:r="http://schemas.openxmlformats.org/officeDocument/2006/relationships" r:id="rId86"/>
        </xdr:cNvPr>
        <xdr:cNvSpPr>
          <a:spLocks noChangeAspect="1" noChangeArrowheads="1"/>
        </xdr:cNvSpPr>
      </xdr:nvSpPr>
      <xdr:spPr bwMode="auto">
        <a:xfrm>
          <a:off x="13411200" y="4625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152400</xdr:colOff>
      <xdr:row>227</xdr:row>
      <xdr:rowOff>106680</xdr:rowOff>
    </xdr:to>
    <xdr:sp macro="" textlink="">
      <xdr:nvSpPr>
        <xdr:cNvPr id="7917" name="AutoShape 173" descr="AUSTRALIA6"/>
        <xdr:cNvSpPr>
          <a:spLocks noChangeAspect="1" noChangeArrowheads="1"/>
        </xdr:cNvSpPr>
      </xdr:nvSpPr>
      <xdr:spPr bwMode="auto">
        <a:xfrm>
          <a:off x="0" y="46428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227</xdr:row>
      <xdr:rowOff>0</xdr:rowOff>
    </xdr:from>
    <xdr:to>
      <xdr:col>22</xdr:col>
      <xdr:colOff>304800</xdr:colOff>
      <xdr:row>228</xdr:row>
      <xdr:rowOff>53340</xdr:rowOff>
    </xdr:to>
    <xdr:sp macro="" textlink="">
      <xdr:nvSpPr>
        <xdr:cNvPr id="7918" name="AutoShape 174" descr="https://www.soccerstats.com/img/own/sshplogo.png">
          <a:hlinkClick xmlns:r="http://schemas.openxmlformats.org/officeDocument/2006/relationships" r:id="rId87"/>
        </xdr:cNvPr>
        <xdr:cNvSpPr>
          <a:spLocks noChangeAspect="1" noChangeArrowheads="1"/>
        </xdr:cNvSpPr>
      </xdr:nvSpPr>
      <xdr:spPr bwMode="auto">
        <a:xfrm>
          <a:off x="13411200" y="46428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152400</xdr:colOff>
      <xdr:row>228</xdr:row>
      <xdr:rowOff>106680</xdr:rowOff>
    </xdr:to>
    <xdr:sp macro="" textlink="">
      <xdr:nvSpPr>
        <xdr:cNvPr id="7919" name="AutoShape 175" descr="AUSTRALIA6"/>
        <xdr:cNvSpPr>
          <a:spLocks noChangeAspect="1" noChangeArrowheads="1"/>
        </xdr:cNvSpPr>
      </xdr:nvSpPr>
      <xdr:spPr bwMode="auto">
        <a:xfrm>
          <a:off x="0" y="46680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228</xdr:row>
      <xdr:rowOff>0</xdr:rowOff>
    </xdr:from>
    <xdr:to>
      <xdr:col>22</xdr:col>
      <xdr:colOff>304800</xdr:colOff>
      <xdr:row>229</xdr:row>
      <xdr:rowOff>53340</xdr:rowOff>
    </xdr:to>
    <xdr:sp macro="" textlink="">
      <xdr:nvSpPr>
        <xdr:cNvPr id="7920" name="AutoShape 176" descr="https://www.soccerstats.com/img/own/sshplogo.png">
          <a:hlinkClick xmlns:r="http://schemas.openxmlformats.org/officeDocument/2006/relationships" r:id="rId88"/>
        </xdr:cNvPr>
        <xdr:cNvSpPr>
          <a:spLocks noChangeAspect="1" noChangeArrowheads="1"/>
        </xdr:cNvSpPr>
      </xdr:nvSpPr>
      <xdr:spPr bwMode="auto">
        <a:xfrm>
          <a:off x="13411200" y="46680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152400</xdr:colOff>
      <xdr:row>229</xdr:row>
      <xdr:rowOff>106680</xdr:rowOff>
    </xdr:to>
    <xdr:sp macro="" textlink="">
      <xdr:nvSpPr>
        <xdr:cNvPr id="7921" name="AutoShape 177" descr="AUSTRALIA6"/>
        <xdr:cNvSpPr>
          <a:spLocks noChangeAspect="1" noChangeArrowheads="1"/>
        </xdr:cNvSpPr>
      </xdr:nvSpPr>
      <xdr:spPr bwMode="auto">
        <a:xfrm>
          <a:off x="0" y="46931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229</xdr:row>
      <xdr:rowOff>0</xdr:rowOff>
    </xdr:from>
    <xdr:to>
      <xdr:col>22</xdr:col>
      <xdr:colOff>304800</xdr:colOff>
      <xdr:row>230</xdr:row>
      <xdr:rowOff>53340</xdr:rowOff>
    </xdr:to>
    <xdr:sp macro="" textlink="">
      <xdr:nvSpPr>
        <xdr:cNvPr id="7922" name="AutoShape 178" descr="https://www.soccerstats.com/img/own/sshplogo.png">
          <a:hlinkClick xmlns:r="http://schemas.openxmlformats.org/officeDocument/2006/relationships" r:id="rId89"/>
        </xdr:cNvPr>
        <xdr:cNvSpPr>
          <a:spLocks noChangeAspect="1" noChangeArrowheads="1"/>
        </xdr:cNvSpPr>
      </xdr:nvSpPr>
      <xdr:spPr bwMode="auto">
        <a:xfrm>
          <a:off x="13411200" y="46931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152400</xdr:colOff>
      <xdr:row>230</xdr:row>
      <xdr:rowOff>106680</xdr:rowOff>
    </xdr:to>
    <xdr:sp macro="" textlink="">
      <xdr:nvSpPr>
        <xdr:cNvPr id="7923" name="AutoShape 179" descr="AUSTRALIA6"/>
        <xdr:cNvSpPr>
          <a:spLocks noChangeAspect="1" noChangeArrowheads="1"/>
        </xdr:cNvSpPr>
      </xdr:nvSpPr>
      <xdr:spPr bwMode="auto">
        <a:xfrm>
          <a:off x="0" y="47183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230</xdr:row>
      <xdr:rowOff>0</xdr:rowOff>
    </xdr:from>
    <xdr:to>
      <xdr:col>22</xdr:col>
      <xdr:colOff>304800</xdr:colOff>
      <xdr:row>231</xdr:row>
      <xdr:rowOff>53340</xdr:rowOff>
    </xdr:to>
    <xdr:sp macro="" textlink="">
      <xdr:nvSpPr>
        <xdr:cNvPr id="7924" name="AutoShape 180" descr="https://www.soccerstats.com/img/own/sshplogo.png">
          <a:hlinkClick xmlns:r="http://schemas.openxmlformats.org/officeDocument/2006/relationships" r:id="rId90"/>
        </xdr:cNvPr>
        <xdr:cNvSpPr>
          <a:spLocks noChangeAspect="1" noChangeArrowheads="1"/>
        </xdr:cNvSpPr>
      </xdr:nvSpPr>
      <xdr:spPr bwMode="auto">
        <a:xfrm>
          <a:off x="13411200" y="47183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152400</xdr:colOff>
      <xdr:row>231</xdr:row>
      <xdr:rowOff>106680</xdr:rowOff>
    </xdr:to>
    <xdr:sp macro="" textlink="">
      <xdr:nvSpPr>
        <xdr:cNvPr id="7925" name="AutoShape 181" descr="AUSTRALIA6"/>
        <xdr:cNvSpPr>
          <a:spLocks noChangeAspect="1" noChangeArrowheads="1"/>
        </xdr:cNvSpPr>
      </xdr:nvSpPr>
      <xdr:spPr bwMode="auto">
        <a:xfrm>
          <a:off x="0" y="47434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231</xdr:row>
      <xdr:rowOff>0</xdr:rowOff>
    </xdr:from>
    <xdr:to>
      <xdr:col>22</xdr:col>
      <xdr:colOff>304800</xdr:colOff>
      <xdr:row>232</xdr:row>
      <xdr:rowOff>53340</xdr:rowOff>
    </xdr:to>
    <xdr:sp macro="" textlink="">
      <xdr:nvSpPr>
        <xdr:cNvPr id="7926" name="AutoShape 182" descr="https://www.soccerstats.com/img/own/sshplogo.png">
          <a:hlinkClick xmlns:r="http://schemas.openxmlformats.org/officeDocument/2006/relationships" r:id="rId91"/>
        </xdr:cNvPr>
        <xdr:cNvSpPr>
          <a:spLocks noChangeAspect="1" noChangeArrowheads="1"/>
        </xdr:cNvSpPr>
      </xdr:nvSpPr>
      <xdr:spPr bwMode="auto">
        <a:xfrm>
          <a:off x="13411200" y="4743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152400</xdr:colOff>
      <xdr:row>232</xdr:row>
      <xdr:rowOff>106680</xdr:rowOff>
    </xdr:to>
    <xdr:sp macro="" textlink="">
      <xdr:nvSpPr>
        <xdr:cNvPr id="7927" name="AutoShape 183" descr="AUSTRALIA10"/>
        <xdr:cNvSpPr>
          <a:spLocks noChangeAspect="1" noChangeArrowheads="1"/>
        </xdr:cNvSpPr>
      </xdr:nvSpPr>
      <xdr:spPr bwMode="auto">
        <a:xfrm>
          <a:off x="0" y="47685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232</xdr:row>
      <xdr:rowOff>0</xdr:rowOff>
    </xdr:from>
    <xdr:to>
      <xdr:col>22</xdr:col>
      <xdr:colOff>304800</xdr:colOff>
      <xdr:row>233</xdr:row>
      <xdr:rowOff>129540</xdr:rowOff>
    </xdr:to>
    <xdr:sp macro="" textlink="">
      <xdr:nvSpPr>
        <xdr:cNvPr id="7928" name="AutoShape 184" descr="https://www.soccerstats.com/img/own/sshplogo.png">
          <a:hlinkClick xmlns:r="http://schemas.openxmlformats.org/officeDocument/2006/relationships" r:id="rId92"/>
        </xdr:cNvPr>
        <xdr:cNvSpPr>
          <a:spLocks noChangeAspect="1" noChangeArrowheads="1"/>
        </xdr:cNvSpPr>
      </xdr:nvSpPr>
      <xdr:spPr bwMode="auto">
        <a:xfrm>
          <a:off x="13411200" y="47685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152400</xdr:colOff>
      <xdr:row>233</xdr:row>
      <xdr:rowOff>106680</xdr:rowOff>
    </xdr:to>
    <xdr:sp macro="" textlink="">
      <xdr:nvSpPr>
        <xdr:cNvPr id="7929" name="AutoShape 185" descr="AUSTRALIA10"/>
        <xdr:cNvSpPr>
          <a:spLocks noChangeAspect="1" noChangeArrowheads="1"/>
        </xdr:cNvSpPr>
      </xdr:nvSpPr>
      <xdr:spPr bwMode="auto">
        <a:xfrm>
          <a:off x="0" y="47861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233</xdr:row>
      <xdr:rowOff>0</xdr:rowOff>
    </xdr:from>
    <xdr:to>
      <xdr:col>22</xdr:col>
      <xdr:colOff>304800</xdr:colOff>
      <xdr:row>234</xdr:row>
      <xdr:rowOff>53340</xdr:rowOff>
    </xdr:to>
    <xdr:sp macro="" textlink="">
      <xdr:nvSpPr>
        <xdr:cNvPr id="7930" name="AutoShape 186" descr="https://www.soccerstats.com/img/own/sshplogo.png">
          <a:hlinkClick xmlns:r="http://schemas.openxmlformats.org/officeDocument/2006/relationships" r:id="rId93"/>
        </xdr:cNvPr>
        <xdr:cNvSpPr>
          <a:spLocks noChangeAspect="1" noChangeArrowheads="1"/>
        </xdr:cNvSpPr>
      </xdr:nvSpPr>
      <xdr:spPr bwMode="auto">
        <a:xfrm>
          <a:off x="13411200" y="47861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152400</xdr:colOff>
      <xdr:row>234</xdr:row>
      <xdr:rowOff>106680</xdr:rowOff>
    </xdr:to>
    <xdr:sp macro="" textlink="">
      <xdr:nvSpPr>
        <xdr:cNvPr id="7931" name="AutoShape 187" descr="AUSTRALIA10"/>
        <xdr:cNvSpPr>
          <a:spLocks noChangeAspect="1" noChangeArrowheads="1"/>
        </xdr:cNvSpPr>
      </xdr:nvSpPr>
      <xdr:spPr bwMode="auto">
        <a:xfrm>
          <a:off x="0" y="48112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234</xdr:row>
      <xdr:rowOff>0</xdr:rowOff>
    </xdr:from>
    <xdr:to>
      <xdr:col>22</xdr:col>
      <xdr:colOff>304800</xdr:colOff>
      <xdr:row>235</xdr:row>
      <xdr:rowOff>53340</xdr:rowOff>
    </xdr:to>
    <xdr:sp macro="" textlink="">
      <xdr:nvSpPr>
        <xdr:cNvPr id="7932" name="AutoShape 188" descr="https://www.soccerstats.com/img/own/sshplogo.png">
          <a:hlinkClick xmlns:r="http://schemas.openxmlformats.org/officeDocument/2006/relationships" r:id="rId94"/>
        </xdr:cNvPr>
        <xdr:cNvSpPr>
          <a:spLocks noChangeAspect="1" noChangeArrowheads="1"/>
        </xdr:cNvSpPr>
      </xdr:nvSpPr>
      <xdr:spPr bwMode="auto">
        <a:xfrm>
          <a:off x="13411200" y="48112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152400</xdr:colOff>
      <xdr:row>235</xdr:row>
      <xdr:rowOff>106680</xdr:rowOff>
    </xdr:to>
    <xdr:sp macro="" textlink="">
      <xdr:nvSpPr>
        <xdr:cNvPr id="7933" name="AutoShape 189" descr="AUSTRALIA11"/>
        <xdr:cNvSpPr>
          <a:spLocks noChangeAspect="1" noChangeArrowheads="1"/>
        </xdr:cNvSpPr>
      </xdr:nvSpPr>
      <xdr:spPr bwMode="auto">
        <a:xfrm>
          <a:off x="0" y="48364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235</xdr:row>
      <xdr:rowOff>0</xdr:rowOff>
    </xdr:from>
    <xdr:to>
      <xdr:col>22</xdr:col>
      <xdr:colOff>304800</xdr:colOff>
      <xdr:row>236</xdr:row>
      <xdr:rowOff>53340</xdr:rowOff>
    </xdr:to>
    <xdr:sp macro="" textlink="">
      <xdr:nvSpPr>
        <xdr:cNvPr id="7934" name="AutoShape 190" descr="https://www.soccerstats.com/img/own/sshplogo.png">
          <a:hlinkClick xmlns:r="http://schemas.openxmlformats.org/officeDocument/2006/relationships" r:id="rId95"/>
        </xdr:cNvPr>
        <xdr:cNvSpPr>
          <a:spLocks noChangeAspect="1" noChangeArrowheads="1"/>
        </xdr:cNvSpPr>
      </xdr:nvSpPr>
      <xdr:spPr bwMode="auto">
        <a:xfrm>
          <a:off x="13411200" y="48364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152400</xdr:colOff>
      <xdr:row>236</xdr:row>
      <xdr:rowOff>106680</xdr:rowOff>
    </xdr:to>
    <xdr:sp macro="" textlink="">
      <xdr:nvSpPr>
        <xdr:cNvPr id="7935" name="AutoShape 191" descr="AUSTRALIA11"/>
        <xdr:cNvSpPr>
          <a:spLocks noChangeAspect="1" noChangeArrowheads="1"/>
        </xdr:cNvSpPr>
      </xdr:nvSpPr>
      <xdr:spPr bwMode="auto">
        <a:xfrm>
          <a:off x="0" y="48615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236</xdr:row>
      <xdr:rowOff>0</xdr:rowOff>
    </xdr:from>
    <xdr:to>
      <xdr:col>22</xdr:col>
      <xdr:colOff>304800</xdr:colOff>
      <xdr:row>237</xdr:row>
      <xdr:rowOff>129540</xdr:rowOff>
    </xdr:to>
    <xdr:sp macro="" textlink="">
      <xdr:nvSpPr>
        <xdr:cNvPr id="7936" name="AutoShape 192" descr="https://www.soccerstats.com/img/own/sshplogo.png">
          <a:hlinkClick xmlns:r="http://schemas.openxmlformats.org/officeDocument/2006/relationships" r:id="rId96"/>
        </xdr:cNvPr>
        <xdr:cNvSpPr>
          <a:spLocks noChangeAspect="1" noChangeArrowheads="1"/>
        </xdr:cNvSpPr>
      </xdr:nvSpPr>
      <xdr:spPr bwMode="auto">
        <a:xfrm>
          <a:off x="13411200" y="48615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152400</xdr:colOff>
      <xdr:row>237</xdr:row>
      <xdr:rowOff>106680</xdr:rowOff>
    </xdr:to>
    <xdr:sp macro="" textlink="">
      <xdr:nvSpPr>
        <xdr:cNvPr id="7937" name="AutoShape 193" descr="AUSTRALIA11"/>
        <xdr:cNvSpPr>
          <a:spLocks noChangeAspect="1" noChangeArrowheads="1"/>
        </xdr:cNvSpPr>
      </xdr:nvSpPr>
      <xdr:spPr bwMode="auto">
        <a:xfrm>
          <a:off x="0" y="48790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237</xdr:row>
      <xdr:rowOff>0</xdr:rowOff>
    </xdr:from>
    <xdr:to>
      <xdr:col>22</xdr:col>
      <xdr:colOff>304800</xdr:colOff>
      <xdr:row>238</xdr:row>
      <xdr:rowOff>53340</xdr:rowOff>
    </xdr:to>
    <xdr:sp macro="" textlink="">
      <xdr:nvSpPr>
        <xdr:cNvPr id="7938" name="AutoShape 194" descr="https://www.soccerstats.com/img/own/sshplogo.png">
          <a:hlinkClick xmlns:r="http://schemas.openxmlformats.org/officeDocument/2006/relationships" r:id="rId97"/>
        </xdr:cNvPr>
        <xdr:cNvSpPr>
          <a:spLocks noChangeAspect="1" noChangeArrowheads="1"/>
        </xdr:cNvSpPr>
      </xdr:nvSpPr>
      <xdr:spPr bwMode="auto">
        <a:xfrm>
          <a:off x="13411200" y="48790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152400</xdr:colOff>
      <xdr:row>238</xdr:row>
      <xdr:rowOff>106680</xdr:rowOff>
    </xdr:to>
    <xdr:sp macro="" textlink="">
      <xdr:nvSpPr>
        <xdr:cNvPr id="7939" name="AutoShape 195" descr="AUSTRALIA11"/>
        <xdr:cNvSpPr>
          <a:spLocks noChangeAspect="1" noChangeArrowheads="1"/>
        </xdr:cNvSpPr>
      </xdr:nvSpPr>
      <xdr:spPr bwMode="auto">
        <a:xfrm>
          <a:off x="0" y="49042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238</xdr:row>
      <xdr:rowOff>0</xdr:rowOff>
    </xdr:from>
    <xdr:to>
      <xdr:col>22</xdr:col>
      <xdr:colOff>304800</xdr:colOff>
      <xdr:row>239</xdr:row>
      <xdr:rowOff>53340</xdr:rowOff>
    </xdr:to>
    <xdr:sp macro="" textlink="">
      <xdr:nvSpPr>
        <xdr:cNvPr id="7940" name="AutoShape 196" descr="https://www.soccerstats.com/img/own/sshplogo.png">
          <a:hlinkClick xmlns:r="http://schemas.openxmlformats.org/officeDocument/2006/relationships" r:id="rId98"/>
        </xdr:cNvPr>
        <xdr:cNvSpPr>
          <a:spLocks noChangeAspect="1" noChangeArrowheads="1"/>
        </xdr:cNvSpPr>
      </xdr:nvSpPr>
      <xdr:spPr bwMode="auto">
        <a:xfrm>
          <a:off x="13411200" y="49042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152400</xdr:colOff>
      <xdr:row>239</xdr:row>
      <xdr:rowOff>106680</xdr:rowOff>
    </xdr:to>
    <xdr:sp macro="" textlink="">
      <xdr:nvSpPr>
        <xdr:cNvPr id="7941" name="AutoShape 197" descr="AUSTRIA"/>
        <xdr:cNvSpPr>
          <a:spLocks noChangeAspect="1" noChangeArrowheads="1"/>
        </xdr:cNvSpPr>
      </xdr:nvSpPr>
      <xdr:spPr bwMode="auto">
        <a:xfrm>
          <a:off x="0" y="49293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239</xdr:row>
      <xdr:rowOff>0</xdr:rowOff>
    </xdr:from>
    <xdr:to>
      <xdr:col>22</xdr:col>
      <xdr:colOff>304800</xdr:colOff>
      <xdr:row>240</xdr:row>
      <xdr:rowOff>53340</xdr:rowOff>
    </xdr:to>
    <xdr:sp macro="" textlink="">
      <xdr:nvSpPr>
        <xdr:cNvPr id="7942" name="AutoShape 198" descr="https://www.soccerstats.com/img/own/sshplogo.png">
          <a:hlinkClick xmlns:r="http://schemas.openxmlformats.org/officeDocument/2006/relationships" r:id="rId99"/>
        </xdr:cNvPr>
        <xdr:cNvSpPr>
          <a:spLocks noChangeAspect="1" noChangeArrowheads="1"/>
        </xdr:cNvSpPr>
      </xdr:nvSpPr>
      <xdr:spPr bwMode="auto">
        <a:xfrm>
          <a:off x="13411200" y="49293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152400</xdr:colOff>
      <xdr:row>240</xdr:row>
      <xdr:rowOff>106680</xdr:rowOff>
    </xdr:to>
    <xdr:sp macro="" textlink="">
      <xdr:nvSpPr>
        <xdr:cNvPr id="7943" name="AutoShape 199" descr="AUSTRIA"/>
        <xdr:cNvSpPr>
          <a:spLocks noChangeAspect="1" noChangeArrowheads="1"/>
        </xdr:cNvSpPr>
      </xdr:nvSpPr>
      <xdr:spPr bwMode="auto">
        <a:xfrm>
          <a:off x="0" y="49545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240</xdr:row>
      <xdr:rowOff>0</xdr:rowOff>
    </xdr:from>
    <xdr:to>
      <xdr:col>22</xdr:col>
      <xdr:colOff>304800</xdr:colOff>
      <xdr:row>241</xdr:row>
      <xdr:rowOff>129540</xdr:rowOff>
    </xdr:to>
    <xdr:sp macro="" textlink="">
      <xdr:nvSpPr>
        <xdr:cNvPr id="7944" name="AutoShape 200" descr="https://www.soccerstats.com/img/own/sshplogo.png">
          <a:hlinkClick xmlns:r="http://schemas.openxmlformats.org/officeDocument/2006/relationships" r:id="rId100"/>
        </xdr:cNvPr>
        <xdr:cNvSpPr>
          <a:spLocks noChangeAspect="1" noChangeArrowheads="1"/>
        </xdr:cNvSpPr>
      </xdr:nvSpPr>
      <xdr:spPr bwMode="auto">
        <a:xfrm>
          <a:off x="13411200" y="49545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152400</xdr:colOff>
      <xdr:row>241</xdr:row>
      <xdr:rowOff>106680</xdr:rowOff>
    </xdr:to>
    <xdr:sp macro="" textlink="">
      <xdr:nvSpPr>
        <xdr:cNvPr id="7945" name="AutoShape 201" descr="AUSTRIA2"/>
        <xdr:cNvSpPr>
          <a:spLocks noChangeAspect="1" noChangeArrowheads="1"/>
        </xdr:cNvSpPr>
      </xdr:nvSpPr>
      <xdr:spPr bwMode="auto">
        <a:xfrm>
          <a:off x="0" y="49720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241</xdr:row>
      <xdr:rowOff>0</xdr:rowOff>
    </xdr:from>
    <xdr:to>
      <xdr:col>22</xdr:col>
      <xdr:colOff>304800</xdr:colOff>
      <xdr:row>242</xdr:row>
      <xdr:rowOff>129540</xdr:rowOff>
    </xdr:to>
    <xdr:sp macro="" textlink="">
      <xdr:nvSpPr>
        <xdr:cNvPr id="7946" name="AutoShape 202" descr="https://www.soccerstats.com/img/own/sshplogo.png">
          <a:hlinkClick xmlns:r="http://schemas.openxmlformats.org/officeDocument/2006/relationships" r:id="rId101"/>
        </xdr:cNvPr>
        <xdr:cNvSpPr>
          <a:spLocks noChangeAspect="1" noChangeArrowheads="1"/>
        </xdr:cNvSpPr>
      </xdr:nvSpPr>
      <xdr:spPr bwMode="auto">
        <a:xfrm>
          <a:off x="13411200" y="4972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152400</xdr:colOff>
      <xdr:row>242</xdr:row>
      <xdr:rowOff>106680</xdr:rowOff>
    </xdr:to>
    <xdr:sp macro="" textlink="">
      <xdr:nvSpPr>
        <xdr:cNvPr id="7947" name="AutoShape 203" descr="AUSTRIA2"/>
        <xdr:cNvSpPr>
          <a:spLocks noChangeAspect="1" noChangeArrowheads="1"/>
        </xdr:cNvSpPr>
      </xdr:nvSpPr>
      <xdr:spPr bwMode="auto">
        <a:xfrm>
          <a:off x="0" y="49895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242</xdr:row>
      <xdr:rowOff>0</xdr:rowOff>
    </xdr:from>
    <xdr:to>
      <xdr:col>22</xdr:col>
      <xdr:colOff>304800</xdr:colOff>
      <xdr:row>243</xdr:row>
      <xdr:rowOff>53340</xdr:rowOff>
    </xdr:to>
    <xdr:sp macro="" textlink="">
      <xdr:nvSpPr>
        <xdr:cNvPr id="7948" name="AutoShape 204" descr="https://www.soccerstats.com/img/own/sshplogo.png">
          <a:hlinkClick xmlns:r="http://schemas.openxmlformats.org/officeDocument/2006/relationships" r:id="rId102"/>
        </xdr:cNvPr>
        <xdr:cNvSpPr>
          <a:spLocks noChangeAspect="1" noChangeArrowheads="1"/>
        </xdr:cNvSpPr>
      </xdr:nvSpPr>
      <xdr:spPr bwMode="auto">
        <a:xfrm>
          <a:off x="13411200" y="49895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152400</xdr:colOff>
      <xdr:row>243</xdr:row>
      <xdr:rowOff>106680</xdr:rowOff>
    </xdr:to>
    <xdr:sp macro="" textlink="">
      <xdr:nvSpPr>
        <xdr:cNvPr id="7949" name="AutoShape 205" descr="AUSTRIA2"/>
        <xdr:cNvSpPr>
          <a:spLocks noChangeAspect="1" noChangeArrowheads="1"/>
        </xdr:cNvSpPr>
      </xdr:nvSpPr>
      <xdr:spPr bwMode="auto">
        <a:xfrm>
          <a:off x="0" y="50147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243</xdr:row>
      <xdr:rowOff>0</xdr:rowOff>
    </xdr:from>
    <xdr:to>
      <xdr:col>22</xdr:col>
      <xdr:colOff>304800</xdr:colOff>
      <xdr:row>244</xdr:row>
      <xdr:rowOff>53340</xdr:rowOff>
    </xdr:to>
    <xdr:sp macro="" textlink="">
      <xdr:nvSpPr>
        <xdr:cNvPr id="7950" name="AutoShape 206" descr="https://www.soccerstats.com/img/own/sshplogo.png">
          <a:hlinkClick xmlns:r="http://schemas.openxmlformats.org/officeDocument/2006/relationships" r:id="rId103"/>
        </xdr:cNvPr>
        <xdr:cNvSpPr>
          <a:spLocks noChangeAspect="1" noChangeArrowheads="1"/>
        </xdr:cNvSpPr>
      </xdr:nvSpPr>
      <xdr:spPr bwMode="auto">
        <a:xfrm>
          <a:off x="13411200" y="50147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152400</xdr:colOff>
      <xdr:row>244</xdr:row>
      <xdr:rowOff>106680</xdr:rowOff>
    </xdr:to>
    <xdr:sp macro="" textlink="">
      <xdr:nvSpPr>
        <xdr:cNvPr id="7951" name="AutoShape 207" descr="AUSTRIA2"/>
        <xdr:cNvSpPr>
          <a:spLocks noChangeAspect="1" noChangeArrowheads="1"/>
        </xdr:cNvSpPr>
      </xdr:nvSpPr>
      <xdr:spPr bwMode="auto">
        <a:xfrm>
          <a:off x="0" y="50398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244</xdr:row>
      <xdr:rowOff>0</xdr:rowOff>
    </xdr:from>
    <xdr:to>
      <xdr:col>22</xdr:col>
      <xdr:colOff>304800</xdr:colOff>
      <xdr:row>245</xdr:row>
      <xdr:rowOff>129540</xdr:rowOff>
    </xdr:to>
    <xdr:sp macro="" textlink="">
      <xdr:nvSpPr>
        <xdr:cNvPr id="7952" name="AutoShape 208" descr="https://www.soccerstats.com/img/own/sshplogo.png">
          <a:hlinkClick xmlns:r="http://schemas.openxmlformats.org/officeDocument/2006/relationships" r:id="rId104"/>
        </xdr:cNvPr>
        <xdr:cNvSpPr>
          <a:spLocks noChangeAspect="1" noChangeArrowheads="1"/>
        </xdr:cNvSpPr>
      </xdr:nvSpPr>
      <xdr:spPr bwMode="auto">
        <a:xfrm>
          <a:off x="13411200" y="50398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152400</xdr:colOff>
      <xdr:row>245</xdr:row>
      <xdr:rowOff>106680</xdr:rowOff>
    </xdr:to>
    <xdr:sp macro="" textlink="">
      <xdr:nvSpPr>
        <xdr:cNvPr id="7953" name="AutoShape 209" descr="AUSTRIA2"/>
        <xdr:cNvSpPr>
          <a:spLocks noChangeAspect="1" noChangeArrowheads="1"/>
        </xdr:cNvSpPr>
      </xdr:nvSpPr>
      <xdr:spPr bwMode="auto">
        <a:xfrm>
          <a:off x="0" y="50573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245</xdr:row>
      <xdr:rowOff>0</xdr:rowOff>
    </xdr:from>
    <xdr:to>
      <xdr:col>22</xdr:col>
      <xdr:colOff>304800</xdr:colOff>
      <xdr:row>246</xdr:row>
      <xdr:rowOff>129540</xdr:rowOff>
    </xdr:to>
    <xdr:sp macro="" textlink="">
      <xdr:nvSpPr>
        <xdr:cNvPr id="7954" name="AutoShape 210" descr="https://www.soccerstats.com/img/own/sshplogo.png">
          <a:hlinkClick xmlns:r="http://schemas.openxmlformats.org/officeDocument/2006/relationships" r:id="rId105"/>
        </xdr:cNvPr>
        <xdr:cNvSpPr>
          <a:spLocks noChangeAspect="1" noChangeArrowheads="1"/>
        </xdr:cNvSpPr>
      </xdr:nvSpPr>
      <xdr:spPr bwMode="auto">
        <a:xfrm>
          <a:off x="13411200" y="50573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152400</xdr:colOff>
      <xdr:row>246</xdr:row>
      <xdr:rowOff>106680</xdr:rowOff>
    </xdr:to>
    <xdr:sp macro="" textlink="">
      <xdr:nvSpPr>
        <xdr:cNvPr id="7955" name="AutoShape 211" descr="AZERBAIJAN"/>
        <xdr:cNvSpPr>
          <a:spLocks noChangeAspect="1" noChangeArrowheads="1"/>
        </xdr:cNvSpPr>
      </xdr:nvSpPr>
      <xdr:spPr bwMode="auto">
        <a:xfrm>
          <a:off x="0" y="50749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246</xdr:row>
      <xdr:rowOff>0</xdr:rowOff>
    </xdr:from>
    <xdr:to>
      <xdr:col>22</xdr:col>
      <xdr:colOff>304800</xdr:colOff>
      <xdr:row>247</xdr:row>
      <xdr:rowOff>129540</xdr:rowOff>
    </xdr:to>
    <xdr:sp macro="" textlink="">
      <xdr:nvSpPr>
        <xdr:cNvPr id="7956" name="AutoShape 212" descr="https://www.soccerstats.com/img/own/sshplogo.png">
          <a:hlinkClick xmlns:r="http://schemas.openxmlformats.org/officeDocument/2006/relationships" r:id="rId555"/>
        </xdr:cNvPr>
        <xdr:cNvSpPr>
          <a:spLocks noChangeAspect="1" noChangeArrowheads="1"/>
        </xdr:cNvSpPr>
      </xdr:nvSpPr>
      <xdr:spPr bwMode="auto">
        <a:xfrm>
          <a:off x="13411200" y="507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152400</xdr:colOff>
      <xdr:row>247</xdr:row>
      <xdr:rowOff>106680</xdr:rowOff>
    </xdr:to>
    <xdr:sp macro="" textlink="">
      <xdr:nvSpPr>
        <xdr:cNvPr id="7957" name="AutoShape 213" descr="AZERBAIJAN"/>
        <xdr:cNvSpPr>
          <a:spLocks noChangeAspect="1" noChangeArrowheads="1"/>
        </xdr:cNvSpPr>
      </xdr:nvSpPr>
      <xdr:spPr bwMode="auto">
        <a:xfrm>
          <a:off x="0" y="50924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247</xdr:row>
      <xdr:rowOff>0</xdr:rowOff>
    </xdr:from>
    <xdr:to>
      <xdr:col>22</xdr:col>
      <xdr:colOff>304800</xdr:colOff>
      <xdr:row>248</xdr:row>
      <xdr:rowOff>129540</xdr:rowOff>
    </xdr:to>
    <xdr:sp macro="" textlink="">
      <xdr:nvSpPr>
        <xdr:cNvPr id="7958" name="AutoShape 214" descr="https://www.soccerstats.com/img/own/sshplogo.png">
          <a:hlinkClick xmlns:r="http://schemas.openxmlformats.org/officeDocument/2006/relationships" r:id="rId938"/>
        </xdr:cNvPr>
        <xdr:cNvSpPr>
          <a:spLocks noChangeAspect="1" noChangeArrowheads="1"/>
        </xdr:cNvSpPr>
      </xdr:nvSpPr>
      <xdr:spPr bwMode="auto">
        <a:xfrm>
          <a:off x="13411200" y="50924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152400</xdr:colOff>
      <xdr:row>248</xdr:row>
      <xdr:rowOff>106680</xdr:rowOff>
    </xdr:to>
    <xdr:sp macro="" textlink="">
      <xdr:nvSpPr>
        <xdr:cNvPr id="7959" name="AutoShape 215" descr="BELARUS"/>
        <xdr:cNvSpPr>
          <a:spLocks noChangeAspect="1" noChangeArrowheads="1"/>
        </xdr:cNvSpPr>
      </xdr:nvSpPr>
      <xdr:spPr bwMode="auto">
        <a:xfrm>
          <a:off x="0" y="51099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248</xdr:row>
      <xdr:rowOff>0</xdr:rowOff>
    </xdr:from>
    <xdr:to>
      <xdr:col>22</xdr:col>
      <xdr:colOff>304800</xdr:colOff>
      <xdr:row>249</xdr:row>
      <xdr:rowOff>129540</xdr:rowOff>
    </xdr:to>
    <xdr:sp macro="" textlink="">
      <xdr:nvSpPr>
        <xdr:cNvPr id="7960" name="AutoShape 216" descr="https://www.soccerstats.com/img/own/sshplogo.png">
          <a:hlinkClick xmlns:r="http://schemas.openxmlformats.org/officeDocument/2006/relationships" r:id="rId106"/>
        </xdr:cNvPr>
        <xdr:cNvSpPr>
          <a:spLocks noChangeAspect="1" noChangeArrowheads="1"/>
        </xdr:cNvSpPr>
      </xdr:nvSpPr>
      <xdr:spPr bwMode="auto">
        <a:xfrm>
          <a:off x="13411200" y="51099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152400</xdr:colOff>
      <xdr:row>249</xdr:row>
      <xdr:rowOff>106680</xdr:rowOff>
    </xdr:to>
    <xdr:sp macro="" textlink="">
      <xdr:nvSpPr>
        <xdr:cNvPr id="7961" name="AutoShape 217" descr="BELARUS"/>
        <xdr:cNvSpPr>
          <a:spLocks noChangeAspect="1" noChangeArrowheads="1"/>
        </xdr:cNvSpPr>
      </xdr:nvSpPr>
      <xdr:spPr bwMode="auto">
        <a:xfrm>
          <a:off x="0" y="51274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249</xdr:row>
      <xdr:rowOff>0</xdr:rowOff>
    </xdr:from>
    <xdr:to>
      <xdr:col>22</xdr:col>
      <xdr:colOff>304800</xdr:colOff>
      <xdr:row>250</xdr:row>
      <xdr:rowOff>53340</xdr:rowOff>
    </xdr:to>
    <xdr:sp macro="" textlink="">
      <xdr:nvSpPr>
        <xdr:cNvPr id="7962" name="AutoShape 218" descr="https://www.soccerstats.com/img/own/sshplogo.png">
          <a:hlinkClick xmlns:r="http://schemas.openxmlformats.org/officeDocument/2006/relationships" r:id="rId107"/>
        </xdr:cNvPr>
        <xdr:cNvSpPr>
          <a:spLocks noChangeAspect="1" noChangeArrowheads="1"/>
        </xdr:cNvSpPr>
      </xdr:nvSpPr>
      <xdr:spPr bwMode="auto">
        <a:xfrm>
          <a:off x="13411200" y="51274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152400</xdr:colOff>
      <xdr:row>250</xdr:row>
      <xdr:rowOff>106680</xdr:rowOff>
    </xdr:to>
    <xdr:sp macro="" textlink="">
      <xdr:nvSpPr>
        <xdr:cNvPr id="7963" name="AutoShape 219" descr="BELARUS"/>
        <xdr:cNvSpPr>
          <a:spLocks noChangeAspect="1" noChangeArrowheads="1"/>
        </xdr:cNvSpPr>
      </xdr:nvSpPr>
      <xdr:spPr bwMode="auto">
        <a:xfrm>
          <a:off x="0" y="51526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250</xdr:row>
      <xdr:rowOff>0</xdr:rowOff>
    </xdr:from>
    <xdr:to>
      <xdr:col>22</xdr:col>
      <xdr:colOff>304800</xdr:colOff>
      <xdr:row>251</xdr:row>
      <xdr:rowOff>129540</xdr:rowOff>
    </xdr:to>
    <xdr:sp macro="" textlink="">
      <xdr:nvSpPr>
        <xdr:cNvPr id="7964" name="AutoShape 220" descr="https://www.soccerstats.com/img/own/sshplogo.png">
          <a:hlinkClick xmlns:r="http://schemas.openxmlformats.org/officeDocument/2006/relationships" r:id="rId108"/>
        </xdr:cNvPr>
        <xdr:cNvSpPr>
          <a:spLocks noChangeAspect="1" noChangeArrowheads="1"/>
        </xdr:cNvSpPr>
      </xdr:nvSpPr>
      <xdr:spPr bwMode="auto">
        <a:xfrm>
          <a:off x="13411200" y="51526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152400</xdr:colOff>
      <xdr:row>251</xdr:row>
      <xdr:rowOff>106680</xdr:rowOff>
    </xdr:to>
    <xdr:sp macro="" textlink="">
      <xdr:nvSpPr>
        <xdr:cNvPr id="7965" name="AutoShape 221" descr="BELGIUM"/>
        <xdr:cNvSpPr>
          <a:spLocks noChangeAspect="1" noChangeArrowheads="1"/>
        </xdr:cNvSpPr>
      </xdr:nvSpPr>
      <xdr:spPr bwMode="auto">
        <a:xfrm>
          <a:off x="0" y="51701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251</xdr:row>
      <xdr:rowOff>0</xdr:rowOff>
    </xdr:from>
    <xdr:to>
      <xdr:col>22</xdr:col>
      <xdr:colOff>304800</xdr:colOff>
      <xdr:row>252</xdr:row>
      <xdr:rowOff>53340</xdr:rowOff>
    </xdr:to>
    <xdr:sp macro="" textlink="">
      <xdr:nvSpPr>
        <xdr:cNvPr id="7966" name="AutoShape 222" descr="https://www.soccerstats.com/img/own/sshplogo.png">
          <a:hlinkClick xmlns:r="http://schemas.openxmlformats.org/officeDocument/2006/relationships" r:id="rId109"/>
        </xdr:cNvPr>
        <xdr:cNvSpPr>
          <a:spLocks noChangeAspect="1" noChangeArrowheads="1"/>
        </xdr:cNvSpPr>
      </xdr:nvSpPr>
      <xdr:spPr bwMode="auto">
        <a:xfrm>
          <a:off x="13411200" y="5170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152400</xdr:colOff>
      <xdr:row>252</xdr:row>
      <xdr:rowOff>106680</xdr:rowOff>
    </xdr:to>
    <xdr:sp macro="" textlink="">
      <xdr:nvSpPr>
        <xdr:cNvPr id="7967" name="AutoShape 223" descr="BELGIUM"/>
        <xdr:cNvSpPr>
          <a:spLocks noChangeAspect="1" noChangeArrowheads="1"/>
        </xdr:cNvSpPr>
      </xdr:nvSpPr>
      <xdr:spPr bwMode="auto">
        <a:xfrm>
          <a:off x="0" y="51953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252</xdr:row>
      <xdr:rowOff>0</xdr:rowOff>
    </xdr:from>
    <xdr:to>
      <xdr:col>22</xdr:col>
      <xdr:colOff>304800</xdr:colOff>
      <xdr:row>253</xdr:row>
      <xdr:rowOff>129540</xdr:rowOff>
    </xdr:to>
    <xdr:sp macro="" textlink="">
      <xdr:nvSpPr>
        <xdr:cNvPr id="7968" name="AutoShape 224" descr="https://www.soccerstats.com/img/own/sshplogo.png">
          <a:hlinkClick xmlns:r="http://schemas.openxmlformats.org/officeDocument/2006/relationships" r:id="rId110"/>
        </xdr:cNvPr>
        <xdr:cNvSpPr>
          <a:spLocks noChangeAspect="1" noChangeArrowheads="1"/>
        </xdr:cNvSpPr>
      </xdr:nvSpPr>
      <xdr:spPr bwMode="auto">
        <a:xfrm>
          <a:off x="13411200" y="51953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152400</xdr:colOff>
      <xdr:row>253</xdr:row>
      <xdr:rowOff>106680</xdr:rowOff>
    </xdr:to>
    <xdr:sp macro="" textlink="">
      <xdr:nvSpPr>
        <xdr:cNvPr id="7969" name="AutoShape 225" descr="BELGIUM"/>
        <xdr:cNvSpPr>
          <a:spLocks noChangeAspect="1" noChangeArrowheads="1"/>
        </xdr:cNvSpPr>
      </xdr:nvSpPr>
      <xdr:spPr bwMode="auto">
        <a:xfrm>
          <a:off x="0" y="52128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253</xdr:row>
      <xdr:rowOff>0</xdr:rowOff>
    </xdr:from>
    <xdr:to>
      <xdr:col>22</xdr:col>
      <xdr:colOff>304800</xdr:colOff>
      <xdr:row>254</xdr:row>
      <xdr:rowOff>129540</xdr:rowOff>
    </xdr:to>
    <xdr:sp macro="" textlink="">
      <xdr:nvSpPr>
        <xdr:cNvPr id="7970" name="AutoShape 226" descr="https://www.soccerstats.com/img/own/sshplogo.png">
          <a:hlinkClick xmlns:r="http://schemas.openxmlformats.org/officeDocument/2006/relationships" r:id="rId111"/>
        </xdr:cNvPr>
        <xdr:cNvSpPr>
          <a:spLocks noChangeAspect="1" noChangeArrowheads="1"/>
        </xdr:cNvSpPr>
      </xdr:nvSpPr>
      <xdr:spPr bwMode="auto">
        <a:xfrm>
          <a:off x="13411200" y="52128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152400</xdr:colOff>
      <xdr:row>254</xdr:row>
      <xdr:rowOff>106680</xdr:rowOff>
    </xdr:to>
    <xdr:sp macro="" textlink="">
      <xdr:nvSpPr>
        <xdr:cNvPr id="7971" name="AutoShape 227" descr="BELGIUM"/>
        <xdr:cNvSpPr>
          <a:spLocks noChangeAspect="1" noChangeArrowheads="1"/>
        </xdr:cNvSpPr>
      </xdr:nvSpPr>
      <xdr:spPr bwMode="auto">
        <a:xfrm>
          <a:off x="0" y="52303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254</xdr:row>
      <xdr:rowOff>0</xdr:rowOff>
    </xdr:from>
    <xdr:to>
      <xdr:col>22</xdr:col>
      <xdr:colOff>304800</xdr:colOff>
      <xdr:row>255</xdr:row>
      <xdr:rowOff>129540</xdr:rowOff>
    </xdr:to>
    <xdr:sp macro="" textlink="">
      <xdr:nvSpPr>
        <xdr:cNvPr id="7972" name="AutoShape 228" descr="https://www.soccerstats.com/img/own/sshplogo.png">
          <a:hlinkClick xmlns:r="http://schemas.openxmlformats.org/officeDocument/2006/relationships" r:id="rId112"/>
        </xdr:cNvPr>
        <xdr:cNvSpPr>
          <a:spLocks noChangeAspect="1" noChangeArrowheads="1"/>
        </xdr:cNvSpPr>
      </xdr:nvSpPr>
      <xdr:spPr bwMode="auto">
        <a:xfrm>
          <a:off x="13411200" y="52303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152400</xdr:colOff>
      <xdr:row>255</xdr:row>
      <xdr:rowOff>106680</xdr:rowOff>
    </xdr:to>
    <xdr:sp macro="" textlink="">
      <xdr:nvSpPr>
        <xdr:cNvPr id="7973" name="AutoShape 229" descr="BELGIUM2"/>
        <xdr:cNvSpPr>
          <a:spLocks noChangeAspect="1" noChangeArrowheads="1"/>
        </xdr:cNvSpPr>
      </xdr:nvSpPr>
      <xdr:spPr bwMode="auto">
        <a:xfrm>
          <a:off x="0" y="52478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255</xdr:row>
      <xdr:rowOff>0</xdr:rowOff>
    </xdr:from>
    <xdr:to>
      <xdr:col>22</xdr:col>
      <xdr:colOff>304800</xdr:colOff>
      <xdr:row>256</xdr:row>
      <xdr:rowOff>129540</xdr:rowOff>
    </xdr:to>
    <xdr:sp macro="" textlink="">
      <xdr:nvSpPr>
        <xdr:cNvPr id="7974" name="AutoShape 230" descr="https://www.soccerstats.com/img/own/sshplogo.png">
          <a:hlinkClick xmlns:r="http://schemas.openxmlformats.org/officeDocument/2006/relationships" r:id="rId113"/>
        </xdr:cNvPr>
        <xdr:cNvSpPr>
          <a:spLocks noChangeAspect="1" noChangeArrowheads="1"/>
        </xdr:cNvSpPr>
      </xdr:nvSpPr>
      <xdr:spPr bwMode="auto">
        <a:xfrm>
          <a:off x="13411200" y="52478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152400</xdr:colOff>
      <xdr:row>256</xdr:row>
      <xdr:rowOff>106680</xdr:rowOff>
    </xdr:to>
    <xdr:sp macro="" textlink="">
      <xdr:nvSpPr>
        <xdr:cNvPr id="7975" name="AutoShape 231" descr="BELGIUM2"/>
        <xdr:cNvSpPr>
          <a:spLocks noChangeAspect="1" noChangeArrowheads="1"/>
        </xdr:cNvSpPr>
      </xdr:nvSpPr>
      <xdr:spPr bwMode="auto">
        <a:xfrm>
          <a:off x="0" y="52654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256</xdr:row>
      <xdr:rowOff>0</xdr:rowOff>
    </xdr:from>
    <xdr:to>
      <xdr:col>22</xdr:col>
      <xdr:colOff>304800</xdr:colOff>
      <xdr:row>257</xdr:row>
      <xdr:rowOff>129540</xdr:rowOff>
    </xdr:to>
    <xdr:sp macro="" textlink="">
      <xdr:nvSpPr>
        <xdr:cNvPr id="7976" name="AutoShape 232" descr="https://www.soccerstats.com/img/own/sshplogo.png">
          <a:hlinkClick xmlns:r="http://schemas.openxmlformats.org/officeDocument/2006/relationships" r:id="rId114"/>
        </xdr:cNvPr>
        <xdr:cNvSpPr>
          <a:spLocks noChangeAspect="1" noChangeArrowheads="1"/>
        </xdr:cNvSpPr>
      </xdr:nvSpPr>
      <xdr:spPr bwMode="auto">
        <a:xfrm>
          <a:off x="13411200" y="52654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152400</xdr:colOff>
      <xdr:row>257</xdr:row>
      <xdr:rowOff>106680</xdr:rowOff>
    </xdr:to>
    <xdr:sp macro="" textlink="">
      <xdr:nvSpPr>
        <xdr:cNvPr id="7977" name="AutoShape 233" descr="BELGIUM2"/>
        <xdr:cNvSpPr>
          <a:spLocks noChangeAspect="1" noChangeArrowheads="1"/>
        </xdr:cNvSpPr>
      </xdr:nvSpPr>
      <xdr:spPr bwMode="auto">
        <a:xfrm>
          <a:off x="0" y="52829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257</xdr:row>
      <xdr:rowOff>0</xdr:rowOff>
    </xdr:from>
    <xdr:to>
      <xdr:col>22</xdr:col>
      <xdr:colOff>304800</xdr:colOff>
      <xdr:row>258</xdr:row>
      <xdr:rowOff>129540</xdr:rowOff>
    </xdr:to>
    <xdr:sp macro="" textlink="">
      <xdr:nvSpPr>
        <xdr:cNvPr id="7978" name="AutoShape 234" descr="https://www.soccerstats.com/img/own/sshplogo.png">
          <a:hlinkClick xmlns:r="http://schemas.openxmlformats.org/officeDocument/2006/relationships" r:id="rId115"/>
        </xdr:cNvPr>
        <xdr:cNvSpPr>
          <a:spLocks noChangeAspect="1" noChangeArrowheads="1"/>
        </xdr:cNvSpPr>
      </xdr:nvSpPr>
      <xdr:spPr bwMode="auto">
        <a:xfrm>
          <a:off x="13411200" y="52829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152400</xdr:colOff>
      <xdr:row>258</xdr:row>
      <xdr:rowOff>106680</xdr:rowOff>
    </xdr:to>
    <xdr:sp macro="" textlink="">
      <xdr:nvSpPr>
        <xdr:cNvPr id="7979" name="AutoShape 235" descr="BRAZIL"/>
        <xdr:cNvSpPr>
          <a:spLocks noChangeAspect="1" noChangeArrowheads="1"/>
        </xdr:cNvSpPr>
      </xdr:nvSpPr>
      <xdr:spPr bwMode="auto">
        <a:xfrm>
          <a:off x="0" y="53004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258</xdr:row>
      <xdr:rowOff>0</xdr:rowOff>
    </xdr:from>
    <xdr:to>
      <xdr:col>22</xdr:col>
      <xdr:colOff>304800</xdr:colOff>
      <xdr:row>259</xdr:row>
      <xdr:rowOff>129540</xdr:rowOff>
    </xdr:to>
    <xdr:sp macro="" textlink="">
      <xdr:nvSpPr>
        <xdr:cNvPr id="7980" name="AutoShape 236" descr="https://www.soccerstats.com/img/own/sshplogo.png">
          <a:hlinkClick xmlns:r="http://schemas.openxmlformats.org/officeDocument/2006/relationships" r:id="rId121"/>
        </xdr:cNvPr>
        <xdr:cNvSpPr>
          <a:spLocks noChangeAspect="1" noChangeArrowheads="1"/>
        </xdr:cNvSpPr>
      </xdr:nvSpPr>
      <xdr:spPr bwMode="auto">
        <a:xfrm>
          <a:off x="13411200" y="53004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152400</xdr:colOff>
      <xdr:row>259</xdr:row>
      <xdr:rowOff>106680</xdr:rowOff>
    </xdr:to>
    <xdr:sp macro="" textlink="">
      <xdr:nvSpPr>
        <xdr:cNvPr id="7981" name="AutoShape 237" descr="BRAZIL"/>
        <xdr:cNvSpPr>
          <a:spLocks noChangeAspect="1" noChangeArrowheads="1"/>
        </xdr:cNvSpPr>
      </xdr:nvSpPr>
      <xdr:spPr bwMode="auto">
        <a:xfrm>
          <a:off x="0" y="53179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259</xdr:row>
      <xdr:rowOff>0</xdr:rowOff>
    </xdr:from>
    <xdr:to>
      <xdr:col>22</xdr:col>
      <xdr:colOff>304800</xdr:colOff>
      <xdr:row>260</xdr:row>
      <xdr:rowOff>129540</xdr:rowOff>
    </xdr:to>
    <xdr:sp macro="" textlink="">
      <xdr:nvSpPr>
        <xdr:cNvPr id="7982" name="AutoShape 238" descr="https://www.soccerstats.com/img/own/sshplogo.png">
          <a:hlinkClick xmlns:r="http://schemas.openxmlformats.org/officeDocument/2006/relationships" r:id="rId122"/>
        </xdr:cNvPr>
        <xdr:cNvSpPr>
          <a:spLocks noChangeAspect="1" noChangeArrowheads="1"/>
        </xdr:cNvSpPr>
      </xdr:nvSpPr>
      <xdr:spPr bwMode="auto">
        <a:xfrm>
          <a:off x="13411200" y="53179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152400</xdr:colOff>
      <xdr:row>260</xdr:row>
      <xdr:rowOff>106680</xdr:rowOff>
    </xdr:to>
    <xdr:sp macro="" textlink="">
      <xdr:nvSpPr>
        <xdr:cNvPr id="7983" name="AutoShape 239" descr="BRAZIL2"/>
        <xdr:cNvSpPr>
          <a:spLocks noChangeAspect="1" noChangeArrowheads="1"/>
        </xdr:cNvSpPr>
      </xdr:nvSpPr>
      <xdr:spPr bwMode="auto">
        <a:xfrm>
          <a:off x="0" y="53355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260</xdr:row>
      <xdr:rowOff>0</xdr:rowOff>
    </xdr:from>
    <xdr:to>
      <xdr:col>22</xdr:col>
      <xdr:colOff>304800</xdr:colOff>
      <xdr:row>261</xdr:row>
      <xdr:rowOff>129540</xdr:rowOff>
    </xdr:to>
    <xdr:sp macro="" textlink="">
      <xdr:nvSpPr>
        <xdr:cNvPr id="7984" name="AutoShape 240" descr="https://www.soccerstats.com/img/own/sshplogo.png">
          <a:hlinkClick xmlns:r="http://schemas.openxmlformats.org/officeDocument/2006/relationships" r:id="rId123"/>
        </xdr:cNvPr>
        <xdr:cNvSpPr>
          <a:spLocks noChangeAspect="1" noChangeArrowheads="1"/>
        </xdr:cNvSpPr>
      </xdr:nvSpPr>
      <xdr:spPr bwMode="auto">
        <a:xfrm>
          <a:off x="13411200" y="53355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152400</xdr:colOff>
      <xdr:row>261</xdr:row>
      <xdr:rowOff>106680</xdr:rowOff>
    </xdr:to>
    <xdr:sp macro="" textlink="">
      <xdr:nvSpPr>
        <xdr:cNvPr id="7985" name="AutoShape 241" descr="BRAZIL2"/>
        <xdr:cNvSpPr>
          <a:spLocks noChangeAspect="1" noChangeArrowheads="1"/>
        </xdr:cNvSpPr>
      </xdr:nvSpPr>
      <xdr:spPr bwMode="auto">
        <a:xfrm>
          <a:off x="0" y="53530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261</xdr:row>
      <xdr:rowOff>0</xdr:rowOff>
    </xdr:from>
    <xdr:to>
      <xdr:col>22</xdr:col>
      <xdr:colOff>304800</xdr:colOff>
      <xdr:row>262</xdr:row>
      <xdr:rowOff>129540</xdr:rowOff>
    </xdr:to>
    <xdr:sp macro="" textlink="">
      <xdr:nvSpPr>
        <xdr:cNvPr id="7986" name="AutoShape 242" descr="https://www.soccerstats.com/img/own/sshplogo.png">
          <a:hlinkClick xmlns:r="http://schemas.openxmlformats.org/officeDocument/2006/relationships" r:id="rId124"/>
        </xdr:cNvPr>
        <xdr:cNvSpPr>
          <a:spLocks noChangeAspect="1" noChangeArrowheads="1"/>
        </xdr:cNvSpPr>
      </xdr:nvSpPr>
      <xdr:spPr bwMode="auto">
        <a:xfrm>
          <a:off x="13411200" y="535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152400</xdr:colOff>
      <xdr:row>262</xdr:row>
      <xdr:rowOff>106680</xdr:rowOff>
    </xdr:to>
    <xdr:sp macro="" textlink="">
      <xdr:nvSpPr>
        <xdr:cNvPr id="7987" name="AutoShape 243" descr="BRAZIL2"/>
        <xdr:cNvSpPr>
          <a:spLocks noChangeAspect="1" noChangeArrowheads="1"/>
        </xdr:cNvSpPr>
      </xdr:nvSpPr>
      <xdr:spPr bwMode="auto">
        <a:xfrm>
          <a:off x="0" y="53705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262</xdr:row>
      <xdr:rowOff>0</xdr:rowOff>
    </xdr:from>
    <xdr:to>
      <xdr:col>22</xdr:col>
      <xdr:colOff>304800</xdr:colOff>
      <xdr:row>263</xdr:row>
      <xdr:rowOff>129540</xdr:rowOff>
    </xdr:to>
    <xdr:sp macro="" textlink="">
      <xdr:nvSpPr>
        <xdr:cNvPr id="7988" name="AutoShape 244" descr="https://www.soccerstats.com/img/own/sshplogo.png">
          <a:hlinkClick xmlns:r="http://schemas.openxmlformats.org/officeDocument/2006/relationships" r:id="rId125"/>
        </xdr:cNvPr>
        <xdr:cNvSpPr>
          <a:spLocks noChangeAspect="1" noChangeArrowheads="1"/>
        </xdr:cNvSpPr>
      </xdr:nvSpPr>
      <xdr:spPr bwMode="auto">
        <a:xfrm>
          <a:off x="13411200" y="53705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152400</xdr:colOff>
      <xdr:row>263</xdr:row>
      <xdr:rowOff>106680</xdr:rowOff>
    </xdr:to>
    <xdr:sp macro="" textlink="">
      <xdr:nvSpPr>
        <xdr:cNvPr id="7989" name="AutoShape 245" descr="BRAZIL2"/>
        <xdr:cNvSpPr>
          <a:spLocks noChangeAspect="1" noChangeArrowheads="1"/>
        </xdr:cNvSpPr>
      </xdr:nvSpPr>
      <xdr:spPr bwMode="auto">
        <a:xfrm>
          <a:off x="0" y="53881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263</xdr:row>
      <xdr:rowOff>0</xdr:rowOff>
    </xdr:from>
    <xdr:to>
      <xdr:col>22</xdr:col>
      <xdr:colOff>304800</xdr:colOff>
      <xdr:row>264</xdr:row>
      <xdr:rowOff>129540</xdr:rowOff>
    </xdr:to>
    <xdr:sp macro="" textlink="">
      <xdr:nvSpPr>
        <xdr:cNvPr id="7990" name="AutoShape 246" descr="https://www.soccerstats.com/img/own/sshplogo.png">
          <a:hlinkClick xmlns:r="http://schemas.openxmlformats.org/officeDocument/2006/relationships" r:id="rId126"/>
        </xdr:cNvPr>
        <xdr:cNvSpPr>
          <a:spLocks noChangeAspect="1" noChangeArrowheads="1"/>
        </xdr:cNvSpPr>
      </xdr:nvSpPr>
      <xdr:spPr bwMode="auto">
        <a:xfrm>
          <a:off x="13411200" y="53881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152400</xdr:colOff>
      <xdr:row>264</xdr:row>
      <xdr:rowOff>106680</xdr:rowOff>
    </xdr:to>
    <xdr:sp macro="" textlink="">
      <xdr:nvSpPr>
        <xdr:cNvPr id="7991" name="AutoShape 247" descr="BRAZIL3"/>
        <xdr:cNvSpPr>
          <a:spLocks noChangeAspect="1" noChangeArrowheads="1"/>
        </xdr:cNvSpPr>
      </xdr:nvSpPr>
      <xdr:spPr bwMode="auto">
        <a:xfrm>
          <a:off x="0" y="54056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264</xdr:row>
      <xdr:rowOff>0</xdr:rowOff>
    </xdr:from>
    <xdr:to>
      <xdr:col>22</xdr:col>
      <xdr:colOff>304800</xdr:colOff>
      <xdr:row>265</xdr:row>
      <xdr:rowOff>129540</xdr:rowOff>
    </xdr:to>
    <xdr:sp macro="" textlink="">
      <xdr:nvSpPr>
        <xdr:cNvPr id="7992" name="AutoShape 248" descr="https://www.soccerstats.com/img/own/sshplogo.png">
          <a:hlinkClick xmlns:r="http://schemas.openxmlformats.org/officeDocument/2006/relationships" r:id="rId127"/>
        </xdr:cNvPr>
        <xdr:cNvSpPr>
          <a:spLocks noChangeAspect="1" noChangeArrowheads="1"/>
        </xdr:cNvSpPr>
      </xdr:nvSpPr>
      <xdr:spPr bwMode="auto">
        <a:xfrm>
          <a:off x="13411200" y="54056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152400</xdr:colOff>
      <xdr:row>265</xdr:row>
      <xdr:rowOff>106680</xdr:rowOff>
    </xdr:to>
    <xdr:sp macro="" textlink="">
      <xdr:nvSpPr>
        <xdr:cNvPr id="7993" name="AutoShape 249" descr="BRAZIL3"/>
        <xdr:cNvSpPr>
          <a:spLocks noChangeAspect="1" noChangeArrowheads="1"/>
        </xdr:cNvSpPr>
      </xdr:nvSpPr>
      <xdr:spPr bwMode="auto">
        <a:xfrm>
          <a:off x="0" y="54231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265</xdr:row>
      <xdr:rowOff>0</xdr:rowOff>
    </xdr:from>
    <xdr:to>
      <xdr:col>22</xdr:col>
      <xdr:colOff>304800</xdr:colOff>
      <xdr:row>266</xdr:row>
      <xdr:rowOff>53340</xdr:rowOff>
    </xdr:to>
    <xdr:sp macro="" textlink="">
      <xdr:nvSpPr>
        <xdr:cNvPr id="7994" name="AutoShape 250" descr="https://www.soccerstats.com/img/own/sshplogo.png">
          <a:hlinkClick xmlns:r="http://schemas.openxmlformats.org/officeDocument/2006/relationships" r:id="rId128"/>
        </xdr:cNvPr>
        <xdr:cNvSpPr>
          <a:spLocks noChangeAspect="1" noChangeArrowheads="1"/>
        </xdr:cNvSpPr>
      </xdr:nvSpPr>
      <xdr:spPr bwMode="auto">
        <a:xfrm>
          <a:off x="13411200" y="54231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152400</xdr:colOff>
      <xdr:row>266</xdr:row>
      <xdr:rowOff>106680</xdr:rowOff>
    </xdr:to>
    <xdr:sp macro="" textlink="">
      <xdr:nvSpPr>
        <xdr:cNvPr id="7995" name="AutoShape 251" descr="BRAZIL3"/>
        <xdr:cNvSpPr>
          <a:spLocks noChangeAspect="1" noChangeArrowheads="1"/>
        </xdr:cNvSpPr>
      </xdr:nvSpPr>
      <xdr:spPr bwMode="auto">
        <a:xfrm>
          <a:off x="0" y="54483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266</xdr:row>
      <xdr:rowOff>0</xdr:rowOff>
    </xdr:from>
    <xdr:to>
      <xdr:col>22</xdr:col>
      <xdr:colOff>304800</xdr:colOff>
      <xdr:row>267</xdr:row>
      <xdr:rowOff>129540</xdr:rowOff>
    </xdr:to>
    <xdr:sp macro="" textlink="">
      <xdr:nvSpPr>
        <xdr:cNvPr id="7996" name="AutoShape 252" descr="https://www.soccerstats.com/img/own/sshplogo.png">
          <a:hlinkClick xmlns:r="http://schemas.openxmlformats.org/officeDocument/2006/relationships" r:id="rId129"/>
        </xdr:cNvPr>
        <xdr:cNvSpPr>
          <a:spLocks noChangeAspect="1" noChangeArrowheads="1"/>
        </xdr:cNvSpPr>
      </xdr:nvSpPr>
      <xdr:spPr bwMode="auto">
        <a:xfrm>
          <a:off x="13411200" y="5448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152400</xdr:colOff>
      <xdr:row>267</xdr:row>
      <xdr:rowOff>106680</xdr:rowOff>
    </xdr:to>
    <xdr:sp macro="" textlink="">
      <xdr:nvSpPr>
        <xdr:cNvPr id="7997" name="AutoShape 253" descr="BRAZIL3"/>
        <xdr:cNvSpPr>
          <a:spLocks noChangeAspect="1" noChangeArrowheads="1"/>
        </xdr:cNvSpPr>
      </xdr:nvSpPr>
      <xdr:spPr bwMode="auto">
        <a:xfrm>
          <a:off x="0" y="54658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267</xdr:row>
      <xdr:rowOff>0</xdr:rowOff>
    </xdr:from>
    <xdr:to>
      <xdr:col>22</xdr:col>
      <xdr:colOff>304800</xdr:colOff>
      <xdr:row>268</xdr:row>
      <xdr:rowOff>129540</xdr:rowOff>
    </xdr:to>
    <xdr:sp macro="" textlink="">
      <xdr:nvSpPr>
        <xdr:cNvPr id="7998" name="AutoShape 254" descr="https://www.soccerstats.com/img/own/sshplogo.png">
          <a:hlinkClick xmlns:r="http://schemas.openxmlformats.org/officeDocument/2006/relationships" r:id="rId130"/>
        </xdr:cNvPr>
        <xdr:cNvSpPr>
          <a:spLocks noChangeAspect="1" noChangeArrowheads="1"/>
        </xdr:cNvSpPr>
      </xdr:nvSpPr>
      <xdr:spPr bwMode="auto">
        <a:xfrm>
          <a:off x="13411200" y="54658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152400</xdr:colOff>
      <xdr:row>268</xdr:row>
      <xdr:rowOff>106680</xdr:rowOff>
    </xdr:to>
    <xdr:sp macro="" textlink="">
      <xdr:nvSpPr>
        <xdr:cNvPr id="7999" name="AutoShape 255" descr="BRAZIL5"/>
        <xdr:cNvSpPr>
          <a:spLocks noChangeAspect="1" noChangeArrowheads="1"/>
        </xdr:cNvSpPr>
      </xdr:nvSpPr>
      <xdr:spPr bwMode="auto">
        <a:xfrm>
          <a:off x="0" y="54833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268</xdr:row>
      <xdr:rowOff>0</xdr:rowOff>
    </xdr:from>
    <xdr:to>
      <xdr:col>22</xdr:col>
      <xdr:colOff>304800</xdr:colOff>
      <xdr:row>269</xdr:row>
      <xdr:rowOff>53340</xdr:rowOff>
    </xdr:to>
    <xdr:sp macro="" textlink="">
      <xdr:nvSpPr>
        <xdr:cNvPr id="8000" name="AutoShape 256" descr="https://www.soccerstats.com/img/own/sshplogo.png">
          <a:hlinkClick xmlns:r="http://schemas.openxmlformats.org/officeDocument/2006/relationships" r:id="rId131"/>
        </xdr:cNvPr>
        <xdr:cNvSpPr>
          <a:spLocks noChangeAspect="1" noChangeArrowheads="1"/>
        </xdr:cNvSpPr>
      </xdr:nvSpPr>
      <xdr:spPr bwMode="auto">
        <a:xfrm>
          <a:off x="13411200" y="54833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152400</xdr:colOff>
      <xdr:row>269</xdr:row>
      <xdr:rowOff>106680</xdr:rowOff>
    </xdr:to>
    <xdr:sp macro="" textlink="">
      <xdr:nvSpPr>
        <xdr:cNvPr id="8001" name="AutoShape 257" descr="BRAZIL5"/>
        <xdr:cNvSpPr>
          <a:spLocks noChangeAspect="1" noChangeArrowheads="1"/>
        </xdr:cNvSpPr>
      </xdr:nvSpPr>
      <xdr:spPr bwMode="auto">
        <a:xfrm>
          <a:off x="0" y="55084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269</xdr:row>
      <xdr:rowOff>0</xdr:rowOff>
    </xdr:from>
    <xdr:to>
      <xdr:col>22</xdr:col>
      <xdr:colOff>304800</xdr:colOff>
      <xdr:row>270</xdr:row>
      <xdr:rowOff>53340</xdr:rowOff>
    </xdr:to>
    <xdr:sp macro="" textlink="">
      <xdr:nvSpPr>
        <xdr:cNvPr id="8002" name="AutoShape 258" descr="https://www.soccerstats.com/img/own/sshplogo.png">
          <a:hlinkClick xmlns:r="http://schemas.openxmlformats.org/officeDocument/2006/relationships" r:id="rId132"/>
        </xdr:cNvPr>
        <xdr:cNvSpPr>
          <a:spLocks noChangeAspect="1" noChangeArrowheads="1"/>
        </xdr:cNvSpPr>
      </xdr:nvSpPr>
      <xdr:spPr bwMode="auto">
        <a:xfrm>
          <a:off x="13411200" y="55084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152400</xdr:colOff>
      <xdr:row>270</xdr:row>
      <xdr:rowOff>106680</xdr:rowOff>
    </xdr:to>
    <xdr:sp macro="" textlink="">
      <xdr:nvSpPr>
        <xdr:cNvPr id="8003" name="AutoShape 259" descr="BRAZIL5"/>
        <xdr:cNvSpPr>
          <a:spLocks noChangeAspect="1" noChangeArrowheads="1"/>
        </xdr:cNvSpPr>
      </xdr:nvSpPr>
      <xdr:spPr bwMode="auto">
        <a:xfrm>
          <a:off x="0" y="55336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270</xdr:row>
      <xdr:rowOff>0</xdr:rowOff>
    </xdr:from>
    <xdr:to>
      <xdr:col>22</xdr:col>
      <xdr:colOff>304800</xdr:colOff>
      <xdr:row>271</xdr:row>
      <xdr:rowOff>53340</xdr:rowOff>
    </xdr:to>
    <xdr:sp macro="" textlink="">
      <xdr:nvSpPr>
        <xdr:cNvPr id="8004" name="AutoShape 260" descr="https://www.soccerstats.com/img/own/sshplogo.png">
          <a:hlinkClick xmlns:r="http://schemas.openxmlformats.org/officeDocument/2006/relationships" r:id="rId133"/>
        </xdr:cNvPr>
        <xdr:cNvSpPr>
          <a:spLocks noChangeAspect="1" noChangeArrowheads="1"/>
        </xdr:cNvSpPr>
      </xdr:nvSpPr>
      <xdr:spPr bwMode="auto">
        <a:xfrm>
          <a:off x="13411200" y="55336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152400</xdr:colOff>
      <xdr:row>271</xdr:row>
      <xdr:rowOff>106680</xdr:rowOff>
    </xdr:to>
    <xdr:sp macro="" textlink="">
      <xdr:nvSpPr>
        <xdr:cNvPr id="8005" name="AutoShape 261" descr="BRAZIL5"/>
        <xdr:cNvSpPr>
          <a:spLocks noChangeAspect="1" noChangeArrowheads="1"/>
        </xdr:cNvSpPr>
      </xdr:nvSpPr>
      <xdr:spPr bwMode="auto">
        <a:xfrm>
          <a:off x="0" y="55587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271</xdr:row>
      <xdr:rowOff>0</xdr:rowOff>
    </xdr:from>
    <xdr:to>
      <xdr:col>22</xdr:col>
      <xdr:colOff>304800</xdr:colOff>
      <xdr:row>272</xdr:row>
      <xdr:rowOff>53340</xdr:rowOff>
    </xdr:to>
    <xdr:sp macro="" textlink="">
      <xdr:nvSpPr>
        <xdr:cNvPr id="8006" name="AutoShape 262" descr="https://www.soccerstats.com/img/own/sshplogo.png">
          <a:hlinkClick xmlns:r="http://schemas.openxmlformats.org/officeDocument/2006/relationships" r:id="rId134"/>
        </xdr:cNvPr>
        <xdr:cNvSpPr>
          <a:spLocks noChangeAspect="1" noChangeArrowheads="1"/>
        </xdr:cNvSpPr>
      </xdr:nvSpPr>
      <xdr:spPr bwMode="auto">
        <a:xfrm>
          <a:off x="13411200" y="55587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152400</xdr:colOff>
      <xdr:row>272</xdr:row>
      <xdr:rowOff>106680</xdr:rowOff>
    </xdr:to>
    <xdr:sp macro="" textlink="">
      <xdr:nvSpPr>
        <xdr:cNvPr id="8007" name="AutoShape 263" descr="BRAZIL5"/>
        <xdr:cNvSpPr>
          <a:spLocks noChangeAspect="1" noChangeArrowheads="1"/>
        </xdr:cNvSpPr>
      </xdr:nvSpPr>
      <xdr:spPr bwMode="auto">
        <a:xfrm>
          <a:off x="0" y="55839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272</xdr:row>
      <xdr:rowOff>0</xdr:rowOff>
    </xdr:from>
    <xdr:to>
      <xdr:col>22</xdr:col>
      <xdr:colOff>304800</xdr:colOff>
      <xdr:row>273</xdr:row>
      <xdr:rowOff>129540</xdr:rowOff>
    </xdr:to>
    <xdr:sp macro="" textlink="">
      <xdr:nvSpPr>
        <xdr:cNvPr id="8008" name="AutoShape 264" descr="https://www.soccerstats.com/img/own/sshplogo.png">
          <a:hlinkClick xmlns:r="http://schemas.openxmlformats.org/officeDocument/2006/relationships" r:id="rId135"/>
        </xdr:cNvPr>
        <xdr:cNvSpPr>
          <a:spLocks noChangeAspect="1" noChangeArrowheads="1"/>
        </xdr:cNvSpPr>
      </xdr:nvSpPr>
      <xdr:spPr bwMode="auto">
        <a:xfrm>
          <a:off x="13411200" y="55839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152400</xdr:colOff>
      <xdr:row>273</xdr:row>
      <xdr:rowOff>106680</xdr:rowOff>
    </xdr:to>
    <xdr:sp macro="" textlink="">
      <xdr:nvSpPr>
        <xdr:cNvPr id="8009" name="AutoShape 265" descr="BRAZIL5"/>
        <xdr:cNvSpPr>
          <a:spLocks noChangeAspect="1" noChangeArrowheads="1"/>
        </xdr:cNvSpPr>
      </xdr:nvSpPr>
      <xdr:spPr bwMode="auto">
        <a:xfrm>
          <a:off x="0" y="56014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273</xdr:row>
      <xdr:rowOff>0</xdr:rowOff>
    </xdr:from>
    <xdr:to>
      <xdr:col>22</xdr:col>
      <xdr:colOff>304800</xdr:colOff>
      <xdr:row>274</xdr:row>
      <xdr:rowOff>53340</xdr:rowOff>
    </xdr:to>
    <xdr:sp macro="" textlink="">
      <xdr:nvSpPr>
        <xdr:cNvPr id="8010" name="AutoShape 266" descr="https://www.soccerstats.com/img/own/sshplogo.png">
          <a:hlinkClick xmlns:r="http://schemas.openxmlformats.org/officeDocument/2006/relationships" r:id="rId136"/>
        </xdr:cNvPr>
        <xdr:cNvSpPr>
          <a:spLocks noChangeAspect="1" noChangeArrowheads="1"/>
        </xdr:cNvSpPr>
      </xdr:nvSpPr>
      <xdr:spPr bwMode="auto">
        <a:xfrm>
          <a:off x="13411200" y="56014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152400</xdr:colOff>
      <xdr:row>274</xdr:row>
      <xdr:rowOff>106680</xdr:rowOff>
    </xdr:to>
    <xdr:sp macro="" textlink="">
      <xdr:nvSpPr>
        <xdr:cNvPr id="8011" name="AutoShape 267" descr="BULGARIA"/>
        <xdr:cNvSpPr>
          <a:spLocks noChangeAspect="1" noChangeArrowheads="1"/>
        </xdr:cNvSpPr>
      </xdr:nvSpPr>
      <xdr:spPr bwMode="auto">
        <a:xfrm>
          <a:off x="0" y="56266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274</xdr:row>
      <xdr:rowOff>0</xdr:rowOff>
    </xdr:from>
    <xdr:to>
      <xdr:col>22</xdr:col>
      <xdr:colOff>304800</xdr:colOff>
      <xdr:row>275</xdr:row>
      <xdr:rowOff>129540</xdr:rowOff>
    </xdr:to>
    <xdr:sp macro="" textlink="">
      <xdr:nvSpPr>
        <xdr:cNvPr id="8012" name="AutoShape 268" descr="https://www.soccerstats.com/img/own/sshplogo.png">
          <a:hlinkClick xmlns:r="http://schemas.openxmlformats.org/officeDocument/2006/relationships" r:id="rId137"/>
        </xdr:cNvPr>
        <xdr:cNvSpPr>
          <a:spLocks noChangeAspect="1" noChangeArrowheads="1"/>
        </xdr:cNvSpPr>
      </xdr:nvSpPr>
      <xdr:spPr bwMode="auto">
        <a:xfrm>
          <a:off x="13411200" y="56266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152400</xdr:colOff>
      <xdr:row>275</xdr:row>
      <xdr:rowOff>106680</xdr:rowOff>
    </xdr:to>
    <xdr:sp macro="" textlink="">
      <xdr:nvSpPr>
        <xdr:cNvPr id="8013" name="AutoShape 269" descr="BULGARIA"/>
        <xdr:cNvSpPr>
          <a:spLocks noChangeAspect="1" noChangeArrowheads="1"/>
        </xdr:cNvSpPr>
      </xdr:nvSpPr>
      <xdr:spPr bwMode="auto">
        <a:xfrm>
          <a:off x="0" y="56441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275</xdr:row>
      <xdr:rowOff>0</xdr:rowOff>
    </xdr:from>
    <xdr:to>
      <xdr:col>22</xdr:col>
      <xdr:colOff>304800</xdr:colOff>
      <xdr:row>276</xdr:row>
      <xdr:rowOff>129540</xdr:rowOff>
    </xdr:to>
    <xdr:sp macro="" textlink="">
      <xdr:nvSpPr>
        <xdr:cNvPr id="8014" name="AutoShape 270" descr="https://www.soccerstats.com/img/own/sshplogo.png">
          <a:hlinkClick xmlns:r="http://schemas.openxmlformats.org/officeDocument/2006/relationships" r:id="rId138"/>
        </xdr:cNvPr>
        <xdr:cNvSpPr>
          <a:spLocks noChangeAspect="1" noChangeArrowheads="1"/>
        </xdr:cNvSpPr>
      </xdr:nvSpPr>
      <xdr:spPr bwMode="auto">
        <a:xfrm>
          <a:off x="13411200" y="56441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152400</xdr:colOff>
      <xdr:row>276</xdr:row>
      <xdr:rowOff>106680</xdr:rowOff>
    </xdr:to>
    <xdr:sp macro="" textlink="">
      <xdr:nvSpPr>
        <xdr:cNvPr id="8015" name="AutoShape 271" descr="CANADA"/>
        <xdr:cNvSpPr>
          <a:spLocks noChangeAspect="1" noChangeArrowheads="1"/>
        </xdr:cNvSpPr>
      </xdr:nvSpPr>
      <xdr:spPr bwMode="auto">
        <a:xfrm>
          <a:off x="0" y="56616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276</xdr:row>
      <xdr:rowOff>0</xdr:rowOff>
    </xdr:from>
    <xdr:to>
      <xdr:col>22</xdr:col>
      <xdr:colOff>304800</xdr:colOff>
      <xdr:row>277</xdr:row>
      <xdr:rowOff>129540</xdr:rowOff>
    </xdr:to>
    <xdr:sp macro="" textlink="">
      <xdr:nvSpPr>
        <xdr:cNvPr id="8016" name="AutoShape 272" descr="https://www.soccerstats.com/img/own/sshplogo.png">
          <a:hlinkClick xmlns:r="http://schemas.openxmlformats.org/officeDocument/2006/relationships" r:id="rId139"/>
        </xdr:cNvPr>
        <xdr:cNvSpPr>
          <a:spLocks noChangeAspect="1" noChangeArrowheads="1"/>
        </xdr:cNvSpPr>
      </xdr:nvSpPr>
      <xdr:spPr bwMode="auto">
        <a:xfrm>
          <a:off x="13411200" y="56616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152400</xdr:colOff>
      <xdr:row>277</xdr:row>
      <xdr:rowOff>106680</xdr:rowOff>
    </xdr:to>
    <xdr:sp macro="" textlink="">
      <xdr:nvSpPr>
        <xdr:cNvPr id="8017" name="AutoShape 273" descr="CANADA"/>
        <xdr:cNvSpPr>
          <a:spLocks noChangeAspect="1" noChangeArrowheads="1"/>
        </xdr:cNvSpPr>
      </xdr:nvSpPr>
      <xdr:spPr bwMode="auto">
        <a:xfrm>
          <a:off x="0" y="56791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277</xdr:row>
      <xdr:rowOff>0</xdr:rowOff>
    </xdr:from>
    <xdr:to>
      <xdr:col>22</xdr:col>
      <xdr:colOff>304800</xdr:colOff>
      <xdr:row>278</xdr:row>
      <xdr:rowOff>129540</xdr:rowOff>
    </xdr:to>
    <xdr:sp macro="" textlink="">
      <xdr:nvSpPr>
        <xdr:cNvPr id="8018" name="AutoShape 274" descr="https://www.soccerstats.com/img/own/sshplogo.png">
          <a:hlinkClick xmlns:r="http://schemas.openxmlformats.org/officeDocument/2006/relationships" r:id="rId140"/>
        </xdr:cNvPr>
        <xdr:cNvSpPr>
          <a:spLocks noChangeAspect="1" noChangeArrowheads="1"/>
        </xdr:cNvSpPr>
      </xdr:nvSpPr>
      <xdr:spPr bwMode="auto">
        <a:xfrm>
          <a:off x="13411200" y="56791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152400</xdr:colOff>
      <xdr:row>278</xdr:row>
      <xdr:rowOff>106680</xdr:rowOff>
    </xdr:to>
    <xdr:sp macro="" textlink="">
      <xdr:nvSpPr>
        <xdr:cNvPr id="8019" name="AutoShape 275" descr="CHILE"/>
        <xdr:cNvSpPr>
          <a:spLocks noChangeAspect="1" noChangeArrowheads="1"/>
        </xdr:cNvSpPr>
      </xdr:nvSpPr>
      <xdr:spPr bwMode="auto">
        <a:xfrm>
          <a:off x="0" y="56967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278</xdr:row>
      <xdr:rowOff>0</xdr:rowOff>
    </xdr:from>
    <xdr:to>
      <xdr:col>22</xdr:col>
      <xdr:colOff>304800</xdr:colOff>
      <xdr:row>279</xdr:row>
      <xdr:rowOff>129540</xdr:rowOff>
    </xdr:to>
    <xdr:sp macro="" textlink="">
      <xdr:nvSpPr>
        <xdr:cNvPr id="8020" name="AutoShape 276" descr="https://www.soccerstats.com/img/own/sshplogo.png">
          <a:hlinkClick xmlns:r="http://schemas.openxmlformats.org/officeDocument/2006/relationships" r:id="rId141"/>
        </xdr:cNvPr>
        <xdr:cNvSpPr>
          <a:spLocks noChangeAspect="1" noChangeArrowheads="1"/>
        </xdr:cNvSpPr>
      </xdr:nvSpPr>
      <xdr:spPr bwMode="auto">
        <a:xfrm>
          <a:off x="13411200" y="56967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152400</xdr:colOff>
      <xdr:row>279</xdr:row>
      <xdr:rowOff>106680</xdr:rowOff>
    </xdr:to>
    <xdr:sp macro="" textlink="">
      <xdr:nvSpPr>
        <xdr:cNvPr id="8021" name="AutoShape 277" descr="CHILE2"/>
        <xdr:cNvSpPr>
          <a:spLocks noChangeAspect="1" noChangeArrowheads="1"/>
        </xdr:cNvSpPr>
      </xdr:nvSpPr>
      <xdr:spPr bwMode="auto">
        <a:xfrm>
          <a:off x="0" y="57142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279</xdr:row>
      <xdr:rowOff>0</xdr:rowOff>
    </xdr:from>
    <xdr:to>
      <xdr:col>22</xdr:col>
      <xdr:colOff>304800</xdr:colOff>
      <xdr:row>280</xdr:row>
      <xdr:rowOff>129540</xdr:rowOff>
    </xdr:to>
    <xdr:sp macro="" textlink="">
      <xdr:nvSpPr>
        <xdr:cNvPr id="8022" name="AutoShape 278" descr="https://www.soccerstats.com/img/own/sshplogo.png">
          <a:hlinkClick xmlns:r="http://schemas.openxmlformats.org/officeDocument/2006/relationships" r:id="rId142"/>
        </xdr:cNvPr>
        <xdr:cNvSpPr>
          <a:spLocks noChangeAspect="1" noChangeArrowheads="1"/>
        </xdr:cNvSpPr>
      </xdr:nvSpPr>
      <xdr:spPr bwMode="auto">
        <a:xfrm>
          <a:off x="13411200" y="57142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152400</xdr:colOff>
      <xdr:row>280</xdr:row>
      <xdr:rowOff>106680</xdr:rowOff>
    </xdr:to>
    <xdr:sp macro="" textlink="">
      <xdr:nvSpPr>
        <xdr:cNvPr id="8023" name="AutoShape 279" descr="CHINA"/>
        <xdr:cNvSpPr>
          <a:spLocks noChangeAspect="1" noChangeArrowheads="1"/>
        </xdr:cNvSpPr>
      </xdr:nvSpPr>
      <xdr:spPr bwMode="auto">
        <a:xfrm>
          <a:off x="0" y="57317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280</xdr:row>
      <xdr:rowOff>0</xdr:rowOff>
    </xdr:from>
    <xdr:to>
      <xdr:col>22</xdr:col>
      <xdr:colOff>304800</xdr:colOff>
      <xdr:row>281</xdr:row>
      <xdr:rowOff>53340</xdr:rowOff>
    </xdr:to>
    <xdr:sp macro="" textlink="">
      <xdr:nvSpPr>
        <xdr:cNvPr id="8024" name="AutoShape 280" descr="https://www.soccerstats.com/img/own/sshplogo.png">
          <a:hlinkClick xmlns:r="http://schemas.openxmlformats.org/officeDocument/2006/relationships" r:id="rId143"/>
        </xdr:cNvPr>
        <xdr:cNvSpPr>
          <a:spLocks noChangeAspect="1" noChangeArrowheads="1"/>
        </xdr:cNvSpPr>
      </xdr:nvSpPr>
      <xdr:spPr bwMode="auto">
        <a:xfrm>
          <a:off x="13411200" y="57317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152400</xdr:colOff>
      <xdr:row>281</xdr:row>
      <xdr:rowOff>106680</xdr:rowOff>
    </xdr:to>
    <xdr:sp macro="" textlink="">
      <xdr:nvSpPr>
        <xdr:cNvPr id="8025" name="AutoShape 281" descr="CHINA"/>
        <xdr:cNvSpPr>
          <a:spLocks noChangeAspect="1" noChangeArrowheads="1"/>
        </xdr:cNvSpPr>
      </xdr:nvSpPr>
      <xdr:spPr bwMode="auto">
        <a:xfrm>
          <a:off x="0" y="57569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281</xdr:row>
      <xdr:rowOff>0</xdr:rowOff>
    </xdr:from>
    <xdr:to>
      <xdr:col>22</xdr:col>
      <xdr:colOff>304800</xdr:colOff>
      <xdr:row>282</xdr:row>
      <xdr:rowOff>53340</xdr:rowOff>
    </xdr:to>
    <xdr:sp macro="" textlink="">
      <xdr:nvSpPr>
        <xdr:cNvPr id="8026" name="AutoShape 282" descr="https://www.soccerstats.com/img/own/sshplogo.png">
          <a:hlinkClick xmlns:r="http://schemas.openxmlformats.org/officeDocument/2006/relationships" r:id="rId144"/>
        </xdr:cNvPr>
        <xdr:cNvSpPr>
          <a:spLocks noChangeAspect="1" noChangeArrowheads="1"/>
        </xdr:cNvSpPr>
      </xdr:nvSpPr>
      <xdr:spPr bwMode="auto">
        <a:xfrm>
          <a:off x="13411200" y="5756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152400</xdr:colOff>
      <xdr:row>282</xdr:row>
      <xdr:rowOff>106680</xdr:rowOff>
    </xdr:to>
    <xdr:sp macro="" textlink="">
      <xdr:nvSpPr>
        <xdr:cNvPr id="8027" name="AutoShape 283" descr="CHINA"/>
        <xdr:cNvSpPr>
          <a:spLocks noChangeAspect="1" noChangeArrowheads="1"/>
        </xdr:cNvSpPr>
      </xdr:nvSpPr>
      <xdr:spPr bwMode="auto">
        <a:xfrm>
          <a:off x="0" y="57820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282</xdr:row>
      <xdr:rowOff>0</xdr:rowOff>
    </xdr:from>
    <xdr:to>
      <xdr:col>22</xdr:col>
      <xdr:colOff>304800</xdr:colOff>
      <xdr:row>283</xdr:row>
      <xdr:rowOff>129540</xdr:rowOff>
    </xdr:to>
    <xdr:sp macro="" textlink="">
      <xdr:nvSpPr>
        <xdr:cNvPr id="8028" name="AutoShape 284" descr="https://www.soccerstats.com/img/own/sshplogo.png">
          <a:hlinkClick xmlns:r="http://schemas.openxmlformats.org/officeDocument/2006/relationships" r:id="rId145"/>
        </xdr:cNvPr>
        <xdr:cNvSpPr>
          <a:spLocks noChangeAspect="1" noChangeArrowheads="1"/>
        </xdr:cNvSpPr>
      </xdr:nvSpPr>
      <xdr:spPr bwMode="auto">
        <a:xfrm>
          <a:off x="13411200" y="57820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152400</xdr:colOff>
      <xdr:row>283</xdr:row>
      <xdr:rowOff>106680</xdr:rowOff>
    </xdr:to>
    <xdr:sp macro="" textlink="">
      <xdr:nvSpPr>
        <xdr:cNvPr id="8029" name="AutoShape 285" descr="CHINA"/>
        <xdr:cNvSpPr>
          <a:spLocks noChangeAspect="1" noChangeArrowheads="1"/>
        </xdr:cNvSpPr>
      </xdr:nvSpPr>
      <xdr:spPr bwMode="auto">
        <a:xfrm>
          <a:off x="0" y="57995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283</xdr:row>
      <xdr:rowOff>0</xdr:rowOff>
    </xdr:from>
    <xdr:to>
      <xdr:col>22</xdr:col>
      <xdr:colOff>304800</xdr:colOff>
      <xdr:row>284</xdr:row>
      <xdr:rowOff>129540</xdr:rowOff>
    </xdr:to>
    <xdr:sp macro="" textlink="">
      <xdr:nvSpPr>
        <xdr:cNvPr id="8030" name="AutoShape 286" descr="https://www.soccerstats.com/img/own/sshplogo.png">
          <a:hlinkClick xmlns:r="http://schemas.openxmlformats.org/officeDocument/2006/relationships" r:id="rId146"/>
        </xdr:cNvPr>
        <xdr:cNvSpPr>
          <a:spLocks noChangeAspect="1" noChangeArrowheads="1"/>
        </xdr:cNvSpPr>
      </xdr:nvSpPr>
      <xdr:spPr bwMode="auto">
        <a:xfrm>
          <a:off x="13411200" y="57995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152400</xdr:colOff>
      <xdr:row>284</xdr:row>
      <xdr:rowOff>106680</xdr:rowOff>
    </xdr:to>
    <xdr:sp macro="" textlink="">
      <xdr:nvSpPr>
        <xdr:cNvPr id="8031" name="AutoShape 287" descr="CHINA"/>
        <xdr:cNvSpPr>
          <a:spLocks noChangeAspect="1" noChangeArrowheads="1"/>
        </xdr:cNvSpPr>
      </xdr:nvSpPr>
      <xdr:spPr bwMode="auto">
        <a:xfrm>
          <a:off x="0" y="58171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284</xdr:row>
      <xdr:rowOff>0</xdr:rowOff>
    </xdr:from>
    <xdr:to>
      <xdr:col>22</xdr:col>
      <xdr:colOff>304800</xdr:colOff>
      <xdr:row>285</xdr:row>
      <xdr:rowOff>53340</xdr:rowOff>
    </xdr:to>
    <xdr:sp macro="" textlink="">
      <xdr:nvSpPr>
        <xdr:cNvPr id="8032" name="AutoShape 288" descr="https://www.soccerstats.com/img/own/sshplogo.png">
          <a:hlinkClick xmlns:r="http://schemas.openxmlformats.org/officeDocument/2006/relationships" r:id="rId147"/>
        </xdr:cNvPr>
        <xdr:cNvSpPr>
          <a:spLocks noChangeAspect="1" noChangeArrowheads="1"/>
        </xdr:cNvSpPr>
      </xdr:nvSpPr>
      <xdr:spPr bwMode="auto">
        <a:xfrm>
          <a:off x="13411200" y="58171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152400</xdr:colOff>
      <xdr:row>285</xdr:row>
      <xdr:rowOff>106680</xdr:rowOff>
    </xdr:to>
    <xdr:sp macro="" textlink="">
      <xdr:nvSpPr>
        <xdr:cNvPr id="8033" name="AutoShape 289" descr="CHINA2"/>
        <xdr:cNvSpPr>
          <a:spLocks noChangeAspect="1" noChangeArrowheads="1"/>
        </xdr:cNvSpPr>
      </xdr:nvSpPr>
      <xdr:spPr bwMode="auto">
        <a:xfrm>
          <a:off x="0" y="58422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285</xdr:row>
      <xdr:rowOff>0</xdr:rowOff>
    </xdr:from>
    <xdr:to>
      <xdr:col>22</xdr:col>
      <xdr:colOff>304800</xdr:colOff>
      <xdr:row>286</xdr:row>
      <xdr:rowOff>53340</xdr:rowOff>
    </xdr:to>
    <xdr:sp macro="" textlink="">
      <xdr:nvSpPr>
        <xdr:cNvPr id="8034" name="AutoShape 290" descr="https://www.soccerstats.com/img/own/sshplogo.png">
          <a:hlinkClick xmlns:r="http://schemas.openxmlformats.org/officeDocument/2006/relationships" r:id="rId148"/>
        </xdr:cNvPr>
        <xdr:cNvSpPr>
          <a:spLocks noChangeAspect="1" noChangeArrowheads="1"/>
        </xdr:cNvSpPr>
      </xdr:nvSpPr>
      <xdr:spPr bwMode="auto">
        <a:xfrm>
          <a:off x="13411200" y="58422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152400</xdr:colOff>
      <xdr:row>286</xdr:row>
      <xdr:rowOff>106680</xdr:rowOff>
    </xdr:to>
    <xdr:sp macro="" textlink="">
      <xdr:nvSpPr>
        <xdr:cNvPr id="8035" name="AutoShape 291" descr="CHINA2"/>
        <xdr:cNvSpPr>
          <a:spLocks noChangeAspect="1" noChangeArrowheads="1"/>
        </xdr:cNvSpPr>
      </xdr:nvSpPr>
      <xdr:spPr bwMode="auto">
        <a:xfrm>
          <a:off x="0" y="58674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286</xdr:row>
      <xdr:rowOff>0</xdr:rowOff>
    </xdr:from>
    <xdr:to>
      <xdr:col>22</xdr:col>
      <xdr:colOff>304800</xdr:colOff>
      <xdr:row>287</xdr:row>
      <xdr:rowOff>53340</xdr:rowOff>
    </xdr:to>
    <xdr:sp macro="" textlink="">
      <xdr:nvSpPr>
        <xdr:cNvPr id="8036" name="AutoShape 292" descr="https://www.soccerstats.com/img/own/sshplogo.png">
          <a:hlinkClick xmlns:r="http://schemas.openxmlformats.org/officeDocument/2006/relationships" r:id="rId150"/>
        </xdr:cNvPr>
        <xdr:cNvSpPr>
          <a:spLocks noChangeAspect="1" noChangeArrowheads="1"/>
        </xdr:cNvSpPr>
      </xdr:nvSpPr>
      <xdr:spPr bwMode="auto">
        <a:xfrm>
          <a:off x="13411200" y="586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152400</xdr:colOff>
      <xdr:row>287</xdr:row>
      <xdr:rowOff>106680</xdr:rowOff>
    </xdr:to>
    <xdr:sp macro="" textlink="">
      <xdr:nvSpPr>
        <xdr:cNvPr id="8037" name="AutoShape 293" descr="CHINA2"/>
        <xdr:cNvSpPr>
          <a:spLocks noChangeAspect="1" noChangeArrowheads="1"/>
        </xdr:cNvSpPr>
      </xdr:nvSpPr>
      <xdr:spPr bwMode="auto">
        <a:xfrm>
          <a:off x="0" y="58925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287</xdr:row>
      <xdr:rowOff>0</xdr:rowOff>
    </xdr:from>
    <xdr:to>
      <xdr:col>22</xdr:col>
      <xdr:colOff>304800</xdr:colOff>
      <xdr:row>288</xdr:row>
      <xdr:rowOff>53340</xdr:rowOff>
    </xdr:to>
    <xdr:sp macro="" textlink="">
      <xdr:nvSpPr>
        <xdr:cNvPr id="8038" name="AutoShape 294" descr="https://www.soccerstats.com/img/own/sshplogo.png">
          <a:hlinkClick xmlns:r="http://schemas.openxmlformats.org/officeDocument/2006/relationships" r:id="rId151"/>
        </xdr:cNvPr>
        <xdr:cNvSpPr>
          <a:spLocks noChangeAspect="1" noChangeArrowheads="1"/>
        </xdr:cNvSpPr>
      </xdr:nvSpPr>
      <xdr:spPr bwMode="auto">
        <a:xfrm>
          <a:off x="13411200" y="5892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152400</xdr:colOff>
      <xdr:row>288</xdr:row>
      <xdr:rowOff>106680</xdr:rowOff>
    </xdr:to>
    <xdr:sp macro="" textlink="">
      <xdr:nvSpPr>
        <xdr:cNvPr id="8039" name="AutoShape 295" descr="COLOMBIA2"/>
        <xdr:cNvSpPr>
          <a:spLocks noChangeAspect="1" noChangeArrowheads="1"/>
        </xdr:cNvSpPr>
      </xdr:nvSpPr>
      <xdr:spPr bwMode="auto">
        <a:xfrm>
          <a:off x="0" y="59176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288</xdr:row>
      <xdr:rowOff>0</xdr:rowOff>
    </xdr:from>
    <xdr:to>
      <xdr:col>22</xdr:col>
      <xdr:colOff>304800</xdr:colOff>
      <xdr:row>289</xdr:row>
      <xdr:rowOff>129540</xdr:rowOff>
    </xdr:to>
    <xdr:sp macro="" textlink="">
      <xdr:nvSpPr>
        <xdr:cNvPr id="8040" name="AutoShape 296" descr="https://www.soccerstats.com/img/own/sshplogo.png">
          <a:hlinkClick xmlns:r="http://schemas.openxmlformats.org/officeDocument/2006/relationships" r:id="rId152"/>
        </xdr:cNvPr>
        <xdr:cNvSpPr>
          <a:spLocks noChangeAspect="1" noChangeArrowheads="1"/>
        </xdr:cNvSpPr>
      </xdr:nvSpPr>
      <xdr:spPr bwMode="auto">
        <a:xfrm>
          <a:off x="13411200" y="59176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152400</xdr:colOff>
      <xdr:row>289</xdr:row>
      <xdr:rowOff>106680</xdr:rowOff>
    </xdr:to>
    <xdr:sp macro="" textlink="">
      <xdr:nvSpPr>
        <xdr:cNvPr id="8041" name="AutoShape 297" descr="COSTARICA"/>
        <xdr:cNvSpPr>
          <a:spLocks noChangeAspect="1" noChangeArrowheads="1"/>
        </xdr:cNvSpPr>
      </xdr:nvSpPr>
      <xdr:spPr bwMode="auto">
        <a:xfrm>
          <a:off x="0" y="59352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289</xdr:row>
      <xdr:rowOff>0</xdr:rowOff>
    </xdr:from>
    <xdr:to>
      <xdr:col>22</xdr:col>
      <xdr:colOff>304800</xdr:colOff>
      <xdr:row>290</xdr:row>
      <xdr:rowOff>129540</xdr:rowOff>
    </xdr:to>
    <xdr:sp macro="" textlink="">
      <xdr:nvSpPr>
        <xdr:cNvPr id="8042" name="AutoShape 298" descr="https://www.soccerstats.com/img/own/sshplogo.png">
          <a:hlinkClick xmlns:r="http://schemas.openxmlformats.org/officeDocument/2006/relationships" r:id="rId153"/>
        </xdr:cNvPr>
        <xdr:cNvSpPr>
          <a:spLocks noChangeAspect="1" noChangeArrowheads="1"/>
        </xdr:cNvSpPr>
      </xdr:nvSpPr>
      <xdr:spPr bwMode="auto">
        <a:xfrm>
          <a:off x="13411200" y="59352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152400</xdr:colOff>
      <xdr:row>290</xdr:row>
      <xdr:rowOff>106680</xdr:rowOff>
    </xdr:to>
    <xdr:sp macro="" textlink="">
      <xdr:nvSpPr>
        <xdr:cNvPr id="8043" name="AutoShape 299" descr="COSTARICA"/>
        <xdr:cNvSpPr>
          <a:spLocks noChangeAspect="1" noChangeArrowheads="1"/>
        </xdr:cNvSpPr>
      </xdr:nvSpPr>
      <xdr:spPr bwMode="auto">
        <a:xfrm>
          <a:off x="0" y="59527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290</xdr:row>
      <xdr:rowOff>0</xdr:rowOff>
    </xdr:from>
    <xdr:to>
      <xdr:col>22</xdr:col>
      <xdr:colOff>304800</xdr:colOff>
      <xdr:row>291</xdr:row>
      <xdr:rowOff>129540</xdr:rowOff>
    </xdr:to>
    <xdr:sp macro="" textlink="">
      <xdr:nvSpPr>
        <xdr:cNvPr id="8044" name="AutoShape 300" descr="https://www.soccerstats.com/img/own/sshplogo.png">
          <a:hlinkClick xmlns:r="http://schemas.openxmlformats.org/officeDocument/2006/relationships" r:id="rId154"/>
        </xdr:cNvPr>
        <xdr:cNvSpPr>
          <a:spLocks noChangeAspect="1" noChangeArrowheads="1"/>
        </xdr:cNvSpPr>
      </xdr:nvSpPr>
      <xdr:spPr bwMode="auto">
        <a:xfrm>
          <a:off x="13411200" y="59527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152400</xdr:colOff>
      <xdr:row>291</xdr:row>
      <xdr:rowOff>106680</xdr:rowOff>
    </xdr:to>
    <xdr:sp macro="" textlink="">
      <xdr:nvSpPr>
        <xdr:cNvPr id="8045" name="AutoShape 301" descr="CROATIA"/>
        <xdr:cNvSpPr>
          <a:spLocks noChangeAspect="1" noChangeArrowheads="1"/>
        </xdr:cNvSpPr>
      </xdr:nvSpPr>
      <xdr:spPr bwMode="auto">
        <a:xfrm>
          <a:off x="0" y="59702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291</xdr:row>
      <xdr:rowOff>0</xdr:rowOff>
    </xdr:from>
    <xdr:to>
      <xdr:col>22</xdr:col>
      <xdr:colOff>304800</xdr:colOff>
      <xdr:row>292</xdr:row>
      <xdr:rowOff>53340</xdr:rowOff>
    </xdr:to>
    <xdr:sp macro="" textlink="">
      <xdr:nvSpPr>
        <xdr:cNvPr id="8046" name="AutoShape 302" descr="https://www.soccerstats.com/img/own/sshplogo.png">
          <a:hlinkClick xmlns:r="http://schemas.openxmlformats.org/officeDocument/2006/relationships" r:id="rId155"/>
        </xdr:cNvPr>
        <xdr:cNvSpPr>
          <a:spLocks noChangeAspect="1" noChangeArrowheads="1"/>
        </xdr:cNvSpPr>
      </xdr:nvSpPr>
      <xdr:spPr bwMode="auto">
        <a:xfrm>
          <a:off x="13411200" y="59702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152400</xdr:colOff>
      <xdr:row>292</xdr:row>
      <xdr:rowOff>106680</xdr:rowOff>
    </xdr:to>
    <xdr:sp macro="" textlink="">
      <xdr:nvSpPr>
        <xdr:cNvPr id="8047" name="AutoShape 303" descr="CROATIA"/>
        <xdr:cNvSpPr>
          <a:spLocks noChangeAspect="1" noChangeArrowheads="1"/>
        </xdr:cNvSpPr>
      </xdr:nvSpPr>
      <xdr:spPr bwMode="auto">
        <a:xfrm>
          <a:off x="0" y="59954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292</xdr:row>
      <xdr:rowOff>0</xdr:rowOff>
    </xdr:from>
    <xdr:to>
      <xdr:col>22</xdr:col>
      <xdr:colOff>304800</xdr:colOff>
      <xdr:row>293</xdr:row>
      <xdr:rowOff>129540</xdr:rowOff>
    </xdr:to>
    <xdr:sp macro="" textlink="">
      <xdr:nvSpPr>
        <xdr:cNvPr id="8048" name="AutoShape 304" descr="https://www.soccerstats.com/img/own/sshplogo.png">
          <a:hlinkClick xmlns:r="http://schemas.openxmlformats.org/officeDocument/2006/relationships" r:id="rId156"/>
        </xdr:cNvPr>
        <xdr:cNvSpPr>
          <a:spLocks noChangeAspect="1" noChangeArrowheads="1"/>
        </xdr:cNvSpPr>
      </xdr:nvSpPr>
      <xdr:spPr bwMode="auto">
        <a:xfrm>
          <a:off x="13411200" y="59954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152400</xdr:colOff>
      <xdr:row>293</xdr:row>
      <xdr:rowOff>106680</xdr:rowOff>
    </xdr:to>
    <xdr:sp macro="" textlink="">
      <xdr:nvSpPr>
        <xdr:cNvPr id="8049" name="AutoShape 305" descr="CZECHREPUBLIC"/>
        <xdr:cNvSpPr>
          <a:spLocks noChangeAspect="1" noChangeArrowheads="1"/>
        </xdr:cNvSpPr>
      </xdr:nvSpPr>
      <xdr:spPr bwMode="auto">
        <a:xfrm>
          <a:off x="0" y="60129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293</xdr:row>
      <xdr:rowOff>0</xdr:rowOff>
    </xdr:from>
    <xdr:to>
      <xdr:col>22</xdr:col>
      <xdr:colOff>304800</xdr:colOff>
      <xdr:row>294</xdr:row>
      <xdr:rowOff>129540</xdr:rowOff>
    </xdr:to>
    <xdr:sp macro="" textlink="">
      <xdr:nvSpPr>
        <xdr:cNvPr id="8050" name="AutoShape 306" descr="https://www.soccerstats.com/img/own/sshplogo.png">
          <a:hlinkClick xmlns:r="http://schemas.openxmlformats.org/officeDocument/2006/relationships" r:id="rId157"/>
        </xdr:cNvPr>
        <xdr:cNvSpPr>
          <a:spLocks noChangeAspect="1" noChangeArrowheads="1"/>
        </xdr:cNvSpPr>
      </xdr:nvSpPr>
      <xdr:spPr bwMode="auto">
        <a:xfrm>
          <a:off x="13411200" y="60129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152400</xdr:colOff>
      <xdr:row>294</xdr:row>
      <xdr:rowOff>106680</xdr:rowOff>
    </xdr:to>
    <xdr:sp macro="" textlink="">
      <xdr:nvSpPr>
        <xdr:cNvPr id="8051" name="AutoShape 307" descr="CZECHREPUBLIC"/>
        <xdr:cNvSpPr>
          <a:spLocks noChangeAspect="1" noChangeArrowheads="1"/>
        </xdr:cNvSpPr>
      </xdr:nvSpPr>
      <xdr:spPr bwMode="auto">
        <a:xfrm>
          <a:off x="0" y="60304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294</xdr:row>
      <xdr:rowOff>0</xdr:rowOff>
    </xdr:from>
    <xdr:to>
      <xdr:col>22</xdr:col>
      <xdr:colOff>304800</xdr:colOff>
      <xdr:row>295</xdr:row>
      <xdr:rowOff>129540</xdr:rowOff>
    </xdr:to>
    <xdr:sp macro="" textlink="">
      <xdr:nvSpPr>
        <xdr:cNvPr id="8052" name="AutoShape 308" descr="https://www.soccerstats.com/img/own/sshplogo.png">
          <a:hlinkClick xmlns:r="http://schemas.openxmlformats.org/officeDocument/2006/relationships" r:id="rId158"/>
        </xdr:cNvPr>
        <xdr:cNvSpPr>
          <a:spLocks noChangeAspect="1" noChangeArrowheads="1"/>
        </xdr:cNvSpPr>
      </xdr:nvSpPr>
      <xdr:spPr bwMode="auto">
        <a:xfrm>
          <a:off x="13411200" y="60304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152400</xdr:colOff>
      <xdr:row>295</xdr:row>
      <xdr:rowOff>106680</xdr:rowOff>
    </xdr:to>
    <xdr:sp macro="" textlink="">
      <xdr:nvSpPr>
        <xdr:cNvPr id="8053" name="AutoShape 309" descr="CZECHREPUBLIC"/>
        <xdr:cNvSpPr>
          <a:spLocks noChangeAspect="1" noChangeArrowheads="1"/>
        </xdr:cNvSpPr>
      </xdr:nvSpPr>
      <xdr:spPr bwMode="auto">
        <a:xfrm>
          <a:off x="0" y="60479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295</xdr:row>
      <xdr:rowOff>0</xdr:rowOff>
    </xdr:from>
    <xdr:to>
      <xdr:col>22</xdr:col>
      <xdr:colOff>304800</xdr:colOff>
      <xdr:row>296</xdr:row>
      <xdr:rowOff>53340</xdr:rowOff>
    </xdr:to>
    <xdr:sp macro="" textlink="">
      <xdr:nvSpPr>
        <xdr:cNvPr id="8054" name="AutoShape 310" descr="https://www.soccerstats.com/img/own/sshplogo.png">
          <a:hlinkClick xmlns:r="http://schemas.openxmlformats.org/officeDocument/2006/relationships" r:id="rId159"/>
        </xdr:cNvPr>
        <xdr:cNvSpPr>
          <a:spLocks noChangeAspect="1" noChangeArrowheads="1"/>
        </xdr:cNvSpPr>
      </xdr:nvSpPr>
      <xdr:spPr bwMode="auto">
        <a:xfrm>
          <a:off x="13411200" y="60479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152400</xdr:colOff>
      <xdr:row>296</xdr:row>
      <xdr:rowOff>106680</xdr:rowOff>
    </xdr:to>
    <xdr:sp macro="" textlink="">
      <xdr:nvSpPr>
        <xdr:cNvPr id="8055" name="AutoShape 311" descr="CZECHREPUBLIC"/>
        <xdr:cNvSpPr>
          <a:spLocks noChangeAspect="1" noChangeArrowheads="1"/>
        </xdr:cNvSpPr>
      </xdr:nvSpPr>
      <xdr:spPr bwMode="auto">
        <a:xfrm>
          <a:off x="0" y="60731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296</xdr:row>
      <xdr:rowOff>0</xdr:rowOff>
    </xdr:from>
    <xdr:to>
      <xdr:col>22</xdr:col>
      <xdr:colOff>304800</xdr:colOff>
      <xdr:row>297</xdr:row>
      <xdr:rowOff>53340</xdr:rowOff>
    </xdr:to>
    <xdr:sp macro="" textlink="">
      <xdr:nvSpPr>
        <xdr:cNvPr id="8056" name="AutoShape 312" descr="https://www.soccerstats.com/img/own/sshplogo.png">
          <a:hlinkClick xmlns:r="http://schemas.openxmlformats.org/officeDocument/2006/relationships" r:id="rId160"/>
        </xdr:cNvPr>
        <xdr:cNvSpPr>
          <a:spLocks noChangeAspect="1" noChangeArrowheads="1"/>
        </xdr:cNvSpPr>
      </xdr:nvSpPr>
      <xdr:spPr bwMode="auto">
        <a:xfrm>
          <a:off x="13411200" y="60731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152400</xdr:colOff>
      <xdr:row>297</xdr:row>
      <xdr:rowOff>106680</xdr:rowOff>
    </xdr:to>
    <xdr:sp macro="" textlink="">
      <xdr:nvSpPr>
        <xdr:cNvPr id="8057" name="AutoShape 313" descr="CZECHREPUBLIC"/>
        <xdr:cNvSpPr>
          <a:spLocks noChangeAspect="1" noChangeArrowheads="1"/>
        </xdr:cNvSpPr>
      </xdr:nvSpPr>
      <xdr:spPr bwMode="auto">
        <a:xfrm>
          <a:off x="0" y="60982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297</xdr:row>
      <xdr:rowOff>0</xdr:rowOff>
    </xdr:from>
    <xdr:to>
      <xdr:col>22</xdr:col>
      <xdr:colOff>304800</xdr:colOff>
      <xdr:row>298</xdr:row>
      <xdr:rowOff>53340</xdr:rowOff>
    </xdr:to>
    <xdr:sp macro="" textlink="">
      <xdr:nvSpPr>
        <xdr:cNvPr id="8058" name="AutoShape 314" descr="https://www.soccerstats.com/img/own/sshplogo.png">
          <a:hlinkClick xmlns:r="http://schemas.openxmlformats.org/officeDocument/2006/relationships" r:id="rId161"/>
        </xdr:cNvPr>
        <xdr:cNvSpPr>
          <a:spLocks noChangeAspect="1" noChangeArrowheads="1"/>
        </xdr:cNvSpPr>
      </xdr:nvSpPr>
      <xdr:spPr bwMode="auto">
        <a:xfrm>
          <a:off x="13411200" y="60982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152400</xdr:colOff>
      <xdr:row>298</xdr:row>
      <xdr:rowOff>106680</xdr:rowOff>
    </xdr:to>
    <xdr:sp macro="" textlink="">
      <xdr:nvSpPr>
        <xdr:cNvPr id="8059" name="AutoShape 315" descr="CZECHREPUBLIC"/>
        <xdr:cNvSpPr>
          <a:spLocks noChangeAspect="1" noChangeArrowheads="1"/>
        </xdr:cNvSpPr>
      </xdr:nvSpPr>
      <xdr:spPr bwMode="auto">
        <a:xfrm>
          <a:off x="0" y="61234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298</xdr:row>
      <xdr:rowOff>0</xdr:rowOff>
    </xdr:from>
    <xdr:to>
      <xdr:col>22</xdr:col>
      <xdr:colOff>304800</xdr:colOff>
      <xdr:row>299</xdr:row>
      <xdr:rowOff>129540</xdr:rowOff>
    </xdr:to>
    <xdr:sp macro="" textlink="">
      <xdr:nvSpPr>
        <xdr:cNvPr id="8060" name="AutoShape 316" descr="https://www.soccerstats.com/img/own/sshplogo.png">
          <a:hlinkClick xmlns:r="http://schemas.openxmlformats.org/officeDocument/2006/relationships" r:id="rId162"/>
        </xdr:cNvPr>
        <xdr:cNvSpPr>
          <a:spLocks noChangeAspect="1" noChangeArrowheads="1"/>
        </xdr:cNvSpPr>
      </xdr:nvSpPr>
      <xdr:spPr bwMode="auto">
        <a:xfrm>
          <a:off x="13411200" y="61234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152400</xdr:colOff>
      <xdr:row>299</xdr:row>
      <xdr:rowOff>106680</xdr:rowOff>
    </xdr:to>
    <xdr:sp macro="" textlink="">
      <xdr:nvSpPr>
        <xdr:cNvPr id="8061" name="AutoShape 317" descr="CZECHREPUBLIC"/>
        <xdr:cNvSpPr>
          <a:spLocks noChangeAspect="1" noChangeArrowheads="1"/>
        </xdr:cNvSpPr>
      </xdr:nvSpPr>
      <xdr:spPr bwMode="auto">
        <a:xfrm>
          <a:off x="0" y="61409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299</xdr:row>
      <xdr:rowOff>0</xdr:rowOff>
    </xdr:from>
    <xdr:to>
      <xdr:col>22</xdr:col>
      <xdr:colOff>304800</xdr:colOff>
      <xdr:row>300</xdr:row>
      <xdr:rowOff>129540</xdr:rowOff>
    </xdr:to>
    <xdr:sp macro="" textlink="">
      <xdr:nvSpPr>
        <xdr:cNvPr id="8062" name="AutoShape 318" descr="https://www.soccerstats.com/img/own/sshplogo.png">
          <a:hlinkClick xmlns:r="http://schemas.openxmlformats.org/officeDocument/2006/relationships" r:id="rId163"/>
        </xdr:cNvPr>
        <xdr:cNvSpPr>
          <a:spLocks noChangeAspect="1" noChangeArrowheads="1"/>
        </xdr:cNvSpPr>
      </xdr:nvSpPr>
      <xdr:spPr bwMode="auto">
        <a:xfrm>
          <a:off x="13411200" y="61409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152400</xdr:colOff>
      <xdr:row>300</xdr:row>
      <xdr:rowOff>106680</xdr:rowOff>
    </xdr:to>
    <xdr:sp macro="" textlink="">
      <xdr:nvSpPr>
        <xdr:cNvPr id="8063" name="AutoShape 319" descr="CZECHREPUBLIC"/>
        <xdr:cNvSpPr>
          <a:spLocks noChangeAspect="1" noChangeArrowheads="1"/>
        </xdr:cNvSpPr>
      </xdr:nvSpPr>
      <xdr:spPr bwMode="auto">
        <a:xfrm>
          <a:off x="0" y="61584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300</xdr:row>
      <xdr:rowOff>0</xdr:rowOff>
    </xdr:from>
    <xdr:to>
      <xdr:col>22</xdr:col>
      <xdr:colOff>304800</xdr:colOff>
      <xdr:row>301</xdr:row>
      <xdr:rowOff>53340</xdr:rowOff>
    </xdr:to>
    <xdr:sp macro="" textlink="">
      <xdr:nvSpPr>
        <xdr:cNvPr id="8064" name="AutoShape 320" descr="https://www.soccerstats.com/img/own/sshplogo.png">
          <a:hlinkClick xmlns:r="http://schemas.openxmlformats.org/officeDocument/2006/relationships" r:id="rId164"/>
        </xdr:cNvPr>
        <xdr:cNvSpPr>
          <a:spLocks noChangeAspect="1" noChangeArrowheads="1"/>
        </xdr:cNvSpPr>
      </xdr:nvSpPr>
      <xdr:spPr bwMode="auto">
        <a:xfrm>
          <a:off x="13411200" y="61584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152400</xdr:colOff>
      <xdr:row>301</xdr:row>
      <xdr:rowOff>106680</xdr:rowOff>
    </xdr:to>
    <xdr:sp macro="" textlink="">
      <xdr:nvSpPr>
        <xdr:cNvPr id="8065" name="AutoShape 321" descr="CZECHREPUBLIC2"/>
        <xdr:cNvSpPr>
          <a:spLocks noChangeAspect="1" noChangeArrowheads="1"/>
        </xdr:cNvSpPr>
      </xdr:nvSpPr>
      <xdr:spPr bwMode="auto">
        <a:xfrm>
          <a:off x="0" y="61836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301</xdr:row>
      <xdr:rowOff>0</xdr:rowOff>
    </xdr:from>
    <xdr:to>
      <xdr:col>22</xdr:col>
      <xdr:colOff>304800</xdr:colOff>
      <xdr:row>302</xdr:row>
      <xdr:rowOff>53340</xdr:rowOff>
    </xdr:to>
    <xdr:sp macro="" textlink="">
      <xdr:nvSpPr>
        <xdr:cNvPr id="8066" name="AutoShape 322" descr="https://www.soccerstats.com/img/own/sshplogo.png">
          <a:hlinkClick xmlns:r="http://schemas.openxmlformats.org/officeDocument/2006/relationships" r:id="rId165"/>
        </xdr:cNvPr>
        <xdr:cNvSpPr>
          <a:spLocks noChangeAspect="1" noChangeArrowheads="1"/>
        </xdr:cNvSpPr>
      </xdr:nvSpPr>
      <xdr:spPr bwMode="auto">
        <a:xfrm>
          <a:off x="13411200" y="6183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152400</xdr:colOff>
      <xdr:row>302</xdr:row>
      <xdr:rowOff>106680</xdr:rowOff>
    </xdr:to>
    <xdr:sp macro="" textlink="">
      <xdr:nvSpPr>
        <xdr:cNvPr id="8067" name="AutoShape 323" descr="CZECHREPUBLIC2"/>
        <xdr:cNvSpPr>
          <a:spLocks noChangeAspect="1" noChangeArrowheads="1"/>
        </xdr:cNvSpPr>
      </xdr:nvSpPr>
      <xdr:spPr bwMode="auto">
        <a:xfrm>
          <a:off x="0" y="62087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302</xdr:row>
      <xdr:rowOff>0</xdr:rowOff>
    </xdr:from>
    <xdr:to>
      <xdr:col>22</xdr:col>
      <xdr:colOff>304800</xdr:colOff>
      <xdr:row>303</xdr:row>
      <xdr:rowOff>129540</xdr:rowOff>
    </xdr:to>
    <xdr:sp macro="" textlink="">
      <xdr:nvSpPr>
        <xdr:cNvPr id="8068" name="AutoShape 324" descr="https://www.soccerstats.com/img/own/sshplogo.png">
          <a:hlinkClick xmlns:r="http://schemas.openxmlformats.org/officeDocument/2006/relationships" r:id="rId166"/>
        </xdr:cNvPr>
        <xdr:cNvSpPr>
          <a:spLocks noChangeAspect="1" noChangeArrowheads="1"/>
        </xdr:cNvSpPr>
      </xdr:nvSpPr>
      <xdr:spPr bwMode="auto">
        <a:xfrm>
          <a:off x="13411200" y="62087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152400</xdr:colOff>
      <xdr:row>303</xdr:row>
      <xdr:rowOff>106680</xdr:rowOff>
    </xdr:to>
    <xdr:sp macro="" textlink="">
      <xdr:nvSpPr>
        <xdr:cNvPr id="8069" name="AutoShape 325" descr="CZECHREPUBLIC2"/>
        <xdr:cNvSpPr>
          <a:spLocks noChangeAspect="1" noChangeArrowheads="1"/>
        </xdr:cNvSpPr>
      </xdr:nvSpPr>
      <xdr:spPr bwMode="auto">
        <a:xfrm>
          <a:off x="0" y="62263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303</xdr:row>
      <xdr:rowOff>0</xdr:rowOff>
    </xdr:from>
    <xdr:to>
      <xdr:col>22</xdr:col>
      <xdr:colOff>304800</xdr:colOff>
      <xdr:row>304</xdr:row>
      <xdr:rowOff>53340</xdr:rowOff>
    </xdr:to>
    <xdr:sp macro="" textlink="">
      <xdr:nvSpPr>
        <xdr:cNvPr id="8070" name="AutoShape 326" descr="https://www.soccerstats.com/img/own/sshplogo.png">
          <a:hlinkClick xmlns:r="http://schemas.openxmlformats.org/officeDocument/2006/relationships" r:id="rId167"/>
        </xdr:cNvPr>
        <xdr:cNvSpPr>
          <a:spLocks noChangeAspect="1" noChangeArrowheads="1"/>
        </xdr:cNvSpPr>
      </xdr:nvSpPr>
      <xdr:spPr bwMode="auto">
        <a:xfrm>
          <a:off x="13411200" y="62263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152400</xdr:colOff>
      <xdr:row>304</xdr:row>
      <xdr:rowOff>106680</xdr:rowOff>
    </xdr:to>
    <xdr:sp macro="" textlink="">
      <xdr:nvSpPr>
        <xdr:cNvPr id="8071" name="AutoShape 327" descr="CZECHREPUBLIC2"/>
        <xdr:cNvSpPr>
          <a:spLocks noChangeAspect="1" noChangeArrowheads="1"/>
        </xdr:cNvSpPr>
      </xdr:nvSpPr>
      <xdr:spPr bwMode="auto">
        <a:xfrm>
          <a:off x="0" y="62514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304</xdr:row>
      <xdr:rowOff>0</xdr:rowOff>
    </xdr:from>
    <xdr:to>
      <xdr:col>22</xdr:col>
      <xdr:colOff>304800</xdr:colOff>
      <xdr:row>305</xdr:row>
      <xdr:rowOff>129540</xdr:rowOff>
    </xdr:to>
    <xdr:sp macro="" textlink="">
      <xdr:nvSpPr>
        <xdr:cNvPr id="8072" name="AutoShape 328" descr="https://www.soccerstats.com/img/own/sshplogo.png">
          <a:hlinkClick xmlns:r="http://schemas.openxmlformats.org/officeDocument/2006/relationships" r:id="rId168"/>
        </xdr:cNvPr>
        <xdr:cNvSpPr>
          <a:spLocks noChangeAspect="1" noChangeArrowheads="1"/>
        </xdr:cNvSpPr>
      </xdr:nvSpPr>
      <xdr:spPr bwMode="auto">
        <a:xfrm>
          <a:off x="13411200" y="62514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152400</xdr:colOff>
      <xdr:row>305</xdr:row>
      <xdr:rowOff>106680</xdr:rowOff>
    </xdr:to>
    <xdr:sp macro="" textlink="">
      <xdr:nvSpPr>
        <xdr:cNvPr id="8073" name="AutoShape 329" descr="DENMARK2"/>
        <xdr:cNvSpPr>
          <a:spLocks noChangeAspect="1" noChangeArrowheads="1"/>
        </xdr:cNvSpPr>
      </xdr:nvSpPr>
      <xdr:spPr bwMode="auto">
        <a:xfrm>
          <a:off x="0" y="62689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305</xdr:row>
      <xdr:rowOff>0</xdr:rowOff>
    </xdr:from>
    <xdr:to>
      <xdr:col>22</xdr:col>
      <xdr:colOff>304800</xdr:colOff>
      <xdr:row>306</xdr:row>
      <xdr:rowOff>53340</xdr:rowOff>
    </xdr:to>
    <xdr:sp macro="" textlink="">
      <xdr:nvSpPr>
        <xdr:cNvPr id="8074" name="AutoShape 330" descr="https://www.soccerstats.com/img/own/sshplogo.png">
          <a:hlinkClick xmlns:r="http://schemas.openxmlformats.org/officeDocument/2006/relationships" r:id="rId169"/>
        </xdr:cNvPr>
        <xdr:cNvSpPr>
          <a:spLocks noChangeAspect="1" noChangeArrowheads="1"/>
        </xdr:cNvSpPr>
      </xdr:nvSpPr>
      <xdr:spPr bwMode="auto">
        <a:xfrm>
          <a:off x="13411200" y="62689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152400</xdr:colOff>
      <xdr:row>306</xdr:row>
      <xdr:rowOff>106680</xdr:rowOff>
    </xdr:to>
    <xdr:sp macro="" textlink="">
      <xdr:nvSpPr>
        <xdr:cNvPr id="8075" name="AutoShape 331" descr="DENMARK2"/>
        <xdr:cNvSpPr>
          <a:spLocks noChangeAspect="1" noChangeArrowheads="1"/>
        </xdr:cNvSpPr>
      </xdr:nvSpPr>
      <xdr:spPr bwMode="auto">
        <a:xfrm>
          <a:off x="0" y="62941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306</xdr:row>
      <xdr:rowOff>0</xdr:rowOff>
    </xdr:from>
    <xdr:to>
      <xdr:col>22</xdr:col>
      <xdr:colOff>304800</xdr:colOff>
      <xdr:row>307</xdr:row>
      <xdr:rowOff>129540</xdr:rowOff>
    </xdr:to>
    <xdr:sp macro="" textlink="">
      <xdr:nvSpPr>
        <xdr:cNvPr id="8076" name="AutoShape 332" descr="https://www.soccerstats.com/img/own/sshplogo.png">
          <a:hlinkClick xmlns:r="http://schemas.openxmlformats.org/officeDocument/2006/relationships" r:id="rId170"/>
        </xdr:cNvPr>
        <xdr:cNvSpPr>
          <a:spLocks noChangeAspect="1" noChangeArrowheads="1"/>
        </xdr:cNvSpPr>
      </xdr:nvSpPr>
      <xdr:spPr bwMode="auto">
        <a:xfrm>
          <a:off x="13411200" y="62941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152400</xdr:colOff>
      <xdr:row>307</xdr:row>
      <xdr:rowOff>106680</xdr:rowOff>
    </xdr:to>
    <xdr:sp macro="" textlink="">
      <xdr:nvSpPr>
        <xdr:cNvPr id="8077" name="AutoShape 333" descr="DENMARK2"/>
        <xdr:cNvSpPr>
          <a:spLocks noChangeAspect="1" noChangeArrowheads="1"/>
        </xdr:cNvSpPr>
      </xdr:nvSpPr>
      <xdr:spPr bwMode="auto">
        <a:xfrm>
          <a:off x="0" y="63116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307</xdr:row>
      <xdr:rowOff>0</xdr:rowOff>
    </xdr:from>
    <xdr:to>
      <xdr:col>22</xdr:col>
      <xdr:colOff>304800</xdr:colOff>
      <xdr:row>308</xdr:row>
      <xdr:rowOff>129540</xdr:rowOff>
    </xdr:to>
    <xdr:sp macro="" textlink="">
      <xdr:nvSpPr>
        <xdr:cNvPr id="8078" name="AutoShape 334" descr="https://www.soccerstats.com/img/own/sshplogo.png">
          <a:hlinkClick xmlns:r="http://schemas.openxmlformats.org/officeDocument/2006/relationships" r:id="rId171"/>
        </xdr:cNvPr>
        <xdr:cNvSpPr>
          <a:spLocks noChangeAspect="1" noChangeArrowheads="1"/>
        </xdr:cNvSpPr>
      </xdr:nvSpPr>
      <xdr:spPr bwMode="auto">
        <a:xfrm>
          <a:off x="13411200" y="63116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152400</xdr:colOff>
      <xdr:row>308</xdr:row>
      <xdr:rowOff>106680</xdr:rowOff>
    </xdr:to>
    <xdr:sp macro="" textlink="">
      <xdr:nvSpPr>
        <xdr:cNvPr id="8079" name="AutoShape 335" descr="DENMARK3"/>
        <xdr:cNvSpPr>
          <a:spLocks noChangeAspect="1" noChangeArrowheads="1"/>
        </xdr:cNvSpPr>
      </xdr:nvSpPr>
      <xdr:spPr bwMode="auto">
        <a:xfrm>
          <a:off x="0" y="63291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308</xdr:row>
      <xdr:rowOff>0</xdr:rowOff>
    </xdr:from>
    <xdr:to>
      <xdr:col>22</xdr:col>
      <xdr:colOff>304800</xdr:colOff>
      <xdr:row>309</xdr:row>
      <xdr:rowOff>129540</xdr:rowOff>
    </xdr:to>
    <xdr:sp macro="" textlink="">
      <xdr:nvSpPr>
        <xdr:cNvPr id="8080" name="AutoShape 336" descr="https://www.soccerstats.com/img/own/sshplogo.png">
          <a:hlinkClick xmlns:r="http://schemas.openxmlformats.org/officeDocument/2006/relationships" r:id="rId172"/>
        </xdr:cNvPr>
        <xdr:cNvSpPr>
          <a:spLocks noChangeAspect="1" noChangeArrowheads="1"/>
        </xdr:cNvSpPr>
      </xdr:nvSpPr>
      <xdr:spPr bwMode="auto">
        <a:xfrm>
          <a:off x="13411200" y="63291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152400</xdr:colOff>
      <xdr:row>309</xdr:row>
      <xdr:rowOff>106680</xdr:rowOff>
    </xdr:to>
    <xdr:sp macro="" textlink="">
      <xdr:nvSpPr>
        <xdr:cNvPr id="8081" name="AutoShape 337" descr="DENMARK3"/>
        <xdr:cNvSpPr>
          <a:spLocks noChangeAspect="1" noChangeArrowheads="1"/>
        </xdr:cNvSpPr>
      </xdr:nvSpPr>
      <xdr:spPr bwMode="auto">
        <a:xfrm>
          <a:off x="0" y="63466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309</xdr:row>
      <xdr:rowOff>0</xdr:rowOff>
    </xdr:from>
    <xdr:to>
      <xdr:col>22</xdr:col>
      <xdr:colOff>304800</xdr:colOff>
      <xdr:row>310</xdr:row>
      <xdr:rowOff>129540</xdr:rowOff>
    </xdr:to>
    <xdr:sp macro="" textlink="">
      <xdr:nvSpPr>
        <xdr:cNvPr id="8082" name="AutoShape 338" descr="https://www.soccerstats.com/img/own/sshplogo.png">
          <a:hlinkClick xmlns:r="http://schemas.openxmlformats.org/officeDocument/2006/relationships" r:id="rId173"/>
        </xdr:cNvPr>
        <xdr:cNvSpPr>
          <a:spLocks noChangeAspect="1" noChangeArrowheads="1"/>
        </xdr:cNvSpPr>
      </xdr:nvSpPr>
      <xdr:spPr bwMode="auto">
        <a:xfrm>
          <a:off x="13411200" y="63466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152400</xdr:colOff>
      <xdr:row>310</xdr:row>
      <xdr:rowOff>106680</xdr:rowOff>
    </xdr:to>
    <xdr:sp macro="" textlink="">
      <xdr:nvSpPr>
        <xdr:cNvPr id="8083" name="AutoShape 339" descr="ECUADOR"/>
        <xdr:cNvSpPr>
          <a:spLocks noChangeAspect="1" noChangeArrowheads="1"/>
        </xdr:cNvSpPr>
      </xdr:nvSpPr>
      <xdr:spPr bwMode="auto">
        <a:xfrm>
          <a:off x="0" y="63642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310</xdr:row>
      <xdr:rowOff>0</xdr:rowOff>
    </xdr:from>
    <xdr:to>
      <xdr:col>22</xdr:col>
      <xdr:colOff>304800</xdr:colOff>
      <xdr:row>311</xdr:row>
      <xdr:rowOff>129540</xdr:rowOff>
    </xdr:to>
    <xdr:sp macro="" textlink="">
      <xdr:nvSpPr>
        <xdr:cNvPr id="8084" name="AutoShape 340" descr="https://www.soccerstats.com/img/own/sshplogo.png">
          <a:hlinkClick xmlns:r="http://schemas.openxmlformats.org/officeDocument/2006/relationships" r:id="rId174"/>
        </xdr:cNvPr>
        <xdr:cNvSpPr>
          <a:spLocks noChangeAspect="1" noChangeArrowheads="1"/>
        </xdr:cNvSpPr>
      </xdr:nvSpPr>
      <xdr:spPr bwMode="auto">
        <a:xfrm>
          <a:off x="13411200" y="63642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152400</xdr:colOff>
      <xdr:row>311</xdr:row>
      <xdr:rowOff>106680</xdr:rowOff>
    </xdr:to>
    <xdr:sp macro="" textlink="">
      <xdr:nvSpPr>
        <xdr:cNvPr id="8085" name="AutoShape 341" descr="ECUADOR"/>
        <xdr:cNvSpPr>
          <a:spLocks noChangeAspect="1" noChangeArrowheads="1"/>
        </xdr:cNvSpPr>
      </xdr:nvSpPr>
      <xdr:spPr bwMode="auto">
        <a:xfrm>
          <a:off x="0" y="63817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311</xdr:row>
      <xdr:rowOff>0</xdr:rowOff>
    </xdr:from>
    <xdr:to>
      <xdr:col>22</xdr:col>
      <xdr:colOff>304800</xdr:colOff>
      <xdr:row>312</xdr:row>
      <xdr:rowOff>129540</xdr:rowOff>
    </xdr:to>
    <xdr:sp macro="" textlink="">
      <xdr:nvSpPr>
        <xdr:cNvPr id="8086" name="AutoShape 342" descr="https://www.soccerstats.com/img/own/sshplogo.png">
          <a:hlinkClick xmlns:r="http://schemas.openxmlformats.org/officeDocument/2006/relationships" r:id="rId175"/>
        </xdr:cNvPr>
        <xdr:cNvSpPr>
          <a:spLocks noChangeAspect="1" noChangeArrowheads="1"/>
        </xdr:cNvSpPr>
      </xdr:nvSpPr>
      <xdr:spPr bwMode="auto">
        <a:xfrm>
          <a:off x="13411200" y="6381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152400</xdr:colOff>
      <xdr:row>312</xdr:row>
      <xdr:rowOff>106680</xdr:rowOff>
    </xdr:to>
    <xdr:sp macro="" textlink="">
      <xdr:nvSpPr>
        <xdr:cNvPr id="8087" name="AutoShape 343" descr="ECUADOR"/>
        <xdr:cNvSpPr>
          <a:spLocks noChangeAspect="1" noChangeArrowheads="1"/>
        </xdr:cNvSpPr>
      </xdr:nvSpPr>
      <xdr:spPr bwMode="auto">
        <a:xfrm>
          <a:off x="0" y="63992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312</xdr:row>
      <xdr:rowOff>0</xdr:rowOff>
    </xdr:from>
    <xdr:to>
      <xdr:col>22</xdr:col>
      <xdr:colOff>304800</xdr:colOff>
      <xdr:row>313</xdr:row>
      <xdr:rowOff>53340</xdr:rowOff>
    </xdr:to>
    <xdr:sp macro="" textlink="">
      <xdr:nvSpPr>
        <xdr:cNvPr id="8088" name="AutoShape 344" descr="https://www.soccerstats.com/img/own/sshplogo.png">
          <a:hlinkClick xmlns:r="http://schemas.openxmlformats.org/officeDocument/2006/relationships" r:id="rId176"/>
        </xdr:cNvPr>
        <xdr:cNvSpPr>
          <a:spLocks noChangeAspect="1" noChangeArrowheads="1"/>
        </xdr:cNvSpPr>
      </xdr:nvSpPr>
      <xdr:spPr bwMode="auto">
        <a:xfrm>
          <a:off x="13411200" y="63992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152400</xdr:colOff>
      <xdr:row>313</xdr:row>
      <xdr:rowOff>106680</xdr:rowOff>
    </xdr:to>
    <xdr:sp macro="" textlink="">
      <xdr:nvSpPr>
        <xdr:cNvPr id="8089" name="AutoShape 345" descr="ENGLAND6"/>
        <xdr:cNvSpPr>
          <a:spLocks noChangeAspect="1" noChangeArrowheads="1"/>
        </xdr:cNvSpPr>
      </xdr:nvSpPr>
      <xdr:spPr bwMode="auto">
        <a:xfrm>
          <a:off x="0" y="64244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313</xdr:row>
      <xdr:rowOff>0</xdr:rowOff>
    </xdr:from>
    <xdr:to>
      <xdr:col>22</xdr:col>
      <xdr:colOff>304800</xdr:colOff>
      <xdr:row>314</xdr:row>
      <xdr:rowOff>53340</xdr:rowOff>
    </xdr:to>
    <xdr:sp macro="" textlink="">
      <xdr:nvSpPr>
        <xdr:cNvPr id="8090" name="AutoShape 346" descr="https://www.soccerstats.com/img/own/sshplogo.png">
          <a:hlinkClick xmlns:r="http://schemas.openxmlformats.org/officeDocument/2006/relationships" r:id="rId177"/>
        </xdr:cNvPr>
        <xdr:cNvSpPr>
          <a:spLocks noChangeAspect="1" noChangeArrowheads="1"/>
        </xdr:cNvSpPr>
      </xdr:nvSpPr>
      <xdr:spPr bwMode="auto">
        <a:xfrm>
          <a:off x="13411200" y="64244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152400</xdr:colOff>
      <xdr:row>314</xdr:row>
      <xdr:rowOff>106680</xdr:rowOff>
    </xdr:to>
    <xdr:sp macro="" textlink="">
      <xdr:nvSpPr>
        <xdr:cNvPr id="8091" name="AutoShape 347" descr="ENGLAND6"/>
        <xdr:cNvSpPr>
          <a:spLocks noChangeAspect="1" noChangeArrowheads="1"/>
        </xdr:cNvSpPr>
      </xdr:nvSpPr>
      <xdr:spPr bwMode="auto">
        <a:xfrm>
          <a:off x="0" y="64495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314</xdr:row>
      <xdr:rowOff>0</xdr:rowOff>
    </xdr:from>
    <xdr:to>
      <xdr:col>22</xdr:col>
      <xdr:colOff>304800</xdr:colOff>
      <xdr:row>315</xdr:row>
      <xdr:rowOff>53340</xdr:rowOff>
    </xdr:to>
    <xdr:sp macro="" textlink="">
      <xdr:nvSpPr>
        <xdr:cNvPr id="8092" name="AutoShape 348" descr="https://www.soccerstats.com/img/own/sshplogo.png">
          <a:hlinkClick xmlns:r="http://schemas.openxmlformats.org/officeDocument/2006/relationships" r:id="rId178"/>
        </xdr:cNvPr>
        <xdr:cNvSpPr>
          <a:spLocks noChangeAspect="1" noChangeArrowheads="1"/>
        </xdr:cNvSpPr>
      </xdr:nvSpPr>
      <xdr:spPr bwMode="auto">
        <a:xfrm>
          <a:off x="13411200" y="64495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152400</xdr:colOff>
      <xdr:row>315</xdr:row>
      <xdr:rowOff>106680</xdr:rowOff>
    </xdr:to>
    <xdr:sp macro="" textlink="">
      <xdr:nvSpPr>
        <xdr:cNvPr id="8093" name="AutoShape 349" descr="ENGLAND6"/>
        <xdr:cNvSpPr>
          <a:spLocks noChangeAspect="1" noChangeArrowheads="1"/>
        </xdr:cNvSpPr>
      </xdr:nvSpPr>
      <xdr:spPr bwMode="auto">
        <a:xfrm>
          <a:off x="0" y="64747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315</xdr:row>
      <xdr:rowOff>0</xdr:rowOff>
    </xdr:from>
    <xdr:to>
      <xdr:col>22</xdr:col>
      <xdr:colOff>304800</xdr:colOff>
      <xdr:row>316</xdr:row>
      <xdr:rowOff>129540</xdr:rowOff>
    </xdr:to>
    <xdr:sp macro="" textlink="">
      <xdr:nvSpPr>
        <xdr:cNvPr id="8094" name="AutoShape 350" descr="https://www.soccerstats.com/img/own/sshplogo.png">
          <a:hlinkClick xmlns:r="http://schemas.openxmlformats.org/officeDocument/2006/relationships" r:id="rId179"/>
        </xdr:cNvPr>
        <xdr:cNvSpPr>
          <a:spLocks noChangeAspect="1" noChangeArrowheads="1"/>
        </xdr:cNvSpPr>
      </xdr:nvSpPr>
      <xdr:spPr bwMode="auto">
        <a:xfrm>
          <a:off x="13411200" y="64747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152400</xdr:colOff>
      <xdr:row>316</xdr:row>
      <xdr:rowOff>106680</xdr:rowOff>
    </xdr:to>
    <xdr:sp macro="" textlink="">
      <xdr:nvSpPr>
        <xdr:cNvPr id="8095" name="AutoShape 351" descr="ENGLAND6"/>
        <xdr:cNvSpPr>
          <a:spLocks noChangeAspect="1" noChangeArrowheads="1"/>
        </xdr:cNvSpPr>
      </xdr:nvSpPr>
      <xdr:spPr bwMode="auto">
        <a:xfrm>
          <a:off x="0" y="64922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316</xdr:row>
      <xdr:rowOff>0</xdr:rowOff>
    </xdr:from>
    <xdr:to>
      <xdr:col>22</xdr:col>
      <xdr:colOff>304800</xdr:colOff>
      <xdr:row>317</xdr:row>
      <xdr:rowOff>53340</xdr:rowOff>
    </xdr:to>
    <xdr:sp macro="" textlink="">
      <xdr:nvSpPr>
        <xdr:cNvPr id="8096" name="AutoShape 352" descr="https://www.soccerstats.com/img/own/sshplogo.png">
          <a:hlinkClick xmlns:r="http://schemas.openxmlformats.org/officeDocument/2006/relationships" r:id="rId180"/>
        </xdr:cNvPr>
        <xdr:cNvSpPr>
          <a:spLocks noChangeAspect="1" noChangeArrowheads="1"/>
        </xdr:cNvSpPr>
      </xdr:nvSpPr>
      <xdr:spPr bwMode="auto">
        <a:xfrm>
          <a:off x="13411200" y="649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152400</xdr:colOff>
      <xdr:row>317</xdr:row>
      <xdr:rowOff>106680</xdr:rowOff>
    </xdr:to>
    <xdr:sp macro="" textlink="">
      <xdr:nvSpPr>
        <xdr:cNvPr id="8097" name="AutoShape 353" descr="ENGLAND6"/>
        <xdr:cNvSpPr>
          <a:spLocks noChangeAspect="1" noChangeArrowheads="1"/>
        </xdr:cNvSpPr>
      </xdr:nvSpPr>
      <xdr:spPr bwMode="auto">
        <a:xfrm>
          <a:off x="0" y="65173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317</xdr:row>
      <xdr:rowOff>0</xdr:rowOff>
    </xdr:from>
    <xdr:to>
      <xdr:col>22</xdr:col>
      <xdr:colOff>304800</xdr:colOff>
      <xdr:row>318</xdr:row>
      <xdr:rowOff>129540</xdr:rowOff>
    </xdr:to>
    <xdr:sp macro="" textlink="">
      <xdr:nvSpPr>
        <xdr:cNvPr id="8098" name="AutoShape 354" descr="https://www.soccerstats.com/img/own/sshplogo.png">
          <a:hlinkClick xmlns:r="http://schemas.openxmlformats.org/officeDocument/2006/relationships" r:id="rId181"/>
        </xdr:cNvPr>
        <xdr:cNvSpPr>
          <a:spLocks noChangeAspect="1" noChangeArrowheads="1"/>
        </xdr:cNvSpPr>
      </xdr:nvSpPr>
      <xdr:spPr bwMode="auto">
        <a:xfrm>
          <a:off x="13411200" y="65173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152400</xdr:colOff>
      <xdr:row>318</xdr:row>
      <xdr:rowOff>106680</xdr:rowOff>
    </xdr:to>
    <xdr:sp macro="" textlink="">
      <xdr:nvSpPr>
        <xdr:cNvPr id="8099" name="AutoShape 355" descr="ENGLAND6"/>
        <xdr:cNvSpPr>
          <a:spLocks noChangeAspect="1" noChangeArrowheads="1"/>
        </xdr:cNvSpPr>
      </xdr:nvSpPr>
      <xdr:spPr bwMode="auto">
        <a:xfrm>
          <a:off x="0" y="65349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318</xdr:row>
      <xdr:rowOff>0</xdr:rowOff>
    </xdr:from>
    <xdr:to>
      <xdr:col>22</xdr:col>
      <xdr:colOff>304800</xdr:colOff>
      <xdr:row>319</xdr:row>
      <xdr:rowOff>129540</xdr:rowOff>
    </xdr:to>
    <xdr:sp macro="" textlink="">
      <xdr:nvSpPr>
        <xdr:cNvPr id="8100" name="AutoShape 356" descr="https://www.soccerstats.com/img/own/sshplogo.png">
          <a:hlinkClick xmlns:r="http://schemas.openxmlformats.org/officeDocument/2006/relationships" r:id="rId182"/>
        </xdr:cNvPr>
        <xdr:cNvSpPr>
          <a:spLocks noChangeAspect="1" noChangeArrowheads="1"/>
        </xdr:cNvSpPr>
      </xdr:nvSpPr>
      <xdr:spPr bwMode="auto">
        <a:xfrm>
          <a:off x="13411200" y="6534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152400</xdr:colOff>
      <xdr:row>319</xdr:row>
      <xdr:rowOff>106680</xdr:rowOff>
    </xdr:to>
    <xdr:sp macro="" textlink="">
      <xdr:nvSpPr>
        <xdr:cNvPr id="8101" name="AutoShape 357" descr="ENGLAND6"/>
        <xdr:cNvSpPr>
          <a:spLocks noChangeAspect="1" noChangeArrowheads="1"/>
        </xdr:cNvSpPr>
      </xdr:nvSpPr>
      <xdr:spPr bwMode="auto">
        <a:xfrm>
          <a:off x="0" y="65524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319</xdr:row>
      <xdr:rowOff>0</xdr:rowOff>
    </xdr:from>
    <xdr:to>
      <xdr:col>22</xdr:col>
      <xdr:colOff>304800</xdr:colOff>
      <xdr:row>320</xdr:row>
      <xdr:rowOff>129540</xdr:rowOff>
    </xdr:to>
    <xdr:sp macro="" textlink="">
      <xdr:nvSpPr>
        <xdr:cNvPr id="8102" name="AutoShape 358" descr="https://www.soccerstats.com/img/own/sshplogo.png">
          <a:hlinkClick xmlns:r="http://schemas.openxmlformats.org/officeDocument/2006/relationships" r:id="rId183"/>
        </xdr:cNvPr>
        <xdr:cNvSpPr>
          <a:spLocks noChangeAspect="1" noChangeArrowheads="1"/>
        </xdr:cNvSpPr>
      </xdr:nvSpPr>
      <xdr:spPr bwMode="auto">
        <a:xfrm>
          <a:off x="13411200" y="65524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152400</xdr:colOff>
      <xdr:row>320</xdr:row>
      <xdr:rowOff>106680</xdr:rowOff>
    </xdr:to>
    <xdr:sp macro="" textlink="">
      <xdr:nvSpPr>
        <xdr:cNvPr id="8103" name="AutoShape 359" descr="ENGLAND6"/>
        <xdr:cNvSpPr>
          <a:spLocks noChangeAspect="1" noChangeArrowheads="1"/>
        </xdr:cNvSpPr>
      </xdr:nvSpPr>
      <xdr:spPr bwMode="auto">
        <a:xfrm>
          <a:off x="0" y="65699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320</xdr:row>
      <xdr:rowOff>0</xdr:rowOff>
    </xdr:from>
    <xdr:to>
      <xdr:col>22</xdr:col>
      <xdr:colOff>304800</xdr:colOff>
      <xdr:row>321</xdr:row>
      <xdr:rowOff>129540</xdr:rowOff>
    </xdr:to>
    <xdr:sp macro="" textlink="">
      <xdr:nvSpPr>
        <xdr:cNvPr id="8104" name="AutoShape 360" descr="https://www.soccerstats.com/img/own/sshplogo.png">
          <a:hlinkClick xmlns:r="http://schemas.openxmlformats.org/officeDocument/2006/relationships" r:id="rId184"/>
        </xdr:cNvPr>
        <xdr:cNvSpPr>
          <a:spLocks noChangeAspect="1" noChangeArrowheads="1"/>
        </xdr:cNvSpPr>
      </xdr:nvSpPr>
      <xdr:spPr bwMode="auto">
        <a:xfrm>
          <a:off x="13411200" y="65699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152400</xdr:colOff>
      <xdr:row>321</xdr:row>
      <xdr:rowOff>106680</xdr:rowOff>
    </xdr:to>
    <xdr:sp macro="" textlink="">
      <xdr:nvSpPr>
        <xdr:cNvPr id="8105" name="AutoShape 361" descr="ENGLAND6"/>
        <xdr:cNvSpPr>
          <a:spLocks noChangeAspect="1" noChangeArrowheads="1"/>
        </xdr:cNvSpPr>
      </xdr:nvSpPr>
      <xdr:spPr bwMode="auto">
        <a:xfrm>
          <a:off x="0" y="65874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321</xdr:row>
      <xdr:rowOff>0</xdr:rowOff>
    </xdr:from>
    <xdr:to>
      <xdr:col>22</xdr:col>
      <xdr:colOff>304800</xdr:colOff>
      <xdr:row>322</xdr:row>
      <xdr:rowOff>129540</xdr:rowOff>
    </xdr:to>
    <xdr:sp macro="" textlink="">
      <xdr:nvSpPr>
        <xdr:cNvPr id="8106" name="AutoShape 362" descr="https://www.soccerstats.com/img/own/sshplogo.png">
          <a:hlinkClick xmlns:r="http://schemas.openxmlformats.org/officeDocument/2006/relationships" r:id="rId185"/>
        </xdr:cNvPr>
        <xdr:cNvSpPr>
          <a:spLocks noChangeAspect="1" noChangeArrowheads="1"/>
        </xdr:cNvSpPr>
      </xdr:nvSpPr>
      <xdr:spPr bwMode="auto">
        <a:xfrm>
          <a:off x="13411200" y="65874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152400</xdr:colOff>
      <xdr:row>322</xdr:row>
      <xdr:rowOff>106680</xdr:rowOff>
    </xdr:to>
    <xdr:sp macro="" textlink="">
      <xdr:nvSpPr>
        <xdr:cNvPr id="8107" name="AutoShape 363" descr="ENGLAND6"/>
        <xdr:cNvSpPr>
          <a:spLocks noChangeAspect="1" noChangeArrowheads="1"/>
        </xdr:cNvSpPr>
      </xdr:nvSpPr>
      <xdr:spPr bwMode="auto">
        <a:xfrm>
          <a:off x="0" y="66050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322</xdr:row>
      <xdr:rowOff>0</xdr:rowOff>
    </xdr:from>
    <xdr:to>
      <xdr:col>22</xdr:col>
      <xdr:colOff>304800</xdr:colOff>
      <xdr:row>323</xdr:row>
      <xdr:rowOff>129540</xdr:rowOff>
    </xdr:to>
    <xdr:sp macro="" textlink="">
      <xdr:nvSpPr>
        <xdr:cNvPr id="8108" name="AutoShape 364" descr="https://www.soccerstats.com/img/own/sshplogo.png">
          <a:hlinkClick xmlns:r="http://schemas.openxmlformats.org/officeDocument/2006/relationships" r:id="rId186"/>
        </xdr:cNvPr>
        <xdr:cNvSpPr>
          <a:spLocks noChangeAspect="1" noChangeArrowheads="1"/>
        </xdr:cNvSpPr>
      </xdr:nvSpPr>
      <xdr:spPr bwMode="auto">
        <a:xfrm>
          <a:off x="13411200" y="66050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152400</xdr:colOff>
      <xdr:row>323</xdr:row>
      <xdr:rowOff>106680</xdr:rowOff>
    </xdr:to>
    <xdr:sp macro="" textlink="">
      <xdr:nvSpPr>
        <xdr:cNvPr id="8109" name="AutoShape 365" descr="ENGLAND6"/>
        <xdr:cNvSpPr>
          <a:spLocks noChangeAspect="1" noChangeArrowheads="1"/>
        </xdr:cNvSpPr>
      </xdr:nvSpPr>
      <xdr:spPr bwMode="auto">
        <a:xfrm>
          <a:off x="0" y="66225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323</xdr:row>
      <xdr:rowOff>0</xdr:rowOff>
    </xdr:from>
    <xdr:to>
      <xdr:col>22</xdr:col>
      <xdr:colOff>304800</xdr:colOff>
      <xdr:row>324</xdr:row>
      <xdr:rowOff>53340</xdr:rowOff>
    </xdr:to>
    <xdr:sp macro="" textlink="">
      <xdr:nvSpPr>
        <xdr:cNvPr id="8110" name="AutoShape 366" descr="https://www.soccerstats.com/img/own/sshplogo.png">
          <a:hlinkClick xmlns:r="http://schemas.openxmlformats.org/officeDocument/2006/relationships" r:id="rId187"/>
        </xdr:cNvPr>
        <xdr:cNvSpPr>
          <a:spLocks noChangeAspect="1" noChangeArrowheads="1"/>
        </xdr:cNvSpPr>
      </xdr:nvSpPr>
      <xdr:spPr bwMode="auto">
        <a:xfrm>
          <a:off x="13411200" y="66225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152400</xdr:colOff>
      <xdr:row>324</xdr:row>
      <xdr:rowOff>106680</xdr:rowOff>
    </xdr:to>
    <xdr:sp macro="" textlink="">
      <xdr:nvSpPr>
        <xdr:cNvPr id="8111" name="AutoShape 367" descr="ENGLAND6"/>
        <xdr:cNvSpPr>
          <a:spLocks noChangeAspect="1" noChangeArrowheads="1"/>
        </xdr:cNvSpPr>
      </xdr:nvSpPr>
      <xdr:spPr bwMode="auto">
        <a:xfrm>
          <a:off x="0" y="66476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324</xdr:row>
      <xdr:rowOff>0</xdr:rowOff>
    </xdr:from>
    <xdr:to>
      <xdr:col>22</xdr:col>
      <xdr:colOff>304800</xdr:colOff>
      <xdr:row>325</xdr:row>
      <xdr:rowOff>53340</xdr:rowOff>
    </xdr:to>
    <xdr:sp macro="" textlink="">
      <xdr:nvSpPr>
        <xdr:cNvPr id="8112" name="AutoShape 368" descr="https://www.soccerstats.com/img/own/sshplogo.png">
          <a:hlinkClick xmlns:r="http://schemas.openxmlformats.org/officeDocument/2006/relationships" r:id="rId188"/>
        </xdr:cNvPr>
        <xdr:cNvSpPr>
          <a:spLocks noChangeAspect="1" noChangeArrowheads="1"/>
        </xdr:cNvSpPr>
      </xdr:nvSpPr>
      <xdr:spPr bwMode="auto">
        <a:xfrm>
          <a:off x="13411200" y="66476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152400</xdr:colOff>
      <xdr:row>325</xdr:row>
      <xdr:rowOff>106680</xdr:rowOff>
    </xdr:to>
    <xdr:sp macro="" textlink="">
      <xdr:nvSpPr>
        <xdr:cNvPr id="8113" name="AutoShape 369" descr="ENGLAND7"/>
        <xdr:cNvSpPr>
          <a:spLocks noChangeAspect="1" noChangeArrowheads="1"/>
        </xdr:cNvSpPr>
      </xdr:nvSpPr>
      <xdr:spPr bwMode="auto">
        <a:xfrm>
          <a:off x="0" y="66728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325</xdr:row>
      <xdr:rowOff>0</xdr:rowOff>
    </xdr:from>
    <xdr:to>
      <xdr:col>22</xdr:col>
      <xdr:colOff>304800</xdr:colOff>
      <xdr:row>326</xdr:row>
      <xdr:rowOff>53340</xdr:rowOff>
    </xdr:to>
    <xdr:sp macro="" textlink="">
      <xdr:nvSpPr>
        <xdr:cNvPr id="8114" name="AutoShape 370" descr="https://www.soccerstats.com/img/own/sshplogo.png">
          <a:hlinkClick xmlns:r="http://schemas.openxmlformats.org/officeDocument/2006/relationships" r:id="rId189"/>
        </xdr:cNvPr>
        <xdr:cNvSpPr>
          <a:spLocks noChangeAspect="1" noChangeArrowheads="1"/>
        </xdr:cNvSpPr>
      </xdr:nvSpPr>
      <xdr:spPr bwMode="auto">
        <a:xfrm>
          <a:off x="13411200" y="6672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152400</xdr:colOff>
      <xdr:row>326</xdr:row>
      <xdr:rowOff>106680</xdr:rowOff>
    </xdr:to>
    <xdr:sp macro="" textlink="">
      <xdr:nvSpPr>
        <xdr:cNvPr id="8115" name="AutoShape 371" descr="ENGLAND7"/>
        <xdr:cNvSpPr>
          <a:spLocks noChangeAspect="1" noChangeArrowheads="1"/>
        </xdr:cNvSpPr>
      </xdr:nvSpPr>
      <xdr:spPr bwMode="auto">
        <a:xfrm>
          <a:off x="0" y="66979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326</xdr:row>
      <xdr:rowOff>0</xdr:rowOff>
    </xdr:from>
    <xdr:to>
      <xdr:col>22</xdr:col>
      <xdr:colOff>304800</xdr:colOff>
      <xdr:row>327</xdr:row>
      <xdr:rowOff>53340</xdr:rowOff>
    </xdr:to>
    <xdr:sp macro="" textlink="">
      <xdr:nvSpPr>
        <xdr:cNvPr id="8116" name="AutoShape 372" descr="https://www.soccerstats.com/img/own/sshplogo.png">
          <a:hlinkClick xmlns:r="http://schemas.openxmlformats.org/officeDocument/2006/relationships" r:id="rId190"/>
        </xdr:cNvPr>
        <xdr:cNvSpPr>
          <a:spLocks noChangeAspect="1" noChangeArrowheads="1"/>
        </xdr:cNvSpPr>
      </xdr:nvSpPr>
      <xdr:spPr bwMode="auto">
        <a:xfrm>
          <a:off x="13411200" y="66979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152400</xdr:colOff>
      <xdr:row>327</xdr:row>
      <xdr:rowOff>106680</xdr:rowOff>
    </xdr:to>
    <xdr:sp macro="" textlink="">
      <xdr:nvSpPr>
        <xdr:cNvPr id="8117" name="AutoShape 373" descr="ENGLAND7"/>
        <xdr:cNvSpPr>
          <a:spLocks noChangeAspect="1" noChangeArrowheads="1"/>
        </xdr:cNvSpPr>
      </xdr:nvSpPr>
      <xdr:spPr bwMode="auto">
        <a:xfrm>
          <a:off x="0" y="67231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327</xdr:row>
      <xdr:rowOff>0</xdr:rowOff>
    </xdr:from>
    <xdr:to>
      <xdr:col>22</xdr:col>
      <xdr:colOff>304800</xdr:colOff>
      <xdr:row>328</xdr:row>
      <xdr:rowOff>53340</xdr:rowOff>
    </xdr:to>
    <xdr:sp macro="" textlink="">
      <xdr:nvSpPr>
        <xdr:cNvPr id="8118" name="AutoShape 374" descr="https://www.soccerstats.com/img/own/sshplogo.png">
          <a:hlinkClick xmlns:r="http://schemas.openxmlformats.org/officeDocument/2006/relationships" r:id="rId191"/>
        </xdr:cNvPr>
        <xdr:cNvSpPr>
          <a:spLocks noChangeAspect="1" noChangeArrowheads="1"/>
        </xdr:cNvSpPr>
      </xdr:nvSpPr>
      <xdr:spPr bwMode="auto">
        <a:xfrm>
          <a:off x="13411200" y="67231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152400</xdr:colOff>
      <xdr:row>328</xdr:row>
      <xdr:rowOff>106680</xdr:rowOff>
    </xdr:to>
    <xdr:sp macro="" textlink="">
      <xdr:nvSpPr>
        <xdr:cNvPr id="8119" name="AutoShape 375" descr="ENGLAND7"/>
        <xdr:cNvSpPr>
          <a:spLocks noChangeAspect="1" noChangeArrowheads="1"/>
        </xdr:cNvSpPr>
      </xdr:nvSpPr>
      <xdr:spPr bwMode="auto">
        <a:xfrm>
          <a:off x="0" y="67482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328</xdr:row>
      <xdr:rowOff>0</xdr:rowOff>
    </xdr:from>
    <xdr:to>
      <xdr:col>22</xdr:col>
      <xdr:colOff>304800</xdr:colOff>
      <xdr:row>329</xdr:row>
      <xdr:rowOff>53340</xdr:rowOff>
    </xdr:to>
    <xdr:sp macro="" textlink="">
      <xdr:nvSpPr>
        <xdr:cNvPr id="8120" name="AutoShape 376" descr="https://www.soccerstats.com/img/own/sshplogo.png">
          <a:hlinkClick xmlns:r="http://schemas.openxmlformats.org/officeDocument/2006/relationships" r:id="rId192"/>
        </xdr:cNvPr>
        <xdr:cNvSpPr>
          <a:spLocks noChangeAspect="1" noChangeArrowheads="1"/>
        </xdr:cNvSpPr>
      </xdr:nvSpPr>
      <xdr:spPr bwMode="auto">
        <a:xfrm>
          <a:off x="13411200" y="67482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152400</xdr:colOff>
      <xdr:row>329</xdr:row>
      <xdr:rowOff>106680</xdr:rowOff>
    </xdr:to>
    <xdr:sp macro="" textlink="">
      <xdr:nvSpPr>
        <xdr:cNvPr id="8121" name="AutoShape 377" descr="ENGLAND7"/>
        <xdr:cNvSpPr>
          <a:spLocks noChangeAspect="1" noChangeArrowheads="1"/>
        </xdr:cNvSpPr>
      </xdr:nvSpPr>
      <xdr:spPr bwMode="auto">
        <a:xfrm>
          <a:off x="0" y="67734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329</xdr:row>
      <xdr:rowOff>0</xdr:rowOff>
    </xdr:from>
    <xdr:to>
      <xdr:col>22</xdr:col>
      <xdr:colOff>304800</xdr:colOff>
      <xdr:row>330</xdr:row>
      <xdr:rowOff>129540</xdr:rowOff>
    </xdr:to>
    <xdr:sp macro="" textlink="">
      <xdr:nvSpPr>
        <xdr:cNvPr id="8122" name="AutoShape 378" descr="https://www.soccerstats.com/img/own/sshplogo.png">
          <a:hlinkClick xmlns:r="http://schemas.openxmlformats.org/officeDocument/2006/relationships" r:id="rId193"/>
        </xdr:cNvPr>
        <xdr:cNvSpPr>
          <a:spLocks noChangeAspect="1" noChangeArrowheads="1"/>
        </xdr:cNvSpPr>
      </xdr:nvSpPr>
      <xdr:spPr bwMode="auto">
        <a:xfrm>
          <a:off x="13411200" y="67734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152400</xdr:colOff>
      <xdr:row>330</xdr:row>
      <xdr:rowOff>106680</xdr:rowOff>
    </xdr:to>
    <xdr:sp macro="" textlink="">
      <xdr:nvSpPr>
        <xdr:cNvPr id="8123" name="AutoShape 379" descr="ENGLAND7"/>
        <xdr:cNvSpPr>
          <a:spLocks noChangeAspect="1" noChangeArrowheads="1"/>
        </xdr:cNvSpPr>
      </xdr:nvSpPr>
      <xdr:spPr bwMode="auto">
        <a:xfrm>
          <a:off x="0" y="67909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330</xdr:row>
      <xdr:rowOff>0</xdr:rowOff>
    </xdr:from>
    <xdr:to>
      <xdr:col>22</xdr:col>
      <xdr:colOff>304800</xdr:colOff>
      <xdr:row>331</xdr:row>
      <xdr:rowOff>53340</xdr:rowOff>
    </xdr:to>
    <xdr:sp macro="" textlink="">
      <xdr:nvSpPr>
        <xdr:cNvPr id="8124" name="AutoShape 380" descr="https://www.soccerstats.com/img/own/sshplogo.png">
          <a:hlinkClick xmlns:r="http://schemas.openxmlformats.org/officeDocument/2006/relationships" r:id="rId194"/>
        </xdr:cNvPr>
        <xdr:cNvSpPr>
          <a:spLocks noChangeAspect="1" noChangeArrowheads="1"/>
        </xdr:cNvSpPr>
      </xdr:nvSpPr>
      <xdr:spPr bwMode="auto">
        <a:xfrm>
          <a:off x="13411200" y="67909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152400</xdr:colOff>
      <xdr:row>331</xdr:row>
      <xdr:rowOff>106680</xdr:rowOff>
    </xdr:to>
    <xdr:sp macro="" textlink="">
      <xdr:nvSpPr>
        <xdr:cNvPr id="8125" name="AutoShape 381" descr="ENGLAND7"/>
        <xdr:cNvSpPr>
          <a:spLocks noChangeAspect="1" noChangeArrowheads="1"/>
        </xdr:cNvSpPr>
      </xdr:nvSpPr>
      <xdr:spPr bwMode="auto">
        <a:xfrm>
          <a:off x="0" y="68160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331</xdr:row>
      <xdr:rowOff>0</xdr:rowOff>
    </xdr:from>
    <xdr:to>
      <xdr:col>22</xdr:col>
      <xdr:colOff>304800</xdr:colOff>
      <xdr:row>332</xdr:row>
      <xdr:rowOff>129540</xdr:rowOff>
    </xdr:to>
    <xdr:sp macro="" textlink="">
      <xdr:nvSpPr>
        <xdr:cNvPr id="8126" name="AutoShape 382" descr="https://www.soccerstats.com/img/own/sshplogo.png">
          <a:hlinkClick xmlns:r="http://schemas.openxmlformats.org/officeDocument/2006/relationships" r:id="rId195"/>
        </xdr:cNvPr>
        <xdr:cNvSpPr>
          <a:spLocks noChangeAspect="1" noChangeArrowheads="1"/>
        </xdr:cNvSpPr>
      </xdr:nvSpPr>
      <xdr:spPr bwMode="auto">
        <a:xfrm>
          <a:off x="13411200" y="68160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152400</xdr:colOff>
      <xdr:row>332</xdr:row>
      <xdr:rowOff>106680</xdr:rowOff>
    </xdr:to>
    <xdr:sp macro="" textlink="">
      <xdr:nvSpPr>
        <xdr:cNvPr id="8127" name="AutoShape 383" descr="ENGLAND7"/>
        <xdr:cNvSpPr>
          <a:spLocks noChangeAspect="1" noChangeArrowheads="1"/>
        </xdr:cNvSpPr>
      </xdr:nvSpPr>
      <xdr:spPr bwMode="auto">
        <a:xfrm>
          <a:off x="0" y="68336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332</xdr:row>
      <xdr:rowOff>0</xdr:rowOff>
    </xdr:from>
    <xdr:to>
      <xdr:col>22</xdr:col>
      <xdr:colOff>304800</xdr:colOff>
      <xdr:row>333</xdr:row>
      <xdr:rowOff>53340</xdr:rowOff>
    </xdr:to>
    <xdr:sp macro="" textlink="">
      <xdr:nvSpPr>
        <xdr:cNvPr id="8128" name="AutoShape 384" descr="https://www.soccerstats.com/img/own/sshplogo.png">
          <a:hlinkClick xmlns:r="http://schemas.openxmlformats.org/officeDocument/2006/relationships" r:id="rId196"/>
        </xdr:cNvPr>
        <xdr:cNvSpPr>
          <a:spLocks noChangeAspect="1" noChangeArrowheads="1"/>
        </xdr:cNvSpPr>
      </xdr:nvSpPr>
      <xdr:spPr bwMode="auto">
        <a:xfrm>
          <a:off x="13411200" y="68336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152400</xdr:colOff>
      <xdr:row>333</xdr:row>
      <xdr:rowOff>106680</xdr:rowOff>
    </xdr:to>
    <xdr:sp macro="" textlink="">
      <xdr:nvSpPr>
        <xdr:cNvPr id="8129" name="AutoShape 385" descr="ENGLAND7"/>
        <xdr:cNvSpPr>
          <a:spLocks noChangeAspect="1" noChangeArrowheads="1"/>
        </xdr:cNvSpPr>
      </xdr:nvSpPr>
      <xdr:spPr bwMode="auto">
        <a:xfrm>
          <a:off x="0" y="68587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333</xdr:row>
      <xdr:rowOff>0</xdr:rowOff>
    </xdr:from>
    <xdr:to>
      <xdr:col>22</xdr:col>
      <xdr:colOff>304800</xdr:colOff>
      <xdr:row>334</xdr:row>
      <xdr:rowOff>129540</xdr:rowOff>
    </xdr:to>
    <xdr:sp macro="" textlink="">
      <xdr:nvSpPr>
        <xdr:cNvPr id="8130" name="AutoShape 386" descr="https://www.soccerstats.com/img/own/sshplogo.png">
          <a:hlinkClick xmlns:r="http://schemas.openxmlformats.org/officeDocument/2006/relationships" r:id="rId197"/>
        </xdr:cNvPr>
        <xdr:cNvSpPr>
          <a:spLocks noChangeAspect="1" noChangeArrowheads="1"/>
        </xdr:cNvSpPr>
      </xdr:nvSpPr>
      <xdr:spPr bwMode="auto">
        <a:xfrm>
          <a:off x="13411200" y="68587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152400</xdr:colOff>
      <xdr:row>334</xdr:row>
      <xdr:rowOff>106680</xdr:rowOff>
    </xdr:to>
    <xdr:sp macro="" textlink="">
      <xdr:nvSpPr>
        <xdr:cNvPr id="8131" name="AutoShape 387" descr="ENGLAND7"/>
        <xdr:cNvSpPr>
          <a:spLocks noChangeAspect="1" noChangeArrowheads="1"/>
        </xdr:cNvSpPr>
      </xdr:nvSpPr>
      <xdr:spPr bwMode="auto">
        <a:xfrm>
          <a:off x="0" y="68762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334</xdr:row>
      <xdr:rowOff>0</xdr:rowOff>
    </xdr:from>
    <xdr:to>
      <xdr:col>22</xdr:col>
      <xdr:colOff>304800</xdr:colOff>
      <xdr:row>335</xdr:row>
      <xdr:rowOff>53340</xdr:rowOff>
    </xdr:to>
    <xdr:sp macro="" textlink="">
      <xdr:nvSpPr>
        <xdr:cNvPr id="8132" name="AutoShape 388" descr="https://www.soccerstats.com/img/own/sshplogo.png">
          <a:hlinkClick xmlns:r="http://schemas.openxmlformats.org/officeDocument/2006/relationships" r:id="rId198"/>
        </xdr:cNvPr>
        <xdr:cNvSpPr>
          <a:spLocks noChangeAspect="1" noChangeArrowheads="1"/>
        </xdr:cNvSpPr>
      </xdr:nvSpPr>
      <xdr:spPr bwMode="auto">
        <a:xfrm>
          <a:off x="13411200" y="6876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152400</xdr:colOff>
      <xdr:row>335</xdr:row>
      <xdr:rowOff>106680</xdr:rowOff>
    </xdr:to>
    <xdr:sp macro="" textlink="">
      <xdr:nvSpPr>
        <xdr:cNvPr id="8133" name="AutoShape 389" descr="ENGLAND7"/>
        <xdr:cNvSpPr>
          <a:spLocks noChangeAspect="1" noChangeArrowheads="1"/>
        </xdr:cNvSpPr>
      </xdr:nvSpPr>
      <xdr:spPr bwMode="auto">
        <a:xfrm>
          <a:off x="0" y="69014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335</xdr:row>
      <xdr:rowOff>0</xdr:rowOff>
    </xdr:from>
    <xdr:to>
      <xdr:col>22</xdr:col>
      <xdr:colOff>304800</xdr:colOff>
      <xdr:row>336</xdr:row>
      <xdr:rowOff>53340</xdr:rowOff>
    </xdr:to>
    <xdr:sp macro="" textlink="">
      <xdr:nvSpPr>
        <xdr:cNvPr id="8134" name="AutoShape 390" descr="https://www.soccerstats.com/img/own/sshplogo.png">
          <a:hlinkClick xmlns:r="http://schemas.openxmlformats.org/officeDocument/2006/relationships" r:id="rId199"/>
        </xdr:cNvPr>
        <xdr:cNvSpPr>
          <a:spLocks noChangeAspect="1" noChangeArrowheads="1"/>
        </xdr:cNvSpPr>
      </xdr:nvSpPr>
      <xdr:spPr bwMode="auto">
        <a:xfrm>
          <a:off x="13411200" y="69014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152400</xdr:colOff>
      <xdr:row>336</xdr:row>
      <xdr:rowOff>106680</xdr:rowOff>
    </xdr:to>
    <xdr:sp macro="" textlink="">
      <xdr:nvSpPr>
        <xdr:cNvPr id="8135" name="AutoShape 391" descr="ENGLAND8"/>
        <xdr:cNvSpPr>
          <a:spLocks noChangeAspect="1" noChangeArrowheads="1"/>
        </xdr:cNvSpPr>
      </xdr:nvSpPr>
      <xdr:spPr bwMode="auto">
        <a:xfrm>
          <a:off x="0" y="69265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336</xdr:row>
      <xdr:rowOff>0</xdr:rowOff>
    </xdr:from>
    <xdr:to>
      <xdr:col>22</xdr:col>
      <xdr:colOff>304800</xdr:colOff>
      <xdr:row>337</xdr:row>
      <xdr:rowOff>129540</xdr:rowOff>
    </xdr:to>
    <xdr:sp macro="" textlink="">
      <xdr:nvSpPr>
        <xdr:cNvPr id="8136" name="AutoShape 392" descr="https://www.soccerstats.com/img/own/sshplogo.png">
          <a:hlinkClick xmlns:r="http://schemas.openxmlformats.org/officeDocument/2006/relationships" r:id="rId200"/>
        </xdr:cNvPr>
        <xdr:cNvSpPr>
          <a:spLocks noChangeAspect="1" noChangeArrowheads="1"/>
        </xdr:cNvSpPr>
      </xdr:nvSpPr>
      <xdr:spPr bwMode="auto">
        <a:xfrm>
          <a:off x="13411200" y="69265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152400</xdr:colOff>
      <xdr:row>337</xdr:row>
      <xdr:rowOff>106680</xdr:rowOff>
    </xdr:to>
    <xdr:sp macro="" textlink="">
      <xdr:nvSpPr>
        <xdr:cNvPr id="8137" name="AutoShape 393" descr="ENGLAND8"/>
        <xdr:cNvSpPr>
          <a:spLocks noChangeAspect="1" noChangeArrowheads="1"/>
        </xdr:cNvSpPr>
      </xdr:nvSpPr>
      <xdr:spPr bwMode="auto">
        <a:xfrm>
          <a:off x="0" y="69441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337</xdr:row>
      <xdr:rowOff>0</xdr:rowOff>
    </xdr:from>
    <xdr:to>
      <xdr:col>22</xdr:col>
      <xdr:colOff>304800</xdr:colOff>
      <xdr:row>338</xdr:row>
      <xdr:rowOff>129540</xdr:rowOff>
    </xdr:to>
    <xdr:sp macro="" textlink="">
      <xdr:nvSpPr>
        <xdr:cNvPr id="8138" name="AutoShape 394" descr="https://www.soccerstats.com/img/own/sshplogo.png">
          <a:hlinkClick xmlns:r="http://schemas.openxmlformats.org/officeDocument/2006/relationships" r:id="rId201"/>
        </xdr:cNvPr>
        <xdr:cNvSpPr>
          <a:spLocks noChangeAspect="1" noChangeArrowheads="1"/>
        </xdr:cNvSpPr>
      </xdr:nvSpPr>
      <xdr:spPr bwMode="auto">
        <a:xfrm>
          <a:off x="13411200" y="6944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152400</xdr:colOff>
      <xdr:row>338</xdr:row>
      <xdr:rowOff>106680</xdr:rowOff>
    </xdr:to>
    <xdr:sp macro="" textlink="">
      <xdr:nvSpPr>
        <xdr:cNvPr id="8139" name="AutoShape 395" descr="ENGLAND8"/>
        <xdr:cNvSpPr>
          <a:spLocks noChangeAspect="1" noChangeArrowheads="1"/>
        </xdr:cNvSpPr>
      </xdr:nvSpPr>
      <xdr:spPr bwMode="auto">
        <a:xfrm>
          <a:off x="0" y="69616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338</xdr:row>
      <xdr:rowOff>0</xdr:rowOff>
    </xdr:from>
    <xdr:to>
      <xdr:col>22</xdr:col>
      <xdr:colOff>304800</xdr:colOff>
      <xdr:row>339</xdr:row>
      <xdr:rowOff>53340</xdr:rowOff>
    </xdr:to>
    <xdr:sp macro="" textlink="">
      <xdr:nvSpPr>
        <xdr:cNvPr id="8140" name="AutoShape 396" descr="https://www.soccerstats.com/img/own/sshplogo.png">
          <a:hlinkClick xmlns:r="http://schemas.openxmlformats.org/officeDocument/2006/relationships" r:id="rId202"/>
        </xdr:cNvPr>
        <xdr:cNvSpPr>
          <a:spLocks noChangeAspect="1" noChangeArrowheads="1"/>
        </xdr:cNvSpPr>
      </xdr:nvSpPr>
      <xdr:spPr bwMode="auto">
        <a:xfrm>
          <a:off x="13411200" y="69616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152400</xdr:colOff>
      <xdr:row>339</xdr:row>
      <xdr:rowOff>106680</xdr:rowOff>
    </xdr:to>
    <xdr:sp macro="" textlink="">
      <xdr:nvSpPr>
        <xdr:cNvPr id="8141" name="AutoShape 397" descr="ENGLAND8"/>
        <xdr:cNvSpPr>
          <a:spLocks noChangeAspect="1" noChangeArrowheads="1"/>
        </xdr:cNvSpPr>
      </xdr:nvSpPr>
      <xdr:spPr bwMode="auto">
        <a:xfrm>
          <a:off x="0" y="69867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339</xdr:row>
      <xdr:rowOff>0</xdr:rowOff>
    </xdr:from>
    <xdr:to>
      <xdr:col>22</xdr:col>
      <xdr:colOff>304800</xdr:colOff>
      <xdr:row>340</xdr:row>
      <xdr:rowOff>53340</xdr:rowOff>
    </xdr:to>
    <xdr:sp macro="" textlink="">
      <xdr:nvSpPr>
        <xdr:cNvPr id="8142" name="AutoShape 398" descr="https://www.soccerstats.com/img/own/sshplogo.png">
          <a:hlinkClick xmlns:r="http://schemas.openxmlformats.org/officeDocument/2006/relationships" r:id="rId203"/>
        </xdr:cNvPr>
        <xdr:cNvSpPr>
          <a:spLocks noChangeAspect="1" noChangeArrowheads="1"/>
        </xdr:cNvSpPr>
      </xdr:nvSpPr>
      <xdr:spPr bwMode="auto">
        <a:xfrm>
          <a:off x="13411200" y="69867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152400</xdr:colOff>
      <xdr:row>340</xdr:row>
      <xdr:rowOff>106680</xdr:rowOff>
    </xdr:to>
    <xdr:sp macro="" textlink="">
      <xdr:nvSpPr>
        <xdr:cNvPr id="8143" name="AutoShape 399" descr="ENGLAND8"/>
        <xdr:cNvSpPr>
          <a:spLocks noChangeAspect="1" noChangeArrowheads="1"/>
        </xdr:cNvSpPr>
      </xdr:nvSpPr>
      <xdr:spPr bwMode="auto">
        <a:xfrm>
          <a:off x="0" y="70119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340</xdr:row>
      <xdr:rowOff>0</xdr:rowOff>
    </xdr:from>
    <xdr:to>
      <xdr:col>22</xdr:col>
      <xdr:colOff>304800</xdr:colOff>
      <xdr:row>341</xdr:row>
      <xdr:rowOff>53340</xdr:rowOff>
    </xdr:to>
    <xdr:sp macro="" textlink="">
      <xdr:nvSpPr>
        <xdr:cNvPr id="8144" name="AutoShape 400" descr="https://www.soccerstats.com/img/own/sshplogo.png">
          <a:hlinkClick xmlns:r="http://schemas.openxmlformats.org/officeDocument/2006/relationships" r:id="rId204"/>
        </xdr:cNvPr>
        <xdr:cNvSpPr>
          <a:spLocks noChangeAspect="1" noChangeArrowheads="1"/>
        </xdr:cNvSpPr>
      </xdr:nvSpPr>
      <xdr:spPr bwMode="auto">
        <a:xfrm>
          <a:off x="13411200" y="70119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152400</xdr:colOff>
      <xdr:row>341</xdr:row>
      <xdr:rowOff>106680</xdr:rowOff>
    </xdr:to>
    <xdr:sp macro="" textlink="">
      <xdr:nvSpPr>
        <xdr:cNvPr id="8145" name="AutoShape 401" descr="ENGLAND8"/>
        <xdr:cNvSpPr>
          <a:spLocks noChangeAspect="1" noChangeArrowheads="1"/>
        </xdr:cNvSpPr>
      </xdr:nvSpPr>
      <xdr:spPr bwMode="auto">
        <a:xfrm>
          <a:off x="0" y="70370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341</xdr:row>
      <xdr:rowOff>0</xdr:rowOff>
    </xdr:from>
    <xdr:to>
      <xdr:col>22</xdr:col>
      <xdr:colOff>304800</xdr:colOff>
      <xdr:row>342</xdr:row>
      <xdr:rowOff>53340</xdr:rowOff>
    </xdr:to>
    <xdr:sp macro="" textlink="">
      <xdr:nvSpPr>
        <xdr:cNvPr id="8146" name="AutoShape 402" descr="https://www.soccerstats.com/img/own/sshplogo.png">
          <a:hlinkClick xmlns:r="http://schemas.openxmlformats.org/officeDocument/2006/relationships" r:id="rId205"/>
        </xdr:cNvPr>
        <xdr:cNvSpPr>
          <a:spLocks noChangeAspect="1" noChangeArrowheads="1"/>
        </xdr:cNvSpPr>
      </xdr:nvSpPr>
      <xdr:spPr bwMode="auto">
        <a:xfrm>
          <a:off x="13411200" y="70370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152400</xdr:colOff>
      <xdr:row>342</xdr:row>
      <xdr:rowOff>106680</xdr:rowOff>
    </xdr:to>
    <xdr:sp macro="" textlink="">
      <xdr:nvSpPr>
        <xdr:cNvPr id="8147" name="AutoShape 403" descr="ENGLAND8"/>
        <xdr:cNvSpPr>
          <a:spLocks noChangeAspect="1" noChangeArrowheads="1"/>
        </xdr:cNvSpPr>
      </xdr:nvSpPr>
      <xdr:spPr bwMode="auto">
        <a:xfrm>
          <a:off x="0" y="70622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342</xdr:row>
      <xdr:rowOff>0</xdr:rowOff>
    </xdr:from>
    <xdr:to>
      <xdr:col>22</xdr:col>
      <xdr:colOff>304800</xdr:colOff>
      <xdr:row>343</xdr:row>
      <xdr:rowOff>129540</xdr:rowOff>
    </xdr:to>
    <xdr:sp macro="" textlink="">
      <xdr:nvSpPr>
        <xdr:cNvPr id="8148" name="AutoShape 404" descr="https://www.soccerstats.com/img/own/sshplogo.png">
          <a:hlinkClick xmlns:r="http://schemas.openxmlformats.org/officeDocument/2006/relationships" r:id="rId206"/>
        </xdr:cNvPr>
        <xdr:cNvSpPr>
          <a:spLocks noChangeAspect="1" noChangeArrowheads="1"/>
        </xdr:cNvSpPr>
      </xdr:nvSpPr>
      <xdr:spPr bwMode="auto">
        <a:xfrm>
          <a:off x="13411200" y="70622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152400</xdr:colOff>
      <xdr:row>343</xdr:row>
      <xdr:rowOff>106680</xdr:rowOff>
    </xdr:to>
    <xdr:sp macro="" textlink="">
      <xdr:nvSpPr>
        <xdr:cNvPr id="8149" name="AutoShape 405" descr="ENGLAND8"/>
        <xdr:cNvSpPr>
          <a:spLocks noChangeAspect="1" noChangeArrowheads="1"/>
        </xdr:cNvSpPr>
      </xdr:nvSpPr>
      <xdr:spPr bwMode="auto">
        <a:xfrm>
          <a:off x="0" y="70797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343</xdr:row>
      <xdr:rowOff>0</xdr:rowOff>
    </xdr:from>
    <xdr:to>
      <xdr:col>22</xdr:col>
      <xdr:colOff>304800</xdr:colOff>
      <xdr:row>344</xdr:row>
      <xdr:rowOff>129540</xdr:rowOff>
    </xdr:to>
    <xdr:sp macro="" textlink="">
      <xdr:nvSpPr>
        <xdr:cNvPr id="8150" name="AutoShape 406" descr="https://www.soccerstats.com/img/own/sshplogo.png">
          <a:hlinkClick xmlns:r="http://schemas.openxmlformats.org/officeDocument/2006/relationships" r:id="rId207"/>
        </xdr:cNvPr>
        <xdr:cNvSpPr>
          <a:spLocks noChangeAspect="1" noChangeArrowheads="1"/>
        </xdr:cNvSpPr>
      </xdr:nvSpPr>
      <xdr:spPr bwMode="auto">
        <a:xfrm>
          <a:off x="13411200" y="70797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152400</xdr:colOff>
      <xdr:row>344</xdr:row>
      <xdr:rowOff>106680</xdr:rowOff>
    </xdr:to>
    <xdr:sp macro="" textlink="">
      <xdr:nvSpPr>
        <xdr:cNvPr id="8151" name="AutoShape 407" descr="ENGLAND8"/>
        <xdr:cNvSpPr>
          <a:spLocks noChangeAspect="1" noChangeArrowheads="1"/>
        </xdr:cNvSpPr>
      </xdr:nvSpPr>
      <xdr:spPr bwMode="auto">
        <a:xfrm>
          <a:off x="0" y="70972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344</xdr:row>
      <xdr:rowOff>0</xdr:rowOff>
    </xdr:from>
    <xdr:to>
      <xdr:col>22</xdr:col>
      <xdr:colOff>304800</xdr:colOff>
      <xdr:row>345</xdr:row>
      <xdr:rowOff>129540</xdr:rowOff>
    </xdr:to>
    <xdr:sp macro="" textlink="">
      <xdr:nvSpPr>
        <xdr:cNvPr id="8152" name="AutoShape 408" descr="https://www.soccerstats.com/img/own/sshplogo.png">
          <a:hlinkClick xmlns:r="http://schemas.openxmlformats.org/officeDocument/2006/relationships" r:id="rId208"/>
        </xdr:cNvPr>
        <xdr:cNvSpPr>
          <a:spLocks noChangeAspect="1" noChangeArrowheads="1"/>
        </xdr:cNvSpPr>
      </xdr:nvSpPr>
      <xdr:spPr bwMode="auto">
        <a:xfrm>
          <a:off x="13411200" y="70972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152400</xdr:colOff>
      <xdr:row>345</xdr:row>
      <xdr:rowOff>106680</xdr:rowOff>
    </xdr:to>
    <xdr:sp macro="" textlink="">
      <xdr:nvSpPr>
        <xdr:cNvPr id="8153" name="AutoShape 409" descr="ENGLAND8"/>
        <xdr:cNvSpPr>
          <a:spLocks noChangeAspect="1" noChangeArrowheads="1"/>
        </xdr:cNvSpPr>
      </xdr:nvSpPr>
      <xdr:spPr bwMode="auto">
        <a:xfrm>
          <a:off x="0" y="71147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345</xdr:row>
      <xdr:rowOff>0</xdr:rowOff>
    </xdr:from>
    <xdr:to>
      <xdr:col>22</xdr:col>
      <xdr:colOff>304800</xdr:colOff>
      <xdr:row>346</xdr:row>
      <xdr:rowOff>53340</xdr:rowOff>
    </xdr:to>
    <xdr:sp macro="" textlink="">
      <xdr:nvSpPr>
        <xdr:cNvPr id="8154" name="AutoShape 410" descr="https://www.soccerstats.com/img/own/sshplogo.png">
          <a:hlinkClick xmlns:r="http://schemas.openxmlformats.org/officeDocument/2006/relationships" r:id="rId209"/>
        </xdr:cNvPr>
        <xdr:cNvSpPr>
          <a:spLocks noChangeAspect="1" noChangeArrowheads="1"/>
        </xdr:cNvSpPr>
      </xdr:nvSpPr>
      <xdr:spPr bwMode="auto">
        <a:xfrm>
          <a:off x="13411200" y="71147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152400</xdr:colOff>
      <xdr:row>346</xdr:row>
      <xdr:rowOff>106680</xdr:rowOff>
    </xdr:to>
    <xdr:sp macro="" textlink="">
      <xdr:nvSpPr>
        <xdr:cNvPr id="8155" name="AutoShape 411" descr="ENGLAND8"/>
        <xdr:cNvSpPr>
          <a:spLocks noChangeAspect="1" noChangeArrowheads="1"/>
        </xdr:cNvSpPr>
      </xdr:nvSpPr>
      <xdr:spPr bwMode="auto">
        <a:xfrm>
          <a:off x="0" y="71399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346</xdr:row>
      <xdr:rowOff>0</xdr:rowOff>
    </xdr:from>
    <xdr:to>
      <xdr:col>22</xdr:col>
      <xdr:colOff>304800</xdr:colOff>
      <xdr:row>347</xdr:row>
      <xdr:rowOff>129540</xdr:rowOff>
    </xdr:to>
    <xdr:sp macro="" textlink="">
      <xdr:nvSpPr>
        <xdr:cNvPr id="8156" name="AutoShape 412" descr="https://www.soccerstats.com/img/own/sshplogo.png">
          <a:hlinkClick xmlns:r="http://schemas.openxmlformats.org/officeDocument/2006/relationships" r:id="rId210"/>
        </xdr:cNvPr>
        <xdr:cNvSpPr>
          <a:spLocks noChangeAspect="1" noChangeArrowheads="1"/>
        </xdr:cNvSpPr>
      </xdr:nvSpPr>
      <xdr:spPr bwMode="auto">
        <a:xfrm>
          <a:off x="13411200" y="7139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152400</xdr:colOff>
      <xdr:row>347</xdr:row>
      <xdr:rowOff>106680</xdr:rowOff>
    </xdr:to>
    <xdr:sp macro="" textlink="">
      <xdr:nvSpPr>
        <xdr:cNvPr id="8157" name="AutoShape 413" descr="ENGLAND9"/>
        <xdr:cNvSpPr>
          <a:spLocks noChangeAspect="1" noChangeArrowheads="1"/>
        </xdr:cNvSpPr>
      </xdr:nvSpPr>
      <xdr:spPr bwMode="auto">
        <a:xfrm>
          <a:off x="0" y="71574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347</xdr:row>
      <xdr:rowOff>0</xdr:rowOff>
    </xdr:from>
    <xdr:to>
      <xdr:col>22</xdr:col>
      <xdr:colOff>304800</xdr:colOff>
      <xdr:row>348</xdr:row>
      <xdr:rowOff>53340</xdr:rowOff>
    </xdr:to>
    <xdr:sp macro="" textlink="">
      <xdr:nvSpPr>
        <xdr:cNvPr id="8158" name="AutoShape 414" descr="https://www.soccerstats.com/img/own/sshplogo.png">
          <a:hlinkClick xmlns:r="http://schemas.openxmlformats.org/officeDocument/2006/relationships" r:id="rId211"/>
        </xdr:cNvPr>
        <xdr:cNvSpPr>
          <a:spLocks noChangeAspect="1" noChangeArrowheads="1"/>
        </xdr:cNvSpPr>
      </xdr:nvSpPr>
      <xdr:spPr bwMode="auto">
        <a:xfrm>
          <a:off x="13411200" y="71574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152400</xdr:colOff>
      <xdr:row>348</xdr:row>
      <xdr:rowOff>106680</xdr:rowOff>
    </xdr:to>
    <xdr:sp macro="" textlink="">
      <xdr:nvSpPr>
        <xdr:cNvPr id="8159" name="AutoShape 415" descr="ENGLAND9"/>
        <xdr:cNvSpPr>
          <a:spLocks noChangeAspect="1" noChangeArrowheads="1"/>
        </xdr:cNvSpPr>
      </xdr:nvSpPr>
      <xdr:spPr bwMode="auto">
        <a:xfrm>
          <a:off x="0" y="71826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348</xdr:row>
      <xdr:rowOff>0</xdr:rowOff>
    </xdr:from>
    <xdr:to>
      <xdr:col>22</xdr:col>
      <xdr:colOff>304800</xdr:colOff>
      <xdr:row>349</xdr:row>
      <xdr:rowOff>53340</xdr:rowOff>
    </xdr:to>
    <xdr:sp macro="" textlink="">
      <xdr:nvSpPr>
        <xdr:cNvPr id="8160" name="AutoShape 416" descr="https://www.soccerstats.com/img/own/sshplogo.png">
          <a:hlinkClick xmlns:r="http://schemas.openxmlformats.org/officeDocument/2006/relationships" r:id="rId212"/>
        </xdr:cNvPr>
        <xdr:cNvSpPr>
          <a:spLocks noChangeAspect="1" noChangeArrowheads="1"/>
        </xdr:cNvSpPr>
      </xdr:nvSpPr>
      <xdr:spPr bwMode="auto">
        <a:xfrm>
          <a:off x="13411200" y="71826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152400</xdr:colOff>
      <xdr:row>349</xdr:row>
      <xdr:rowOff>106680</xdr:rowOff>
    </xdr:to>
    <xdr:sp macro="" textlink="">
      <xdr:nvSpPr>
        <xdr:cNvPr id="8161" name="AutoShape 417" descr="ENGLAND9"/>
        <xdr:cNvSpPr>
          <a:spLocks noChangeAspect="1" noChangeArrowheads="1"/>
        </xdr:cNvSpPr>
      </xdr:nvSpPr>
      <xdr:spPr bwMode="auto">
        <a:xfrm>
          <a:off x="0" y="72077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349</xdr:row>
      <xdr:rowOff>0</xdr:rowOff>
    </xdr:from>
    <xdr:to>
      <xdr:col>22</xdr:col>
      <xdr:colOff>304800</xdr:colOff>
      <xdr:row>350</xdr:row>
      <xdr:rowOff>129540</xdr:rowOff>
    </xdr:to>
    <xdr:sp macro="" textlink="">
      <xdr:nvSpPr>
        <xdr:cNvPr id="8162" name="AutoShape 418" descr="https://www.soccerstats.com/img/own/sshplogo.png">
          <a:hlinkClick xmlns:r="http://schemas.openxmlformats.org/officeDocument/2006/relationships" r:id="rId213"/>
        </xdr:cNvPr>
        <xdr:cNvSpPr>
          <a:spLocks noChangeAspect="1" noChangeArrowheads="1"/>
        </xdr:cNvSpPr>
      </xdr:nvSpPr>
      <xdr:spPr bwMode="auto">
        <a:xfrm>
          <a:off x="13411200" y="72077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152400</xdr:colOff>
      <xdr:row>350</xdr:row>
      <xdr:rowOff>106680</xdr:rowOff>
    </xdr:to>
    <xdr:sp macro="" textlink="">
      <xdr:nvSpPr>
        <xdr:cNvPr id="8163" name="AutoShape 419" descr="ENGLAND9"/>
        <xdr:cNvSpPr>
          <a:spLocks noChangeAspect="1" noChangeArrowheads="1"/>
        </xdr:cNvSpPr>
      </xdr:nvSpPr>
      <xdr:spPr bwMode="auto">
        <a:xfrm>
          <a:off x="0" y="72252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350</xdr:row>
      <xdr:rowOff>0</xdr:rowOff>
    </xdr:from>
    <xdr:to>
      <xdr:col>22</xdr:col>
      <xdr:colOff>304800</xdr:colOff>
      <xdr:row>351</xdr:row>
      <xdr:rowOff>53340</xdr:rowOff>
    </xdr:to>
    <xdr:sp macro="" textlink="">
      <xdr:nvSpPr>
        <xdr:cNvPr id="8164" name="AutoShape 420" descr="https://www.soccerstats.com/img/own/sshplogo.png">
          <a:hlinkClick xmlns:r="http://schemas.openxmlformats.org/officeDocument/2006/relationships" r:id="rId214"/>
        </xdr:cNvPr>
        <xdr:cNvSpPr>
          <a:spLocks noChangeAspect="1" noChangeArrowheads="1"/>
        </xdr:cNvSpPr>
      </xdr:nvSpPr>
      <xdr:spPr bwMode="auto">
        <a:xfrm>
          <a:off x="13411200" y="72252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152400</xdr:colOff>
      <xdr:row>351</xdr:row>
      <xdr:rowOff>106680</xdr:rowOff>
    </xdr:to>
    <xdr:sp macro="" textlink="">
      <xdr:nvSpPr>
        <xdr:cNvPr id="8165" name="AutoShape 421" descr="ENGLAND9"/>
        <xdr:cNvSpPr>
          <a:spLocks noChangeAspect="1" noChangeArrowheads="1"/>
        </xdr:cNvSpPr>
      </xdr:nvSpPr>
      <xdr:spPr bwMode="auto">
        <a:xfrm>
          <a:off x="0" y="72504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351</xdr:row>
      <xdr:rowOff>0</xdr:rowOff>
    </xdr:from>
    <xdr:to>
      <xdr:col>22</xdr:col>
      <xdr:colOff>304800</xdr:colOff>
      <xdr:row>352</xdr:row>
      <xdr:rowOff>53340</xdr:rowOff>
    </xdr:to>
    <xdr:sp macro="" textlink="">
      <xdr:nvSpPr>
        <xdr:cNvPr id="8166" name="AutoShape 422" descr="https://www.soccerstats.com/img/own/sshplogo.png">
          <a:hlinkClick xmlns:r="http://schemas.openxmlformats.org/officeDocument/2006/relationships" r:id="rId215"/>
        </xdr:cNvPr>
        <xdr:cNvSpPr>
          <a:spLocks noChangeAspect="1" noChangeArrowheads="1"/>
        </xdr:cNvSpPr>
      </xdr:nvSpPr>
      <xdr:spPr bwMode="auto">
        <a:xfrm>
          <a:off x="13411200" y="7250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152400</xdr:colOff>
      <xdr:row>352</xdr:row>
      <xdr:rowOff>106680</xdr:rowOff>
    </xdr:to>
    <xdr:sp macro="" textlink="">
      <xdr:nvSpPr>
        <xdr:cNvPr id="8167" name="AutoShape 423" descr="ENGLAND9"/>
        <xdr:cNvSpPr>
          <a:spLocks noChangeAspect="1" noChangeArrowheads="1"/>
        </xdr:cNvSpPr>
      </xdr:nvSpPr>
      <xdr:spPr bwMode="auto">
        <a:xfrm>
          <a:off x="0" y="72755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352</xdr:row>
      <xdr:rowOff>0</xdr:rowOff>
    </xdr:from>
    <xdr:to>
      <xdr:col>22</xdr:col>
      <xdr:colOff>304800</xdr:colOff>
      <xdr:row>353</xdr:row>
      <xdr:rowOff>53340</xdr:rowOff>
    </xdr:to>
    <xdr:sp macro="" textlink="">
      <xdr:nvSpPr>
        <xdr:cNvPr id="8168" name="AutoShape 424" descr="https://www.soccerstats.com/img/own/sshplogo.png">
          <a:hlinkClick xmlns:r="http://schemas.openxmlformats.org/officeDocument/2006/relationships" r:id="rId216"/>
        </xdr:cNvPr>
        <xdr:cNvSpPr>
          <a:spLocks noChangeAspect="1" noChangeArrowheads="1"/>
        </xdr:cNvSpPr>
      </xdr:nvSpPr>
      <xdr:spPr bwMode="auto">
        <a:xfrm>
          <a:off x="13411200" y="72755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152400</xdr:colOff>
      <xdr:row>353</xdr:row>
      <xdr:rowOff>106680</xdr:rowOff>
    </xdr:to>
    <xdr:sp macro="" textlink="">
      <xdr:nvSpPr>
        <xdr:cNvPr id="8169" name="AutoShape 425" descr="ENGLAND9"/>
        <xdr:cNvSpPr>
          <a:spLocks noChangeAspect="1" noChangeArrowheads="1"/>
        </xdr:cNvSpPr>
      </xdr:nvSpPr>
      <xdr:spPr bwMode="auto">
        <a:xfrm>
          <a:off x="0" y="73007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353</xdr:row>
      <xdr:rowOff>0</xdr:rowOff>
    </xdr:from>
    <xdr:to>
      <xdr:col>22</xdr:col>
      <xdr:colOff>304800</xdr:colOff>
      <xdr:row>354</xdr:row>
      <xdr:rowOff>53340</xdr:rowOff>
    </xdr:to>
    <xdr:sp macro="" textlink="">
      <xdr:nvSpPr>
        <xdr:cNvPr id="8170" name="AutoShape 426" descr="https://www.soccerstats.com/img/own/sshplogo.png">
          <a:hlinkClick xmlns:r="http://schemas.openxmlformats.org/officeDocument/2006/relationships" r:id="rId217"/>
        </xdr:cNvPr>
        <xdr:cNvSpPr>
          <a:spLocks noChangeAspect="1" noChangeArrowheads="1"/>
        </xdr:cNvSpPr>
      </xdr:nvSpPr>
      <xdr:spPr bwMode="auto">
        <a:xfrm>
          <a:off x="13411200" y="73007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152400</xdr:colOff>
      <xdr:row>354</xdr:row>
      <xdr:rowOff>106680</xdr:rowOff>
    </xdr:to>
    <xdr:sp macro="" textlink="">
      <xdr:nvSpPr>
        <xdr:cNvPr id="8171" name="AutoShape 427" descr="ENGLAND9"/>
        <xdr:cNvSpPr>
          <a:spLocks noChangeAspect="1" noChangeArrowheads="1"/>
        </xdr:cNvSpPr>
      </xdr:nvSpPr>
      <xdr:spPr bwMode="auto">
        <a:xfrm>
          <a:off x="0" y="73258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354</xdr:row>
      <xdr:rowOff>0</xdr:rowOff>
    </xdr:from>
    <xdr:to>
      <xdr:col>22</xdr:col>
      <xdr:colOff>304800</xdr:colOff>
      <xdr:row>355</xdr:row>
      <xdr:rowOff>129540</xdr:rowOff>
    </xdr:to>
    <xdr:sp macro="" textlink="">
      <xdr:nvSpPr>
        <xdr:cNvPr id="8172" name="AutoShape 428" descr="https://www.soccerstats.com/img/own/sshplogo.png">
          <a:hlinkClick xmlns:r="http://schemas.openxmlformats.org/officeDocument/2006/relationships" r:id="rId218"/>
        </xdr:cNvPr>
        <xdr:cNvSpPr>
          <a:spLocks noChangeAspect="1" noChangeArrowheads="1"/>
        </xdr:cNvSpPr>
      </xdr:nvSpPr>
      <xdr:spPr bwMode="auto">
        <a:xfrm>
          <a:off x="13411200" y="73258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152400</xdr:colOff>
      <xdr:row>355</xdr:row>
      <xdr:rowOff>106680</xdr:rowOff>
    </xdr:to>
    <xdr:sp macro="" textlink="">
      <xdr:nvSpPr>
        <xdr:cNvPr id="8173" name="AutoShape 429" descr="ENGLAND9"/>
        <xdr:cNvSpPr>
          <a:spLocks noChangeAspect="1" noChangeArrowheads="1"/>
        </xdr:cNvSpPr>
      </xdr:nvSpPr>
      <xdr:spPr bwMode="auto">
        <a:xfrm>
          <a:off x="0" y="73433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355</xdr:row>
      <xdr:rowOff>0</xdr:rowOff>
    </xdr:from>
    <xdr:to>
      <xdr:col>22</xdr:col>
      <xdr:colOff>304800</xdr:colOff>
      <xdr:row>356</xdr:row>
      <xdr:rowOff>53340</xdr:rowOff>
    </xdr:to>
    <xdr:sp macro="" textlink="">
      <xdr:nvSpPr>
        <xdr:cNvPr id="8174" name="AutoShape 430" descr="https://www.soccerstats.com/img/own/sshplogo.png">
          <a:hlinkClick xmlns:r="http://schemas.openxmlformats.org/officeDocument/2006/relationships" r:id="rId219"/>
        </xdr:cNvPr>
        <xdr:cNvSpPr>
          <a:spLocks noChangeAspect="1" noChangeArrowheads="1"/>
        </xdr:cNvSpPr>
      </xdr:nvSpPr>
      <xdr:spPr bwMode="auto">
        <a:xfrm>
          <a:off x="13411200" y="73433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152400</xdr:colOff>
      <xdr:row>356</xdr:row>
      <xdr:rowOff>106680</xdr:rowOff>
    </xdr:to>
    <xdr:sp macro="" textlink="">
      <xdr:nvSpPr>
        <xdr:cNvPr id="8175" name="AutoShape 431" descr="ENGLAND9"/>
        <xdr:cNvSpPr>
          <a:spLocks noChangeAspect="1" noChangeArrowheads="1"/>
        </xdr:cNvSpPr>
      </xdr:nvSpPr>
      <xdr:spPr bwMode="auto">
        <a:xfrm>
          <a:off x="0" y="73685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356</xdr:row>
      <xdr:rowOff>0</xdr:rowOff>
    </xdr:from>
    <xdr:to>
      <xdr:col>22</xdr:col>
      <xdr:colOff>304800</xdr:colOff>
      <xdr:row>357</xdr:row>
      <xdr:rowOff>129540</xdr:rowOff>
    </xdr:to>
    <xdr:sp macro="" textlink="">
      <xdr:nvSpPr>
        <xdr:cNvPr id="8176" name="AutoShape 432" descr="https://www.soccerstats.com/img/own/sshplogo.png">
          <a:hlinkClick xmlns:r="http://schemas.openxmlformats.org/officeDocument/2006/relationships" r:id="rId220"/>
        </xdr:cNvPr>
        <xdr:cNvSpPr>
          <a:spLocks noChangeAspect="1" noChangeArrowheads="1"/>
        </xdr:cNvSpPr>
      </xdr:nvSpPr>
      <xdr:spPr bwMode="auto">
        <a:xfrm>
          <a:off x="13411200" y="73685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152400</xdr:colOff>
      <xdr:row>357</xdr:row>
      <xdr:rowOff>106680</xdr:rowOff>
    </xdr:to>
    <xdr:sp macro="" textlink="">
      <xdr:nvSpPr>
        <xdr:cNvPr id="8177" name="AutoShape 433" descr="ENGLAND10"/>
        <xdr:cNvSpPr>
          <a:spLocks noChangeAspect="1" noChangeArrowheads="1"/>
        </xdr:cNvSpPr>
      </xdr:nvSpPr>
      <xdr:spPr bwMode="auto">
        <a:xfrm>
          <a:off x="0" y="73860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357</xdr:row>
      <xdr:rowOff>0</xdr:rowOff>
    </xdr:from>
    <xdr:to>
      <xdr:col>22</xdr:col>
      <xdr:colOff>304800</xdr:colOff>
      <xdr:row>358</xdr:row>
      <xdr:rowOff>53340</xdr:rowOff>
    </xdr:to>
    <xdr:sp macro="" textlink="">
      <xdr:nvSpPr>
        <xdr:cNvPr id="8178" name="AutoShape 434" descr="https://www.soccerstats.com/img/own/sshplogo.png">
          <a:hlinkClick xmlns:r="http://schemas.openxmlformats.org/officeDocument/2006/relationships" r:id="rId221"/>
        </xdr:cNvPr>
        <xdr:cNvSpPr>
          <a:spLocks noChangeAspect="1" noChangeArrowheads="1"/>
        </xdr:cNvSpPr>
      </xdr:nvSpPr>
      <xdr:spPr bwMode="auto">
        <a:xfrm>
          <a:off x="13411200" y="73860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152400</xdr:colOff>
      <xdr:row>358</xdr:row>
      <xdr:rowOff>106680</xdr:rowOff>
    </xdr:to>
    <xdr:sp macro="" textlink="">
      <xdr:nvSpPr>
        <xdr:cNvPr id="8179" name="AutoShape 435" descr="ENGLAND10"/>
        <xdr:cNvSpPr>
          <a:spLocks noChangeAspect="1" noChangeArrowheads="1"/>
        </xdr:cNvSpPr>
      </xdr:nvSpPr>
      <xdr:spPr bwMode="auto">
        <a:xfrm>
          <a:off x="0" y="74112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358</xdr:row>
      <xdr:rowOff>0</xdr:rowOff>
    </xdr:from>
    <xdr:to>
      <xdr:col>22</xdr:col>
      <xdr:colOff>304800</xdr:colOff>
      <xdr:row>359</xdr:row>
      <xdr:rowOff>129540</xdr:rowOff>
    </xdr:to>
    <xdr:sp macro="" textlink="">
      <xdr:nvSpPr>
        <xdr:cNvPr id="8180" name="AutoShape 436" descr="https://www.soccerstats.com/img/own/sshplogo.png">
          <a:hlinkClick xmlns:r="http://schemas.openxmlformats.org/officeDocument/2006/relationships" r:id="rId222"/>
        </xdr:cNvPr>
        <xdr:cNvSpPr>
          <a:spLocks noChangeAspect="1" noChangeArrowheads="1"/>
        </xdr:cNvSpPr>
      </xdr:nvSpPr>
      <xdr:spPr bwMode="auto">
        <a:xfrm>
          <a:off x="13411200" y="74112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152400</xdr:colOff>
      <xdr:row>359</xdr:row>
      <xdr:rowOff>106680</xdr:rowOff>
    </xdr:to>
    <xdr:sp macro="" textlink="">
      <xdr:nvSpPr>
        <xdr:cNvPr id="8181" name="AutoShape 437" descr="ENGLAND10"/>
        <xdr:cNvSpPr>
          <a:spLocks noChangeAspect="1" noChangeArrowheads="1"/>
        </xdr:cNvSpPr>
      </xdr:nvSpPr>
      <xdr:spPr bwMode="auto">
        <a:xfrm>
          <a:off x="0" y="74287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359</xdr:row>
      <xdr:rowOff>0</xdr:rowOff>
    </xdr:from>
    <xdr:to>
      <xdr:col>22</xdr:col>
      <xdr:colOff>304800</xdr:colOff>
      <xdr:row>360</xdr:row>
      <xdr:rowOff>53340</xdr:rowOff>
    </xdr:to>
    <xdr:sp macro="" textlink="">
      <xdr:nvSpPr>
        <xdr:cNvPr id="8182" name="AutoShape 438" descr="https://www.soccerstats.com/img/own/sshplogo.png">
          <a:hlinkClick xmlns:r="http://schemas.openxmlformats.org/officeDocument/2006/relationships" r:id="rId223"/>
        </xdr:cNvPr>
        <xdr:cNvSpPr>
          <a:spLocks noChangeAspect="1" noChangeArrowheads="1"/>
        </xdr:cNvSpPr>
      </xdr:nvSpPr>
      <xdr:spPr bwMode="auto">
        <a:xfrm>
          <a:off x="13411200" y="74287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152400</xdr:colOff>
      <xdr:row>360</xdr:row>
      <xdr:rowOff>106680</xdr:rowOff>
    </xdr:to>
    <xdr:sp macro="" textlink="">
      <xdr:nvSpPr>
        <xdr:cNvPr id="8183" name="AutoShape 439" descr="ENGLAND10"/>
        <xdr:cNvSpPr>
          <a:spLocks noChangeAspect="1" noChangeArrowheads="1"/>
        </xdr:cNvSpPr>
      </xdr:nvSpPr>
      <xdr:spPr bwMode="auto">
        <a:xfrm>
          <a:off x="0" y="74538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360</xdr:row>
      <xdr:rowOff>0</xdr:rowOff>
    </xdr:from>
    <xdr:to>
      <xdr:col>22</xdr:col>
      <xdr:colOff>304800</xdr:colOff>
      <xdr:row>361</xdr:row>
      <xdr:rowOff>53340</xdr:rowOff>
    </xdr:to>
    <xdr:sp macro="" textlink="">
      <xdr:nvSpPr>
        <xdr:cNvPr id="8184" name="AutoShape 440" descr="https://www.soccerstats.com/img/own/sshplogo.png">
          <a:hlinkClick xmlns:r="http://schemas.openxmlformats.org/officeDocument/2006/relationships" r:id="rId224"/>
        </xdr:cNvPr>
        <xdr:cNvSpPr>
          <a:spLocks noChangeAspect="1" noChangeArrowheads="1"/>
        </xdr:cNvSpPr>
      </xdr:nvSpPr>
      <xdr:spPr bwMode="auto">
        <a:xfrm>
          <a:off x="13411200" y="74538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152400</xdr:colOff>
      <xdr:row>361</xdr:row>
      <xdr:rowOff>106680</xdr:rowOff>
    </xdr:to>
    <xdr:sp macro="" textlink="">
      <xdr:nvSpPr>
        <xdr:cNvPr id="8185" name="AutoShape 441" descr="ENGLAND10"/>
        <xdr:cNvSpPr>
          <a:spLocks noChangeAspect="1" noChangeArrowheads="1"/>
        </xdr:cNvSpPr>
      </xdr:nvSpPr>
      <xdr:spPr bwMode="auto">
        <a:xfrm>
          <a:off x="0" y="74790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361</xdr:row>
      <xdr:rowOff>0</xdr:rowOff>
    </xdr:from>
    <xdr:to>
      <xdr:col>22</xdr:col>
      <xdr:colOff>304800</xdr:colOff>
      <xdr:row>362</xdr:row>
      <xdr:rowOff>129540</xdr:rowOff>
    </xdr:to>
    <xdr:sp macro="" textlink="">
      <xdr:nvSpPr>
        <xdr:cNvPr id="8186" name="AutoShape 442" descr="https://www.soccerstats.com/img/own/sshplogo.png">
          <a:hlinkClick xmlns:r="http://schemas.openxmlformats.org/officeDocument/2006/relationships" r:id="rId225"/>
        </xdr:cNvPr>
        <xdr:cNvSpPr>
          <a:spLocks noChangeAspect="1" noChangeArrowheads="1"/>
        </xdr:cNvSpPr>
      </xdr:nvSpPr>
      <xdr:spPr bwMode="auto">
        <a:xfrm>
          <a:off x="13411200" y="74790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152400</xdr:colOff>
      <xdr:row>362</xdr:row>
      <xdr:rowOff>106680</xdr:rowOff>
    </xdr:to>
    <xdr:sp macro="" textlink="">
      <xdr:nvSpPr>
        <xdr:cNvPr id="8187" name="AutoShape 443" descr="ENGLAND10"/>
        <xdr:cNvSpPr>
          <a:spLocks noChangeAspect="1" noChangeArrowheads="1"/>
        </xdr:cNvSpPr>
      </xdr:nvSpPr>
      <xdr:spPr bwMode="auto">
        <a:xfrm>
          <a:off x="0" y="74965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362</xdr:row>
      <xdr:rowOff>0</xdr:rowOff>
    </xdr:from>
    <xdr:to>
      <xdr:col>22</xdr:col>
      <xdr:colOff>304800</xdr:colOff>
      <xdr:row>363</xdr:row>
      <xdr:rowOff>53340</xdr:rowOff>
    </xdr:to>
    <xdr:sp macro="" textlink="">
      <xdr:nvSpPr>
        <xdr:cNvPr id="8188" name="AutoShape 444" descr="https://www.soccerstats.com/img/own/sshplogo.png">
          <a:hlinkClick xmlns:r="http://schemas.openxmlformats.org/officeDocument/2006/relationships" r:id="rId226"/>
        </xdr:cNvPr>
        <xdr:cNvSpPr>
          <a:spLocks noChangeAspect="1" noChangeArrowheads="1"/>
        </xdr:cNvSpPr>
      </xdr:nvSpPr>
      <xdr:spPr bwMode="auto">
        <a:xfrm>
          <a:off x="13411200" y="74965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152400</xdr:colOff>
      <xdr:row>363</xdr:row>
      <xdr:rowOff>106680</xdr:rowOff>
    </xdr:to>
    <xdr:sp macro="" textlink="">
      <xdr:nvSpPr>
        <xdr:cNvPr id="8189" name="AutoShape 445" descr="ENGLAND10"/>
        <xdr:cNvSpPr>
          <a:spLocks noChangeAspect="1" noChangeArrowheads="1"/>
        </xdr:cNvSpPr>
      </xdr:nvSpPr>
      <xdr:spPr bwMode="auto">
        <a:xfrm>
          <a:off x="0" y="75217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363</xdr:row>
      <xdr:rowOff>0</xdr:rowOff>
    </xdr:from>
    <xdr:to>
      <xdr:col>22</xdr:col>
      <xdr:colOff>304800</xdr:colOff>
      <xdr:row>364</xdr:row>
      <xdr:rowOff>53340</xdr:rowOff>
    </xdr:to>
    <xdr:sp macro="" textlink="">
      <xdr:nvSpPr>
        <xdr:cNvPr id="8190" name="AutoShape 446" descr="https://www.soccerstats.com/img/own/sshplogo.png">
          <a:hlinkClick xmlns:r="http://schemas.openxmlformats.org/officeDocument/2006/relationships" r:id="rId227"/>
        </xdr:cNvPr>
        <xdr:cNvSpPr>
          <a:spLocks noChangeAspect="1" noChangeArrowheads="1"/>
        </xdr:cNvSpPr>
      </xdr:nvSpPr>
      <xdr:spPr bwMode="auto">
        <a:xfrm>
          <a:off x="13411200" y="75217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152400</xdr:colOff>
      <xdr:row>364</xdr:row>
      <xdr:rowOff>106680</xdr:rowOff>
    </xdr:to>
    <xdr:sp macro="" textlink="">
      <xdr:nvSpPr>
        <xdr:cNvPr id="8191" name="AutoShape 447" descr="ENGLAND10"/>
        <xdr:cNvSpPr>
          <a:spLocks noChangeAspect="1" noChangeArrowheads="1"/>
        </xdr:cNvSpPr>
      </xdr:nvSpPr>
      <xdr:spPr bwMode="auto">
        <a:xfrm>
          <a:off x="0" y="75468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364</xdr:row>
      <xdr:rowOff>0</xdr:rowOff>
    </xdr:from>
    <xdr:to>
      <xdr:col>22</xdr:col>
      <xdr:colOff>304800</xdr:colOff>
      <xdr:row>365</xdr:row>
      <xdr:rowOff>129540</xdr:rowOff>
    </xdr:to>
    <xdr:sp macro="" textlink="">
      <xdr:nvSpPr>
        <xdr:cNvPr id="8192" name="AutoShape 448" descr="https://www.soccerstats.com/img/own/sshplogo.png">
          <a:hlinkClick xmlns:r="http://schemas.openxmlformats.org/officeDocument/2006/relationships" r:id="rId228"/>
        </xdr:cNvPr>
        <xdr:cNvSpPr>
          <a:spLocks noChangeAspect="1" noChangeArrowheads="1"/>
        </xdr:cNvSpPr>
      </xdr:nvSpPr>
      <xdr:spPr bwMode="auto">
        <a:xfrm>
          <a:off x="13411200" y="75468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152400</xdr:colOff>
      <xdr:row>365</xdr:row>
      <xdr:rowOff>106680</xdr:rowOff>
    </xdr:to>
    <xdr:sp macro="" textlink="">
      <xdr:nvSpPr>
        <xdr:cNvPr id="8193" name="AutoShape 449" descr="ENGLAND10"/>
        <xdr:cNvSpPr>
          <a:spLocks noChangeAspect="1" noChangeArrowheads="1"/>
        </xdr:cNvSpPr>
      </xdr:nvSpPr>
      <xdr:spPr bwMode="auto">
        <a:xfrm>
          <a:off x="0" y="75643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365</xdr:row>
      <xdr:rowOff>0</xdr:rowOff>
    </xdr:from>
    <xdr:to>
      <xdr:col>22</xdr:col>
      <xdr:colOff>304800</xdr:colOff>
      <xdr:row>366</xdr:row>
      <xdr:rowOff>53340</xdr:rowOff>
    </xdr:to>
    <xdr:sp macro="" textlink="">
      <xdr:nvSpPr>
        <xdr:cNvPr id="8194" name="AutoShape 450" descr="https://www.soccerstats.com/img/own/sshplogo.png">
          <a:hlinkClick xmlns:r="http://schemas.openxmlformats.org/officeDocument/2006/relationships" r:id="rId229"/>
        </xdr:cNvPr>
        <xdr:cNvSpPr>
          <a:spLocks noChangeAspect="1" noChangeArrowheads="1"/>
        </xdr:cNvSpPr>
      </xdr:nvSpPr>
      <xdr:spPr bwMode="auto">
        <a:xfrm>
          <a:off x="13411200" y="75643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152400</xdr:colOff>
      <xdr:row>366</xdr:row>
      <xdr:rowOff>106680</xdr:rowOff>
    </xdr:to>
    <xdr:sp macro="" textlink="">
      <xdr:nvSpPr>
        <xdr:cNvPr id="8195" name="AutoShape 451" descr="ENGLAND10"/>
        <xdr:cNvSpPr>
          <a:spLocks noChangeAspect="1" noChangeArrowheads="1"/>
        </xdr:cNvSpPr>
      </xdr:nvSpPr>
      <xdr:spPr bwMode="auto">
        <a:xfrm>
          <a:off x="0" y="75895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366</xdr:row>
      <xdr:rowOff>0</xdr:rowOff>
    </xdr:from>
    <xdr:to>
      <xdr:col>22</xdr:col>
      <xdr:colOff>304800</xdr:colOff>
      <xdr:row>367</xdr:row>
      <xdr:rowOff>53340</xdr:rowOff>
    </xdr:to>
    <xdr:sp macro="" textlink="">
      <xdr:nvSpPr>
        <xdr:cNvPr id="8196" name="AutoShape 452" descr="https://www.soccerstats.com/img/own/sshplogo.png">
          <a:hlinkClick xmlns:r="http://schemas.openxmlformats.org/officeDocument/2006/relationships" r:id="rId230"/>
        </xdr:cNvPr>
        <xdr:cNvSpPr>
          <a:spLocks noChangeAspect="1" noChangeArrowheads="1"/>
        </xdr:cNvSpPr>
      </xdr:nvSpPr>
      <xdr:spPr bwMode="auto">
        <a:xfrm>
          <a:off x="13411200" y="75895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152400</xdr:colOff>
      <xdr:row>367</xdr:row>
      <xdr:rowOff>106680</xdr:rowOff>
    </xdr:to>
    <xdr:sp macro="" textlink="">
      <xdr:nvSpPr>
        <xdr:cNvPr id="8197" name="AutoShape 453" descr="ENGLAND10"/>
        <xdr:cNvSpPr>
          <a:spLocks noChangeAspect="1" noChangeArrowheads="1"/>
        </xdr:cNvSpPr>
      </xdr:nvSpPr>
      <xdr:spPr bwMode="auto">
        <a:xfrm>
          <a:off x="0" y="76146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367</xdr:row>
      <xdr:rowOff>0</xdr:rowOff>
    </xdr:from>
    <xdr:to>
      <xdr:col>22</xdr:col>
      <xdr:colOff>304800</xdr:colOff>
      <xdr:row>368</xdr:row>
      <xdr:rowOff>53340</xdr:rowOff>
    </xdr:to>
    <xdr:sp macro="" textlink="">
      <xdr:nvSpPr>
        <xdr:cNvPr id="8198" name="AutoShape 454" descr="https://www.soccerstats.com/img/own/sshplogo.png">
          <a:hlinkClick xmlns:r="http://schemas.openxmlformats.org/officeDocument/2006/relationships" r:id="rId231"/>
        </xdr:cNvPr>
        <xdr:cNvSpPr>
          <a:spLocks noChangeAspect="1" noChangeArrowheads="1"/>
        </xdr:cNvSpPr>
      </xdr:nvSpPr>
      <xdr:spPr bwMode="auto">
        <a:xfrm>
          <a:off x="13411200" y="76146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152400</xdr:colOff>
      <xdr:row>368</xdr:row>
      <xdr:rowOff>106680</xdr:rowOff>
    </xdr:to>
    <xdr:sp macro="" textlink="">
      <xdr:nvSpPr>
        <xdr:cNvPr id="8199" name="AutoShape 455" descr="ESTONIA2"/>
        <xdr:cNvSpPr>
          <a:spLocks noChangeAspect="1" noChangeArrowheads="1"/>
        </xdr:cNvSpPr>
      </xdr:nvSpPr>
      <xdr:spPr bwMode="auto">
        <a:xfrm>
          <a:off x="0" y="76398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368</xdr:row>
      <xdr:rowOff>0</xdr:rowOff>
    </xdr:from>
    <xdr:to>
      <xdr:col>22</xdr:col>
      <xdr:colOff>304800</xdr:colOff>
      <xdr:row>369</xdr:row>
      <xdr:rowOff>129540</xdr:rowOff>
    </xdr:to>
    <xdr:sp macro="" textlink="">
      <xdr:nvSpPr>
        <xdr:cNvPr id="8200" name="AutoShape 456" descr="https://www.soccerstats.com/img/own/sshplogo.png">
          <a:hlinkClick xmlns:r="http://schemas.openxmlformats.org/officeDocument/2006/relationships" r:id="rId232"/>
        </xdr:cNvPr>
        <xdr:cNvSpPr>
          <a:spLocks noChangeAspect="1" noChangeArrowheads="1"/>
        </xdr:cNvSpPr>
      </xdr:nvSpPr>
      <xdr:spPr bwMode="auto">
        <a:xfrm>
          <a:off x="13411200" y="76398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152400</xdr:colOff>
      <xdr:row>369</xdr:row>
      <xdr:rowOff>106680</xdr:rowOff>
    </xdr:to>
    <xdr:sp macro="" textlink="">
      <xdr:nvSpPr>
        <xdr:cNvPr id="8201" name="AutoShape 457" descr="ESTONIA2"/>
        <xdr:cNvSpPr>
          <a:spLocks noChangeAspect="1" noChangeArrowheads="1"/>
        </xdr:cNvSpPr>
      </xdr:nvSpPr>
      <xdr:spPr bwMode="auto">
        <a:xfrm>
          <a:off x="0" y="76573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369</xdr:row>
      <xdr:rowOff>0</xdr:rowOff>
    </xdr:from>
    <xdr:to>
      <xdr:col>22</xdr:col>
      <xdr:colOff>304800</xdr:colOff>
      <xdr:row>370</xdr:row>
      <xdr:rowOff>129540</xdr:rowOff>
    </xdr:to>
    <xdr:sp macro="" textlink="">
      <xdr:nvSpPr>
        <xdr:cNvPr id="8202" name="AutoShape 458" descr="https://www.soccerstats.com/img/own/sshplogo.png">
          <a:hlinkClick xmlns:r="http://schemas.openxmlformats.org/officeDocument/2006/relationships" r:id="rId233"/>
        </xdr:cNvPr>
        <xdr:cNvSpPr>
          <a:spLocks noChangeAspect="1" noChangeArrowheads="1"/>
        </xdr:cNvSpPr>
      </xdr:nvSpPr>
      <xdr:spPr bwMode="auto">
        <a:xfrm>
          <a:off x="13411200" y="76573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152400</xdr:colOff>
      <xdr:row>370</xdr:row>
      <xdr:rowOff>106680</xdr:rowOff>
    </xdr:to>
    <xdr:sp macro="" textlink="">
      <xdr:nvSpPr>
        <xdr:cNvPr id="8203" name="AutoShape 459" descr="ESTONIA2"/>
        <xdr:cNvSpPr>
          <a:spLocks noChangeAspect="1" noChangeArrowheads="1"/>
        </xdr:cNvSpPr>
      </xdr:nvSpPr>
      <xdr:spPr bwMode="auto">
        <a:xfrm>
          <a:off x="0" y="76748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370</xdr:row>
      <xdr:rowOff>0</xdr:rowOff>
    </xdr:from>
    <xdr:to>
      <xdr:col>22</xdr:col>
      <xdr:colOff>304800</xdr:colOff>
      <xdr:row>371</xdr:row>
      <xdr:rowOff>129540</xdr:rowOff>
    </xdr:to>
    <xdr:sp macro="" textlink="">
      <xdr:nvSpPr>
        <xdr:cNvPr id="8204" name="AutoShape 460" descr="https://www.soccerstats.com/img/own/sshplogo.png">
          <a:hlinkClick xmlns:r="http://schemas.openxmlformats.org/officeDocument/2006/relationships" r:id="rId234"/>
        </xdr:cNvPr>
        <xdr:cNvSpPr>
          <a:spLocks noChangeAspect="1" noChangeArrowheads="1"/>
        </xdr:cNvSpPr>
      </xdr:nvSpPr>
      <xdr:spPr bwMode="auto">
        <a:xfrm>
          <a:off x="13411200" y="76748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152400</xdr:colOff>
      <xdr:row>371</xdr:row>
      <xdr:rowOff>106680</xdr:rowOff>
    </xdr:to>
    <xdr:sp macro="" textlink="">
      <xdr:nvSpPr>
        <xdr:cNvPr id="8205" name="AutoShape 461" descr="ESTONIA2"/>
        <xdr:cNvSpPr>
          <a:spLocks noChangeAspect="1" noChangeArrowheads="1"/>
        </xdr:cNvSpPr>
      </xdr:nvSpPr>
      <xdr:spPr bwMode="auto">
        <a:xfrm>
          <a:off x="0" y="76923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371</xdr:row>
      <xdr:rowOff>0</xdr:rowOff>
    </xdr:from>
    <xdr:to>
      <xdr:col>22</xdr:col>
      <xdr:colOff>304800</xdr:colOff>
      <xdr:row>372</xdr:row>
      <xdr:rowOff>129540</xdr:rowOff>
    </xdr:to>
    <xdr:sp macro="" textlink="">
      <xdr:nvSpPr>
        <xdr:cNvPr id="8206" name="AutoShape 462" descr="https://www.soccerstats.com/img/own/sshplogo.png">
          <a:hlinkClick xmlns:r="http://schemas.openxmlformats.org/officeDocument/2006/relationships" r:id="rId235"/>
        </xdr:cNvPr>
        <xdr:cNvSpPr>
          <a:spLocks noChangeAspect="1" noChangeArrowheads="1"/>
        </xdr:cNvSpPr>
      </xdr:nvSpPr>
      <xdr:spPr bwMode="auto">
        <a:xfrm>
          <a:off x="13411200" y="76923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152400</xdr:colOff>
      <xdr:row>372</xdr:row>
      <xdr:rowOff>106680</xdr:rowOff>
    </xdr:to>
    <xdr:sp macro="" textlink="">
      <xdr:nvSpPr>
        <xdr:cNvPr id="8207" name="AutoShape 463" descr="FINLAND"/>
        <xdr:cNvSpPr>
          <a:spLocks noChangeAspect="1" noChangeArrowheads="1"/>
        </xdr:cNvSpPr>
      </xdr:nvSpPr>
      <xdr:spPr bwMode="auto">
        <a:xfrm>
          <a:off x="0" y="77099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372</xdr:row>
      <xdr:rowOff>0</xdr:rowOff>
    </xdr:from>
    <xdr:to>
      <xdr:col>22</xdr:col>
      <xdr:colOff>304800</xdr:colOff>
      <xdr:row>373</xdr:row>
      <xdr:rowOff>129540</xdr:rowOff>
    </xdr:to>
    <xdr:sp macro="" textlink="">
      <xdr:nvSpPr>
        <xdr:cNvPr id="8208" name="AutoShape 464" descr="https://www.soccerstats.com/img/own/sshplogo.png">
          <a:hlinkClick xmlns:r="http://schemas.openxmlformats.org/officeDocument/2006/relationships" r:id="rId236"/>
        </xdr:cNvPr>
        <xdr:cNvSpPr>
          <a:spLocks noChangeAspect="1" noChangeArrowheads="1"/>
        </xdr:cNvSpPr>
      </xdr:nvSpPr>
      <xdr:spPr bwMode="auto">
        <a:xfrm>
          <a:off x="13411200" y="77099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152400</xdr:colOff>
      <xdr:row>373</xdr:row>
      <xdr:rowOff>106680</xdr:rowOff>
    </xdr:to>
    <xdr:sp macro="" textlink="">
      <xdr:nvSpPr>
        <xdr:cNvPr id="8209" name="AutoShape 465" descr="FINLAND2"/>
        <xdr:cNvSpPr>
          <a:spLocks noChangeAspect="1" noChangeArrowheads="1"/>
        </xdr:cNvSpPr>
      </xdr:nvSpPr>
      <xdr:spPr bwMode="auto">
        <a:xfrm>
          <a:off x="0" y="77274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373</xdr:row>
      <xdr:rowOff>0</xdr:rowOff>
    </xdr:from>
    <xdr:to>
      <xdr:col>22</xdr:col>
      <xdr:colOff>304800</xdr:colOff>
      <xdr:row>374</xdr:row>
      <xdr:rowOff>129540</xdr:rowOff>
    </xdr:to>
    <xdr:sp macro="" textlink="">
      <xdr:nvSpPr>
        <xdr:cNvPr id="8210" name="AutoShape 466" descr="https://www.soccerstats.com/img/own/sshplogo.png">
          <a:hlinkClick xmlns:r="http://schemas.openxmlformats.org/officeDocument/2006/relationships" r:id="rId237"/>
        </xdr:cNvPr>
        <xdr:cNvSpPr>
          <a:spLocks noChangeAspect="1" noChangeArrowheads="1"/>
        </xdr:cNvSpPr>
      </xdr:nvSpPr>
      <xdr:spPr bwMode="auto">
        <a:xfrm>
          <a:off x="13411200" y="77274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152400</xdr:colOff>
      <xdr:row>374</xdr:row>
      <xdr:rowOff>106680</xdr:rowOff>
    </xdr:to>
    <xdr:sp macro="" textlink="">
      <xdr:nvSpPr>
        <xdr:cNvPr id="8211" name="AutoShape 467" descr="FINLAND2"/>
        <xdr:cNvSpPr>
          <a:spLocks noChangeAspect="1" noChangeArrowheads="1"/>
        </xdr:cNvSpPr>
      </xdr:nvSpPr>
      <xdr:spPr bwMode="auto">
        <a:xfrm>
          <a:off x="0" y="77449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374</xdr:row>
      <xdr:rowOff>0</xdr:rowOff>
    </xdr:from>
    <xdr:to>
      <xdr:col>22</xdr:col>
      <xdr:colOff>304800</xdr:colOff>
      <xdr:row>375</xdr:row>
      <xdr:rowOff>129540</xdr:rowOff>
    </xdr:to>
    <xdr:sp macro="" textlink="">
      <xdr:nvSpPr>
        <xdr:cNvPr id="8212" name="AutoShape 468" descr="https://www.soccerstats.com/img/own/sshplogo.png">
          <a:hlinkClick xmlns:r="http://schemas.openxmlformats.org/officeDocument/2006/relationships" r:id="rId238"/>
        </xdr:cNvPr>
        <xdr:cNvSpPr>
          <a:spLocks noChangeAspect="1" noChangeArrowheads="1"/>
        </xdr:cNvSpPr>
      </xdr:nvSpPr>
      <xdr:spPr bwMode="auto">
        <a:xfrm>
          <a:off x="13411200" y="77449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152400</xdr:colOff>
      <xdr:row>375</xdr:row>
      <xdr:rowOff>106680</xdr:rowOff>
    </xdr:to>
    <xdr:sp macro="" textlink="">
      <xdr:nvSpPr>
        <xdr:cNvPr id="8213" name="AutoShape 469" descr="FINLAND2"/>
        <xdr:cNvSpPr>
          <a:spLocks noChangeAspect="1" noChangeArrowheads="1"/>
        </xdr:cNvSpPr>
      </xdr:nvSpPr>
      <xdr:spPr bwMode="auto">
        <a:xfrm>
          <a:off x="0" y="77624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375</xdr:row>
      <xdr:rowOff>0</xdr:rowOff>
    </xdr:from>
    <xdr:to>
      <xdr:col>22</xdr:col>
      <xdr:colOff>304800</xdr:colOff>
      <xdr:row>376</xdr:row>
      <xdr:rowOff>129540</xdr:rowOff>
    </xdr:to>
    <xdr:sp macro="" textlink="">
      <xdr:nvSpPr>
        <xdr:cNvPr id="8214" name="AutoShape 470" descr="https://www.soccerstats.com/img/own/sshplogo.png">
          <a:hlinkClick xmlns:r="http://schemas.openxmlformats.org/officeDocument/2006/relationships" r:id="rId239"/>
        </xdr:cNvPr>
        <xdr:cNvSpPr>
          <a:spLocks noChangeAspect="1" noChangeArrowheads="1"/>
        </xdr:cNvSpPr>
      </xdr:nvSpPr>
      <xdr:spPr bwMode="auto">
        <a:xfrm>
          <a:off x="13411200" y="77624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152400</xdr:colOff>
      <xdr:row>376</xdr:row>
      <xdr:rowOff>106680</xdr:rowOff>
    </xdr:to>
    <xdr:sp macro="" textlink="">
      <xdr:nvSpPr>
        <xdr:cNvPr id="8215" name="AutoShape 471" descr="FINLAND3"/>
        <xdr:cNvSpPr>
          <a:spLocks noChangeAspect="1" noChangeArrowheads="1"/>
        </xdr:cNvSpPr>
      </xdr:nvSpPr>
      <xdr:spPr bwMode="auto">
        <a:xfrm>
          <a:off x="0" y="77800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376</xdr:row>
      <xdr:rowOff>0</xdr:rowOff>
    </xdr:from>
    <xdr:to>
      <xdr:col>22</xdr:col>
      <xdr:colOff>304800</xdr:colOff>
      <xdr:row>377</xdr:row>
      <xdr:rowOff>129540</xdr:rowOff>
    </xdr:to>
    <xdr:sp macro="" textlink="">
      <xdr:nvSpPr>
        <xdr:cNvPr id="8216" name="AutoShape 472" descr="https://www.soccerstats.com/img/own/sshplogo.png">
          <a:hlinkClick xmlns:r="http://schemas.openxmlformats.org/officeDocument/2006/relationships" r:id="rId240"/>
        </xdr:cNvPr>
        <xdr:cNvSpPr>
          <a:spLocks noChangeAspect="1" noChangeArrowheads="1"/>
        </xdr:cNvSpPr>
      </xdr:nvSpPr>
      <xdr:spPr bwMode="auto">
        <a:xfrm>
          <a:off x="13411200" y="77800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152400</xdr:colOff>
      <xdr:row>377</xdr:row>
      <xdr:rowOff>106680</xdr:rowOff>
    </xdr:to>
    <xdr:sp macro="" textlink="">
      <xdr:nvSpPr>
        <xdr:cNvPr id="8217" name="AutoShape 473" descr="FINLAND3"/>
        <xdr:cNvSpPr>
          <a:spLocks noChangeAspect="1" noChangeArrowheads="1"/>
        </xdr:cNvSpPr>
      </xdr:nvSpPr>
      <xdr:spPr bwMode="auto">
        <a:xfrm>
          <a:off x="0" y="77975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377</xdr:row>
      <xdr:rowOff>0</xdr:rowOff>
    </xdr:from>
    <xdr:to>
      <xdr:col>22</xdr:col>
      <xdr:colOff>304800</xdr:colOff>
      <xdr:row>378</xdr:row>
      <xdr:rowOff>129540</xdr:rowOff>
    </xdr:to>
    <xdr:sp macro="" textlink="">
      <xdr:nvSpPr>
        <xdr:cNvPr id="8218" name="AutoShape 474" descr="https://www.soccerstats.com/img/own/sshplogo.png">
          <a:hlinkClick xmlns:r="http://schemas.openxmlformats.org/officeDocument/2006/relationships" r:id="rId241"/>
        </xdr:cNvPr>
        <xdr:cNvSpPr>
          <a:spLocks noChangeAspect="1" noChangeArrowheads="1"/>
        </xdr:cNvSpPr>
      </xdr:nvSpPr>
      <xdr:spPr bwMode="auto">
        <a:xfrm>
          <a:off x="13411200" y="7797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152400</xdr:colOff>
      <xdr:row>378</xdr:row>
      <xdr:rowOff>106680</xdr:rowOff>
    </xdr:to>
    <xdr:sp macro="" textlink="">
      <xdr:nvSpPr>
        <xdr:cNvPr id="8219" name="AutoShape 475" descr="FINLAND3"/>
        <xdr:cNvSpPr>
          <a:spLocks noChangeAspect="1" noChangeArrowheads="1"/>
        </xdr:cNvSpPr>
      </xdr:nvSpPr>
      <xdr:spPr bwMode="auto">
        <a:xfrm>
          <a:off x="0" y="78150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378</xdr:row>
      <xdr:rowOff>0</xdr:rowOff>
    </xdr:from>
    <xdr:to>
      <xdr:col>22</xdr:col>
      <xdr:colOff>304800</xdr:colOff>
      <xdr:row>379</xdr:row>
      <xdr:rowOff>129540</xdr:rowOff>
    </xdr:to>
    <xdr:sp macro="" textlink="">
      <xdr:nvSpPr>
        <xdr:cNvPr id="8220" name="AutoShape 476" descr="https://www.soccerstats.com/img/own/sshplogo.png">
          <a:hlinkClick xmlns:r="http://schemas.openxmlformats.org/officeDocument/2006/relationships" r:id="rId242"/>
        </xdr:cNvPr>
        <xdr:cNvSpPr>
          <a:spLocks noChangeAspect="1" noChangeArrowheads="1"/>
        </xdr:cNvSpPr>
      </xdr:nvSpPr>
      <xdr:spPr bwMode="auto">
        <a:xfrm>
          <a:off x="13411200" y="78150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152400</xdr:colOff>
      <xdr:row>379</xdr:row>
      <xdr:rowOff>106680</xdr:rowOff>
    </xdr:to>
    <xdr:sp macro="" textlink="">
      <xdr:nvSpPr>
        <xdr:cNvPr id="8221" name="AutoShape 477" descr="FINLAND4"/>
        <xdr:cNvSpPr>
          <a:spLocks noChangeAspect="1" noChangeArrowheads="1"/>
        </xdr:cNvSpPr>
      </xdr:nvSpPr>
      <xdr:spPr bwMode="auto">
        <a:xfrm>
          <a:off x="0" y="78325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379</xdr:row>
      <xdr:rowOff>0</xdr:rowOff>
    </xdr:from>
    <xdr:to>
      <xdr:col>22</xdr:col>
      <xdr:colOff>304800</xdr:colOff>
      <xdr:row>380</xdr:row>
      <xdr:rowOff>129540</xdr:rowOff>
    </xdr:to>
    <xdr:sp macro="" textlink="">
      <xdr:nvSpPr>
        <xdr:cNvPr id="8222" name="AutoShape 478" descr="https://www.soccerstats.com/img/own/sshplogo.png">
          <a:hlinkClick xmlns:r="http://schemas.openxmlformats.org/officeDocument/2006/relationships" r:id="rId243"/>
        </xdr:cNvPr>
        <xdr:cNvSpPr>
          <a:spLocks noChangeAspect="1" noChangeArrowheads="1"/>
        </xdr:cNvSpPr>
      </xdr:nvSpPr>
      <xdr:spPr bwMode="auto">
        <a:xfrm>
          <a:off x="13411200" y="78325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152400</xdr:colOff>
      <xdr:row>380</xdr:row>
      <xdr:rowOff>106680</xdr:rowOff>
    </xdr:to>
    <xdr:sp macro="" textlink="">
      <xdr:nvSpPr>
        <xdr:cNvPr id="8223" name="AutoShape 479" descr="FINLAND4"/>
        <xdr:cNvSpPr>
          <a:spLocks noChangeAspect="1" noChangeArrowheads="1"/>
        </xdr:cNvSpPr>
      </xdr:nvSpPr>
      <xdr:spPr bwMode="auto">
        <a:xfrm>
          <a:off x="0" y="78501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380</xdr:row>
      <xdr:rowOff>0</xdr:rowOff>
    </xdr:from>
    <xdr:to>
      <xdr:col>22</xdr:col>
      <xdr:colOff>304800</xdr:colOff>
      <xdr:row>381</xdr:row>
      <xdr:rowOff>129540</xdr:rowOff>
    </xdr:to>
    <xdr:sp macro="" textlink="">
      <xdr:nvSpPr>
        <xdr:cNvPr id="8224" name="AutoShape 480" descr="https://www.soccerstats.com/img/own/sshplogo.png">
          <a:hlinkClick xmlns:r="http://schemas.openxmlformats.org/officeDocument/2006/relationships" r:id="rId244"/>
        </xdr:cNvPr>
        <xdr:cNvSpPr>
          <a:spLocks noChangeAspect="1" noChangeArrowheads="1"/>
        </xdr:cNvSpPr>
      </xdr:nvSpPr>
      <xdr:spPr bwMode="auto">
        <a:xfrm>
          <a:off x="13411200" y="78501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152400</xdr:colOff>
      <xdr:row>381</xdr:row>
      <xdr:rowOff>106680</xdr:rowOff>
    </xdr:to>
    <xdr:sp macro="" textlink="">
      <xdr:nvSpPr>
        <xdr:cNvPr id="8225" name="AutoShape 481" descr="FINLAND4"/>
        <xdr:cNvSpPr>
          <a:spLocks noChangeAspect="1" noChangeArrowheads="1"/>
        </xdr:cNvSpPr>
      </xdr:nvSpPr>
      <xdr:spPr bwMode="auto">
        <a:xfrm>
          <a:off x="0" y="78676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381</xdr:row>
      <xdr:rowOff>0</xdr:rowOff>
    </xdr:from>
    <xdr:to>
      <xdr:col>22</xdr:col>
      <xdr:colOff>304800</xdr:colOff>
      <xdr:row>382</xdr:row>
      <xdr:rowOff>129540</xdr:rowOff>
    </xdr:to>
    <xdr:sp macro="" textlink="">
      <xdr:nvSpPr>
        <xdr:cNvPr id="8226" name="AutoShape 482" descr="https://www.soccerstats.com/img/own/sshplogo.png">
          <a:hlinkClick xmlns:r="http://schemas.openxmlformats.org/officeDocument/2006/relationships" r:id="rId245"/>
        </xdr:cNvPr>
        <xdr:cNvSpPr>
          <a:spLocks noChangeAspect="1" noChangeArrowheads="1"/>
        </xdr:cNvSpPr>
      </xdr:nvSpPr>
      <xdr:spPr bwMode="auto">
        <a:xfrm>
          <a:off x="13411200" y="7867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152400</xdr:colOff>
      <xdr:row>382</xdr:row>
      <xdr:rowOff>106680</xdr:rowOff>
    </xdr:to>
    <xdr:sp macro="" textlink="">
      <xdr:nvSpPr>
        <xdr:cNvPr id="8227" name="AutoShape 483" descr="FINLAND5"/>
        <xdr:cNvSpPr>
          <a:spLocks noChangeAspect="1" noChangeArrowheads="1"/>
        </xdr:cNvSpPr>
      </xdr:nvSpPr>
      <xdr:spPr bwMode="auto">
        <a:xfrm>
          <a:off x="0" y="78851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382</xdr:row>
      <xdr:rowOff>0</xdr:rowOff>
    </xdr:from>
    <xdr:to>
      <xdr:col>22</xdr:col>
      <xdr:colOff>304800</xdr:colOff>
      <xdr:row>383</xdr:row>
      <xdr:rowOff>129540</xdr:rowOff>
    </xdr:to>
    <xdr:sp macro="" textlink="">
      <xdr:nvSpPr>
        <xdr:cNvPr id="8228" name="AutoShape 484" descr="https://www.soccerstats.com/img/own/sshplogo.png">
          <a:hlinkClick xmlns:r="http://schemas.openxmlformats.org/officeDocument/2006/relationships" r:id="rId246"/>
        </xdr:cNvPr>
        <xdr:cNvSpPr>
          <a:spLocks noChangeAspect="1" noChangeArrowheads="1"/>
        </xdr:cNvSpPr>
      </xdr:nvSpPr>
      <xdr:spPr bwMode="auto">
        <a:xfrm>
          <a:off x="13411200" y="78851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152400</xdr:colOff>
      <xdr:row>383</xdr:row>
      <xdr:rowOff>106680</xdr:rowOff>
    </xdr:to>
    <xdr:sp macro="" textlink="">
      <xdr:nvSpPr>
        <xdr:cNvPr id="8229" name="AutoShape 485" descr="FINLAND5"/>
        <xdr:cNvSpPr>
          <a:spLocks noChangeAspect="1" noChangeArrowheads="1"/>
        </xdr:cNvSpPr>
      </xdr:nvSpPr>
      <xdr:spPr bwMode="auto">
        <a:xfrm>
          <a:off x="0" y="79027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383</xdr:row>
      <xdr:rowOff>0</xdr:rowOff>
    </xdr:from>
    <xdr:to>
      <xdr:col>22</xdr:col>
      <xdr:colOff>304800</xdr:colOff>
      <xdr:row>384</xdr:row>
      <xdr:rowOff>129540</xdr:rowOff>
    </xdr:to>
    <xdr:sp macro="" textlink="">
      <xdr:nvSpPr>
        <xdr:cNvPr id="8230" name="AutoShape 486" descr="https://www.soccerstats.com/img/own/sshplogo.png">
          <a:hlinkClick xmlns:r="http://schemas.openxmlformats.org/officeDocument/2006/relationships" r:id="rId247"/>
        </xdr:cNvPr>
        <xdr:cNvSpPr>
          <a:spLocks noChangeAspect="1" noChangeArrowheads="1"/>
        </xdr:cNvSpPr>
      </xdr:nvSpPr>
      <xdr:spPr bwMode="auto">
        <a:xfrm>
          <a:off x="13411200" y="79027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152400</xdr:colOff>
      <xdr:row>384</xdr:row>
      <xdr:rowOff>106680</xdr:rowOff>
    </xdr:to>
    <xdr:sp macro="" textlink="">
      <xdr:nvSpPr>
        <xdr:cNvPr id="8231" name="AutoShape 487" descr="FINLAND5"/>
        <xdr:cNvSpPr>
          <a:spLocks noChangeAspect="1" noChangeArrowheads="1"/>
        </xdr:cNvSpPr>
      </xdr:nvSpPr>
      <xdr:spPr bwMode="auto">
        <a:xfrm>
          <a:off x="0" y="79202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384</xdr:row>
      <xdr:rowOff>0</xdr:rowOff>
    </xdr:from>
    <xdr:to>
      <xdr:col>22</xdr:col>
      <xdr:colOff>304800</xdr:colOff>
      <xdr:row>385</xdr:row>
      <xdr:rowOff>129540</xdr:rowOff>
    </xdr:to>
    <xdr:sp macro="" textlink="">
      <xdr:nvSpPr>
        <xdr:cNvPr id="8232" name="AutoShape 488" descr="https://www.soccerstats.com/img/own/sshplogo.png">
          <a:hlinkClick xmlns:r="http://schemas.openxmlformats.org/officeDocument/2006/relationships" r:id="rId248"/>
        </xdr:cNvPr>
        <xdr:cNvSpPr>
          <a:spLocks noChangeAspect="1" noChangeArrowheads="1"/>
        </xdr:cNvSpPr>
      </xdr:nvSpPr>
      <xdr:spPr bwMode="auto">
        <a:xfrm>
          <a:off x="13411200" y="79202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152400</xdr:colOff>
      <xdr:row>385</xdr:row>
      <xdr:rowOff>106680</xdr:rowOff>
    </xdr:to>
    <xdr:sp macro="" textlink="">
      <xdr:nvSpPr>
        <xdr:cNvPr id="8233" name="AutoShape 489" descr="FINLAND5"/>
        <xdr:cNvSpPr>
          <a:spLocks noChangeAspect="1" noChangeArrowheads="1"/>
        </xdr:cNvSpPr>
      </xdr:nvSpPr>
      <xdr:spPr bwMode="auto">
        <a:xfrm>
          <a:off x="0" y="79377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385</xdr:row>
      <xdr:rowOff>0</xdr:rowOff>
    </xdr:from>
    <xdr:to>
      <xdr:col>22</xdr:col>
      <xdr:colOff>304800</xdr:colOff>
      <xdr:row>386</xdr:row>
      <xdr:rowOff>129540</xdr:rowOff>
    </xdr:to>
    <xdr:sp macro="" textlink="">
      <xdr:nvSpPr>
        <xdr:cNvPr id="8234" name="AutoShape 490" descr="https://www.soccerstats.com/img/own/sshplogo.png">
          <a:hlinkClick xmlns:r="http://schemas.openxmlformats.org/officeDocument/2006/relationships" r:id="rId249"/>
        </xdr:cNvPr>
        <xdr:cNvSpPr>
          <a:spLocks noChangeAspect="1" noChangeArrowheads="1"/>
        </xdr:cNvSpPr>
      </xdr:nvSpPr>
      <xdr:spPr bwMode="auto">
        <a:xfrm>
          <a:off x="13411200" y="79377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152400</xdr:colOff>
      <xdr:row>386</xdr:row>
      <xdr:rowOff>106680</xdr:rowOff>
    </xdr:to>
    <xdr:sp macro="" textlink="">
      <xdr:nvSpPr>
        <xdr:cNvPr id="8235" name="AutoShape 491" descr="FINLAND5"/>
        <xdr:cNvSpPr>
          <a:spLocks noChangeAspect="1" noChangeArrowheads="1"/>
        </xdr:cNvSpPr>
      </xdr:nvSpPr>
      <xdr:spPr bwMode="auto">
        <a:xfrm>
          <a:off x="0" y="79552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386</xdr:row>
      <xdr:rowOff>0</xdr:rowOff>
    </xdr:from>
    <xdr:to>
      <xdr:col>22</xdr:col>
      <xdr:colOff>304800</xdr:colOff>
      <xdr:row>387</xdr:row>
      <xdr:rowOff>129540</xdr:rowOff>
    </xdr:to>
    <xdr:sp macro="" textlink="">
      <xdr:nvSpPr>
        <xdr:cNvPr id="8236" name="AutoShape 492" descr="https://www.soccerstats.com/img/own/sshplogo.png">
          <a:hlinkClick xmlns:r="http://schemas.openxmlformats.org/officeDocument/2006/relationships" r:id="rId250"/>
        </xdr:cNvPr>
        <xdr:cNvSpPr>
          <a:spLocks noChangeAspect="1" noChangeArrowheads="1"/>
        </xdr:cNvSpPr>
      </xdr:nvSpPr>
      <xdr:spPr bwMode="auto">
        <a:xfrm>
          <a:off x="13411200" y="7955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152400</xdr:colOff>
      <xdr:row>387</xdr:row>
      <xdr:rowOff>106680</xdr:rowOff>
    </xdr:to>
    <xdr:sp macro="" textlink="">
      <xdr:nvSpPr>
        <xdr:cNvPr id="8237" name="AutoShape 493" descr="FINLAND6"/>
        <xdr:cNvSpPr>
          <a:spLocks noChangeAspect="1" noChangeArrowheads="1"/>
        </xdr:cNvSpPr>
      </xdr:nvSpPr>
      <xdr:spPr bwMode="auto">
        <a:xfrm>
          <a:off x="0" y="79728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387</xdr:row>
      <xdr:rowOff>0</xdr:rowOff>
    </xdr:from>
    <xdr:to>
      <xdr:col>22</xdr:col>
      <xdr:colOff>304800</xdr:colOff>
      <xdr:row>388</xdr:row>
      <xdr:rowOff>129540</xdr:rowOff>
    </xdr:to>
    <xdr:sp macro="" textlink="">
      <xdr:nvSpPr>
        <xdr:cNvPr id="8238" name="AutoShape 494" descr="https://www.soccerstats.com/img/own/sshplogo.png">
          <a:hlinkClick xmlns:r="http://schemas.openxmlformats.org/officeDocument/2006/relationships" r:id="rId251"/>
        </xdr:cNvPr>
        <xdr:cNvSpPr>
          <a:spLocks noChangeAspect="1" noChangeArrowheads="1"/>
        </xdr:cNvSpPr>
      </xdr:nvSpPr>
      <xdr:spPr bwMode="auto">
        <a:xfrm>
          <a:off x="13411200" y="79728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152400</xdr:colOff>
      <xdr:row>388</xdr:row>
      <xdr:rowOff>106680</xdr:rowOff>
    </xdr:to>
    <xdr:sp macro="" textlink="">
      <xdr:nvSpPr>
        <xdr:cNvPr id="8239" name="AutoShape 495" descr="FINLAND6"/>
        <xdr:cNvSpPr>
          <a:spLocks noChangeAspect="1" noChangeArrowheads="1"/>
        </xdr:cNvSpPr>
      </xdr:nvSpPr>
      <xdr:spPr bwMode="auto">
        <a:xfrm>
          <a:off x="0" y="79903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388</xdr:row>
      <xdr:rowOff>0</xdr:rowOff>
    </xdr:from>
    <xdr:to>
      <xdr:col>22</xdr:col>
      <xdr:colOff>304800</xdr:colOff>
      <xdr:row>389</xdr:row>
      <xdr:rowOff>129540</xdr:rowOff>
    </xdr:to>
    <xdr:sp macro="" textlink="">
      <xdr:nvSpPr>
        <xdr:cNvPr id="8240" name="AutoShape 496" descr="https://www.soccerstats.com/img/own/sshplogo.png">
          <a:hlinkClick xmlns:r="http://schemas.openxmlformats.org/officeDocument/2006/relationships" r:id="rId252"/>
        </xdr:cNvPr>
        <xdr:cNvSpPr>
          <a:spLocks noChangeAspect="1" noChangeArrowheads="1"/>
        </xdr:cNvSpPr>
      </xdr:nvSpPr>
      <xdr:spPr bwMode="auto">
        <a:xfrm>
          <a:off x="13411200" y="79903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152400</xdr:colOff>
      <xdr:row>389</xdr:row>
      <xdr:rowOff>106680</xdr:rowOff>
    </xdr:to>
    <xdr:sp macro="" textlink="">
      <xdr:nvSpPr>
        <xdr:cNvPr id="8241" name="AutoShape 497" descr="FINLAND6"/>
        <xdr:cNvSpPr>
          <a:spLocks noChangeAspect="1" noChangeArrowheads="1"/>
        </xdr:cNvSpPr>
      </xdr:nvSpPr>
      <xdr:spPr bwMode="auto">
        <a:xfrm>
          <a:off x="0" y="80078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389</xdr:row>
      <xdr:rowOff>0</xdr:rowOff>
    </xdr:from>
    <xdr:to>
      <xdr:col>22</xdr:col>
      <xdr:colOff>304800</xdr:colOff>
      <xdr:row>390</xdr:row>
      <xdr:rowOff>129540</xdr:rowOff>
    </xdr:to>
    <xdr:sp macro="" textlink="">
      <xdr:nvSpPr>
        <xdr:cNvPr id="8242" name="AutoShape 498" descr="https://www.soccerstats.com/img/own/sshplogo.png">
          <a:hlinkClick xmlns:r="http://schemas.openxmlformats.org/officeDocument/2006/relationships" r:id="rId253"/>
        </xdr:cNvPr>
        <xdr:cNvSpPr>
          <a:spLocks noChangeAspect="1" noChangeArrowheads="1"/>
        </xdr:cNvSpPr>
      </xdr:nvSpPr>
      <xdr:spPr bwMode="auto">
        <a:xfrm>
          <a:off x="13411200" y="80078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152400</xdr:colOff>
      <xdr:row>390</xdr:row>
      <xdr:rowOff>106680</xdr:rowOff>
    </xdr:to>
    <xdr:sp macro="" textlink="">
      <xdr:nvSpPr>
        <xdr:cNvPr id="8243" name="AutoShape 499" descr="GEORGIA"/>
        <xdr:cNvSpPr>
          <a:spLocks noChangeAspect="1" noChangeArrowheads="1"/>
        </xdr:cNvSpPr>
      </xdr:nvSpPr>
      <xdr:spPr bwMode="auto">
        <a:xfrm>
          <a:off x="0" y="80253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390</xdr:row>
      <xdr:rowOff>0</xdr:rowOff>
    </xdr:from>
    <xdr:to>
      <xdr:col>22</xdr:col>
      <xdr:colOff>304800</xdr:colOff>
      <xdr:row>391</xdr:row>
      <xdr:rowOff>53340</xdr:rowOff>
    </xdr:to>
    <xdr:sp macro="" textlink="">
      <xdr:nvSpPr>
        <xdr:cNvPr id="8244" name="AutoShape 500" descr="https://www.soccerstats.com/img/own/sshplogo.png">
          <a:hlinkClick xmlns:r="http://schemas.openxmlformats.org/officeDocument/2006/relationships" r:id="rId254"/>
        </xdr:cNvPr>
        <xdr:cNvSpPr>
          <a:spLocks noChangeAspect="1" noChangeArrowheads="1"/>
        </xdr:cNvSpPr>
      </xdr:nvSpPr>
      <xdr:spPr bwMode="auto">
        <a:xfrm>
          <a:off x="13411200" y="80253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152400</xdr:colOff>
      <xdr:row>391</xdr:row>
      <xdr:rowOff>106680</xdr:rowOff>
    </xdr:to>
    <xdr:sp macro="" textlink="">
      <xdr:nvSpPr>
        <xdr:cNvPr id="8245" name="AutoShape 501" descr="GEORGIA"/>
        <xdr:cNvSpPr>
          <a:spLocks noChangeAspect="1" noChangeArrowheads="1"/>
        </xdr:cNvSpPr>
      </xdr:nvSpPr>
      <xdr:spPr bwMode="auto">
        <a:xfrm>
          <a:off x="0" y="80505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391</xdr:row>
      <xdr:rowOff>0</xdr:rowOff>
    </xdr:from>
    <xdr:to>
      <xdr:col>22</xdr:col>
      <xdr:colOff>304800</xdr:colOff>
      <xdr:row>392</xdr:row>
      <xdr:rowOff>53340</xdr:rowOff>
    </xdr:to>
    <xdr:sp macro="" textlink="">
      <xdr:nvSpPr>
        <xdr:cNvPr id="8246" name="AutoShape 502" descr="https://www.soccerstats.com/img/own/sshplogo.png">
          <a:hlinkClick xmlns:r="http://schemas.openxmlformats.org/officeDocument/2006/relationships" r:id="rId255"/>
        </xdr:cNvPr>
        <xdr:cNvSpPr>
          <a:spLocks noChangeAspect="1" noChangeArrowheads="1"/>
        </xdr:cNvSpPr>
      </xdr:nvSpPr>
      <xdr:spPr bwMode="auto">
        <a:xfrm>
          <a:off x="13411200" y="8050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152400</xdr:colOff>
      <xdr:row>392</xdr:row>
      <xdr:rowOff>106680</xdr:rowOff>
    </xdr:to>
    <xdr:sp macro="" textlink="">
      <xdr:nvSpPr>
        <xdr:cNvPr id="8247" name="AutoShape 503" descr="GERMANY3"/>
        <xdr:cNvSpPr>
          <a:spLocks noChangeAspect="1" noChangeArrowheads="1"/>
        </xdr:cNvSpPr>
      </xdr:nvSpPr>
      <xdr:spPr bwMode="auto">
        <a:xfrm>
          <a:off x="0" y="80756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392</xdr:row>
      <xdr:rowOff>0</xdr:rowOff>
    </xdr:from>
    <xdr:to>
      <xdr:col>22</xdr:col>
      <xdr:colOff>304800</xdr:colOff>
      <xdr:row>393</xdr:row>
      <xdr:rowOff>53340</xdr:rowOff>
    </xdr:to>
    <xdr:sp macro="" textlink="">
      <xdr:nvSpPr>
        <xdr:cNvPr id="8248" name="AutoShape 504" descr="https://www.soccerstats.com/img/own/sshplogo.png">
          <a:hlinkClick xmlns:r="http://schemas.openxmlformats.org/officeDocument/2006/relationships" r:id="rId256"/>
        </xdr:cNvPr>
        <xdr:cNvSpPr>
          <a:spLocks noChangeAspect="1" noChangeArrowheads="1"/>
        </xdr:cNvSpPr>
      </xdr:nvSpPr>
      <xdr:spPr bwMode="auto">
        <a:xfrm>
          <a:off x="13411200" y="80756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152400</xdr:colOff>
      <xdr:row>393</xdr:row>
      <xdr:rowOff>106680</xdr:rowOff>
    </xdr:to>
    <xdr:sp macro="" textlink="">
      <xdr:nvSpPr>
        <xdr:cNvPr id="8249" name="AutoShape 505" descr="GERMANY3"/>
        <xdr:cNvSpPr>
          <a:spLocks noChangeAspect="1" noChangeArrowheads="1"/>
        </xdr:cNvSpPr>
      </xdr:nvSpPr>
      <xdr:spPr bwMode="auto">
        <a:xfrm>
          <a:off x="0" y="81008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393</xdr:row>
      <xdr:rowOff>0</xdr:rowOff>
    </xdr:from>
    <xdr:to>
      <xdr:col>22</xdr:col>
      <xdr:colOff>304800</xdr:colOff>
      <xdr:row>394</xdr:row>
      <xdr:rowOff>129540</xdr:rowOff>
    </xdr:to>
    <xdr:sp macro="" textlink="">
      <xdr:nvSpPr>
        <xdr:cNvPr id="8250" name="AutoShape 506" descr="https://www.soccerstats.com/img/own/sshplogo.png">
          <a:hlinkClick xmlns:r="http://schemas.openxmlformats.org/officeDocument/2006/relationships" r:id="rId257"/>
        </xdr:cNvPr>
        <xdr:cNvSpPr>
          <a:spLocks noChangeAspect="1" noChangeArrowheads="1"/>
        </xdr:cNvSpPr>
      </xdr:nvSpPr>
      <xdr:spPr bwMode="auto">
        <a:xfrm>
          <a:off x="13411200" y="81008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152400</xdr:colOff>
      <xdr:row>394</xdr:row>
      <xdr:rowOff>106680</xdr:rowOff>
    </xdr:to>
    <xdr:sp macro="" textlink="">
      <xdr:nvSpPr>
        <xdr:cNvPr id="8251" name="AutoShape 507" descr="GERMANY3"/>
        <xdr:cNvSpPr>
          <a:spLocks noChangeAspect="1" noChangeArrowheads="1"/>
        </xdr:cNvSpPr>
      </xdr:nvSpPr>
      <xdr:spPr bwMode="auto">
        <a:xfrm>
          <a:off x="0" y="81183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394</xdr:row>
      <xdr:rowOff>0</xdr:rowOff>
    </xdr:from>
    <xdr:to>
      <xdr:col>22</xdr:col>
      <xdr:colOff>304800</xdr:colOff>
      <xdr:row>395</xdr:row>
      <xdr:rowOff>129540</xdr:rowOff>
    </xdr:to>
    <xdr:sp macro="" textlink="">
      <xdr:nvSpPr>
        <xdr:cNvPr id="8252" name="AutoShape 508" descr="https://www.soccerstats.com/img/own/sshplogo.png">
          <a:hlinkClick xmlns:r="http://schemas.openxmlformats.org/officeDocument/2006/relationships" r:id="rId258"/>
        </xdr:cNvPr>
        <xdr:cNvSpPr>
          <a:spLocks noChangeAspect="1" noChangeArrowheads="1"/>
        </xdr:cNvSpPr>
      </xdr:nvSpPr>
      <xdr:spPr bwMode="auto">
        <a:xfrm>
          <a:off x="13411200" y="81183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152400</xdr:colOff>
      <xdr:row>395</xdr:row>
      <xdr:rowOff>106680</xdr:rowOff>
    </xdr:to>
    <xdr:sp macro="" textlink="">
      <xdr:nvSpPr>
        <xdr:cNvPr id="8253" name="AutoShape 509" descr="GERMANY3"/>
        <xdr:cNvSpPr>
          <a:spLocks noChangeAspect="1" noChangeArrowheads="1"/>
        </xdr:cNvSpPr>
      </xdr:nvSpPr>
      <xdr:spPr bwMode="auto">
        <a:xfrm>
          <a:off x="0" y="81358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395</xdr:row>
      <xdr:rowOff>0</xdr:rowOff>
    </xdr:from>
    <xdr:to>
      <xdr:col>22</xdr:col>
      <xdr:colOff>304800</xdr:colOff>
      <xdr:row>396</xdr:row>
      <xdr:rowOff>53340</xdr:rowOff>
    </xdr:to>
    <xdr:sp macro="" textlink="">
      <xdr:nvSpPr>
        <xdr:cNvPr id="8254" name="AutoShape 510" descr="https://www.soccerstats.com/img/own/sshplogo.png">
          <a:hlinkClick xmlns:r="http://schemas.openxmlformats.org/officeDocument/2006/relationships" r:id="rId259"/>
        </xdr:cNvPr>
        <xdr:cNvSpPr>
          <a:spLocks noChangeAspect="1" noChangeArrowheads="1"/>
        </xdr:cNvSpPr>
      </xdr:nvSpPr>
      <xdr:spPr bwMode="auto">
        <a:xfrm>
          <a:off x="13411200" y="81358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152400</xdr:colOff>
      <xdr:row>396</xdr:row>
      <xdr:rowOff>106680</xdr:rowOff>
    </xdr:to>
    <xdr:sp macro="" textlink="">
      <xdr:nvSpPr>
        <xdr:cNvPr id="8255" name="AutoShape 511" descr="GERMANY3"/>
        <xdr:cNvSpPr>
          <a:spLocks noChangeAspect="1" noChangeArrowheads="1"/>
        </xdr:cNvSpPr>
      </xdr:nvSpPr>
      <xdr:spPr bwMode="auto">
        <a:xfrm>
          <a:off x="0" y="81610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396</xdr:row>
      <xdr:rowOff>0</xdr:rowOff>
    </xdr:from>
    <xdr:to>
      <xdr:col>22</xdr:col>
      <xdr:colOff>304800</xdr:colOff>
      <xdr:row>397</xdr:row>
      <xdr:rowOff>129540</xdr:rowOff>
    </xdr:to>
    <xdr:sp macro="" textlink="">
      <xdr:nvSpPr>
        <xdr:cNvPr id="8256" name="AutoShape 512" descr="https://www.soccerstats.com/img/own/sshplogo.png">
          <a:hlinkClick xmlns:r="http://schemas.openxmlformats.org/officeDocument/2006/relationships" r:id="rId260"/>
        </xdr:cNvPr>
        <xdr:cNvSpPr>
          <a:spLocks noChangeAspect="1" noChangeArrowheads="1"/>
        </xdr:cNvSpPr>
      </xdr:nvSpPr>
      <xdr:spPr bwMode="auto">
        <a:xfrm>
          <a:off x="13411200" y="81610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152400</xdr:colOff>
      <xdr:row>397</xdr:row>
      <xdr:rowOff>106680</xdr:rowOff>
    </xdr:to>
    <xdr:sp macro="" textlink="">
      <xdr:nvSpPr>
        <xdr:cNvPr id="8257" name="AutoShape 513" descr="GERMANY3"/>
        <xdr:cNvSpPr>
          <a:spLocks noChangeAspect="1" noChangeArrowheads="1"/>
        </xdr:cNvSpPr>
      </xdr:nvSpPr>
      <xdr:spPr bwMode="auto">
        <a:xfrm>
          <a:off x="0" y="81785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397</xdr:row>
      <xdr:rowOff>0</xdr:rowOff>
    </xdr:from>
    <xdr:to>
      <xdr:col>22</xdr:col>
      <xdr:colOff>304800</xdr:colOff>
      <xdr:row>398</xdr:row>
      <xdr:rowOff>53340</xdr:rowOff>
    </xdr:to>
    <xdr:sp macro="" textlink="">
      <xdr:nvSpPr>
        <xdr:cNvPr id="8258" name="AutoShape 514" descr="https://www.soccerstats.com/img/own/sshplogo.png">
          <a:hlinkClick xmlns:r="http://schemas.openxmlformats.org/officeDocument/2006/relationships" r:id="rId261"/>
        </xdr:cNvPr>
        <xdr:cNvSpPr>
          <a:spLocks noChangeAspect="1" noChangeArrowheads="1"/>
        </xdr:cNvSpPr>
      </xdr:nvSpPr>
      <xdr:spPr bwMode="auto">
        <a:xfrm>
          <a:off x="13411200" y="8178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152400</xdr:colOff>
      <xdr:row>398</xdr:row>
      <xdr:rowOff>106680</xdr:rowOff>
    </xdr:to>
    <xdr:sp macro="" textlink="">
      <xdr:nvSpPr>
        <xdr:cNvPr id="8259" name="AutoShape 515" descr="GERMANY4"/>
        <xdr:cNvSpPr>
          <a:spLocks noChangeAspect="1" noChangeArrowheads="1"/>
        </xdr:cNvSpPr>
      </xdr:nvSpPr>
      <xdr:spPr bwMode="auto">
        <a:xfrm>
          <a:off x="0" y="82036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398</xdr:row>
      <xdr:rowOff>0</xdr:rowOff>
    </xdr:from>
    <xdr:to>
      <xdr:col>22</xdr:col>
      <xdr:colOff>304800</xdr:colOff>
      <xdr:row>399</xdr:row>
      <xdr:rowOff>129540</xdr:rowOff>
    </xdr:to>
    <xdr:sp macro="" textlink="">
      <xdr:nvSpPr>
        <xdr:cNvPr id="8260" name="AutoShape 516" descr="https://www.soccerstats.com/img/own/sshplogo.png">
          <a:hlinkClick xmlns:r="http://schemas.openxmlformats.org/officeDocument/2006/relationships" r:id="rId262"/>
        </xdr:cNvPr>
        <xdr:cNvSpPr>
          <a:spLocks noChangeAspect="1" noChangeArrowheads="1"/>
        </xdr:cNvSpPr>
      </xdr:nvSpPr>
      <xdr:spPr bwMode="auto">
        <a:xfrm>
          <a:off x="13411200" y="82036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152400</xdr:colOff>
      <xdr:row>399</xdr:row>
      <xdr:rowOff>106680</xdr:rowOff>
    </xdr:to>
    <xdr:sp macro="" textlink="">
      <xdr:nvSpPr>
        <xdr:cNvPr id="8261" name="AutoShape 517" descr="GERMANY4"/>
        <xdr:cNvSpPr>
          <a:spLocks noChangeAspect="1" noChangeArrowheads="1"/>
        </xdr:cNvSpPr>
      </xdr:nvSpPr>
      <xdr:spPr bwMode="auto">
        <a:xfrm>
          <a:off x="0" y="82212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399</xdr:row>
      <xdr:rowOff>0</xdr:rowOff>
    </xdr:from>
    <xdr:to>
      <xdr:col>22</xdr:col>
      <xdr:colOff>304800</xdr:colOff>
      <xdr:row>400</xdr:row>
      <xdr:rowOff>53340</xdr:rowOff>
    </xdr:to>
    <xdr:sp macro="" textlink="">
      <xdr:nvSpPr>
        <xdr:cNvPr id="8262" name="AutoShape 518" descr="https://www.soccerstats.com/img/own/sshplogo.png">
          <a:hlinkClick xmlns:r="http://schemas.openxmlformats.org/officeDocument/2006/relationships" r:id="rId263"/>
        </xdr:cNvPr>
        <xdr:cNvSpPr>
          <a:spLocks noChangeAspect="1" noChangeArrowheads="1"/>
        </xdr:cNvSpPr>
      </xdr:nvSpPr>
      <xdr:spPr bwMode="auto">
        <a:xfrm>
          <a:off x="13411200" y="82212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152400</xdr:colOff>
      <xdr:row>400</xdr:row>
      <xdr:rowOff>106680</xdr:rowOff>
    </xdr:to>
    <xdr:sp macro="" textlink="">
      <xdr:nvSpPr>
        <xdr:cNvPr id="8263" name="AutoShape 519" descr="GERMANY4"/>
        <xdr:cNvSpPr>
          <a:spLocks noChangeAspect="1" noChangeArrowheads="1"/>
        </xdr:cNvSpPr>
      </xdr:nvSpPr>
      <xdr:spPr bwMode="auto">
        <a:xfrm>
          <a:off x="0" y="82463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400</xdr:row>
      <xdr:rowOff>0</xdr:rowOff>
    </xdr:from>
    <xdr:to>
      <xdr:col>22</xdr:col>
      <xdr:colOff>304800</xdr:colOff>
      <xdr:row>401</xdr:row>
      <xdr:rowOff>129540</xdr:rowOff>
    </xdr:to>
    <xdr:sp macro="" textlink="">
      <xdr:nvSpPr>
        <xdr:cNvPr id="8264" name="AutoShape 520" descr="https://www.soccerstats.com/img/own/sshplogo.png">
          <a:hlinkClick xmlns:r="http://schemas.openxmlformats.org/officeDocument/2006/relationships" r:id="rId264"/>
        </xdr:cNvPr>
        <xdr:cNvSpPr>
          <a:spLocks noChangeAspect="1" noChangeArrowheads="1"/>
        </xdr:cNvSpPr>
      </xdr:nvSpPr>
      <xdr:spPr bwMode="auto">
        <a:xfrm>
          <a:off x="13411200" y="82463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152400</xdr:colOff>
      <xdr:row>401</xdr:row>
      <xdr:rowOff>106680</xdr:rowOff>
    </xdr:to>
    <xdr:sp macro="" textlink="">
      <xdr:nvSpPr>
        <xdr:cNvPr id="8265" name="AutoShape 521" descr="GERMANY4"/>
        <xdr:cNvSpPr>
          <a:spLocks noChangeAspect="1" noChangeArrowheads="1"/>
        </xdr:cNvSpPr>
      </xdr:nvSpPr>
      <xdr:spPr bwMode="auto">
        <a:xfrm>
          <a:off x="0" y="82638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401</xdr:row>
      <xdr:rowOff>0</xdr:rowOff>
    </xdr:from>
    <xdr:to>
      <xdr:col>22</xdr:col>
      <xdr:colOff>304800</xdr:colOff>
      <xdr:row>402</xdr:row>
      <xdr:rowOff>53340</xdr:rowOff>
    </xdr:to>
    <xdr:sp macro="" textlink="">
      <xdr:nvSpPr>
        <xdr:cNvPr id="8266" name="AutoShape 522" descr="https://www.soccerstats.com/img/own/sshplogo.png">
          <a:hlinkClick xmlns:r="http://schemas.openxmlformats.org/officeDocument/2006/relationships" r:id="rId265"/>
        </xdr:cNvPr>
        <xdr:cNvSpPr>
          <a:spLocks noChangeAspect="1" noChangeArrowheads="1"/>
        </xdr:cNvSpPr>
      </xdr:nvSpPr>
      <xdr:spPr bwMode="auto">
        <a:xfrm>
          <a:off x="13411200" y="826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152400</xdr:colOff>
      <xdr:row>402</xdr:row>
      <xdr:rowOff>106680</xdr:rowOff>
    </xdr:to>
    <xdr:sp macro="" textlink="">
      <xdr:nvSpPr>
        <xdr:cNvPr id="8267" name="AutoShape 523" descr="GERMANY5"/>
        <xdr:cNvSpPr>
          <a:spLocks noChangeAspect="1" noChangeArrowheads="1"/>
        </xdr:cNvSpPr>
      </xdr:nvSpPr>
      <xdr:spPr bwMode="auto">
        <a:xfrm>
          <a:off x="0" y="82890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402</xdr:row>
      <xdr:rowOff>0</xdr:rowOff>
    </xdr:from>
    <xdr:to>
      <xdr:col>22</xdr:col>
      <xdr:colOff>304800</xdr:colOff>
      <xdr:row>403</xdr:row>
      <xdr:rowOff>129540</xdr:rowOff>
    </xdr:to>
    <xdr:sp macro="" textlink="">
      <xdr:nvSpPr>
        <xdr:cNvPr id="8268" name="AutoShape 524" descr="https://www.soccerstats.com/img/own/sshplogo.png">
          <a:hlinkClick xmlns:r="http://schemas.openxmlformats.org/officeDocument/2006/relationships" r:id="rId266"/>
        </xdr:cNvPr>
        <xdr:cNvSpPr>
          <a:spLocks noChangeAspect="1" noChangeArrowheads="1"/>
        </xdr:cNvSpPr>
      </xdr:nvSpPr>
      <xdr:spPr bwMode="auto">
        <a:xfrm>
          <a:off x="13411200" y="82890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152400</xdr:colOff>
      <xdr:row>403</xdr:row>
      <xdr:rowOff>106680</xdr:rowOff>
    </xdr:to>
    <xdr:sp macro="" textlink="">
      <xdr:nvSpPr>
        <xdr:cNvPr id="8269" name="AutoShape 525" descr="GERMANY5"/>
        <xdr:cNvSpPr>
          <a:spLocks noChangeAspect="1" noChangeArrowheads="1"/>
        </xdr:cNvSpPr>
      </xdr:nvSpPr>
      <xdr:spPr bwMode="auto">
        <a:xfrm>
          <a:off x="0" y="83065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403</xdr:row>
      <xdr:rowOff>0</xdr:rowOff>
    </xdr:from>
    <xdr:to>
      <xdr:col>22</xdr:col>
      <xdr:colOff>304800</xdr:colOff>
      <xdr:row>404</xdr:row>
      <xdr:rowOff>129540</xdr:rowOff>
    </xdr:to>
    <xdr:sp macro="" textlink="">
      <xdr:nvSpPr>
        <xdr:cNvPr id="8270" name="AutoShape 526" descr="https://www.soccerstats.com/img/own/sshplogo.png">
          <a:hlinkClick xmlns:r="http://schemas.openxmlformats.org/officeDocument/2006/relationships" r:id="rId267"/>
        </xdr:cNvPr>
        <xdr:cNvSpPr>
          <a:spLocks noChangeAspect="1" noChangeArrowheads="1"/>
        </xdr:cNvSpPr>
      </xdr:nvSpPr>
      <xdr:spPr bwMode="auto">
        <a:xfrm>
          <a:off x="13411200" y="83065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152400</xdr:colOff>
      <xdr:row>404</xdr:row>
      <xdr:rowOff>106680</xdr:rowOff>
    </xdr:to>
    <xdr:sp macro="" textlink="">
      <xdr:nvSpPr>
        <xdr:cNvPr id="8271" name="AutoShape 527" descr="GERMANY5"/>
        <xdr:cNvSpPr>
          <a:spLocks noChangeAspect="1" noChangeArrowheads="1"/>
        </xdr:cNvSpPr>
      </xdr:nvSpPr>
      <xdr:spPr bwMode="auto">
        <a:xfrm>
          <a:off x="0" y="83240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404</xdr:row>
      <xdr:rowOff>0</xdr:rowOff>
    </xdr:from>
    <xdr:to>
      <xdr:col>22</xdr:col>
      <xdr:colOff>304800</xdr:colOff>
      <xdr:row>405</xdr:row>
      <xdr:rowOff>53340</xdr:rowOff>
    </xdr:to>
    <xdr:sp macro="" textlink="">
      <xdr:nvSpPr>
        <xdr:cNvPr id="8272" name="AutoShape 528" descr="https://www.soccerstats.com/img/own/sshplogo.png">
          <a:hlinkClick xmlns:r="http://schemas.openxmlformats.org/officeDocument/2006/relationships" r:id="rId268"/>
        </xdr:cNvPr>
        <xdr:cNvSpPr>
          <a:spLocks noChangeAspect="1" noChangeArrowheads="1"/>
        </xdr:cNvSpPr>
      </xdr:nvSpPr>
      <xdr:spPr bwMode="auto">
        <a:xfrm>
          <a:off x="13411200" y="83240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152400</xdr:colOff>
      <xdr:row>405</xdr:row>
      <xdr:rowOff>106680</xdr:rowOff>
    </xdr:to>
    <xdr:sp macro="" textlink="">
      <xdr:nvSpPr>
        <xdr:cNvPr id="8273" name="AutoShape 529" descr="GERMANY6"/>
        <xdr:cNvSpPr>
          <a:spLocks noChangeAspect="1" noChangeArrowheads="1"/>
        </xdr:cNvSpPr>
      </xdr:nvSpPr>
      <xdr:spPr bwMode="auto">
        <a:xfrm>
          <a:off x="0" y="83492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405</xdr:row>
      <xdr:rowOff>0</xdr:rowOff>
    </xdr:from>
    <xdr:to>
      <xdr:col>22</xdr:col>
      <xdr:colOff>304800</xdr:colOff>
      <xdr:row>406</xdr:row>
      <xdr:rowOff>129540</xdr:rowOff>
    </xdr:to>
    <xdr:sp macro="" textlink="">
      <xdr:nvSpPr>
        <xdr:cNvPr id="8274" name="AutoShape 530" descr="https://www.soccerstats.com/img/own/sshplogo.png">
          <a:hlinkClick xmlns:r="http://schemas.openxmlformats.org/officeDocument/2006/relationships" r:id="rId269"/>
        </xdr:cNvPr>
        <xdr:cNvSpPr>
          <a:spLocks noChangeAspect="1" noChangeArrowheads="1"/>
        </xdr:cNvSpPr>
      </xdr:nvSpPr>
      <xdr:spPr bwMode="auto">
        <a:xfrm>
          <a:off x="13411200" y="83492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152400</xdr:colOff>
      <xdr:row>406</xdr:row>
      <xdr:rowOff>106680</xdr:rowOff>
    </xdr:to>
    <xdr:sp macro="" textlink="">
      <xdr:nvSpPr>
        <xdr:cNvPr id="8275" name="AutoShape 531" descr="GERMANY6"/>
        <xdr:cNvSpPr>
          <a:spLocks noChangeAspect="1" noChangeArrowheads="1"/>
        </xdr:cNvSpPr>
      </xdr:nvSpPr>
      <xdr:spPr bwMode="auto">
        <a:xfrm>
          <a:off x="0" y="83667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406</xdr:row>
      <xdr:rowOff>0</xdr:rowOff>
    </xdr:from>
    <xdr:to>
      <xdr:col>22</xdr:col>
      <xdr:colOff>304800</xdr:colOff>
      <xdr:row>407</xdr:row>
      <xdr:rowOff>129540</xdr:rowOff>
    </xdr:to>
    <xdr:sp macro="" textlink="">
      <xdr:nvSpPr>
        <xdr:cNvPr id="8276" name="AutoShape 532" descr="https://www.soccerstats.com/img/own/sshplogo.png">
          <a:hlinkClick xmlns:r="http://schemas.openxmlformats.org/officeDocument/2006/relationships" r:id="rId270"/>
        </xdr:cNvPr>
        <xdr:cNvSpPr>
          <a:spLocks noChangeAspect="1" noChangeArrowheads="1"/>
        </xdr:cNvSpPr>
      </xdr:nvSpPr>
      <xdr:spPr bwMode="auto">
        <a:xfrm>
          <a:off x="13411200" y="8366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152400</xdr:colOff>
      <xdr:row>407</xdr:row>
      <xdr:rowOff>106680</xdr:rowOff>
    </xdr:to>
    <xdr:sp macro="" textlink="">
      <xdr:nvSpPr>
        <xdr:cNvPr id="8277" name="AutoShape 533" descr="GERMANY6"/>
        <xdr:cNvSpPr>
          <a:spLocks noChangeAspect="1" noChangeArrowheads="1"/>
        </xdr:cNvSpPr>
      </xdr:nvSpPr>
      <xdr:spPr bwMode="auto">
        <a:xfrm>
          <a:off x="0" y="83842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407</xdr:row>
      <xdr:rowOff>0</xdr:rowOff>
    </xdr:from>
    <xdr:to>
      <xdr:col>22</xdr:col>
      <xdr:colOff>304800</xdr:colOff>
      <xdr:row>408</xdr:row>
      <xdr:rowOff>53340</xdr:rowOff>
    </xdr:to>
    <xdr:sp macro="" textlink="">
      <xdr:nvSpPr>
        <xdr:cNvPr id="8278" name="AutoShape 534" descr="https://www.soccerstats.com/img/own/sshplogo.png">
          <a:hlinkClick xmlns:r="http://schemas.openxmlformats.org/officeDocument/2006/relationships" r:id="rId271"/>
        </xdr:cNvPr>
        <xdr:cNvSpPr>
          <a:spLocks noChangeAspect="1" noChangeArrowheads="1"/>
        </xdr:cNvSpPr>
      </xdr:nvSpPr>
      <xdr:spPr bwMode="auto">
        <a:xfrm>
          <a:off x="13411200" y="83842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152400</xdr:colOff>
      <xdr:row>408</xdr:row>
      <xdr:rowOff>106680</xdr:rowOff>
    </xdr:to>
    <xdr:sp macro="" textlink="">
      <xdr:nvSpPr>
        <xdr:cNvPr id="8279" name="AutoShape 535" descr="GERMANY6"/>
        <xdr:cNvSpPr>
          <a:spLocks noChangeAspect="1" noChangeArrowheads="1"/>
        </xdr:cNvSpPr>
      </xdr:nvSpPr>
      <xdr:spPr bwMode="auto">
        <a:xfrm>
          <a:off x="0" y="84094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408</xdr:row>
      <xdr:rowOff>0</xdr:rowOff>
    </xdr:from>
    <xdr:to>
      <xdr:col>22</xdr:col>
      <xdr:colOff>304800</xdr:colOff>
      <xdr:row>409</xdr:row>
      <xdr:rowOff>53340</xdr:rowOff>
    </xdr:to>
    <xdr:sp macro="" textlink="">
      <xdr:nvSpPr>
        <xdr:cNvPr id="8280" name="AutoShape 536" descr="https://www.soccerstats.com/img/own/sshplogo.png">
          <a:hlinkClick xmlns:r="http://schemas.openxmlformats.org/officeDocument/2006/relationships" r:id="rId272"/>
        </xdr:cNvPr>
        <xdr:cNvSpPr>
          <a:spLocks noChangeAspect="1" noChangeArrowheads="1"/>
        </xdr:cNvSpPr>
      </xdr:nvSpPr>
      <xdr:spPr bwMode="auto">
        <a:xfrm>
          <a:off x="13411200" y="84094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152400</xdr:colOff>
      <xdr:row>409</xdr:row>
      <xdr:rowOff>106680</xdr:rowOff>
    </xdr:to>
    <xdr:sp macro="" textlink="">
      <xdr:nvSpPr>
        <xdr:cNvPr id="8281" name="AutoShape 537" descr="GERMANY7"/>
        <xdr:cNvSpPr>
          <a:spLocks noChangeAspect="1" noChangeArrowheads="1"/>
        </xdr:cNvSpPr>
      </xdr:nvSpPr>
      <xdr:spPr bwMode="auto">
        <a:xfrm>
          <a:off x="0" y="84345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409</xdr:row>
      <xdr:rowOff>0</xdr:rowOff>
    </xdr:from>
    <xdr:to>
      <xdr:col>22</xdr:col>
      <xdr:colOff>304800</xdr:colOff>
      <xdr:row>410</xdr:row>
      <xdr:rowOff>129540</xdr:rowOff>
    </xdr:to>
    <xdr:sp macro="" textlink="">
      <xdr:nvSpPr>
        <xdr:cNvPr id="8282" name="AutoShape 538" descr="https://www.soccerstats.com/img/own/sshplogo.png">
          <a:hlinkClick xmlns:r="http://schemas.openxmlformats.org/officeDocument/2006/relationships" r:id="rId273"/>
        </xdr:cNvPr>
        <xdr:cNvSpPr>
          <a:spLocks noChangeAspect="1" noChangeArrowheads="1"/>
        </xdr:cNvSpPr>
      </xdr:nvSpPr>
      <xdr:spPr bwMode="auto">
        <a:xfrm>
          <a:off x="13411200" y="84345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152400</xdr:colOff>
      <xdr:row>410</xdr:row>
      <xdr:rowOff>106680</xdr:rowOff>
    </xdr:to>
    <xdr:sp macro="" textlink="">
      <xdr:nvSpPr>
        <xdr:cNvPr id="8283" name="AutoShape 539" descr="GERMANY7"/>
        <xdr:cNvSpPr>
          <a:spLocks noChangeAspect="1" noChangeArrowheads="1"/>
        </xdr:cNvSpPr>
      </xdr:nvSpPr>
      <xdr:spPr bwMode="auto">
        <a:xfrm>
          <a:off x="0" y="84521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410</xdr:row>
      <xdr:rowOff>0</xdr:rowOff>
    </xdr:from>
    <xdr:to>
      <xdr:col>22</xdr:col>
      <xdr:colOff>304800</xdr:colOff>
      <xdr:row>411</xdr:row>
      <xdr:rowOff>129540</xdr:rowOff>
    </xdr:to>
    <xdr:sp macro="" textlink="">
      <xdr:nvSpPr>
        <xdr:cNvPr id="8284" name="AutoShape 540" descr="https://www.soccerstats.com/img/own/sshplogo.png">
          <a:hlinkClick xmlns:r="http://schemas.openxmlformats.org/officeDocument/2006/relationships" r:id="rId274"/>
        </xdr:cNvPr>
        <xdr:cNvSpPr>
          <a:spLocks noChangeAspect="1" noChangeArrowheads="1"/>
        </xdr:cNvSpPr>
      </xdr:nvSpPr>
      <xdr:spPr bwMode="auto">
        <a:xfrm>
          <a:off x="13411200" y="84521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152400</xdr:colOff>
      <xdr:row>411</xdr:row>
      <xdr:rowOff>106680</xdr:rowOff>
    </xdr:to>
    <xdr:sp macro="" textlink="">
      <xdr:nvSpPr>
        <xdr:cNvPr id="8285" name="AutoShape 541" descr="GERMANY7"/>
        <xdr:cNvSpPr>
          <a:spLocks noChangeAspect="1" noChangeArrowheads="1"/>
        </xdr:cNvSpPr>
      </xdr:nvSpPr>
      <xdr:spPr bwMode="auto">
        <a:xfrm>
          <a:off x="0" y="84696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411</xdr:row>
      <xdr:rowOff>0</xdr:rowOff>
    </xdr:from>
    <xdr:to>
      <xdr:col>22</xdr:col>
      <xdr:colOff>304800</xdr:colOff>
      <xdr:row>412</xdr:row>
      <xdr:rowOff>53340</xdr:rowOff>
    </xdr:to>
    <xdr:sp macro="" textlink="">
      <xdr:nvSpPr>
        <xdr:cNvPr id="8286" name="AutoShape 542" descr="https://www.soccerstats.com/img/own/sshplogo.png">
          <a:hlinkClick xmlns:r="http://schemas.openxmlformats.org/officeDocument/2006/relationships" r:id="rId275"/>
        </xdr:cNvPr>
        <xdr:cNvSpPr>
          <a:spLocks noChangeAspect="1" noChangeArrowheads="1"/>
        </xdr:cNvSpPr>
      </xdr:nvSpPr>
      <xdr:spPr bwMode="auto">
        <a:xfrm>
          <a:off x="13411200" y="8469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152400</xdr:colOff>
      <xdr:row>412</xdr:row>
      <xdr:rowOff>106680</xdr:rowOff>
    </xdr:to>
    <xdr:sp macro="" textlink="">
      <xdr:nvSpPr>
        <xdr:cNvPr id="8287" name="AutoShape 543" descr="GERMANY7"/>
        <xdr:cNvSpPr>
          <a:spLocks noChangeAspect="1" noChangeArrowheads="1"/>
        </xdr:cNvSpPr>
      </xdr:nvSpPr>
      <xdr:spPr bwMode="auto">
        <a:xfrm>
          <a:off x="0" y="84947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412</xdr:row>
      <xdr:rowOff>0</xdr:rowOff>
    </xdr:from>
    <xdr:to>
      <xdr:col>22</xdr:col>
      <xdr:colOff>304800</xdr:colOff>
      <xdr:row>413</xdr:row>
      <xdr:rowOff>129540</xdr:rowOff>
    </xdr:to>
    <xdr:sp macro="" textlink="">
      <xdr:nvSpPr>
        <xdr:cNvPr id="8288" name="AutoShape 544" descr="https://www.soccerstats.com/img/own/sshplogo.png">
          <a:hlinkClick xmlns:r="http://schemas.openxmlformats.org/officeDocument/2006/relationships" r:id="rId276"/>
        </xdr:cNvPr>
        <xdr:cNvSpPr>
          <a:spLocks noChangeAspect="1" noChangeArrowheads="1"/>
        </xdr:cNvSpPr>
      </xdr:nvSpPr>
      <xdr:spPr bwMode="auto">
        <a:xfrm>
          <a:off x="13411200" y="84947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152400</xdr:colOff>
      <xdr:row>413</xdr:row>
      <xdr:rowOff>106680</xdr:rowOff>
    </xdr:to>
    <xdr:sp macro="" textlink="">
      <xdr:nvSpPr>
        <xdr:cNvPr id="8289" name="AutoShape 545" descr="GERMANY7"/>
        <xdr:cNvSpPr>
          <a:spLocks noChangeAspect="1" noChangeArrowheads="1"/>
        </xdr:cNvSpPr>
      </xdr:nvSpPr>
      <xdr:spPr bwMode="auto">
        <a:xfrm>
          <a:off x="0" y="85123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413</xdr:row>
      <xdr:rowOff>0</xdr:rowOff>
    </xdr:from>
    <xdr:to>
      <xdr:col>22</xdr:col>
      <xdr:colOff>304800</xdr:colOff>
      <xdr:row>414</xdr:row>
      <xdr:rowOff>129540</xdr:rowOff>
    </xdr:to>
    <xdr:sp macro="" textlink="">
      <xdr:nvSpPr>
        <xdr:cNvPr id="8290" name="AutoShape 546" descr="https://www.soccerstats.com/img/own/sshplogo.png">
          <a:hlinkClick xmlns:r="http://schemas.openxmlformats.org/officeDocument/2006/relationships" r:id="rId277"/>
        </xdr:cNvPr>
        <xdr:cNvSpPr>
          <a:spLocks noChangeAspect="1" noChangeArrowheads="1"/>
        </xdr:cNvSpPr>
      </xdr:nvSpPr>
      <xdr:spPr bwMode="auto">
        <a:xfrm>
          <a:off x="13411200" y="85123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152400</xdr:colOff>
      <xdr:row>414</xdr:row>
      <xdr:rowOff>106680</xdr:rowOff>
    </xdr:to>
    <xdr:sp macro="" textlink="">
      <xdr:nvSpPr>
        <xdr:cNvPr id="8291" name="AutoShape 547" descr="GUATEMALA"/>
        <xdr:cNvSpPr>
          <a:spLocks noChangeAspect="1" noChangeArrowheads="1"/>
        </xdr:cNvSpPr>
      </xdr:nvSpPr>
      <xdr:spPr bwMode="auto">
        <a:xfrm>
          <a:off x="0" y="85298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414</xdr:row>
      <xdr:rowOff>0</xdr:rowOff>
    </xdr:from>
    <xdr:to>
      <xdr:col>22</xdr:col>
      <xdr:colOff>304800</xdr:colOff>
      <xdr:row>415</xdr:row>
      <xdr:rowOff>53340</xdr:rowOff>
    </xdr:to>
    <xdr:sp macro="" textlink="">
      <xdr:nvSpPr>
        <xdr:cNvPr id="8292" name="AutoShape 548" descr="https://www.soccerstats.com/img/own/sshplogo.png">
          <a:hlinkClick xmlns:r="http://schemas.openxmlformats.org/officeDocument/2006/relationships" r:id="rId278"/>
        </xdr:cNvPr>
        <xdr:cNvSpPr>
          <a:spLocks noChangeAspect="1" noChangeArrowheads="1"/>
        </xdr:cNvSpPr>
      </xdr:nvSpPr>
      <xdr:spPr bwMode="auto">
        <a:xfrm>
          <a:off x="13411200" y="85298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152400</xdr:colOff>
      <xdr:row>415</xdr:row>
      <xdr:rowOff>106680</xdr:rowOff>
    </xdr:to>
    <xdr:sp macro="" textlink="">
      <xdr:nvSpPr>
        <xdr:cNvPr id="8293" name="AutoShape 549" descr="GUATEMALA"/>
        <xdr:cNvSpPr>
          <a:spLocks noChangeAspect="1" noChangeArrowheads="1"/>
        </xdr:cNvSpPr>
      </xdr:nvSpPr>
      <xdr:spPr bwMode="auto">
        <a:xfrm>
          <a:off x="0" y="85549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415</xdr:row>
      <xdr:rowOff>0</xdr:rowOff>
    </xdr:from>
    <xdr:to>
      <xdr:col>22</xdr:col>
      <xdr:colOff>304800</xdr:colOff>
      <xdr:row>416</xdr:row>
      <xdr:rowOff>129540</xdr:rowOff>
    </xdr:to>
    <xdr:sp macro="" textlink="">
      <xdr:nvSpPr>
        <xdr:cNvPr id="8294" name="AutoShape 550" descr="https://www.soccerstats.com/img/own/sshplogo.png">
          <a:hlinkClick xmlns:r="http://schemas.openxmlformats.org/officeDocument/2006/relationships" r:id="rId279"/>
        </xdr:cNvPr>
        <xdr:cNvSpPr>
          <a:spLocks noChangeAspect="1" noChangeArrowheads="1"/>
        </xdr:cNvSpPr>
      </xdr:nvSpPr>
      <xdr:spPr bwMode="auto">
        <a:xfrm>
          <a:off x="13411200" y="85549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152400</xdr:colOff>
      <xdr:row>416</xdr:row>
      <xdr:rowOff>106680</xdr:rowOff>
    </xdr:to>
    <xdr:sp macro="" textlink="">
      <xdr:nvSpPr>
        <xdr:cNvPr id="8295" name="AutoShape 551" descr="HUNGARY"/>
        <xdr:cNvSpPr>
          <a:spLocks noChangeAspect="1" noChangeArrowheads="1"/>
        </xdr:cNvSpPr>
      </xdr:nvSpPr>
      <xdr:spPr bwMode="auto">
        <a:xfrm>
          <a:off x="0" y="85725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416</xdr:row>
      <xdr:rowOff>0</xdr:rowOff>
    </xdr:from>
    <xdr:to>
      <xdr:col>22</xdr:col>
      <xdr:colOff>304800</xdr:colOff>
      <xdr:row>417</xdr:row>
      <xdr:rowOff>53340</xdr:rowOff>
    </xdr:to>
    <xdr:sp macro="" textlink="">
      <xdr:nvSpPr>
        <xdr:cNvPr id="8296" name="AutoShape 552" descr="https://www.soccerstats.com/img/own/sshplogo.png">
          <a:hlinkClick xmlns:r="http://schemas.openxmlformats.org/officeDocument/2006/relationships" r:id="rId280"/>
        </xdr:cNvPr>
        <xdr:cNvSpPr>
          <a:spLocks noChangeAspect="1" noChangeArrowheads="1"/>
        </xdr:cNvSpPr>
      </xdr:nvSpPr>
      <xdr:spPr bwMode="auto">
        <a:xfrm>
          <a:off x="13411200" y="8572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152400</xdr:colOff>
      <xdr:row>417</xdr:row>
      <xdr:rowOff>106680</xdr:rowOff>
    </xdr:to>
    <xdr:sp macro="" textlink="">
      <xdr:nvSpPr>
        <xdr:cNvPr id="8297" name="AutoShape 553" descr="HUNGARY"/>
        <xdr:cNvSpPr>
          <a:spLocks noChangeAspect="1" noChangeArrowheads="1"/>
        </xdr:cNvSpPr>
      </xdr:nvSpPr>
      <xdr:spPr bwMode="auto">
        <a:xfrm>
          <a:off x="0" y="85976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417</xdr:row>
      <xdr:rowOff>0</xdr:rowOff>
    </xdr:from>
    <xdr:to>
      <xdr:col>22</xdr:col>
      <xdr:colOff>304800</xdr:colOff>
      <xdr:row>418</xdr:row>
      <xdr:rowOff>129540</xdr:rowOff>
    </xdr:to>
    <xdr:sp macro="" textlink="">
      <xdr:nvSpPr>
        <xdr:cNvPr id="8298" name="AutoShape 554" descr="https://www.soccerstats.com/img/own/sshplogo.png">
          <a:hlinkClick xmlns:r="http://schemas.openxmlformats.org/officeDocument/2006/relationships" r:id="rId281"/>
        </xdr:cNvPr>
        <xdr:cNvSpPr>
          <a:spLocks noChangeAspect="1" noChangeArrowheads="1"/>
        </xdr:cNvSpPr>
      </xdr:nvSpPr>
      <xdr:spPr bwMode="auto">
        <a:xfrm>
          <a:off x="13411200" y="85976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152400</xdr:colOff>
      <xdr:row>418</xdr:row>
      <xdr:rowOff>106680</xdr:rowOff>
    </xdr:to>
    <xdr:sp macro="" textlink="">
      <xdr:nvSpPr>
        <xdr:cNvPr id="8299" name="AutoShape 555" descr="HUNGARY2"/>
        <xdr:cNvSpPr>
          <a:spLocks noChangeAspect="1" noChangeArrowheads="1"/>
        </xdr:cNvSpPr>
      </xdr:nvSpPr>
      <xdr:spPr bwMode="auto">
        <a:xfrm>
          <a:off x="0" y="86151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418</xdr:row>
      <xdr:rowOff>0</xdr:rowOff>
    </xdr:from>
    <xdr:to>
      <xdr:col>22</xdr:col>
      <xdr:colOff>304800</xdr:colOff>
      <xdr:row>419</xdr:row>
      <xdr:rowOff>129540</xdr:rowOff>
    </xdr:to>
    <xdr:sp macro="" textlink="">
      <xdr:nvSpPr>
        <xdr:cNvPr id="8300" name="AutoShape 556" descr="https://www.soccerstats.com/img/own/sshplogo.png">
          <a:hlinkClick xmlns:r="http://schemas.openxmlformats.org/officeDocument/2006/relationships" r:id="rId282"/>
        </xdr:cNvPr>
        <xdr:cNvSpPr>
          <a:spLocks noChangeAspect="1" noChangeArrowheads="1"/>
        </xdr:cNvSpPr>
      </xdr:nvSpPr>
      <xdr:spPr bwMode="auto">
        <a:xfrm>
          <a:off x="13411200" y="86151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152400</xdr:colOff>
      <xdr:row>419</xdr:row>
      <xdr:rowOff>106680</xdr:rowOff>
    </xdr:to>
    <xdr:sp macro="" textlink="">
      <xdr:nvSpPr>
        <xdr:cNvPr id="8301" name="AutoShape 557" descr="HUNGARY2"/>
        <xdr:cNvSpPr>
          <a:spLocks noChangeAspect="1" noChangeArrowheads="1"/>
        </xdr:cNvSpPr>
      </xdr:nvSpPr>
      <xdr:spPr bwMode="auto">
        <a:xfrm>
          <a:off x="0" y="86326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419</xdr:row>
      <xdr:rowOff>0</xdr:rowOff>
    </xdr:from>
    <xdr:to>
      <xdr:col>22</xdr:col>
      <xdr:colOff>304800</xdr:colOff>
      <xdr:row>420</xdr:row>
      <xdr:rowOff>129540</xdr:rowOff>
    </xdr:to>
    <xdr:sp macro="" textlink="">
      <xdr:nvSpPr>
        <xdr:cNvPr id="8302" name="AutoShape 558" descr="https://www.soccerstats.com/img/own/sshplogo.png">
          <a:hlinkClick xmlns:r="http://schemas.openxmlformats.org/officeDocument/2006/relationships" r:id="rId283"/>
        </xdr:cNvPr>
        <xdr:cNvSpPr>
          <a:spLocks noChangeAspect="1" noChangeArrowheads="1"/>
        </xdr:cNvSpPr>
      </xdr:nvSpPr>
      <xdr:spPr bwMode="auto">
        <a:xfrm>
          <a:off x="13411200" y="86326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152400</xdr:colOff>
      <xdr:row>420</xdr:row>
      <xdr:rowOff>106680</xdr:rowOff>
    </xdr:to>
    <xdr:sp macro="" textlink="">
      <xdr:nvSpPr>
        <xdr:cNvPr id="8303" name="AutoShape 559" descr="HUNGARY2"/>
        <xdr:cNvSpPr>
          <a:spLocks noChangeAspect="1" noChangeArrowheads="1"/>
        </xdr:cNvSpPr>
      </xdr:nvSpPr>
      <xdr:spPr bwMode="auto">
        <a:xfrm>
          <a:off x="0" y="86502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420</xdr:row>
      <xdr:rowOff>0</xdr:rowOff>
    </xdr:from>
    <xdr:to>
      <xdr:col>22</xdr:col>
      <xdr:colOff>304800</xdr:colOff>
      <xdr:row>421</xdr:row>
      <xdr:rowOff>53340</xdr:rowOff>
    </xdr:to>
    <xdr:sp macro="" textlink="">
      <xdr:nvSpPr>
        <xdr:cNvPr id="8304" name="AutoShape 560" descr="https://www.soccerstats.com/img/own/sshplogo.png">
          <a:hlinkClick xmlns:r="http://schemas.openxmlformats.org/officeDocument/2006/relationships" r:id="rId284"/>
        </xdr:cNvPr>
        <xdr:cNvSpPr>
          <a:spLocks noChangeAspect="1" noChangeArrowheads="1"/>
        </xdr:cNvSpPr>
      </xdr:nvSpPr>
      <xdr:spPr bwMode="auto">
        <a:xfrm>
          <a:off x="13411200" y="86502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152400</xdr:colOff>
      <xdr:row>421</xdr:row>
      <xdr:rowOff>106680</xdr:rowOff>
    </xdr:to>
    <xdr:sp macro="" textlink="">
      <xdr:nvSpPr>
        <xdr:cNvPr id="8305" name="AutoShape 561" descr="HUNGARY2"/>
        <xdr:cNvSpPr>
          <a:spLocks noChangeAspect="1" noChangeArrowheads="1"/>
        </xdr:cNvSpPr>
      </xdr:nvSpPr>
      <xdr:spPr bwMode="auto">
        <a:xfrm>
          <a:off x="0" y="86753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421</xdr:row>
      <xdr:rowOff>0</xdr:rowOff>
    </xdr:from>
    <xdr:to>
      <xdr:col>22</xdr:col>
      <xdr:colOff>304800</xdr:colOff>
      <xdr:row>422</xdr:row>
      <xdr:rowOff>129540</xdr:rowOff>
    </xdr:to>
    <xdr:sp macro="" textlink="">
      <xdr:nvSpPr>
        <xdr:cNvPr id="8306" name="AutoShape 562" descr="https://www.soccerstats.com/img/own/sshplogo.png">
          <a:hlinkClick xmlns:r="http://schemas.openxmlformats.org/officeDocument/2006/relationships" r:id="rId285"/>
        </xdr:cNvPr>
        <xdr:cNvSpPr>
          <a:spLocks noChangeAspect="1" noChangeArrowheads="1"/>
        </xdr:cNvSpPr>
      </xdr:nvSpPr>
      <xdr:spPr bwMode="auto">
        <a:xfrm>
          <a:off x="13411200" y="86753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152400</xdr:colOff>
      <xdr:row>422</xdr:row>
      <xdr:rowOff>106680</xdr:rowOff>
    </xdr:to>
    <xdr:sp macro="" textlink="">
      <xdr:nvSpPr>
        <xdr:cNvPr id="8307" name="AutoShape 563" descr="HUNGARY2"/>
        <xdr:cNvSpPr>
          <a:spLocks noChangeAspect="1" noChangeArrowheads="1"/>
        </xdr:cNvSpPr>
      </xdr:nvSpPr>
      <xdr:spPr bwMode="auto">
        <a:xfrm>
          <a:off x="0" y="86928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422</xdr:row>
      <xdr:rowOff>0</xdr:rowOff>
    </xdr:from>
    <xdr:to>
      <xdr:col>22</xdr:col>
      <xdr:colOff>304800</xdr:colOff>
      <xdr:row>423</xdr:row>
      <xdr:rowOff>53340</xdr:rowOff>
    </xdr:to>
    <xdr:sp macro="" textlink="">
      <xdr:nvSpPr>
        <xdr:cNvPr id="8308" name="AutoShape 564" descr="https://www.soccerstats.com/img/own/sshplogo.png">
          <a:hlinkClick xmlns:r="http://schemas.openxmlformats.org/officeDocument/2006/relationships" r:id="rId286"/>
        </xdr:cNvPr>
        <xdr:cNvSpPr>
          <a:spLocks noChangeAspect="1" noChangeArrowheads="1"/>
        </xdr:cNvSpPr>
      </xdr:nvSpPr>
      <xdr:spPr bwMode="auto">
        <a:xfrm>
          <a:off x="13411200" y="86928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152400</xdr:colOff>
      <xdr:row>423</xdr:row>
      <xdr:rowOff>106680</xdr:rowOff>
    </xdr:to>
    <xdr:sp macro="" textlink="">
      <xdr:nvSpPr>
        <xdr:cNvPr id="8309" name="AutoShape 565" descr="HUNGARY2"/>
        <xdr:cNvSpPr>
          <a:spLocks noChangeAspect="1" noChangeArrowheads="1"/>
        </xdr:cNvSpPr>
      </xdr:nvSpPr>
      <xdr:spPr bwMode="auto">
        <a:xfrm>
          <a:off x="0" y="87180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423</xdr:row>
      <xdr:rowOff>0</xdr:rowOff>
    </xdr:from>
    <xdr:to>
      <xdr:col>22</xdr:col>
      <xdr:colOff>304800</xdr:colOff>
      <xdr:row>424</xdr:row>
      <xdr:rowOff>129540</xdr:rowOff>
    </xdr:to>
    <xdr:sp macro="" textlink="">
      <xdr:nvSpPr>
        <xdr:cNvPr id="8310" name="AutoShape 566" descr="https://www.soccerstats.com/img/own/sshplogo.png">
          <a:hlinkClick xmlns:r="http://schemas.openxmlformats.org/officeDocument/2006/relationships" r:id="rId287"/>
        </xdr:cNvPr>
        <xdr:cNvSpPr>
          <a:spLocks noChangeAspect="1" noChangeArrowheads="1"/>
        </xdr:cNvSpPr>
      </xdr:nvSpPr>
      <xdr:spPr bwMode="auto">
        <a:xfrm>
          <a:off x="13411200" y="87180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152400</xdr:colOff>
      <xdr:row>424</xdr:row>
      <xdr:rowOff>106680</xdr:rowOff>
    </xdr:to>
    <xdr:sp macro="" textlink="">
      <xdr:nvSpPr>
        <xdr:cNvPr id="8311" name="AutoShape 567" descr="ICELAND"/>
        <xdr:cNvSpPr>
          <a:spLocks noChangeAspect="1" noChangeArrowheads="1"/>
        </xdr:cNvSpPr>
      </xdr:nvSpPr>
      <xdr:spPr bwMode="auto">
        <a:xfrm>
          <a:off x="0" y="87355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424</xdr:row>
      <xdr:rowOff>0</xdr:rowOff>
    </xdr:from>
    <xdr:to>
      <xdr:col>22</xdr:col>
      <xdr:colOff>304800</xdr:colOff>
      <xdr:row>425</xdr:row>
      <xdr:rowOff>129540</xdr:rowOff>
    </xdr:to>
    <xdr:sp macro="" textlink="">
      <xdr:nvSpPr>
        <xdr:cNvPr id="8312" name="AutoShape 568" descr="https://www.soccerstats.com/img/own/sshplogo.png">
          <a:hlinkClick xmlns:r="http://schemas.openxmlformats.org/officeDocument/2006/relationships" r:id="rId288"/>
        </xdr:cNvPr>
        <xdr:cNvSpPr>
          <a:spLocks noChangeAspect="1" noChangeArrowheads="1"/>
        </xdr:cNvSpPr>
      </xdr:nvSpPr>
      <xdr:spPr bwMode="auto">
        <a:xfrm>
          <a:off x="13411200" y="87355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152400</xdr:colOff>
      <xdr:row>425</xdr:row>
      <xdr:rowOff>106680</xdr:rowOff>
    </xdr:to>
    <xdr:sp macro="" textlink="">
      <xdr:nvSpPr>
        <xdr:cNvPr id="8313" name="AutoShape 569" descr="ICELAND3"/>
        <xdr:cNvSpPr>
          <a:spLocks noChangeAspect="1" noChangeArrowheads="1"/>
        </xdr:cNvSpPr>
      </xdr:nvSpPr>
      <xdr:spPr bwMode="auto">
        <a:xfrm>
          <a:off x="0" y="87530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425</xdr:row>
      <xdr:rowOff>0</xdr:rowOff>
    </xdr:from>
    <xdr:to>
      <xdr:col>22</xdr:col>
      <xdr:colOff>304800</xdr:colOff>
      <xdr:row>426</xdr:row>
      <xdr:rowOff>129540</xdr:rowOff>
    </xdr:to>
    <xdr:sp macro="" textlink="">
      <xdr:nvSpPr>
        <xdr:cNvPr id="8314" name="AutoShape 570" descr="https://www.soccerstats.com/img/own/sshplogo.png">
          <a:hlinkClick xmlns:r="http://schemas.openxmlformats.org/officeDocument/2006/relationships" r:id="rId289"/>
        </xdr:cNvPr>
        <xdr:cNvSpPr>
          <a:spLocks noChangeAspect="1" noChangeArrowheads="1"/>
        </xdr:cNvSpPr>
      </xdr:nvSpPr>
      <xdr:spPr bwMode="auto">
        <a:xfrm>
          <a:off x="13411200" y="87530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152400</xdr:colOff>
      <xdr:row>426</xdr:row>
      <xdr:rowOff>106680</xdr:rowOff>
    </xdr:to>
    <xdr:sp macro="" textlink="">
      <xdr:nvSpPr>
        <xdr:cNvPr id="8315" name="AutoShape 571" descr="ICELAND3"/>
        <xdr:cNvSpPr>
          <a:spLocks noChangeAspect="1" noChangeArrowheads="1"/>
        </xdr:cNvSpPr>
      </xdr:nvSpPr>
      <xdr:spPr bwMode="auto">
        <a:xfrm>
          <a:off x="0" y="87706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426</xdr:row>
      <xdr:rowOff>0</xdr:rowOff>
    </xdr:from>
    <xdr:to>
      <xdr:col>22</xdr:col>
      <xdr:colOff>304800</xdr:colOff>
      <xdr:row>427</xdr:row>
      <xdr:rowOff>129540</xdr:rowOff>
    </xdr:to>
    <xdr:sp macro="" textlink="">
      <xdr:nvSpPr>
        <xdr:cNvPr id="8316" name="AutoShape 572" descr="https://www.soccerstats.com/img/own/sshplogo.png">
          <a:hlinkClick xmlns:r="http://schemas.openxmlformats.org/officeDocument/2006/relationships" r:id="rId290"/>
        </xdr:cNvPr>
        <xdr:cNvSpPr>
          <a:spLocks noChangeAspect="1" noChangeArrowheads="1"/>
        </xdr:cNvSpPr>
      </xdr:nvSpPr>
      <xdr:spPr bwMode="auto">
        <a:xfrm>
          <a:off x="13411200" y="87706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152400</xdr:colOff>
      <xdr:row>427</xdr:row>
      <xdr:rowOff>106680</xdr:rowOff>
    </xdr:to>
    <xdr:sp macro="" textlink="">
      <xdr:nvSpPr>
        <xdr:cNvPr id="8317" name="AutoShape 573" descr="ICELAND3"/>
        <xdr:cNvSpPr>
          <a:spLocks noChangeAspect="1" noChangeArrowheads="1"/>
        </xdr:cNvSpPr>
      </xdr:nvSpPr>
      <xdr:spPr bwMode="auto">
        <a:xfrm>
          <a:off x="0" y="87881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427</xdr:row>
      <xdr:rowOff>0</xdr:rowOff>
    </xdr:from>
    <xdr:to>
      <xdr:col>22</xdr:col>
      <xdr:colOff>304800</xdr:colOff>
      <xdr:row>428</xdr:row>
      <xdr:rowOff>53340</xdr:rowOff>
    </xdr:to>
    <xdr:sp macro="" textlink="">
      <xdr:nvSpPr>
        <xdr:cNvPr id="8318" name="AutoShape 574" descr="https://www.soccerstats.com/img/own/sshplogo.png">
          <a:hlinkClick xmlns:r="http://schemas.openxmlformats.org/officeDocument/2006/relationships" r:id="rId291"/>
        </xdr:cNvPr>
        <xdr:cNvSpPr>
          <a:spLocks noChangeAspect="1" noChangeArrowheads="1"/>
        </xdr:cNvSpPr>
      </xdr:nvSpPr>
      <xdr:spPr bwMode="auto">
        <a:xfrm>
          <a:off x="13411200" y="87881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152400</xdr:colOff>
      <xdr:row>428</xdr:row>
      <xdr:rowOff>106680</xdr:rowOff>
    </xdr:to>
    <xdr:sp macro="" textlink="">
      <xdr:nvSpPr>
        <xdr:cNvPr id="8319" name="AutoShape 575" descr="ICELAND3"/>
        <xdr:cNvSpPr>
          <a:spLocks noChangeAspect="1" noChangeArrowheads="1"/>
        </xdr:cNvSpPr>
      </xdr:nvSpPr>
      <xdr:spPr bwMode="auto">
        <a:xfrm>
          <a:off x="0" y="88132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428</xdr:row>
      <xdr:rowOff>0</xdr:rowOff>
    </xdr:from>
    <xdr:to>
      <xdr:col>22</xdr:col>
      <xdr:colOff>304800</xdr:colOff>
      <xdr:row>429</xdr:row>
      <xdr:rowOff>129540</xdr:rowOff>
    </xdr:to>
    <xdr:sp macro="" textlink="">
      <xdr:nvSpPr>
        <xdr:cNvPr id="8320" name="AutoShape 576" descr="https://www.soccerstats.com/img/own/sshplogo.png">
          <a:hlinkClick xmlns:r="http://schemas.openxmlformats.org/officeDocument/2006/relationships" r:id="rId292"/>
        </xdr:cNvPr>
        <xdr:cNvSpPr>
          <a:spLocks noChangeAspect="1" noChangeArrowheads="1"/>
        </xdr:cNvSpPr>
      </xdr:nvSpPr>
      <xdr:spPr bwMode="auto">
        <a:xfrm>
          <a:off x="13411200" y="88132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152400</xdr:colOff>
      <xdr:row>429</xdr:row>
      <xdr:rowOff>106680</xdr:rowOff>
    </xdr:to>
    <xdr:sp macro="" textlink="">
      <xdr:nvSpPr>
        <xdr:cNvPr id="8321" name="AutoShape 577" descr="ICELAND3"/>
        <xdr:cNvSpPr>
          <a:spLocks noChangeAspect="1" noChangeArrowheads="1"/>
        </xdr:cNvSpPr>
      </xdr:nvSpPr>
      <xdr:spPr bwMode="auto">
        <a:xfrm>
          <a:off x="0" y="88308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429</xdr:row>
      <xdr:rowOff>0</xdr:rowOff>
    </xdr:from>
    <xdr:to>
      <xdr:col>22</xdr:col>
      <xdr:colOff>304800</xdr:colOff>
      <xdr:row>430</xdr:row>
      <xdr:rowOff>53340</xdr:rowOff>
    </xdr:to>
    <xdr:sp macro="" textlink="">
      <xdr:nvSpPr>
        <xdr:cNvPr id="8322" name="AutoShape 578" descr="https://www.soccerstats.com/img/own/sshplogo.png">
          <a:hlinkClick xmlns:r="http://schemas.openxmlformats.org/officeDocument/2006/relationships" r:id="rId293"/>
        </xdr:cNvPr>
        <xdr:cNvSpPr>
          <a:spLocks noChangeAspect="1" noChangeArrowheads="1"/>
        </xdr:cNvSpPr>
      </xdr:nvSpPr>
      <xdr:spPr bwMode="auto">
        <a:xfrm>
          <a:off x="13411200" y="88308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152400</xdr:colOff>
      <xdr:row>430</xdr:row>
      <xdr:rowOff>106680</xdr:rowOff>
    </xdr:to>
    <xdr:sp macro="" textlink="">
      <xdr:nvSpPr>
        <xdr:cNvPr id="8323" name="AutoShape 579" descr="IRELAND3"/>
        <xdr:cNvSpPr>
          <a:spLocks noChangeAspect="1" noChangeArrowheads="1"/>
        </xdr:cNvSpPr>
      </xdr:nvSpPr>
      <xdr:spPr bwMode="auto">
        <a:xfrm>
          <a:off x="0" y="88559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430</xdr:row>
      <xdr:rowOff>0</xdr:rowOff>
    </xdr:from>
    <xdr:to>
      <xdr:col>22</xdr:col>
      <xdr:colOff>304800</xdr:colOff>
      <xdr:row>431</xdr:row>
      <xdr:rowOff>129540</xdr:rowOff>
    </xdr:to>
    <xdr:sp macro="" textlink="">
      <xdr:nvSpPr>
        <xdr:cNvPr id="8324" name="AutoShape 580" descr="https://www.soccerstats.com/img/own/sshplogo.png">
          <a:hlinkClick xmlns:r="http://schemas.openxmlformats.org/officeDocument/2006/relationships" r:id="rId294"/>
        </xdr:cNvPr>
        <xdr:cNvSpPr>
          <a:spLocks noChangeAspect="1" noChangeArrowheads="1"/>
        </xdr:cNvSpPr>
      </xdr:nvSpPr>
      <xdr:spPr bwMode="auto">
        <a:xfrm>
          <a:off x="13411200" y="88559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152400</xdr:colOff>
      <xdr:row>431</xdr:row>
      <xdr:rowOff>106680</xdr:rowOff>
    </xdr:to>
    <xdr:sp macro="" textlink="">
      <xdr:nvSpPr>
        <xdr:cNvPr id="8325" name="AutoShape 581" descr="IRELAND3"/>
        <xdr:cNvSpPr>
          <a:spLocks noChangeAspect="1" noChangeArrowheads="1"/>
        </xdr:cNvSpPr>
      </xdr:nvSpPr>
      <xdr:spPr bwMode="auto">
        <a:xfrm>
          <a:off x="0" y="88734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431</xdr:row>
      <xdr:rowOff>0</xdr:rowOff>
    </xdr:from>
    <xdr:to>
      <xdr:col>22</xdr:col>
      <xdr:colOff>304800</xdr:colOff>
      <xdr:row>432</xdr:row>
      <xdr:rowOff>53340</xdr:rowOff>
    </xdr:to>
    <xdr:sp macro="" textlink="">
      <xdr:nvSpPr>
        <xdr:cNvPr id="8326" name="AutoShape 582" descr="https://www.soccerstats.com/img/own/sshplogo.png">
          <a:hlinkClick xmlns:r="http://schemas.openxmlformats.org/officeDocument/2006/relationships" r:id="rId295"/>
        </xdr:cNvPr>
        <xdr:cNvSpPr>
          <a:spLocks noChangeAspect="1" noChangeArrowheads="1"/>
        </xdr:cNvSpPr>
      </xdr:nvSpPr>
      <xdr:spPr bwMode="auto">
        <a:xfrm>
          <a:off x="13411200" y="88734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152400</xdr:colOff>
      <xdr:row>432</xdr:row>
      <xdr:rowOff>106680</xdr:rowOff>
    </xdr:to>
    <xdr:sp macro="" textlink="">
      <xdr:nvSpPr>
        <xdr:cNvPr id="8327" name="AutoShape 583" descr="IRELAND3"/>
        <xdr:cNvSpPr>
          <a:spLocks noChangeAspect="1" noChangeArrowheads="1"/>
        </xdr:cNvSpPr>
      </xdr:nvSpPr>
      <xdr:spPr bwMode="auto">
        <a:xfrm>
          <a:off x="0" y="88986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432</xdr:row>
      <xdr:rowOff>0</xdr:rowOff>
    </xdr:from>
    <xdr:to>
      <xdr:col>22</xdr:col>
      <xdr:colOff>304800</xdr:colOff>
      <xdr:row>433</xdr:row>
      <xdr:rowOff>53340</xdr:rowOff>
    </xdr:to>
    <xdr:sp macro="" textlink="">
      <xdr:nvSpPr>
        <xdr:cNvPr id="8328" name="AutoShape 584" descr="https://www.soccerstats.com/img/own/sshplogo.png">
          <a:hlinkClick xmlns:r="http://schemas.openxmlformats.org/officeDocument/2006/relationships" r:id="rId296"/>
        </xdr:cNvPr>
        <xdr:cNvSpPr>
          <a:spLocks noChangeAspect="1" noChangeArrowheads="1"/>
        </xdr:cNvSpPr>
      </xdr:nvSpPr>
      <xdr:spPr bwMode="auto">
        <a:xfrm>
          <a:off x="13411200" y="88986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152400</xdr:colOff>
      <xdr:row>433</xdr:row>
      <xdr:rowOff>106680</xdr:rowOff>
    </xdr:to>
    <xdr:sp macro="" textlink="">
      <xdr:nvSpPr>
        <xdr:cNvPr id="8329" name="AutoShape 585" descr="IRELAND3"/>
        <xdr:cNvSpPr>
          <a:spLocks noChangeAspect="1" noChangeArrowheads="1"/>
        </xdr:cNvSpPr>
      </xdr:nvSpPr>
      <xdr:spPr bwMode="auto">
        <a:xfrm>
          <a:off x="0" y="89237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433</xdr:row>
      <xdr:rowOff>0</xdr:rowOff>
    </xdr:from>
    <xdr:to>
      <xdr:col>22</xdr:col>
      <xdr:colOff>304800</xdr:colOff>
      <xdr:row>434</xdr:row>
      <xdr:rowOff>53340</xdr:rowOff>
    </xdr:to>
    <xdr:sp macro="" textlink="">
      <xdr:nvSpPr>
        <xdr:cNvPr id="8330" name="AutoShape 586" descr="https://www.soccerstats.com/img/own/sshplogo.png">
          <a:hlinkClick xmlns:r="http://schemas.openxmlformats.org/officeDocument/2006/relationships" r:id="rId297"/>
        </xdr:cNvPr>
        <xdr:cNvSpPr>
          <a:spLocks noChangeAspect="1" noChangeArrowheads="1"/>
        </xdr:cNvSpPr>
      </xdr:nvSpPr>
      <xdr:spPr bwMode="auto">
        <a:xfrm>
          <a:off x="13411200" y="89237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152400</xdr:colOff>
      <xdr:row>434</xdr:row>
      <xdr:rowOff>106680</xdr:rowOff>
    </xdr:to>
    <xdr:sp macro="" textlink="">
      <xdr:nvSpPr>
        <xdr:cNvPr id="8331" name="AutoShape 587" descr="IRELAND3"/>
        <xdr:cNvSpPr>
          <a:spLocks noChangeAspect="1" noChangeArrowheads="1"/>
        </xdr:cNvSpPr>
      </xdr:nvSpPr>
      <xdr:spPr bwMode="auto">
        <a:xfrm>
          <a:off x="0" y="89489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434</xdr:row>
      <xdr:rowOff>0</xdr:rowOff>
    </xdr:from>
    <xdr:to>
      <xdr:col>22</xdr:col>
      <xdr:colOff>304800</xdr:colOff>
      <xdr:row>435</xdr:row>
      <xdr:rowOff>129540</xdr:rowOff>
    </xdr:to>
    <xdr:sp macro="" textlink="">
      <xdr:nvSpPr>
        <xdr:cNvPr id="8332" name="AutoShape 588" descr="https://www.soccerstats.com/img/own/sshplogo.png">
          <a:hlinkClick xmlns:r="http://schemas.openxmlformats.org/officeDocument/2006/relationships" r:id="rId298"/>
        </xdr:cNvPr>
        <xdr:cNvSpPr>
          <a:spLocks noChangeAspect="1" noChangeArrowheads="1"/>
        </xdr:cNvSpPr>
      </xdr:nvSpPr>
      <xdr:spPr bwMode="auto">
        <a:xfrm>
          <a:off x="13411200" y="89489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152400</xdr:colOff>
      <xdr:row>435</xdr:row>
      <xdr:rowOff>106680</xdr:rowOff>
    </xdr:to>
    <xdr:sp macro="" textlink="">
      <xdr:nvSpPr>
        <xdr:cNvPr id="8333" name="AutoShape 589" descr="IRELAND3"/>
        <xdr:cNvSpPr>
          <a:spLocks noChangeAspect="1" noChangeArrowheads="1"/>
        </xdr:cNvSpPr>
      </xdr:nvSpPr>
      <xdr:spPr bwMode="auto">
        <a:xfrm>
          <a:off x="0" y="8966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435</xdr:row>
      <xdr:rowOff>0</xdr:rowOff>
    </xdr:from>
    <xdr:to>
      <xdr:col>22</xdr:col>
      <xdr:colOff>304800</xdr:colOff>
      <xdr:row>436</xdr:row>
      <xdr:rowOff>53340</xdr:rowOff>
    </xdr:to>
    <xdr:sp macro="" textlink="">
      <xdr:nvSpPr>
        <xdr:cNvPr id="8334" name="AutoShape 590" descr="https://www.soccerstats.com/img/own/sshplogo.png">
          <a:hlinkClick xmlns:r="http://schemas.openxmlformats.org/officeDocument/2006/relationships" r:id="rId299"/>
        </xdr:cNvPr>
        <xdr:cNvSpPr>
          <a:spLocks noChangeAspect="1" noChangeArrowheads="1"/>
        </xdr:cNvSpPr>
      </xdr:nvSpPr>
      <xdr:spPr bwMode="auto">
        <a:xfrm>
          <a:off x="13411200" y="8966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152400</xdr:colOff>
      <xdr:row>436</xdr:row>
      <xdr:rowOff>106680</xdr:rowOff>
    </xdr:to>
    <xdr:sp macro="" textlink="">
      <xdr:nvSpPr>
        <xdr:cNvPr id="8335" name="AutoShape 591" descr="JAPAN"/>
        <xdr:cNvSpPr>
          <a:spLocks noChangeAspect="1" noChangeArrowheads="1"/>
        </xdr:cNvSpPr>
      </xdr:nvSpPr>
      <xdr:spPr bwMode="auto">
        <a:xfrm>
          <a:off x="0" y="89916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436</xdr:row>
      <xdr:rowOff>0</xdr:rowOff>
    </xdr:from>
    <xdr:to>
      <xdr:col>22</xdr:col>
      <xdr:colOff>304800</xdr:colOff>
      <xdr:row>437</xdr:row>
      <xdr:rowOff>53340</xdr:rowOff>
    </xdr:to>
    <xdr:sp macro="" textlink="">
      <xdr:nvSpPr>
        <xdr:cNvPr id="8336" name="AutoShape 592" descr="https://www.soccerstats.com/img/own/sshplogo.png">
          <a:hlinkClick xmlns:r="http://schemas.openxmlformats.org/officeDocument/2006/relationships" r:id="rId300"/>
        </xdr:cNvPr>
        <xdr:cNvSpPr>
          <a:spLocks noChangeAspect="1" noChangeArrowheads="1"/>
        </xdr:cNvSpPr>
      </xdr:nvSpPr>
      <xdr:spPr bwMode="auto">
        <a:xfrm>
          <a:off x="13411200" y="8991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152400</xdr:colOff>
      <xdr:row>437</xdr:row>
      <xdr:rowOff>106680</xdr:rowOff>
    </xdr:to>
    <xdr:sp macro="" textlink="">
      <xdr:nvSpPr>
        <xdr:cNvPr id="8337" name="AutoShape 593" descr="JAPAN"/>
        <xdr:cNvSpPr>
          <a:spLocks noChangeAspect="1" noChangeArrowheads="1"/>
        </xdr:cNvSpPr>
      </xdr:nvSpPr>
      <xdr:spPr bwMode="auto">
        <a:xfrm>
          <a:off x="0" y="90167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437</xdr:row>
      <xdr:rowOff>0</xdr:rowOff>
    </xdr:from>
    <xdr:to>
      <xdr:col>22</xdr:col>
      <xdr:colOff>304800</xdr:colOff>
      <xdr:row>438</xdr:row>
      <xdr:rowOff>53340</xdr:rowOff>
    </xdr:to>
    <xdr:sp macro="" textlink="">
      <xdr:nvSpPr>
        <xdr:cNvPr id="8338" name="AutoShape 594" descr="https://www.soccerstats.com/img/own/sshplogo.png">
          <a:hlinkClick xmlns:r="http://schemas.openxmlformats.org/officeDocument/2006/relationships" r:id="rId301"/>
        </xdr:cNvPr>
        <xdr:cNvSpPr>
          <a:spLocks noChangeAspect="1" noChangeArrowheads="1"/>
        </xdr:cNvSpPr>
      </xdr:nvSpPr>
      <xdr:spPr bwMode="auto">
        <a:xfrm>
          <a:off x="13411200" y="90167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152400</xdr:colOff>
      <xdr:row>438</xdr:row>
      <xdr:rowOff>106680</xdr:rowOff>
    </xdr:to>
    <xdr:sp macro="" textlink="">
      <xdr:nvSpPr>
        <xdr:cNvPr id="8339" name="AutoShape 595" descr="JAPAN"/>
        <xdr:cNvSpPr>
          <a:spLocks noChangeAspect="1" noChangeArrowheads="1"/>
        </xdr:cNvSpPr>
      </xdr:nvSpPr>
      <xdr:spPr bwMode="auto">
        <a:xfrm>
          <a:off x="0" y="90418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438</xdr:row>
      <xdr:rowOff>0</xdr:rowOff>
    </xdr:from>
    <xdr:to>
      <xdr:col>22</xdr:col>
      <xdr:colOff>304800</xdr:colOff>
      <xdr:row>439</xdr:row>
      <xdr:rowOff>53340</xdr:rowOff>
    </xdr:to>
    <xdr:sp macro="" textlink="">
      <xdr:nvSpPr>
        <xdr:cNvPr id="8340" name="AutoShape 596" descr="https://www.soccerstats.com/img/own/sshplogo.png">
          <a:hlinkClick xmlns:r="http://schemas.openxmlformats.org/officeDocument/2006/relationships" r:id="rId302"/>
        </xdr:cNvPr>
        <xdr:cNvSpPr>
          <a:spLocks noChangeAspect="1" noChangeArrowheads="1"/>
        </xdr:cNvSpPr>
      </xdr:nvSpPr>
      <xdr:spPr bwMode="auto">
        <a:xfrm>
          <a:off x="13411200" y="90418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152400</xdr:colOff>
      <xdr:row>439</xdr:row>
      <xdr:rowOff>106680</xdr:rowOff>
    </xdr:to>
    <xdr:sp macro="" textlink="">
      <xdr:nvSpPr>
        <xdr:cNvPr id="8341" name="AutoShape 597" descr="JAPAN"/>
        <xdr:cNvSpPr>
          <a:spLocks noChangeAspect="1" noChangeArrowheads="1"/>
        </xdr:cNvSpPr>
      </xdr:nvSpPr>
      <xdr:spPr bwMode="auto">
        <a:xfrm>
          <a:off x="0" y="90670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439</xdr:row>
      <xdr:rowOff>0</xdr:rowOff>
    </xdr:from>
    <xdr:to>
      <xdr:col>22</xdr:col>
      <xdr:colOff>304800</xdr:colOff>
      <xdr:row>440</xdr:row>
      <xdr:rowOff>53340</xdr:rowOff>
    </xdr:to>
    <xdr:sp macro="" textlink="">
      <xdr:nvSpPr>
        <xdr:cNvPr id="8342" name="AutoShape 598" descr="https://www.soccerstats.com/img/own/sshplogo.png">
          <a:hlinkClick xmlns:r="http://schemas.openxmlformats.org/officeDocument/2006/relationships" r:id="rId303"/>
        </xdr:cNvPr>
        <xdr:cNvSpPr>
          <a:spLocks noChangeAspect="1" noChangeArrowheads="1"/>
        </xdr:cNvSpPr>
      </xdr:nvSpPr>
      <xdr:spPr bwMode="auto">
        <a:xfrm>
          <a:off x="13411200" y="90670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152400</xdr:colOff>
      <xdr:row>440</xdr:row>
      <xdr:rowOff>106680</xdr:rowOff>
    </xdr:to>
    <xdr:sp macro="" textlink="">
      <xdr:nvSpPr>
        <xdr:cNvPr id="8343" name="AutoShape 599" descr="JAPAN"/>
        <xdr:cNvSpPr>
          <a:spLocks noChangeAspect="1" noChangeArrowheads="1"/>
        </xdr:cNvSpPr>
      </xdr:nvSpPr>
      <xdr:spPr bwMode="auto">
        <a:xfrm>
          <a:off x="0" y="90921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440</xdr:row>
      <xdr:rowOff>0</xdr:rowOff>
    </xdr:from>
    <xdr:to>
      <xdr:col>22</xdr:col>
      <xdr:colOff>304800</xdr:colOff>
      <xdr:row>441</xdr:row>
      <xdr:rowOff>53340</xdr:rowOff>
    </xdr:to>
    <xdr:sp macro="" textlink="">
      <xdr:nvSpPr>
        <xdr:cNvPr id="8344" name="AutoShape 600" descr="https://www.soccerstats.com/img/own/sshplogo.png">
          <a:hlinkClick xmlns:r="http://schemas.openxmlformats.org/officeDocument/2006/relationships" r:id="rId304"/>
        </xdr:cNvPr>
        <xdr:cNvSpPr>
          <a:spLocks noChangeAspect="1" noChangeArrowheads="1"/>
        </xdr:cNvSpPr>
      </xdr:nvSpPr>
      <xdr:spPr bwMode="auto">
        <a:xfrm>
          <a:off x="13411200" y="90921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152400</xdr:colOff>
      <xdr:row>441</xdr:row>
      <xdr:rowOff>106680</xdr:rowOff>
    </xdr:to>
    <xdr:sp macro="" textlink="">
      <xdr:nvSpPr>
        <xdr:cNvPr id="8345" name="AutoShape 601" descr="JAPAN"/>
        <xdr:cNvSpPr>
          <a:spLocks noChangeAspect="1" noChangeArrowheads="1"/>
        </xdr:cNvSpPr>
      </xdr:nvSpPr>
      <xdr:spPr bwMode="auto">
        <a:xfrm>
          <a:off x="0" y="91173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441</xdr:row>
      <xdr:rowOff>0</xdr:rowOff>
    </xdr:from>
    <xdr:to>
      <xdr:col>22</xdr:col>
      <xdr:colOff>304800</xdr:colOff>
      <xdr:row>442</xdr:row>
      <xdr:rowOff>53340</xdr:rowOff>
    </xdr:to>
    <xdr:sp macro="" textlink="">
      <xdr:nvSpPr>
        <xdr:cNvPr id="8346" name="AutoShape 602" descr="https://www.soccerstats.com/img/own/sshplogo.png">
          <a:hlinkClick xmlns:r="http://schemas.openxmlformats.org/officeDocument/2006/relationships" r:id="rId305"/>
        </xdr:cNvPr>
        <xdr:cNvSpPr>
          <a:spLocks noChangeAspect="1" noChangeArrowheads="1"/>
        </xdr:cNvSpPr>
      </xdr:nvSpPr>
      <xdr:spPr bwMode="auto">
        <a:xfrm>
          <a:off x="13411200" y="9117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152400</xdr:colOff>
      <xdr:row>442</xdr:row>
      <xdr:rowOff>106680</xdr:rowOff>
    </xdr:to>
    <xdr:sp macro="" textlink="">
      <xdr:nvSpPr>
        <xdr:cNvPr id="8347" name="AutoShape 603" descr="JAPAN"/>
        <xdr:cNvSpPr>
          <a:spLocks noChangeAspect="1" noChangeArrowheads="1"/>
        </xdr:cNvSpPr>
      </xdr:nvSpPr>
      <xdr:spPr bwMode="auto">
        <a:xfrm>
          <a:off x="0" y="91424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442</xdr:row>
      <xdr:rowOff>0</xdr:rowOff>
    </xdr:from>
    <xdr:to>
      <xdr:col>22</xdr:col>
      <xdr:colOff>304800</xdr:colOff>
      <xdr:row>443</xdr:row>
      <xdr:rowOff>129540</xdr:rowOff>
    </xdr:to>
    <xdr:sp macro="" textlink="">
      <xdr:nvSpPr>
        <xdr:cNvPr id="8348" name="AutoShape 604" descr="https://www.soccerstats.com/img/own/sshplogo.png">
          <a:hlinkClick xmlns:r="http://schemas.openxmlformats.org/officeDocument/2006/relationships" r:id="rId306"/>
        </xdr:cNvPr>
        <xdr:cNvSpPr>
          <a:spLocks noChangeAspect="1" noChangeArrowheads="1"/>
        </xdr:cNvSpPr>
      </xdr:nvSpPr>
      <xdr:spPr bwMode="auto">
        <a:xfrm>
          <a:off x="13411200" y="91424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152400</xdr:colOff>
      <xdr:row>443</xdr:row>
      <xdr:rowOff>106680</xdr:rowOff>
    </xdr:to>
    <xdr:sp macro="" textlink="">
      <xdr:nvSpPr>
        <xdr:cNvPr id="8349" name="AutoShape 605" descr="JAPAN"/>
        <xdr:cNvSpPr>
          <a:spLocks noChangeAspect="1" noChangeArrowheads="1"/>
        </xdr:cNvSpPr>
      </xdr:nvSpPr>
      <xdr:spPr bwMode="auto">
        <a:xfrm>
          <a:off x="0" y="91600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443</xdr:row>
      <xdr:rowOff>0</xdr:rowOff>
    </xdr:from>
    <xdr:to>
      <xdr:col>22</xdr:col>
      <xdr:colOff>304800</xdr:colOff>
      <xdr:row>444</xdr:row>
      <xdr:rowOff>129540</xdr:rowOff>
    </xdr:to>
    <xdr:sp macro="" textlink="">
      <xdr:nvSpPr>
        <xdr:cNvPr id="8350" name="AutoShape 606" descr="https://www.soccerstats.com/img/own/sshplogo.png">
          <a:hlinkClick xmlns:r="http://schemas.openxmlformats.org/officeDocument/2006/relationships" r:id="rId307"/>
        </xdr:cNvPr>
        <xdr:cNvSpPr>
          <a:spLocks noChangeAspect="1" noChangeArrowheads="1"/>
        </xdr:cNvSpPr>
      </xdr:nvSpPr>
      <xdr:spPr bwMode="auto">
        <a:xfrm>
          <a:off x="13411200" y="91600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152400</xdr:colOff>
      <xdr:row>444</xdr:row>
      <xdr:rowOff>106680</xdr:rowOff>
    </xdr:to>
    <xdr:sp macro="" textlink="">
      <xdr:nvSpPr>
        <xdr:cNvPr id="8351" name="AutoShape 607" descr="JAPAN"/>
        <xdr:cNvSpPr>
          <a:spLocks noChangeAspect="1" noChangeArrowheads="1"/>
        </xdr:cNvSpPr>
      </xdr:nvSpPr>
      <xdr:spPr bwMode="auto">
        <a:xfrm>
          <a:off x="0" y="91775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444</xdr:row>
      <xdr:rowOff>0</xdr:rowOff>
    </xdr:from>
    <xdr:to>
      <xdr:col>22</xdr:col>
      <xdr:colOff>304800</xdr:colOff>
      <xdr:row>445</xdr:row>
      <xdr:rowOff>129540</xdr:rowOff>
    </xdr:to>
    <xdr:sp macro="" textlink="">
      <xdr:nvSpPr>
        <xdr:cNvPr id="8352" name="AutoShape 608" descr="https://www.soccerstats.com/img/own/sshplogo.png">
          <a:hlinkClick xmlns:r="http://schemas.openxmlformats.org/officeDocument/2006/relationships" r:id="rId308"/>
        </xdr:cNvPr>
        <xdr:cNvSpPr>
          <a:spLocks noChangeAspect="1" noChangeArrowheads="1"/>
        </xdr:cNvSpPr>
      </xdr:nvSpPr>
      <xdr:spPr bwMode="auto">
        <a:xfrm>
          <a:off x="13411200" y="91775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152400</xdr:colOff>
      <xdr:row>445</xdr:row>
      <xdr:rowOff>106680</xdr:rowOff>
    </xdr:to>
    <xdr:sp macro="" textlink="">
      <xdr:nvSpPr>
        <xdr:cNvPr id="8353" name="AutoShape 609" descr="JAPAN2"/>
        <xdr:cNvSpPr>
          <a:spLocks noChangeAspect="1" noChangeArrowheads="1"/>
        </xdr:cNvSpPr>
      </xdr:nvSpPr>
      <xdr:spPr bwMode="auto">
        <a:xfrm>
          <a:off x="0" y="91950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445</xdr:row>
      <xdr:rowOff>0</xdr:rowOff>
    </xdr:from>
    <xdr:to>
      <xdr:col>22</xdr:col>
      <xdr:colOff>304800</xdr:colOff>
      <xdr:row>446</xdr:row>
      <xdr:rowOff>53340</xdr:rowOff>
    </xdr:to>
    <xdr:sp macro="" textlink="">
      <xdr:nvSpPr>
        <xdr:cNvPr id="8354" name="AutoShape 610" descr="https://www.soccerstats.com/img/own/sshplogo.png">
          <a:hlinkClick xmlns:r="http://schemas.openxmlformats.org/officeDocument/2006/relationships" r:id="rId309"/>
        </xdr:cNvPr>
        <xdr:cNvSpPr>
          <a:spLocks noChangeAspect="1" noChangeArrowheads="1"/>
        </xdr:cNvSpPr>
      </xdr:nvSpPr>
      <xdr:spPr bwMode="auto">
        <a:xfrm>
          <a:off x="13411200" y="91950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152400</xdr:colOff>
      <xdr:row>446</xdr:row>
      <xdr:rowOff>106680</xdr:rowOff>
    </xdr:to>
    <xdr:sp macro="" textlink="">
      <xdr:nvSpPr>
        <xdr:cNvPr id="8355" name="AutoShape 611" descr="JAPAN2"/>
        <xdr:cNvSpPr>
          <a:spLocks noChangeAspect="1" noChangeArrowheads="1"/>
        </xdr:cNvSpPr>
      </xdr:nvSpPr>
      <xdr:spPr bwMode="auto">
        <a:xfrm>
          <a:off x="0" y="92202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446</xdr:row>
      <xdr:rowOff>0</xdr:rowOff>
    </xdr:from>
    <xdr:to>
      <xdr:col>22</xdr:col>
      <xdr:colOff>304800</xdr:colOff>
      <xdr:row>447</xdr:row>
      <xdr:rowOff>129540</xdr:rowOff>
    </xdr:to>
    <xdr:sp macro="" textlink="">
      <xdr:nvSpPr>
        <xdr:cNvPr id="8356" name="AutoShape 612" descr="https://www.soccerstats.com/img/own/sshplogo.png">
          <a:hlinkClick xmlns:r="http://schemas.openxmlformats.org/officeDocument/2006/relationships" r:id="rId310"/>
        </xdr:cNvPr>
        <xdr:cNvSpPr>
          <a:spLocks noChangeAspect="1" noChangeArrowheads="1"/>
        </xdr:cNvSpPr>
      </xdr:nvSpPr>
      <xdr:spPr bwMode="auto">
        <a:xfrm>
          <a:off x="13411200" y="9220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152400</xdr:colOff>
      <xdr:row>447</xdr:row>
      <xdr:rowOff>106680</xdr:rowOff>
    </xdr:to>
    <xdr:sp macro="" textlink="">
      <xdr:nvSpPr>
        <xdr:cNvPr id="8357" name="AutoShape 613" descr="JAPAN2"/>
        <xdr:cNvSpPr>
          <a:spLocks noChangeAspect="1" noChangeArrowheads="1"/>
        </xdr:cNvSpPr>
      </xdr:nvSpPr>
      <xdr:spPr bwMode="auto">
        <a:xfrm>
          <a:off x="0" y="92377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447</xdr:row>
      <xdr:rowOff>0</xdr:rowOff>
    </xdr:from>
    <xdr:to>
      <xdr:col>22</xdr:col>
      <xdr:colOff>304800</xdr:colOff>
      <xdr:row>448</xdr:row>
      <xdr:rowOff>129540</xdr:rowOff>
    </xdr:to>
    <xdr:sp macro="" textlink="">
      <xdr:nvSpPr>
        <xdr:cNvPr id="8358" name="AutoShape 614" descr="https://www.soccerstats.com/img/own/sshplogo.png">
          <a:hlinkClick xmlns:r="http://schemas.openxmlformats.org/officeDocument/2006/relationships" r:id="rId311"/>
        </xdr:cNvPr>
        <xdr:cNvSpPr>
          <a:spLocks noChangeAspect="1" noChangeArrowheads="1"/>
        </xdr:cNvSpPr>
      </xdr:nvSpPr>
      <xdr:spPr bwMode="auto">
        <a:xfrm>
          <a:off x="13411200" y="92377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152400</xdr:colOff>
      <xdr:row>448</xdr:row>
      <xdr:rowOff>106680</xdr:rowOff>
    </xdr:to>
    <xdr:sp macro="" textlink="">
      <xdr:nvSpPr>
        <xdr:cNvPr id="8359" name="AutoShape 615" descr="JAPAN2"/>
        <xdr:cNvSpPr>
          <a:spLocks noChangeAspect="1" noChangeArrowheads="1"/>
        </xdr:cNvSpPr>
      </xdr:nvSpPr>
      <xdr:spPr bwMode="auto">
        <a:xfrm>
          <a:off x="0" y="92552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448</xdr:row>
      <xdr:rowOff>0</xdr:rowOff>
    </xdr:from>
    <xdr:to>
      <xdr:col>22</xdr:col>
      <xdr:colOff>304800</xdr:colOff>
      <xdr:row>449</xdr:row>
      <xdr:rowOff>53340</xdr:rowOff>
    </xdr:to>
    <xdr:sp macro="" textlink="">
      <xdr:nvSpPr>
        <xdr:cNvPr id="8360" name="AutoShape 616" descr="https://www.soccerstats.com/img/own/sshplogo.png">
          <a:hlinkClick xmlns:r="http://schemas.openxmlformats.org/officeDocument/2006/relationships" r:id="rId312"/>
        </xdr:cNvPr>
        <xdr:cNvSpPr>
          <a:spLocks noChangeAspect="1" noChangeArrowheads="1"/>
        </xdr:cNvSpPr>
      </xdr:nvSpPr>
      <xdr:spPr bwMode="auto">
        <a:xfrm>
          <a:off x="13411200" y="92552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152400</xdr:colOff>
      <xdr:row>449</xdr:row>
      <xdr:rowOff>106680</xdr:rowOff>
    </xdr:to>
    <xdr:sp macro="" textlink="">
      <xdr:nvSpPr>
        <xdr:cNvPr id="8361" name="AutoShape 617" descr="JAPAN2"/>
        <xdr:cNvSpPr>
          <a:spLocks noChangeAspect="1" noChangeArrowheads="1"/>
        </xdr:cNvSpPr>
      </xdr:nvSpPr>
      <xdr:spPr bwMode="auto">
        <a:xfrm>
          <a:off x="0" y="92803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449</xdr:row>
      <xdr:rowOff>0</xdr:rowOff>
    </xdr:from>
    <xdr:to>
      <xdr:col>22</xdr:col>
      <xdr:colOff>304800</xdr:colOff>
      <xdr:row>450</xdr:row>
      <xdr:rowOff>129540</xdr:rowOff>
    </xdr:to>
    <xdr:sp macro="" textlink="">
      <xdr:nvSpPr>
        <xdr:cNvPr id="8362" name="AutoShape 618" descr="https://www.soccerstats.com/img/own/sshplogo.png">
          <a:hlinkClick xmlns:r="http://schemas.openxmlformats.org/officeDocument/2006/relationships" r:id="rId313"/>
        </xdr:cNvPr>
        <xdr:cNvSpPr>
          <a:spLocks noChangeAspect="1" noChangeArrowheads="1"/>
        </xdr:cNvSpPr>
      </xdr:nvSpPr>
      <xdr:spPr bwMode="auto">
        <a:xfrm>
          <a:off x="13411200" y="92803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152400</xdr:colOff>
      <xdr:row>450</xdr:row>
      <xdr:rowOff>106680</xdr:rowOff>
    </xdr:to>
    <xdr:sp macro="" textlink="">
      <xdr:nvSpPr>
        <xdr:cNvPr id="8363" name="AutoShape 619" descr="JAPAN2"/>
        <xdr:cNvSpPr>
          <a:spLocks noChangeAspect="1" noChangeArrowheads="1"/>
        </xdr:cNvSpPr>
      </xdr:nvSpPr>
      <xdr:spPr bwMode="auto">
        <a:xfrm>
          <a:off x="0" y="92979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450</xdr:row>
      <xdr:rowOff>0</xdr:rowOff>
    </xdr:from>
    <xdr:to>
      <xdr:col>22</xdr:col>
      <xdr:colOff>304800</xdr:colOff>
      <xdr:row>451</xdr:row>
      <xdr:rowOff>53340</xdr:rowOff>
    </xdr:to>
    <xdr:sp macro="" textlink="">
      <xdr:nvSpPr>
        <xdr:cNvPr id="8364" name="AutoShape 620" descr="https://www.soccerstats.com/img/own/sshplogo.png">
          <a:hlinkClick xmlns:r="http://schemas.openxmlformats.org/officeDocument/2006/relationships" r:id="rId314"/>
        </xdr:cNvPr>
        <xdr:cNvSpPr>
          <a:spLocks noChangeAspect="1" noChangeArrowheads="1"/>
        </xdr:cNvSpPr>
      </xdr:nvSpPr>
      <xdr:spPr bwMode="auto">
        <a:xfrm>
          <a:off x="13411200" y="92979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152400</xdr:colOff>
      <xdr:row>451</xdr:row>
      <xdr:rowOff>106680</xdr:rowOff>
    </xdr:to>
    <xdr:sp macro="" textlink="">
      <xdr:nvSpPr>
        <xdr:cNvPr id="8365" name="AutoShape 621" descr="JAPAN2"/>
        <xdr:cNvSpPr>
          <a:spLocks noChangeAspect="1" noChangeArrowheads="1"/>
        </xdr:cNvSpPr>
      </xdr:nvSpPr>
      <xdr:spPr bwMode="auto">
        <a:xfrm>
          <a:off x="0" y="93230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451</xdr:row>
      <xdr:rowOff>0</xdr:rowOff>
    </xdr:from>
    <xdr:to>
      <xdr:col>22</xdr:col>
      <xdr:colOff>304800</xdr:colOff>
      <xdr:row>452</xdr:row>
      <xdr:rowOff>53340</xdr:rowOff>
    </xdr:to>
    <xdr:sp macro="" textlink="">
      <xdr:nvSpPr>
        <xdr:cNvPr id="8366" name="AutoShape 622" descr="https://www.soccerstats.com/img/own/sshplogo.png">
          <a:hlinkClick xmlns:r="http://schemas.openxmlformats.org/officeDocument/2006/relationships" r:id="rId315"/>
        </xdr:cNvPr>
        <xdr:cNvSpPr>
          <a:spLocks noChangeAspect="1" noChangeArrowheads="1"/>
        </xdr:cNvSpPr>
      </xdr:nvSpPr>
      <xdr:spPr bwMode="auto">
        <a:xfrm>
          <a:off x="13411200" y="93230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152400</xdr:colOff>
      <xdr:row>452</xdr:row>
      <xdr:rowOff>106680</xdr:rowOff>
    </xdr:to>
    <xdr:sp macro="" textlink="">
      <xdr:nvSpPr>
        <xdr:cNvPr id="8367" name="AutoShape 623" descr="JAPAN2"/>
        <xdr:cNvSpPr>
          <a:spLocks noChangeAspect="1" noChangeArrowheads="1"/>
        </xdr:cNvSpPr>
      </xdr:nvSpPr>
      <xdr:spPr bwMode="auto">
        <a:xfrm>
          <a:off x="0" y="93482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452</xdr:row>
      <xdr:rowOff>0</xdr:rowOff>
    </xdr:from>
    <xdr:to>
      <xdr:col>22</xdr:col>
      <xdr:colOff>304800</xdr:colOff>
      <xdr:row>453</xdr:row>
      <xdr:rowOff>53340</xdr:rowOff>
    </xdr:to>
    <xdr:sp macro="" textlink="">
      <xdr:nvSpPr>
        <xdr:cNvPr id="8368" name="AutoShape 624" descr="https://www.soccerstats.com/img/own/sshplogo.png">
          <a:hlinkClick xmlns:r="http://schemas.openxmlformats.org/officeDocument/2006/relationships" r:id="rId316"/>
        </xdr:cNvPr>
        <xdr:cNvSpPr>
          <a:spLocks noChangeAspect="1" noChangeArrowheads="1"/>
        </xdr:cNvSpPr>
      </xdr:nvSpPr>
      <xdr:spPr bwMode="auto">
        <a:xfrm>
          <a:off x="13411200" y="93482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152400</xdr:colOff>
      <xdr:row>453</xdr:row>
      <xdr:rowOff>106680</xdr:rowOff>
    </xdr:to>
    <xdr:sp macro="" textlink="">
      <xdr:nvSpPr>
        <xdr:cNvPr id="8369" name="AutoShape 625" descr="JAPAN3"/>
        <xdr:cNvSpPr>
          <a:spLocks noChangeAspect="1" noChangeArrowheads="1"/>
        </xdr:cNvSpPr>
      </xdr:nvSpPr>
      <xdr:spPr bwMode="auto">
        <a:xfrm>
          <a:off x="0" y="93733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453</xdr:row>
      <xdr:rowOff>0</xdr:rowOff>
    </xdr:from>
    <xdr:to>
      <xdr:col>22</xdr:col>
      <xdr:colOff>304800</xdr:colOff>
      <xdr:row>454</xdr:row>
      <xdr:rowOff>53340</xdr:rowOff>
    </xdr:to>
    <xdr:sp macro="" textlink="">
      <xdr:nvSpPr>
        <xdr:cNvPr id="8370" name="AutoShape 626" descr="https://www.soccerstats.com/img/own/sshplogo.png">
          <a:hlinkClick xmlns:r="http://schemas.openxmlformats.org/officeDocument/2006/relationships" r:id="rId317"/>
        </xdr:cNvPr>
        <xdr:cNvSpPr>
          <a:spLocks noChangeAspect="1" noChangeArrowheads="1"/>
        </xdr:cNvSpPr>
      </xdr:nvSpPr>
      <xdr:spPr bwMode="auto">
        <a:xfrm>
          <a:off x="13411200" y="93733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152400</xdr:colOff>
      <xdr:row>454</xdr:row>
      <xdr:rowOff>106680</xdr:rowOff>
    </xdr:to>
    <xdr:sp macro="" textlink="">
      <xdr:nvSpPr>
        <xdr:cNvPr id="8371" name="AutoShape 627" descr="JAPAN3"/>
        <xdr:cNvSpPr>
          <a:spLocks noChangeAspect="1" noChangeArrowheads="1"/>
        </xdr:cNvSpPr>
      </xdr:nvSpPr>
      <xdr:spPr bwMode="auto">
        <a:xfrm>
          <a:off x="0" y="93985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454</xdr:row>
      <xdr:rowOff>0</xdr:rowOff>
    </xdr:from>
    <xdr:to>
      <xdr:col>22</xdr:col>
      <xdr:colOff>304800</xdr:colOff>
      <xdr:row>455</xdr:row>
      <xdr:rowOff>129540</xdr:rowOff>
    </xdr:to>
    <xdr:sp macro="" textlink="">
      <xdr:nvSpPr>
        <xdr:cNvPr id="8372" name="AutoShape 628" descr="https://www.soccerstats.com/img/own/sshplogo.png">
          <a:hlinkClick xmlns:r="http://schemas.openxmlformats.org/officeDocument/2006/relationships" r:id="rId318"/>
        </xdr:cNvPr>
        <xdr:cNvSpPr>
          <a:spLocks noChangeAspect="1" noChangeArrowheads="1"/>
        </xdr:cNvSpPr>
      </xdr:nvSpPr>
      <xdr:spPr bwMode="auto">
        <a:xfrm>
          <a:off x="13411200" y="93985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152400</xdr:colOff>
      <xdr:row>455</xdr:row>
      <xdr:rowOff>106680</xdr:rowOff>
    </xdr:to>
    <xdr:sp macro="" textlink="">
      <xdr:nvSpPr>
        <xdr:cNvPr id="8373" name="AutoShape 629" descr="JAPAN3"/>
        <xdr:cNvSpPr>
          <a:spLocks noChangeAspect="1" noChangeArrowheads="1"/>
        </xdr:cNvSpPr>
      </xdr:nvSpPr>
      <xdr:spPr bwMode="auto">
        <a:xfrm>
          <a:off x="0" y="94160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455</xdr:row>
      <xdr:rowOff>0</xdr:rowOff>
    </xdr:from>
    <xdr:to>
      <xdr:col>22</xdr:col>
      <xdr:colOff>304800</xdr:colOff>
      <xdr:row>456</xdr:row>
      <xdr:rowOff>53340</xdr:rowOff>
    </xdr:to>
    <xdr:sp macro="" textlink="">
      <xdr:nvSpPr>
        <xdr:cNvPr id="8374" name="AutoShape 630" descr="https://www.soccerstats.com/img/own/sshplogo.png">
          <a:hlinkClick xmlns:r="http://schemas.openxmlformats.org/officeDocument/2006/relationships" r:id="rId319"/>
        </xdr:cNvPr>
        <xdr:cNvSpPr>
          <a:spLocks noChangeAspect="1" noChangeArrowheads="1"/>
        </xdr:cNvSpPr>
      </xdr:nvSpPr>
      <xdr:spPr bwMode="auto">
        <a:xfrm>
          <a:off x="13411200" y="94160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152400</xdr:colOff>
      <xdr:row>456</xdr:row>
      <xdr:rowOff>106680</xdr:rowOff>
    </xdr:to>
    <xdr:sp macro="" textlink="">
      <xdr:nvSpPr>
        <xdr:cNvPr id="8375" name="AutoShape 631" descr="JAPAN3"/>
        <xdr:cNvSpPr>
          <a:spLocks noChangeAspect="1" noChangeArrowheads="1"/>
        </xdr:cNvSpPr>
      </xdr:nvSpPr>
      <xdr:spPr bwMode="auto">
        <a:xfrm>
          <a:off x="0" y="94411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456</xdr:row>
      <xdr:rowOff>0</xdr:rowOff>
    </xdr:from>
    <xdr:to>
      <xdr:col>22</xdr:col>
      <xdr:colOff>304800</xdr:colOff>
      <xdr:row>457</xdr:row>
      <xdr:rowOff>129540</xdr:rowOff>
    </xdr:to>
    <xdr:sp macro="" textlink="">
      <xdr:nvSpPr>
        <xdr:cNvPr id="8376" name="AutoShape 632" descr="https://www.soccerstats.com/img/own/sshplogo.png">
          <a:hlinkClick xmlns:r="http://schemas.openxmlformats.org/officeDocument/2006/relationships" r:id="rId320"/>
        </xdr:cNvPr>
        <xdr:cNvSpPr>
          <a:spLocks noChangeAspect="1" noChangeArrowheads="1"/>
        </xdr:cNvSpPr>
      </xdr:nvSpPr>
      <xdr:spPr bwMode="auto">
        <a:xfrm>
          <a:off x="13411200" y="944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152400</xdr:colOff>
      <xdr:row>457</xdr:row>
      <xdr:rowOff>106680</xdr:rowOff>
    </xdr:to>
    <xdr:sp macro="" textlink="">
      <xdr:nvSpPr>
        <xdr:cNvPr id="8377" name="AutoShape 633" descr="JAPAN3"/>
        <xdr:cNvSpPr>
          <a:spLocks noChangeAspect="1" noChangeArrowheads="1"/>
        </xdr:cNvSpPr>
      </xdr:nvSpPr>
      <xdr:spPr bwMode="auto">
        <a:xfrm>
          <a:off x="0" y="94587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457</xdr:row>
      <xdr:rowOff>0</xdr:rowOff>
    </xdr:from>
    <xdr:to>
      <xdr:col>22</xdr:col>
      <xdr:colOff>304800</xdr:colOff>
      <xdr:row>458</xdr:row>
      <xdr:rowOff>129540</xdr:rowOff>
    </xdr:to>
    <xdr:sp macro="" textlink="">
      <xdr:nvSpPr>
        <xdr:cNvPr id="8378" name="AutoShape 634" descr="https://www.soccerstats.com/img/own/sshplogo.png">
          <a:hlinkClick xmlns:r="http://schemas.openxmlformats.org/officeDocument/2006/relationships" r:id="rId321"/>
        </xdr:cNvPr>
        <xdr:cNvSpPr>
          <a:spLocks noChangeAspect="1" noChangeArrowheads="1"/>
        </xdr:cNvSpPr>
      </xdr:nvSpPr>
      <xdr:spPr bwMode="auto">
        <a:xfrm>
          <a:off x="13411200" y="94587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152400</xdr:colOff>
      <xdr:row>458</xdr:row>
      <xdr:rowOff>106680</xdr:rowOff>
    </xdr:to>
    <xdr:sp macro="" textlink="">
      <xdr:nvSpPr>
        <xdr:cNvPr id="8379" name="AutoShape 635" descr="JAPAN3"/>
        <xdr:cNvSpPr>
          <a:spLocks noChangeAspect="1" noChangeArrowheads="1"/>
        </xdr:cNvSpPr>
      </xdr:nvSpPr>
      <xdr:spPr bwMode="auto">
        <a:xfrm>
          <a:off x="0" y="94762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458</xdr:row>
      <xdr:rowOff>0</xdr:rowOff>
    </xdr:from>
    <xdr:to>
      <xdr:col>22</xdr:col>
      <xdr:colOff>304800</xdr:colOff>
      <xdr:row>459</xdr:row>
      <xdr:rowOff>53340</xdr:rowOff>
    </xdr:to>
    <xdr:sp macro="" textlink="">
      <xdr:nvSpPr>
        <xdr:cNvPr id="8380" name="AutoShape 636" descr="https://www.soccerstats.com/img/own/sshplogo.png">
          <a:hlinkClick xmlns:r="http://schemas.openxmlformats.org/officeDocument/2006/relationships" r:id="rId322"/>
        </xdr:cNvPr>
        <xdr:cNvSpPr>
          <a:spLocks noChangeAspect="1" noChangeArrowheads="1"/>
        </xdr:cNvSpPr>
      </xdr:nvSpPr>
      <xdr:spPr bwMode="auto">
        <a:xfrm>
          <a:off x="13411200" y="94762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152400</xdr:colOff>
      <xdr:row>459</xdr:row>
      <xdr:rowOff>106680</xdr:rowOff>
    </xdr:to>
    <xdr:sp macro="" textlink="">
      <xdr:nvSpPr>
        <xdr:cNvPr id="8381" name="AutoShape 637" descr="KAZAKHSTAN"/>
        <xdr:cNvSpPr>
          <a:spLocks noChangeAspect="1" noChangeArrowheads="1"/>
        </xdr:cNvSpPr>
      </xdr:nvSpPr>
      <xdr:spPr bwMode="auto">
        <a:xfrm>
          <a:off x="0" y="95013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459</xdr:row>
      <xdr:rowOff>0</xdr:rowOff>
    </xdr:from>
    <xdr:to>
      <xdr:col>22</xdr:col>
      <xdr:colOff>304800</xdr:colOff>
      <xdr:row>460</xdr:row>
      <xdr:rowOff>129540</xdr:rowOff>
    </xdr:to>
    <xdr:sp macro="" textlink="">
      <xdr:nvSpPr>
        <xdr:cNvPr id="8382" name="AutoShape 638" descr="https://www.soccerstats.com/img/own/sshplogo.png">
          <a:hlinkClick xmlns:r="http://schemas.openxmlformats.org/officeDocument/2006/relationships" r:id="rId323"/>
        </xdr:cNvPr>
        <xdr:cNvSpPr>
          <a:spLocks noChangeAspect="1" noChangeArrowheads="1"/>
        </xdr:cNvSpPr>
      </xdr:nvSpPr>
      <xdr:spPr bwMode="auto">
        <a:xfrm>
          <a:off x="13411200" y="95013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152400</xdr:colOff>
      <xdr:row>460</xdr:row>
      <xdr:rowOff>106680</xdr:rowOff>
    </xdr:to>
    <xdr:sp macro="" textlink="">
      <xdr:nvSpPr>
        <xdr:cNvPr id="8383" name="AutoShape 639" descr="KAZAKHSTAN"/>
        <xdr:cNvSpPr>
          <a:spLocks noChangeAspect="1" noChangeArrowheads="1"/>
        </xdr:cNvSpPr>
      </xdr:nvSpPr>
      <xdr:spPr bwMode="auto">
        <a:xfrm>
          <a:off x="0" y="95189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460</xdr:row>
      <xdr:rowOff>0</xdr:rowOff>
    </xdr:from>
    <xdr:to>
      <xdr:col>22</xdr:col>
      <xdr:colOff>304800</xdr:colOff>
      <xdr:row>461</xdr:row>
      <xdr:rowOff>129540</xdr:rowOff>
    </xdr:to>
    <xdr:sp macro="" textlink="">
      <xdr:nvSpPr>
        <xdr:cNvPr id="8384" name="AutoShape 640" descr="https://www.soccerstats.com/img/own/sshplogo.png">
          <a:hlinkClick xmlns:r="http://schemas.openxmlformats.org/officeDocument/2006/relationships" r:id="rId324"/>
        </xdr:cNvPr>
        <xdr:cNvSpPr>
          <a:spLocks noChangeAspect="1" noChangeArrowheads="1"/>
        </xdr:cNvSpPr>
      </xdr:nvSpPr>
      <xdr:spPr bwMode="auto">
        <a:xfrm>
          <a:off x="13411200" y="95189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152400</xdr:colOff>
      <xdr:row>461</xdr:row>
      <xdr:rowOff>106680</xdr:rowOff>
    </xdr:to>
    <xdr:sp macro="" textlink="">
      <xdr:nvSpPr>
        <xdr:cNvPr id="8385" name="AutoShape 641" descr="KAZAKHSTAN"/>
        <xdr:cNvSpPr>
          <a:spLocks noChangeAspect="1" noChangeArrowheads="1"/>
        </xdr:cNvSpPr>
      </xdr:nvSpPr>
      <xdr:spPr bwMode="auto">
        <a:xfrm>
          <a:off x="0" y="95364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461</xdr:row>
      <xdr:rowOff>0</xdr:rowOff>
    </xdr:from>
    <xdr:to>
      <xdr:col>22</xdr:col>
      <xdr:colOff>304800</xdr:colOff>
      <xdr:row>462</xdr:row>
      <xdr:rowOff>129540</xdr:rowOff>
    </xdr:to>
    <xdr:sp macro="" textlink="">
      <xdr:nvSpPr>
        <xdr:cNvPr id="8386" name="AutoShape 642" descr="https://www.soccerstats.com/img/own/sshplogo.png">
          <a:hlinkClick xmlns:r="http://schemas.openxmlformats.org/officeDocument/2006/relationships" r:id="rId325"/>
        </xdr:cNvPr>
        <xdr:cNvSpPr>
          <a:spLocks noChangeAspect="1" noChangeArrowheads="1"/>
        </xdr:cNvSpPr>
      </xdr:nvSpPr>
      <xdr:spPr bwMode="auto">
        <a:xfrm>
          <a:off x="13411200" y="9536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152400</xdr:colOff>
      <xdr:row>462</xdr:row>
      <xdr:rowOff>106680</xdr:rowOff>
    </xdr:to>
    <xdr:sp macro="" textlink="">
      <xdr:nvSpPr>
        <xdr:cNvPr id="8387" name="AutoShape 643" descr="KAZAKHSTAN"/>
        <xdr:cNvSpPr>
          <a:spLocks noChangeAspect="1" noChangeArrowheads="1"/>
        </xdr:cNvSpPr>
      </xdr:nvSpPr>
      <xdr:spPr bwMode="auto">
        <a:xfrm>
          <a:off x="0" y="95539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462</xdr:row>
      <xdr:rowOff>0</xdr:rowOff>
    </xdr:from>
    <xdr:to>
      <xdr:col>22</xdr:col>
      <xdr:colOff>304800</xdr:colOff>
      <xdr:row>463</xdr:row>
      <xdr:rowOff>129540</xdr:rowOff>
    </xdr:to>
    <xdr:sp macro="" textlink="">
      <xdr:nvSpPr>
        <xdr:cNvPr id="8388" name="AutoShape 644" descr="https://www.soccerstats.com/img/own/sshplogo.png">
          <a:hlinkClick xmlns:r="http://schemas.openxmlformats.org/officeDocument/2006/relationships" r:id="rId326"/>
        </xdr:cNvPr>
        <xdr:cNvSpPr>
          <a:spLocks noChangeAspect="1" noChangeArrowheads="1"/>
        </xdr:cNvSpPr>
      </xdr:nvSpPr>
      <xdr:spPr bwMode="auto">
        <a:xfrm>
          <a:off x="13411200" y="95539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152400</xdr:colOff>
      <xdr:row>463</xdr:row>
      <xdr:rowOff>106680</xdr:rowOff>
    </xdr:to>
    <xdr:sp macro="" textlink="">
      <xdr:nvSpPr>
        <xdr:cNvPr id="8389" name="AutoShape 645" descr="MEXICO"/>
        <xdr:cNvSpPr>
          <a:spLocks noChangeAspect="1" noChangeArrowheads="1"/>
        </xdr:cNvSpPr>
      </xdr:nvSpPr>
      <xdr:spPr bwMode="auto">
        <a:xfrm>
          <a:off x="0" y="95714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463</xdr:row>
      <xdr:rowOff>0</xdr:rowOff>
    </xdr:from>
    <xdr:to>
      <xdr:col>22</xdr:col>
      <xdr:colOff>304800</xdr:colOff>
      <xdr:row>464</xdr:row>
      <xdr:rowOff>129540</xdr:rowOff>
    </xdr:to>
    <xdr:sp macro="" textlink="">
      <xdr:nvSpPr>
        <xdr:cNvPr id="8390" name="AutoShape 646" descr="https://www.soccerstats.com/img/own/sshplogo.png">
          <a:hlinkClick xmlns:r="http://schemas.openxmlformats.org/officeDocument/2006/relationships" r:id="rId327"/>
        </xdr:cNvPr>
        <xdr:cNvSpPr>
          <a:spLocks noChangeAspect="1" noChangeArrowheads="1"/>
        </xdr:cNvSpPr>
      </xdr:nvSpPr>
      <xdr:spPr bwMode="auto">
        <a:xfrm>
          <a:off x="13411200" y="95714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152400</xdr:colOff>
      <xdr:row>464</xdr:row>
      <xdr:rowOff>106680</xdr:rowOff>
    </xdr:to>
    <xdr:sp macro="" textlink="">
      <xdr:nvSpPr>
        <xdr:cNvPr id="8391" name="AutoShape 647" descr="MOLDOVA"/>
        <xdr:cNvSpPr>
          <a:spLocks noChangeAspect="1" noChangeArrowheads="1"/>
        </xdr:cNvSpPr>
      </xdr:nvSpPr>
      <xdr:spPr bwMode="auto">
        <a:xfrm>
          <a:off x="0" y="95890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464</xdr:row>
      <xdr:rowOff>0</xdr:rowOff>
    </xdr:from>
    <xdr:to>
      <xdr:col>22</xdr:col>
      <xdr:colOff>304800</xdr:colOff>
      <xdr:row>465</xdr:row>
      <xdr:rowOff>53340</xdr:rowOff>
    </xdr:to>
    <xdr:sp macro="" textlink="">
      <xdr:nvSpPr>
        <xdr:cNvPr id="8392" name="AutoShape 648" descr="https://www.soccerstats.com/img/own/sshplogo.png">
          <a:hlinkClick xmlns:r="http://schemas.openxmlformats.org/officeDocument/2006/relationships" r:id="rId328"/>
        </xdr:cNvPr>
        <xdr:cNvSpPr>
          <a:spLocks noChangeAspect="1" noChangeArrowheads="1"/>
        </xdr:cNvSpPr>
      </xdr:nvSpPr>
      <xdr:spPr bwMode="auto">
        <a:xfrm>
          <a:off x="13411200" y="95890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152400</xdr:colOff>
      <xdr:row>465</xdr:row>
      <xdr:rowOff>106680</xdr:rowOff>
    </xdr:to>
    <xdr:sp macro="" textlink="">
      <xdr:nvSpPr>
        <xdr:cNvPr id="8393" name="AutoShape 649" descr="MOLDOVA"/>
        <xdr:cNvSpPr>
          <a:spLocks noChangeAspect="1" noChangeArrowheads="1"/>
        </xdr:cNvSpPr>
      </xdr:nvSpPr>
      <xdr:spPr bwMode="auto">
        <a:xfrm>
          <a:off x="0" y="96141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465</xdr:row>
      <xdr:rowOff>0</xdr:rowOff>
    </xdr:from>
    <xdr:to>
      <xdr:col>22</xdr:col>
      <xdr:colOff>304800</xdr:colOff>
      <xdr:row>466</xdr:row>
      <xdr:rowOff>53340</xdr:rowOff>
    </xdr:to>
    <xdr:sp macro="" textlink="">
      <xdr:nvSpPr>
        <xdr:cNvPr id="8394" name="AutoShape 650" descr="https://www.soccerstats.com/img/own/sshplogo.png">
          <a:hlinkClick xmlns:r="http://schemas.openxmlformats.org/officeDocument/2006/relationships" r:id="rId329"/>
        </xdr:cNvPr>
        <xdr:cNvSpPr>
          <a:spLocks noChangeAspect="1" noChangeArrowheads="1"/>
        </xdr:cNvSpPr>
      </xdr:nvSpPr>
      <xdr:spPr bwMode="auto">
        <a:xfrm>
          <a:off x="13411200" y="96141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152400</xdr:colOff>
      <xdr:row>466</xdr:row>
      <xdr:rowOff>106680</xdr:rowOff>
    </xdr:to>
    <xdr:sp macro="" textlink="">
      <xdr:nvSpPr>
        <xdr:cNvPr id="8395" name="AutoShape 651" descr="MONTENEGRO"/>
        <xdr:cNvSpPr>
          <a:spLocks noChangeAspect="1" noChangeArrowheads="1"/>
        </xdr:cNvSpPr>
      </xdr:nvSpPr>
      <xdr:spPr bwMode="auto">
        <a:xfrm>
          <a:off x="0" y="96393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466</xdr:row>
      <xdr:rowOff>0</xdr:rowOff>
    </xdr:from>
    <xdr:to>
      <xdr:col>22</xdr:col>
      <xdr:colOff>304800</xdr:colOff>
      <xdr:row>467</xdr:row>
      <xdr:rowOff>129540</xdr:rowOff>
    </xdr:to>
    <xdr:sp macro="" textlink="">
      <xdr:nvSpPr>
        <xdr:cNvPr id="8396" name="AutoShape 652" descr="https://www.soccerstats.com/img/own/sshplogo.png">
          <a:hlinkClick xmlns:r="http://schemas.openxmlformats.org/officeDocument/2006/relationships" r:id="rId330"/>
        </xdr:cNvPr>
        <xdr:cNvSpPr>
          <a:spLocks noChangeAspect="1" noChangeArrowheads="1"/>
        </xdr:cNvSpPr>
      </xdr:nvSpPr>
      <xdr:spPr bwMode="auto">
        <a:xfrm>
          <a:off x="13411200" y="9639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152400</xdr:colOff>
      <xdr:row>467</xdr:row>
      <xdr:rowOff>106680</xdr:rowOff>
    </xdr:to>
    <xdr:sp macro="" textlink="">
      <xdr:nvSpPr>
        <xdr:cNvPr id="8397" name="AutoShape 653" descr="NETHERLANDS3"/>
        <xdr:cNvSpPr>
          <a:spLocks noChangeAspect="1" noChangeArrowheads="1"/>
        </xdr:cNvSpPr>
      </xdr:nvSpPr>
      <xdr:spPr bwMode="auto">
        <a:xfrm>
          <a:off x="0" y="96568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467</xdr:row>
      <xdr:rowOff>0</xdr:rowOff>
    </xdr:from>
    <xdr:to>
      <xdr:col>22</xdr:col>
      <xdr:colOff>304800</xdr:colOff>
      <xdr:row>468</xdr:row>
      <xdr:rowOff>53340</xdr:rowOff>
    </xdr:to>
    <xdr:sp macro="" textlink="">
      <xdr:nvSpPr>
        <xdr:cNvPr id="8398" name="AutoShape 654" descr="https://www.soccerstats.com/img/own/sshplogo.png">
          <a:hlinkClick xmlns:r="http://schemas.openxmlformats.org/officeDocument/2006/relationships" r:id="rId331"/>
        </xdr:cNvPr>
        <xdr:cNvSpPr>
          <a:spLocks noChangeAspect="1" noChangeArrowheads="1"/>
        </xdr:cNvSpPr>
      </xdr:nvSpPr>
      <xdr:spPr bwMode="auto">
        <a:xfrm>
          <a:off x="13411200" y="96568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152400</xdr:colOff>
      <xdr:row>468</xdr:row>
      <xdr:rowOff>106680</xdr:rowOff>
    </xdr:to>
    <xdr:sp macro="" textlink="">
      <xdr:nvSpPr>
        <xdr:cNvPr id="8399" name="AutoShape 655" descr="NETHERLANDS3"/>
        <xdr:cNvSpPr>
          <a:spLocks noChangeAspect="1" noChangeArrowheads="1"/>
        </xdr:cNvSpPr>
      </xdr:nvSpPr>
      <xdr:spPr bwMode="auto">
        <a:xfrm>
          <a:off x="0" y="96819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468</xdr:row>
      <xdr:rowOff>0</xdr:rowOff>
    </xdr:from>
    <xdr:to>
      <xdr:col>22</xdr:col>
      <xdr:colOff>304800</xdr:colOff>
      <xdr:row>469</xdr:row>
      <xdr:rowOff>53340</xdr:rowOff>
    </xdr:to>
    <xdr:sp macro="" textlink="">
      <xdr:nvSpPr>
        <xdr:cNvPr id="8400" name="AutoShape 656" descr="https://www.soccerstats.com/img/own/sshplogo.png">
          <a:hlinkClick xmlns:r="http://schemas.openxmlformats.org/officeDocument/2006/relationships" r:id="rId332"/>
        </xdr:cNvPr>
        <xdr:cNvSpPr>
          <a:spLocks noChangeAspect="1" noChangeArrowheads="1"/>
        </xdr:cNvSpPr>
      </xdr:nvSpPr>
      <xdr:spPr bwMode="auto">
        <a:xfrm>
          <a:off x="13411200" y="96819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152400</xdr:colOff>
      <xdr:row>469</xdr:row>
      <xdr:rowOff>106680</xdr:rowOff>
    </xdr:to>
    <xdr:sp macro="" textlink="">
      <xdr:nvSpPr>
        <xdr:cNvPr id="8401" name="AutoShape 657" descr="NETHERLANDS3"/>
        <xdr:cNvSpPr>
          <a:spLocks noChangeAspect="1" noChangeArrowheads="1"/>
        </xdr:cNvSpPr>
      </xdr:nvSpPr>
      <xdr:spPr bwMode="auto">
        <a:xfrm>
          <a:off x="0" y="97071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469</xdr:row>
      <xdr:rowOff>0</xdr:rowOff>
    </xdr:from>
    <xdr:to>
      <xdr:col>22</xdr:col>
      <xdr:colOff>304800</xdr:colOff>
      <xdr:row>470</xdr:row>
      <xdr:rowOff>129540</xdr:rowOff>
    </xdr:to>
    <xdr:sp macro="" textlink="">
      <xdr:nvSpPr>
        <xdr:cNvPr id="8402" name="AutoShape 658" descr="https://www.soccerstats.com/img/own/sshplogo.png">
          <a:hlinkClick xmlns:r="http://schemas.openxmlformats.org/officeDocument/2006/relationships" r:id="rId333"/>
        </xdr:cNvPr>
        <xdr:cNvSpPr>
          <a:spLocks noChangeAspect="1" noChangeArrowheads="1"/>
        </xdr:cNvSpPr>
      </xdr:nvSpPr>
      <xdr:spPr bwMode="auto">
        <a:xfrm>
          <a:off x="13411200" y="97071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152400</xdr:colOff>
      <xdr:row>470</xdr:row>
      <xdr:rowOff>106680</xdr:rowOff>
    </xdr:to>
    <xdr:sp macro="" textlink="">
      <xdr:nvSpPr>
        <xdr:cNvPr id="8403" name="AutoShape 659" descr="NETHERLANDS3"/>
        <xdr:cNvSpPr>
          <a:spLocks noChangeAspect="1" noChangeArrowheads="1"/>
        </xdr:cNvSpPr>
      </xdr:nvSpPr>
      <xdr:spPr bwMode="auto">
        <a:xfrm>
          <a:off x="0" y="97246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470</xdr:row>
      <xdr:rowOff>0</xdr:rowOff>
    </xdr:from>
    <xdr:to>
      <xdr:col>22</xdr:col>
      <xdr:colOff>304800</xdr:colOff>
      <xdr:row>471</xdr:row>
      <xdr:rowOff>53340</xdr:rowOff>
    </xdr:to>
    <xdr:sp macro="" textlink="">
      <xdr:nvSpPr>
        <xdr:cNvPr id="8404" name="AutoShape 660" descr="https://www.soccerstats.com/img/own/sshplogo.png">
          <a:hlinkClick xmlns:r="http://schemas.openxmlformats.org/officeDocument/2006/relationships" r:id="rId334"/>
        </xdr:cNvPr>
        <xdr:cNvSpPr>
          <a:spLocks noChangeAspect="1" noChangeArrowheads="1"/>
        </xdr:cNvSpPr>
      </xdr:nvSpPr>
      <xdr:spPr bwMode="auto">
        <a:xfrm>
          <a:off x="13411200" y="97246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152400</xdr:colOff>
      <xdr:row>471</xdr:row>
      <xdr:rowOff>106680</xdr:rowOff>
    </xdr:to>
    <xdr:sp macro="" textlink="">
      <xdr:nvSpPr>
        <xdr:cNvPr id="8405" name="AutoShape 661" descr="NETHERLANDS3"/>
        <xdr:cNvSpPr>
          <a:spLocks noChangeAspect="1" noChangeArrowheads="1"/>
        </xdr:cNvSpPr>
      </xdr:nvSpPr>
      <xdr:spPr bwMode="auto">
        <a:xfrm>
          <a:off x="0" y="97497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471</xdr:row>
      <xdr:rowOff>0</xdr:rowOff>
    </xdr:from>
    <xdr:to>
      <xdr:col>22</xdr:col>
      <xdr:colOff>304800</xdr:colOff>
      <xdr:row>472</xdr:row>
      <xdr:rowOff>53340</xdr:rowOff>
    </xdr:to>
    <xdr:sp macro="" textlink="">
      <xdr:nvSpPr>
        <xdr:cNvPr id="8406" name="AutoShape 662" descr="https://www.soccerstats.com/img/own/sshplogo.png">
          <a:hlinkClick xmlns:r="http://schemas.openxmlformats.org/officeDocument/2006/relationships" r:id="rId335"/>
        </xdr:cNvPr>
        <xdr:cNvSpPr>
          <a:spLocks noChangeAspect="1" noChangeArrowheads="1"/>
        </xdr:cNvSpPr>
      </xdr:nvSpPr>
      <xdr:spPr bwMode="auto">
        <a:xfrm>
          <a:off x="13411200" y="97497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152400</xdr:colOff>
      <xdr:row>472</xdr:row>
      <xdr:rowOff>106680</xdr:rowOff>
    </xdr:to>
    <xdr:sp macro="" textlink="">
      <xdr:nvSpPr>
        <xdr:cNvPr id="8407" name="AutoShape 663" descr="NETHERLANDS3"/>
        <xdr:cNvSpPr>
          <a:spLocks noChangeAspect="1" noChangeArrowheads="1"/>
        </xdr:cNvSpPr>
      </xdr:nvSpPr>
      <xdr:spPr bwMode="auto">
        <a:xfrm>
          <a:off x="0" y="97749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472</xdr:row>
      <xdr:rowOff>0</xdr:rowOff>
    </xdr:from>
    <xdr:to>
      <xdr:col>22</xdr:col>
      <xdr:colOff>304800</xdr:colOff>
      <xdr:row>473</xdr:row>
      <xdr:rowOff>129540</xdr:rowOff>
    </xdr:to>
    <xdr:sp macro="" textlink="">
      <xdr:nvSpPr>
        <xdr:cNvPr id="8408" name="AutoShape 664" descr="https://www.soccerstats.com/img/own/sshplogo.png">
          <a:hlinkClick xmlns:r="http://schemas.openxmlformats.org/officeDocument/2006/relationships" r:id="rId336"/>
        </xdr:cNvPr>
        <xdr:cNvSpPr>
          <a:spLocks noChangeAspect="1" noChangeArrowheads="1"/>
        </xdr:cNvSpPr>
      </xdr:nvSpPr>
      <xdr:spPr bwMode="auto">
        <a:xfrm>
          <a:off x="13411200" y="97749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152400</xdr:colOff>
      <xdr:row>473</xdr:row>
      <xdr:rowOff>106680</xdr:rowOff>
    </xdr:to>
    <xdr:sp macro="" textlink="">
      <xdr:nvSpPr>
        <xdr:cNvPr id="8409" name="AutoShape 665" descr="NETHERLANDS3"/>
        <xdr:cNvSpPr>
          <a:spLocks noChangeAspect="1" noChangeArrowheads="1"/>
        </xdr:cNvSpPr>
      </xdr:nvSpPr>
      <xdr:spPr bwMode="auto">
        <a:xfrm>
          <a:off x="0" y="97924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473</xdr:row>
      <xdr:rowOff>0</xdr:rowOff>
    </xdr:from>
    <xdr:to>
      <xdr:col>22</xdr:col>
      <xdr:colOff>304800</xdr:colOff>
      <xdr:row>474</xdr:row>
      <xdr:rowOff>129540</xdr:rowOff>
    </xdr:to>
    <xdr:sp macro="" textlink="">
      <xdr:nvSpPr>
        <xdr:cNvPr id="8410" name="AutoShape 666" descr="https://www.soccerstats.com/img/own/sshplogo.png">
          <a:hlinkClick xmlns:r="http://schemas.openxmlformats.org/officeDocument/2006/relationships" r:id="rId337"/>
        </xdr:cNvPr>
        <xdr:cNvSpPr>
          <a:spLocks noChangeAspect="1" noChangeArrowheads="1"/>
        </xdr:cNvSpPr>
      </xdr:nvSpPr>
      <xdr:spPr bwMode="auto">
        <a:xfrm>
          <a:off x="13411200" y="97924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152400</xdr:colOff>
      <xdr:row>474</xdr:row>
      <xdr:rowOff>106680</xdr:rowOff>
    </xdr:to>
    <xdr:sp macro="" textlink="">
      <xdr:nvSpPr>
        <xdr:cNvPr id="8411" name="AutoShape 667" descr="NETHERLANDS3"/>
        <xdr:cNvSpPr>
          <a:spLocks noChangeAspect="1" noChangeArrowheads="1"/>
        </xdr:cNvSpPr>
      </xdr:nvSpPr>
      <xdr:spPr bwMode="auto">
        <a:xfrm>
          <a:off x="0" y="98099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474</xdr:row>
      <xdr:rowOff>0</xdr:rowOff>
    </xdr:from>
    <xdr:to>
      <xdr:col>22</xdr:col>
      <xdr:colOff>304800</xdr:colOff>
      <xdr:row>475</xdr:row>
      <xdr:rowOff>53340</xdr:rowOff>
    </xdr:to>
    <xdr:sp macro="" textlink="">
      <xdr:nvSpPr>
        <xdr:cNvPr id="8412" name="AutoShape 668" descr="https://www.soccerstats.com/img/own/sshplogo.png">
          <a:hlinkClick xmlns:r="http://schemas.openxmlformats.org/officeDocument/2006/relationships" r:id="rId338"/>
        </xdr:cNvPr>
        <xdr:cNvSpPr>
          <a:spLocks noChangeAspect="1" noChangeArrowheads="1"/>
        </xdr:cNvSpPr>
      </xdr:nvSpPr>
      <xdr:spPr bwMode="auto">
        <a:xfrm>
          <a:off x="13411200" y="98099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152400</xdr:colOff>
      <xdr:row>475</xdr:row>
      <xdr:rowOff>106680</xdr:rowOff>
    </xdr:to>
    <xdr:sp macro="" textlink="">
      <xdr:nvSpPr>
        <xdr:cNvPr id="8413" name="AutoShape 669" descr="NETHERLANDS3"/>
        <xdr:cNvSpPr>
          <a:spLocks noChangeAspect="1" noChangeArrowheads="1"/>
        </xdr:cNvSpPr>
      </xdr:nvSpPr>
      <xdr:spPr bwMode="auto">
        <a:xfrm>
          <a:off x="0" y="98351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475</xdr:row>
      <xdr:rowOff>0</xdr:rowOff>
    </xdr:from>
    <xdr:to>
      <xdr:col>22</xdr:col>
      <xdr:colOff>304800</xdr:colOff>
      <xdr:row>476</xdr:row>
      <xdr:rowOff>129540</xdr:rowOff>
    </xdr:to>
    <xdr:sp macro="" textlink="">
      <xdr:nvSpPr>
        <xdr:cNvPr id="8414" name="AutoShape 670" descr="https://www.soccerstats.com/img/own/sshplogo.png">
          <a:hlinkClick xmlns:r="http://schemas.openxmlformats.org/officeDocument/2006/relationships" r:id="rId339"/>
        </xdr:cNvPr>
        <xdr:cNvSpPr>
          <a:spLocks noChangeAspect="1" noChangeArrowheads="1"/>
        </xdr:cNvSpPr>
      </xdr:nvSpPr>
      <xdr:spPr bwMode="auto">
        <a:xfrm>
          <a:off x="13411200" y="98351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152400</xdr:colOff>
      <xdr:row>476</xdr:row>
      <xdr:rowOff>106680</xdr:rowOff>
    </xdr:to>
    <xdr:sp macro="" textlink="">
      <xdr:nvSpPr>
        <xdr:cNvPr id="8415" name="AutoShape 671" descr="NORTHERNIRELAND"/>
        <xdr:cNvSpPr>
          <a:spLocks noChangeAspect="1" noChangeArrowheads="1"/>
        </xdr:cNvSpPr>
      </xdr:nvSpPr>
      <xdr:spPr bwMode="auto">
        <a:xfrm>
          <a:off x="0" y="98526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476</xdr:row>
      <xdr:rowOff>0</xdr:rowOff>
    </xdr:from>
    <xdr:to>
      <xdr:col>22</xdr:col>
      <xdr:colOff>304800</xdr:colOff>
      <xdr:row>477</xdr:row>
      <xdr:rowOff>129540</xdr:rowOff>
    </xdr:to>
    <xdr:sp macro="" textlink="">
      <xdr:nvSpPr>
        <xdr:cNvPr id="8416" name="AutoShape 672" descr="https://www.soccerstats.com/img/own/sshplogo.png">
          <a:hlinkClick xmlns:r="http://schemas.openxmlformats.org/officeDocument/2006/relationships" r:id="rId340"/>
        </xdr:cNvPr>
        <xdr:cNvSpPr>
          <a:spLocks noChangeAspect="1" noChangeArrowheads="1"/>
        </xdr:cNvSpPr>
      </xdr:nvSpPr>
      <xdr:spPr bwMode="auto">
        <a:xfrm>
          <a:off x="13411200" y="98526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152400</xdr:colOff>
      <xdr:row>477</xdr:row>
      <xdr:rowOff>106680</xdr:rowOff>
    </xdr:to>
    <xdr:sp macro="" textlink="">
      <xdr:nvSpPr>
        <xdr:cNvPr id="8417" name="AutoShape 673" descr="NORTHERNIRELAND"/>
        <xdr:cNvSpPr>
          <a:spLocks noChangeAspect="1" noChangeArrowheads="1"/>
        </xdr:cNvSpPr>
      </xdr:nvSpPr>
      <xdr:spPr bwMode="auto">
        <a:xfrm>
          <a:off x="0" y="98701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477</xdr:row>
      <xdr:rowOff>0</xdr:rowOff>
    </xdr:from>
    <xdr:to>
      <xdr:col>22</xdr:col>
      <xdr:colOff>304800</xdr:colOff>
      <xdr:row>478</xdr:row>
      <xdr:rowOff>129540</xdr:rowOff>
    </xdr:to>
    <xdr:sp macro="" textlink="">
      <xdr:nvSpPr>
        <xdr:cNvPr id="8418" name="AutoShape 674" descr="https://www.soccerstats.com/img/own/sshplogo.png">
          <a:hlinkClick xmlns:r="http://schemas.openxmlformats.org/officeDocument/2006/relationships" r:id="rId341"/>
        </xdr:cNvPr>
        <xdr:cNvSpPr>
          <a:spLocks noChangeAspect="1" noChangeArrowheads="1"/>
        </xdr:cNvSpPr>
      </xdr:nvSpPr>
      <xdr:spPr bwMode="auto">
        <a:xfrm>
          <a:off x="13411200" y="98701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152400</xdr:colOff>
      <xdr:row>478</xdr:row>
      <xdr:rowOff>106680</xdr:rowOff>
    </xdr:to>
    <xdr:sp macro="" textlink="">
      <xdr:nvSpPr>
        <xdr:cNvPr id="8419" name="AutoShape 675" descr="NORTHERNIRELAND"/>
        <xdr:cNvSpPr>
          <a:spLocks noChangeAspect="1" noChangeArrowheads="1"/>
        </xdr:cNvSpPr>
      </xdr:nvSpPr>
      <xdr:spPr bwMode="auto">
        <a:xfrm>
          <a:off x="0" y="98877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478</xdr:row>
      <xdr:rowOff>0</xdr:rowOff>
    </xdr:from>
    <xdr:to>
      <xdr:col>22</xdr:col>
      <xdr:colOff>304800</xdr:colOff>
      <xdr:row>479</xdr:row>
      <xdr:rowOff>53340</xdr:rowOff>
    </xdr:to>
    <xdr:sp macro="" textlink="">
      <xdr:nvSpPr>
        <xdr:cNvPr id="8420" name="AutoShape 676" descr="https://www.soccerstats.com/img/own/sshplogo.png">
          <a:hlinkClick xmlns:r="http://schemas.openxmlformats.org/officeDocument/2006/relationships" r:id="rId342"/>
        </xdr:cNvPr>
        <xdr:cNvSpPr>
          <a:spLocks noChangeAspect="1" noChangeArrowheads="1"/>
        </xdr:cNvSpPr>
      </xdr:nvSpPr>
      <xdr:spPr bwMode="auto">
        <a:xfrm>
          <a:off x="13411200" y="98877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152400</xdr:colOff>
      <xdr:row>479</xdr:row>
      <xdr:rowOff>106680</xdr:rowOff>
    </xdr:to>
    <xdr:sp macro="" textlink="">
      <xdr:nvSpPr>
        <xdr:cNvPr id="8421" name="AutoShape 677" descr="NORTHERNIRELAND"/>
        <xdr:cNvSpPr>
          <a:spLocks noChangeAspect="1" noChangeArrowheads="1"/>
        </xdr:cNvSpPr>
      </xdr:nvSpPr>
      <xdr:spPr bwMode="auto">
        <a:xfrm>
          <a:off x="0" y="99128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479</xdr:row>
      <xdr:rowOff>0</xdr:rowOff>
    </xdr:from>
    <xdr:to>
      <xdr:col>22</xdr:col>
      <xdr:colOff>304800</xdr:colOff>
      <xdr:row>480</xdr:row>
      <xdr:rowOff>53340</xdr:rowOff>
    </xdr:to>
    <xdr:sp macro="" textlink="">
      <xdr:nvSpPr>
        <xdr:cNvPr id="8422" name="AutoShape 678" descr="https://www.soccerstats.com/img/own/sshplogo.png">
          <a:hlinkClick xmlns:r="http://schemas.openxmlformats.org/officeDocument/2006/relationships" r:id="rId343"/>
        </xdr:cNvPr>
        <xdr:cNvSpPr>
          <a:spLocks noChangeAspect="1" noChangeArrowheads="1"/>
        </xdr:cNvSpPr>
      </xdr:nvSpPr>
      <xdr:spPr bwMode="auto">
        <a:xfrm>
          <a:off x="13411200" y="99128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152400</xdr:colOff>
      <xdr:row>480</xdr:row>
      <xdr:rowOff>106680</xdr:rowOff>
    </xdr:to>
    <xdr:sp macro="" textlink="">
      <xdr:nvSpPr>
        <xdr:cNvPr id="8423" name="AutoShape 679" descr="NORTHERNIRELAND"/>
        <xdr:cNvSpPr>
          <a:spLocks noChangeAspect="1" noChangeArrowheads="1"/>
        </xdr:cNvSpPr>
      </xdr:nvSpPr>
      <xdr:spPr bwMode="auto">
        <a:xfrm>
          <a:off x="0" y="99380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480</xdr:row>
      <xdr:rowOff>0</xdr:rowOff>
    </xdr:from>
    <xdr:to>
      <xdr:col>22</xdr:col>
      <xdr:colOff>304800</xdr:colOff>
      <xdr:row>481</xdr:row>
      <xdr:rowOff>129540</xdr:rowOff>
    </xdr:to>
    <xdr:sp macro="" textlink="">
      <xdr:nvSpPr>
        <xdr:cNvPr id="8424" name="AutoShape 680" descr="https://www.soccerstats.com/img/own/sshplogo.png">
          <a:hlinkClick xmlns:r="http://schemas.openxmlformats.org/officeDocument/2006/relationships" r:id="rId344"/>
        </xdr:cNvPr>
        <xdr:cNvSpPr>
          <a:spLocks noChangeAspect="1" noChangeArrowheads="1"/>
        </xdr:cNvSpPr>
      </xdr:nvSpPr>
      <xdr:spPr bwMode="auto">
        <a:xfrm>
          <a:off x="13411200" y="99380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152400</xdr:colOff>
      <xdr:row>481</xdr:row>
      <xdr:rowOff>106680</xdr:rowOff>
    </xdr:to>
    <xdr:sp macro="" textlink="">
      <xdr:nvSpPr>
        <xdr:cNvPr id="8425" name="AutoShape 681" descr="NORTHERNIRELAND"/>
        <xdr:cNvSpPr>
          <a:spLocks noChangeAspect="1" noChangeArrowheads="1"/>
        </xdr:cNvSpPr>
      </xdr:nvSpPr>
      <xdr:spPr bwMode="auto">
        <a:xfrm>
          <a:off x="0" y="99555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481</xdr:row>
      <xdr:rowOff>0</xdr:rowOff>
    </xdr:from>
    <xdr:to>
      <xdr:col>22</xdr:col>
      <xdr:colOff>304800</xdr:colOff>
      <xdr:row>482</xdr:row>
      <xdr:rowOff>129540</xdr:rowOff>
    </xdr:to>
    <xdr:sp macro="" textlink="">
      <xdr:nvSpPr>
        <xdr:cNvPr id="8426" name="AutoShape 682" descr="https://www.soccerstats.com/img/own/sshplogo.png">
          <a:hlinkClick xmlns:r="http://schemas.openxmlformats.org/officeDocument/2006/relationships" r:id="rId345"/>
        </xdr:cNvPr>
        <xdr:cNvSpPr>
          <a:spLocks noChangeAspect="1" noChangeArrowheads="1"/>
        </xdr:cNvSpPr>
      </xdr:nvSpPr>
      <xdr:spPr bwMode="auto">
        <a:xfrm>
          <a:off x="13411200" y="9955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152400</xdr:colOff>
      <xdr:row>482</xdr:row>
      <xdr:rowOff>106680</xdr:rowOff>
    </xdr:to>
    <xdr:sp macro="" textlink="">
      <xdr:nvSpPr>
        <xdr:cNvPr id="8427" name="AutoShape 683" descr="NORTHMACEDONIA"/>
        <xdr:cNvSpPr>
          <a:spLocks noChangeAspect="1" noChangeArrowheads="1"/>
        </xdr:cNvSpPr>
      </xdr:nvSpPr>
      <xdr:spPr bwMode="auto">
        <a:xfrm>
          <a:off x="0" y="99730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482</xdr:row>
      <xdr:rowOff>0</xdr:rowOff>
    </xdr:from>
    <xdr:to>
      <xdr:col>22</xdr:col>
      <xdr:colOff>304800</xdr:colOff>
      <xdr:row>483</xdr:row>
      <xdr:rowOff>129540</xdr:rowOff>
    </xdr:to>
    <xdr:sp macro="" textlink="">
      <xdr:nvSpPr>
        <xdr:cNvPr id="8428" name="AutoShape 684" descr="https://www.soccerstats.com/img/own/sshplogo.png">
          <a:hlinkClick xmlns:r="http://schemas.openxmlformats.org/officeDocument/2006/relationships" r:id="rId346"/>
        </xdr:cNvPr>
        <xdr:cNvSpPr>
          <a:spLocks noChangeAspect="1" noChangeArrowheads="1"/>
        </xdr:cNvSpPr>
      </xdr:nvSpPr>
      <xdr:spPr bwMode="auto">
        <a:xfrm>
          <a:off x="13411200" y="99730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152400</xdr:colOff>
      <xdr:row>483</xdr:row>
      <xdr:rowOff>106680</xdr:rowOff>
    </xdr:to>
    <xdr:sp macro="" textlink="">
      <xdr:nvSpPr>
        <xdr:cNvPr id="8429" name="AutoShape 685" descr="NORTHMACEDONIA"/>
        <xdr:cNvSpPr>
          <a:spLocks noChangeAspect="1" noChangeArrowheads="1"/>
        </xdr:cNvSpPr>
      </xdr:nvSpPr>
      <xdr:spPr bwMode="auto">
        <a:xfrm>
          <a:off x="0" y="99905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483</xdr:row>
      <xdr:rowOff>0</xdr:rowOff>
    </xdr:from>
    <xdr:to>
      <xdr:col>22</xdr:col>
      <xdr:colOff>304800</xdr:colOff>
      <xdr:row>484</xdr:row>
      <xdr:rowOff>53340</xdr:rowOff>
    </xdr:to>
    <xdr:sp macro="" textlink="">
      <xdr:nvSpPr>
        <xdr:cNvPr id="8430" name="AutoShape 686" descr="https://www.soccerstats.com/img/own/sshplogo.png">
          <a:hlinkClick xmlns:r="http://schemas.openxmlformats.org/officeDocument/2006/relationships" r:id="rId347"/>
        </xdr:cNvPr>
        <xdr:cNvSpPr>
          <a:spLocks noChangeAspect="1" noChangeArrowheads="1"/>
        </xdr:cNvSpPr>
      </xdr:nvSpPr>
      <xdr:spPr bwMode="auto">
        <a:xfrm>
          <a:off x="13411200" y="99905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152400</xdr:colOff>
      <xdr:row>484</xdr:row>
      <xdr:rowOff>106680</xdr:rowOff>
    </xdr:to>
    <xdr:sp macro="" textlink="">
      <xdr:nvSpPr>
        <xdr:cNvPr id="8431" name="AutoShape 687" descr="NORTHMACEDONIA"/>
        <xdr:cNvSpPr>
          <a:spLocks noChangeAspect="1" noChangeArrowheads="1"/>
        </xdr:cNvSpPr>
      </xdr:nvSpPr>
      <xdr:spPr bwMode="auto">
        <a:xfrm>
          <a:off x="0" y="100157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484</xdr:row>
      <xdr:rowOff>0</xdr:rowOff>
    </xdr:from>
    <xdr:to>
      <xdr:col>22</xdr:col>
      <xdr:colOff>304800</xdr:colOff>
      <xdr:row>485</xdr:row>
      <xdr:rowOff>129540</xdr:rowOff>
    </xdr:to>
    <xdr:sp macro="" textlink="">
      <xdr:nvSpPr>
        <xdr:cNvPr id="8432" name="AutoShape 688" descr="https://www.soccerstats.com/img/own/sshplogo.png">
          <a:hlinkClick xmlns:r="http://schemas.openxmlformats.org/officeDocument/2006/relationships" r:id="rId348"/>
        </xdr:cNvPr>
        <xdr:cNvSpPr>
          <a:spLocks noChangeAspect="1" noChangeArrowheads="1"/>
        </xdr:cNvSpPr>
      </xdr:nvSpPr>
      <xdr:spPr bwMode="auto">
        <a:xfrm>
          <a:off x="13411200" y="100157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152400</xdr:colOff>
      <xdr:row>485</xdr:row>
      <xdr:rowOff>106680</xdr:rowOff>
    </xdr:to>
    <xdr:sp macro="" textlink="">
      <xdr:nvSpPr>
        <xdr:cNvPr id="8433" name="AutoShape 689" descr="NORTHMACEDONIA"/>
        <xdr:cNvSpPr>
          <a:spLocks noChangeAspect="1" noChangeArrowheads="1"/>
        </xdr:cNvSpPr>
      </xdr:nvSpPr>
      <xdr:spPr bwMode="auto">
        <a:xfrm>
          <a:off x="0" y="100332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485</xdr:row>
      <xdr:rowOff>0</xdr:rowOff>
    </xdr:from>
    <xdr:to>
      <xdr:col>22</xdr:col>
      <xdr:colOff>304800</xdr:colOff>
      <xdr:row>486</xdr:row>
      <xdr:rowOff>129540</xdr:rowOff>
    </xdr:to>
    <xdr:sp macro="" textlink="">
      <xdr:nvSpPr>
        <xdr:cNvPr id="8434" name="AutoShape 690" descr="https://www.soccerstats.com/img/own/sshplogo.png">
          <a:hlinkClick xmlns:r="http://schemas.openxmlformats.org/officeDocument/2006/relationships" r:id="rId349"/>
        </xdr:cNvPr>
        <xdr:cNvSpPr>
          <a:spLocks noChangeAspect="1" noChangeArrowheads="1"/>
        </xdr:cNvSpPr>
      </xdr:nvSpPr>
      <xdr:spPr bwMode="auto">
        <a:xfrm>
          <a:off x="13411200" y="100332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152400</xdr:colOff>
      <xdr:row>486</xdr:row>
      <xdr:rowOff>106680</xdr:rowOff>
    </xdr:to>
    <xdr:sp macro="" textlink="">
      <xdr:nvSpPr>
        <xdr:cNvPr id="8435" name="AutoShape 691" descr="NORTHMACEDONIA"/>
        <xdr:cNvSpPr>
          <a:spLocks noChangeAspect="1" noChangeArrowheads="1"/>
        </xdr:cNvSpPr>
      </xdr:nvSpPr>
      <xdr:spPr bwMode="auto">
        <a:xfrm>
          <a:off x="0" y="100507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486</xdr:row>
      <xdr:rowOff>0</xdr:rowOff>
    </xdr:from>
    <xdr:to>
      <xdr:col>22</xdr:col>
      <xdr:colOff>304800</xdr:colOff>
      <xdr:row>487</xdr:row>
      <xdr:rowOff>53340</xdr:rowOff>
    </xdr:to>
    <xdr:sp macro="" textlink="">
      <xdr:nvSpPr>
        <xdr:cNvPr id="8436" name="AutoShape 692" descr="https://www.soccerstats.com/img/own/sshplogo.png">
          <a:hlinkClick xmlns:r="http://schemas.openxmlformats.org/officeDocument/2006/relationships" r:id="rId350"/>
        </xdr:cNvPr>
        <xdr:cNvSpPr>
          <a:spLocks noChangeAspect="1" noChangeArrowheads="1"/>
        </xdr:cNvSpPr>
      </xdr:nvSpPr>
      <xdr:spPr bwMode="auto">
        <a:xfrm>
          <a:off x="13411200" y="100507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152400</xdr:colOff>
      <xdr:row>487</xdr:row>
      <xdr:rowOff>106680</xdr:rowOff>
    </xdr:to>
    <xdr:sp macro="" textlink="">
      <xdr:nvSpPr>
        <xdr:cNvPr id="8437" name="AutoShape 693" descr="NORWAY"/>
        <xdr:cNvSpPr>
          <a:spLocks noChangeAspect="1" noChangeArrowheads="1"/>
        </xdr:cNvSpPr>
      </xdr:nvSpPr>
      <xdr:spPr bwMode="auto">
        <a:xfrm>
          <a:off x="0" y="100759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487</xdr:row>
      <xdr:rowOff>0</xdr:rowOff>
    </xdr:from>
    <xdr:to>
      <xdr:col>22</xdr:col>
      <xdr:colOff>304800</xdr:colOff>
      <xdr:row>488</xdr:row>
      <xdr:rowOff>129540</xdr:rowOff>
    </xdr:to>
    <xdr:sp macro="" textlink="">
      <xdr:nvSpPr>
        <xdr:cNvPr id="8438" name="AutoShape 694" descr="https://www.soccerstats.com/img/own/sshplogo.png">
          <a:hlinkClick xmlns:r="http://schemas.openxmlformats.org/officeDocument/2006/relationships" r:id="rId351"/>
        </xdr:cNvPr>
        <xdr:cNvSpPr>
          <a:spLocks noChangeAspect="1" noChangeArrowheads="1"/>
        </xdr:cNvSpPr>
      </xdr:nvSpPr>
      <xdr:spPr bwMode="auto">
        <a:xfrm>
          <a:off x="13411200" y="100759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152400</xdr:colOff>
      <xdr:row>488</xdr:row>
      <xdr:rowOff>106680</xdr:rowOff>
    </xdr:to>
    <xdr:sp macro="" textlink="">
      <xdr:nvSpPr>
        <xdr:cNvPr id="8439" name="AutoShape 695" descr="NORWAY2"/>
        <xdr:cNvSpPr>
          <a:spLocks noChangeAspect="1" noChangeArrowheads="1"/>
        </xdr:cNvSpPr>
      </xdr:nvSpPr>
      <xdr:spPr bwMode="auto">
        <a:xfrm>
          <a:off x="0" y="100934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488</xdr:row>
      <xdr:rowOff>0</xdr:rowOff>
    </xdr:from>
    <xdr:to>
      <xdr:col>22</xdr:col>
      <xdr:colOff>304800</xdr:colOff>
      <xdr:row>489</xdr:row>
      <xdr:rowOff>129540</xdr:rowOff>
    </xdr:to>
    <xdr:sp macro="" textlink="">
      <xdr:nvSpPr>
        <xdr:cNvPr id="8440" name="AutoShape 696" descr="https://www.soccerstats.com/img/own/sshplogo.png">
          <a:hlinkClick xmlns:r="http://schemas.openxmlformats.org/officeDocument/2006/relationships" r:id="rId352"/>
        </xdr:cNvPr>
        <xdr:cNvSpPr>
          <a:spLocks noChangeAspect="1" noChangeArrowheads="1"/>
        </xdr:cNvSpPr>
      </xdr:nvSpPr>
      <xdr:spPr bwMode="auto">
        <a:xfrm>
          <a:off x="13411200" y="100934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152400</xdr:colOff>
      <xdr:row>489</xdr:row>
      <xdr:rowOff>106680</xdr:rowOff>
    </xdr:to>
    <xdr:sp macro="" textlink="">
      <xdr:nvSpPr>
        <xdr:cNvPr id="8441" name="AutoShape 697" descr="NORWAY2"/>
        <xdr:cNvSpPr>
          <a:spLocks noChangeAspect="1" noChangeArrowheads="1"/>
        </xdr:cNvSpPr>
      </xdr:nvSpPr>
      <xdr:spPr bwMode="auto">
        <a:xfrm>
          <a:off x="0" y="101109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489</xdr:row>
      <xdr:rowOff>0</xdr:rowOff>
    </xdr:from>
    <xdr:to>
      <xdr:col>22</xdr:col>
      <xdr:colOff>304800</xdr:colOff>
      <xdr:row>490</xdr:row>
      <xdr:rowOff>129540</xdr:rowOff>
    </xdr:to>
    <xdr:sp macro="" textlink="">
      <xdr:nvSpPr>
        <xdr:cNvPr id="8442" name="AutoShape 698" descr="https://www.soccerstats.com/img/own/sshplogo.png">
          <a:hlinkClick xmlns:r="http://schemas.openxmlformats.org/officeDocument/2006/relationships" r:id="rId353"/>
        </xdr:cNvPr>
        <xdr:cNvSpPr>
          <a:spLocks noChangeAspect="1" noChangeArrowheads="1"/>
        </xdr:cNvSpPr>
      </xdr:nvSpPr>
      <xdr:spPr bwMode="auto">
        <a:xfrm>
          <a:off x="13411200" y="101109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152400</xdr:colOff>
      <xdr:row>490</xdr:row>
      <xdr:rowOff>106680</xdr:rowOff>
    </xdr:to>
    <xdr:sp macro="" textlink="">
      <xdr:nvSpPr>
        <xdr:cNvPr id="8443" name="AutoShape 699" descr="NORWAY2"/>
        <xdr:cNvSpPr>
          <a:spLocks noChangeAspect="1" noChangeArrowheads="1"/>
        </xdr:cNvSpPr>
      </xdr:nvSpPr>
      <xdr:spPr bwMode="auto">
        <a:xfrm>
          <a:off x="0" y="101285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490</xdr:row>
      <xdr:rowOff>0</xdr:rowOff>
    </xdr:from>
    <xdr:to>
      <xdr:col>22</xdr:col>
      <xdr:colOff>304800</xdr:colOff>
      <xdr:row>491</xdr:row>
      <xdr:rowOff>129540</xdr:rowOff>
    </xdr:to>
    <xdr:sp macro="" textlink="">
      <xdr:nvSpPr>
        <xdr:cNvPr id="8444" name="AutoShape 700" descr="https://www.soccerstats.com/img/own/sshplogo.png">
          <a:hlinkClick xmlns:r="http://schemas.openxmlformats.org/officeDocument/2006/relationships" r:id="rId354"/>
        </xdr:cNvPr>
        <xdr:cNvSpPr>
          <a:spLocks noChangeAspect="1" noChangeArrowheads="1"/>
        </xdr:cNvSpPr>
      </xdr:nvSpPr>
      <xdr:spPr bwMode="auto">
        <a:xfrm>
          <a:off x="13411200" y="101285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152400</xdr:colOff>
      <xdr:row>491</xdr:row>
      <xdr:rowOff>106680</xdr:rowOff>
    </xdr:to>
    <xdr:sp macro="" textlink="">
      <xdr:nvSpPr>
        <xdr:cNvPr id="8445" name="AutoShape 701" descr="NORWAY3"/>
        <xdr:cNvSpPr>
          <a:spLocks noChangeAspect="1" noChangeArrowheads="1"/>
        </xdr:cNvSpPr>
      </xdr:nvSpPr>
      <xdr:spPr bwMode="auto">
        <a:xfrm>
          <a:off x="0" y="101460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491</xdr:row>
      <xdr:rowOff>0</xdr:rowOff>
    </xdr:from>
    <xdr:to>
      <xdr:col>22</xdr:col>
      <xdr:colOff>304800</xdr:colOff>
      <xdr:row>492</xdr:row>
      <xdr:rowOff>129540</xdr:rowOff>
    </xdr:to>
    <xdr:sp macro="" textlink="">
      <xdr:nvSpPr>
        <xdr:cNvPr id="8446" name="AutoShape 702" descr="https://www.soccerstats.com/img/own/sshplogo.png">
          <a:hlinkClick xmlns:r="http://schemas.openxmlformats.org/officeDocument/2006/relationships" r:id="rId355"/>
        </xdr:cNvPr>
        <xdr:cNvSpPr>
          <a:spLocks noChangeAspect="1" noChangeArrowheads="1"/>
        </xdr:cNvSpPr>
      </xdr:nvSpPr>
      <xdr:spPr bwMode="auto">
        <a:xfrm>
          <a:off x="13411200" y="101460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152400</xdr:colOff>
      <xdr:row>492</xdr:row>
      <xdr:rowOff>106680</xdr:rowOff>
    </xdr:to>
    <xdr:sp macro="" textlink="">
      <xdr:nvSpPr>
        <xdr:cNvPr id="8447" name="AutoShape 703" descr="NORWAY3"/>
        <xdr:cNvSpPr>
          <a:spLocks noChangeAspect="1" noChangeArrowheads="1"/>
        </xdr:cNvSpPr>
      </xdr:nvSpPr>
      <xdr:spPr bwMode="auto">
        <a:xfrm>
          <a:off x="0" y="101635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492</xdr:row>
      <xdr:rowOff>0</xdr:rowOff>
    </xdr:from>
    <xdr:to>
      <xdr:col>22</xdr:col>
      <xdr:colOff>304800</xdr:colOff>
      <xdr:row>493</xdr:row>
      <xdr:rowOff>129540</xdr:rowOff>
    </xdr:to>
    <xdr:sp macro="" textlink="">
      <xdr:nvSpPr>
        <xdr:cNvPr id="8448" name="AutoShape 704" descr="https://www.soccerstats.com/img/own/sshplogo.png">
          <a:hlinkClick xmlns:r="http://schemas.openxmlformats.org/officeDocument/2006/relationships" r:id="rId356"/>
        </xdr:cNvPr>
        <xdr:cNvSpPr>
          <a:spLocks noChangeAspect="1" noChangeArrowheads="1"/>
        </xdr:cNvSpPr>
      </xdr:nvSpPr>
      <xdr:spPr bwMode="auto">
        <a:xfrm>
          <a:off x="13411200" y="101635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152400</xdr:colOff>
      <xdr:row>493</xdr:row>
      <xdr:rowOff>106680</xdr:rowOff>
    </xdr:to>
    <xdr:sp macro="" textlink="">
      <xdr:nvSpPr>
        <xdr:cNvPr id="8449" name="AutoShape 705" descr="NORWAY3"/>
        <xdr:cNvSpPr>
          <a:spLocks noChangeAspect="1" noChangeArrowheads="1"/>
        </xdr:cNvSpPr>
      </xdr:nvSpPr>
      <xdr:spPr bwMode="auto">
        <a:xfrm>
          <a:off x="0" y="101810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493</xdr:row>
      <xdr:rowOff>0</xdr:rowOff>
    </xdr:from>
    <xdr:to>
      <xdr:col>22</xdr:col>
      <xdr:colOff>304800</xdr:colOff>
      <xdr:row>494</xdr:row>
      <xdr:rowOff>129540</xdr:rowOff>
    </xdr:to>
    <xdr:sp macro="" textlink="">
      <xdr:nvSpPr>
        <xdr:cNvPr id="8450" name="AutoShape 706" descr="https://www.soccerstats.com/img/own/sshplogo.png">
          <a:hlinkClick xmlns:r="http://schemas.openxmlformats.org/officeDocument/2006/relationships" r:id="rId357"/>
        </xdr:cNvPr>
        <xdr:cNvSpPr>
          <a:spLocks noChangeAspect="1" noChangeArrowheads="1"/>
        </xdr:cNvSpPr>
      </xdr:nvSpPr>
      <xdr:spPr bwMode="auto">
        <a:xfrm>
          <a:off x="13411200" y="101810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152400</xdr:colOff>
      <xdr:row>494</xdr:row>
      <xdr:rowOff>106680</xdr:rowOff>
    </xdr:to>
    <xdr:sp macro="" textlink="">
      <xdr:nvSpPr>
        <xdr:cNvPr id="8451" name="AutoShape 707" descr="NORWAY3"/>
        <xdr:cNvSpPr>
          <a:spLocks noChangeAspect="1" noChangeArrowheads="1"/>
        </xdr:cNvSpPr>
      </xdr:nvSpPr>
      <xdr:spPr bwMode="auto">
        <a:xfrm>
          <a:off x="0" y="101986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494</xdr:row>
      <xdr:rowOff>0</xdr:rowOff>
    </xdr:from>
    <xdr:to>
      <xdr:col>22</xdr:col>
      <xdr:colOff>304800</xdr:colOff>
      <xdr:row>495</xdr:row>
      <xdr:rowOff>129540</xdr:rowOff>
    </xdr:to>
    <xdr:sp macro="" textlink="">
      <xdr:nvSpPr>
        <xdr:cNvPr id="8452" name="AutoShape 708" descr="https://www.soccerstats.com/img/own/sshplogo.png">
          <a:hlinkClick xmlns:r="http://schemas.openxmlformats.org/officeDocument/2006/relationships" r:id="rId358"/>
        </xdr:cNvPr>
        <xdr:cNvSpPr>
          <a:spLocks noChangeAspect="1" noChangeArrowheads="1"/>
        </xdr:cNvSpPr>
      </xdr:nvSpPr>
      <xdr:spPr bwMode="auto">
        <a:xfrm>
          <a:off x="13411200" y="101986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152400</xdr:colOff>
      <xdr:row>495</xdr:row>
      <xdr:rowOff>106680</xdr:rowOff>
    </xdr:to>
    <xdr:sp macro="" textlink="">
      <xdr:nvSpPr>
        <xdr:cNvPr id="8453" name="AutoShape 709" descr="NORWAY4"/>
        <xdr:cNvSpPr>
          <a:spLocks noChangeAspect="1" noChangeArrowheads="1"/>
        </xdr:cNvSpPr>
      </xdr:nvSpPr>
      <xdr:spPr bwMode="auto">
        <a:xfrm>
          <a:off x="0" y="102161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495</xdr:row>
      <xdr:rowOff>0</xdr:rowOff>
    </xdr:from>
    <xdr:to>
      <xdr:col>22</xdr:col>
      <xdr:colOff>304800</xdr:colOff>
      <xdr:row>496</xdr:row>
      <xdr:rowOff>129540</xdr:rowOff>
    </xdr:to>
    <xdr:sp macro="" textlink="">
      <xdr:nvSpPr>
        <xdr:cNvPr id="8454" name="AutoShape 710" descr="https://www.soccerstats.com/img/own/sshplogo.png">
          <a:hlinkClick xmlns:r="http://schemas.openxmlformats.org/officeDocument/2006/relationships" r:id="rId359"/>
        </xdr:cNvPr>
        <xdr:cNvSpPr>
          <a:spLocks noChangeAspect="1" noChangeArrowheads="1"/>
        </xdr:cNvSpPr>
      </xdr:nvSpPr>
      <xdr:spPr bwMode="auto">
        <a:xfrm>
          <a:off x="13411200" y="102161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152400</xdr:colOff>
      <xdr:row>496</xdr:row>
      <xdr:rowOff>106680</xdr:rowOff>
    </xdr:to>
    <xdr:sp macro="" textlink="">
      <xdr:nvSpPr>
        <xdr:cNvPr id="8455" name="AutoShape 711" descr="NORWAY11"/>
        <xdr:cNvSpPr>
          <a:spLocks noChangeAspect="1" noChangeArrowheads="1"/>
        </xdr:cNvSpPr>
      </xdr:nvSpPr>
      <xdr:spPr bwMode="auto">
        <a:xfrm>
          <a:off x="0" y="102336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496</xdr:row>
      <xdr:rowOff>0</xdr:rowOff>
    </xdr:from>
    <xdr:to>
      <xdr:col>22</xdr:col>
      <xdr:colOff>304800</xdr:colOff>
      <xdr:row>497</xdr:row>
      <xdr:rowOff>129540</xdr:rowOff>
    </xdr:to>
    <xdr:sp macro="" textlink="">
      <xdr:nvSpPr>
        <xdr:cNvPr id="8456" name="AutoShape 712" descr="https://www.soccerstats.com/img/own/sshplogo.png">
          <a:hlinkClick xmlns:r="http://schemas.openxmlformats.org/officeDocument/2006/relationships" r:id="rId360"/>
        </xdr:cNvPr>
        <xdr:cNvSpPr>
          <a:spLocks noChangeAspect="1" noChangeArrowheads="1"/>
        </xdr:cNvSpPr>
      </xdr:nvSpPr>
      <xdr:spPr bwMode="auto">
        <a:xfrm>
          <a:off x="13411200" y="102336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152400</xdr:colOff>
      <xdr:row>497</xdr:row>
      <xdr:rowOff>106680</xdr:rowOff>
    </xdr:to>
    <xdr:sp macro="" textlink="">
      <xdr:nvSpPr>
        <xdr:cNvPr id="8457" name="AutoShape 713" descr="NORWAY11"/>
        <xdr:cNvSpPr>
          <a:spLocks noChangeAspect="1" noChangeArrowheads="1"/>
        </xdr:cNvSpPr>
      </xdr:nvSpPr>
      <xdr:spPr bwMode="auto">
        <a:xfrm>
          <a:off x="0" y="102511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497</xdr:row>
      <xdr:rowOff>0</xdr:rowOff>
    </xdr:from>
    <xdr:to>
      <xdr:col>22</xdr:col>
      <xdr:colOff>304800</xdr:colOff>
      <xdr:row>498</xdr:row>
      <xdr:rowOff>53340</xdr:rowOff>
    </xdr:to>
    <xdr:sp macro="" textlink="">
      <xdr:nvSpPr>
        <xdr:cNvPr id="8458" name="AutoShape 714" descr="https://www.soccerstats.com/img/own/sshplogo.png">
          <a:hlinkClick xmlns:r="http://schemas.openxmlformats.org/officeDocument/2006/relationships" r:id="rId361"/>
        </xdr:cNvPr>
        <xdr:cNvSpPr>
          <a:spLocks noChangeAspect="1" noChangeArrowheads="1"/>
        </xdr:cNvSpPr>
      </xdr:nvSpPr>
      <xdr:spPr bwMode="auto">
        <a:xfrm>
          <a:off x="13411200" y="102511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152400</xdr:colOff>
      <xdr:row>498</xdr:row>
      <xdr:rowOff>106680</xdr:rowOff>
    </xdr:to>
    <xdr:sp macro="" textlink="">
      <xdr:nvSpPr>
        <xdr:cNvPr id="8459" name="AutoShape 715" descr="NORWAY11"/>
        <xdr:cNvSpPr>
          <a:spLocks noChangeAspect="1" noChangeArrowheads="1"/>
        </xdr:cNvSpPr>
      </xdr:nvSpPr>
      <xdr:spPr bwMode="auto">
        <a:xfrm>
          <a:off x="0" y="102763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498</xdr:row>
      <xdr:rowOff>0</xdr:rowOff>
    </xdr:from>
    <xdr:to>
      <xdr:col>22</xdr:col>
      <xdr:colOff>304800</xdr:colOff>
      <xdr:row>499</xdr:row>
      <xdr:rowOff>53340</xdr:rowOff>
    </xdr:to>
    <xdr:sp macro="" textlink="">
      <xdr:nvSpPr>
        <xdr:cNvPr id="8460" name="AutoShape 716" descr="https://www.soccerstats.com/img/own/sshplogo.png">
          <a:hlinkClick xmlns:r="http://schemas.openxmlformats.org/officeDocument/2006/relationships" r:id="rId362"/>
        </xdr:cNvPr>
        <xdr:cNvSpPr>
          <a:spLocks noChangeAspect="1" noChangeArrowheads="1"/>
        </xdr:cNvSpPr>
      </xdr:nvSpPr>
      <xdr:spPr bwMode="auto">
        <a:xfrm>
          <a:off x="13411200" y="102763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152400</xdr:colOff>
      <xdr:row>499</xdr:row>
      <xdr:rowOff>106680</xdr:rowOff>
    </xdr:to>
    <xdr:sp macro="" textlink="">
      <xdr:nvSpPr>
        <xdr:cNvPr id="8461" name="AutoShape 717" descr="NORWAY11"/>
        <xdr:cNvSpPr>
          <a:spLocks noChangeAspect="1" noChangeArrowheads="1"/>
        </xdr:cNvSpPr>
      </xdr:nvSpPr>
      <xdr:spPr bwMode="auto">
        <a:xfrm>
          <a:off x="0" y="103014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499</xdr:row>
      <xdr:rowOff>0</xdr:rowOff>
    </xdr:from>
    <xdr:to>
      <xdr:col>22</xdr:col>
      <xdr:colOff>304800</xdr:colOff>
      <xdr:row>500</xdr:row>
      <xdr:rowOff>129540</xdr:rowOff>
    </xdr:to>
    <xdr:sp macro="" textlink="">
      <xdr:nvSpPr>
        <xdr:cNvPr id="8462" name="AutoShape 718" descr="https://www.soccerstats.com/img/own/sshplogo.png">
          <a:hlinkClick xmlns:r="http://schemas.openxmlformats.org/officeDocument/2006/relationships" r:id="rId363"/>
        </xdr:cNvPr>
        <xdr:cNvSpPr>
          <a:spLocks noChangeAspect="1" noChangeArrowheads="1"/>
        </xdr:cNvSpPr>
      </xdr:nvSpPr>
      <xdr:spPr bwMode="auto">
        <a:xfrm>
          <a:off x="13411200" y="103014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152400</xdr:colOff>
      <xdr:row>500</xdr:row>
      <xdr:rowOff>106680</xdr:rowOff>
    </xdr:to>
    <xdr:sp macro="" textlink="">
      <xdr:nvSpPr>
        <xdr:cNvPr id="8463" name="AutoShape 719" descr="NORWAY11"/>
        <xdr:cNvSpPr>
          <a:spLocks noChangeAspect="1" noChangeArrowheads="1"/>
        </xdr:cNvSpPr>
      </xdr:nvSpPr>
      <xdr:spPr bwMode="auto">
        <a:xfrm>
          <a:off x="0" y="103190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500</xdr:row>
      <xdr:rowOff>0</xdr:rowOff>
    </xdr:from>
    <xdr:to>
      <xdr:col>22</xdr:col>
      <xdr:colOff>304800</xdr:colOff>
      <xdr:row>501</xdr:row>
      <xdr:rowOff>129540</xdr:rowOff>
    </xdr:to>
    <xdr:sp macro="" textlink="">
      <xdr:nvSpPr>
        <xdr:cNvPr id="8464" name="AutoShape 720" descr="https://www.soccerstats.com/img/own/sshplogo.png">
          <a:hlinkClick xmlns:r="http://schemas.openxmlformats.org/officeDocument/2006/relationships" r:id="rId364"/>
        </xdr:cNvPr>
        <xdr:cNvSpPr>
          <a:spLocks noChangeAspect="1" noChangeArrowheads="1"/>
        </xdr:cNvSpPr>
      </xdr:nvSpPr>
      <xdr:spPr bwMode="auto">
        <a:xfrm>
          <a:off x="13411200" y="103190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152400</xdr:colOff>
      <xdr:row>501</xdr:row>
      <xdr:rowOff>106680</xdr:rowOff>
    </xdr:to>
    <xdr:sp macro="" textlink="">
      <xdr:nvSpPr>
        <xdr:cNvPr id="8465" name="AutoShape 721" descr="PARAGUAY2"/>
        <xdr:cNvSpPr>
          <a:spLocks noChangeAspect="1" noChangeArrowheads="1"/>
        </xdr:cNvSpPr>
      </xdr:nvSpPr>
      <xdr:spPr bwMode="auto">
        <a:xfrm>
          <a:off x="0" y="103365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501</xdr:row>
      <xdr:rowOff>0</xdr:rowOff>
    </xdr:from>
    <xdr:to>
      <xdr:col>22</xdr:col>
      <xdr:colOff>304800</xdr:colOff>
      <xdr:row>502</xdr:row>
      <xdr:rowOff>129540</xdr:rowOff>
    </xdr:to>
    <xdr:sp macro="" textlink="">
      <xdr:nvSpPr>
        <xdr:cNvPr id="8466" name="AutoShape 722" descr="https://www.soccerstats.com/img/own/sshplogo.png">
          <a:hlinkClick xmlns:r="http://schemas.openxmlformats.org/officeDocument/2006/relationships" r:id="rId365"/>
        </xdr:cNvPr>
        <xdr:cNvSpPr>
          <a:spLocks noChangeAspect="1" noChangeArrowheads="1"/>
        </xdr:cNvSpPr>
      </xdr:nvSpPr>
      <xdr:spPr bwMode="auto">
        <a:xfrm>
          <a:off x="13411200" y="10336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152400</xdr:colOff>
      <xdr:row>502</xdr:row>
      <xdr:rowOff>106680</xdr:rowOff>
    </xdr:to>
    <xdr:sp macro="" textlink="">
      <xdr:nvSpPr>
        <xdr:cNvPr id="8467" name="AutoShape 723" descr="PARAGUAY2"/>
        <xdr:cNvSpPr>
          <a:spLocks noChangeAspect="1" noChangeArrowheads="1"/>
        </xdr:cNvSpPr>
      </xdr:nvSpPr>
      <xdr:spPr bwMode="auto">
        <a:xfrm>
          <a:off x="0" y="103540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502</xdr:row>
      <xdr:rowOff>0</xdr:rowOff>
    </xdr:from>
    <xdr:to>
      <xdr:col>22</xdr:col>
      <xdr:colOff>304800</xdr:colOff>
      <xdr:row>503</xdr:row>
      <xdr:rowOff>129540</xdr:rowOff>
    </xdr:to>
    <xdr:sp macro="" textlink="">
      <xdr:nvSpPr>
        <xdr:cNvPr id="8468" name="AutoShape 724" descr="https://www.soccerstats.com/img/own/sshplogo.png">
          <a:hlinkClick xmlns:r="http://schemas.openxmlformats.org/officeDocument/2006/relationships" r:id="rId366"/>
        </xdr:cNvPr>
        <xdr:cNvSpPr>
          <a:spLocks noChangeAspect="1" noChangeArrowheads="1"/>
        </xdr:cNvSpPr>
      </xdr:nvSpPr>
      <xdr:spPr bwMode="auto">
        <a:xfrm>
          <a:off x="13411200" y="103540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152400</xdr:colOff>
      <xdr:row>503</xdr:row>
      <xdr:rowOff>106680</xdr:rowOff>
    </xdr:to>
    <xdr:sp macro="" textlink="">
      <xdr:nvSpPr>
        <xdr:cNvPr id="8469" name="AutoShape 725" descr="PERU2"/>
        <xdr:cNvSpPr>
          <a:spLocks noChangeAspect="1" noChangeArrowheads="1"/>
        </xdr:cNvSpPr>
      </xdr:nvSpPr>
      <xdr:spPr bwMode="auto">
        <a:xfrm>
          <a:off x="0" y="103715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503</xdr:row>
      <xdr:rowOff>0</xdr:rowOff>
    </xdr:from>
    <xdr:to>
      <xdr:col>22</xdr:col>
      <xdr:colOff>304800</xdr:colOff>
      <xdr:row>504</xdr:row>
      <xdr:rowOff>129540</xdr:rowOff>
    </xdr:to>
    <xdr:sp macro="" textlink="">
      <xdr:nvSpPr>
        <xdr:cNvPr id="8470" name="AutoShape 726" descr="https://www.soccerstats.com/img/own/sshplogo.png">
          <a:hlinkClick xmlns:r="http://schemas.openxmlformats.org/officeDocument/2006/relationships" r:id="rId367"/>
        </xdr:cNvPr>
        <xdr:cNvSpPr>
          <a:spLocks noChangeAspect="1" noChangeArrowheads="1"/>
        </xdr:cNvSpPr>
      </xdr:nvSpPr>
      <xdr:spPr bwMode="auto">
        <a:xfrm>
          <a:off x="13411200" y="103715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152400</xdr:colOff>
      <xdr:row>504</xdr:row>
      <xdr:rowOff>106680</xdr:rowOff>
    </xdr:to>
    <xdr:sp macro="" textlink="">
      <xdr:nvSpPr>
        <xdr:cNvPr id="8471" name="AutoShape 727" descr="PERU2"/>
        <xdr:cNvSpPr>
          <a:spLocks noChangeAspect="1" noChangeArrowheads="1"/>
        </xdr:cNvSpPr>
      </xdr:nvSpPr>
      <xdr:spPr bwMode="auto">
        <a:xfrm>
          <a:off x="0" y="103891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504</xdr:row>
      <xdr:rowOff>0</xdr:rowOff>
    </xdr:from>
    <xdr:to>
      <xdr:col>22</xdr:col>
      <xdr:colOff>304800</xdr:colOff>
      <xdr:row>505</xdr:row>
      <xdr:rowOff>129540</xdr:rowOff>
    </xdr:to>
    <xdr:sp macro="" textlink="">
      <xdr:nvSpPr>
        <xdr:cNvPr id="8472" name="AutoShape 728" descr="https://www.soccerstats.com/img/own/sshplogo.png">
          <a:hlinkClick xmlns:r="http://schemas.openxmlformats.org/officeDocument/2006/relationships" r:id="rId368"/>
        </xdr:cNvPr>
        <xdr:cNvSpPr>
          <a:spLocks noChangeAspect="1" noChangeArrowheads="1"/>
        </xdr:cNvSpPr>
      </xdr:nvSpPr>
      <xdr:spPr bwMode="auto">
        <a:xfrm>
          <a:off x="13411200" y="103891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152400</xdr:colOff>
      <xdr:row>505</xdr:row>
      <xdr:rowOff>106680</xdr:rowOff>
    </xdr:to>
    <xdr:sp macro="" textlink="">
      <xdr:nvSpPr>
        <xdr:cNvPr id="8473" name="AutoShape 729" descr="PERU2"/>
        <xdr:cNvSpPr>
          <a:spLocks noChangeAspect="1" noChangeArrowheads="1"/>
        </xdr:cNvSpPr>
      </xdr:nvSpPr>
      <xdr:spPr bwMode="auto">
        <a:xfrm>
          <a:off x="0" y="104066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505</xdr:row>
      <xdr:rowOff>0</xdr:rowOff>
    </xdr:from>
    <xdr:to>
      <xdr:col>22</xdr:col>
      <xdr:colOff>304800</xdr:colOff>
      <xdr:row>506</xdr:row>
      <xdr:rowOff>53340</xdr:rowOff>
    </xdr:to>
    <xdr:sp macro="" textlink="">
      <xdr:nvSpPr>
        <xdr:cNvPr id="8474" name="AutoShape 730" descr="https://www.soccerstats.com/img/own/sshplogo.png">
          <a:hlinkClick xmlns:r="http://schemas.openxmlformats.org/officeDocument/2006/relationships" r:id="rId369"/>
        </xdr:cNvPr>
        <xdr:cNvSpPr>
          <a:spLocks noChangeAspect="1" noChangeArrowheads="1"/>
        </xdr:cNvSpPr>
      </xdr:nvSpPr>
      <xdr:spPr bwMode="auto">
        <a:xfrm>
          <a:off x="13411200" y="104066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152400</xdr:colOff>
      <xdr:row>506</xdr:row>
      <xdr:rowOff>106680</xdr:rowOff>
    </xdr:to>
    <xdr:sp macro="" textlink="">
      <xdr:nvSpPr>
        <xdr:cNvPr id="8475" name="AutoShape 731" descr="PERU2"/>
        <xdr:cNvSpPr>
          <a:spLocks noChangeAspect="1" noChangeArrowheads="1"/>
        </xdr:cNvSpPr>
      </xdr:nvSpPr>
      <xdr:spPr bwMode="auto">
        <a:xfrm>
          <a:off x="0" y="104317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506</xdr:row>
      <xdr:rowOff>0</xdr:rowOff>
    </xdr:from>
    <xdr:to>
      <xdr:col>22</xdr:col>
      <xdr:colOff>304800</xdr:colOff>
      <xdr:row>507</xdr:row>
      <xdr:rowOff>129540</xdr:rowOff>
    </xdr:to>
    <xdr:sp macro="" textlink="">
      <xdr:nvSpPr>
        <xdr:cNvPr id="8476" name="AutoShape 732" descr="https://www.soccerstats.com/img/own/sshplogo.png">
          <a:hlinkClick xmlns:r="http://schemas.openxmlformats.org/officeDocument/2006/relationships" r:id="rId370"/>
        </xdr:cNvPr>
        <xdr:cNvSpPr>
          <a:spLocks noChangeAspect="1" noChangeArrowheads="1"/>
        </xdr:cNvSpPr>
      </xdr:nvSpPr>
      <xdr:spPr bwMode="auto">
        <a:xfrm>
          <a:off x="13411200" y="104317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152400</xdr:colOff>
      <xdr:row>507</xdr:row>
      <xdr:rowOff>106680</xdr:rowOff>
    </xdr:to>
    <xdr:sp macro="" textlink="">
      <xdr:nvSpPr>
        <xdr:cNvPr id="8477" name="AutoShape 733" descr="PERU2"/>
        <xdr:cNvSpPr>
          <a:spLocks noChangeAspect="1" noChangeArrowheads="1"/>
        </xdr:cNvSpPr>
      </xdr:nvSpPr>
      <xdr:spPr bwMode="auto">
        <a:xfrm>
          <a:off x="0" y="104493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507</xdr:row>
      <xdr:rowOff>0</xdr:rowOff>
    </xdr:from>
    <xdr:to>
      <xdr:col>22</xdr:col>
      <xdr:colOff>304800</xdr:colOff>
      <xdr:row>508</xdr:row>
      <xdr:rowOff>129540</xdr:rowOff>
    </xdr:to>
    <xdr:sp macro="" textlink="">
      <xdr:nvSpPr>
        <xdr:cNvPr id="8478" name="AutoShape 734" descr="https://www.soccerstats.com/img/own/sshplogo.png">
          <a:hlinkClick xmlns:r="http://schemas.openxmlformats.org/officeDocument/2006/relationships" r:id="rId371"/>
        </xdr:cNvPr>
        <xdr:cNvSpPr>
          <a:spLocks noChangeAspect="1" noChangeArrowheads="1"/>
        </xdr:cNvSpPr>
      </xdr:nvSpPr>
      <xdr:spPr bwMode="auto">
        <a:xfrm>
          <a:off x="13411200" y="104493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152400</xdr:colOff>
      <xdr:row>508</xdr:row>
      <xdr:rowOff>106680</xdr:rowOff>
    </xdr:to>
    <xdr:sp macro="" textlink="">
      <xdr:nvSpPr>
        <xdr:cNvPr id="8479" name="AutoShape 735" descr="PERU2"/>
        <xdr:cNvSpPr>
          <a:spLocks noChangeAspect="1" noChangeArrowheads="1"/>
        </xdr:cNvSpPr>
      </xdr:nvSpPr>
      <xdr:spPr bwMode="auto">
        <a:xfrm>
          <a:off x="0" y="104668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508</xdr:row>
      <xdr:rowOff>0</xdr:rowOff>
    </xdr:from>
    <xdr:to>
      <xdr:col>22</xdr:col>
      <xdr:colOff>304800</xdr:colOff>
      <xdr:row>509</xdr:row>
      <xdr:rowOff>129540</xdr:rowOff>
    </xdr:to>
    <xdr:sp macro="" textlink="">
      <xdr:nvSpPr>
        <xdr:cNvPr id="8480" name="AutoShape 736" descr="https://www.soccerstats.com/img/own/sshplogo.png">
          <a:hlinkClick xmlns:r="http://schemas.openxmlformats.org/officeDocument/2006/relationships" r:id="rId372"/>
        </xdr:cNvPr>
        <xdr:cNvSpPr>
          <a:spLocks noChangeAspect="1" noChangeArrowheads="1"/>
        </xdr:cNvSpPr>
      </xdr:nvSpPr>
      <xdr:spPr bwMode="auto">
        <a:xfrm>
          <a:off x="13411200" y="104668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152400</xdr:colOff>
      <xdr:row>509</xdr:row>
      <xdr:rowOff>106680</xdr:rowOff>
    </xdr:to>
    <xdr:sp macro="" textlink="">
      <xdr:nvSpPr>
        <xdr:cNvPr id="8481" name="AutoShape 737" descr="PERU2"/>
        <xdr:cNvSpPr>
          <a:spLocks noChangeAspect="1" noChangeArrowheads="1"/>
        </xdr:cNvSpPr>
      </xdr:nvSpPr>
      <xdr:spPr bwMode="auto">
        <a:xfrm>
          <a:off x="0" y="104843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509</xdr:row>
      <xdr:rowOff>0</xdr:rowOff>
    </xdr:from>
    <xdr:to>
      <xdr:col>22</xdr:col>
      <xdr:colOff>304800</xdr:colOff>
      <xdr:row>510</xdr:row>
      <xdr:rowOff>129540</xdr:rowOff>
    </xdr:to>
    <xdr:sp macro="" textlink="">
      <xdr:nvSpPr>
        <xdr:cNvPr id="8482" name="AutoShape 738" descr="https://www.soccerstats.com/img/own/sshplogo.png">
          <a:hlinkClick xmlns:r="http://schemas.openxmlformats.org/officeDocument/2006/relationships" r:id="rId373"/>
        </xdr:cNvPr>
        <xdr:cNvSpPr>
          <a:spLocks noChangeAspect="1" noChangeArrowheads="1"/>
        </xdr:cNvSpPr>
      </xdr:nvSpPr>
      <xdr:spPr bwMode="auto">
        <a:xfrm>
          <a:off x="13411200" y="104843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152400</xdr:colOff>
      <xdr:row>510</xdr:row>
      <xdr:rowOff>106680</xdr:rowOff>
    </xdr:to>
    <xdr:sp macro="" textlink="">
      <xdr:nvSpPr>
        <xdr:cNvPr id="8483" name="AutoShape 739" descr="PERU2"/>
        <xdr:cNvSpPr>
          <a:spLocks noChangeAspect="1" noChangeArrowheads="1"/>
        </xdr:cNvSpPr>
      </xdr:nvSpPr>
      <xdr:spPr bwMode="auto">
        <a:xfrm>
          <a:off x="0" y="105018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510</xdr:row>
      <xdr:rowOff>0</xdr:rowOff>
    </xdr:from>
    <xdr:to>
      <xdr:col>22</xdr:col>
      <xdr:colOff>304800</xdr:colOff>
      <xdr:row>511</xdr:row>
      <xdr:rowOff>53340</xdr:rowOff>
    </xdr:to>
    <xdr:sp macro="" textlink="">
      <xdr:nvSpPr>
        <xdr:cNvPr id="8484" name="AutoShape 740" descr="https://www.soccerstats.com/img/own/sshplogo.png">
          <a:hlinkClick xmlns:r="http://schemas.openxmlformats.org/officeDocument/2006/relationships" r:id="rId374"/>
        </xdr:cNvPr>
        <xdr:cNvSpPr>
          <a:spLocks noChangeAspect="1" noChangeArrowheads="1"/>
        </xdr:cNvSpPr>
      </xdr:nvSpPr>
      <xdr:spPr bwMode="auto">
        <a:xfrm>
          <a:off x="13411200" y="105018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152400</xdr:colOff>
      <xdr:row>511</xdr:row>
      <xdr:rowOff>106680</xdr:rowOff>
    </xdr:to>
    <xdr:sp macro="" textlink="">
      <xdr:nvSpPr>
        <xdr:cNvPr id="8485" name="AutoShape 741" descr="PERU2"/>
        <xdr:cNvSpPr>
          <a:spLocks noChangeAspect="1" noChangeArrowheads="1"/>
        </xdr:cNvSpPr>
      </xdr:nvSpPr>
      <xdr:spPr bwMode="auto">
        <a:xfrm>
          <a:off x="0" y="105270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511</xdr:row>
      <xdr:rowOff>0</xdr:rowOff>
    </xdr:from>
    <xdr:to>
      <xdr:col>22</xdr:col>
      <xdr:colOff>304800</xdr:colOff>
      <xdr:row>512</xdr:row>
      <xdr:rowOff>53340</xdr:rowOff>
    </xdr:to>
    <xdr:sp macro="" textlink="">
      <xdr:nvSpPr>
        <xdr:cNvPr id="8486" name="AutoShape 742" descr="https://www.soccerstats.com/img/own/sshplogo.png">
          <a:hlinkClick xmlns:r="http://schemas.openxmlformats.org/officeDocument/2006/relationships" r:id="rId375"/>
        </xdr:cNvPr>
        <xdr:cNvSpPr>
          <a:spLocks noChangeAspect="1" noChangeArrowheads="1"/>
        </xdr:cNvSpPr>
      </xdr:nvSpPr>
      <xdr:spPr bwMode="auto">
        <a:xfrm>
          <a:off x="13411200" y="105270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152400</xdr:colOff>
      <xdr:row>512</xdr:row>
      <xdr:rowOff>106680</xdr:rowOff>
    </xdr:to>
    <xdr:sp macro="" textlink="">
      <xdr:nvSpPr>
        <xdr:cNvPr id="8487" name="AutoShape 743" descr="POLAND"/>
        <xdr:cNvSpPr>
          <a:spLocks noChangeAspect="1" noChangeArrowheads="1"/>
        </xdr:cNvSpPr>
      </xdr:nvSpPr>
      <xdr:spPr bwMode="auto">
        <a:xfrm>
          <a:off x="0" y="105521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512</xdr:row>
      <xdr:rowOff>0</xdr:rowOff>
    </xdr:from>
    <xdr:to>
      <xdr:col>22</xdr:col>
      <xdr:colOff>304800</xdr:colOff>
      <xdr:row>513</xdr:row>
      <xdr:rowOff>53340</xdr:rowOff>
    </xdr:to>
    <xdr:sp macro="" textlink="">
      <xdr:nvSpPr>
        <xdr:cNvPr id="8488" name="AutoShape 744" descr="https://www.soccerstats.com/img/own/sshplogo.png">
          <a:hlinkClick xmlns:r="http://schemas.openxmlformats.org/officeDocument/2006/relationships" r:id="rId376"/>
        </xdr:cNvPr>
        <xdr:cNvSpPr>
          <a:spLocks noChangeAspect="1" noChangeArrowheads="1"/>
        </xdr:cNvSpPr>
      </xdr:nvSpPr>
      <xdr:spPr bwMode="auto">
        <a:xfrm>
          <a:off x="13411200" y="105521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152400</xdr:colOff>
      <xdr:row>513</xdr:row>
      <xdr:rowOff>106680</xdr:rowOff>
    </xdr:to>
    <xdr:sp macro="" textlink="">
      <xdr:nvSpPr>
        <xdr:cNvPr id="8489" name="AutoShape 745" descr="POLAND"/>
        <xdr:cNvSpPr>
          <a:spLocks noChangeAspect="1" noChangeArrowheads="1"/>
        </xdr:cNvSpPr>
      </xdr:nvSpPr>
      <xdr:spPr bwMode="auto">
        <a:xfrm>
          <a:off x="0" y="105773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513</xdr:row>
      <xdr:rowOff>0</xdr:rowOff>
    </xdr:from>
    <xdr:to>
      <xdr:col>22</xdr:col>
      <xdr:colOff>304800</xdr:colOff>
      <xdr:row>514</xdr:row>
      <xdr:rowOff>129540</xdr:rowOff>
    </xdr:to>
    <xdr:sp macro="" textlink="">
      <xdr:nvSpPr>
        <xdr:cNvPr id="8490" name="AutoShape 746" descr="https://www.soccerstats.com/img/own/sshplogo.png">
          <a:hlinkClick xmlns:r="http://schemas.openxmlformats.org/officeDocument/2006/relationships" r:id="rId377"/>
        </xdr:cNvPr>
        <xdr:cNvSpPr>
          <a:spLocks noChangeAspect="1" noChangeArrowheads="1"/>
        </xdr:cNvSpPr>
      </xdr:nvSpPr>
      <xdr:spPr bwMode="auto">
        <a:xfrm>
          <a:off x="13411200" y="105773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152400</xdr:colOff>
      <xdr:row>514</xdr:row>
      <xdr:rowOff>106680</xdr:rowOff>
    </xdr:to>
    <xdr:sp macro="" textlink="">
      <xdr:nvSpPr>
        <xdr:cNvPr id="8491" name="AutoShape 747" descr="POLAND"/>
        <xdr:cNvSpPr>
          <a:spLocks noChangeAspect="1" noChangeArrowheads="1"/>
        </xdr:cNvSpPr>
      </xdr:nvSpPr>
      <xdr:spPr bwMode="auto">
        <a:xfrm>
          <a:off x="0" y="105948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514</xdr:row>
      <xdr:rowOff>0</xdr:rowOff>
    </xdr:from>
    <xdr:to>
      <xdr:col>22</xdr:col>
      <xdr:colOff>304800</xdr:colOff>
      <xdr:row>515</xdr:row>
      <xdr:rowOff>129540</xdr:rowOff>
    </xdr:to>
    <xdr:sp macro="" textlink="">
      <xdr:nvSpPr>
        <xdr:cNvPr id="8492" name="AutoShape 748" descr="https://www.soccerstats.com/img/own/sshplogo.png">
          <a:hlinkClick xmlns:r="http://schemas.openxmlformats.org/officeDocument/2006/relationships" r:id="rId378"/>
        </xdr:cNvPr>
        <xdr:cNvSpPr>
          <a:spLocks noChangeAspect="1" noChangeArrowheads="1"/>
        </xdr:cNvSpPr>
      </xdr:nvSpPr>
      <xdr:spPr bwMode="auto">
        <a:xfrm>
          <a:off x="13411200" y="105948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152400</xdr:colOff>
      <xdr:row>515</xdr:row>
      <xdr:rowOff>106680</xdr:rowOff>
    </xdr:to>
    <xdr:sp macro="" textlink="">
      <xdr:nvSpPr>
        <xdr:cNvPr id="8493" name="AutoShape 749" descr="POLAND2"/>
        <xdr:cNvSpPr>
          <a:spLocks noChangeAspect="1" noChangeArrowheads="1"/>
        </xdr:cNvSpPr>
      </xdr:nvSpPr>
      <xdr:spPr bwMode="auto">
        <a:xfrm>
          <a:off x="0" y="106123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515</xdr:row>
      <xdr:rowOff>0</xdr:rowOff>
    </xdr:from>
    <xdr:to>
      <xdr:col>22</xdr:col>
      <xdr:colOff>304800</xdr:colOff>
      <xdr:row>516</xdr:row>
      <xdr:rowOff>53340</xdr:rowOff>
    </xdr:to>
    <xdr:sp macro="" textlink="">
      <xdr:nvSpPr>
        <xdr:cNvPr id="8494" name="AutoShape 750" descr="https://www.soccerstats.com/img/own/sshplogo.png">
          <a:hlinkClick xmlns:r="http://schemas.openxmlformats.org/officeDocument/2006/relationships" r:id="rId379"/>
        </xdr:cNvPr>
        <xdr:cNvSpPr>
          <a:spLocks noChangeAspect="1" noChangeArrowheads="1"/>
        </xdr:cNvSpPr>
      </xdr:nvSpPr>
      <xdr:spPr bwMode="auto">
        <a:xfrm>
          <a:off x="13411200" y="106123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152400</xdr:colOff>
      <xdr:row>516</xdr:row>
      <xdr:rowOff>106680</xdr:rowOff>
    </xdr:to>
    <xdr:sp macro="" textlink="">
      <xdr:nvSpPr>
        <xdr:cNvPr id="8495" name="AutoShape 751" descr="POLAND2"/>
        <xdr:cNvSpPr>
          <a:spLocks noChangeAspect="1" noChangeArrowheads="1"/>
        </xdr:cNvSpPr>
      </xdr:nvSpPr>
      <xdr:spPr bwMode="auto">
        <a:xfrm>
          <a:off x="0" y="106375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516</xdr:row>
      <xdr:rowOff>0</xdr:rowOff>
    </xdr:from>
    <xdr:to>
      <xdr:col>22</xdr:col>
      <xdr:colOff>304800</xdr:colOff>
      <xdr:row>517</xdr:row>
      <xdr:rowOff>129540</xdr:rowOff>
    </xdr:to>
    <xdr:sp macro="" textlink="">
      <xdr:nvSpPr>
        <xdr:cNvPr id="8496" name="AutoShape 752" descr="https://www.soccerstats.com/img/own/sshplogo.png">
          <a:hlinkClick xmlns:r="http://schemas.openxmlformats.org/officeDocument/2006/relationships" r:id="rId380"/>
        </xdr:cNvPr>
        <xdr:cNvSpPr>
          <a:spLocks noChangeAspect="1" noChangeArrowheads="1"/>
        </xdr:cNvSpPr>
      </xdr:nvSpPr>
      <xdr:spPr bwMode="auto">
        <a:xfrm>
          <a:off x="13411200" y="106375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152400</xdr:colOff>
      <xdr:row>517</xdr:row>
      <xdr:rowOff>106680</xdr:rowOff>
    </xdr:to>
    <xdr:sp macro="" textlink="">
      <xdr:nvSpPr>
        <xdr:cNvPr id="8497" name="AutoShape 753" descr="POLAND2"/>
        <xdr:cNvSpPr>
          <a:spLocks noChangeAspect="1" noChangeArrowheads="1"/>
        </xdr:cNvSpPr>
      </xdr:nvSpPr>
      <xdr:spPr bwMode="auto">
        <a:xfrm>
          <a:off x="0" y="106550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517</xdr:row>
      <xdr:rowOff>0</xdr:rowOff>
    </xdr:from>
    <xdr:to>
      <xdr:col>22</xdr:col>
      <xdr:colOff>304800</xdr:colOff>
      <xdr:row>518</xdr:row>
      <xdr:rowOff>53340</xdr:rowOff>
    </xdr:to>
    <xdr:sp macro="" textlink="">
      <xdr:nvSpPr>
        <xdr:cNvPr id="8498" name="AutoShape 754" descr="https://www.soccerstats.com/img/own/sshplogo.png">
          <a:hlinkClick xmlns:r="http://schemas.openxmlformats.org/officeDocument/2006/relationships" r:id="rId381"/>
        </xdr:cNvPr>
        <xdr:cNvSpPr>
          <a:spLocks noChangeAspect="1" noChangeArrowheads="1"/>
        </xdr:cNvSpPr>
      </xdr:nvSpPr>
      <xdr:spPr bwMode="auto">
        <a:xfrm>
          <a:off x="13411200" y="106550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152400</xdr:colOff>
      <xdr:row>518</xdr:row>
      <xdr:rowOff>106680</xdr:rowOff>
    </xdr:to>
    <xdr:sp macro="" textlink="">
      <xdr:nvSpPr>
        <xdr:cNvPr id="8499" name="AutoShape 755" descr="POLAND3"/>
        <xdr:cNvSpPr>
          <a:spLocks noChangeAspect="1" noChangeArrowheads="1"/>
        </xdr:cNvSpPr>
      </xdr:nvSpPr>
      <xdr:spPr bwMode="auto">
        <a:xfrm>
          <a:off x="0" y="106801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518</xdr:row>
      <xdr:rowOff>0</xdr:rowOff>
    </xdr:from>
    <xdr:to>
      <xdr:col>22</xdr:col>
      <xdr:colOff>304800</xdr:colOff>
      <xdr:row>519</xdr:row>
      <xdr:rowOff>53340</xdr:rowOff>
    </xdr:to>
    <xdr:sp macro="" textlink="">
      <xdr:nvSpPr>
        <xdr:cNvPr id="8500" name="AutoShape 756" descr="https://www.soccerstats.com/img/own/sshplogo.png">
          <a:hlinkClick xmlns:r="http://schemas.openxmlformats.org/officeDocument/2006/relationships" r:id="rId382"/>
        </xdr:cNvPr>
        <xdr:cNvSpPr>
          <a:spLocks noChangeAspect="1" noChangeArrowheads="1"/>
        </xdr:cNvSpPr>
      </xdr:nvSpPr>
      <xdr:spPr bwMode="auto">
        <a:xfrm>
          <a:off x="13411200" y="106801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152400</xdr:colOff>
      <xdr:row>519</xdr:row>
      <xdr:rowOff>106680</xdr:rowOff>
    </xdr:to>
    <xdr:sp macro="" textlink="">
      <xdr:nvSpPr>
        <xdr:cNvPr id="8501" name="AutoShape 757" descr="POLAND3"/>
        <xdr:cNvSpPr>
          <a:spLocks noChangeAspect="1" noChangeArrowheads="1"/>
        </xdr:cNvSpPr>
      </xdr:nvSpPr>
      <xdr:spPr bwMode="auto">
        <a:xfrm>
          <a:off x="0" y="107053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519</xdr:row>
      <xdr:rowOff>0</xdr:rowOff>
    </xdr:from>
    <xdr:to>
      <xdr:col>22</xdr:col>
      <xdr:colOff>304800</xdr:colOff>
      <xdr:row>520</xdr:row>
      <xdr:rowOff>53340</xdr:rowOff>
    </xdr:to>
    <xdr:sp macro="" textlink="">
      <xdr:nvSpPr>
        <xdr:cNvPr id="8502" name="AutoShape 758" descr="https://www.soccerstats.com/img/own/sshplogo.png">
          <a:hlinkClick xmlns:r="http://schemas.openxmlformats.org/officeDocument/2006/relationships" r:id="rId383"/>
        </xdr:cNvPr>
        <xdr:cNvSpPr>
          <a:spLocks noChangeAspect="1" noChangeArrowheads="1"/>
        </xdr:cNvSpPr>
      </xdr:nvSpPr>
      <xdr:spPr bwMode="auto">
        <a:xfrm>
          <a:off x="13411200" y="107053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152400</xdr:colOff>
      <xdr:row>520</xdr:row>
      <xdr:rowOff>106680</xdr:rowOff>
    </xdr:to>
    <xdr:sp macro="" textlink="">
      <xdr:nvSpPr>
        <xdr:cNvPr id="8503" name="AutoShape 759" descr="POLAND3"/>
        <xdr:cNvSpPr>
          <a:spLocks noChangeAspect="1" noChangeArrowheads="1"/>
        </xdr:cNvSpPr>
      </xdr:nvSpPr>
      <xdr:spPr bwMode="auto">
        <a:xfrm>
          <a:off x="0" y="107304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520</xdr:row>
      <xdr:rowOff>0</xdr:rowOff>
    </xdr:from>
    <xdr:to>
      <xdr:col>22</xdr:col>
      <xdr:colOff>304800</xdr:colOff>
      <xdr:row>521</xdr:row>
      <xdr:rowOff>53340</xdr:rowOff>
    </xdr:to>
    <xdr:sp macro="" textlink="">
      <xdr:nvSpPr>
        <xdr:cNvPr id="8504" name="AutoShape 760" descr="https://www.soccerstats.com/img/own/sshplogo.png">
          <a:hlinkClick xmlns:r="http://schemas.openxmlformats.org/officeDocument/2006/relationships" r:id="rId384"/>
        </xdr:cNvPr>
        <xdr:cNvSpPr>
          <a:spLocks noChangeAspect="1" noChangeArrowheads="1"/>
        </xdr:cNvSpPr>
      </xdr:nvSpPr>
      <xdr:spPr bwMode="auto">
        <a:xfrm>
          <a:off x="13411200" y="107304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152400</xdr:colOff>
      <xdr:row>521</xdr:row>
      <xdr:rowOff>106680</xdr:rowOff>
    </xdr:to>
    <xdr:sp macro="" textlink="">
      <xdr:nvSpPr>
        <xdr:cNvPr id="8505" name="AutoShape 761" descr="POLAND3"/>
        <xdr:cNvSpPr>
          <a:spLocks noChangeAspect="1" noChangeArrowheads="1"/>
        </xdr:cNvSpPr>
      </xdr:nvSpPr>
      <xdr:spPr bwMode="auto">
        <a:xfrm>
          <a:off x="0" y="107556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521</xdr:row>
      <xdr:rowOff>0</xdr:rowOff>
    </xdr:from>
    <xdr:to>
      <xdr:col>22</xdr:col>
      <xdr:colOff>304800</xdr:colOff>
      <xdr:row>522</xdr:row>
      <xdr:rowOff>53340</xdr:rowOff>
    </xdr:to>
    <xdr:sp macro="" textlink="">
      <xdr:nvSpPr>
        <xdr:cNvPr id="8506" name="AutoShape 762" descr="https://www.soccerstats.com/img/own/sshplogo.png">
          <a:hlinkClick xmlns:r="http://schemas.openxmlformats.org/officeDocument/2006/relationships" r:id="rId385"/>
        </xdr:cNvPr>
        <xdr:cNvSpPr>
          <a:spLocks noChangeAspect="1" noChangeArrowheads="1"/>
        </xdr:cNvSpPr>
      </xdr:nvSpPr>
      <xdr:spPr bwMode="auto">
        <a:xfrm>
          <a:off x="13411200" y="10755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152400</xdr:colOff>
      <xdr:row>522</xdr:row>
      <xdr:rowOff>106680</xdr:rowOff>
    </xdr:to>
    <xdr:sp macro="" textlink="">
      <xdr:nvSpPr>
        <xdr:cNvPr id="8507" name="AutoShape 763" descr="POLAND3"/>
        <xdr:cNvSpPr>
          <a:spLocks noChangeAspect="1" noChangeArrowheads="1"/>
        </xdr:cNvSpPr>
      </xdr:nvSpPr>
      <xdr:spPr bwMode="auto">
        <a:xfrm>
          <a:off x="0" y="107807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522</xdr:row>
      <xdr:rowOff>0</xdr:rowOff>
    </xdr:from>
    <xdr:to>
      <xdr:col>22</xdr:col>
      <xdr:colOff>304800</xdr:colOff>
      <xdr:row>523</xdr:row>
      <xdr:rowOff>53340</xdr:rowOff>
    </xdr:to>
    <xdr:sp macro="" textlink="">
      <xdr:nvSpPr>
        <xdr:cNvPr id="8508" name="AutoShape 764" descr="https://www.soccerstats.com/img/own/sshplogo.png">
          <a:hlinkClick xmlns:r="http://schemas.openxmlformats.org/officeDocument/2006/relationships" r:id="rId386"/>
        </xdr:cNvPr>
        <xdr:cNvSpPr>
          <a:spLocks noChangeAspect="1" noChangeArrowheads="1"/>
        </xdr:cNvSpPr>
      </xdr:nvSpPr>
      <xdr:spPr bwMode="auto">
        <a:xfrm>
          <a:off x="13411200" y="107807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152400</xdr:colOff>
      <xdr:row>523</xdr:row>
      <xdr:rowOff>106680</xdr:rowOff>
    </xdr:to>
    <xdr:sp macro="" textlink="">
      <xdr:nvSpPr>
        <xdr:cNvPr id="8509" name="AutoShape 765" descr="PORTUGAL2"/>
        <xdr:cNvSpPr>
          <a:spLocks noChangeAspect="1" noChangeArrowheads="1"/>
        </xdr:cNvSpPr>
      </xdr:nvSpPr>
      <xdr:spPr bwMode="auto">
        <a:xfrm>
          <a:off x="0" y="108059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523</xdr:row>
      <xdr:rowOff>0</xdr:rowOff>
    </xdr:from>
    <xdr:to>
      <xdr:col>22</xdr:col>
      <xdr:colOff>304800</xdr:colOff>
      <xdr:row>524</xdr:row>
      <xdr:rowOff>129540</xdr:rowOff>
    </xdr:to>
    <xdr:sp macro="" textlink="">
      <xdr:nvSpPr>
        <xdr:cNvPr id="8510" name="AutoShape 766" descr="https://www.soccerstats.com/img/own/sshplogo.png">
          <a:hlinkClick xmlns:r="http://schemas.openxmlformats.org/officeDocument/2006/relationships" r:id="rId387"/>
        </xdr:cNvPr>
        <xdr:cNvSpPr>
          <a:spLocks noChangeAspect="1" noChangeArrowheads="1"/>
        </xdr:cNvSpPr>
      </xdr:nvSpPr>
      <xdr:spPr bwMode="auto">
        <a:xfrm>
          <a:off x="13411200" y="108059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152400</xdr:colOff>
      <xdr:row>524</xdr:row>
      <xdr:rowOff>106680</xdr:rowOff>
    </xdr:to>
    <xdr:sp macro="" textlink="">
      <xdr:nvSpPr>
        <xdr:cNvPr id="8511" name="AutoShape 767" descr="PORTUGAL2"/>
        <xdr:cNvSpPr>
          <a:spLocks noChangeAspect="1" noChangeArrowheads="1"/>
        </xdr:cNvSpPr>
      </xdr:nvSpPr>
      <xdr:spPr bwMode="auto">
        <a:xfrm>
          <a:off x="0" y="108234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524</xdr:row>
      <xdr:rowOff>0</xdr:rowOff>
    </xdr:from>
    <xdr:to>
      <xdr:col>22</xdr:col>
      <xdr:colOff>304800</xdr:colOff>
      <xdr:row>525</xdr:row>
      <xdr:rowOff>53340</xdr:rowOff>
    </xdr:to>
    <xdr:sp macro="" textlink="">
      <xdr:nvSpPr>
        <xdr:cNvPr id="8512" name="AutoShape 768" descr="https://www.soccerstats.com/img/own/sshplogo.png">
          <a:hlinkClick xmlns:r="http://schemas.openxmlformats.org/officeDocument/2006/relationships" r:id="rId388"/>
        </xdr:cNvPr>
        <xdr:cNvSpPr>
          <a:spLocks noChangeAspect="1" noChangeArrowheads="1"/>
        </xdr:cNvSpPr>
      </xdr:nvSpPr>
      <xdr:spPr bwMode="auto">
        <a:xfrm>
          <a:off x="13411200" y="108234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152400</xdr:colOff>
      <xdr:row>525</xdr:row>
      <xdr:rowOff>106680</xdr:rowOff>
    </xdr:to>
    <xdr:sp macro="" textlink="">
      <xdr:nvSpPr>
        <xdr:cNvPr id="8513" name="AutoShape 769" descr="PORTUGAL2"/>
        <xdr:cNvSpPr>
          <a:spLocks noChangeAspect="1" noChangeArrowheads="1"/>
        </xdr:cNvSpPr>
      </xdr:nvSpPr>
      <xdr:spPr bwMode="auto">
        <a:xfrm>
          <a:off x="0" y="108485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525</xdr:row>
      <xdr:rowOff>0</xdr:rowOff>
    </xdr:from>
    <xdr:to>
      <xdr:col>22</xdr:col>
      <xdr:colOff>304800</xdr:colOff>
      <xdr:row>526</xdr:row>
      <xdr:rowOff>129540</xdr:rowOff>
    </xdr:to>
    <xdr:sp macro="" textlink="">
      <xdr:nvSpPr>
        <xdr:cNvPr id="8514" name="AutoShape 770" descr="https://www.soccerstats.com/img/own/sshplogo.png">
          <a:hlinkClick xmlns:r="http://schemas.openxmlformats.org/officeDocument/2006/relationships" r:id="rId389"/>
        </xdr:cNvPr>
        <xdr:cNvSpPr>
          <a:spLocks noChangeAspect="1" noChangeArrowheads="1"/>
        </xdr:cNvSpPr>
      </xdr:nvSpPr>
      <xdr:spPr bwMode="auto">
        <a:xfrm>
          <a:off x="13411200" y="108485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152400</xdr:colOff>
      <xdr:row>526</xdr:row>
      <xdr:rowOff>106680</xdr:rowOff>
    </xdr:to>
    <xdr:sp macro="" textlink="">
      <xdr:nvSpPr>
        <xdr:cNvPr id="8515" name="AutoShape 771" descr="ROMANIA"/>
        <xdr:cNvSpPr>
          <a:spLocks noChangeAspect="1" noChangeArrowheads="1"/>
        </xdr:cNvSpPr>
      </xdr:nvSpPr>
      <xdr:spPr bwMode="auto">
        <a:xfrm>
          <a:off x="0" y="108661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526</xdr:row>
      <xdr:rowOff>0</xdr:rowOff>
    </xdr:from>
    <xdr:to>
      <xdr:col>22</xdr:col>
      <xdr:colOff>304800</xdr:colOff>
      <xdr:row>527</xdr:row>
      <xdr:rowOff>129540</xdr:rowOff>
    </xdr:to>
    <xdr:sp macro="" textlink="">
      <xdr:nvSpPr>
        <xdr:cNvPr id="8516" name="AutoShape 772" descr="https://www.soccerstats.com/img/own/sshplogo.png">
          <a:hlinkClick xmlns:r="http://schemas.openxmlformats.org/officeDocument/2006/relationships" r:id="rId390"/>
        </xdr:cNvPr>
        <xdr:cNvSpPr>
          <a:spLocks noChangeAspect="1" noChangeArrowheads="1"/>
        </xdr:cNvSpPr>
      </xdr:nvSpPr>
      <xdr:spPr bwMode="auto">
        <a:xfrm>
          <a:off x="13411200" y="108661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152400</xdr:colOff>
      <xdr:row>527</xdr:row>
      <xdr:rowOff>106680</xdr:rowOff>
    </xdr:to>
    <xdr:sp macro="" textlink="">
      <xdr:nvSpPr>
        <xdr:cNvPr id="8517" name="AutoShape 773" descr="ROMANIA"/>
        <xdr:cNvSpPr>
          <a:spLocks noChangeAspect="1" noChangeArrowheads="1"/>
        </xdr:cNvSpPr>
      </xdr:nvSpPr>
      <xdr:spPr bwMode="auto">
        <a:xfrm>
          <a:off x="0" y="108836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527</xdr:row>
      <xdr:rowOff>0</xdr:rowOff>
    </xdr:from>
    <xdr:to>
      <xdr:col>22</xdr:col>
      <xdr:colOff>304800</xdr:colOff>
      <xdr:row>528</xdr:row>
      <xdr:rowOff>53340</xdr:rowOff>
    </xdr:to>
    <xdr:sp macro="" textlink="">
      <xdr:nvSpPr>
        <xdr:cNvPr id="8518" name="AutoShape 774" descr="https://www.soccerstats.com/img/own/sshplogo.png">
          <a:hlinkClick xmlns:r="http://schemas.openxmlformats.org/officeDocument/2006/relationships" r:id="rId391"/>
        </xdr:cNvPr>
        <xdr:cNvSpPr>
          <a:spLocks noChangeAspect="1" noChangeArrowheads="1"/>
        </xdr:cNvSpPr>
      </xdr:nvSpPr>
      <xdr:spPr bwMode="auto">
        <a:xfrm>
          <a:off x="13411200" y="108836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152400</xdr:colOff>
      <xdr:row>528</xdr:row>
      <xdr:rowOff>106680</xdr:rowOff>
    </xdr:to>
    <xdr:sp macro="" textlink="">
      <xdr:nvSpPr>
        <xdr:cNvPr id="8519" name="AutoShape 775" descr="RUSSIA"/>
        <xdr:cNvSpPr>
          <a:spLocks noChangeAspect="1" noChangeArrowheads="1"/>
        </xdr:cNvSpPr>
      </xdr:nvSpPr>
      <xdr:spPr bwMode="auto">
        <a:xfrm>
          <a:off x="0" y="109087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528</xdr:row>
      <xdr:rowOff>0</xdr:rowOff>
    </xdr:from>
    <xdr:to>
      <xdr:col>22</xdr:col>
      <xdr:colOff>304800</xdr:colOff>
      <xdr:row>529</xdr:row>
      <xdr:rowOff>53340</xdr:rowOff>
    </xdr:to>
    <xdr:sp macro="" textlink="">
      <xdr:nvSpPr>
        <xdr:cNvPr id="8520" name="AutoShape 776" descr="https://www.soccerstats.com/img/own/sshplogo.png">
          <a:hlinkClick xmlns:r="http://schemas.openxmlformats.org/officeDocument/2006/relationships" r:id="rId392"/>
        </xdr:cNvPr>
        <xdr:cNvSpPr>
          <a:spLocks noChangeAspect="1" noChangeArrowheads="1"/>
        </xdr:cNvSpPr>
      </xdr:nvSpPr>
      <xdr:spPr bwMode="auto">
        <a:xfrm>
          <a:off x="13411200" y="109087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152400</xdr:colOff>
      <xdr:row>529</xdr:row>
      <xdr:rowOff>106680</xdr:rowOff>
    </xdr:to>
    <xdr:sp macro="" textlink="">
      <xdr:nvSpPr>
        <xdr:cNvPr id="8521" name="AutoShape 777" descr="RUSSIA"/>
        <xdr:cNvSpPr>
          <a:spLocks noChangeAspect="1" noChangeArrowheads="1"/>
        </xdr:cNvSpPr>
      </xdr:nvSpPr>
      <xdr:spPr bwMode="auto">
        <a:xfrm>
          <a:off x="0" y="109339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529</xdr:row>
      <xdr:rowOff>0</xdr:rowOff>
    </xdr:from>
    <xdr:to>
      <xdr:col>22</xdr:col>
      <xdr:colOff>304800</xdr:colOff>
      <xdr:row>530</xdr:row>
      <xdr:rowOff>53340</xdr:rowOff>
    </xdr:to>
    <xdr:sp macro="" textlink="">
      <xdr:nvSpPr>
        <xdr:cNvPr id="8522" name="AutoShape 778" descr="https://www.soccerstats.com/img/own/sshplogo.png">
          <a:hlinkClick xmlns:r="http://schemas.openxmlformats.org/officeDocument/2006/relationships" r:id="rId393"/>
        </xdr:cNvPr>
        <xdr:cNvSpPr>
          <a:spLocks noChangeAspect="1" noChangeArrowheads="1"/>
        </xdr:cNvSpPr>
      </xdr:nvSpPr>
      <xdr:spPr bwMode="auto">
        <a:xfrm>
          <a:off x="13411200" y="109339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152400</xdr:colOff>
      <xdr:row>530</xdr:row>
      <xdr:rowOff>106680</xdr:rowOff>
    </xdr:to>
    <xdr:sp macro="" textlink="">
      <xdr:nvSpPr>
        <xdr:cNvPr id="8523" name="AutoShape 779" descr="RUSSIA"/>
        <xdr:cNvSpPr>
          <a:spLocks noChangeAspect="1" noChangeArrowheads="1"/>
        </xdr:cNvSpPr>
      </xdr:nvSpPr>
      <xdr:spPr bwMode="auto">
        <a:xfrm>
          <a:off x="0" y="109590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530</xdr:row>
      <xdr:rowOff>0</xdr:rowOff>
    </xdr:from>
    <xdr:to>
      <xdr:col>22</xdr:col>
      <xdr:colOff>304800</xdr:colOff>
      <xdr:row>531</xdr:row>
      <xdr:rowOff>129540</xdr:rowOff>
    </xdr:to>
    <xdr:sp macro="" textlink="">
      <xdr:nvSpPr>
        <xdr:cNvPr id="8524" name="AutoShape 780" descr="https://www.soccerstats.com/img/own/sshplogo.png">
          <a:hlinkClick xmlns:r="http://schemas.openxmlformats.org/officeDocument/2006/relationships" r:id="rId394"/>
        </xdr:cNvPr>
        <xdr:cNvSpPr>
          <a:spLocks noChangeAspect="1" noChangeArrowheads="1"/>
        </xdr:cNvSpPr>
      </xdr:nvSpPr>
      <xdr:spPr bwMode="auto">
        <a:xfrm>
          <a:off x="13411200" y="109590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152400</xdr:colOff>
      <xdr:row>531</xdr:row>
      <xdr:rowOff>106680</xdr:rowOff>
    </xdr:to>
    <xdr:sp macro="" textlink="">
      <xdr:nvSpPr>
        <xdr:cNvPr id="8525" name="AutoShape 781" descr="RUSSIA"/>
        <xdr:cNvSpPr>
          <a:spLocks noChangeAspect="1" noChangeArrowheads="1"/>
        </xdr:cNvSpPr>
      </xdr:nvSpPr>
      <xdr:spPr bwMode="auto">
        <a:xfrm>
          <a:off x="0" y="109766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531</xdr:row>
      <xdr:rowOff>0</xdr:rowOff>
    </xdr:from>
    <xdr:to>
      <xdr:col>22</xdr:col>
      <xdr:colOff>304800</xdr:colOff>
      <xdr:row>532</xdr:row>
      <xdr:rowOff>53340</xdr:rowOff>
    </xdr:to>
    <xdr:sp macro="" textlink="">
      <xdr:nvSpPr>
        <xdr:cNvPr id="8526" name="AutoShape 782" descr="https://www.soccerstats.com/img/own/sshplogo.png">
          <a:hlinkClick xmlns:r="http://schemas.openxmlformats.org/officeDocument/2006/relationships" r:id="rId395"/>
        </xdr:cNvPr>
        <xdr:cNvSpPr>
          <a:spLocks noChangeAspect="1" noChangeArrowheads="1"/>
        </xdr:cNvSpPr>
      </xdr:nvSpPr>
      <xdr:spPr bwMode="auto">
        <a:xfrm>
          <a:off x="13411200" y="109766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152400</xdr:colOff>
      <xdr:row>532</xdr:row>
      <xdr:rowOff>106680</xdr:rowOff>
    </xdr:to>
    <xdr:sp macro="" textlink="">
      <xdr:nvSpPr>
        <xdr:cNvPr id="8527" name="AutoShape 783" descr="SAUDIARABIA"/>
        <xdr:cNvSpPr>
          <a:spLocks noChangeAspect="1" noChangeArrowheads="1"/>
        </xdr:cNvSpPr>
      </xdr:nvSpPr>
      <xdr:spPr bwMode="auto">
        <a:xfrm>
          <a:off x="0" y="110017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532</xdr:row>
      <xdr:rowOff>0</xdr:rowOff>
    </xdr:from>
    <xdr:to>
      <xdr:col>22</xdr:col>
      <xdr:colOff>304800</xdr:colOff>
      <xdr:row>533</xdr:row>
      <xdr:rowOff>129540</xdr:rowOff>
    </xdr:to>
    <xdr:sp macro="" textlink="">
      <xdr:nvSpPr>
        <xdr:cNvPr id="8528" name="AutoShape 784" descr="https://www.soccerstats.com/img/own/sshplogo.png">
          <a:hlinkClick xmlns:r="http://schemas.openxmlformats.org/officeDocument/2006/relationships" r:id="rId396"/>
        </xdr:cNvPr>
        <xdr:cNvSpPr>
          <a:spLocks noChangeAspect="1" noChangeArrowheads="1"/>
        </xdr:cNvSpPr>
      </xdr:nvSpPr>
      <xdr:spPr bwMode="auto">
        <a:xfrm>
          <a:off x="13411200" y="110017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152400</xdr:colOff>
      <xdr:row>533</xdr:row>
      <xdr:rowOff>106680</xdr:rowOff>
    </xdr:to>
    <xdr:sp macro="" textlink="">
      <xdr:nvSpPr>
        <xdr:cNvPr id="8529" name="AutoShape 785" descr="SAUDIARABIA"/>
        <xdr:cNvSpPr>
          <a:spLocks noChangeAspect="1" noChangeArrowheads="1"/>
        </xdr:cNvSpPr>
      </xdr:nvSpPr>
      <xdr:spPr bwMode="auto">
        <a:xfrm>
          <a:off x="0" y="110192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533</xdr:row>
      <xdr:rowOff>0</xdr:rowOff>
    </xdr:from>
    <xdr:to>
      <xdr:col>22</xdr:col>
      <xdr:colOff>304800</xdr:colOff>
      <xdr:row>534</xdr:row>
      <xdr:rowOff>129540</xdr:rowOff>
    </xdr:to>
    <xdr:sp macro="" textlink="">
      <xdr:nvSpPr>
        <xdr:cNvPr id="8530" name="AutoShape 786" descr="https://www.soccerstats.com/img/own/sshplogo.png">
          <a:hlinkClick xmlns:r="http://schemas.openxmlformats.org/officeDocument/2006/relationships" r:id="rId397"/>
        </xdr:cNvPr>
        <xdr:cNvSpPr>
          <a:spLocks noChangeAspect="1" noChangeArrowheads="1"/>
        </xdr:cNvSpPr>
      </xdr:nvSpPr>
      <xdr:spPr bwMode="auto">
        <a:xfrm>
          <a:off x="13411200" y="110192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152400</xdr:colOff>
      <xdr:row>534</xdr:row>
      <xdr:rowOff>106680</xdr:rowOff>
    </xdr:to>
    <xdr:sp macro="" textlink="">
      <xdr:nvSpPr>
        <xdr:cNvPr id="8531" name="AutoShape 787" descr="SAUDIARABIA"/>
        <xdr:cNvSpPr>
          <a:spLocks noChangeAspect="1" noChangeArrowheads="1"/>
        </xdr:cNvSpPr>
      </xdr:nvSpPr>
      <xdr:spPr bwMode="auto">
        <a:xfrm>
          <a:off x="0" y="110368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534</xdr:row>
      <xdr:rowOff>0</xdr:rowOff>
    </xdr:from>
    <xdr:to>
      <xdr:col>22</xdr:col>
      <xdr:colOff>304800</xdr:colOff>
      <xdr:row>535</xdr:row>
      <xdr:rowOff>129540</xdr:rowOff>
    </xdr:to>
    <xdr:sp macro="" textlink="">
      <xdr:nvSpPr>
        <xdr:cNvPr id="8532" name="AutoShape 788" descr="https://www.soccerstats.com/img/own/sshplogo.png">
          <a:hlinkClick xmlns:r="http://schemas.openxmlformats.org/officeDocument/2006/relationships" r:id="rId398"/>
        </xdr:cNvPr>
        <xdr:cNvSpPr>
          <a:spLocks noChangeAspect="1" noChangeArrowheads="1"/>
        </xdr:cNvSpPr>
      </xdr:nvSpPr>
      <xdr:spPr bwMode="auto">
        <a:xfrm>
          <a:off x="13411200" y="110368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152400</xdr:colOff>
      <xdr:row>535</xdr:row>
      <xdr:rowOff>106680</xdr:rowOff>
    </xdr:to>
    <xdr:sp macro="" textlink="">
      <xdr:nvSpPr>
        <xdr:cNvPr id="8533" name="AutoShape 789" descr="SCOTLAND3"/>
        <xdr:cNvSpPr>
          <a:spLocks noChangeAspect="1" noChangeArrowheads="1"/>
        </xdr:cNvSpPr>
      </xdr:nvSpPr>
      <xdr:spPr bwMode="auto">
        <a:xfrm>
          <a:off x="0" y="110543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535</xdr:row>
      <xdr:rowOff>0</xdr:rowOff>
    </xdr:from>
    <xdr:to>
      <xdr:col>22</xdr:col>
      <xdr:colOff>304800</xdr:colOff>
      <xdr:row>536</xdr:row>
      <xdr:rowOff>129540</xdr:rowOff>
    </xdr:to>
    <xdr:sp macro="" textlink="">
      <xdr:nvSpPr>
        <xdr:cNvPr id="8534" name="AutoShape 790" descr="https://www.soccerstats.com/img/own/sshplogo.png">
          <a:hlinkClick xmlns:r="http://schemas.openxmlformats.org/officeDocument/2006/relationships" r:id="rId399"/>
        </xdr:cNvPr>
        <xdr:cNvSpPr>
          <a:spLocks noChangeAspect="1" noChangeArrowheads="1"/>
        </xdr:cNvSpPr>
      </xdr:nvSpPr>
      <xdr:spPr bwMode="auto">
        <a:xfrm>
          <a:off x="13411200" y="110543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152400</xdr:colOff>
      <xdr:row>536</xdr:row>
      <xdr:rowOff>106680</xdr:rowOff>
    </xdr:to>
    <xdr:sp macro="" textlink="">
      <xdr:nvSpPr>
        <xdr:cNvPr id="8535" name="AutoShape 791" descr="SCOTLAND3"/>
        <xdr:cNvSpPr>
          <a:spLocks noChangeAspect="1" noChangeArrowheads="1"/>
        </xdr:cNvSpPr>
      </xdr:nvSpPr>
      <xdr:spPr bwMode="auto">
        <a:xfrm>
          <a:off x="0" y="110718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536</xdr:row>
      <xdr:rowOff>0</xdr:rowOff>
    </xdr:from>
    <xdr:to>
      <xdr:col>22</xdr:col>
      <xdr:colOff>304800</xdr:colOff>
      <xdr:row>537</xdr:row>
      <xdr:rowOff>129540</xdr:rowOff>
    </xdr:to>
    <xdr:sp macro="" textlink="">
      <xdr:nvSpPr>
        <xdr:cNvPr id="8536" name="AutoShape 792" descr="https://www.soccerstats.com/img/own/sshplogo.png">
          <a:hlinkClick xmlns:r="http://schemas.openxmlformats.org/officeDocument/2006/relationships" r:id="rId400"/>
        </xdr:cNvPr>
        <xdr:cNvSpPr>
          <a:spLocks noChangeAspect="1" noChangeArrowheads="1"/>
        </xdr:cNvSpPr>
      </xdr:nvSpPr>
      <xdr:spPr bwMode="auto">
        <a:xfrm>
          <a:off x="13411200" y="110718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152400</xdr:colOff>
      <xdr:row>537</xdr:row>
      <xdr:rowOff>106680</xdr:rowOff>
    </xdr:to>
    <xdr:sp macro="" textlink="">
      <xdr:nvSpPr>
        <xdr:cNvPr id="8537" name="AutoShape 793" descr="SCOTLAND3"/>
        <xdr:cNvSpPr>
          <a:spLocks noChangeAspect="1" noChangeArrowheads="1"/>
        </xdr:cNvSpPr>
      </xdr:nvSpPr>
      <xdr:spPr bwMode="auto">
        <a:xfrm>
          <a:off x="0" y="110893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537</xdr:row>
      <xdr:rowOff>0</xdr:rowOff>
    </xdr:from>
    <xdr:to>
      <xdr:col>22</xdr:col>
      <xdr:colOff>304800</xdr:colOff>
      <xdr:row>538</xdr:row>
      <xdr:rowOff>129540</xdr:rowOff>
    </xdr:to>
    <xdr:sp macro="" textlink="">
      <xdr:nvSpPr>
        <xdr:cNvPr id="8538" name="AutoShape 794" descr="https://www.soccerstats.com/img/own/sshplogo.png">
          <a:hlinkClick xmlns:r="http://schemas.openxmlformats.org/officeDocument/2006/relationships" r:id="rId401"/>
        </xdr:cNvPr>
        <xdr:cNvSpPr>
          <a:spLocks noChangeAspect="1" noChangeArrowheads="1"/>
        </xdr:cNvSpPr>
      </xdr:nvSpPr>
      <xdr:spPr bwMode="auto">
        <a:xfrm>
          <a:off x="13411200" y="110893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152400</xdr:colOff>
      <xdr:row>538</xdr:row>
      <xdr:rowOff>106680</xdr:rowOff>
    </xdr:to>
    <xdr:sp macro="" textlink="">
      <xdr:nvSpPr>
        <xdr:cNvPr id="8539" name="AutoShape 795" descr="SCOTLAND3"/>
        <xdr:cNvSpPr>
          <a:spLocks noChangeAspect="1" noChangeArrowheads="1"/>
        </xdr:cNvSpPr>
      </xdr:nvSpPr>
      <xdr:spPr bwMode="auto">
        <a:xfrm>
          <a:off x="0" y="111069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538</xdr:row>
      <xdr:rowOff>0</xdr:rowOff>
    </xdr:from>
    <xdr:to>
      <xdr:col>22</xdr:col>
      <xdr:colOff>304800</xdr:colOff>
      <xdr:row>539</xdr:row>
      <xdr:rowOff>129540</xdr:rowOff>
    </xdr:to>
    <xdr:sp macro="" textlink="">
      <xdr:nvSpPr>
        <xdr:cNvPr id="8540" name="AutoShape 796" descr="https://www.soccerstats.com/img/own/sshplogo.png">
          <a:hlinkClick xmlns:r="http://schemas.openxmlformats.org/officeDocument/2006/relationships" r:id="rId402"/>
        </xdr:cNvPr>
        <xdr:cNvSpPr>
          <a:spLocks noChangeAspect="1" noChangeArrowheads="1"/>
        </xdr:cNvSpPr>
      </xdr:nvSpPr>
      <xdr:spPr bwMode="auto">
        <a:xfrm>
          <a:off x="13411200" y="11106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152400</xdr:colOff>
      <xdr:row>539</xdr:row>
      <xdr:rowOff>106680</xdr:rowOff>
    </xdr:to>
    <xdr:sp macro="" textlink="">
      <xdr:nvSpPr>
        <xdr:cNvPr id="8541" name="AutoShape 797" descr="SCOTLAND4"/>
        <xdr:cNvSpPr>
          <a:spLocks noChangeAspect="1" noChangeArrowheads="1"/>
        </xdr:cNvSpPr>
      </xdr:nvSpPr>
      <xdr:spPr bwMode="auto">
        <a:xfrm>
          <a:off x="0" y="111244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539</xdr:row>
      <xdr:rowOff>0</xdr:rowOff>
    </xdr:from>
    <xdr:to>
      <xdr:col>22</xdr:col>
      <xdr:colOff>304800</xdr:colOff>
      <xdr:row>540</xdr:row>
      <xdr:rowOff>53340</xdr:rowOff>
    </xdr:to>
    <xdr:sp macro="" textlink="">
      <xdr:nvSpPr>
        <xdr:cNvPr id="8542" name="AutoShape 798" descr="https://www.soccerstats.com/img/own/sshplogo.png">
          <a:hlinkClick xmlns:r="http://schemas.openxmlformats.org/officeDocument/2006/relationships" r:id="rId403"/>
        </xdr:cNvPr>
        <xdr:cNvSpPr>
          <a:spLocks noChangeAspect="1" noChangeArrowheads="1"/>
        </xdr:cNvSpPr>
      </xdr:nvSpPr>
      <xdr:spPr bwMode="auto">
        <a:xfrm>
          <a:off x="13411200" y="111244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152400</xdr:colOff>
      <xdr:row>540</xdr:row>
      <xdr:rowOff>106680</xdr:rowOff>
    </xdr:to>
    <xdr:sp macro="" textlink="">
      <xdr:nvSpPr>
        <xdr:cNvPr id="8543" name="AutoShape 799" descr="SCOTLAND4"/>
        <xdr:cNvSpPr>
          <a:spLocks noChangeAspect="1" noChangeArrowheads="1"/>
        </xdr:cNvSpPr>
      </xdr:nvSpPr>
      <xdr:spPr bwMode="auto">
        <a:xfrm>
          <a:off x="0" y="111495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540</xdr:row>
      <xdr:rowOff>0</xdr:rowOff>
    </xdr:from>
    <xdr:to>
      <xdr:col>22</xdr:col>
      <xdr:colOff>304800</xdr:colOff>
      <xdr:row>541</xdr:row>
      <xdr:rowOff>53340</xdr:rowOff>
    </xdr:to>
    <xdr:sp macro="" textlink="">
      <xdr:nvSpPr>
        <xdr:cNvPr id="8544" name="AutoShape 800" descr="https://www.soccerstats.com/img/own/sshplogo.png">
          <a:hlinkClick xmlns:r="http://schemas.openxmlformats.org/officeDocument/2006/relationships" r:id="rId404"/>
        </xdr:cNvPr>
        <xdr:cNvSpPr>
          <a:spLocks noChangeAspect="1" noChangeArrowheads="1"/>
        </xdr:cNvSpPr>
      </xdr:nvSpPr>
      <xdr:spPr bwMode="auto">
        <a:xfrm>
          <a:off x="13411200" y="111495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152400</xdr:colOff>
      <xdr:row>541</xdr:row>
      <xdr:rowOff>106680</xdr:rowOff>
    </xdr:to>
    <xdr:sp macro="" textlink="">
      <xdr:nvSpPr>
        <xdr:cNvPr id="8545" name="AutoShape 801" descr="SCOTLAND4"/>
        <xdr:cNvSpPr>
          <a:spLocks noChangeAspect="1" noChangeArrowheads="1"/>
        </xdr:cNvSpPr>
      </xdr:nvSpPr>
      <xdr:spPr bwMode="auto">
        <a:xfrm>
          <a:off x="0" y="111747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541</xdr:row>
      <xdr:rowOff>0</xdr:rowOff>
    </xdr:from>
    <xdr:to>
      <xdr:col>22</xdr:col>
      <xdr:colOff>304800</xdr:colOff>
      <xdr:row>542</xdr:row>
      <xdr:rowOff>129540</xdr:rowOff>
    </xdr:to>
    <xdr:sp macro="" textlink="">
      <xdr:nvSpPr>
        <xdr:cNvPr id="8546" name="AutoShape 802" descr="https://www.soccerstats.com/img/own/sshplogo.png">
          <a:hlinkClick xmlns:r="http://schemas.openxmlformats.org/officeDocument/2006/relationships" r:id="rId405"/>
        </xdr:cNvPr>
        <xdr:cNvSpPr>
          <a:spLocks noChangeAspect="1" noChangeArrowheads="1"/>
        </xdr:cNvSpPr>
      </xdr:nvSpPr>
      <xdr:spPr bwMode="auto">
        <a:xfrm>
          <a:off x="13411200" y="111747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152400</xdr:colOff>
      <xdr:row>542</xdr:row>
      <xdr:rowOff>106680</xdr:rowOff>
    </xdr:to>
    <xdr:sp macro="" textlink="">
      <xdr:nvSpPr>
        <xdr:cNvPr id="8547" name="AutoShape 803" descr="SCOTLAND4"/>
        <xdr:cNvSpPr>
          <a:spLocks noChangeAspect="1" noChangeArrowheads="1"/>
        </xdr:cNvSpPr>
      </xdr:nvSpPr>
      <xdr:spPr bwMode="auto">
        <a:xfrm>
          <a:off x="0" y="111922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542</xdr:row>
      <xdr:rowOff>0</xdr:rowOff>
    </xdr:from>
    <xdr:to>
      <xdr:col>22</xdr:col>
      <xdr:colOff>304800</xdr:colOff>
      <xdr:row>543</xdr:row>
      <xdr:rowOff>53340</xdr:rowOff>
    </xdr:to>
    <xdr:sp macro="" textlink="">
      <xdr:nvSpPr>
        <xdr:cNvPr id="8548" name="AutoShape 804" descr="https://www.soccerstats.com/img/own/sshplogo.png">
          <a:hlinkClick xmlns:r="http://schemas.openxmlformats.org/officeDocument/2006/relationships" r:id="rId406"/>
        </xdr:cNvPr>
        <xdr:cNvSpPr>
          <a:spLocks noChangeAspect="1" noChangeArrowheads="1"/>
        </xdr:cNvSpPr>
      </xdr:nvSpPr>
      <xdr:spPr bwMode="auto">
        <a:xfrm>
          <a:off x="13411200" y="111922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152400</xdr:colOff>
      <xdr:row>543</xdr:row>
      <xdr:rowOff>106680</xdr:rowOff>
    </xdr:to>
    <xdr:sp macro="" textlink="">
      <xdr:nvSpPr>
        <xdr:cNvPr id="8549" name="AutoShape 805" descr="SCOTLAND4"/>
        <xdr:cNvSpPr>
          <a:spLocks noChangeAspect="1" noChangeArrowheads="1"/>
        </xdr:cNvSpPr>
      </xdr:nvSpPr>
      <xdr:spPr bwMode="auto">
        <a:xfrm>
          <a:off x="0" y="112174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543</xdr:row>
      <xdr:rowOff>0</xdr:rowOff>
    </xdr:from>
    <xdr:to>
      <xdr:col>22</xdr:col>
      <xdr:colOff>304800</xdr:colOff>
      <xdr:row>544</xdr:row>
      <xdr:rowOff>129540</xdr:rowOff>
    </xdr:to>
    <xdr:sp macro="" textlink="">
      <xdr:nvSpPr>
        <xdr:cNvPr id="8550" name="AutoShape 806" descr="https://www.soccerstats.com/img/own/sshplogo.png">
          <a:hlinkClick xmlns:r="http://schemas.openxmlformats.org/officeDocument/2006/relationships" r:id="rId407"/>
        </xdr:cNvPr>
        <xdr:cNvSpPr>
          <a:spLocks noChangeAspect="1" noChangeArrowheads="1"/>
        </xdr:cNvSpPr>
      </xdr:nvSpPr>
      <xdr:spPr bwMode="auto">
        <a:xfrm>
          <a:off x="13411200" y="112174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152400</xdr:colOff>
      <xdr:row>544</xdr:row>
      <xdr:rowOff>106680</xdr:rowOff>
    </xdr:to>
    <xdr:sp macro="" textlink="">
      <xdr:nvSpPr>
        <xdr:cNvPr id="8551" name="AutoShape 807" descr="SERBIA"/>
        <xdr:cNvSpPr>
          <a:spLocks noChangeAspect="1" noChangeArrowheads="1"/>
        </xdr:cNvSpPr>
      </xdr:nvSpPr>
      <xdr:spPr bwMode="auto">
        <a:xfrm>
          <a:off x="0" y="112349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544</xdr:row>
      <xdr:rowOff>0</xdr:rowOff>
    </xdr:from>
    <xdr:to>
      <xdr:col>22</xdr:col>
      <xdr:colOff>304800</xdr:colOff>
      <xdr:row>545</xdr:row>
      <xdr:rowOff>129540</xdr:rowOff>
    </xdr:to>
    <xdr:sp macro="" textlink="">
      <xdr:nvSpPr>
        <xdr:cNvPr id="8552" name="AutoShape 808" descr="https://www.soccerstats.com/img/own/sshplogo.png">
          <a:hlinkClick xmlns:r="http://schemas.openxmlformats.org/officeDocument/2006/relationships" r:id="rId412"/>
        </xdr:cNvPr>
        <xdr:cNvSpPr>
          <a:spLocks noChangeAspect="1" noChangeArrowheads="1"/>
        </xdr:cNvSpPr>
      </xdr:nvSpPr>
      <xdr:spPr bwMode="auto">
        <a:xfrm>
          <a:off x="13411200" y="112349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152400</xdr:colOff>
      <xdr:row>545</xdr:row>
      <xdr:rowOff>106680</xdr:rowOff>
    </xdr:to>
    <xdr:sp macro="" textlink="">
      <xdr:nvSpPr>
        <xdr:cNvPr id="8553" name="AutoShape 809" descr="SERBIA"/>
        <xdr:cNvSpPr>
          <a:spLocks noChangeAspect="1" noChangeArrowheads="1"/>
        </xdr:cNvSpPr>
      </xdr:nvSpPr>
      <xdr:spPr bwMode="auto">
        <a:xfrm>
          <a:off x="0" y="11252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545</xdr:row>
      <xdr:rowOff>0</xdr:rowOff>
    </xdr:from>
    <xdr:to>
      <xdr:col>22</xdr:col>
      <xdr:colOff>304800</xdr:colOff>
      <xdr:row>546</xdr:row>
      <xdr:rowOff>129540</xdr:rowOff>
    </xdr:to>
    <xdr:sp macro="" textlink="">
      <xdr:nvSpPr>
        <xdr:cNvPr id="8554" name="AutoShape 810" descr="https://www.soccerstats.com/img/own/sshplogo.png">
          <a:hlinkClick xmlns:r="http://schemas.openxmlformats.org/officeDocument/2006/relationships" r:id="rId413"/>
        </xdr:cNvPr>
        <xdr:cNvSpPr>
          <a:spLocks noChangeAspect="1" noChangeArrowheads="1"/>
        </xdr:cNvSpPr>
      </xdr:nvSpPr>
      <xdr:spPr bwMode="auto">
        <a:xfrm>
          <a:off x="13411200" y="11252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152400</xdr:colOff>
      <xdr:row>546</xdr:row>
      <xdr:rowOff>106680</xdr:rowOff>
    </xdr:to>
    <xdr:sp macro="" textlink="">
      <xdr:nvSpPr>
        <xdr:cNvPr id="8555" name="AutoShape 811" descr="SERBIA"/>
        <xdr:cNvSpPr>
          <a:spLocks noChangeAspect="1" noChangeArrowheads="1"/>
        </xdr:cNvSpPr>
      </xdr:nvSpPr>
      <xdr:spPr bwMode="auto">
        <a:xfrm>
          <a:off x="0" y="112699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546</xdr:row>
      <xdr:rowOff>0</xdr:rowOff>
    </xdr:from>
    <xdr:to>
      <xdr:col>22</xdr:col>
      <xdr:colOff>304800</xdr:colOff>
      <xdr:row>547</xdr:row>
      <xdr:rowOff>129540</xdr:rowOff>
    </xdr:to>
    <xdr:sp macro="" textlink="">
      <xdr:nvSpPr>
        <xdr:cNvPr id="8556" name="AutoShape 812" descr="https://www.soccerstats.com/img/own/sshplogo.png">
          <a:hlinkClick xmlns:r="http://schemas.openxmlformats.org/officeDocument/2006/relationships" r:id="rId408"/>
        </xdr:cNvPr>
        <xdr:cNvSpPr>
          <a:spLocks noChangeAspect="1" noChangeArrowheads="1"/>
        </xdr:cNvSpPr>
      </xdr:nvSpPr>
      <xdr:spPr bwMode="auto">
        <a:xfrm>
          <a:off x="13411200" y="112699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152400</xdr:colOff>
      <xdr:row>547</xdr:row>
      <xdr:rowOff>106680</xdr:rowOff>
    </xdr:to>
    <xdr:sp macro="" textlink="">
      <xdr:nvSpPr>
        <xdr:cNvPr id="8557" name="AutoShape 813" descr="SLOVAKIA"/>
        <xdr:cNvSpPr>
          <a:spLocks noChangeAspect="1" noChangeArrowheads="1"/>
        </xdr:cNvSpPr>
      </xdr:nvSpPr>
      <xdr:spPr bwMode="auto">
        <a:xfrm>
          <a:off x="0" y="11287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547</xdr:row>
      <xdr:rowOff>0</xdr:rowOff>
    </xdr:from>
    <xdr:to>
      <xdr:col>22</xdr:col>
      <xdr:colOff>304800</xdr:colOff>
      <xdr:row>548</xdr:row>
      <xdr:rowOff>53340</xdr:rowOff>
    </xdr:to>
    <xdr:sp macro="" textlink="">
      <xdr:nvSpPr>
        <xdr:cNvPr id="8558" name="AutoShape 814" descr="https://www.soccerstats.com/img/own/sshplogo.png">
          <a:hlinkClick xmlns:r="http://schemas.openxmlformats.org/officeDocument/2006/relationships" r:id="rId415"/>
        </xdr:cNvPr>
        <xdr:cNvSpPr>
          <a:spLocks noChangeAspect="1" noChangeArrowheads="1"/>
        </xdr:cNvSpPr>
      </xdr:nvSpPr>
      <xdr:spPr bwMode="auto">
        <a:xfrm>
          <a:off x="13411200" y="11287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152400</xdr:colOff>
      <xdr:row>548</xdr:row>
      <xdr:rowOff>106680</xdr:rowOff>
    </xdr:to>
    <xdr:sp macro="" textlink="">
      <xdr:nvSpPr>
        <xdr:cNvPr id="8559" name="AutoShape 815" descr="SLOVAKIA"/>
        <xdr:cNvSpPr>
          <a:spLocks noChangeAspect="1" noChangeArrowheads="1"/>
        </xdr:cNvSpPr>
      </xdr:nvSpPr>
      <xdr:spPr bwMode="auto">
        <a:xfrm>
          <a:off x="0" y="113126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548</xdr:row>
      <xdr:rowOff>0</xdr:rowOff>
    </xdr:from>
    <xdr:to>
      <xdr:col>22</xdr:col>
      <xdr:colOff>304800</xdr:colOff>
      <xdr:row>549</xdr:row>
      <xdr:rowOff>129540</xdr:rowOff>
    </xdr:to>
    <xdr:sp macro="" textlink="">
      <xdr:nvSpPr>
        <xdr:cNvPr id="8560" name="AutoShape 816" descr="https://www.soccerstats.com/img/own/sshplogo.png">
          <a:hlinkClick xmlns:r="http://schemas.openxmlformats.org/officeDocument/2006/relationships" r:id="rId416"/>
        </xdr:cNvPr>
        <xdr:cNvSpPr>
          <a:spLocks noChangeAspect="1" noChangeArrowheads="1"/>
        </xdr:cNvSpPr>
      </xdr:nvSpPr>
      <xdr:spPr bwMode="auto">
        <a:xfrm>
          <a:off x="13411200" y="113126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152400</xdr:colOff>
      <xdr:row>549</xdr:row>
      <xdr:rowOff>106680</xdr:rowOff>
    </xdr:to>
    <xdr:sp macro="" textlink="">
      <xdr:nvSpPr>
        <xdr:cNvPr id="8561" name="AutoShape 817" descr="SLOVAKIA"/>
        <xdr:cNvSpPr>
          <a:spLocks noChangeAspect="1" noChangeArrowheads="1"/>
        </xdr:cNvSpPr>
      </xdr:nvSpPr>
      <xdr:spPr bwMode="auto">
        <a:xfrm>
          <a:off x="0" y="113301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549</xdr:row>
      <xdr:rowOff>0</xdr:rowOff>
    </xdr:from>
    <xdr:to>
      <xdr:col>22</xdr:col>
      <xdr:colOff>304800</xdr:colOff>
      <xdr:row>550</xdr:row>
      <xdr:rowOff>129540</xdr:rowOff>
    </xdr:to>
    <xdr:sp macro="" textlink="">
      <xdr:nvSpPr>
        <xdr:cNvPr id="8562" name="AutoShape 818" descr="https://www.soccerstats.com/img/own/sshplogo.png">
          <a:hlinkClick xmlns:r="http://schemas.openxmlformats.org/officeDocument/2006/relationships" r:id="rId417"/>
        </xdr:cNvPr>
        <xdr:cNvSpPr>
          <a:spLocks noChangeAspect="1" noChangeArrowheads="1"/>
        </xdr:cNvSpPr>
      </xdr:nvSpPr>
      <xdr:spPr bwMode="auto">
        <a:xfrm>
          <a:off x="13411200" y="113301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152400</xdr:colOff>
      <xdr:row>550</xdr:row>
      <xdr:rowOff>106680</xdr:rowOff>
    </xdr:to>
    <xdr:sp macro="" textlink="">
      <xdr:nvSpPr>
        <xdr:cNvPr id="8563" name="AutoShape 819" descr="SLOVAKIA"/>
        <xdr:cNvSpPr>
          <a:spLocks noChangeAspect="1" noChangeArrowheads="1"/>
        </xdr:cNvSpPr>
      </xdr:nvSpPr>
      <xdr:spPr bwMode="auto">
        <a:xfrm>
          <a:off x="0" y="113477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550</xdr:row>
      <xdr:rowOff>0</xdr:rowOff>
    </xdr:from>
    <xdr:to>
      <xdr:col>22</xdr:col>
      <xdr:colOff>304800</xdr:colOff>
      <xdr:row>551</xdr:row>
      <xdr:rowOff>129540</xdr:rowOff>
    </xdr:to>
    <xdr:sp macro="" textlink="">
      <xdr:nvSpPr>
        <xdr:cNvPr id="8564" name="AutoShape 820" descr="https://www.soccerstats.com/img/own/sshplogo.png">
          <a:hlinkClick xmlns:r="http://schemas.openxmlformats.org/officeDocument/2006/relationships" r:id="rId418"/>
        </xdr:cNvPr>
        <xdr:cNvSpPr>
          <a:spLocks noChangeAspect="1" noChangeArrowheads="1"/>
        </xdr:cNvSpPr>
      </xdr:nvSpPr>
      <xdr:spPr bwMode="auto">
        <a:xfrm>
          <a:off x="13411200" y="113477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152400</xdr:colOff>
      <xdr:row>551</xdr:row>
      <xdr:rowOff>106680</xdr:rowOff>
    </xdr:to>
    <xdr:sp macro="" textlink="">
      <xdr:nvSpPr>
        <xdr:cNvPr id="8565" name="AutoShape 821" descr="SLOVENIA"/>
        <xdr:cNvSpPr>
          <a:spLocks noChangeAspect="1" noChangeArrowheads="1"/>
        </xdr:cNvSpPr>
      </xdr:nvSpPr>
      <xdr:spPr bwMode="auto">
        <a:xfrm>
          <a:off x="0" y="113652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551</xdr:row>
      <xdr:rowOff>0</xdr:rowOff>
    </xdr:from>
    <xdr:to>
      <xdr:col>22</xdr:col>
      <xdr:colOff>304800</xdr:colOff>
      <xdr:row>552</xdr:row>
      <xdr:rowOff>129540</xdr:rowOff>
    </xdr:to>
    <xdr:sp macro="" textlink="">
      <xdr:nvSpPr>
        <xdr:cNvPr id="8566" name="AutoShape 822" descr="https://www.soccerstats.com/img/own/sshplogo.png">
          <a:hlinkClick xmlns:r="http://schemas.openxmlformats.org/officeDocument/2006/relationships" r:id="rId419"/>
        </xdr:cNvPr>
        <xdr:cNvSpPr>
          <a:spLocks noChangeAspect="1" noChangeArrowheads="1"/>
        </xdr:cNvSpPr>
      </xdr:nvSpPr>
      <xdr:spPr bwMode="auto">
        <a:xfrm>
          <a:off x="13411200" y="113652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152400</xdr:colOff>
      <xdr:row>552</xdr:row>
      <xdr:rowOff>106680</xdr:rowOff>
    </xdr:to>
    <xdr:sp macro="" textlink="">
      <xdr:nvSpPr>
        <xdr:cNvPr id="8567" name="AutoShape 823" descr="SLOVENIA"/>
        <xdr:cNvSpPr>
          <a:spLocks noChangeAspect="1" noChangeArrowheads="1"/>
        </xdr:cNvSpPr>
      </xdr:nvSpPr>
      <xdr:spPr bwMode="auto">
        <a:xfrm>
          <a:off x="0" y="113827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552</xdr:row>
      <xdr:rowOff>0</xdr:rowOff>
    </xdr:from>
    <xdr:to>
      <xdr:col>22</xdr:col>
      <xdr:colOff>304800</xdr:colOff>
      <xdr:row>553</xdr:row>
      <xdr:rowOff>129540</xdr:rowOff>
    </xdr:to>
    <xdr:sp macro="" textlink="">
      <xdr:nvSpPr>
        <xdr:cNvPr id="8568" name="AutoShape 824" descr="https://www.soccerstats.com/img/own/sshplogo.png">
          <a:hlinkClick xmlns:r="http://schemas.openxmlformats.org/officeDocument/2006/relationships" r:id="rId420"/>
        </xdr:cNvPr>
        <xdr:cNvSpPr>
          <a:spLocks noChangeAspect="1" noChangeArrowheads="1"/>
        </xdr:cNvSpPr>
      </xdr:nvSpPr>
      <xdr:spPr bwMode="auto">
        <a:xfrm>
          <a:off x="13411200" y="113827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152400</xdr:colOff>
      <xdr:row>553</xdr:row>
      <xdr:rowOff>106680</xdr:rowOff>
    </xdr:to>
    <xdr:sp macro="" textlink="">
      <xdr:nvSpPr>
        <xdr:cNvPr id="8569" name="AutoShape 825" descr="SOUTHAFRICA"/>
        <xdr:cNvSpPr>
          <a:spLocks noChangeAspect="1" noChangeArrowheads="1"/>
        </xdr:cNvSpPr>
      </xdr:nvSpPr>
      <xdr:spPr bwMode="auto">
        <a:xfrm>
          <a:off x="0" y="114002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553</xdr:row>
      <xdr:rowOff>0</xdr:rowOff>
    </xdr:from>
    <xdr:to>
      <xdr:col>22</xdr:col>
      <xdr:colOff>304800</xdr:colOff>
      <xdr:row>554</xdr:row>
      <xdr:rowOff>129540</xdr:rowOff>
    </xdr:to>
    <xdr:sp macro="" textlink="">
      <xdr:nvSpPr>
        <xdr:cNvPr id="8570" name="AutoShape 826" descr="https://www.soccerstats.com/img/own/sshplogo.png">
          <a:hlinkClick xmlns:r="http://schemas.openxmlformats.org/officeDocument/2006/relationships" r:id="rId421"/>
        </xdr:cNvPr>
        <xdr:cNvSpPr>
          <a:spLocks noChangeAspect="1" noChangeArrowheads="1"/>
        </xdr:cNvSpPr>
      </xdr:nvSpPr>
      <xdr:spPr bwMode="auto">
        <a:xfrm>
          <a:off x="13411200" y="114002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152400</xdr:colOff>
      <xdr:row>554</xdr:row>
      <xdr:rowOff>106680</xdr:rowOff>
    </xdr:to>
    <xdr:sp macro="" textlink="">
      <xdr:nvSpPr>
        <xdr:cNvPr id="8571" name="AutoShape 827" descr="SOUTHAFRICA"/>
        <xdr:cNvSpPr>
          <a:spLocks noChangeAspect="1" noChangeArrowheads="1"/>
        </xdr:cNvSpPr>
      </xdr:nvSpPr>
      <xdr:spPr bwMode="auto">
        <a:xfrm>
          <a:off x="0" y="114178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554</xdr:row>
      <xdr:rowOff>0</xdr:rowOff>
    </xdr:from>
    <xdr:to>
      <xdr:col>22</xdr:col>
      <xdr:colOff>304800</xdr:colOff>
      <xdr:row>555</xdr:row>
      <xdr:rowOff>129540</xdr:rowOff>
    </xdr:to>
    <xdr:sp macro="" textlink="">
      <xdr:nvSpPr>
        <xdr:cNvPr id="8572" name="AutoShape 828" descr="https://www.soccerstats.com/img/own/sshplogo.png">
          <a:hlinkClick xmlns:r="http://schemas.openxmlformats.org/officeDocument/2006/relationships" r:id="rId422"/>
        </xdr:cNvPr>
        <xdr:cNvSpPr>
          <a:spLocks noChangeAspect="1" noChangeArrowheads="1"/>
        </xdr:cNvSpPr>
      </xdr:nvSpPr>
      <xdr:spPr bwMode="auto">
        <a:xfrm>
          <a:off x="13411200" y="114178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152400</xdr:colOff>
      <xdr:row>555</xdr:row>
      <xdr:rowOff>106680</xdr:rowOff>
    </xdr:to>
    <xdr:sp macro="" textlink="">
      <xdr:nvSpPr>
        <xdr:cNvPr id="8573" name="AutoShape 829" descr="SOUTHAFRICA"/>
        <xdr:cNvSpPr>
          <a:spLocks noChangeAspect="1" noChangeArrowheads="1"/>
        </xdr:cNvSpPr>
      </xdr:nvSpPr>
      <xdr:spPr bwMode="auto">
        <a:xfrm>
          <a:off x="0" y="114353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555</xdr:row>
      <xdr:rowOff>0</xdr:rowOff>
    </xdr:from>
    <xdr:to>
      <xdr:col>22</xdr:col>
      <xdr:colOff>304800</xdr:colOff>
      <xdr:row>556</xdr:row>
      <xdr:rowOff>129540</xdr:rowOff>
    </xdr:to>
    <xdr:sp macro="" textlink="">
      <xdr:nvSpPr>
        <xdr:cNvPr id="8574" name="AutoShape 830" descr="https://www.soccerstats.com/img/own/sshplogo.png">
          <a:hlinkClick xmlns:r="http://schemas.openxmlformats.org/officeDocument/2006/relationships" r:id="rId423"/>
        </xdr:cNvPr>
        <xdr:cNvSpPr>
          <a:spLocks noChangeAspect="1" noChangeArrowheads="1"/>
        </xdr:cNvSpPr>
      </xdr:nvSpPr>
      <xdr:spPr bwMode="auto">
        <a:xfrm>
          <a:off x="13411200" y="114353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152400</xdr:colOff>
      <xdr:row>556</xdr:row>
      <xdr:rowOff>106680</xdr:rowOff>
    </xdr:to>
    <xdr:sp macro="" textlink="">
      <xdr:nvSpPr>
        <xdr:cNvPr id="8575" name="AutoShape 831" descr="SOUTHAFRICA"/>
        <xdr:cNvSpPr>
          <a:spLocks noChangeAspect="1" noChangeArrowheads="1"/>
        </xdr:cNvSpPr>
      </xdr:nvSpPr>
      <xdr:spPr bwMode="auto">
        <a:xfrm>
          <a:off x="0" y="114528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556</xdr:row>
      <xdr:rowOff>0</xdr:rowOff>
    </xdr:from>
    <xdr:to>
      <xdr:col>22</xdr:col>
      <xdr:colOff>304800</xdr:colOff>
      <xdr:row>557</xdr:row>
      <xdr:rowOff>129540</xdr:rowOff>
    </xdr:to>
    <xdr:sp macro="" textlink="">
      <xdr:nvSpPr>
        <xdr:cNvPr id="8576" name="AutoShape 832" descr="https://www.soccerstats.com/img/own/sshplogo.png">
          <a:hlinkClick xmlns:r="http://schemas.openxmlformats.org/officeDocument/2006/relationships" r:id="rId424"/>
        </xdr:cNvPr>
        <xdr:cNvSpPr>
          <a:spLocks noChangeAspect="1" noChangeArrowheads="1"/>
        </xdr:cNvSpPr>
      </xdr:nvSpPr>
      <xdr:spPr bwMode="auto">
        <a:xfrm>
          <a:off x="13411200" y="114528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152400</xdr:colOff>
      <xdr:row>557</xdr:row>
      <xdr:rowOff>106680</xdr:rowOff>
    </xdr:to>
    <xdr:sp macro="" textlink="">
      <xdr:nvSpPr>
        <xdr:cNvPr id="8577" name="AutoShape 833" descr="SOUTHAFRICA"/>
        <xdr:cNvSpPr>
          <a:spLocks noChangeAspect="1" noChangeArrowheads="1"/>
        </xdr:cNvSpPr>
      </xdr:nvSpPr>
      <xdr:spPr bwMode="auto">
        <a:xfrm>
          <a:off x="0" y="114703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557</xdr:row>
      <xdr:rowOff>0</xdr:rowOff>
    </xdr:from>
    <xdr:to>
      <xdr:col>22</xdr:col>
      <xdr:colOff>304800</xdr:colOff>
      <xdr:row>558</xdr:row>
      <xdr:rowOff>129540</xdr:rowOff>
    </xdr:to>
    <xdr:sp macro="" textlink="">
      <xdr:nvSpPr>
        <xdr:cNvPr id="8578" name="AutoShape 834" descr="https://www.soccerstats.com/img/own/sshplogo.png">
          <a:hlinkClick xmlns:r="http://schemas.openxmlformats.org/officeDocument/2006/relationships" r:id="rId425"/>
        </xdr:cNvPr>
        <xdr:cNvSpPr>
          <a:spLocks noChangeAspect="1" noChangeArrowheads="1"/>
        </xdr:cNvSpPr>
      </xdr:nvSpPr>
      <xdr:spPr bwMode="auto">
        <a:xfrm>
          <a:off x="13411200" y="114703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152400</xdr:colOff>
      <xdr:row>558</xdr:row>
      <xdr:rowOff>106680</xdr:rowOff>
    </xdr:to>
    <xdr:sp macro="" textlink="">
      <xdr:nvSpPr>
        <xdr:cNvPr id="8579" name="AutoShape 835" descr="SOUTHKOREA"/>
        <xdr:cNvSpPr>
          <a:spLocks noChangeAspect="1" noChangeArrowheads="1"/>
        </xdr:cNvSpPr>
      </xdr:nvSpPr>
      <xdr:spPr bwMode="auto">
        <a:xfrm>
          <a:off x="0" y="114879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558</xdr:row>
      <xdr:rowOff>0</xdr:rowOff>
    </xdr:from>
    <xdr:to>
      <xdr:col>22</xdr:col>
      <xdr:colOff>304800</xdr:colOff>
      <xdr:row>559</xdr:row>
      <xdr:rowOff>53340</xdr:rowOff>
    </xdr:to>
    <xdr:sp macro="" textlink="">
      <xdr:nvSpPr>
        <xdr:cNvPr id="8580" name="AutoShape 836" descr="https://www.soccerstats.com/img/own/sshplogo.png">
          <a:hlinkClick xmlns:r="http://schemas.openxmlformats.org/officeDocument/2006/relationships" r:id="rId426"/>
        </xdr:cNvPr>
        <xdr:cNvSpPr>
          <a:spLocks noChangeAspect="1" noChangeArrowheads="1"/>
        </xdr:cNvSpPr>
      </xdr:nvSpPr>
      <xdr:spPr bwMode="auto">
        <a:xfrm>
          <a:off x="13411200" y="11487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152400</xdr:colOff>
      <xdr:row>559</xdr:row>
      <xdr:rowOff>106680</xdr:rowOff>
    </xdr:to>
    <xdr:sp macro="" textlink="">
      <xdr:nvSpPr>
        <xdr:cNvPr id="8581" name="AutoShape 837" descr="SOUTHKOREA"/>
        <xdr:cNvSpPr>
          <a:spLocks noChangeAspect="1" noChangeArrowheads="1"/>
        </xdr:cNvSpPr>
      </xdr:nvSpPr>
      <xdr:spPr bwMode="auto">
        <a:xfrm>
          <a:off x="0" y="115130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559</xdr:row>
      <xdr:rowOff>0</xdr:rowOff>
    </xdr:from>
    <xdr:to>
      <xdr:col>22</xdr:col>
      <xdr:colOff>304800</xdr:colOff>
      <xdr:row>560</xdr:row>
      <xdr:rowOff>129540</xdr:rowOff>
    </xdr:to>
    <xdr:sp macro="" textlink="">
      <xdr:nvSpPr>
        <xdr:cNvPr id="8582" name="AutoShape 838" descr="https://www.soccerstats.com/img/own/sshplogo.png">
          <a:hlinkClick xmlns:r="http://schemas.openxmlformats.org/officeDocument/2006/relationships" r:id="rId427"/>
        </xdr:cNvPr>
        <xdr:cNvSpPr>
          <a:spLocks noChangeAspect="1" noChangeArrowheads="1"/>
        </xdr:cNvSpPr>
      </xdr:nvSpPr>
      <xdr:spPr bwMode="auto">
        <a:xfrm>
          <a:off x="13411200" y="115130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152400</xdr:colOff>
      <xdr:row>560</xdr:row>
      <xdr:rowOff>106680</xdr:rowOff>
    </xdr:to>
    <xdr:sp macro="" textlink="">
      <xdr:nvSpPr>
        <xdr:cNvPr id="8583" name="AutoShape 839" descr="SOUTHKOREA"/>
        <xdr:cNvSpPr>
          <a:spLocks noChangeAspect="1" noChangeArrowheads="1"/>
        </xdr:cNvSpPr>
      </xdr:nvSpPr>
      <xdr:spPr bwMode="auto">
        <a:xfrm>
          <a:off x="0" y="115305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560</xdr:row>
      <xdr:rowOff>0</xdr:rowOff>
    </xdr:from>
    <xdr:to>
      <xdr:col>22</xdr:col>
      <xdr:colOff>304800</xdr:colOff>
      <xdr:row>561</xdr:row>
      <xdr:rowOff>53340</xdr:rowOff>
    </xdr:to>
    <xdr:sp macro="" textlink="">
      <xdr:nvSpPr>
        <xdr:cNvPr id="8584" name="AutoShape 840" descr="https://www.soccerstats.com/img/own/sshplogo.png">
          <a:hlinkClick xmlns:r="http://schemas.openxmlformats.org/officeDocument/2006/relationships" r:id="rId428"/>
        </xdr:cNvPr>
        <xdr:cNvSpPr>
          <a:spLocks noChangeAspect="1" noChangeArrowheads="1"/>
        </xdr:cNvSpPr>
      </xdr:nvSpPr>
      <xdr:spPr bwMode="auto">
        <a:xfrm>
          <a:off x="13411200" y="115305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152400</xdr:colOff>
      <xdr:row>561</xdr:row>
      <xdr:rowOff>106680</xdr:rowOff>
    </xdr:to>
    <xdr:sp macro="" textlink="">
      <xdr:nvSpPr>
        <xdr:cNvPr id="8585" name="AutoShape 841" descr="SOUTHKOREA2"/>
        <xdr:cNvSpPr>
          <a:spLocks noChangeAspect="1" noChangeArrowheads="1"/>
        </xdr:cNvSpPr>
      </xdr:nvSpPr>
      <xdr:spPr bwMode="auto">
        <a:xfrm>
          <a:off x="0" y="115557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561</xdr:row>
      <xdr:rowOff>0</xdr:rowOff>
    </xdr:from>
    <xdr:to>
      <xdr:col>22</xdr:col>
      <xdr:colOff>304800</xdr:colOff>
      <xdr:row>562</xdr:row>
      <xdr:rowOff>129540</xdr:rowOff>
    </xdr:to>
    <xdr:sp macro="" textlink="">
      <xdr:nvSpPr>
        <xdr:cNvPr id="8586" name="AutoShape 842" descr="https://www.soccerstats.com/img/own/sshplogo.png">
          <a:hlinkClick xmlns:r="http://schemas.openxmlformats.org/officeDocument/2006/relationships" r:id="rId429"/>
        </xdr:cNvPr>
        <xdr:cNvSpPr>
          <a:spLocks noChangeAspect="1" noChangeArrowheads="1"/>
        </xdr:cNvSpPr>
      </xdr:nvSpPr>
      <xdr:spPr bwMode="auto">
        <a:xfrm>
          <a:off x="13411200" y="115557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152400</xdr:colOff>
      <xdr:row>562</xdr:row>
      <xdr:rowOff>106680</xdr:rowOff>
    </xdr:to>
    <xdr:sp macro="" textlink="">
      <xdr:nvSpPr>
        <xdr:cNvPr id="8587" name="AutoShape 843" descr="SOUTHKOREA2"/>
        <xdr:cNvSpPr>
          <a:spLocks noChangeAspect="1" noChangeArrowheads="1"/>
        </xdr:cNvSpPr>
      </xdr:nvSpPr>
      <xdr:spPr bwMode="auto">
        <a:xfrm>
          <a:off x="0" y="115732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562</xdr:row>
      <xdr:rowOff>0</xdr:rowOff>
    </xdr:from>
    <xdr:to>
      <xdr:col>22</xdr:col>
      <xdr:colOff>304800</xdr:colOff>
      <xdr:row>563</xdr:row>
      <xdr:rowOff>129540</xdr:rowOff>
    </xdr:to>
    <xdr:sp macro="" textlink="">
      <xdr:nvSpPr>
        <xdr:cNvPr id="8588" name="AutoShape 844" descr="https://www.soccerstats.com/img/own/sshplogo.png">
          <a:hlinkClick xmlns:r="http://schemas.openxmlformats.org/officeDocument/2006/relationships" r:id="rId430"/>
        </xdr:cNvPr>
        <xdr:cNvSpPr>
          <a:spLocks noChangeAspect="1" noChangeArrowheads="1"/>
        </xdr:cNvSpPr>
      </xdr:nvSpPr>
      <xdr:spPr bwMode="auto">
        <a:xfrm>
          <a:off x="13411200" y="115732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152400</xdr:colOff>
      <xdr:row>563</xdr:row>
      <xdr:rowOff>106680</xdr:rowOff>
    </xdr:to>
    <xdr:sp macro="" textlink="">
      <xdr:nvSpPr>
        <xdr:cNvPr id="8589" name="AutoShape 845" descr="SOUTHKOREA2"/>
        <xdr:cNvSpPr>
          <a:spLocks noChangeAspect="1" noChangeArrowheads="1"/>
        </xdr:cNvSpPr>
      </xdr:nvSpPr>
      <xdr:spPr bwMode="auto">
        <a:xfrm>
          <a:off x="0" y="115907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563</xdr:row>
      <xdr:rowOff>0</xdr:rowOff>
    </xdr:from>
    <xdr:to>
      <xdr:col>22</xdr:col>
      <xdr:colOff>304800</xdr:colOff>
      <xdr:row>564</xdr:row>
      <xdr:rowOff>129540</xdr:rowOff>
    </xdr:to>
    <xdr:sp macro="" textlink="">
      <xdr:nvSpPr>
        <xdr:cNvPr id="8590" name="AutoShape 846" descr="https://www.soccerstats.com/img/own/sshplogo.png">
          <a:hlinkClick xmlns:r="http://schemas.openxmlformats.org/officeDocument/2006/relationships" r:id="rId431"/>
        </xdr:cNvPr>
        <xdr:cNvSpPr>
          <a:spLocks noChangeAspect="1" noChangeArrowheads="1"/>
        </xdr:cNvSpPr>
      </xdr:nvSpPr>
      <xdr:spPr bwMode="auto">
        <a:xfrm>
          <a:off x="13411200" y="115907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152400</xdr:colOff>
      <xdr:row>564</xdr:row>
      <xdr:rowOff>106680</xdr:rowOff>
    </xdr:to>
    <xdr:sp macro="" textlink="">
      <xdr:nvSpPr>
        <xdr:cNvPr id="8591" name="AutoShape 847" descr="SOUTHKOREA2"/>
        <xdr:cNvSpPr>
          <a:spLocks noChangeAspect="1" noChangeArrowheads="1"/>
        </xdr:cNvSpPr>
      </xdr:nvSpPr>
      <xdr:spPr bwMode="auto">
        <a:xfrm>
          <a:off x="0" y="116083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564</xdr:row>
      <xdr:rowOff>0</xdr:rowOff>
    </xdr:from>
    <xdr:to>
      <xdr:col>22</xdr:col>
      <xdr:colOff>304800</xdr:colOff>
      <xdr:row>565</xdr:row>
      <xdr:rowOff>53340</xdr:rowOff>
    </xdr:to>
    <xdr:sp macro="" textlink="">
      <xdr:nvSpPr>
        <xdr:cNvPr id="8592" name="AutoShape 848" descr="https://www.soccerstats.com/img/own/sshplogo.png">
          <a:hlinkClick xmlns:r="http://schemas.openxmlformats.org/officeDocument/2006/relationships" r:id="rId432"/>
        </xdr:cNvPr>
        <xdr:cNvSpPr>
          <a:spLocks noChangeAspect="1" noChangeArrowheads="1"/>
        </xdr:cNvSpPr>
      </xdr:nvSpPr>
      <xdr:spPr bwMode="auto">
        <a:xfrm>
          <a:off x="13411200" y="116083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152400</xdr:colOff>
      <xdr:row>565</xdr:row>
      <xdr:rowOff>106680</xdr:rowOff>
    </xdr:to>
    <xdr:sp macro="" textlink="">
      <xdr:nvSpPr>
        <xdr:cNvPr id="8593" name="AutoShape 849" descr="SOUTHKOREA4"/>
        <xdr:cNvSpPr>
          <a:spLocks noChangeAspect="1" noChangeArrowheads="1"/>
        </xdr:cNvSpPr>
      </xdr:nvSpPr>
      <xdr:spPr bwMode="auto">
        <a:xfrm>
          <a:off x="0" y="11633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565</xdr:row>
      <xdr:rowOff>0</xdr:rowOff>
    </xdr:from>
    <xdr:to>
      <xdr:col>22</xdr:col>
      <xdr:colOff>304800</xdr:colOff>
      <xdr:row>566</xdr:row>
      <xdr:rowOff>53340</xdr:rowOff>
    </xdr:to>
    <xdr:sp macro="" textlink="">
      <xdr:nvSpPr>
        <xdr:cNvPr id="8594" name="AutoShape 850" descr="https://www.soccerstats.com/img/own/sshplogo.png">
          <a:hlinkClick xmlns:r="http://schemas.openxmlformats.org/officeDocument/2006/relationships" r:id="rId433"/>
        </xdr:cNvPr>
        <xdr:cNvSpPr>
          <a:spLocks noChangeAspect="1" noChangeArrowheads="1"/>
        </xdr:cNvSpPr>
      </xdr:nvSpPr>
      <xdr:spPr bwMode="auto">
        <a:xfrm>
          <a:off x="13411200" y="11633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152400</xdr:colOff>
      <xdr:row>566</xdr:row>
      <xdr:rowOff>106680</xdr:rowOff>
    </xdr:to>
    <xdr:sp macro="" textlink="">
      <xdr:nvSpPr>
        <xdr:cNvPr id="8595" name="AutoShape 851" descr="SOUTHKOREA4"/>
        <xdr:cNvSpPr>
          <a:spLocks noChangeAspect="1" noChangeArrowheads="1"/>
        </xdr:cNvSpPr>
      </xdr:nvSpPr>
      <xdr:spPr bwMode="auto">
        <a:xfrm>
          <a:off x="0" y="116586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566</xdr:row>
      <xdr:rowOff>0</xdr:rowOff>
    </xdr:from>
    <xdr:to>
      <xdr:col>22</xdr:col>
      <xdr:colOff>304800</xdr:colOff>
      <xdr:row>567</xdr:row>
      <xdr:rowOff>129540</xdr:rowOff>
    </xdr:to>
    <xdr:sp macro="" textlink="">
      <xdr:nvSpPr>
        <xdr:cNvPr id="8596" name="AutoShape 852" descr="https://www.soccerstats.com/img/own/sshplogo.png">
          <a:hlinkClick xmlns:r="http://schemas.openxmlformats.org/officeDocument/2006/relationships" r:id="rId434"/>
        </xdr:cNvPr>
        <xdr:cNvSpPr>
          <a:spLocks noChangeAspect="1" noChangeArrowheads="1"/>
        </xdr:cNvSpPr>
      </xdr:nvSpPr>
      <xdr:spPr bwMode="auto">
        <a:xfrm>
          <a:off x="13411200" y="11658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152400</xdr:colOff>
      <xdr:row>567</xdr:row>
      <xdr:rowOff>106680</xdr:rowOff>
    </xdr:to>
    <xdr:sp macro="" textlink="">
      <xdr:nvSpPr>
        <xdr:cNvPr id="8597" name="AutoShape 853" descr="SWEDEN"/>
        <xdr:cNvSpPr>
          <a:spLocks noChangeAspect="1" noChangeArrowheads="1"/>
        </xdr:cNvSpPr>
      </xdr:nvSpPr>
      <xdr:spPr bwMode="auto">
        <a:xfrm>
          <a:off x="0" y="116761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567</xdr:row>
      <xdr:rowOff>0</xdr:rowOff>
    </xdr:from>
    <xdr:to>
      <xdr:col>22</xdr:col>
      <xdr:colOff>304800</xdr:colOff>
      <xdr:row>568</xdr:row>
      <xdr:rowOff>129540</xdr:rowOff>
    </xdr:to>
    <xdr:sp macro="" textlink="">
      <xdr:nvSpPr>
        <xdr:cNvPr id="8598" name="AutoShape 854" descr="https://www.soccerstats.com/img/own/sshplogo.png">
          <a:hlinkClick xmlns:r="http://schemas.openxmlformats.org/officeDocument/2006/relationships" r:id="rId435"/>
        </xdr:cNvPr>
        <xdr:cNvSpPr>
          <a:spLocks noChangeAspect="1" noChangeArrowheads="1"/>
        </xdr:cNvSpPr>
      </xdr:nvSpPr>
      <xdr:spPr bwMode="auto">
        <a:xfrm>
          <a:off x="13411200" y="116761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152400</xdr:colOff>
      <xdr:row>568</xdr:row>
      <xdr:rowOff>106680</xdr:rowOff>
    </xdr:to>
    <xdr:sp macro="" textlink="">
      <xdr:nvSpPr>
        <xdr:cNvPr id="8599" name="AutoShape 855" descr="SWEDEN2"/>
        <xdr:cNvSpPr>
          <a:spLocks noChangeAspect="1" noChangeArrowheads="1"/>
        </xdr:cNvSpPr>
      </xdr:nvSpPr>
      <xdr:spPr bwMode="auto">
        <a:xfrm>
          <a:off x="0" y="116936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568</xdr:row>
      <xdr:rowOff>0</xdr:rowOff>
    </xdr:from>
    <xdr:to>
      <xdr:col>22</xdr:col>
      <xdr:colOff>304800</xdr:colOff>
      <xdr:row>569</xdr:row>
      <xdr:rowOff>129540</xdr:rowOff>
    </xdr:to>
    <xdr:sp macro="" textlink="">
      <xdr:nvSpPr>
        <xdr:cNvPr id="8600" name="AutoShape 856" descr="https://www.soccerstats.com/img/own/sshplogo.png">
          <a:hlinkClick xmlns:r="http://schemas.openxmlformats.org/officeDocument/2006/relationships" r:id="rId436"/>
        </xdr:cNvPr>
        <xdr:cNvSpPr>
          <a:spLocks noChangeAspect="1" noChangeArrowheads="1"/>
        </xdr:cNvSpPr>
      </xdr:nvSpPr>
      <xdr:spPr bwMode="auto">
        <a:xfrm>
          <a:off x="13411200" y="116936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152400</xdr:colOff>
      <xdr:row>569</xdr:row>
      <xdr:rowOff>106680</xdr:rowOff>
    </xdr:to>
    <xdr:sp macro="" textlink="">
      <xdr:nvSpPr>
        <xdr:cNvPr id="8601" name="AutoShape 857" descr="SWEDEN2"/>
        <xdr:cNvSpPr>
          <a:spLocks noChangeAspect="1" noChangeArrowheads="1"/>
        </xdr:cNvSpPr>
      </xdr:nvSpPr>
      <xdr:spPr bwMode="auto">
        <a:xfrm>
          <a:off x="0" y="117111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569</xdr:row>
      <xdr:rowOff>0</xdr:rowOff>
    </xdr:from>
    <xdr:to>
      <xdr:col>22</xdr:col>
      <xdr:colOff>304800</xdr:colOff>
      <xdr:row>570</xdr:row>
      <xdr:rowOff>129540</xdr:rowOff>
    </xdr:to>
    <xdr:sp macro="" textlink="">
      <xdr:nvSpPr>
        <xdr:cNvPr id="8602" name="AutoShape 858" descr="https://www.soccerstats.com/img/own/sshplogo.png">
          <a:hlinkClick xmlns:r="http://schemas.openxmlformats.org/officeDocument/2006/relationships" r:id="rId437"/>
        </xdr:cNvPr>
        <xdr:cNvSpPr>
          <a:spLocks noChangeAspect="1" noChangeArrowheads="1"/>
        </xdr:cNvSpPr>
      </xdr:nvSpPr>
      <xdr:spPr bwMode="auto">
        <a:xfrm>
          <a:off x="13411200" y="117111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152400</xdr:colOff>
      <xdr:row>570</xdr:row>
      <xdr:rowOff>106680</xdr:rowOff>
    </xdr:to>
    <xdr:sp macro="" textlink="">
      <xdr:nvSpPr>
        <xdr:cNvPr id="8603" name="AutoShape 859" descr="SWEDEN2"/>
        <xdr:cNvSpPr>
          <a:spLocks noChangeAspect="1" noChangeArrowheads="1"/>
        </xdr:cNvSpPr>
      </xdr:nvSpPr>
      <xdr:spPr bwMode="auto">
        <a:xfrm>
          <a:off x="0" y="117287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570</xdr:row>
      <xdr:rowOff>0</xdr:rowOff>
    </xdr:from>
    <xdr:to>
      <xdr:col>22</xdr:col>
      <xdr:colOff>304800</xdr:colOff>
      <xdr:row>571</xdr:row>
      <xdr:rowOff>53340</xdr:rowOff>
    </xdr:to>
    <xdr:sp macro="" textlink="">
      <xdr:nvSpPr>
        <xdr:cNvPr id="8604" name="AutoShape 860" descr="https://www.soccerstats.com/img/own/sshplogo.png">
          <a:hlinkClick xmlns:r="http://schemas.openxmlformats.org/officeDocument/2006/relationships" r:id="rId438"/>
        </xdr:cNvPr>
        <xdr:cNvSpPr>
          <a:spLocks noChangeAspect="1" noChangeArrowheads="1"/>
        </xdr:cNvSpPr>
      </xdr:nvSpPr>
      <xdr:spPr bwMode="auto">
        <a:xfrm>
          <a:off x="13411200" y="117287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152400</xdr:colOff>
      <xdr:row>571</xdr:row>
      <xdr:rowOff>106680</xdr:rowOff>
    </xdr:to>
    <xdr:sp macro="" textlink="">
      <xdr:nvSpPr>
        <xdr:cNvPr id="8605" name="AutoShape 861" descr="SWEDEN2"/>
        <xdr:cNvSpPr>
          <a:spLocks noChangeAspect="1" noChangeArrowheads="1"/>
        </xdr:cNvSpPr>
      </xdr:nvSpPr>
      <xdr:spPr bwMode="auto">
        <a:xfrm>
          <a:off x="0" y="117538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571</xdr:row>
      <xdr:rowOff>0</xdr:rowOff>
    </xdr:from>
    <xdr:to>
      <xdr:col>22</xdr:col>
      <xdr:colOff>304800</xdr:colOff>
      <xdr:row>572</xdr:row>
      <xdr:rowOff>129540</xdr:rowOff>
    </xdr:to>
    <xdr:sp macro="" textlink="">
      <xdr:nvSpPr>
        <xdr:cNvPr id="8606" name="AutoShape 862" descr="https://www.soccerstats.com/img/own/sshplogo.png">
          <a:hlinkClick xmlns:r="http://schemas.openxmlformats.org/officeDocument/2006/relationships" r:id="rId439"/>
        </xdr:cNvPr>
        <xdr:cNvSpPr>
          <a:spLocks noChangeAspect="1" noChangeArrowheads="1"/>
        </xdr:cNvSpPr>
      </xdr:nvSpPr>
      <xdr:spPr bwMode="auto">
        <a:xfrm>
          <a:off x="13411200" y="1175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152400</xdr:colOff>
      <xdr:row>572</xdr:row>
      <xdr:rowOff>106680</xdr:rowOff>
    </xdr:to>
    <xdr:sp macro="" textlink="">
      <xdr:nvSpPr>
        <xdr:cNvPr id="8607" name="AutoShape 863" descr="SWEDEN2"/>
        <xdr:cNvSpPr>
          <a:spLocks noChangeAspect="1" noChangeArrowheads="1"/>
        </xdr:cNvSpPr>
      </xdr:nvSpPr>
      <xdr:spPr bwMode="auto">
        <a:xfrm>
          <a:off x="0" y="117713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572</xdr:row>
      <xdr:rowOff>0</xdr:rowOff>
    </xdr:from>
    <xdr:to>
      <xdr:col>22</xdr:col>
      <xdr:colOff>304800</xdr:colOff>
      <xdr:row>573</xdr:row>
      <xdr:rowOff>129540</xdr:rowOff>
    </xdr:to>
    <xdr:sp macro="" textlink="">
      <xdr:nvSpPr>
        <xdr:cNvPr id="8608" name="AutoShape 864" descr="https://www.soccerstats.com/img/own/sshplogo.png">
          <a:hlinkClick xmlns:r="http://schemas.openxmlformats.org/officeDocument/2006/relationships" r:id="rId440"/>
        </xdr:cNvPr>
        <xdr:cNvSpPr>
          <a:spLocks noChangeAspect="1" noChangeArrowheads="1"/>
        </xdr:cNvSpPr>
      </xdr:nvSpPr>
      <xdr:spPr bwMode="auto">
        <a:xfrm>
          <a:off x="13411200" y="117713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152400</xdr:colOff>
      <xdr:row>573</xdr:row>
      <xdr:rowOff>106680</xdr:rowOff>
    </xdr:to>
    <xdr:sp macro="" textlink="">
      <xdr:nvSpPr>
        <xdr:cNvPr id="8609" name="AutoShape 865" descr="SWEDEN3"/>
        <xdr:cNvSpPr>
          <a:spLocks noChangeAspect="1" noChangeArrowheads="1"/>
        </xdr:cNvSpPr>
      </xdr:nvSpPr>
      <xdr:spPr bwMode="auto">
        <a:xfrm>
          <a:off x="0" y="117889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573</xdr:row>
      <xdr:rowOff>0</xdr:rowOff>
    </xdr:from>
    <xdr:to>
      <xdr:col>22</xdr:col>
      <xdr:colOff>304800</xdr:colOff>
      <xdr:row>574</xdr:row>
      <xdr:rowOff>129540</xdr:rowOff>
    </xdr:to>
    <xdr:sp macro="" textlink="">
      <xdr:nvSpPr>
        <xdr:cNvPr id="8610" name="AutoShape 866" descr="https://www.soccerstats.com/img/own/sshplogo.png">
          <a:hlinkClick xmlns:r="http://schemas.openxmlformats.org/officeDocument/2006/relationships" r:id="rId441"/>
        </xdr:cNvPr>
        <xdr:cNvSpPr>
          <a:spLocks noChangeAspect="1" noChangeArrowheads="1"/>
        </xdr:cNvSpPr>
      </xdr:nvSpPr>
      <xdr:spPr bwMode="auto">
        <a:xfrm>
          <a:off x="13411200" y="117889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152400</xdr:colOff>
      <xdr:row>574</xdr:row>
      <xdr:rowOff>106680</xdr:rowOff>
    </xdr:to>
    <xdr:sp macro="" textlink="">
      <xdr:nvSpPr>
        <xdr:cNvPr id="8611" name="AutoShape 867" descr="SWEDEN3"/>
        <xdr:cNvSpPr>
          <a:spLocks noChangeAspect="1" noChangeArrowheads="1"/>
        </xdr:cNvSpPr>
      </xdr:nvSpPr>
      <xdr:spPr bwMode="auto">
        <a:xfrm>
          <a:off x="0" y="118064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574</xdr:row>
      <xdr:rowOff>0</xdr:rowOff>
    </xdr:from>
    <xdr:to>
      <xdr:col>22</xdr:col>
      <xdr:colOff>304800</xdr:colOff>
      <xdr:row>575</xdr:row>
      <xdr:rowOff>129540</xdr:rowOff>
    </xdr:to>
    <xdr:sp macro="" textlink="">
      <xdr:nvSpPr>
        <xdr:cNvPr id="8612" name="AutoShape 868" descr="https://www.soccerstats.com/img/own/sshplogo.png">
          <a:hlinkClick xmlns:r="http://schemas.openxmlformats.org/officeDocument/2006/relationships" r:id="rId442"/>
        </xdr:cNvPr>
        <xdr:cNvSpPr>
          <a:spLocks noChangeAspect="1" noChangeArrowheads="1"/>
        </xdr:cNvSpPr>
      </xdr:nvSpPr>
      <xdr:spPr bwMode="auto">
        <a:xfrm>
          <a:off x="13411200" y="118064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152400</xdr:colOff>
      <xdr:row>575</xdr:row>
      <xdr:rowOff>106680</xdr:rowOff>
    </xdr:to>
    <xdr:sp macro="" textlink="">
      <xdr:nvSpPr>
        <xdr:cNvPr id="8613" name="AutoShape 869" descr="SWEDEN3"/>
        <xdr:cNvSpPr>
          <a:spLocks noChangeAspect="1" noChangeArrowheads="1"/>
        </xdr:cNvSpPr>
      </xdr:nvSpPr>
      <xdr:spPr bwMode="auto">
        <a:xfrm>
          <a:off x="0" y="118239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575</xdr:row>
      <xdr:rowOff>0</xdr:rowOff>
    </xdr:from>
    <xdr:to>
      <xdr:col>22</xdr:col>
      <xdr:colOff>304800</xdr:colOff>
      <xdr:row>576</xdr:row>
      <xdr:rowOff>129540</xdr:rowOff>
    </xdr:to>
    <xdr:sp macro="" textlink="">
      <xdr:nvSpPr>
        <xdr:cNvPr id="8614" name="AutoShape 870" descr="https://www.soccerstats.com/img/own/sshplogo.png">
          <a:hlinkClick xmlns:r="http://schemas.openxmlformats.org/officeDocument/2006/relationships" r:id="rId443"/>
        </xdr:cNvPr>
        <xdr:cNvSpPr>
          <a:spLocks noChangeAspect="1" noChangeArrowheads="1"/>
        </xdr:cNvSpPr>
      </xdr:nvSpPr>
      <xdr:spPr bwMode="auto">
        <a:xfrm>
          <a:off x="13411200" y="118239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152400</xdr:colOff>
      <xdr:row>576</xdr:row>
      <xdr:rowOff>106680</xdr:rowOff>
    </xdr:to>
    <xdr:sp macro="" textlink="">
      <xdr:nvSpPr>
        <xdr:cNvPr id="8615" name="AutoShape 871" descr="SWEDEN3"/>
        <xdr:cNvSpPr>
          <a:spLocks noChangeAspect="1" noChangeArrowheads="1"/>
        </xdr:cNvSpPr>
      </xdr:nvSpPr>
      <xdr:spPr bwMode="auto">
        <a:xfrm>
          <a:off x="0" y="118414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576</xdr:row>
      <xdr:rowOff>0</xdr:rowOff>
    </xdr:from>
    <xdr:to>
      <xdr:col>22</xdr:col>
      <xdr:colOff>304800</xdr:colOff>
      <xdr:row>577</xdr:row>
      <xdr:rowOff>129540</xdr:rowOff>
    </xdr:to>
    <xdr:sp macro="" textlink="">
      <xdr:nvSpPr>
        <xdr:cNvPr id="8616" name="AutoShape 872" descr="https://www.soccerstats.com/img/own/sshplogo.png">
          <a:hlinkClick xmlns:r="http://schemas.openxmlformats.org/officeDocument/2006/relationships" r:id="rId444"/>
        </xdr:cNvPr>
        <xdr:cNvSpPr>
          <a:spLocks noChangeAspect="1" noChangeArrowheads="1"/>
        </xdr:cNvSpPr>
      </xdr:nvSpPr>
      <xdr:spPr bwMode="auto">
        <a:xfrm>
          <a:off x="13411200" y="1184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152400</xdr:colOff>
      <xdr:row>577</xdr:row>
      <xdr:rowOff>106680</xdr:rowOff>
    </xdr:to>
    <xdr:sp macro="" textlink="">
      <xdr:nvSpPr>
        <xdr:cNvPr id="8617" name="AutoShape 873" descr="SWEDEN4"/>
        <xdr:cNvSpPr>
          <a:spLocks noChangeAspect="1" noChangeArrowheads="1"/>
        </xdr:cNvSpPr>
      </xdr:nvSpPr>
      <xdr:spPr bwMode="auto">
        <a:xfrm>
          <a:off x="0" y="118590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577</xdr:row>
      <xdr:rowOff>0</xdr:rowOff>
    </xdr:from>
    <xdr:to>
      <xdr:col>22</xdr:col>
      <xdr:colOff>304800</xdr:colOff>
      <xdr:row>578</xdr:row>
      <xdr:rowOff>129540</xdr:rowOff>
    </xdr:to>
    <xdr:sp macro="" textlink="">
      <xdr:nvSpPr>
        <xdr:cNvPr id="8618" name="AutoShape 874" descr="https://www.soccerstats.com/img/own/sshplogo.png">
          <a:hlinkClick xmlns:r="http://schemas.openxmlformats.org/officeDocument/2006/relationships" r:id="rId445"/>
        </xdr:cNvPr>
        <xdr:cNvSpPr>
          <a:spLocks noChangeAspect="1" noChangeArrowheads="1"/>
        </xdr:cNvSpPr>
      </xdr:nvSpPr>
      <xdr:spPr bwMode="auto">
        <a:xfrm>
          <a:off x="13411200" y="118590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152400</xdr:colOff>
      <xdr:row>578</xdr:row>
      <xdr:rowOff>106680</xdr:rowOff>
    </xdr:to>
    <xdr:sp macro="" textlink="">
      <xdr:nvSpPr>
        <xdr:cNvPr id="8619" name="AutoShape 875" descr="SWEDEN4"/>
        <xdr:cNvSpPr>
          <a:spLocks noChangeAspect="1" noChangeArrowheads="1"/>
        </xdr:cNvSpPr>
      </xdr:nvSpPr>
      <xdr:spPr bwMode="auto">
        <a:xfrm>
          <a:off x="0" y="118765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578</xdr:row>
      <xdr:rowOff>0</xdr:rowOff>
    </xdr:from>
    <xdr:to>
      <xdr:col>22</xdr:col>
      <xdr:colOff>304800</xdr:colOff>
      <xdr:row>579</xdr:row>
      <xdr:rowOff>129540</xdr:rowOff>
    </xdr:to>
    <xdr:sp macro="" textlink="">
      <xdr:nvSpPr>
        <xdr:cNvPr id="8620" name="AutoShape 876" descr="https://www.soccerstats.com/img/own/sshplogo.png">
          <a:hlinkClick xmlns:r="http://schemas.openxmlformats.org/officeDocument/2006/relationships" r:id="rId446"/>
        </xdr:cNvPr>
        <xdr:cNvSpPr>
          <a:spLocks noChangeAspect="1" noChangeArrowheads="1"/>
        </xdr:cNvSpPr>
      </xdr:nvSpPr>
      <xdr:spPr bwMode="auto">
        <a:xfrm>
          <a:off x="13411200" y="118765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152400</xdr:colOff>
      <xdr:row>579</xdr:row>
      <xdr:rowOff>106680</xdr:rowOff>
    </xdr:to>
    <xdr:sp macro="" textlink="">
      <xdr:nvSpPr>
        <xdr:cNvPr id="8621" name="AutoShape 877" descr="SWEDEN4"/>
        <xdr:cNvSpPr>
          <a:spLocks noChangeAspect="1" noChangeArrowheads="1"/>
        </xdr:cNvSpPr>
      </xdr:nvSpPr>
      <xdr:spPr bwMode="auto">
        <a:xfrm>
          <a:off x="0" y="118940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579</xdr:row>
      <xdr:rowOff>0</xdr:rowOff>
    </xdr:from>
    <xdr:to>
      <xdr:col>22</xdr:col>
      <xdr:colOff>304800</xdr:colOff>
      <xdr:row>580</xdr:row>
      <xdr:rowOff>129540</xdr:rowOff>
    </xdr:to>
    <xdr:sp macro="" textlink="">
      <xdr:nvSpPr>
        <xdr:cNvPr id="8622" name="AutoShape 878" descr="https://www.soccerstats.com/img/own/sshplogo.png">
          <a:hlinkClick xmlns:r="http://schemas.openxmlformats.org/officeDocument/2006/relationships" r:id="rId447"/>
        </xdr:cNvPr>
        <xdr:cNvSpPr>
          <a:spLocks noChangeAspect="1" noChangeArrowheads="1"/>
        </xdr:cNvSpPr>
      </xdr:nvSpPr>
      <xdr:spPr bwMode="auto">
        <a:xfrm>
          <a:off x="13411200" y="118940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152400</xdr:colOff>
      <xdr:row>580</xdr:row>
      <xdr:rowOff>106680</xdr:rowOff>
    </xdr:to>
    <xdr:sp macro="" textlink="">
      <xdr:nvSpPr>
        <xdr:cNvPr id="8623" name="AutoShape 879" descr="SWEDEN4"/>
        <xdr:cNvSpPr>
          <a:spLocks noChangeAspect="1" noChangeArrowheads="1"/>
        </xdr:cNvSpPr>
      </xdr:nvSpPr>
      <xdr:spPr bwMode="auto">
        <a:xfrm>
          <a:off x="0" y="119115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580</xdr:row>
      <xdr:rowOff>0</xdr:rowOff>
    </xdr:from>
    <xdr:to>
      <xdr:col>22</xdr:col>
      <xdr:colOff>304800</xdr:colOff>
      <xdr:row>581</xdr:row>
      <xdr:rowOff>129540</xdr:rowOff>
    </xdr:to>
    <xdr:sp macro="" textlink="">
      <xdr:nvSpPr>
        <xdr:cNvPr id="8624" name="AutoShape 880" descr="https://www.soccerstats.com/img/own/sshplogo.png">
          <a:hlinkClick xmlns:r="http://schemas.openxmlformats.org/officeDocument/2006/relationships" r:id="rId448"/>
        </xdr:cNvPr>
        <xdr:cNvSpPr>
          <a:spLocks noChangeAspect="1" noChangeArrowheads="1"/>
        </xdr:cNvSpPr>
      </xdr:nvSpPr>
      <xdr:spPr bwMode="auto">
        <a:xfrm>
          <a:off x="13411200" y="119115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152400</xdr:colOff>
      <xdr:row>581</xdr:row>
      <xdr:rowOff>106680</xdr:rowOff>
    </xdr:to>
    <xdr:sp macro="" textlink="">
      <xdr:nvSpPr>
        <xdr:cNvPr id="8625" name="AutoShape 881" descr="SWEDEN11"/>
        <xdr:cNvSpPr>
          <a:spLocks noChangeAspect="1" noChangeArrowheads="1"/>
        </xdr:cNvSpPr>
      </xdr:nvSpPr>
      <xdr:spPr bwMode="auto">
        <a:xfrm>
          <a:off x="0" y="119291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581</xdr:row>
      <xdr:rowOff>0</xdr:rowOff>
    </xdr:from>
    <xdr:to>
      <xdr:col>22</xdr:col>
      <xdr:colOff>304800</xdr:colOff>
      <xdr:row>582</xdr:row>
      <xdr:rowOff>129540</xdr:rowOff>
    </xdr:to>
    <xdr:sp macro="" textlink="">
      <xdr:nvSpPr>
        <xdr:cNvPr id="8626" name="AutoShape 882" descr="https://www.soccerstats.com/img/own/sshplogo.png">
          <a:hlinkClick xmlns:r="http://schemas.openxmlformats.org/officeDocument/2006/relationships" r:id="rId449"/>
        </xdr:cNvPr>
        <xdr:cNvSpPr>
          <a:spLocks noChangeAspect="1" noChangeArrowheads="1"/>
        </xdr:cNvSpPr>
      </xdr:nvSpPr>
      <xdr:spPr bwMode="auto">
        <a:xfrm>
          <a:off x="13411200" y="119291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152400</xdr:colOff>
      <xdr:row>582</xdr:row>
      <xdr:rowOff>106680</xdr:rowOff>
    </xdr:to>
    <xdr:sp macro="" textlink="">
      <xdr:nvSpPr>
        <xdr:cNvPr id="8627" name="AutoShape 883" descr="SWEDEN11"/>
        <xdr:cNvSpPr>
          <a:spLocks noChangeAspect="1" noChangeArrowheads="1"/>
        </xdr:cNvSpPr>
      </xdr:nvSpPr>
      <xdr:spPr bwMode="auto">
        <a:xfrm>
          <a:off x="0" y="119466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582</xdr:row>
      <xdr:rowOff>0</xdr:rowOff>
    </xdr:from>
    <xdr:to>
      <xdr:col>22</xdr:col>
      <xdr:colOff>304800</xdr:colOff>
      <xdr:row>583</xdr:row>
      <xdr:rowOff>129540</xdr:rowOff>
    </xdr:to>
    <xdr:sp macro="" textlink="">
      <xdr:nvSpPr>
        <xdr:cNvPr id="8628" name="AutoShape 884" descr="https://www.soccerstats.com/img/own/sshplogo.png">
          <a:hlinkClick xmlns:r="http://schemas.openxmlformats.org/officeDocument/2006/relationships" r:id="rId450"/>
        </xdr:cNvPr>
        <xdr:cNvSpPr>
          <a:spLocks noChangeAspect="1" noChangeArrowheads="1"/>
        </xdr:cNvSpPr>
      </xdr:nvSpPr>
      <xdr:spPr bwMode="auto">
        <a:xfrm>
          <a:off x="13411200" y="119466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152400</xdr:colOff>
      <xdr:row>583</xdr:row>
      <xdr:rowOff>106680</xdr:rowOff>
    </xdr:to>
    <xdr:sp macro="" textlink="">
      <xdr:nvSpPr>
        <xdr:cNvPr id="8629" name="AutoShape 885" descr="SWEDEN11"/>
        <xdr:cNvSpPr>
          <a:spLocks noChangeAspect="1" noChangeArrowheads="1"/>
        </xdr:cNvSpPr>
      </xdr:nvSpPr>
      <xdr:spPr bwMode="auto">
        <a:xfrm>
          <a:off x="0" y="119641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583</xdr:row>
      <xdr:rowOff>0</xdr:rowOff>
    </xdr:from>
    <xdr:to>
      <xdr:col>22</xdr:col>
      <xdr:colOff>304800</xdr:colOff>
      <xdr:row>584</xdr:row>
      <xdr:rowOff>53340</xdr:rowOff>
    </xdr:to>
    <xdr:sp macro="" textlink="">
      <xdr:nvSpPr>
        <xdr:cNvPr id="8630" name="AutoShape 886" descr="https://www.soccerstats.com/img/own/sshplogo.png">
          <a:hlinkClick xmlns:r="http://schemas.openxmlformats.org/officeDocument/2006/relationships" r:id="rId451"/>
        </xdr:cNvPr>
        <xdr:cNvSpPr>
          <a:spLocks noChangeAspect="1" noChangeArrowheads="1"/>
        </xdr:cNvSpPr>
      </xdr:nvSpPr>
      <xdr:spPr bwMode="auto">
        <a:xfrm>
          <a:off x="13411200" y="119641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152400</xdr:colOff>
      <xdr:row>584</xdr:row>
      <xdr:rowOff>106680</xdr:rowOff>
    </xdr:to>
    <xdr:sp macro="" textlink="">
      <xdr:nvSpPr>
        <xdr:cNvPr id="8631" name="AutoShape 887" descr="SWEDEN11"/>
        <xdr:cNvSpPr>
          <a:spLocks noChangeAspect="1" noChangeArrowheads="1"/>
        </xdr:cNvSpPr>
      </xdr:nvSpPr>
      <xdr:spPr bwMode="auto">
        <a:xfrm>
          <a:off x="0" y="119893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584</xdr:row>
      <xdr:rowOff>0</xdr:rowOff>
    </xdr:from>
    <xdr:to>
      <xdr:col>22</xdr:col>
      <xdr:colOff>304800</xdr:colOff>
      <xdr:row>585</xdr:row>
      <xdr:rowOff>53340</xdr:rowOff>
    </xdr:to>
    <xdr:sp macro="" textlink="">
      <xdr:nvSpPr>
        <xdr:cNvPr id="8632" name="AutoShape 888" descr="https://www.soccerstats.com/img/own/sshplogo.png">
          <a:hlinkClick xmlns:r="http://schemas.openxmlformats.org/officeDocument/2006/relationships" r:id="rId452"/>
        </xdr:cNvPr>
        <xdr:cNvSpPr>
          <a:spLocks noChangeAspect="1" noChangeArrowheads="1"/>
        </xdr:cNvSpPr>
      </xdr:nvSpPr>
      <xdr:spPr bwMode="auto">
        <a:xfrm>
          <a:off x="13411200" y="119893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152400</xdr:colOff>
      <xdr:row>585</xdr:row>
      <xdr:rowOff>106680</xdr:rowOff>
    </xdr:to>
    <xdr:sp macro="" textlink="">
      <xdr:nvSpPr>
        <xdr:cNvPr id="8633" name="AutoShape 889" descr="SWEDEN11"/>
        <xdr:cNvSpPr>
          <a:spLocks noChangeAspect="1" noChangeArrowheads="1"/>
        </xdr:cNvSpPr>
      </xdr:nvSpPr>
      <xdr:spPr bwMode="auto">
        <a:xfrm>
          <a:off x="0" y="12014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585</xdr:row>
      <xdr:rowOff>0</xdr:rowOff>
    </xdr:from>
    <xdr:to>
      <xdr:col>22</xdr:col>
      <xdr:colOff>304800</xdr:colOff>
      <xdr:row>586</xdr:row>
      <xdr:rowOff>53340</xdr:rowOff>
    </xdr:to>
    <xdr:sp macro="" textlink="">
      <xdr:nvSpPr>
        <xdr:cNvPr id="8634" name="AutoShape 890" descr="https://www.soccerstats.com/img/own/sshplogo.png">
          <a:hlinkClick xmlns:r="http://schemas.openxmlformats.org/officeDocument/2006/relationships" r:id="rId453"/>
        </xdr:cNvPr>
        <xdr:cNvSpPr>
          <a:spLocks noChangeAspect="1" noChangeArrowheads="1"/>
        </xdr:cNvSpPr>
      </xdr:nvSpPr>
      <xdr:spPr bwMode="auto">
        <a:xfrm>
          <a:off x="13411200" y="12014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152400</xdr:colOff>
      <xdr:row>586</xdr:row>
      <xdr:rowOff>106680</xdr:rowOff>
    </xdr:to>
    <xdr:sp macro="" textlink="">
      <xdr:nvSpPr>
        <xdr:cNvPr id="8635" name="AutoShape 891" descr="TURKEY"/>
        <xdr:cNvSpPr>
          <a:spLocks noChangeAspect="1" noChangeArrowheads="1"/>
        </xdr:cNvSpPr>
      </xdr:nvSpPr>
      <xdr:spPr bwMode="auto">
        <a:xfrm>
          <a:off x="0" y="120396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586</xdr:row>
      <xdr:rowOff>0</xdr:rowOff>
    </xdr:from>
    <xdr:to>
      <xdr:col>22</xdr:col>
      <xdr:colOff>304800</xdr:colOff>
      <xdr:row>587</xdr:row>
      <xdr:rowOff>129540</xdr:rowOff>
    </xdr:to>
    <xdr:sp macro="" textlink="">
      <xdr:nvSpPr>
        <xdr:cNvPr id="8636" name="AutoShape 892" descr="https://www.soccerstats.com/img/own/sshplogo.png">
          <a:hlinkClick xmlns:r="http://schemas.openxmlformats.org/officeDocument/2006/relationships" r:id="rId454"/>
        </xdr:cNvPr>
        <xdr:cNvSpPr>
          <a:spLocks noChangeAspect="1" noChangeArrowheads="1"/>
        </xdr:cNvSpPr>
      </xdr:nvSpPr>
      <xdr:spPr bwMode="auto">
        <a:xfrm>
          <a:off x="13411200" y="12039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152400</xdr:colOff>
      <xdr:row>587</xdr:row>
      <xdr:rowOff>106680</xdr:rowOff>
    </xdr:to>
    <xdr:sp macro="" textlink="">
      <xdr:nvSpPr>
        <xdr:cNvPr id="8637" name="AutoShape 893" descr="TURKEY"/>
        <xdr:cNvSpPr>
          <a:spLocks noChangeAspect="1" noChangeArrowheads="1"/>
        </xdr:cNvSpPr>
      </xdr:nvSpPr>
      <xdr:spPr bwMode="auto">
        <a:xfrm>
          <a:off x="0" y="120571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587</xdr:row>
      <xdr:rowOff>0</xdr:rowOff>
    </xdr:from>
    <xdr:to>
      <xdr:col>22</xdr:col>
      <xdr:colOff>304800</xdr:colOff>
      <xdr:row>588</xdr:row>
      <xdr:rowOff>129540</xdr:rowOff>
    </xdr:to>
    <xdr:sp macro="" textlink="">
      <xdr:nvSpPr>
        <xdr:cNvPr id="8638" name="AutoShape 894" descr="https://www.soccerstats.com/img/own/sshplogo.png">
          <a:hlinkClick xmlns:r="http://schemas.openxmlformats.org/officeDocument/2006/relationships" r:id="rId455"/>
        </xdr:cNvPr>
        <xdr:cNvSpPr>
          <a:spLocks noChangeAspect="1" noChangeArrowheads="1"/>
        </xdr:cNvSpPr>
      </xdr:nvSpPr>
      <xdr:spPr bwMode="auto">
        <a:xfrm>
          <a:off x="13411200" y="120571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152400</xdr:colOff>
      <xdr:row>588</xdr:row>
      <xdr:rowOff>106680</xdr:rowOff>
    </xdr:to>
    <xdr:sp macro="" textlink="">
      <xdr:nvSpPr>
        <xdr:cNvPr id="8639" name="AutoShape 895" descr="TURKEY"/>
        <xdr:cNvSpPr>
          <a:spLocks noChangeAspect="1" noChangeArrowheads="1"/>
        </xdr:cNvSpPr>
      </xdr:nvSpPr>
      <xdr:spPr bwMode="auto">
        <a:xfrm>
          <a:off x="0" y="120746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588</xdr:row>
      <xdr:rowOff>0</xdr:rowOff>
    </xdr:from>
    <xdr:to>
      <xdr:col>22</xdr:col>
      <xdr:colOff>304800</xdr:colOff>
      <xdr:row>589</xdr:row>
      <xdr:rowOff>129540</xdr:rowOff>
    </xdr:to>
    <xdr:sp macro="" textlink="">
      <xdr:nvSpPr>
        <xdr:cNvPr id="8640" name="AutoShape 896" descr="https://www.soccerstats.com/img/own/sshplogo.png">
          <a:hlinkClick xmlns:r="http://schemas.openxmlformats.org/officeDocument/2006/relationships" r:id="rId456"/>
        </xdr:cNvPr>
        <xdr:cNvSpPr>
          <a:spLocks noChangeAspect="1" noChangeArrowheads="1"/>
        </xdr:cNvSpPr>
      </xdr:nvSpPr>
      <xdr:spPr bwMode="auto">
        <a:xfrm>
          <a:off x="13411200" y="120746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152400</xdr:colOff>
      <xdr:row>589</xdr:row>
      <xdr:rowOff>106680</xdr:rowOff>
    </xdr:to>
    <xdr:sp macro="" textlink="">
      <xdr:nvSpPr>
        <xdr:cNvPr id="8641" name="AutoShape 897" descr="TURKEY"/>
        <xdr:cNvSpPr>
          <a:spLocks noChangeAspect="1" noChangeArrowheads="1"/>
        </xdr:cNvSpPr>
      </xdr:nvSpPr>
      <xdr:spPr bwMode="auto">
        <a:xfrm>
          <a:off x="0" y="120921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589</xdr:row>
      <xdr:rowOff>0</xdr:rowOff>
    </xdr:from>
    <xdr:to>
      <xdr:col>22</xdr:col>
      <xdr:colOff>304800</xdr:colOff>
      <xdr:row>590</xdr:row>
      <xdr:rowOff>129540</xdr:rowOff>
    </xdr:to>
    <xdr:sp macro="" textlink="">
      <xdr:nvSpPr>
        <xdr:cNvPr id="8642" name="AutoShape 898" descr="https://www.soccerstats.com/img/own/sshplogo.png">
          <a:hlinkClick xmlns:r="http://schemas.openxmlformats.org/officeDocument/2006/relationships" r:id="rId457"/>
        </xdr:cNvPr>
        <xdr:cNvSpPr>
          <a:spLocks noChangeAspect="1" noChangeArrowheads="1"/>
        </xdr:cNvSpPr>
      </xdr:nvSpPr>
      <xdr:spPr bwMode="auto">
        <a:xfrm>
          <a:off x="13411200" y="120921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152400</xdr:colOff>
      <xdr:row>590</xdr:row>
      <xdr:rowOff>106680</xdr:rowOff>
    </xdr:to>
    <xdr:sp macro="" textlink="">
      <xdr:nvSpPr>
        <xdr:cNvPr id="8643" name="AutoShape 899" descr="TURKEY2"/>
        <xdr:cNvSpPr>
          <a:spLocks noChangeAspect="1" noChangeArrowheads="1"/>
        </xdr:cNvSpPr>
      </xdr:nvSpPr>
      <xdr:spPr bwMode="auto">
        <a:xfrm>
          <a:off x="0" y="121097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590</xdr:row>
      <xdr:rowOff>0</xdr:rowOff>
    </xdr:from>
    <xdr:to>
      <xdr:col>22</xdr:col>
      <xdr:colOff>304800</xdr:colOff>
      <xdr:row>591</xdr:row>
      <xdr:rowOff>53340</xdr:rowOff>
    </xdr:to>
    <xdr:sp macro="" textlink="">
      <xdr:nvSpPr>
        <xdr:cNvPr id="8644" name="AutoShape 900" descr="https://www.soccerstats.com/img/own/sshplogo.png">
          <a:hlinkClick xmlns:r="http://schemas.openxmlformats.org/officeDocument/2006/relationships" r:id="rId458"/>
        </xdr:cNvPr>
        <xdr:cNvSpPr>
          <a:spLocks noChangeAspect="1" noChangeArrowheads="1"/>
        </xdr:cNvSpPr>
      </xdr:nvSpPr>
      <xdr:spPr bwMode="auto">
        <a:xfrm>
          <a:off x="13411200" y="121097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152400</xdr:colOff>
      <xdr:row>591</xdr:row>
      <xdr:rowOff>106680</xdr:rowOff>
    </xdr:to>
    <xdr:sp macro="" textlink="">
      <xdr:nvSpPr>
        <xdr:cNvPr id="8645" name="AutoShape 901" descr="TURKEY2"/>
        <xdr:cNvSpPr>
          <a:spLocks noChangeAspect="1" noChangeArrowheads="1"/>
        </xdr:cNvSpPr>
      </xdr:nvSpPr>
      <xdr:spPr bwMode="auto">
        <a:xfrm>
          <a:off x="0" y="121348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591</xdr:row>
      <xdr:rowOff>0</xdr:rowOff>
    </xdr:from>
    <xdr:to>
      <xdr:col>22</xdr:col>
      <xdr:colOff>304800</xdr:colOff>
      <xdr:row>592</xdr:row>
      <xdr:rowOff>129540</xdr:rowOff>
    </xdr:to>
    <xdr:sp macro="" textlink="">
      <xdr:nvSpPr>
        <xdr:cNvPr id="8646" name="AutoShape 902" descr="https://www.soccerstats.com/img/own/sshplogo.png">
          <a:hlinkClick xmlns:r="http://schemas.openxmlformats.org/officeDocument/2006/relationships" r:id="rId459"/>
        </xdr:cNvPr>
        <xdr:cNvSpPr>
          <a:spLocks noChangeAspect="1" noChangeArrowheads="1"/>
        </xdr:cNvSpPr>
      </xdr:nvSpPr>
      <xdr:spPr bwMode="auto">
        <a:xfrm>
          <a:off x="13411200" y="12134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152400</xdr:colOff>
      <xdr:row>592</xdr:row>
      <xdr:rowOff>106680</xdr:rowOff>
    </xdr:to>
    <xdr:sp macro="" textlink="">
      <xdr:nvSpPr>
        <xdr:cNvPr id="8647" name="AutoShape 903" descr="TURKEY2"/>
        <xdr:cNvSpPr>
          <a:spLocks noChangeAspect="1" noChangeArrowheads="1"/>
        </xdr:cNvSpPr>
      </xdr:nvSpPr>
      <xdr:spPr bwMode="auto">
        <a:xfrm>
          <a:off x="0" y="121523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592</xdr:row>
      <xdr:rowOff>0</xdr:rowOff>
    </xdr:from>
    <xdr:to>
      <xdr:col>22</xdr:col>
      <xdr:colOff>304800</xdr:colOff>
      <xdr:row>593</xdr:row>
      <xdr:rowOff>129540</xdr:rowOff>
    </xdr:to>
    <xdr:sp macro="" textlink="">
      <xdr:nvSpPr>
        <xdr:cNvPr id="8648" name="AutoShape 904" descr="https://www.soccerstats.com/img/own/sshplogo.png">
          <a:hlinkClick xmlns:r="http://schemas.openxmlformats.org/officeDocument/2006/relationships" r:id="rId460"/>
        </xdr:cNvPr>
        <xdr:cNvSpPr>
          <a:spLocks noChangeAspect="1" noChangeArrowheads="1"/>
        </xdr:cNvSpPr>
      </xdr:nvSpPr>
      <xdr:spPr bwMode="auto">
        <a:xfrm>
          <a:off x="13411200" y="121523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152400</xdr:colOff>
      <xdr:row>593</xdr:row>
      <xdr:rowOff>106680</xdr:rowOff>
    </xdr:to>
    <xdr:sp macro="" textlink="">
      <xdr:nvSpPr>
        <xdr:cNvPr id="8649" name="AutoShape 905" descr="TURKEY2"/>
        <xdr:cNvSpPr>
          <a:spLocks noChangeAspect="1" noChangeArrowheads="1"/>
        </xdr:cNvSpPr>
      </xdr:nvSpPr>
      <xdr:spPr bwMode="auto">
        <a:xfrm>
          <a:off x="0" y="121699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593</xdr:row>
      <xdr:rowOff>0</xdr:rowOff>
    </xdr:from>
    <xdr:to>
      <xdr:col>22</xdr:col>
      <xdr:colOff>304800</xdr:colOff>
      <xdr:row>594</xdr:row>
      <xdr:rowOff>129540</xdr:rowOff>
    </xdr:to>
    <xdr:sp macro="" textlink="">
      <xdr:nvSpPr>
        <xdr:cNvPr id="8650" name="AutoShape 906" descr="https://www.soccerstats.com/img/own/sshplogo.png">
          <a:hlinkClick xmlns:r="http://schemas.openxmlformats.org/officeDocument/2006/relationships" r:id="rId461"/>
        </xdr:cNvPr>
        <xdr:cNvSpPr>
          <a:spLocks noChangeAspect="1" noChangeArrowheads="1"/>
        </xdr:cNvSpPr>
      </xdr:nvSpPr>
      <xdr:spPr bwMode="auto">
        <a:xfrm>
          <a:off x="13411200" y="121699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152400</xdr:colOff>
      <xdr:row>594</xdr:row>
      <xdr:rowOff>106680</xdr:rowOff>
    </xdr:to>
    <xdr:sp macro="" textlink="">
      <xdr:nvSpPr>
        <xdr:cNvPr id="8651" name="AutoShape 907" descr="UKRAINE"/>
        <xdr:cNvSpPr>
          <a:spLocks noChangeAspect="1" noChangeArrowheads="1"/>
        </xdr:cNvSpPr>
      </xdr:nvSpPr>
      <xdr:spPr bwMode="auto">
        <a:xfrm>
          <a:off x="0" y="121874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594</xdr:row>
      <xdr:rowOff>0</xdr:rowOff>
    </xdr:from>
    <xdr:to>
      <xdr:col>22</xdr:col>
      <xdr:colOff>304800</xdr:colOff>
      <xdr:row>595</xdr:row>
      <xdr:rowOff>129540</xdr:rowOff>
    </xdr:to>
    <xdr:sp macro="" textlink="">
      <xdr:nvSpPr>
        <xdr:cNvPr id="8652" name="AutoShape 908" descr="https://www.soccerstats.com/img/own/sshplogo.png">
          <a:hlinkClick xmlns:r="http://schemas.openxmlformats.org/officeDocument/2006/relationships" r:id="rId462"/>
        </xdr:cNvPr>
        <xdr:cNvSpPr>
          <a:spLocks noChangeAspect="1" noChangeArrowheads="1"/>
        </xdr:cNvSpPr>
      </xdr:nvSpPr>
      <xdr:spPr bwMode="auto">
        <a:xfrm>
          <a:off x="13411200" y="121874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152400</xdr:colOff>
      <xdr:row>595</xdr:row>
      <xdr:rowOff>106680</xdr:rowOff>
    </xdr:to>
    <xdr:sp macro="" textlink="">
      <xdr:nvSpPr>
        <xdr:cNvPr id="8653" name="AutoShape 909" descr="UKRAINE"/>
        <xdr:cNvSpPr>
          <a:spLocks noChangeAspect="1" noChangeArrowheads="1"/>
        </xdr:cNvSpPr>
      </xdr:nvSpPr>
      <xdr:spPr bwMode="auto">
        <a:xfrm>
          <a:off x="0" y="122049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595</xdr:row>
      <xdr:rowOff>0</xdr:rowOff>
    </xdr:from>
    <xdr:to>
      <xdr:col>22</xdr:col>
      <xdr:colOff>304800</xdr:colOff>
      <xdr:row>596</xdr:row>
      <xdr:rowOff>129540</xdr:rowOff>
    </xdr:to>
    <xdr:sp macro="" textlink="">
      <xdr:nvSpPr>
        <xdr:cNvPr id="8654" name="AutoShape 910" descr="https://www.soccerstats.com/img/own/sshplogo.png">
          <a:hlinkClick xmlns:r="http://schemas.openxmlformats.org/officeDocument/2006/relationships" r:id="rId463"/>
        </xdr:cNvPr>
        <xdr:cNvSpPr>
          <a:spLocks noChangeAspect="1" noChangeArrowheads="1"/>
        </xdr:cNvSpPr>
      </xdr:nvSpPr>
      <xdr:spPr bwMode="auto">
        <a:xfrm>
          <a:off x="13411200" y="122049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152400</xdr:colOff>
      <xdr:row>596</xdr:row>
      <xdr:rowOff>106680</xdr:rowOff>
    </xdr:to>
    <xdr:sp macro="" textlink="">
      <xdr:nvSpPr>
        <xdr:cNvPr id="8655" name="AutoShape 911" descr="UKRAINE"/>
        <xdr:cNvSpPr>
          <a:spLocks noChangeAspect="1" noChangeArrowheads="1"/>
        </xdr:cNvSpPr>
      </xdr:nvSpPr>
      <xdr:spPr bwMode="auto">
        <a:xfrm>
          <a:off x="0" y="122224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596</xdr:row>
      <xdr:rowOff>0</xdr:rowOff>
    </xdr:from>
    <xdr:to>
      <xdr:col>22</xdr:col>
      <xdr:colOff>304800</xdr:colOff>
      <xdr:row>597</xdr:row>
      <xdr:rowOff>129540</xdr:rowOff>
    </xdr:to>
    <xdr:sp macro="" textlink="">
      <xdr:nvSpPr>
        <xdr:cNvPr id="8656" name="AutoShape 912" descr="https://www.soccerstats.com/img/own/sshplogo.png">
          <a:hlinkClick xmlns:r="http://schemas.openxmlformats.org/officeDocument/2006/relationships" r:id="rId464"/>
        </xdr:cNvPr>
        <xdr:cNvSpPr>
          <a:spLocks noChangeAspect="1" noChangeArrowheads="1"/>
        </xdr:cNvSpPr>
      </xdr:nvSpPr>
      <xdr:spPr bwMode="auto">
        <a:xfrm>
          <a:off x="13411200" y="1222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152400</xdr:colOff>
      <xdr:row>597</xdr:row>
      <xdr:rowOff>106680</xdr:rowOff>
    </xdr:to>
    <xdr:sp macro="" textlink="">
      <xdr:nvSpPr>
        <xdr:cNvPr id="8657" name="AutoShape 913" descr="URUGUAY3"/>
        <xdr:cNvSpPr>
          <a:spLocks noChangeAspect="1" noChangeArrowheads="1"/>
        </xdr:cNvSpPr>
      </xdr:nvSpPr>
      <xdr:spPr bwMode="auto">
        <a:xfrm>
          <a:off x="0" y="122400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597</xdr:row>
      <xdr:rowOff>0</xdr:rowOff>
    </xdr:from>
    <xdr:to>
      <xdr:col>22</xdr:col>
      <xdr:colOff>304800</xdr:colOff>
      <xdr:row>598</xdr:row>
      <xdr:rowOff>53340</xdr:rowOff>
    </xdr:to>
    <xdr:sp macro="" textlink="">
      <xdr:nvSpPr>
        <xdr:cNvPr id="8658" name="AutoShape 914" descr="https://www.soccerstats.com/img/own/sshplogo.png">
          <a:hlinkClick xmlns:r="http://schemas.openxmlformats.org/officeDocument/2006/relationships" r:id="rId465"/>
        </xdr:cNvPr>
        <xdr:cNvSpPr>
          <a:spLocks noChangeAspect="1" noChangeArrowheads="1"/>
        </xdr:cNvSpPr>
      </xdr:nvSpPr>
      <xdr:spPr bwMode="auto">
        <a:xfrm>
          <a:off x="13411200" y="122400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152400</xdr:colOff>
      <xdr:row>598</xdr:row>
      <xdr:rowOff>106680</xdr:rowOff>
    </xdr:to>
    <xdr:sp macro="" textlink="">
      <xdr:nvSpPr>
        <xdr:cNvPr id="8659" name="AutoShape 915" descr="URUGUAY3"/>
        <xdr:cNvSpPr>
          <a:spLocks noChangeAspect="1" noChangeArrowheads="1"/>
        </xdr:cNvSpPr>
      </xdr:nvSpPr>
      <xdr:spPr bwMode="auto">
        <a:xfrm>
          <a:off x="0" y="122651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598</xdr:row>
      <xdr:rowOff>0</xdr:rowOff>
    </xdr:from>
    <xdr:to>
      <xdr:col>22</xdr:col>
      <xdr:colOff>304800</xdr:colOff>
      <xdr:row>599</xdr:row>
      <xdr:rowOff>129540</xdr:rowOff>
    </xdr:to>
    <xdr:sp macro="" textlink="">
      <xdr:nvSpPr>
        <xdr:cNvPr id="8660" name="AutoShape 916" descr="https://www.soccerstats.com/img/own/sshplogo.png">
          <a:hlinkClick xmlns:r="http://schemas.openxmlformats.org/officeDocument/2006/relationships" r:id="rId466"/>
        </xdr:cNvPr>
        <xdr:cNvSpPr>
          <a:spLocks noChangeAspect="1" noChangeArrowheads="1"/>
        </xdr:cNvSpPr>
      </xdr:nvSpPr>
      <xdr:spPr bwMode="auto">
        <a:xfrm>
          <a:off x="13411200" y="122651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152400</xdr:colOff>
      <xdr:row>599</xdr:row>
      <xdr:rowOff>106680</xdr:rowOff>
    </xdr:to>
    <xdr:sp macro="" textlink="">
      <xdr:nvSpPr>
        <xdr:cNvPr id="8661" name="AutoShape 917" descr="URUGUAY3"/>
        <xdr:cNvSpPr>
          <a:spLocks noChangeAspect="1" noChangeArrowheads="1"/>
        </xdr:cNvSpPr>
      </xdr:nvSpPr>
      <xdr:spPr bwMode="auto">
        <a:xfrm>
          <a:off x="0" y="122826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599</xdr:row>
      <xdr:rowOff>0</xdr:rowOff>
    </xdr:from>
    <xdr:to>
      <xdr:col>22</xdr:col>
      <xdr:colOff>304800</xdr:colOff>
      <xdr:row>600</xdr:row>
      <xdr:rowOff>129540</xdr:rowOff>
    </xdr:to>
    <xdr:sp macro="" textlink="">
      <xdr:nvSpPr>
        <xdr:cNvPr id="8662" name="AutoShape 918" descr="https://www.soccerstats.com/img/own/sshplogo.png">
          <a:hlinkClick xmlns:r="http://schemas.openxmlformats.org/officeDocument/2006/relationships" r:id="rId467"/>
        </xdr:cNvPr>
        <xdr:cNvSpPr>
          <a:spLocks noChangeAspect="1" noChangeArrowheads="1"/>
        </xdr:cNvSpPr>
      </xdr:nvSpPr>
      <xdr:spPr bwMode="auto">
        <a:xfrm>
          <a:off x="13411200" y="122826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152400</xdr:colOff>
      <xdr:row>600</xdr:row>
      <xdr:rowOff>106680</xdr:rowOff>
    </xdr:to>
    <xdr:sp macro="" textlink="">
      <xdr:nvSpPr>
        <xdr:cNvPr id="8663" name="AutoShape 919" descr="USA"/>
        <xdr:cNvSpPr>
          <a:spLocks noChangeAspect="1" noChangeArrowheads="1"/>
        </xdr:cNvSpPr>
      </xdr:nvSpPr>
      <xdr:spPr bwMode="auto">
        <a:xfrm>
          <a:off x="0" y="123002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600</xdr:row>
      <xdr:rowOff>0</xdr:rowOff>
    </xdr:from>
    <xdr:to>
      <xdr:col>22</xdr:col>
      <xdr:colOff>304800</xdr:colOff>
      <xdr:row>601</xdr:row>
      <xdr:rowOff>129540</xdr:rowOff>
    </xdr:to>
    <xdr:sp macro="" textlink="">
      <xdr:nvSpPr>
        <xdr:cNvPr id="8664" name="AutoShape 920" descr="https://www.soccerstats.com/img/own/sshplogo.png">
          <a:hlinkClick xmlns:r="http://schemas.openxmlformats.org/officeDocument/2006/relationships" r:id="rId468"/>
        </xdr:cNvPr>
        <xdr:cNvSpPr>
          <a:spLocks noChangeAspect="1" noChangeArrowheads="1"/>
        </xdr:cNvSpPr>
      </xdr:nvSpPr>
      <xdr:spPr bwMode="auto">
        <a:xfrm>
          <a:off x="13411200" y="123002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152400</xdr:colOff>
      <xdr:row>601</xdr:row>
      <xdr:rowOff>106680</xdr:rowOff>
    </xdr:to>
    <xdr:sp macro="" textlink="">
      <xdr:nvSpPr>
        <xdr:cNvPr id="8665" name="AutoShape 921" descr="USA"/>
        <xdr:cNvSpPr>
          <a:spLocks noChangeAspect="1" noChangeArrowheads="1"/>
        </xdr:cNvSpPr>
      </xdr:nvSpPr>
      <xdr:spPr bwMode="auto">
        <a:xfrm>
          <a:off x="0" y="123177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601</xdr:row>
      <xdr:rowOff>0</xdr:rowOff>
    </xdr:from>
    <xdr:to>
      <xdr:col>22</xdr:col>
      <xdr:colOff>304800</xdr:colOff>
      <xdr:row>602</xdr:row>
      <xdr:rowOff>129540</xdr:rowOff>
    </xdr:to>
    <xdr:sp macro="" textlink="">
      <xdr:nvSpPr>
        <xdr:cNvPr id="8666" name="AutoShape 922" descr="https://www.soccerstats.com/img/own/sshplogo.png">
          <a:hlinkClick xmlns:r="http://schemas.openxmlformats.org/officeDocument/2006/relationships" r:id="rId469"/>
        </xdr:cNvPr>
        <xdr:cNvSpPr>
          <a:spLocks noChangeAspect="1" noChangeArrowheads="1"/>
        </xdr:cNvSpPr>
      </xdr:nvSpPr>
      <xdr:spPr bwMode="auto">
        <a:xfrm>
          <a:off x="13411200" y="123177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152400</xdr:colOff>
      <xdr:row>602</xdr:row>
      <xdr:rowOff>106680</xdr:rowOff>
    </xdr:to>
    <xdr:sp macro="" textlink="">
      <xdr:nvSpPr>
        <xdr:cNvPr id="8667" name="AutoShape 923" descr="USA"/>
        <xdr:cNvSpPr>
          <a:spLocks noChangeAspect="1" noChangeArrowheads="1"/>
        </xdr:cNvSpPr>
      </xdr:nvSpPr>
      <xdr:spPr bwMode="auto">
        <a:xfrm>
          <a:off x="0" y="123352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602</xdr:row>
      <xdr:rowOff>0</xdr:rowOff>
    </xdr:from>
    <xdr:to>
      <xdr:col>22</xdr:col>
      <xdr:colOff>304800</xdr:colOff>
      <xdr:row>603</xdr:row>
      <xdr:rowOff>53340</xdr:rowOff>
    </xdr:to>
    <xdr:sp macro="" textlink="">
      <xdr:nvSpPr>
        <xdr:cNvPr id="8668" name="AutoShape 924" descr="https://www.soccerstats.com/img/own/sshplogo.png">
          <a:hlinkClick xmlns:r="http://schemas.openxmlformats.org/officeDocument/2006/relationships" r:id="rId470"/>
        </xdr:cNvPr>
        <xdr:cNvSpPr>
          <a:spLocks noChangeAspect="1" noChangeArrowheads="1"/>
        </xdr:cNvSpPr>
      </xdr:nvSpPr>
      <xdr:spPr bwMode="auto">
        <a:xfrm>
          <a:off x="13411200" y="123352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152400</xdr:colOff>
      <xdr:row>603</xdr:row>
      <xdr:rowOff>106680</xdr:rowOff>
    </xdr:to>
    <xdr:sp macro="" textlink="">
      <xdr:nvSpPr>
        <xdr:cNvPr id="8669" name="AutoShape 925" descr="USA"/>
        <xdr:cNvSpPr>
          <a:spLocks noChangeAspect="1" noChangeArrowheads="1"/>
        </xdr:cNvSpPr>
      </xdr:nvSpPr>
      <xdr:spPr bwMode="auto">
        <a:xfrm>
          <a:off x="0" y="123604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603</xdr:row>
      <xdr:rowOff>0</xdr:rowOff>
    </xdr:from>
    <xdr:to>
      <xdr:col>22</xdr:col>
      <xdr:colOff>304800</xdr:colOff>
      <xdr:row>604</xdr:row>
      <xdr:rowOff>129540</xdr:rowOff>
    </xdr:to>
    <xdr:sp macro="" textlink="">
      <xdr:nvSpPr>
        <xdr:cNvPr id="8670" name="AutoShape 926" descr="https://www.soccerstats.com/img/own/sshplogo.png">
          <a:hlinkClick xmlns:r="http://schemas.openxmlformats.org/officeDocument/2006/relationships" r:id="rId471"/>
        </xdr:cNvPr>
        <xdr:cNvSpPr>
          <a:spLocks noChangeAspect="1" noChangeArrowheads="1"/>
        </xdr:cNvSpPr>
      </xdr:nvSpPr>
      <xdr:spPr bwMode="auto">
        <a:xfrm>
          <a:off x="13411200" y="123604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152400</xdr:colOff>
      <xdr:row>604</xdr:row>
      <xdr:rowOff>106680</xdr:rowOff>
    </xdr:to>
    <xdr:sp macro="" textlink="">
      <xdr:nvSpPr>
        <xdr:cNvPr id="8671" name="AutoShape 927" descr="USA"/>
        <xdr:cNvSpPr>
          <a:spLocks noChangeAspect="1" noChangeArrowheads="1"/>
        </xdr:cNvSpPr>
      </xdr:nvSpPr>
      <xdr:spPr bwMode="auto">
        <a:xfrm>
          <a:off x="0" y="123779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604</xdr:row>
      <xdr:rowOff>0</xdr:rowOff>
    </xdr:from>
    <xdr:to>
      <xdr:col>22</xdr:col>
      <xdr:colOff>304800</xdr:colOff>
      <xdr:row>605</xdr:row>
      <xdr:rowOff>129540</xdr:rowOff>
    </xdr:to>
    <xdr:sp macro="" textlink="">
      <xdr:nvSpPr>
        <xdr:cNvPr id="8672" name="AutoShape 928" descr="https://www.soccerstats.com/img/own/sshplogo.png">
          <a:hlinkClick xmlns:r="http://schemas.openxmlformats.org/officeDocument/2006/relationships" r:id="rId472"/>
        </xdr:cNvPr>
        <xdr:cNvSpPr>
          <a:spLocks noChangeAspect="1" noChangeArrowheads="1"/>
        </xdr:cNvSpPr>
      </xdr:nvSpPr>
      <xdr:spPr bwMode="auto">
        <a:xfrm>
          <a:off x="13411200" y="123779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152400</xdr:colOff>
      <xdr:row>605</xdr:row>
      <xdr:rowOff>106680</xdr:rowOff>
    </xdr:to>
    <xdr:sp macro="" textlink="">
      <xdr:nvSpPr>
        <xdr:cNvPr id="8673" name="AutoShape 929" descr="USA2"/>
        <xdr:cNvSpPr>
          <a:spLocks noChangeAspect="1" noChangeArrowheads="1"/>
        </xdr:cNvSpPr>
      </xdr:nvSpPr>
      <xdr:spPr bwMode="auto">
        <a:xfrm>
          <a:off x="0" y="123954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605</xdr:row>
      <xdr:rowOff>0</xdr:rowOff>
    </xdr:from>
    <xdr:to>
      <xdr:col>22</xdr:col>
      <xdr:colOff>304800</xdr:colOff>
      <xdr:row>606</xdr:row>
      <xdr:rowOff>129540</xdr:rowOff>
    </xdr:to>
    <xdr:sp macro="" textlink="">
      <xdr:nvSpPr>
        <xdr:cNvPr id="8674" name="AutoShape 930" descr="https://www.soccerstats.com/img/own/sshplogo.png">
          <a:hlinkClick xmlns:r="http://schemas.openxmlformats.org/officeDocument/2006/relationships" r:id="rId473"/>
        </xdr:cNvPr>
        <xdr:cNvSpPr>
          <a:spLocks noChangeAspect="1" noChangeArrowheads="1"/>
        </xdr:cNvSpPr>
      </xdr:nvSpPr>
      <xdr:spPr bwMode="auto">
        <a:xfrm>
          <a:off x="13411200" y="123954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152400</xdr:colOff>
      <xdr:row>606</xdr:row>
      <xdr:rowOff>106680</xdr:rowOff>
    </xdr:to>
    <xdr:sp macro="" textlink="">
      <xdr:nvSpPr>
        <xdr:cNvPr id="8675" name="AutoShape 931" descr="USA2"/>
        <xdr:cNvSpPr>
          <a:spLocks noChangeAspect="1" noChangeArrowheads="1"/>
        </xdr:cNvSpPr>
      </xdr:nvSpPr>
      <xdr:spPr bwMode="auto">
        <a:xfrm>
          <a:off x="0" y="124129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606</xdr:row>
      <xdr:rowOff>0</xdr:rowOff>
    </xdr:from>
    <xdr:to>
      <xdr:col>22</xdr:col>
      <xdr:colOff>304800</xdr:colOff>
      <xdr:row>607</xdr:row>
      <xdr:rowOff>129540</xdr:rowOff>
    </xdr:to>
    <xdr:sp macro="" textlink="">
      <xdr:nvSpPr>
        <xdr:cNvPr id="8676" name="AutoShape 932" descr="https://www.soccerstats.com/img/own/sshplogo.png">
          <a:hlinkClick xmlns:r="http://schemas.openxmlformats.org/officeDocument/2006/relationships" r:id="rId474"/>
        </xdr:cNvPr>
        <xdr:cNvSpPr>
          <a:spLocks noChangeAspect="1" noChangeArrowheads="1"/>
        </xdr:cNvSpPr>
      </xdr:nvSpPr>
      <xdr:spPr bwMode="auto">
        <a:xfrm>
          <a:off x="13411200" y="124129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152400</xdr:colOff>
      <xdr:row>607</xdr:row>
      <xdr:rowOff>106680</xdr:rowOff>
    </xdr:to>
    <xdr:sp macro="" textlink="">
      <xdr:nvSpPr>
        <xdr:cNvPr id="8677" name="AutoShape 933" descr="USA2"/>
        <xdr:cNvSpPr>
          <a:spLocks noChangeAspect="1" noChangeArrowheads="1"/>
        </xdr:cNvSpPr>
      </xdr:nvSpPr>
      <xdr:spPr bwMode="auto">
        <a:xfrm>
          <a:off x="0" y="124305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607</xdr:row>
      <xdr:rowOff>0</xdr:rowOff>
    </xdr:from>
    <xdr:to>
      <xdr:col>22</xdr:col>
      <xdr:colOff>304800</xdr:colOff>
      <xdr:row>608</xdr:row>
      <xdr:rowOff>129540</xdr:rowOff>
    </xdr:to>
    <xdr:sp macro="" textlink="">
      <xdr:nvSpPr>
        <xdr:cNvPr id="8678" name="AutoShape 934" descr="https://www.soccerstats.com/img/own/sshplogo.png">
          <a:hlinkClick xmlns:r="http://schemas.openxmlformats.org/officeDocument/2006/relationships" r:id="rId475"/>
        </xdr:cNvPr>
        <xdr:cNvSpPr>
          <a:spLocks noChangeAspect="1" noChangeArrowheads="1"/>
        </xdr:cNvSpPr>
      </xdr:nvSpPr>
      <xdr:spPr bwMode="auto">
        <a:xfrm>
          <a:off x="13411200" y="124305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152400</xdr:colOff>
      <xdr:row>608</xdr:row>
      <xdr:rowOff>106680</xdr:rowOff>
    </xdr:to>
    <xdr:sp macro="" textlink="">
      <xdr:nvSpPr>
        <xdr:cNvPr id="8679" name="AutoShape 935" descr="USA2"/>
        <xdr:cNvSpPr>
          <a:spLocks noChangeAspect="1" noChangeArrowheads="1"/>
        </xdr:cNvSpPr>
      </xdr:nvSpPr>
      <xdr:spPr bwMode="auto">
        <a:xfrm>
          <a:off x="0" y="124480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608</xdr:row>
      <xdr:rowOff>0</xdr:rowOff>
    </xdr:from>
    <xdr:to>
      <xdr:col>22</xdr:col>
      <xdr:colOff>304800</xdr:colOff>
      <xdr:row>609</xdr:row>
      <xdr:rowOff>129540</xdr:rowOff>
    </xdr:to>
    <xdr:sp macro="" textlink="">
      <xdr:nvSpPr>
        <xdr:cNvPr id="8680" name="AutoShape 936" descr="https://www.soccerstats.com/img/own/sshplogo.png">
          <a:hlinkClick xmlns:r="http://schemas.openxmlformats.org/officeDocument/2006/relationships" r:id="rId476"/>
        </xdr:cNvPr>
        <xdr:cNvSpPr>
          <a:spLocks noChangeAspect="1" noChangeArrowheads="1"/>
        </xdr:cNvSpPr>
      </xdr:nvSpPr>
      <xdr:spPr bwMode="auto">
        <a:xfrm>
          <a:off x="13411200" y="12448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152400</xdr:colOff>
      <xdr:row>609</xdr:row>
      <xdr:rowOff>106680</xdr:rowOff>
    </xdr:to>
    <xdr:sp macro="" textlink="">
      <xdr:nvSpPr>
        <xdr:cNvPr id="8681" name="AutoShape 937" descr="USA2"/>
        <xdr:cNvSpPr>
          <a:spLocks noChangeAspect="1" noChangeArrowheads="1"/>
        </xdr:cNvSpPr>
      </xdr:nvSpPr>
      <xdr:spPr bwMode="auto">
        <a:xfrm>
          <a:off x="0" y="124655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609</xdr:row>
      <xdr:rowOff>0</xdr:rowOff>
    </xdr:from>
    <xdr:to>
      <xdr:col>22</xdr:col>
      <xdr:colOff>304800</xdr:colOff>
      <xdr:row>610</xdr:row>
      <xdr:rowOff>129540</xdr:rowOff>
    </xdr:to>
    <xdr:sp macro="" textlink="">
      <xdr:nvSpPr>
        <xdr:cNvPr id="8682" name="AutoShape 938" descr="https://www.soccerstats.com/img/own/sshplogo.png">
          <a:hlinkClick xmlns:r="http://schemas.openxmlformats.org/officeDocument/2006/relationships" r:id="rId477"/>
        </xdr:cNvPr>
        <xdr:cNvSpPr>
          <a:spLocks noChangeAspect="1" noChangeArrowheads="1"/>
        </xdr:cNvSpPr>
      </xdr:nvSpPr>
      <xdr:spPr bwMode="auto">
        <a:xfrm>
          <a:off x="13411200" y="124655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152400</xdr:colOff>
      <xdr:row>610</xdr:row>
      <xdr:rowOff>106680</xdr:rowOff>
    </xdr:to>
    <xdr:sp macro="" textlink="">
      <xdr:nvSpPr>
        <xdr:cNvPr id="8683" name="AutoShape 939" descr="USA3"/>
        <xdr:cNvSpPr>
          <a:spLocks noChangeAspect="1" noChangeArrowheads="1"/>
        </xdr:cNvSpPr>
      </xdr:nvSpPr>
      <xdr:spPr bwMode="auto">
        <a:xfrm>
          <a:off x="0" y="124830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610</xdr:row>
      <xdr:rowOff>0</xdr:rowOff>
    </xdr:from>
    <xdr:to>
      <xdr:col>22</xdr:col>
      <xdr:colOff>304800</xdr:colOff>
      <xdr:row>611</xdr:row>
      <xdr:rowOff>129540</xdr:rowOff>
    </xdr:to>
    <xdr:sp macro="" textlink="">
      <xdr:nvSpPr>
        <xdr:cNvPr id="8684" name="AutoShape 940" descr="https://www.soccerstats.com/img/own/sshplogo.png">
          <a:hlinkClick xmlns:r="http://schemas.openxmlformats.org/officeDocument/2006/relationships" r:id="rId478"/>
        </xdr:cNvPr>
        <xdr:cNvSpPr>
          <a:spLocks noChangeAspect="1" noChangeArrowheads="1"/>
        </xdr:cNvSpPr>
      </xdr:nvSpPr>
      <xdr:spPr bwMode="auto">
        <a:xfrm>
          <a:off x="13411200" y="124830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152400</xdr:colOff>
      <xdr:row>611</xdr:row>
      <xdr:rowOff>106680</xdr:rowOff>
    </xdr:to>
    <xdr:sp macro="" textlink="">
      <xdr:nvSpPr>
        <xdr:cNvPr id="8685" name="AutoShape 941" descr="USA3"/>
        <xdr:cNvSpPr>
          <a:spLocks noChangeAspect="1" noChangeArrowheads="1"/>
        </xdr:cNvSpPr>
      </xdr:nvSpPr>
      <xdr:spPr bwMode="auto">
        <a:xfrm>
          <a:off x="0" y="125006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611</xdr:row>
      <xdr:rowOff>0</xdr:rowOff>
    </xdr:from>
    <xdr:to>
      <xdr:col>22</xdr:col>
      <xdr:colOff>304800</xdr:colOff>
      <xdr:row>612</xdr:row>
      <xdr:rowOff>129540</xdr:rowOff>
    </xdr:to>
    <xdr:sp macro="" textlink="">
      <xdr:nvSpPr>
        <xdr:cNvPr id="8686" name="AutoShape 942" descr="https://www.soccerstats.com/img/own/sshplogo.png">
          <a:hlinkClick xmlns:r="http://schemas.openxmlformats.org/officeDocument/2006/relationships" r:id="rId479"/>
        </xdr:cNvPr>
        <xdr:cNvSpPr>
          <a:spLocks noChangeAspect="1" noChangeArrowheads="1"/>
        </xdr:cNvSpPr>
      </xdr:nvSpPr>
      <xdr:spPr bwMode="auto">
        <a:xfrm>
          <a:off x="13411200" y="125006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152400</xdr:colOff>
      <xdr:row>612</xdr:row>
      <xdr:rowOff>106680</xdr:rowOff>
    </xdr:to>
    <xdr:sp macro="" textlink="">
      <xdr:nvSpPr>
        <xdr:cNvPr id="8687" name="AutoShape 943" descr="USA3"/>
        <xdr:cNvSpPr>
          <a:spLocks noChangeAspect="1" noChangeArrowheads="1"/>
        </xdr:cNvSpPr>
      </xdr:nvSpPr>
      <xdr:spPr bwMode="auto">
        <a:xfrm>
          <a:off x="0" y="125181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612</xdr:row>
      <xdr:rowOff>0</xdr:rowOff>
    </xdr:from>
    <xdr:to>
      <xdr:col>22</xdr:col>
      <xdr:colOff>304800</xdr:colOff>
      <xdr:row>613</xdr:row>
      <xdr:rowOff>129540</xdr:rowOff>
    </xdr:to>
    <xdr:sp macro="" textlink="">
      <xdr:nvSpPr>
        <xdr:cNvPr id="8688" name="AutoShape 944" descr="https://www.soccerstats.com/img/own/sshplogo.png">
          <a:hlinkClick xmlns:r="http://schemas.openxmlformats.org/officeDocument/2006/relationships" r:id="rId480"/>
        </xdr:cNvPr>
        <xdr:cNvSpPr>
          <a:spLocks noChangeAspect="1" noChangeArrowheads="1"/>
        </xdr:cNvSpPr>
      </xdr:nvSpPr>
      <xdr:spPr bwMode="auto">
        <a:xfrm>
          <a:off x="13411200" y="125181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152400</xdr:colOff>
      <xdr:row>613</xdr:row>
      <xdr:rowOff>106680</xdr:rowOff>
    </xdr:to>
    <xdr:sp macro="" textlink="">
      <xdr:nvSpPr>
        <xdr:cNvPr id="8689" name="AutoShape 945" descr="USA3"/>
        <xdr:cNvSpPr>
          <a:spLocks noChangeAspect="1" noChangeArrowheads="1"/>
        </xdr:cNvSpPr>
      </xdr:nvSpPr>
      <xdr:spPr bwMode="auto">
        <a:xfrm>
          <a:off x="0" y="125356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613</xdr:row>
      <xdr:rowOff>0</xdr:rowOff>
    </xdr:from>
    <xdr:to>
      <xdr:col>22</xdr:col>
      <xdr:colOff>304800</xdr:colOff>
      <xdr:row>614</xdr:row>
      <xdr:rowOff>53340</xdr:rowOff>
    </xdr:to>
    <xdr:sp macro="" textlink="">
      <xdr:nvSpPr>
        <xdr:cNvPr id="8690" name="AutoShape 946" descr="https://www.soccerstats.com/img/own/sshplogo.png">
          <a:hlinkClick xmlns:r="http://schemas.openxmlformats.org/officeDocument/2006/relationships" r:id="rId481"/>
        </xdr:cNvPr>
        <xdr:cNvSpPr>
          <a:spLocks noChangeAspect="1" noChangeArrowheads="1"/>
        </xdr:cNvSpPr>
      </xdr:nvSpPr>
      <xdr:spPr bwMode="auto">
        <a:xfrm>
          <a:off x="13411200" y="125356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152400</xdr:colOff>
      <xdr:row>614</xdr:row>
      <xdr:rowOff>106680</xdr:rowOff>
    </xdr:to>
    <xdr:sp macro="" textlink="">
      <xdr:nvSpPr>
        <xdr:cNvPr id="8691" name="AutoShape 947" descr="USA3"/>
        <xdr:cNvSpPr>
          <a:spLocks noChangeAspect="1" noChangeArrowheads="1"/>
        </xdr:cNvSpPr>
      </xdr:nvSpPr>
      <xdr:spPr bwMode="auto">
        <a:xfrm>
          <a:off x="0" y="125608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614</xdr:row>
      <xdr:rowOff>0</xdr:rowOff>
    </xdr:from>
    <xdr:to>
      <xdr:col>22</xdr:col>
      <xdr:colOff>304800</xdr:colOff>
      <xdr:row>615</xdr:row>
      <xdr:rowOff>53340</xdr:rowOff>
    </xdr:to>
    <xdr:sp macro="" textlink="">
      <xdr:nvSpPr>
        <xdr:cNvPr id="8692" name="AutoShape 948" descr="https://www.soccerstats.com/img/own/sshplogo.png">
          <a:hlinkClick xmlns:r="http://schemas.openxmlformats.org/officeDocument/2006/relationships" r:id="rId482"/>
        </xdr:cNvPr>
        <xdr:cNvSpPr>
          <a:spLocks noChangeAspect="1" noChangeArrowheads="1"/>
        </xdr:cNvSpPr>
      </xdr:nvSpPr>
      <xdr:spPr bwMode="auto">
        <a:xfrm>
          <a:off x="13411200" y="125608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152400</xdr:colOff>
      <xdr:row>615</xdr:row>
      <xdr:rowOff>106680</xdr:rowOff>
    </xdr:to>
    <xdr:sp macro="" textlink="">
      <xdr:nvSpPr>
        <xdr:cNvPr id="8693" name="AutoShape 949" descr="USA6"/>
        <xdr:cNvSpPr>
          <a:spLocks noChangeAspect="1" noChangeArrowheads="1"/>
        </xdr:cNvSpPr>
      </xdr:nvSpPr>
      <xdr:spPr bwMode="auto">
        <a:xfrm>
          <a:off x="0" y="125859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615</xdr:row>
      <xdr:rowOff>0</xdr:rowOff>
    </xdr:from>
    <xdr:to>
      <xdr:col>22</xdr:col>
      <xdr:colOff>304800</xdr:colOff>
      <xdr:row>616</xdr:row>
      <xdr:rowOff>53340</xdr:rowOff>
    </xdr:to>
    <xdr:sp macro="" textlink="">
      <xdr:nvSpPr>
        <xdr:cNvPr id="8694" name="AutoShape 950" descr="https://www.soccerstats.com/img/own/sshplogo.png">
          <a:hlinkClick xmlns:r="http://schemas.openxmlformats.org/officeDocument/2006/relationships" r:id="rId483"/>
        </xdr:cNvPr>
        <xdr:cNvSpPr>
          <a:spLocks noChangeAspect="1" noChangeArrowheads="1"/>
        </xdr:cNvSpPr>
      </xdr:nvSpPr>
      <xdr:spPr bwMode="auto">
        <a:xfrm>
          <a:off x="13411200" y="125859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152400</xdr:colOff>
      <xdr:row>616</xdr:row>
      <xdr:rowOff>106680</xdr:rowOff>
    </xdr:to>
    <xdr:sp macro="" textlink="">
      <xdr:nvSpPr>
        <xdr:cNvPr id="8695" name="AutoShape 951" descr="USA6"/>
        <xdr:cNvSpPr>
          <a:spLocks noChangeAspect="1" noChangeArrowheads="1"/>
        </xdr:cNvSpPr>
      </xdr:nvSpPr>
      <xdr:spPr bwMode="auto">
        <a:xfrm>
          <a:off x="0" y="126111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616</xdr:row>
      <xdr:rowOff>0</xdr:rowOff>
    </xdr:from>
    <xdr:to>
      <xdr:col>22</xdr:col>
      <xdr:colOff>304800</xdr:colOff>
      <xdr:row>617</xdr:row>
      <xdr:rowOff>53340</xdr:rowOff>
    </xdr:to>
    <xdr:sp macro="" textlink="">
      <xdr:nvSpPr>
        <xdr:cNvPr id="8696" name="AutoShape 952" descr="https://www.soccerstats.com/img/own/sshplogo.png">
          <a:hlinkClick xmlns:r="http://schemas.openxmlformats.org/officeDocument/2006/relationships" r:id="rId484"/>
        </xdr:cNvPr>
        <xdr:cNvSpPr>
          <a:spLocks noChangeAspect="1" noChangeArrowheads="1"/>
        </xdr:cNvSpPr>
      </xdr:nvSpPr>
      <xdr:spPr bwMode="auto">
        <a:xfrm>
          <a:off x="13411200" y="12611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152400</xdr:colOff>
      <xdr:row>617</xdr:row>
      <xdr:rowOff>106680</xdr:rowOff>
    </xdr:to>
    <xdr:sp macro="" textlink="">
      <xdr:nvSpPr>
        <xdr:cNvPr id="8697" name="AutoShape 953" descr="USA6"/>
        <xdr:cNvSpPr>
          <a:spLocks noChangeAspect="1" noChangeArrowheads="1"/>
        </xdr:cNvSpPr>
      </xdr:nvSpPr>
      <xdr:spPr bwMode="auto">
        <a:xfrm>
          <a:off x="0" y="126362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617</xdr:row>
      <xdr:rowOff>0</xdr:rowOff>
    </xdr:from>
    <xdr:to>
      <xdr:col>22</xdr:col>
      <xdr:colOff>304800</xdr:colOff>
      <xdr:row>618</xdr:row>
      <xdr:rowOff>53340</xdr:rowOff>
    </xdr:to>
    <xdr:sp macro="" textlink="">
      <xdr:nvSpPr>
        <xdr:cNvPr id="8698" name="AutoShape 954" descr="https://www.soccerstats.com/img/own/sshplogo.png">
          <a:hlinkClick xmlns:r="http://schemas.openxmlformats.org/officeDocument/2006/relationships" r:id="rId485"/>
        </xdr:cNvPr>
        <xdr:cNvSpPr>
          <a:spLocks noChangeAspect="1" noChangeArrowheads="1"/>
        </xdr:cNvSpPr>
      </xdr:nvSpPr>
      <xdr:spPr bwMode="auto">
        <a:xfrm>
          <a:off x="13411200" y="126362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152400</xdr:colOff>
      <xdr:row>618</xdr:row>
      <xdr:rowOff>106680</xdr:rowOff>
    </xdr:to>
    <xdr:sp macro="" textlink="">
      <xdr:nvSpPr>
        <xdr:cNvPr id="8699" name="AutoShape 955" descr="USA6"/>
        <xdr:cNvSpPr>
          <a:spLocks noChangeAspect="1" noChangeArrowheads="1"/>
        </xdr:cNvSpPr>
      </xdr:nvSpPr>
      <xdr:spPr bwMode="auto">
        <a:xfrm>
          <a:off x="0" y="126613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618</xdr:row>
      <xdr:rowOff>0</xdr:rowOff>
    </xdr:from>
    <xdr:to>
      <xdr:col>22</xdr:col>
      <xdr:colOff>304800</xdr:colOff>
      <xdr:row>619</xdr:row>
      <xdr:rowOff>53340</xdr:rowOff>
    </xdr:to>
    <xdr:sp macro="" textlink="">
      <xdr:nvSpPr>
        <xdr:cNvPr id="8700" name="AutoShape 956" descr="https://www.soccerstats.com/img/own/sshplogo.png">
          <a:hlinkClick xmlns:r="http://schemas.openxmlformats.org/officeDocument/2006/relationships" r:id="rId486"/>
        </xdr:cNvPr>
        <xdr:cNvSpPr>
          <a:spLocks noChangeAspect="1" noChangeArrowheads="1"/>
        </xdr:cNvSpPr>
      </xdr:nvSpPr>
      <xdr:spPr bwMode="auto">
        <a:xfrm>
          <a:off x="13411200" y="126613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152400</xdr:colOff>
      <xdr:row>619</xdr:row>
      <xdr:rowOff>106680</xdr:rowOff>
    </xdr:to>
    <xdr:sp macro="" textlink="">
      <xdr:nvSpPr>
        <xdr:cNvPr id="8701" name="AutoShape 957" descr="USA6"/>
        <xdr:cNvSpPr>
          <a:spLocks noChangeAspect="1" noChangeArrowheads="1"/>
        </xdr:cNvSpPr>
      </xdr:nvSpPr>
      <xdr:spPr bwMode="auto">
        <a:xfrm>
          <a:off x="0" y="126865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619</xdr:row>
      <xdr:rowOff>0</xdr:rowOff>
    </xdr:from>
    <xdr:to>
      <xdr:col>22</xdr:col>
      <xdr:colOff>304800</xdr:colOff>
      <xdr:row>620</xdr:row>
      <xdr:rowOff>53340</xdr:rowOff>
    </xdr:to>
    <xdr:sp macro="" textlink="">
      <xdr:nvSpPr>
        <xdr:cNvPr id="8702" name="AutoShape 958" descr="https://www.soccerstats.com/img/own/sshplogo.png">
          <a:hlinkClick xmlns:r="http://schemas.openxmlformats.org/officeDocument/2006/relationships" r:id="rId487"/>
        </xdr:cNvPr>
        <xdr:cNvSpPr>
          <a:spLocks noChangeAspect="1" noChangeArrowheads="1"/>
        </xdr:cNvSpPr>
      </xdr:nvSpPr>
      <xdr:spPr bwMode="auto">
        <a:xfrm>
          <a:off x="13411200" y="126865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152400</xdr:colOff>
      <xdr:row>620</xdr:row>
      <xdr:rowOff>106680</xdr:rowOff>
    </xdr:to>
    <xdr:sp macro="" textlink="">
      <xdr:nvSpPr>
        <xdr:cNvPr id="8703" name="AutoShape 959" descr="USA7"/>
        <xdr:cNvSpPr>
          <a:spLocks noChangeAspect="1" noChangeArrowheads="1"/>
        </xdr:cNvSpPr>
      </xdr:nvSpPr>
      <xdr:spPr bwMode="auto">
        <a:xfrm>
          <a:off x="0" y="127116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620</xdr:row>
      <xdr:rowOff>0</xdr:rowOff>
    </xdr:from>
    <xdr:to>
      <xdr:col>22</xdr:col>
      <xdr:colOff>304800</xdr:colOff>
      <xdr:row>621</xdr:row>
      <xdr:rowOff>129540</xdr:rowOff>
    </xdr:to>
    <xdr:sp macro="" textlink="">
      <xdr:nvSpPr>
        <xdr:cNvPr id="8704" name="AutoShape 960" descr="https://www.soccerstats.com/img/own/sshplogo.png">
          <a:hlinkClick xmlns:r="http://schemas.openxmlformats.org/officeDocument/2006/relationships" r:id="rId488"/>
        </xdr:cNvPr>
        <xdr:cNvSpPr>
          <a:spLocks noChangeAspect="1" noChangeArrowheads="1"/>
        </xdr:cNvSpPr>
      </xdr:nvSpPr>
      <xdr:spPr bwMode="auto">
        <a:xfrm>
          <a:off x="13411200" y="127116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152400</xdr:colOff>
      <xdr:row>621</xdr:row>
      <xdr:rowOff>106680</xdr:rowOff>
    </xdr:to>
    <xdr:sp macro="" textlink="">
      <xdr:nvSpPr>
        <xdr:cNvPr id="8705" name="AutoShape 961" descr="USA7"/>
        <xdr:cNvSpPr>
          <a:spLocks noChangeAspect="1" noChangeArrowheads="1"/>
        </xdr:cNvSpPr>
      </xdr:nvSpPr>
      <xdr:spPr bwMode="auto">
        <a:xfrm>
          <a:off x="0" y="127292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621</xdr:row>
      <xdr:rowOff>0</xdr:rowOff>
    </xdr:from>
    <xdr:to>
      <xdr:col>22</xdr:col>
      <xdr:colOff>304800</xdr:colOff>
      <xdr:row>622</xdr:row>
      <xdr:rowOff>129540</xdr:rowOff>
    </xdr:to>
    <xdr:sp macro="" textlink="">
      <xdr:nvSpPr>
        <xdr:cNvPr id="8706" name="AutoShape 962" descr="https://www.soccerstats.com/img/own/sshplogo.png">
          <a:hlinkClick xmlns:r="http://schemas.openxmlformats.org/officeDocument/2006/relationships" r:id="rId489"/>
        </xdr:cNvPr>
        <xdr:cNvSpPr>
          <a:spLocks noChangeAspect="1" noChangeArrowheads="1"/>
        </xdr:cNvSpPr>
      </xdr:nvSpPr>
      <xdr:spPr bwMode="auto">
        <a:xfrm>
          <a:off x="13411200" y="127292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152400</xdr:colOff>
      <xdr:row>622</xdr:row>
      <xdr:rowOff>106680</xdr:rowOff>
    </xdr:to>
    <xdr:sp macro="" textlink="">
      <xdr:nvSpPr>
        <xdr:cNvPr id="8707" name="AutoShape 963" descr="USA7"/>
        <xdr:cNvSpPr>
          <a:spLocks noChangeAspect="1" noChangeArrowheads="1"/>
        </xdr:cNvSpPr>
      </xdr:nvSpPr>
      <xdr:spPr bwMode="auto">
        <a:xfrm>
          <a:off x="0" y="127467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622</xdr:row>
      <xdr:rowOff>0</xdr:rowOff>
    </xdr:from>
    <xdr:to>
      <xdr:col>22</xdr:col>
      <xdr:colOff>304800</xdr:colOff>
      <xdr:row>623</xdr:row>
      <xdr:rowOff>53340</xdr:rowOff>
    </xdr:to>
    <xdr:sp macro="" textlink="">
      <xdr:nvSpPr>
        <xdr:cNvPr id="8708" name="AutoShape 964" descr="https://www.soccerstats.com/img/own/sshplogo.png">
          <a:hlinkClick xmlns:r="http://schemas.openxmlformats.org/officeDocument/2006/relationships" r:id="rId490"/>
        </xdr:cNvPr>
        <xdr:cNvSpPr>
          <a:spLocks noChangeAspect="1" noChangeArrowheads="1"/>
        </xdr:cNvSpPr>
      </xdr:nvSpPr>
      <xdr:spPr bwMode="auto">
        <a:xfrm>
          <a:off x="13411200" y="127467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152400</xdr:colOff>
      <xdr:row>623</xdr:row>
      <xdr:rowOff>106680</xdr:rowOff>
    </xdr:to>
    <xdr:sp macro="" textlink="">
      <xdr:nvSpPr>
        <xdr:cNvPr id="8709" name="AutoShape 965" descr="WALES"/>
        <xdr:cNvSpPr>
          <a:spLocks noChangeAspect="1" noChangeArrowheads="1"/>
        </xdr:cNvSpPr>
      </xdr:nvSpPr>
      <xdr:spPr bwMode="auto">
        <a:xfrm>
          <a:off x="0" y="127718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623</xdr:row>
      <xdr:rowOff>0</xdr:rowOff>
    </xdr:from>
    <xdr:to>
      <xdr:col>22</xdr:col>
      <xdr:colOff>304800</xdr:colOff>
      <xdr:row>624</xdr:row>
      <xdr:rowOff>129540</xdr:rowOff>
    </xdr:to>
    <xdr:sp macro="" textlink="">
      <xdr:nvSpPr>
        <xdr:cNvPr id="8710" name="AutoShape 966" descr="https://www.soccerstats.com/img/own/sshplogo.png">
          <a:hlinkClick xmlns:r="http://schemas.openxmlformats.org/officeDocument/2006/relationships" r:id="rId491"/>
        </xdr:cNvPr>
        <xdr:cNvSpPr>
          <a:spLocks noChangeAspect="1" noChangeArrowheads="1"/>
        </xdr:cNvSpPr>
      </xdr:nvSpPr>
      <xdr:spPr bwMode="auto">
        <a:xfrm>
          <a:off x="13411200" y="127718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152400</xdr:colOff>
      <xdr:row>624</xdr:row>
      <xdr:rowOff>106680</xdr:rowOff>
    </xdr:to>
    <xdr:sp macro="" textlink="">
      <xdr:nvSpPr>
        <xdr:cNvPr id="8711" name="AutoShape 967" descr="WALES"/>
        <xdr:cNvSpPr>
          <a:spLocks noChangeAspect="1" noChangeArrowheads="1"/>
        </xdr:cNvSpPr>
      </xdr:nvSpPr>
      <xdr:spPr bwMode="auto">
        <a:xfrm>
          <a:off x="0" y="127894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624</xdr:row>
      <xdr:rowOff>0</xdr:rowOff>
    </xdr:from>
    <xdr:to>
      <xdr:col>22</xdr:col>
      <xdr:colOff>304800</xdr:colOff>
      <xdr:row>625</xdr:row>
      <xdr:rowOff>129540</xdr:rowOff>
    </xdr:to>
    <xdr:sp macro="" textlink="">
      <xdr:nvSpPr>
        <xdr:cNvPr id="8712" name="AutoShape 968" descr="https://www.soccerstats.com/img/own/sshplogo.png">
          <a:hlinkClick xmlns:r="http://schemas.openxmlformats.org/officeDocument/2006/relationships" r:id="rId492"/>
        </xdr:cNvPr>
        <xdr:cNvSpPr>
          <a:spLocks noChangeAspect="1" noChangeArrowheads="1"/>
        </xdr:cNvSpPr>
      </xdr:nvSpPr>
      <xdr:spPr bwMode="auto">
        <a:xfrm>
          <a:off x="13411200" y="127894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152400</xdr:colOff>
      <xdr:row>625</xdr:row>
      <xdr:rowOff>106680</xdr:rowOff>
    </xdr:to>
    <xdr:sp macro="" textlink="">
      <xdr:nvSpPr>
        <xdr:cNvPr id="8713" name="AutoShape 969" descr="SPAIN"/>
        <xdr:cNvSpPr>
          <a:spLocks noChangeAspect="1" noChangeArrowheads="1"/>
        </xdr:cNvSpPr>
      </xdr:nvSpPr>
      <xdr:spPr bwMode="auto">
        <a:xfrm>
          <a:off x="0" y="128069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625</xdr:row>
      <xdr:rowOff>0</xdr:rowOff>
    </xdr:from>
    <xdr:to>
      <xdr:col>22</xdr:col>
      <xdr:colOff>304800</xdr:colOff>
      <xdr:row>626</xdr:row>
      <xdr:rowOff>129540</xdr:rowOff>
    </xdr:to>
    <xdr:sp macro="" textlink="">
      <xdr:nvSpPr>
        <xdr:cNvPr id="8714" name="AutoShape 970" descr="https://www.soccerstats.com/img/own/sshplogo.png">
          <a:hlinkClick xmlns:r="http://schemas.openxmlformats.org/officeDocument/2006/relationships" r:id="rId659"/>
        </xdr:cNvPr>
        <xdr:cNvSpPr>
          <a:spLocks noChangeAspect="1" noChangeArrowheads="1"/>
        </xdr:cNvSpPr>
      </xdr:nvSpPr>
      <xdr:spPr bwMode="auto">
        <a:xfrm>
          <a:off x="13411200" y="128069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152400</xdr:colOff>
      <xdr:row>626</xdr:row>
      <xdr:rowOff>106680</xdr:rowOff>
    </xdr:to>
    <xdr:sp macro="" textlink="">
      <xdr:nvSpPr>
        <xdr:cNvPr id="8715" name="AutoShape 971" descr="SPAIN"/>
        <xdr:cNvSpPr>
          <a:spLocks noChangeAspect="1" noChangeArrowheads="1"/>
        </xdr:cNvSpPr>
      </xdr:nvSpPr>
      <xdr:spPr bwMode="auto">
        <a:xfrm>
          <a:off x="0" y="128244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626</xdr:row>
      <xdr:rowOff>0</xdr:rowOff>
    </xdr:from>
    <xdr:to>
      <xdr:col>22</xdr:col>
      <xdr:colOff>304800</xdr:colOff>
      <xdr:row>627</xdr:row>
      <xdr:rowOff>129540</xdr:rowOff>
    </xdr:to>
    <xdr:sp macro="" textlink="">
      <xdr:nvSpPr>
        <xdr:cNvPr id="8716" name="AutoShape 972" descr="https://www.soccerstats.com/img/own/sshplogo.png">
          <a:hlinkClick xmlns:r="http://schemas.openxmlformats.org/officeDocument/2006/relationships" r:id="rId660"/>
        </xdr:cNvPr>
        <xdr:cNvSpPr>
          <a:spLocks noChangeAspect="1" noChangeArrowheads="1"/>
        </xdr:cNvSpPr>
      </xdr:nvSpPr>
      <xdr:spPr bwMode="auto">
        <a:xfrm>
          <a:off x="13411200" y="12824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152400</xdr:colOff>
      <xdr:row>627</xdr:row>
      <xdr:rowOff>106680</xdr:rowOff>
    </xdr:to>
    <xdr:sp macro="" textlink="">
      <xdr:nvSpPr>
        <xdr:cNvPr id="8717" name="AutoShape 973" descr="SPAIN"/>
        <xdr:cNvSpPr>
          <a:spLocks noChangeAspect="1" noChangeArrowheads="1"/>
        </xdr:cNvSpPr>
      </xdr:nvSpPr>
      <xdr:spPr bwMode="auto">
        <a:xfrm>
          <a:off x="0" y="128419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627</xdr:row>
      <xdr:rowOff>0</xdr:rowOff>
    </xdr:from>
    <xdr:to>
      <xdr:col>22</xdr:col>
      <xdr:colOff>304800</xdr:colOff>
      <xdr:row>628</xdr:row>
      <xdr:rowOff>129540</xdr:rowOff>
    </xdr:to>
    <xdr:sp macro="" textlink="">
      <xdr:nvSpPr>
        <xdr:cNvPr id="8718" name="AutoShape 974" descr="https://www.soccerstats.com/img/own/sshplogo.png">
          <a:hlinkClick xmlns:r="http://schemas.openxmlformats.org/officeDocument/2006/relationships" r:id="rId661"/>
        </xdr:cNvPr>
        <xdr:cNvSpPr>
          <a:spLocks noChangeAspect="1" noChangeArrowheads="1"/>
        </xdr:cNvSpPr>
      </xdr:nvSpPr>
      <xdr:spPr bwMode="auto">
        <a:xfrm>
          <a:off x="13411200" y="128419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152400</xdr:colOff>
      <xdr:row>628</xdr:row>
      <xdr:rowOff>106680</xdr:rowOff>
    </xdr:to>
    <xdr:sp macro="" textlink="">
      <xdr:nvSpPr>
        <xdr:cNvPr id="8719" name="AutoShape 975" descr="NETHERLANDS"/>
        <xdr:cNvSpPr>
          <a:spLocks noChangeAspect="1" noChangeArrowheads="1"/>
        </xdr:cNvSpPr>
      </xdr:nvSpPr>
      <xdr:spPr bwMode="auto">
        <a:xfrm>
          <a:off x="0" y="128595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628</xdr:row>
      <xdr:rowOff>0</xdr:rowOff>
    </xdr:from>
    <xdr:to>
      <xdr:col>22</xdr:col>
      <xdr:colOff>304800</xdr:colOff>
      <xdr:row>629</xdr:row>
      <xdr:rowOff>53340</xdr:rowOff>
    </xdr:to>
    <xdr:sp macro="" textlink="">
      <xdr:nvSpPr>
        <xdr:cNvPr id="8720" name="AutoShape 976" descr="https://www.soccerstats.com/img/own/sshplogo.png">
          <a:hlinkClick xmlns:r="http://schemas.openxmlformats.org/officeDocument/2006/relationships" r:id="rId662"/>
        </xdr:cNvPr>
        <xdr:cNvSpPr>
          <a:spLocks noChangeAspect="1" noChangeArrowheads="1"/>
        </xdr:cNvSpPr>
      </xdr:nvSpPr>
      <xdr:spPr bwMode="auto">
        <a:xfrm>
          <a:off x="13411200" y="128595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152400</xdr:colOff>
      <xdr:row>629</xdr:row>
      <xdr:rowOff>106680</xdr:rowOff>
    </xdr:to>
    <xdr:sp macro="" textlink="">
      <xdr:nvSpPr>
        <xdr:cNvPr id="8721" name="AutoShape 977" descr="NETHERLANDS"/>
        <xdr:cNvSpPr>
          <a:spLocks noChangeAspect="1" noChangeArrowheads="1"/>
        </xdr:cNvSpPr>
      </xdr:nvSpPr>
      <xdr:spPr bwMode="auto">
        <a:xfrm>
          <a:off x="0" y="128846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629</xdr:row>
      <xdr:rowOff>0</xdr:rowOff>
    </xdr:from>
    <xdr:to>
      <xdr:col>22</xdr:col>
      <xdr:colOff>304800</xdr:colOff>
      <xdr:row>630</xdr:row>
      <xdr:rowOff>129540</xdr:rowOff>
    </xdr:to>
    <xdr:sp macro="" textlink="">
      <xdr:nvSpPr>
        <xdr:cNvPr id="8722" name="AutoShape 978" descr="https://www.soccerstats.com/img/own/sshplogo.png">
          <a:hlinkClick xmlns:r="http://schemas.openxmlformats.org/officeDocument/2006/relationships" r:id="rId663"/>
        </xdr:cNvPr>
        <xdr:cNvSpPr>
          <a:spLocks noChangeAspect="1" noChangeArrowheads="1"/>
        </xdr:cNvSpPr>
      </xdr:nvSpPr>
      <xdr:spPr bwMode="auto">
        <a:xfrm>
          <a:off x="13411200" y="128846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152400</xdr:colOff>
      <xdr:row>630</xdr:row>
      <xdr:rowOff>106680</xdr:rowOff>
    </xdr:to>
    <xdr:sp macro="" textlink="">
      <xdr:nvSpPr>
        <xdr:cNvPr id="8723" name="AutoShape 979" descr="NETHERLANDS"/>
        <xdr:cNvSpPr>
          <a:spLocks noChangeAspect="1" noChangeArrowheads="1"/>
        </xdr:cNvSpPr>
      </xdr:nvSpPr>
      <xdr:spPr bwMode="auto">
        <a:xfrm>
          <a:off x="0" y="129021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630</xdr:row>
      <xdr:rowOff>0</xdr:rowOff>
    </xdr:from>
    <xdr:to>
      <xdr:col>22</xdr:col>
      <xdr:colOff>304800</xdr:colOff>
      <xdr:row>631</xdr:row>
      <xdr:rowOff>53340</xdr:rowOff>
    </xdr:to>
    <xdr:sp macro="" textlink="">
      <xdr:nvSpPr>
        <xdr:cNvPr id="8724" name="AutoShape 980" descr="https://www.soccerstats.com/img/own/sshplogo.png">
          <a:hlinkClick xmlns:r="http://schemas.openxmlformats.org/officeDocument/2006/relationships" r:id="rId664"/>
        </xdr:cNvPr>
        <xdr:cNvSpPr>
          <a:spLocks noChangeAspect="1" noChangeArrowheads="1"/>
        </xdr:cNvSpPr>
      </xdr:nvSpPr>
      <xdr:spPr bwMode="auto">
        <a:xfrm>
          <a:off x="13411200" y="129021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152400</xdr:colOff>
      <xdr:row>631</xdr:row>
      <xdr:rowOff>106680</xdr:rowOff>
    </xdr:to>
    <xdr:sp macro="" textlink="">
      <xdr:nvSpPr>
        <xdr:cNvPr id="8725" name="AutoShape 981" descr="NETHERLANDS"/>
        <xdr:cNvSpPr>
          <a:spLocks noChangeAspect="1" noChangeArrowheads="1"/>
        </xdr:cNvSpPr>
      </xdr:nvSpPr>
      <xdr:spPr bwMode="auto">
        <a:xfrm>
          <a:off x="0" y="129273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631</xdr:row>
      <xdr:rowOff>0</xdr:rowOff>
    </xdr:from>
    <xdr:to>
      <xdr:col>22</xdr:col>
      <xdr:colOff>304800</xdr:colOff>
      <xdr:row>632</xdr:row>
      <xdr:rowOff>53340</xdr:rowOff>
    </xdr:to>
    <xdr:sp macro="" textlink="">
      <xdr:nvSpPr>
        <xdr:cNvPr id="8726" name="AutoShape 982" descr="https://www.soccerstats.com/img/own/sshplogo.png">
          <a:hlinkClick xmlns:r="http://schemas.openxmlformats.org/officeDocument/2006/relationships" r:id="rId665"/>
        </xdr:cNvPr>
        <xdr:cNvSpPr>
          <a:spLocks noChangeAspect="1" noChangeArrowheads="1"/>
        </xdr:cNvSpPr>
      </xdr:nvSpPr>
      <xdr:spPr bwMode="auto">
        <a:xfrm>
          <a:off x="13411200" y="12927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152400</xdr:colOff>
      <xdr:row>632</xdr:row>
      <xdr:rowOff>106680</xdr:rowOff>
    </xdr:to>
    <xdr:sp macro="" textlink="">
      <xdr:nvSpPr>
        <xdr:cNvPr id="8727" name="AutoShape 983" descr="PORTUGAL"/>
        <xdr:cNvSpPr>
          <a:spLocks noChangeAspect="1" noChangeArrowheads="1"/>
        </xdr:cNvSpPr>
      </xdr:nvSpPr>
      <xdr:spPr bwMode="auto">
        <a:xfrm>
          <a:off x="0" y="129524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632</xdr:row>
      <xdr:rowOff>0</xdr:rowOff>
    </xdr:from>
    <xdr:to>
      <xdr:col>22</xdr:col>
      <xdr:colOff>304800</xdr:colOff>
      <xdr:row>633</xdr:row>
      <xdr:rowOff>129540</xdr:rowOff>
    </xdr:to>
    <xdr:sp macro="" textlink="">
      <xdr:nvSpPr>
        <xdr:cNvPr id="8728" name="AutoShape 984" descr="https://www.soccerstats.com/img/own/sshplogo.png">
          <a:hlinkClick xmlns:r="http://schemas.openxmlformats.org/officeDocument/2006/relationships" r:id="rId666"/>
        </xdr:cNvPr>
        <xdr:cNvSpPr>
          <a:spLocks noChangeAspect="1" noChangeArrowheads="1"/>
        </xdr:cNvSpPr>
      </xdr:nvSpPr>
      <xdr:spPr bwMode="auto">
        <a:xfrm>
          <a:off x="13411200" y="129524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152400</xdr:colOff>
      <xdr:row>633</xdr:row>
      <xdr:rowOff>106680</xdr:rowOff>
    </xdr:to>
    <xdr:sp macro="" textlink="">
      <xdr:nvSpPr>
        <xdr:cNvPr id="8729" name="AutoShape 985" descr="PORTUGAL"/>
        <xdr:cNvSpPr>
          <a:spLocks noChangeAspect="1" noChangeArrowheads="1"/>
        </xdr:cNvSpPr>
      </xdr:nvSpPr>
      <xdr:spPr bwMode="auto">
        <a:xfrm>
          <a:off x="0" y="129700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633</xdr:row>
      <xdr:rowOff>0</xdr:rowOff>
    </xdr:from>
    <xdr:to>
      <xdr:col>22</xdr:col>
      <xdr:colOff>304800</xdr:colOff>
      <xdr:row>634</xdr:row>
      <xdr:rowOff>129540</xdr:rowOff>
    </xdr:to>
    <xdr:sp macro="" textlink="">
      <xdr:nvSpPr>
        <xdr:cNvPr id="8730" name="AutoShape 986" descr="https://www.soccerstats.com/img/own/sshplogo.png">
          <a:hlinkClick xmlns:r="http://schemas.openxmlformats.org/officeDocument/2006/relationships" r:id="rId667"/>
        </xdr:cNvPr>
        <xdr:cNvSpPr>
          <a:spLocks noChangeAspect="1" noChangeArrowheads="1"/>
        </xdr:cNvSpPr>
      </xdr:nvSpPr>
      <xdr:spPr bwMode="auto">
        <a:xfrm>
          <a:off x="13411200" y="129700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152400</xdr:colOff>
      <xdr:row>634</xdr:row>
      <xdr:rowOff>106680</xdr:rowOff>
    </xdr:to>
    <xdr:sp macro="" textlink="">
      <xdr:nvSpPr>
        <xdr:cNvPr id="8731" name="AutoShape 987" descr="PORTUGAL"/>
        <xdr:cNvSpPr>
          <a:spLocks noChangeAspect="1" noChangeArrowheads="1"/>
        </xdr:cNvSpPr>
      </xdr:nvSpPr>
      <xdr:spPr bwMode="auto">
        <a:xfrm>
          <a:off x="0" y="129875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634</xdr:row>
      <xdr:rowOff>0</xdr:rowOff>
    </xdr:from>
    <xdr:to>
      <xdr:col>22</xdr:col>
      <xdr:colOff>304800</xdr:colOff>
      <xdr:row>635</xdr:row>
      <xdr:rowOff>129540</xdr:rowOff>
    </xdr:to>
    <xdr:sp macro="" textlink="">
      <xdr:nvSpPr>
        <xdr:cNvPr id="8732" name="AutoShape 988" descr="https://www.soccerstats.com/img/own/sshplogo.png">
          <a:hlinkClick xmlns:r="http://schemas.openxmlformats.org/officeDocument/2006/relationships" r:id="rId668"/>
        </xdr:cNvPr>
        <xdr:cNvSpPr>
          <a:spLocks noChangeAspect="1" noChangeArrowheads="1"/>
        </xdr:cNvSpPr>
      </xdr:nvSpPr>
      <xdr:spPr bwMode="auto">
        <a:xfrm>
          <a:off x="13411200" y="129875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152400</xdr:colOff>
      <xdr:row>635</xdr:row>
      <xdr:rowOff>106680</xdr:rowOff>
    </xdr:to>
    <xdr:sp macro="" textlink="">
      <xdr:nvSpPr>
        <xdr:cNvPr id="8733" name="AutoShape 989" descr="PORTUGAL"/>
        <xdr:cNvSpPr>
          <a:spLocks noChangeAspect="1" noChangeArrowheads="1"/>
        </xdr:cNvSpPr>
      </xdr:nvSpPr>
      <xdr:spPr bwMode="auto">
        <a:xfrm>
          <a:off x="0" y="130050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635</xdr:row>
      <xdr:rowOff>0</xdr:rowOff>
    </xdr:from>
    <xdr:to>
      <xdr:col>22</xdr:col>
      <xdr:colOff>304800</xdr:colOff>
      <xdr:row>636</xdr:row>
      <xdr:rowOff>53340</xdr:rowOff>
    </xdr:to>
    <xdr:sp macro="" textlink="">
      <xdr:nvSpPr>
        <xdr:cNvPr id="8734" name="AutoShape 990" descr="https://www.soccerstats.com/img/own/sshplogo.png">
          <a:hlinkClick xmlns:r="http://schemas.openxmlformats.org/officeDocument/2006/relationships" r:id="rId669"/>
        </xdr:cNvPr>
        <xdr:cNvSpPr>
          <a:spLocks noChangeAspect="1" noChangeArrowheads="1"/>
        </xdr:cNvSpPr>
      </xdr:nvSpPr>
      <xdr:spPr bwMode="auto">
        <a:xfrm>
          <a:off x="13411200" y="130050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152400</xdr:colOff>
      <xdr:row>636</xdr:row>
      <xdr:rowOff>106680</xdr:rowOff>
    </xdr:to>
    <xdr:sp macro="" textlink="">
      <xdr:nvSpPr>
        <xdr:cNvPr id="8735" name="AutoShape 991" descr="ENGLAND2"/>
        <xdr:cNvSpPr>
          <a:spLocks noChangeAspect="1" noChangeArrowheads="1"/>
        </xdr:cNvSpPr>
      </xdr:nvSpPr>
      <xdr:spPr bwMode="auto">
        <a:xfrm>
          <a:off x="0" y="130302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636</xdr:row>
      <xdr:rowOff>0</xdr:rowOff>
    </xdr:from>
    <xdr:to>
      <xdr:col>22</xdr:col>
      <xdr:colOff>304800</xdr:colOff>
      <xdr:row>637</xdr:row>
      <xdr:rowOff>129540</xdr:rowOff>
    </xdr:to>
    <xdr:sp macro="" textlink="">
      <xdr:nvSpPr>
        <xdr:cNvPr id="8736" name="AutoShape 992" descr="https://www.soccerstats.com/img/own/sshplogo.png">
          <a:hlinkClick xmlns:r="http://schemas.openxmlformats.org/officeDocument/2006/relationships" r:id="rId670"/>
        </xdr:cNvPr>
        <xdr:cNvSpPr>
          <a:spLocks noChangeAspect="1" noChangeArrowheads="1"/>
        </xdr:cNvSpPr>
      </xdr:nvSpPr>
      <xdr:spPr bwMode="auto">
        <a:xfrm>
          <a:off x="13411200" y="13030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152400</xdr:colOff>
      <xdr:row>637</xdr:row>
      <xdr:rowOff>106680</xdr:rowOff>
    </xdr:to>
    <xdr:sp macro="" textlink="">
      <xdr:nvSpPr>
        <xdr:cNvPr id="8737" name="AutoShape 993" descr="ENGLAND2"/>
        <xdr:cNvSpPr>
          <a:spLocks noChangeAspect="1" noChangeArrowheads="1"/>
        </xdr:cNvSpPr>
      </xdr:nvSpPr>
      <xdr:spPr bwMode="auto">
        <a:xfrm>
          <a:off x="0" y="130477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637</xdr:row>
      <xdr:rowOff>0</xdr:rowOff>
    </xdr:from>
    <xdr:to>
      <xdr:col>22</xdr:col>
      <xdr:colOff>304800</xdr:colOff>
      <xdr:row>638</xdr:row>
      <xdr:rowOff>53340</xdr:rowOff>
    </xdr:to>
    <xdr:sp macro="" textlink="">
      <xdr:nvSpPr>
        <xdr:cNvPr id="8738" name="AutoShape 994" descr="https://www.soccerstats.com/img/own/sshplogo.png">
          <a:hlinkClick xmlns:r="http://schemas.openxmlformats.org/officeDocument/2006/relationships" r:id="rId671"/>
        </xdr:cNvPr>
        <xdr:cNvSpPr>
          <a:spLocks noChangeAspect="1" noChangeArrowheads="1"/>
        </xdr:cNvSpPr>
      </xdr:nvSpPr>
      <xdr:spPr bwMode="auto">
        <a:xfrm>
          <a:off x="13411200" y="130477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152400</xdr:colOff>
      <xdr:row>638</xdr:row>
      <xdr:rowOff>106680</xdr:rowOff>
    </xdr:to>
    <xdr:sp macro="" textlink="">
      <xdr:nvSpPr>
        <xdr:cNvPr id="8739" name="AutoShape 995" descr="SPAIN2"/>
        <xdr:cNvSpPr>
          <a:spLocks noChangeAspect="1" noChangeArrowheads="1"/>
        </xdr:cNvSpPr>
      </xdr:nvSpPr>
      <xdr:spPr bwMode="auto">
        <a:xfrm>
          <a:off x="0" y="130728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638</xdr:row>
      <xdr:rowOff>0</xdr:rowOff>
    </xdr:from>
    <xdr:to>
      <xdr:col>22</xdr:col>
      <xdr:colOff>304800</xdr:colOff>
      <xdr:row>639</xdr:row>
      <xdr:rowOff>129540</xdr:rowOff>
    </xdr:to>
    <xdr:sp macro="" textlink="">
      <xdr:nvSpPr>
        <xdr:cNvPr id="8740" name="AutoShape 996" descr="https://www.soccerstats.com/img/own/sshplogo.png">
          <a:hlinkClick xmlns:r="http://schemas.openxmlformats.org/officeDocument/2006/relationships" r:id="rId672"/>
        </xdr:cNvPr>
        <xdr:cNvSpPr>
          <a:spLocks noChangeAspect="1" noChangeArrowheads="1"/>
        </xdr:cNvSpPr>
      </xdr:nvSpPr>
      <xdr:spPr bwMode="auto">
        <a:xfrm>
          <a:off x="13411200" y="130728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152400</xdr:colOff>
      <xdr:row>639</xdr:row>
      <xdr:rowOff>106680</xdr:rowOff>
    </xdr:to>
    <xdr:sp macro="" textlink="">
      <xdr:nvSpPr>
        <xdr:cNvPr id="8741" name="AutoShape 997" descr="SPAIN2"/>
        <xdr:cNvSpPr>
          <a:spLocks noChangeAspect="1" noChangeArrowheads="1"/>
        </xdr:cNvSpPr>
      </xdr:nvSpPr>
      <xdr:spPr bwMode="auto">
        <a:xfrm>
          <a:off x="0" y="130903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639</xdr:row>
      <xdr:rowOff>0</xdr:rowOff>
    </xdr:from>
    <xdr:to>
      <xdr:col>22</xdr:col>
      <xdr:colOff>304800</xdr:colOff>
      <xdr:row>640</xdr:row>
      <xdr:rowOff>129540</xdr:rowOff>
    </xdr:to>
    <xdr:sp macro="" textlink="">
      <xdr:nvSpPr>
        <xdr:cNvPr id="8742" name="AutoShape 998" descr="https://www.soccerstats.com/img/own/sshplogo.png">
          <a:hlinkClick xmlns:r="http://schemas.openxmlformats.org/officeDocument/2006/relationships" r:id="rId673"/>
        </xdr:cNvPr>
        <xdr:cNvSpPr>
          <a:spLocks noChangeAspect="1" noChangeArrowheads="1"/>
        </xdr:cNvSpPr>
      </xdr:nvSpPr>
      <xdr:spPr bwMode="auto">
        <a:xfrm>
          <a:off x="13411200" y="130903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152400</xdr:colOff>
      <xdr:row>640</xdr:row>
      <xdr:rowOff>106680</xdr:rowOff>
    </xdr:to>
    <xdr:sp macro="" textlink="">
      <xdr:nvSpPr>
        <xdr:cNvPr id="8743" name="AutoShape 999" descr="SPAIN2"/>
        <xdr:cNvSpPr>
          <a:spLocks noChangeAspect="1" noChangeArrowheads="1"/>
        </xdr:cNvSpPr>
      </xdr:nvSpPr>
      <xdr:spPr bwMode="auto">
        <a:xfrm>
          <a:off x="0" y="131079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640</xdr:row>
      <xdr:rowOff>0</xdr:rowOff>
    </xdr:from>
    <xdr:to>
      <xdr:col>22</xdr:col>
      <xdr:colOff>304800</xdr:colOff>
      <xdr:row>641</xdr:row>
      <xdr:rowOff>129540</xdr:rowOff>
    </xdr:to>
    <xdr:sp macro="" textlink="">
      <xdr:nvSpPr>
        <xdr:cNvPr id="8744" name="AutoShape 1000" descr="https://www.soccerstats.com/img/own/sshplogo.png">
          <a:hlinkClick xmlns:r="http://schemas.openxmlformats.org/officeDocument/2006/relationships" r:id="rId674"/>
        </xdr:cNvPr>
        <xdr:cNvSpPr>
          <a:spLocks noChangeAspect="1" noChangeArrowheads="1"/>
        </xdr:cNvSpPr>
      </xdr:nvSpPr>
      <xdr:spPr bwMode="auto">
        <a:xfrm>
          <a:off x="13411200" y="131079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152400</xdr:colOff>
      <xdr:row>641</xdr:row>
      <xdr:rowOff>106680</xdr:rowOff>
    </xdr:to>
    <xdr:sp macro="" textlink="">
      <xdr:nvSpPr>
        <xdr:cNvPr id="8745" name="AutoShape 1001" descr="SPAIN2"/>
        <xdr:cNvSpPr>
          <a:spLocks noChangeAspect="1" noChangeArrowheads="1"/>
        </xdr:cNvSpPr>
      </xdr:nvSpPr>
      <xdr:spPr bwMode="auto">
        <a:xfrm>
          <a:off x="0" y="131254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641</xdr:row>
      <xdr:rowOff>0</xdr:rowOff>
    </xdr:from>
    <xdr:to>
      <xdr:col>22</xdr:col>
      <xdr:colOff>304800</xdr:colOff>
      <xdr:row>642</xdr:row>
      <xdr:rowOff>129540</xdr:rowOff>
    </xdr:to>
    <xdr:sp macro="" textlink="">
      <xdr:nvSpPr>
        <xdr:cNvPr id="8746" name="AutoShape 1002" descr="https://www.soccerstats.com/img/own/sshplogo.png">
          <a:hlinkClick xmlns:r="http://schemas.openxmlformats.org/officeDocument/2006/relationships" r:id="rId675"/>
        </xdr:cNvPr>
        <xdr:cNvSpPr>
          <a:spLocks noChangeAspect="1" noChangeArrowheads="1"/>
        </xdr:cNvSpPr>
      </xdr:nvSpPr>
      <xdr:spPr bwMode="auto">
        <a:xfrm>
          <a:off x="13411200" y="13125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152400</xdr:colOff>
      <xdr:row>642</xdr:row>
      <xdr:rowOff>106680</xdr:rowOff>
    </xdr:to>
    <xdr:sp macro="" textlink="">
      <xdr:nvSpPr>
        <xdr:cNvPr id="8747" name="AutoShape 1003" descr="GERMANY2"/>
        <xdr:cNvSpPr>
          <a:spLocks noChangeAspect="1" noChangeArrowheads="1"/>
        </xdr:cNvSpPr>
      </xdr:nvSpPr>
      <xdr:spPr bwMode="auto">
        <a:xfrm>
          <a:off x="0" y="131429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642</xdr:row>
      <xdr:rowOff>0</xdr:rowOff>
    </xdr:from>
    <xdr:to>
      <xdr:col>22</xdr:col>
      <xdr:colOff>304800</xdr:colOff>
      <xdr:row>643</xdr:row>
      <xdr:rowOff>53340</xdr:rowOff>
    </xdr:to>
    <xdr:sp macro="" textlink="">
      <xdr:nvSpPr>
        <xdr:cNvPr id="8748" name="AutoShape 1004" descr="https://www.soccerstats.com/img/own/sshplogo.png">
          <a:hlinkClick xmlns:r="http://schemas.openxmlformats.org/officeDocument/2006/relationships" r:id="rId676"/>
        </xdr:cNvPr>
        <xdr:cNvSpPr>
          <a:spLocks noChangeAspect="1" noChangeArrowheads="1"/>
        </xdr:cNvSpPr>
      </xdr:nvSpPr>
      <xdr:spPr bwMode="auto">
        <a:xfrm>
          <a:off x="13411200" y="131429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152400</xdr:colOff>
      <xdr:row>643</xdr:row>
      <xdr:rowOff>106680</xdr:rowOff>
    </xdr:to>
    <xdr:sp macro="" textlink="">
      <xdr:nvSpPr>
        <xdr:cNvPr id="8749" name="AutoShape 1005" descr="GERMANY2"/>
        <xdr:cNvSpPr>
          <a:spLocks noChangeAspect="1" noChangeArrowheads="1"/>
        </xdr:cNvSpPr>
      </xdr:nvSpPr>
      <xdr:spPr bwMode="auto">
        <a:xfrm>
          <a:off x="0" y="131681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643</xdr:row>
      <xdr:rowOff>0</xdr:rowOff>
    </xdr:from>
    <xdr:to>
      <xdr:col>22</xdr:col>
      <xdr:colOff>304800</xdr:colOff>
      <xdr:row>644</xdr:row>
      <xdr:rowOff>53340</xdr:rowOff>
    </xdr:to>
    <xdr:sp macro="" textlink="">
      <xdr:nvSpPr>
        <xdr:cNvPr id="8750" name="AutoShape 1006" descr="https://www.soccerstats.com/img/own/sshplogo.png">
          <a:hlinkClick xmlns:r="http://schemas.openxmlformats.org/officeDocument/2006/relationships" r:id="rId677"/>
        </xdr:cNvPr>
        <xdr:cNvSpPr>
          <a:spLocks noChangeAspect="1" noChangeArrowheads="1"/>
        </xdr:cNvSpPr>
      </xdr:nvSpPr>
      <xdr:spPr bwMode="auto">
        <a:xfrm>
          <a:off x="13411200" y="131681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152400</xdr:colOff>
      <xdr:row>644</xdr:row>
      <xdr:rowOff>106680</xdr:rowOff>
    </xdr:to>
    <xdr:sp macro="" textlink="">
      <xdr:nvSpPr>
        <xdr:cNvPr id="8751" name="AutoShape 1007" descr="GERMANY2"/>
        <xdr:cNvSpPr>
          <a:spLocks noChangeAspect="1" noChangeArrowheads="1"/>
        </xdr:cNvSpPr>
      </xdr:nvSpPr>
      <xdr:spPr bwMode="auto">
        <a:xfrm>
          <a:off x="0" y="131932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644</xdr:row>
      <xdr:rowOff>0</xdr:rowOff>
    </xdr:from>
    <xdr:to>
      <xdr:col>22</xdr:col>
      <xdr:colOff>304800</xdr:colOff>
      <xdr:row>645</xdr:row>
      <xdr:rowOff>129540</xdr:rowOff>
    </xdr:to>
    <xdr:sp macro="" textlink="">
      <xdr:nvSpPr>
        <xdr:cNvPr id="8752" name="AutoShape 1008" descr="https://www.soccerstats.com/img/own/sshplogo.png">
          <a:hlinkClick xmlns:r="http://schemas.openxmlformats.org/officeDocument/2006/relationships" r:id="rId678"/>
        </xdr:cNvPr>
        <xdr:cNvSpPr>
          <a:spLocks noChangeAspect="1" noChangeArrowheads="1"/>
        </xdr:cNvSpPr>
      </xdr:nvSpPr>
      <xdr:spPr bwMode="auto">
        <a:xfrm>
          <a:off x="13411200" y="131932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152400</xdr:colOff>
      <xdr:row>645</xdr:row>
      <xdr:rowOff>106680</xdr:rowOff>
    </xdr:to>
    <xdr:sp macro="" textlink="">
      <xdr:nvSpPr>
        <xdr:cNvPr id="8753" name="AutoShape 1009" descr="ARGENTINA2"/>
        <xdr:cNvSpPr>
          <a:spLocks noChangeAspect="1" noChangeArrowheads="1"/>
        </xdr:cNvSpPr>
      </xdr:nvSpPr>
      <xdr:spPr bwMode="auto">
        <a:xfrm>
          <a:off x="0" y="132107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645</xdr:row>
      <xdr:rowOff>0</xdr:rowOff>
    </xdr:from>
    <xdr:to>
      <xdr:col>22</xdr:col>
      <xdr:colOff>304800</xdr:colOff>
      <xdr:row>646</xdr:row>
      <xdr:rowOff>129540</xdr:rowOff>
    </xdr:to>
    <xdr:sp macro="" textlink="">
      <xdr:nvSpPr>
        <xdr:cNvPr id="8754" name="AutoShape 1010" descr="https://www.soccerstats.com/img/own/sshplogo.png">
          <a:hlinkClick xmlns:r="http://schemas.openxmlformats.org/officeDocument/2006/relationships" r:id="rId679"/>
        </xdr:cNvPr>
        <xdr:cNvSpPr>
          <a:spLocks noChangeAspect="1" noChangeArrowheads="1"/>
        </xdr:cNvSpPr>
      </xdr:nvSpPr>
      <xdr:spPr bwMode="auto">
        <a:xfrm>
          <a:off x="13411200" y="132107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152400</xdr:colOff>
      <xdr:row>646</xdr:row>
      <xdr:rowOff>106680</xdr:rowOff>
    </xdr:to>
    <xdr:sp macro="" textlink="">
      <xdr:nvSpPr>
        <xdr:cNvPr id="8755" name="AutoShape 1011" descr="ARGENTINA2"/>
        <xdr:cNvSpPr>
          <a:spLocks noChangeAspect="1" noChangeArrowheads="1"/>
        </xdr:cNvSpPr>
      </xdr:nvSpPr>
      <xdr:spPr bwMode="auto">
        <a:xfrm>
          <a:off x="0" y="132283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646</xdr:row>
      <xdr:rowOff>0</xdr:rowOff>
    </xdr:from>
    <xdr:to>
      <xdr:col>22</xdr:col>
      <xdr:colOff>304800</xdr:colOff>
      <xdr:row>647</xdr:row>
      <xdr:rowOff>129540</xdr:rowOff>
    </xdr:to>
    <xdr:sp macro="" textlink="">
      <xdr:nvSpPr>
        <xdr:cNvPr id="8756" name="AutoShape 1012" descr="https://www.soccerstats.com/img/own/sshplogo.png">
          <a:hlinkClick xmlns:r="http://schemas.openxmlformats.org/officeDocument/2006/relationships" r:id="rId681"/>
        </xdr:cNvPr>
        <xdr:cNvSpPr>
          <a:spLocks noChangeAspect="1" noChangeArrowheads="1"/>
        </xdr:cNvSpPr>
      </xdr:nvSpPr>
      <xdr:spPr bwMode="auto">
        <a:xfrm>
          <a:off x="13411200" y="13228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152400</xdr:colOff>
      <xdr:row>647</xdr:row>
      <xdr:rowOff>106680</xdr:rowOff>
    </xdr:to>
    <xdr:sp macro="" textlink="">
      <xdr:nvSpPr>
        <xdr:cNvPr id="8757" name="AutoShape 1013" descr="ARGENTINA2"/>
        <xdr:cNvSpPr>
          <a:spLocks noChangeAspect="1" noChangeArrowheads="1"/>
        </xdr:cNvSpPr>
      </xdr:nvSpPr>
      <xdr:spPr bwMode="auto">
        <a:xfrm>
          <a:off x="0" y="132458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647</xdr:row>
      <xdr:rowOff>0</xdr:rowOff>
    </xdr:from>
    <xdr:to>
      <xdr:col>22</xdr:col>
      <xdr:colOff>304800</xdr:colOff>
      <xdr:row>648</xdr:row>
      <xdr:rowOff>53340</xdr:rowOff>
    </xdr:to>
    <xdr:sp macro="" textlink="">
      <xdr:nvSpPr>
        <xdr:cNvPr id="8758" name="AutoShape 1014" descr="https://www.soccerstats.com/img/own/sshplogo.png">
          <a:hlinkClick xmlns:r="http://schemas.openxmlformats.org/officeDocument/2006/relationships" r:id="rId682"/>
        </xdr:cNvPr>
        <xdr:cNvSpPr>
          <a:spLocks noChangeAspect="1" noChangeArrowheads="1"/>
        </xdr:cNvSpPr>
      </xdr:nvSpPr>
      <xdr:spPr bwMode="auto">
        <a:xfrm>
          <a:off x="13411200" y="132458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152400</xdr:colOff>
      <xdr:row>648</xdr:row>
      <xdr:rowOff>106680</xdr:rowOff>
    </xdr:to>
    <xdr:sp macro="" textlink="">
      <xdr:nvSpPr>
        <xdr:cNvPr id="8759" name="AutoShape 1015" descr="ARGENTINA2"/>
        <xdr:cNvSpPr>
          <a:spLocks noChangeAspect="1" noChangeArrowheads="1"/>
        </xdr:cNvSpPr>
      </xdr:nvSpPr>
      <xdr:spPr bwMode="auto">
        <a:xfrm>
          <a:off x="0" y="132709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648</xdr:row>
      <xdr:rowOff>0</xdr:rowOff>
    </xdr:from>
    <xdr:to>
      <xdr:col>22</xdr:col>
      <xdr:colOff>304800</xdr:colOff>
      <xdr:row>649</xdr:row>
      <xdr:rowOff>53340</xdr:rowOff>
    </xdr:to>
    <xdr:sp macro="" textlink="">
      <xdr:nvSpPr>
        <xdr:cNvPr id="8760" name="AutoShape 1016" descr="https://www.soccerstats.com/img/own/sshplogo.png">
          <a:hlinkClick xmlns:r="http://schemas.openxmlformats.org/officeDocument/2006/relationships" r:id="rId683"/>
        </xdr:cNvPr>
        <xdr:cNvSpPr>
          <a:spLocks noChangeAspect="1" noChangeArrowheads="1"/>
        </xdr:cNvSpPr>
      </xdr:nvSpPr>
      <xdr:spPr bwMode="auto">
        <a:xfrm>
          <a:off x="13411200" y="132709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152400</xdr:colOff>
      <xdr:row>649</xdr:row>
      <xdr:rowOff>106680</xdr:rowOff>
    </xdr:to>
    <xdr:sp macro="" textlink="">
      <xdr:nvSpPr>
        <xdr:cNvPr id="8761" name="AutoShape 1017" descr="ARGENTINA2"/>
        <xdr:cNvSpPr>
          <a:spLocks noChangeAspect="1" noChangeArrowheads="1"/>
        </xdr:cNvSpPr>
      </xdr:nvSpPr>
      <xdr:spPr bwMode="auto">
        <a:xfrm>
          <a:off x="0" y="132961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649</xdr:row>
      <xdr:rowOff>0</xdr:rowOff>
    </xdr:from>
    <xdr:to>
      <xdr:col>22</xdr:col>
      <xdr:colOff>304800</xdr:colOff>
      <xdr:row>650</xdr:row>
      <xdr:rowOff>53340</xdr:rowOff>
    </xdr:to>
    <xdr:sp macro="" textlink="">
      <xdr:nvSpPr>
        <xdr:cNvPr id="8762" name="AutoShape 1018" descr="https://www.soccerstats.com/img/own/sshplogo.png">
          <a:hlinkClick xmlns:r="http://schemas.openxmlformats.org/officeDocument/2006/relationships" r:id="rId680"/>
        </xdr:cNvPr>
        <xdr:cNvSpPr>
          <a:spLocks noChangeAspect="1" noChangeArrowheads="1"/>
        </xdr:cNvSpPr>
      </xdr:nvSpPr>
      <xdr:spPr bwMode="auto">
        <a:xfrm>
          <a:off x="13411200" y="132961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152400</xdr:colOff>
      <xdr:row>650</xdr:row>
      <xdr:rowOff>106680</xdr:rowOff>
    </xdr:to>
    <xdr:sp macro="" textlink="">
      <xdr:nvSpPr>
        <xdr:cNvPr id="8763" name="AutoShape 1019" descr="ARGENTINA3"/>
        <xdr:cNvSpPr>
          <a:spLocks noChangeAspect="1" noChangeArrowheads="1"/>
        </xdr:cNvSpPr>
      </xdr:nvSpPr>
      <xdr:spPr bwMode="auto">
        <a:xfrm>
          <a:off x="0" y="133212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650</xdr:row>
      <xdr:rowOff>0</xdr:rowOff>
    </xdr:from>
    <xdr:to>
      <xdr:col>22</xdr:col>
      <xdr:colOff>304800</xdr:colOff>
      <xdr:row>651</xdr:row>
      <xdr:rowOff>53340</xdr:rowOff>
    </xdr:to>
    <xdr:sp macro="" textlink="">
      <xdr:nvSpPr>
        <xdr:cNvPr id="8764" name="AutoShape 1020" descr="https://www.soccerstats.com/img/own/sshplogo.png">
          <a:hlinkClick xmlns:r="http://schemas.openxmlformats.org/officeDocument/2006/relationships" r:id="rId684"/>
        </xdr:cNvPr>
        <xdr:cNvSpPr>
          <a:spLocks noChangeAspect="1" noChangeArrowheads="1"/>
        </xdr:cNvSpPr>
      </xdr:nvSpPr>
      <xdr:spPr bwMode="auto">
        <a:xfrm>
          <a:off x="13411200" y="133212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152400</xdr:colOff>
      <xdr:row>651</xdr:row>
      <xdr:rowOff>106680</xdr:rowOff>
    </xdr:to>
    <xdr:sp macro="" textlink="">
      <xdr:nvSpPr>
        <xdr:cNvPr id="8765" name="AutoShape 1021" descr="ARGENTINA3"/>
        <xdr:cNvSpPr>
          <a:spLocks noChangeAspect="1" noChangeArrowheads="1"/>
        </xdr:cNvSpPr>
      </xdr:nvSpPr>
      <xdr:spPr bwMode="auto">
        <a:xfrm>
          <a:off x="0" y="133464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651</xdr:row>
      <xdr:rowOff>0</xdr:rowOff>
    </xdr:from>
    <xdr:to>
      <xdr:col>22</xdr:col>
      <xdr:colOff>304800</xdr:colOff>
      <xdr:row>652</xdr:row>
      <xdr:rowOff>53340</xdr:rowOff>
    </xdr:to>
    <xdr:sp macro="" textlink="">
      <xdr:nvSpPr>
        <xdr:cNvPr id="8766" name="AutoShape 1022" descr="https://www.soccerstats.com/img/own/sshplogo.png">
          <a:hlinkClick xmlns:r="http://schemas.openxmlformats.org/officeDocument/2006/relationships" r:id="rId685"/>
        </xdr:cNvPr>
        <xdr:cNvSpPr>
          <a:spLocks noChangeAspect="1" noChangeArrowheads="1"/>
        </xdr:cNvSpPr>
      </xdr:nvSpPr>
      <xdr:spPr bwMode="auto">
        <a:xfrm>
          <a:off x="13411200" y="13346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152400</xdr:colOff>
      <xdr:row>652</xdr:row>
      <xdr:rowOff>106680</xdr:rowOff>
    </xdr:to>
    <xdr:sp macro="" textlink="">
      <xdr:nvSpPr>
        <xdr:cNvPr id="8767" name="AutoShape 1023" descr="ARGENTINA3"/>
        <xdr:cNvSpPr>
          <a:spLocks noChangeAspect="1" noChangeArrowheads="1"/>
        </xdr:cNvSpPr>
      </xdr:nvSpPr>
      <xdr:spPr bwMode="auto">
        <a:xfrm>
          <a:off x="0" y="133715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652</xdr:row>
      <xdr:rowOff>0</xdr:rowOff>
    </xdr:from>
    <xdr:to>
      <xdr:col>22</xdr:col>
      <xdr:colOff>304800</xdr:colOff>
      <xdr:row>653</xdr:row>
      <xdr:rowOff>53340</xdr:rowOff>
    </xdr:to>
    <xdr:sp macro="" textlink="">
      <xdr:nvSpPr>
        <xdr:cNvPr id="8768" name="AutoShape 1024" descr="https://www.soccerstats.com/img/own/sshplogo.png">
          <a:hlinkClick xmlns:r="http://schemas.openxmlformats.org/officeDocument/2006/relationships" r:id="rId686"/>
        </xdr:cNvPr>
        <xdr:cNvSpPr>
          <a:spLocks noChangeAspect="1" noChangeArrowheads="1"/>
        </xdr:cNvSpPr>
      </xdr:nvSpPr>
      <xdr:spPr bwMode="auto">
        <a:xfrm>
          <a:off x="13411200" y="133715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152400</xdr:colOff>
      <xdr:row>653</xdr:row>
      <xdr:rowOff>106680</xdr:rowOff>
    </xdr:to>
    <xdr:sp macro="" textlink="">
      <xdr:nvSpPr>
        <xdr:cNvPr id="8769" name="AutoShape 1025" descr="ARGENTINA3"/>
        <xdr:cNvSpPr>
          <a:spLocks noChangeAspect="1" noChangeArrowheads="1"/>
        </xdr:cNvSpPr>
      </xdr:nvSpPr>
      <xdr:spPr bwMode="auto">
        <a:xfrm>
          <a:off x="0" y="133967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653</xdr:row>
      <xdr:rowOff>0</xdr:rowOff>
    </xdr:from>
    <xdr:to>
      <xdr:col>22</xdr:col>
      <xdr:colOff>304800</xdr:colOff>
      <xdr:row>654</xdr:row>
      <xdr:rowOff>53340</xdr:rowOff>
    </xdr:to>
    <xdr:sp macro="" textlink="">
      <xdr:nvSpPr>
        <xdr:cNvPr id="8770" name="AutoShape 1026" descr="https://www.soccerstats.com/img/own/sshplogo.png">
          <a:hlinkClick xmlns:r="http://schemas.openxmlformats.org/officeDocument/2006/relationships" r:id="rId687"/>
        </xdr:cNvPr>
        <xdr:cNvSpPr>
          <a:spLocks noChangeAspect="1" noChangeArrowheads="1"/>
        </xdr:cNvSpPr>
      </xdr:nvSpPr>
      <xdr:spPr bwMode="auto">
        <a:xfrm>
          <a:off x="13411200" y="133967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152400</xdr:colOff>
      <xdr:row>654</xdr:row>
      <xdr:rowOff>106680</xdr:rowOff>
    </xdr:to>
    <xdr:sp macro="" textlink="">
      <xdr:nvSpPr>
        <xdr:cNvPr id="8771" name="AutoShape 1027" descr="ARGENTINA3"/>
        <xdr:cNvSpPr>
          <a:spLocks noChangeAspect="1" noChangeArrowheads="1"/>
        </xdr:cNvSpPr>
      </xdr:nvSpPr>
      <xdr:spPr bwMode="auto">
        <a:xfrm>
          <a:off x="0" y="134218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654</xdr:row>
      <xdr:rowOff>0</xdr:rowOff>
    </xdr:from>
    <xdr:to>
      <xdr:col>22</xdr:col>
      <xdr:colOff>304800</xdr:colOff>
      <xdr:row>655</xdr:row>
      <xdr:rowOff>53340</xdr:rowOff>
    </xdr:to>
    <xdr:sp macro="" textlink="">
      <xdr:nvSpPr>
        <xdr:cNvPr id="8772" name="AutoShape 1028" descr="https://www.soccerstats.com/img/own/sshplogo.png">
          <a:hlinkClick xmlns:r="http://schemas.openxmlformats.org/officeDocument/2006/relationships" r:id="rId688"/>
        </xdr:cNvPr>
        <xdr:cNvSpPr>
          <a:spLocks noChangeAspect="1" noChangeArrowheads="1"/>
        </xdr:cNvSpPr>
      </xdr:nvSpPr>
      <xdr:spPr bwMode="auto">
        <a:xfrm>
          <a:off x="13411200" y="134218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152400</xdr:colOff>
      <xdr:row>655</xdr:row>
      <xdr:rowOff>106680</xdr:rowOff>
    </xdr:to>
    <xdr:sp macro="" textlink="">
      <xdr:nvSpPr>
        <xdr:cNvPr id="8773" name="AutoShape 1029" descr="ARGENTINA3"/>
        <xdr:cNvSpPr>
          <a:spLocks noChangeAspect="1" noChangeArrowheads="1"/>
        </xdr:cNvSpPr>
      </xdr:nvSpPr>
      <xdr:spPr bwMode="auto">
        <a:xfrm>
          <a:off x="0" y="134470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655</xdr:row>
      <xdr:rowOff>0</xdr:rowOff>
    </xdr:from>
    <xdr:to>
      <xdr:col>22</xdr:col>
      <xdr:colOff>304800</xdr:colOff>
      <xdr:row>656</xdr:row>
      <xdr:rowOff>129540</xdr:rowOff>
    </xdr:to>
    <xdr:sp macro="" textlink="">
      <xdr:nvSpPr>
        <xdr:cNvPr id="8774" name="AutoShape 1030" descr="https://www.soccerstats.com/img/own/sshplogo.png">
          <a:hlinkClick xmlns:r="http://schemas.openxmlformats.org/officeDocument/2006/relationships" r:id="rId689"/>
        </xdr:cNvPr>
        <xdr:cNvSpPr>
          <a:spLocks noChangeAspect="1" noChangeArrowheads="1"/>
        </xdr:cNvSpPr>
      </xdr:nvSpPr>
      <xdr:spPr bwMode="auto">
        <a:xfrm>
          <a:off x="13411200" y="134470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152400</xdr:colOff>
      <xdr:row>656</xdr:row>
      <xdr:rowOff>106680</xdr:rowOff>
    </xdr:to>
    <xdr:sp macro="" textlink="">
      <xdr:nvSpPr>
        <xdr:cNvPr id="8775" name="AutoShape 1031" descr="ARGENTINA3"/>
        <xdr:cNvSpPr>
          <a:spLocks noChangeAspect="1" noChangeArrowheads="1"/>
        </xdr:cNvSpPr>
      </xdr:nvSpPr>
      <xdr:spPr bwMode="auto">
        <a:xfrm>
          <a:off x="0" y="134645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656</xdr:row>
      <xdr:rowOff>0</xdr:rowOff>
    </xdr:from>
    <xdr:to>
      <xdr:col>22</xdr:col>
      <xdr:colOff>304800</xdr:colOff>
      <xdr:row>657</xdr:row>
      <xdr:rowOff>129540</xdr:rowOff>
    </xdr:to>
    <xdr:sp macro="" textlink="">
      <xdr:nvSpPr>
        <xdr:cNvPr id="8776" name="AutoShape 1032" descr="https://www.soccerstats.com/img/own/sshplogo.png">
          <a:hlinkClick xmlns:r="http://schemas.openxmlformats.org/officeDocument/2006/relationships" r:id="rId690"/>
        </xdr:cNvPr>
        <xdr:cNvSpPr>
          <a:spLocks noChangeAspect="1" noChangeArrowheads="1"/>
        </xdr:cNvSpPr>
      </xdr:nvSpPr>
      <xdr:spPr bwMode="auto">
        <a:xfrm>
          <a:off x="13411200" y="134645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152400</xdr:colOff>
      <xdr:row>657</xdr:row>
      <xdr:rowOff>106680</xdr:rowOff>
    </xdr:to>
    <xdr:sp macro="" textlink="">
      <xdr:nvSpPr>
        <xdr:cNvPr id="8777" name="AutoShape 1033" descr="ARMENIA"/>
        <xdr:cNvSpPr>
          <a:spLocks noChangeAspect="1" noChangeArrowheads="1"/>
        </xdr:cNvSpPr>
      </xdr:nvSpPr>
      <xdr:spPr bwMode="auto">
        <a:xfrm>
          <a:off x="0" y="134820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657</xdr:row>
      <xdr:rowOff>0</xdr:rowOff>
    </xdr:from>
    <xdr:to>
      <xdr:col>22</xdr:col>
      <xdr:colOff>304800</xdr:colOff>
      <xdr:row>658</xdr:row>
      <xdr:rowOff>129540</xdr:rowOff>
    </xdr:to>
    <xdr:sp macro="" textlink="">
      <xdr:nvSpPr>
        <xdr:cNvPr id="8778" name="AutoShape 1034" descr="https://www.soccerstats.com/img/own/sshplogo.png">
          <a:hlinkClick xmlns:r="http://schemas.openxmlformats.org/officeDocument/2006/relationships" r:id="rId691"/>
        </xdr:cNvPr>
        <xdr:cNvSpPr>
          <a:spLocks noChangeAspect="1" noChangeArrowheads="1"/>
        </xdr:cNvSpPr>
      </xdr:nvSpPr>
      <xdr:spPr bwMode="auto">
        <a:xfrm>
          <a:off x="13411200" y="134820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152400</xdr:colOff>
      <xdr:row>658</xdr:row>
      <xdr:rowOff>106680</xdr:rowOff>
    </xdr:to>
    <xdr:sp macro="" textlink="">
      <xdr:nvSpPr>
        <xdr:cNvPr id="8779" name="AutoShape 1035" descr="AUSTRALIA3"/>
        <xdr:cNvSpPr>
          <a:spLocks noChangeAspect="1" noChangeArrowheads="1"/>
        </xdr:cNvSpPr>
      </xdr:nvSpPr>
      <xdr:spPr bwMode="auto">
        <a:xfrm>
          <a:off x="0" y="134995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658</xdr:row>
      <xdr:rowOff>0</xdr:rowOff>
    </xdr:from>
    <xdr:to>
      <xdr:col>22</xdr:col>
      <xdr:colOff>304800</xdr:colOff>
      <xdr:row>659</xdr:row>
      <xdr:rowOff>53340</xdr:rowOff>
    </xdr:to>
    <xdr:sp macro="" textlink="">
      <xdr:nvSpPr>
        <xdr:cNvPr id="8780" name="AutoShape 1036" descr="https://www.soccerstats.com/img/own/sshplogo.png">
          <a:hlinkClick xmlns:r="http://schemas.openxmlformats.org/officeDocument/2006/relationships" r:id="rId692"/>
        </xdr:cNvPr>
        <xdr:cNvSpPr>
          <a:spLocks noChangeAspect="1" noChangeArrowheads="1"/>
        </xdr:cNvSpPr>
      </xdr:nvSpPr>
      <xdr:spPr bwMode="auto">
        <a:xfrm>
          <a:off x="13411200" y="134995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152400</xdr:colOff>
      <xdr:row>659</xdr:row>
      <xdr:rowOff>106680</xdr:rowOff>
    </xdr:to>
    <xdr:sp macro="" textlink="">
      <xdr:nvSpPr>
        <xdr:cNvPr id="8781" name="AutoShape 1037" descr="AUSTRALIA7"/>
        <xdr:cNvSpPr>
          <a:spLocks noChangeAspect="1" noChangeArrowheads="1"/>
        </xdr:cNvSpPr>
      </xdr:nvSpPr>
      <xdr:spPr bwMode="auto">
        <a:xfrm>
          <a:off x="0" y="135247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659</xdr:row>
      <xdr:rowOff>0</xdr:rowOff>
    </xdr:from>
    <xdr:to>
      <xdr:col>22</xdr:col>
      <xdr:colOff>304800</xdr:colOff>
      <xdr:row>660</xdr:row>
      <xdr:rowOff>53340</xdr:rowOff>
    </xdr:to>
    <xdr:sp macro="" textlink="">
      <xdr:nvSpPr>
        <xdr:cNvPr id="8782" name="AutoShape 1038" descr="https://www.soccerstats.com/img/own/sshplogo.png">
          <a:hlinkClick xmlns:r="http://schemas.openxmlformats.org/officeDocument/2006/relationships" r:id="rId693"/>
        </xdr:cNvPr>
        <xdr:cNvSpPr>
          <a:spLocks noChangeAspect="1" noChangeArrowheads="1"/>
        </xdr:cNvSpPr>
      </xdr:nvSpPr>
      <xdr:spPr bwMode="auto">
        <a:xfrm>
          <a:off x="13411200" y="135247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152400</xdr:colOff>
      <xdr:row>660</xdr:row>
      <xdr:rowOff>106680</xdr:rowOff>
    </xdr:to>
    <xdr:sp macro="" textlink="">
      <xdr:nvSpPr>
        <xdr:cNvPr id="8783" name="AutoShape 1039" descr="AUSTRALIA7"/>
        <xdr:cNvSpPr>
          <a:spLocks noChangeAspect="1" noChangeArrowheads="1"/>
        </xdr:cNvSpPr>
      </xdr:nvSpPr>
      <xdr:spPr bwMode="auto">
        <a:xfrm>
          <a:off x="0" y="135498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660</xdr:row>
      <xdr:rowOff>0</xdr:rowOff>
    </xdr:from>
    <xdr:to>
      <xdr:col>22</xdr:col>
      <xdr:colOff>304800</xdr:colOff>
      <xdr:row>661</xdr:row>
      <xdr:rowOff>53340</xdr:rowOff>
    </xdr:to>
    <xdr:sp macro="" textlink="">
      <xdr:nvSpPr>
        <xdr:cNvPr id="8784" name="AutoShape 1040" descr="https://www.soccerstats.com/img/own/sshplogo.png">
          <a:hlinkClick xmlns:r="http://schemas.openxmlformats.org/officeDocument/2006/relationships" r:id="rId694"/>
        </xdr:cNvPr>
        <xdr:cNvSpPr>
          <a:spLocks noChangeAspect="1" noChangeArrowheads="1"/>
        </xdr:cNvSpPr>
      </xdr:nvSpPr>
      <xdr:spPr bwMode="auto">
        <a:xfrm>
          <a:off x="13411200" y="135498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152400</xdr:colOff>
      <xdr:row>661</xdr:row>
      <xdr:rowOff>106680</xdr:rowOff>
    </xdr:to>
    <xdr:sp macro="" textlink="">
      <xdr:nvSpPr>
        <xdr:cNvPr id="8785" name="AutoShape 1041" descr="AUSTRALIA7"/>
        <xdr:cNvSpPr>
          <a:spLocks noChangeAspect="1" noChangeArrowheads="1"/>
        </xdr:cNvSpPr>
      </xdr:nvSpPr>
      <xdr:spPr bwMode="auto">
        <a:xfrm>
          <a:off x="0" y="135750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661</xdr:row>
      <xdr:rowOff>0</xdr:rowOff>
    </xdr:from>
    <xdr:to>
      <xdr:col>22</xdr:col>
      <xdr:colOff>304800</xdr:colOff>
      <xdr:row>662</xdr:row>
      <xdr:rowOff>53340</xdr:rowOff>
    </xdr:to>
    <xdr:sp macro="" textlink="">
      <xdr:nvSpPr>
        <xdr:cNvPr id="8786" name="AutoShape 1042" descr="https://www.soccerstats.com/img/own/sshplogo.png">
          <a:hlinkClick xmlns:r="http://schemas.openxmlformats.org/officeDocument/2006/relationships" r:id="rId695"/>
        </xdr:cNvPr>
        <xdr:cNvSpPr>
          <a:spLocks noChangeAspect="1" noChangeArrowheads="1"/>
        </xdr:cNvSpPr>
      </xdr:nvSpPr>
      <xdr:spPr bwMode="auto">
        <a:xfrm>
          <a:off x="13411200" y="135750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152400</xdr:colOff>
      <xdr:row>662</xdr:row>
      <xdr:rowOff>106680</xdr:rowOff>
    </xdr:to>
    <xdr:sp macro="" textlink="">
      <xdr:nvSpPr>
        <xdr:cNvPr id="8787" name="AutoShape 1043" descr="AUSTRALIA7"/>
        <xdr:cNvSpPr>
          <a:spLocks noChangeAspect="1" noChangeArrowheads="1"/>
        </xdr:cNvSpPr>
      </xdr:nvSpPr>
      <xdr:spPr bwMode="auto">
        <a:xfrm>
          <a:off x="0" y="136001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662</xdr:row>
      <xdr:rowOff>0</xdr:rowOff>
    </xdr:from>
    <xdr:to>
      <xdr:col>22</xdr:col>
      <xdr:colOff>304800</xdr:colOff>
      <xdr:row>663</xdr:row>
      <xdr:rowOff>53340</xdr:rowOff>
    </xdr:to>
    <xdr:sp macro="" textlink="">
      <xdr:nvSpPr>
        <xdr:cNvPr id="8788" name="AutoShape 1044" descr="https://www.soccerstats.com/img/own/sshplogo.png">
          <a:hlinkClick xmlns:r="http://schemas.openxmlformats.org/officeDocument/2006/relationships" r:id="rId696"/>
        </xdr:cNvPr>
        <xdr:cNvSpPr>
          <a:spLocks noChangeAspect="1" noChangeArrowheads="1"/>
        </xdr:cNvSpPr>
      </xdr:nvSpPr>
      <xdr:spPr bwMode="auto">
        <a:xfrm>
          <a:off x="13411200" y="136001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152400</xdr:colOff>
      <xdr:row>663</xdr:row>
      <xdr:rowOff>106680</xdr:rowOff>
    </xdr:to>
    <xdr:sp macro="" textlink="">
      <xdr:nvSpPr>
        <xdr:cNvPr id="8789" name="AutoShape 1045" descr="AUSTRALIA7"/>
        <xdr:cNvSpPr>
          <a:spLocks noChangeAspect="1" noChangeArrowheads="1"/>
        </xdr:cNvSpPr>
      </xdr:nvSpPr>
      <xdr:spPr bwMode="auto">
        <a:xfrm>
          <a:off x="0" y="136253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663</xdr:row>
      <xdr:rowOff>0</xdr:rowOff>
    </xdr:from>
    <xdr:to>
      <xdr:col>22</xdr:col>
      <xdr:colOff>304800</xdr:colOff>
      <xdr:row>664</xdr:row>
      <xdr:rowOff>129540</xdr:rowOff>
    </xdr:to>
    <xdr:sp macro="" textlink="">
      <xdr:nvSpPr>
        <xdr:cNvPr id="8790" name="AutoShape 1046" descr="https://www.soccerstats.com/img/own/sshplogo.png">
          <a:hlinkClick xmlns:r="http://schemas.openxmlformats.org/officeDocument/2006/relationships" r:id="rId697"/>
        </xdr:cNvPr>
        <xdr:cNvSpPr>
          <a:spLocks noChangeAspect="1" noChangeArrowheads="1"/>
        </xdr:cNvSpPr>
      </xdr:nvSpPr>
      <xdr:spPr bwMode="auto">
        <a:xfrm>
          <a:off x="13411200" y="136253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152400</xdr:colOff>
      <xdr:row>664</xdr:row>
      <xdr:rowOff>106680</xdr:rowOff>
    </xdr:to>
    <xdr:sp macro="" textlink="">
      <xdr:nvSpPr>
        <xdr:cNvPr id="8791" name="AutoShape 1047" descr="AUSTRALIA7"/>
        <xdr:cNvSpPr>
          <a:spLocks noChangeAspect="1" noChangeArrowheads="1"/>
        </xdr:cNvSpPr>
      </xdr:nvSpPr>
      <xdr:spPr bwMode="auto">
        <a:xfrm>
          <a:off x="0" y="136428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664</xdr:row>
      <xdr:rowOff>0</xdr:rowOff>
    </xdr:from>
    <xdr:to>
      <xdr:col>22</xdr:col>
      <xdr:colOff>304800</xdr:colOff>
      <xdr:row>665</xdr:row>
      <xdr:rowOff>129540</xdr:rowOff>
    </xdr:to>
    <xdr:sp macro="" textlink="">
      <xdr:nvSpPr>
        <xdr:cNvPr id="8792" name="AutoShape 1048" descr="https://www.soccerstats.com/img/own/sshplogo.png">
          <a:hlinkClick xmlns:r="http://schemas.openxmlformats.org/officeDocument/2006/relationships" r:id="rId698"/>
        </xdr:cNvPr>
        <xdr:cNvSpPr>
          <a:spLocks noChangeAspect="1" noChangeArrowheads="1"/>
        </xdr:cNvSpPr>
      </xdr:nvSpPr>
      <xdr:spPr bwMode="auto">
        <a:xfrm>
          <a:off x="13411200" y="136428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152400</xdr:colOff>
      <xdr:row>665</xdr:row>
      <xdr:rowOff>106680</xdr:rowOff>
    </xdr:to>
    <xdr:sp macro="" textlink="">
      <xdr:nvSpPr>
        <xdr:cNvPr id="8793" name="AutoShape 1049" descr="AUSTRALIA10"/>
        <xdr:cNvSpPr>
          <a:spLocks noChangeAspect="1" noChangeArrowheads="1"/>
        </xdr:cNvSpPr>
      </xdr:nvSpPr>
      <xdr:spPr bwMode="auto">
        <a:xfrm>
          <a:off x="0" y="136603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665</xdr:row>
      <xdr:rowOff>0</xdr:rowOff>
    </xdr:from>
    <xdr:to>
      <xdr:col>22</xdr:col>
      <xdr:colOff>304800</xdr:colOff>
      <xdr:row>666</xdr:row>
      <xdr:rowOff>53340</xdr:rowOff>
    </xdr:to>
    <xdr:sp macro="" textlink="">
      <xdr:nvSpPr>
        <xdr:cNvPr id="8794" name="AutoShape 1050" descr="https://www.soccerstats.com/img/own/sshplogo.png">
          <a:hlinkClick xmlns:r="http://schemas.openxmlformats.org/officeDocument/2006/relationships" r:id="rId699"/>
        </xdr:cNvPr>
        <xdr:cNvSpPr>
          <a:spLocks noChangeAspect="1" noChangeArrowheads="1"/>
        </xdr:cNvSpPr>
      </xdr:nvSpPr>
      <xdr:spPr bwMode="auto">
        <a:xfrm>
          <a:off x="13411200" y="136603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152400</xdr:colOff>
      <xdr:row>666</xdr:row>
      <xdr:rowOff>106680</xdr:rowOff>
    </xdr:to>
    <xdr:sp macro="" textlink="">
      <xdr:nvSpPr>
        <xdr:cNvPr id="8795" name="AutoShape 1051" descr="AUSTRALIA10"/>
        <xdr:cNvSpPr>
          <a:spLocks noChangeAspect="1" noChangeArrowheads="1"/>
        </xdr:cNvSpPr>
      </xdr:nvSpPr>
      <xdr:spPr bwMode="auto">
        <a:xfrm>
          <a:off x="0" y="136855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666</xdr:row>
      <xdr:rowOff>0</xdr:rowOff>
    </xdr:from>
    <xdr:to>
      <xdr:col>22</xdr:col>
      <xdr:colOff>304800</xdr:colOff>
      <xdr:row>667</xdr:row>
      <xdr:rowOff>53340</xdr:rowOff>
    </xdr:to>
    <xdr:sp macro="" textlink="">
      <xdr:nvSpPr>
        <xdr:cNvPr id="8796" name="AutoShape 1052" descr="https://www.soccerstats.com/img/own/sshplogo.png">
          <a:hlinkClick xmlns:r="http://schemas.openxmlformats.org/officeDocument/2006/relationships" r:id="rId700"/>
        </xdr:cNvPr>
        <xdr:cNvSpPr>
          <a:spLocks noChangeAspect="1" noChangeArrowheads="1"/>
        </xdr:cNvSpPr>
      </xdr:nvSpPr>
      <xdr:spPr bwMode="auto">
        <a:xfrm>
          <a:off x="13411200" y="136855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152400</xdr:colOff>
      <xdr:row>667</xdr:row>
      <xdr:rowOff>106680</xdr:rowOff>
    </xdr:to>
    <xdr:sp macro="" textlink="">
      <xdr:nvSpPr>
        <xdr:cNvPr id="8797" name="AutoShape 1053" descr="AUSTRALIA11"/>
        <xdr:cNvSpPr>
          <a:spLocks noChangeAspect="1" noChangeArrowheads="1"/>
        </xdr:cNvSpPr>
      </xdr:nvSpPr>
      <xdr:spPr bwMode="auto">
        <a:xfrm>
          <a:off x="0" y="137106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667</xdr:row>
      <xdr:rowOff>0</xdr:rowOff>
    </xdr:from>
    <xdr:to>
      <xdr:col>22</xdr:col>
      <xdr:colOff>304800</xdr:colOff>
      <xdr:row>668</xdr:row>
      <xdr:rowOff>53340</xdr:rowOff>
    </xdr:to>
    <xdr:sp macro="" textlink="">
      <xdr:nvSpPr>
        <xdr:cNvPr id="8798" name="AutoShape 1054" descr="https://www.soccerstats.com/img/own/sshplogo.png">
          <a:hlinkClick xmlns:r="http://schemas.openxmlformats.org/officeDocument/2006/relationships" r:id="rId701"/>
        </xdr:cNvPr>
        <xdr:cNvSpPr>
          <a:spLocks noChangeAspect="1" noChangeArrowheads="1"/>
        </xdr:cNvSpPr>
      </xdr:nvSpPr>
      <xdr:spPr bwMode="auto">
        <a:xfrm>
          <a:off x="13411200" y="137106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152400</xdr:colOff>
      <xdr:row>668</xdr:row>
      <xdr:rowOff>106680</xdr:rowOff>
    </xdr:to>
    <xdr:sp macro="" textlink="">
      <xdr:nvSpPr>
        <xdr:cNvPr id="8799" name="AutoShape 1055" descr="AUSTRALIA11"/>
        <xdr:cNvSpPr>
          <a:spLocks noChangeAspect="1" noChangeArrowheads="1"/>
        </xdr:cNvSpPr>
      </xdr:nvSpPr>
      <xdr:spPr bwMode="auto">
        <a:xfrm>
          <a:off x="0" y="137358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668</xdr:row>
      <xdr:rowOff>0</xdr:rowOff>
    </xdr:from>
    <xdr:to>
      <xdr:col>22</xdr:col>
      <xdr:colOff>304800</xdr:colOff>
      <xdr:row>669</xdr:row>
      <xdr:rowOff>129540</xdr:rowOff>
    </xdr:to>
    <xdr:sp macro="" textlink="">
      <xdr:nvSpPr>
        <xdr:cNvPr id="8800" name="AutoShape 1056" descr="https://www.soccerstats.com/img/own/sshplogo.png">
          <a:hlinkClick xmlns:r="http://schemas.openxmlformats.org/officeDocument/2006/relationships" r:id="rId702"/>
        </xdr:cNvPr>
        <xdr:cNvSpPr>
          <a:spLocks noChangeAspect="1" noChangeArrowheads="1"/>
        </xdr:cNvSpPr>
      </xdr:nvSpPr>
      <xdr:spPr bwMode="auto">
        <a:xfrm>
          <a:off x="13411200" y="137358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152400</xdr:colOff>
      <xdr:row>669</xdr:row>
      <xdr:rowOff>106680</xdr:rowOff>
    </xdr:to>
    <xdr:sp macro="" textlink="">
      <xdr:nvSpPr>
        <xdr:cNvPr id="8801" name="AutoShape 1057" descr="AUSTRALIA11"/>
        <xdr:cNvSpPr>
          <a:spLocks noChangeAspect="1" noChangeArrowheads="1"/>
        </xdr:cNvSpPr>
      </xdr:nvSpPr>
      <xdr:spPr bwMode="auto">
        <a:xfrm>
          <a:off x="0" y="137533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669</xdr:row>
      <xdr:rowOff>0</xdr:rowOff>
    </xdr:from>
    <xdr:to>
      <xdr:col>22</xdr:col>
      <xdr:colOff>304800</xdr:colOff>
      <xdr:row>670</xdr:row>
      <xdr:rowOff>53340</xdr:rowOff>
    </xdr:to>
    <xdr:sp macro="" textlink="">
      <xdr:nvSpPr>
        <xdr:cNvPr id="8802" name="AutoShape 1058" descr="https://www.soccerstats.com/img/own/sshplogo.png">
          <a:hlinkClick xmlns:r="http://schemas.openxmlformats.org/officeDocument/2006/relationships" r:id="rId703"/>
        </xdr:cNvPr>
        <xdr:cNvSpPr>
          <a:spLocks noChangeAspect="1" noChangeArrowheads="1"/>
        </xdr:cNvSpPr>
      </xdr:nvSpPr>
      <xdr:spPr bwMode="auto">
        <a:xfrm>
          <a:off x="13411200" y="137533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152400</xdr:colOff>
      <xdr:row>670</xdr:row>
      <xdr:rowOff>106680</xdr:rowOff>
    </xdr:to>
    <xdr:sp macro="" textlink="">
      <xdr:nvSpPr>
        <xdr:cNvPr id="8803" name="AutoShape 1059" descr="AUSTRIA"/>
        <xdr:cNvSpPr>
          <a:spLocks noChangeAspect="1" noChangeArrowheads="1"/>
        </xdr:cNvSpPr>
      </xdr:nvSpPr>
      <xdr:spPr bwMode="auto">
        <a:xfrm>
          <a:off x="0" y="137784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670</xdr:row>
      <xdr:rowOff>0</xdr:rowOff>
    </xdr:from>
    <xdr:to>
      <xdr:col>22</xdr:col>
      <xdr:colOff>304800</xdr:colOff>
      <xdr:row>671</xdr:row>
      <xdr:rowOff>129540</xdr:rowOff>
    </xdr:to>
    <xdr:sp macro="" textlink="">
      <xdr:nvSpPr>
        <xdr:cNvPr id="8804" name="AutoShape 1060" descr="https://www.soccerstats.com/img/own/sshplogo.png">
          <a:hlinkClick xmlns:r="http://schemas.openxmlformats.org/officeDocument/2006/relationships" r:id="rId704"/>
        </xdr:cNvPr>
        <xdr:cNvSpPr>
          <a:spLocks noChangeAspect="1" noChangeArrowheads="1"/>
        </xdr:cNvSpPr>
      </xdr:nvSpPr>
      <xdr:spPr bwMode="auto">
        <a:xfrm>
          <a:off x="13411200" y="137784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152400</xdr:colOff>
      <xdr:row>671</xdr:row>
      <xdr:rowOff>106680</xdr:rowOff>
    </xdr:to>
    <xdr:sp macro="" textlink="">
      <xdr:nvSpPr>
        <xdr:cNvPr id="8805" name="AutoShape 1061" descr="AUSTRIA"/>
        <xdr:cNvSpPr>
          <a:spLocks noChangeAspect="1" noChangeArrowheads="1"/>
        </xdr:cNvSpPr>
      </xdr:nvSpPr>
      <xdr:spPr bwMode="auto">
        <a:xfrm>
          <a:off x="0" y="137960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671</xdr:row>
      <xdr:rowOff>0</xdr:rowOff>
    </xdr:from>
    <xdr:to>
      <xdr:col>22</xdr:col>
      <xdr:colOff>304800</xdr:colOff>
      <xdr:row>672</xdr:row>
      <xdr:rowOff>129540</xdr:rowOff>
    </xdr:to>
    <xdr:sp macro="" textlink="">
      <xdr:nvSpPr>
        <xdr:cNvPr id="8806" name="AutoShape 1062" descr="https://www.soccerstats.com/img/own/sshplogo.png">
          <a:hlinkClick xmlns:r="http://schemas.openxmlformats.org/officeDocument/2006/relationships" r:id="rId705"/>
        </xdr:cNvPr>
        <xdr:cNvSpPr>
          <a:spLocks noChangeAspect="1" noChangeArrowheads="1"/>
        </xdr:cNvSpPr>
      </xdr:nvSpPr>
      <xdr:spPr bwMode="auto">
        <a:xfrm>
          <a:off x="13411200" y="137960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152400</xdr:colOff>
      <xdr:row>672</xdr:row>
      <xdr:rowOff>106680</xdr:rowOff>
    </xdr:to>
    <xdr:sp macro="" textlink="">
      <xdr:nvSpPr>
        <xdr:cNvPr id="8807" name="AutoShape 1063" descr="AUSTRIA"/>
        <xdr:cNvSpPr>
          <a:spLocks noChangeAspect="1" noChangeArrowheads="1"/>
        </xdr:cNvSpPr>
      </xdr:nvSpPr>
      <xdr:spPr bwMode="auto">
        <a:xfrm>
          <a:off x="0" y="138135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672</xdr:row>
      <xdr:rowOff>0</xdr:rowOff>
    </xdr:from>
    <xdr:to>
      <xdr:col>22</xdr:col>
      <xdr:colOff>304800</xdr:colOff>
      <xdr:row>673</xdr:row>
      <xdr:rowOff>129540</xdr:rowOff>
    </xdr:to>
    <xdr:sp macro="" textlink="">
      <xdr:nvSpPr>
        <xdr:cNvPr id="8808" name="AutoShape 1064" descr="https://www.soccerstats.com/img/own/sshplogo.png">
          <a:hlinkClick xmlns:r="http://schemas.openxmlformats.org/officeDocument/2006/relationships" r:id="rId706"/>
        </xdr:cNvPr>
        <xdr:cNvSpPr>
          <a:spLocks noChangeAspect="1" noChangeArrowheads="1"/>
        </xdr:cNvSpPr>
      </xdr:nvSpPr>
      <xdr:spPr bwMode="auto">
        <a:xfrm>
          <a:off x="13411200" y="138135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152400</xdr:colOff>
      <xdr:row>673</xdr:row>
      <xdr:rowOff>106680</xdr:rowOff>
    </xdr:to>
    <xdr:sp macro="" textlink="">
      <xdr:nvSpPr>
        <xdr:cNvPr id="8809" name="AutoShape 1065" descr="AUSTRIA2"/>
        <xdr:cNvSpPr>
          <a:spLocks noChangeAspect="1" noChangeArrowheads="1"/>
        </xdr:cNvSpPr>
      </xdr:nvSpPr>
      <xdr:spPr bwMode="auto">
        <a:xfrm>
          <a:off x="0" y="138310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673</xdr:row>
      <xdr:rowOff>0</xdr:rowOff>
    </xdr:from>
    <xdr:to>
      <xdr:col>22</xdr:col>
      <xdr:colOff>304800</xdr:colOff>
      <xdr:row>674</xdr:row>
      <xdr:rowOff>129540</xdr:rowOff>
    </xdr:to>
    <xdr:sp macro="" textlink="">
      <xdr:nvSpPr>
        <xdr:cNvPr id="8810" name="AutoShape 1066" descr="https://www.soccerstats.com/img/own/sshplogo.png">
          <a:hlinkClick xmlns:r="http://schemas.openxmlformats.org/officeDocument/2006/relationships" r:id="rId707"/>
        </xdr:cNvPr>
        <xdr:cNvSpPr>
          <a:spLocks noChangeAspect="1" noChangeArrowheads="1"/>
        </xdr:cNvSpPr>
      </xdr:nvSpPr>
      <xdr:spPr bwMode="auto">
        <a:xfrm>
          <a:off x="13411200" y="138310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152400</xdr:colOff>
      <xdr:row>674</xdr:row>
      <xdr:rowOff>106680</xdr:rowOff>
    </xdr:to>
    <xdr:sp macro="" textlink="">
      <xdr:nvSpPr>
        <xdr:cNvPr id="8811" name="AutoShape 1067" descr="AZERBAIJAN"/>
        <xdr:cNvSpPr>
          <a:spLocks noChangeAspect="1" noChangeArrowheads="1"/>
        </xdr:cNvSpPr>
      </xdr:nvSpPr>
      <xdr:spPr bwMode="auto">
        <a:xfrm>
          <a:off x="0" y="138485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674</xdr:row>
      <xdr:rowOff>0</xdr:rowOff>
    </xdr:from>
    <xdr:to>
      <xdr:col>22</xdr:col>
      <xdr:colOff>304800</xdr:colOff>
      <xdr:row>675</xdr:row>
      <xdr:rowOff>129540</xdr:rowOff>
    </xdr:to>
    <xdr:sp macro="" textlink="">
      <xdr:nvSpPr>
        <xdr:cNvPr id="8812" name="AutoShape 1068" descr="https://www.soccerstats.com/img/own/sshplogo.png">
          <a:hlinkClick xmlns:r="http://schemas.openxmlformats.org/officeDocument/2006/relationships" r:id="rId558"/>
        </xdr:cNvPr>
        <xdr:cNvSpPr>
          <a:spLocks noChangeAspect="1" noChangeArrowheads="1"/>
        </xdr:cNvSpPr>
      </xdr:nvSpPr>
      <xdr:spPr bwMode="auto">
        <a:xfrm>
          <a:off x="13411200" y="138485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152400</xdr:colOff>
      <xdr:row>675</xdr:row>
      <xdr:rowOff>106680</xdr:rowOff>
    </xdr:to>
    <xdr:sp macro="" textlink="">
      <xdr:nvSpPr>
        <xdr:cNvPr id="8813" name="AutoShape 1069" descr="AZERBAIJAN"/>
        <xdr:cNvSpPr>
          <a:spLocks noChangeAspect="1" noChangeArrowheads="1"/>
        </xdr:cNvSpPr>
      </xdr:nvSpPr>
      <xdr:spPr bwMode="auto">
        <a:xfrm>
          <a:off x="0" y="138661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675</xdr:row>
      <xdr:rowOff>0</xdr:rowOff>
    </xdr:from>
    <xdr:to>
      <xdr:col>22</xdr:col>
      <xdr:colOff>304800</xdr:colOff>
      <xdr:row>676</xdr:row>
      <xdr:rowOff>129540</xdr:rowOff>
    </xdr:to>
    <xdr:sp macro="" textlink="">
      <xdr:nvSpPr>
        <xdr:cNvPr id="8814" name="AutoShape 1070" descr="https://www.soccerstats.com/img/own/sshplogo.png">
          <a:hlinkClick xmlns:r="http://schemas.openxmlformats.org/officeDocument/2006/relationships" r:id="rId560"/>
        </xdr:cNvPr>
        <xdr:cNvSpPr>
          <a:spLocks noChangeAspect="1" noChangeArrowheads="1"/>
        </xdr:cNvSpPr>
      </xdr:nvSpPr>
      <xdr:spPr bwMode="auto">
        <a:xfrm>
          <a:off x="13411200" y="138661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152400</xdr:colOff>
      <xdr:row>676</xdr:row>
      <xdr:rowOff>106680</xdr:rowOff>
    </xdr:to>
    <xdr:sp macro="" textlink="">
      <xdr:nvSpPr>
        <xdr:cNvPr id="8815" name="AutoShape 1071" descr="BELARUS"/>
        <xdr:cNvSpPr>
          <a:spLocks noChangeAspect="1" noChangeArrowheads="1"/>
        </xdr:cNvSpPr>
      </xdr:nvSpPr>
      <xdr:spPr bwMode="auto">
        <a:xfrm>
          <a:off x="0" y="138836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676</xdr:row>
      <xdr:rowOff>0</xdr:rowOff>
    </xdr:from>
    <xdr:to>
      <xdr:col>22</xdr:col>
      <xdr:colOff>304800</xdr:colOff>
      <xdr:row>677</xdr:row>
      <xdr:rowOff>129540</xdr:rowOff>
    </xdr:to>
    <xdr:sp macro="" textlink="">
      <xdr:nvSpPr>
        <xdr:cNvPr id="8816" name="AutoShape 1072" descr="https://www.soccerstats.com/img/own/sshplogo.png">
          <a:hlinkClick xmlns:r="http://schemas.openxmlformats.org/officeDocument/2006/relationships" r:id="rId708"/>
        </xdr:cNvPr>
        <xdr:cNvSpPr>
          <a:spLocks noChangeAspect="1" noChangeArrowheads="1"/>
        </xdr:cNvSpPr>
      </xdr:nvSpPr>
      <xdr:spPr bwMode="auto">
        <a:xfrm>
          <a:off x="13411200" y="13883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152400</xdr:colOff>
      <xdr:row>677</xdr:row>
      <xdr:rowOff>106680</xdr:rowOff>
    </xdr:to>
    <xdr:sp macro="" textlink="">
      <xdr:nvSpPr>
        <xdr:cNvPr id="8817" name="AutoShape 1073" descr="BELARUS"/>
        <xdr:cNvSpPr>
          <a:spLocks noChangeAspect="1" noChangeArrowheads="1"/>
        </xdr:cNvSpPr>
      </xdr:nvSpPr>
      <xdr:spPr bwMode="auto">
        <a:xfrm>
          <a:off x="0" y="139011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677</xdr:row>
      <xdr:rowOff>0</xdr:rowOff>
    </xdr:from>
    <xdr:to>
      <xdr:col>22</xdr:col>
      <xdr:colOff>304800</xdr:colOff>
      <xdr:row>678</xdr:row>
      <xdr:rowOff>53340</xdr:rowOff>
    </xdr:to>
    <xdr:sp macro="" textlink="">
      <xdr:nvSpPr>
        <xdr:cNvPr id="8818" name="AutoShape 1074" descr="https://www.soccerstats.com/img/own/sshplogo.png">
          <a:hlinkClick xmlns:r="http://schemas.openxmlformats.org/officeDocument/2006/relationships" r:id="rId709"/>
        </xdr:cNvPr>
        <xdr:cNvSpPr>
          <a:spLocks noChangeAspect="1" noChangeArrowheads="1"/>
        </xdr:cNvSpPr>
      </xdr:nvSpPr>
      <xdr:spPr bwMode="auto">
        <a:xfrm>
          <a:off x="13411200" y="139011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152400</xdr:colOff>
      <xdr:row>678</xdr:row>
      <xdr:rowOff>106680</xdr:rowOff>
    </xdr:to>
    <xdr:sp macro="" textlink="">
      <xdr:nvSpPr>
        <xdr:cNvPr id="8819" name="AutoShape 1075" descr="BELARUS"/>
        <xdr:cNvSpPr>
          <a:spLocks noChangeAspect="1" noChangeArrowheads="1"/>
        </xdr:cNvSpPr>
      </xdr:nvSpPr>
      <xdr:spPr bwMode="auto">
        <a:xfrm>
          <a:off x="0" y="139263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678</xdr:row>
      <xdr:rowOff>0</xdr:rowOff>
    </xdr:from>
    <xdr:to>
      <xdr:col>22</xdr:col>
      <xdr:colOff>304800</xdr:colOff>
      <xdr:row>679</xdr:row>
      <xdr:rowOff>129540</xdr:rowOff>
    </xdr:to>
    <xdr:sp macro="" textlink="">
      <xdr:nvSpPr>
        <xdr:cNvPr id="8820" name="AutoShape 1076" descr="https://www.soccerstats.com/img/own/sshplogo.png">
          <a:hlinkClick xmlns:r="http://schemas.openxmlformats.org/officeDocument/2006/relationships" r:id="rId710"/>
        </xdr:cNvPr>
        <xdr:cNvSpPr>
          <a:spLocks noChangeAspect="1" noChangeArrowheads="1"/>
        </xdr:cNvSpPr>
      </xdr:nvSpPr>
      <xdr:spPr bwMode="auto">
        <a:xfrm>
          <a:off x="13411200" y="139263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152400</xdr:colOff>
      <xdr:row>679</xdr:row>
      <xdr:rowOff>106680</xdr:rowOff>
    </xdr:to>
    <xdr:sp macro="" textlink="">
      <xdr:nvSpPr>
        <xdr:cNvPr id="8821" name="AutoShape 1077" descr="BELGIUM"/>
        <xdr:cNvSpPr>
          <a:spLocks noChangeAspect="1" noChangeArrowheads="1"/>
        </xdr:cNvSpPr>
      </xdr:nvSpPr>
      <xdr:spPr bwMode="auto">
        <a:xfrm>
          <a:off x="0" y="139438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679</xdr:row>
      <xdr:rowOff>0</xdr:rowOff>
    </xdr:from>
    <xdr:to>
      <xdr:col>22</xdr:col>
      <xdr:colOff>304800</xdr:colOff>
      <xdr:row>680</xdr:row>
      <xdr:rowOff>129540</xdr:rowOff>
    </xdr:to>
    <xdr:sp macro="" textlink="">
      <xdr:nvSpPr>
        <xdr:cNvPr id="8822" name="AutoShape 1078" descr="https://www.soccerstats.com/img/own/sshplogo.png">
          <a:hlinkClick xmlns:r="http://schemas.openxmlformats.org/officeDocument/2006/relationships" r:id="rId711"/>
        </xdr:cNvPr>
        <xdr:cNvSpPr>
          <a:spLocks noChangeAspect="1" noChangeArrowheads="1"/>
        </xdr:cNvSpPr>
      </xdr:nvSpPr>
      <xdr:spPr bwMode="auto">
        <a:xfrm>
          <a:off x="13411200" y="139438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152400</xdr:colOff>
      <xdr:row>680</xdr:row>
      <xdr:rowOff>106680</xdr:rowOff>
    </xdr:to>
    <xdr:sp macro="" textlink="">
      <xdr:nvSpPr>
        <xdr:cNvPr id="8823" name="AutoShape 1079" descr="BELGIUM"/>
        <xdr:cNvSpPr>
          <a:spLocks noChangeAspect="1" noChangeArrowheads="1"/>
        </xdr:cNvSpPr>
      </xdr:nvSpPr>
      <xdr:spPr bwMode="auto">
        <a:xfrm>
          <a:off x="0" y="139613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680</xdr:row>
      <xdr:rowOff>0</xdr:rowOff>
    </xdr:from>
    <xdr:to>
      <xdr:col>22</xdr:col>
      <xdr:colOff>304800</xdr:colOff>
      <xdr:row>681</xdr:row>
      <xdr:rowOff>129540</xdr:rowOff>
    </xdr:to>
    <xdr:sp macro="" textlink="">
      <xdr:nvSpPr>
        <xdr:cNvPr id="8824" name="AutoShape 1080" descr="https://www.soccerstats.com/img/own/sshplogo.png">
          <a:hlinkClick xmlns:r="http://schemas.openxmlformats.org/officeDocument/2006/relationships" r:id="rId712"/>
        </xdr:cNvPr>
        <xdr:cNvSpPr>
          <a:spLocks noChangeAspect="1" noChangeArrowheads="1"/>
        </xdr:cNvSpPr>
      </xdr:nvSpPr>
      <xdr:spPr bwMode="auto">
        <a:xfrm>
          <a:off x="13411200" y="139613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152400</xdr:colOff>
      <xdr:row>681</xdr:row>
      <xdr:rowOff>106680</xdr:rowOff>
    </xdr:to>
    <xdr:sp macro="" textlink="">
      <xdr:nvSpPr>
        <xdr:cNvPr id="8825" name="AutoShape 1081" descr="BELGIUM"/>
        <xdr:cNvSpPr>
          <a:spLocks noChangeAspect="1" noChangeArrowheads="1"/>
        </xdr:cNvSpPr>
      </xdr:nvSpPr>
      <xdr:spPr bwMode="auto">
        <a:xfrm>
          <a:off x="0" y="139788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681</xdr:row>
      <xdr:rowOff>0</xdr:rowOff>
    </xdr:from>
    <xdr:to>
      <xdr:col>22</xdr:col>
      <xdr:colOff>304800</xdr:colOff>
      <xdr:row>682</xdr:row>
      <xdr:rowOff>53340</xdr:rowOff>
    </xdr:to>
    <xdr:sp macro="" textlink="">
      <xdr:nvSpPr>
        <xdr:cNvPr id="8826" name="AutoShape 1082" descr="https://www.soccerstats.com/img/own/sshplogo.png">
          <a:hlinkClick xmlns:r="http://schemas.openxmlformats.org/officeDocument/2006/relationships" r:id="rId713"/>
        </xdr:cNvPr>
        <xdr:cNvSpPr>
          <a:spLocks noChangeAspect="1" noChangeArrowheads="1"/>
        </xdr:cNvSpPr>
      </xdr:nvSpPr>
      <xdr:spPr bwMode="auto">
        <a:xfrm>
          <a:off x="13411200" y="13978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152400</xdr:colOff>
      <xdr:row>682</xdr:row>
      <xdr:rowOff>106680</xdr:rowOff>
    </xdr:to>
    <xdr:sp macro="" textlink="">
      <xdr:nvSpPr>
        <xdr:cNvPr id="8827" name="AutoShape 1083" descr="BELGIUM"/>
        <xdr:cNvSpPr>
          <a:spLocks noChangeAspect="1" noChangeArrowheads="1"/>
        </xdr:cNvSpPr>
      </xdr:nvSpPr>
      <xdr:spPr bwMode="auto">
        <a:xfrm>
          <a:off x="0" y="140040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682</xdr:row>
      <xdr:rowOff>0</xdr:rowOff>
    </xdr:from>
    <xdr:to>
      <xdr:col>22</xdr:col>
      <xdr:colOff>304800</xdr:colOff>
      <xdr:row>683</xdr:row>
      <xdr:rowOff>129540</xdr:rowOff>
    </xdr:to>
    <xdr:sp macro="" textlink="">
      <xdr:nvSpPr>
        <xdr:cNvPr id="8828" name="AutoShape 1084" descr="https://www.soccerstats.com/img/own/sshplogo.png">
          <a:hlinkClick xmlns:r="http://schemas.openxmlformats.org/officeDocument/2006/relationships" r:id="rId714"/>
        </xdr:cNvPr>
        <xdr:cNvSpPr>
          <a:spLocks noChangeAspect="1" noChangeArrowheads="1"/>
        </xdr:cNvSpPr>
      </xdr:nvSpPr>
      <xdr:spPr bwMode="auto">
        <a:xfrm>
          <a:off x="13411200" y="140040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152400</xdr:colOff>
      <xdr:row>683</xdr:row>
      <xdr:rowOff>106680</xdr:rowOff>
    </xdr:to>
    <xdr:sp macro="" textlink="">
      <xdr:nvSpPr>
        <xdr:cNvPr id="8829" name="AutoShape 1085" descr="BELGIUM2"/>
        <xdr:cNvSpPr>
          <a:spLocks noChangeAspect="1" noChangeArrowheads="1"/>
        </xdr:cNvSpPr>
      </xdr:nvSpPr>
      <xdr:spPr bwMode="auto">
        <a:xfrm>
          <a:off x="0" y="140215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683</xdr:row>
      <xdr:rowOff>0</xdr:rowOff>
    </xdr:from>
    <xdr:to>
      <xdr:col>22</xdr:col>
      <xdr:colOff>304800</xdr:colOff>
      <xdr:row>684</xdr:row>
      <xdr:rowOff>129540</xdr:rowOff>
    </xdr:to>
    <xdr:sp macro="" textlink="">
      <xdr:nvSpPr>
        <xdr:cNvPr id="8830" name="AutoShape 1086" descr="https://www.soccerstats.com/img/own/sshplogo.png">
          <a:hlinkClick xmlns:r="http://schemas.openxmlformats.org/officeDocument/2006/relationships" r:id="rId715"/>
        </xdr:cNvPr>
        <xdr:cNvSpPr>
          <a:spLocks noChangeAspect="1" noChangeArrowheads="1"/>
        </xdr:cNvSpPr>
      </xdr:nvSpPr>
      <xdr:spPr bwMode="auto">
        <a:xfrm>
          <a:off x="13411200" y="140215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152400</xdr:colOff>
      <xdr:row>684</xdr:row>
      <xdr:rowOff>106680</xdr:rowOff>
    </xdr:to>
    <xdr:sp macro="" textlink="">
      <xdr:nvSpPr>
        <xdr:cNvPr id="8831" name="AutoShape 1087" descr="BOSNIA"/>
        <xdr:cNvSpPr>
          <a:spLocks noChangeAspect="1" noChangeArrowheads="1"/>
        </xdr:cNvSpPr>
      </xdr:nvSpPr>
      <xdr:spPr bwMode="auto">
        <a:xfrm>
          <a:off x="0" y="140390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684</xdr:row>
      <xdr:rowOff>0</xdr:rowOff>
    </xdr:from>
    <xdr:to>
      <xdr:col>22</xdr:col>
      <xdr:colOff>304800</xdr:colOff>
      <xdr:row>685</xdr:row>
      <xdr:rowOff>53340</xdr:rowOff>
    </xdr:to>
    <xdr:sp macro="" textlink="">
      <xdr:nvSpPr>
        <xdr:cNvPr id="8832" name="AutoShape 1088" descr="https://www.soccerstats.com/img/own/sshplogo.png">
          <a:hlinkClick xmlns:r="http://schemas.openxmlformats.org/officeDocument/2006/relationships" r:id="rId116"/>
        </xdr:cNvPr>
        <xdr:cNvSpPr>
          <a:spLocks noChangeAspect="1" noChangeArrowheads="1"/>
        </xdr:cNvSpPr>
      </xdr:nvSpPr>
      <xdr:spPr bwMode="auto">
        <a:xfrm>
          <a:off x="13411200" y="140390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152400</xdr:colOff>
      <xdr:row>685</xdr:row>
      <xdr:rowOff>106680</xdr:rowOff>
    </xdr:to>
    <xdr:sp macro="" textlink="">
      <xdr:nvSpPr>
        <xdr:cNvPr id="8833" name="AutoShape 1089" descr="BOSNIA"/>
        <xdr:cNvSpPr>
          <a:spLocks noChangeAspect="1" noChangeArrowheads="1"/>
        </xdr:cNvSpPr>
      </xdr:nvSpPr>
      <xdr:spPr bwMode="auto">
        <a:xfrm>
          <a:off x="0" y="140642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685</xdr:row>
      <xdr:rowOff>0</xdr:rowOff>
    </xdr:from>
    <xdr:to>
      <xdr:col>22</xdr:col>
      <xdr:colOff>304800</xdr:colOff>
      <xdr:row>686</xdr:row>
      <xdr:rowOff>53340</xdr:rowOff>
    </xdr:to>
    <xdr:sp macro="" textlink="">
      <xdr:nvSpPr>
        <xdr:cNvPr id="8834" name="AutoShape 1090" descr="https://www.soccerstats.com/img/own/sshplogo.png">
          <a:hlinkClick xmlns:r="http://schemas.openxmlformats.org/officeDocument/2006/relationships" r:id="rId118"/>
        </xdr:cNvPr>
        <xdr:cNvSpPr>
          <a:spLocks noChangeAspect="1" noChangeArrowheads="1"/>
        </xdr:cNvSpPr>
      </xdr:nvSpPr>
      <xdr:spPr bwMode="auto">
        <a:xfrm>
          <a:off x="13411200" y="140642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152400</xdr:colOff>
      <xdr:row>686</xdr:row>
      <xdr:rowOff>106680</xdr:rowOff>
    </xdr:to>
    <xdr:sp macro="" textlink="">
      <xdr:nvSpPr>
        <xdr:cNvPr id="8835" name="AutoShape 1091" descr="BRAZIL"/>
        <xdr:cNvSpPr>
          <a:spLocks noChangeAspect="1" noChangeArrowheads="1"/>
        </xdr:cNvSpPr>
      </xdr:nvSpPr>
      <xdr:spPr bwMode="auto">
        <a:xfrm>
          <a:off x="0" y="140893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686</xdr:row>
      <xdr:rowOff>0</xdr:rowOff>
    </xdr:from>
    <xdr:to>
      <xdr:col>22</xdr:col>
      <xdr:colOff>304800</xdr:colOff>
      <xdr:row>687</xdr:row>
      <xdr:rowOff>129540</xdr:rowOff>
    </xdr:to>
    <xdr:sp macro="" textlink="">
      <xdr:nvSpPr>
        <xdr:cNvPr id="8836" name="AutoShape 1092" descr="https://www.soccerstats.com/img/own/sshplogo.png">
          <a:hlinkClick xmlns:r="http://schemas.openxmlformats.org/officeDocument/2006/relationships" r:id="rId716"/>
        </xdr:cNvPr>
        <xdr:cNvSpPr>
          <a:spLocks noChangeAspect="1" noChangeArrowheads="1"/>
        </xdr:cNvSpPr>
      </xdr:nvSpPr>
      <xdr:spPr bwMode="auto">
        <a:xfrm>
          <a:off x="13411200" y="140893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152400</xdr:colOff>
      <xdr:row>687</xdr:row>
      <xdr:rowOff>106680</xdr:rowOff>
    </xdr:to>
    <xdr:sp macro="" textlink="">
      <xdr:nvSpPr>
        <xdr:cNvPr id="8837" name="AutoShape 1093" descr="BRAZIL"/>
        <xdr:cNvSpPr>
          <a:spLocks noChangeAspect="1" noChangeArrowheads="1"/>
        </xdr:cNvSpPr>
      </xdr:nvSpPr>
      <xdr:spPr bwMode="auto">
        <a:xfrm>
          <a:off x="0" y="141069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687</xdr:row>
      <xdr:rowOff>0</xdr:rowOff>
    </xdr:from>
    <xdr:to>
      <xdr:col>22</xdr:col>
      <xdr:colOff>304800</xdr:colOff>
      <xdr:row>688</xdr:row>
      <xdr:rowOff>129540</xdr:rowOff>
    </xdr:to>
    <xdr:sp macro="" textlink="">
      <xdr:nvSpPr>
        <xdr:cNvPr id="8838" name="AutoShape 1094" descr="https://www.soccerstats.com/img/own/sshplogo.png">
          <a:hlinkClick xmlns:r="http://schemas.openxmlformats.org/officeDocument/2006/relationships" r:id="rId717"/>
        </xdr:cNvPr>
        <xdr:cNvSpPr>
          <a:spLocks noChangeAspect="1" noChangeArrowheads="1"/>
        </xdr:cNvSpPr>
      </xdr:nvSpPr>
      <xdr:spPr bwMode="auto">
        <a:xfrm>
          <a:off x="13411200" y="141069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152400</xdr:colOff>
      <xdr:row>688</xdr:row>
      <xdr:rowOff>106680</xdr:rowOff>
    </xdr:to>
    <xdr:sp macro="" textlink="">
      <xdr:nvSpPr>
        <xdr:cNvPr id="8839" name="AutoShape 1095" descr="BRAZIL"/>
        <xdr:cNvSpPr>
          <a:spLocks noChangeAspect="1" noChangeArrowheads="1"/>
        </xdr:cNvSpPr>
      </xdr:nvSpPr>
      <xdr:spPr bwMode="auto">
        <a:xfrm>
          <a:off x="0" y="141244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688</xdr:row>
      <xdr:rowOff>0</xdr:rowOff>
    </xdr:from>
    <xdr:to>
      <xdr:col>22</xdr:col>
      <xdr:colOff>304800</xdr:colOff>
      <xdr:row>689</xdr:row>
      <xdr:rowOff>129540</xdr:rowOff>
    </xdr:to>
    <xdr:sp macro="" textlink="">
      <xdr:nvSpPr>
        <xdr:cNvPr id="8840" name="AutoShape 1096" descr="https://www.soccerstats.com/img/own/sshplogo.png">
          <a:hlinkClick xmlns:r="http://schemas.openxmlformats.org/officeDocument/2006/relationships" r:id="rId718"/>
        </xdr:cNvPr>
        <xdr:cNvSpPr>
          <a:spLocks noChangeAspect="1" noChangeArrowheads="1"/>
        </xdr:cNvSpPr>
      </xdr:nvSpPr>
      <xdr:spPr bwMode="auto">
        <a:xfrm>
          <a:off x="13411200" y="141244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152400</xdr:colOff>
      <xdr:row>689</xdr:row>
      <xdr:rowOff>106680</xdr:rowOff>
    </xdr:to>
    <xdr:sp macro="" textlink="">
      <xdr:nvSpPr>
        <xdr:cNvPr id="8841" name="AutoShape 1097" descr="BRAZIL"/>
        <xdr:cNvSpPr>
          <a:spLocks noChangeAspect="1" noChangeArrowheads="1"/>
        </xdr:cNvSpPr>
      </xdr:nvSpPr>
      <xdr:spPr bwMode="auto">
        <a:xfrm>
          <a:off x="0" y="141419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689</xdr:row>
      <xdr:rowOff>0</xdr:rowOff>
    </xdr:from>
    <xdr:to>
      <xdr:col>22</xdr:col>
      <xdr:colOff>304800</xdr:colOff>
      <xdr:row>690</xdr:row>
      <xdr:rowOff>53340</xdr:rowOff>
    </xdr:to>
    <xdr:sp macro="" textlink="">
      <xdr:nvSpPr>
        <xdr:cNvPr id="8842" name="AutoShape 1098" descr="https://www.soccerstats.com/img/own/sshplogo.png">
          <a:hlinkClick xmlns:r="http://schemas.openxmlformats.org/officeDocument/2006/relationships" r:id="rId719"/>
        </xdr:cNvPr>
        <xdr:cNvSpPr>
          <a:spLocks noChangeAspect="1" noChangeArrowheads="1"/>
        </xdr:cNvSpPr>
      </xdr:nvSpPr>
      <xdr:spPr bwMode="auto">
        <a:xfrm>
          <a:off x="13411200" y="141419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152400</xdr:colOff>
      <xdr:row>690</xdr:row>
      <xdr:rowOff>106680</xdr:rowOff>
    </xdr:to>
    <xdr:sp macro="" textlink="">
      <xdr:nvSpPr>
        <xdr:cNvPr id="8843" name="AutoShape 1099" descr="BRAZIL"/>
        <xdr:cNvSpPr>
          <a:spLocks noChangeAspect="1" noChangeArrowheads="1"/>
        </xdr:cNvSpPr>
      </xdr:nvSpPr>
      <xdr:spPr bwMode="auto">
        <a:xfrm>
          <a:off x="0" y="141671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690</xdr:row>
      <xdr:rowOff>0</xdr:rowOff>
    </xdr:from>
    <xdr:to>
      <xdr:col>22</xdr:col>
      <xdr:colOff>304800</xdr:colOff>
      <xdr:row>691</xdr:row>
      <xdr:rowOff>129540</xdr:rowOff>
    </xdr:to>
    <xdr:sp macro="" textlink="">
      <xdr:nvSpPr>
        <xdr:cNvPr id="8844" name="AutoShape 1100" descr="https://www.soccerstats.com/img/own/sshplogo.png">
          <a:hlinkClick xmlns:r="http://schemas.openxmlformats.org/officeDocument/2006/relationships" r:id="rId720"/>
        </xdr:cNvPr>
        <xdr:cNvSpPr>
          <a:spLocks noChangeAspect="1" noChangeArrowheads="1"/>
        </xdr:cNvSpPr>
      </xdr:nvSpPr>
      <xdr:spPr bwMode="auto">
        <a:xfrm>
          <a:off x="13411200" y="141671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152400</xdr:colOff>
      <xdr:row>691</xdr:row>
      <xdr:rowOff>106680</xdr:rowOff>
    </xdr:to>
    <xdr:sp macro="" textlink="">
      <xdr:nvSpPr>
        <xdr:cNvPr id="8845" name="AutoShape 1101" descr="BRAZIL"/>
        <xdr:cNvSpPr>
          <a:spLocks noChangeAspect="1" noChangeArrowheads="1"/>
        </xdr:cNvSpPr>
      </xdr:nvSpPr>
      <xdr:spPr bwMode="auto">
        <a:xfrm>
          <a:off x="0" y="141846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691</xdr:row>
      <xdr:rowOff>0</xdr:rowOff>
    </xdr:from>
    <xdr:to>
      <xdr:col>22</xdr:col>
      <xdr:colOff>304800</xdr:colOff>
      <xdr:row>692</xdr:row>
      <xdr:rowOff>129540</xdr:rowOff>
    </xdr:to>
    <xdr:sp macro="" textlink="">
      <xdr:nvSpPr>
        <xdr:cNvPr id="8846" name="AutoShape 1102" descr="https://www.soccerstats.com/img/own/sshplogo.png">
          <a:hlinkClick xmlns:r="http://schemas.openxmlformats.org/officeDocument/2006/relationships" r:id="rId721"/>
        </xdr:cNvPr>
        <xdr:cNvSpPr>
          <a:spLocks noChangeAspect="1" noChangeArrowheads="1"/>
        </xdr:cNvSpPr>
      </xdr:nvSpPr>
      <xdr:spPr bwMode="auto">
        <a:xfrm>
          <a:off x="13411200" y="14184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152400</xdr:colOff>
      <xdr:row>692</xdr:row>
      <xdr:rowOff>106680</xdr:rowOff>
    </xdr:to>
    <xdr:sp macro="" textlink="">
      <xdr:nvSpPr>
        <xdr:cNvPr id="8847" name="AutoShape 1103" descr="BRAZIL"/>
        <xdr:cNvSpPr>
          <a:spLocks noChangeAspect="1" noChangeArrowheads="1"/>
        </xdr:cNvSpPr>
      </xdr:nvSpPr>
      <xdr:spPr bwMode="auto">
        <a:xfrm>
          <a:off x="0" y="142021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692</xdr:row>
      <xdr:rowOff>0</xdr:rowOff>
    </xdr:from>
    <xdr:to>
      <xdr:col>22</xdr:col>
      <xdr:colOff>304800</xdr:colOff>
      <xdr:row>693</xdr:row>
      <xdr:rowOff>129540</xdr:rowOff>
    </xdr:to>
    <xdr:sp macro="" textlink="">
      <xdr:nvSpPr>
        <xdr:cNvPr id="8848" name="AutoShape 1104" descr="https://www.soccerstats.com/img/own/sshplogo.png">
          <a:hlinkClick xmlns:r="http://schemas.openxmlformats.org/officeDocument/2006/relationships" r:id="rId722"/>
        </xdr:cNvPr>
        <xdr:cNvSpPr>
          <a:spLocks noChangeAspect="1" noChangeArrowheads="1"/>
        </xdr:cNvSpPr>
      </xdr:nvSpPr>
      <xdr:spPr bwMode="auto">
        <a:xfrm>
          <a:off x="13411200" y="142021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152400</xdr:colOff>
      <xdr:row>693</xdr:row>
      <xdr:rowOff>106680</xdr:rowOff>
    </xdr:to>
    <xdr:sp macro="" textlink="">
      <xdr:nvSpPr>
        <xdr:cNvPr id="8849" name="AutoShape 1105" descr="BRAZIL2"/>
        <xdr:cNvSpPr>
          <a:spLocks noChangeAspect="1" noChangeArrowheads="1"/>
        </xdr:cNvSpPr>
      </xdr:nvSpPr>
      <xdr:spPr bwMode="auto">
        <a:xfrm>
          <a:off x="0" y="142196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693</xdr:row>
      <xdr:rowOff>0</xdr:rowOff>
    </xdr:from>
    <xdr:to>
      <xdr:col>22</xdr:col>
      <xdr:colOff>304800</xdr:colOff>
      <xdr:row>694</xdr:row>
      <xdr:rowOff>129540</xdr:rowOff>
    </xdr:to>
    <xdr:sp macro="" textlink="">
      <xdr:nvSpPr>
        <xdr:cNvPr id="8850" name="AutoShape 1106" descr="https://www.soccerstats.com/img/own/sshplogo.png">
          <a:hlinkClick xmlns:r="http://schemas.openxmlformats.org/officeDocument/2006/relationships" r:id="rId723"/>
        </xdr:cNvPr>
        <xdr:cNvSpPr>
          <a:spLocks noChangeAspect="1" noChangeArrowheads="1"/>
        </xdr:cNvSpPr>
      </xdr:nvSpPr>
      <xdr:spPr bwMode="auto">
        <a:xfrm>
          <a:off x="13411200" y="142196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152400</xdr:colOff>
      <xdr:row>694</xdr:row>
      <xdr:rowOff>106680</xdr:rowOff>
    </xdr:to>
    <xdr:sp macro="" textlink="">
      <xdr:nvSpPr>
        <xdr:cNvPr id="8851" name="AutoShape 1107" descr="BRAZIL2"/>
        <xdr:cNvSpPr>
          <a:spLocks noChangeAspect="1" noChangeArrowheads="1"/>
        </xdr:cNvSpPr>
      </xdr:nvSpPr>
      <xdr:spPr bwMode="auto">
        <a:xfrm>
          <a:off x="0" y="142372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694</xdr:row>
      <xdr:rowOff>0</xdr:rowOff>
    </xdr:from>
    <xdr:to>
      <xdr:col>22</xdr:col>
      <xdr:colOff>304800</xdr:colOff>
      <xdr:row>695</xdr:row>
      <xdr:rowOff>129540</xdr:rowOff>
    </xdr:to>
    <xdr:sp macro="" textlink="">
      <xdr:nvSpPr>
        <xdr:cNvPr id="8852" name="AutoShape 1108" descr="https://www.soccerstats.com/img/own/sshplogo.png">
          <a:hlinkClick xmlns:r="http://schemas.openxmlformats.org/officeDocument/2006/relationships" r:id="rId724"/>
        </xdr:cNvPr>
        <xdr:cNvSpPr>
          <a:spLocks noChangeAspect="1" noChangeArrowheads="1"/>
        </xdr:cNvSpPr>
      </xdr:nvSpPr>
      <xdr:spPr bwMode="auto">
        <a:xfrm>
          <a:off x="13411200" y="142372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152400</xdr:colOff>
      <xdr:row>695</xdr:row>
      <xdr:rowOff>106680</xdr:rowOff>
    </xdr:to>
    <xdr:sp macro="" textlink="">
      <xdr:nvSpPr>
        <xdr:cNvPr id="8853" name="AutoShape 1109" descr="BRAZIL2"/>
        <xdr:cNvSpPr>
          <a:spLocks noChangeAspect="1" noChangeArrowheads="1"/>
        </xdr:cNvSpPr>
      </xdr:nvSpPr>
      <xdr:spPr bwMode="auto">
        <a:xfrm>
          <a:off x="0" y="142547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695</xdr:row>
      <xdr:rowOff>0</xdr:rowOff>
    </xdr:from>
    <xdr:to>
      <xdr:col>22</xdr:col>
      <xdr:colOff>304800</xdr:colOff>
      <xdr:row>696</xdr:row>
      <xdr:rowOff>53340</xdr:rowOff>
    </xdr:to>
    <xdr:sp macro="" textlink="">
      <xdr:nvSpPr>
        <xdr:cNvPr id="8854" name="AutoShape 1110" descr="https://www.soccerstats.com/img/own/sshplogo.png">
          <a:hlinkClick xmlns:r="http://schemas.openxmlformats.org/officeDocument/2006/relationships" r:id="rId725"/>
        </xdr:cNvPr>
        <xdr:cNvSpPr>
          <a:spLocks noChangeAspect="1" noChangeArrowheads="1"/>
        </xdr:cNvSpPr>
      </xdr:nvSpPr>
      <xdr:spPr bwMode="auto">
        <a:xfrm>
          <a:off x="13411200" y="142547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152400</xdr:colOff>
      <xdr:row>696</xdr:row>
      <xdr:rowOff>106680</xdr:rowOff>
    </xdr:to>
    <xdr:sp macro="" textlink="">
      <xdr:nvSpPr>
        <xdr:cNvPr id="8855" name="AutoShape 1111" descr="BRAZIL3"/>
        <xdr:cNvSpPr>
          <a:spLocks noChangeAspect="1" noChangeArrowheads="1"/>
        </xdr:cNvSpPr>
      </xdr:nvSpPr>
      <xdr:spPr bwMode="auto">
        <a:xfrm>
          <a:off x="0" y="142798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696</xdr:row>
      <xdr:rowOff>0</xdr:rowOff>
    </xdr:from>
    <xdr:to>
      <xdr:col>22</xdr:col>
      <xdr:colOff>304800</xdr:colOff>
      <xdr:row>697</xdr:row>
      <xdr:rowOff>129540</xdr:rowOff>
    </xdr:to>
    <xdr:sp macro="" textlink="">
      <xdr:nvSpPr>
        <xdr:cNvPr id="8856" name="AutoShape 1112" descr="https://www.soccerstats.com/img/own/sshplogo.png">
          <a:hlinkClick xmlns:r="http://schemas.openxmlformats.org/officeDocument/2006/relationships" r:id="rId726"/>
        </xdr:cNvPr>
        <xdr:cNvSpPr>
          <a:spLocks noChangeAspect="1" noChangeArrowheads="1"/>
        </xdr:cNvSpPr>
      </xdr:nvSpPr>
      <xdr:spPr bwMode="auto">
        <a:xfrm>
          <a:off x="13411200" y="14279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152400</xdr:colOff>
      <xdr:row>697</xdr:row>
      <xdr:rowOff>106680</xdr:rowOff>
    </xdr:to>
    <xdr:sp macro="" textlink="">
      <xdr:nvSpPr>
        <xdr:cNvPr id="8857" name="AutoShape 1113" descr="BRAZIL3"/>
        <xdr:cNvSpPr>
          <a:spLocks noChangeAspect="1" noChangeArrowheads="1"/>
        </xdr:cNvSpPr>
      </xdr:nvSpPr>
      <xdr:spPr bwMode="auto">
        <a:xfrm>
          <a:off x="0" y="142974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697</xdr:row>
      <xdr:rowOff>0</xdr:rowOff>
    </xdr:from>
    <xdr:to>
      <xdr:col>22</xdr:col>
      <xdr:colOff>304800</xdr:colOff>
      <xdr:row>698</xdr:row>
      <xdr:rowOff>129540</xdr:rowOff>
    </xdr:to>
    <xdr:sp macro="" textlink="">
      <xdr:nvSpPr>
        <xdr:cNvPr id="8858" name="AutoShape 1114" descr="https://www.soccerstats.com/img/own/sshplogo.png">
          <a:hlinkClick xmlns:r="http://schemas.openxmlformats.org/officeDocument/2006/relationships" r:id="rId727"/>
        </xdr:cNvPr>
        <xdr:cNvSpPr>
          <a:spLocks noChangeAspect="1" noChangeArrowheads="1"/>
        </xdr:cNvSpPr>
      </xdr:nvSpPr>
      <xdr:spPr bwMode="auto">
        <a:xfrm>
          <a:off x="13411200" y="142974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152400</xdr:colOff>
      <xdr:row>698</xdr:row>
      <xdr:rowOff>106680</xdr:rowOff>
    </xdr:to>
    <xdr:sp macro="" textlink="">
      <xdr:nvSpPr>
        <xdr:cNvPr id="8859" name="AutoShape 1115" descr="BRAZIL3"/>
        <xdr:cNvSpPr>
          <a:spLocks noChangeAspect="1" noChangeArrowheads="1"/>
        </xdr:cNvSpPr>
      </xdr:nvSpPr>
      <xdr:spPr bwMode="auto">
        <a:xfrm>
          <a:off x="0" y="143149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698</xdr:row>
      <xdr:rowOff>0</xdr:rowOff>
    </xdr:from>
    <xdr:to>
      <xdr:col>22</xdr:col>
      <xdr:colOff>304800</xdr:colOff>
      <xdr:row>699</xdr:row>
      <xdr:rowOff>129540</xdr:rowOff>
    </xdr:to>
    <xdr:sp macro="" textlink="">
      <xdr:nvSpPr>
        <xdr:cNvPr id="8860" name="AutoShape 1116" descr="https://www.soccerstats.com/img/own/sshplogo.png">
          <a:hlinkClick xmlns:r="http://schemas.openxmlformats.org/officeDocument/2006/relationships" r:id="rId728"/>
        </xdr:cNvPr>
        <xdr:cNvSpPr>
          <a:spLocks noChangeAspect="1" noChangeArrowheads="1"/>
        </xdr:cNvSpPr>
      </xdr:nvSpPr>
      <xdr:spPr bwMode="auto">
        <a:xfrm>
          <a:off x="13411200" y="143149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152400</xdr:colOff>
      <xdr:row>699</xdr:row>
      <xdr:rowOff>106680</xdr:rowOff>
    </xdr:to>
    <xdr:sp macro="" textlink="">
      <xdr:nvSpPr>
        <xdr:cNvPr id="8861" name="AutoShape 1117" descr="BRAZIL3"/>
        <xdr:cNvSpPr>
          <a:spLocks noChangeAspect="1" noChangeArrowheads="1"/>
        </xdr:cNvSpPr>
      </xdr:nvSpPr>
      <xdr:spPr bwMode="auto">
        <a:xfrm>
          <a:off x="0" y="143324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699</xdr:row>
      <xdr:rowOff>0</xdr:rowOff>
    </xdr:from>
    <xdr:to>
      <xdr:col>22</xdr:col>
      <xdr:colOff>304800</xdr:colOff>
      <xdr:row>700</xdr:row>
      <xdr:rowOff>129540</xdr:rowOff>
    </xdr:to>
    <xdr:sp macro="" textlink="">
      <xdr:nvSpPr>
        <xdr:cNvPr id="8862" name="AutoShape 1118" descr="https://www.soccerstats.com/img/own/sshplogo.png">
          <a:hlinkClick xmlns:r="http://schemas.openxmlformats.org/officeDocument/2006/relationships" r:id="rId729"/>
        </xdr:cNvPr>
        <xdr:cNvSpPr>
          <a:spLocks noChangeAspect="1" noChangeArrowheads="1"/>
        </xdr:cNvSpPr>
      </xdr:nvSpPr>
      <xdr:spPr bwMode="auto">
        <a:xfrm>
          <a:off x="13411200" y="143324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152400</xdr:colOff>
      <xdr:row>700</xdr:row>
      <xdr:rowOff>106680</xdr:rowOff>
    </xdr:to>
    <xdr:sp macro="" textlink="">
      <xdr:nvSpPr>
        <xdr:cNvPr id="8863" name="AutoShape 1119" descr="BRAZIL5"/>
        <xdr:cNvSpPr>
          <a:spLocks noChangeAspect="1" noChangeArrowheads="1"/>
        </xdr:cNvSpPr>
      </xdr:nvSpPr>
      <xdr:spPr bwMode="auto">
        <a:xfrm>
          <a:off x="0" y="143499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700</xdr:row>
      <xdr:rowOff>0</xdr:rowOff>
    </xdr:from>
    <xdr:to>
      <xdr:col>22</xdr:col>
      <xdr:colOff>304800</xdr:colOff>
      <xdr:row>701</xdr:row>
      <xdr:rowOff>129540</xdr:rowOff>
    </xdr:to>
    <xdr:sp macro="" textlink="">
      <xdr:nvSpPr>
        <xdr:cNvPr id="8864" name="AutoShape 1120" descr="https://www.soccerstats.com/img/own/sshplogo.png">
          <a:hlinkClick xmlns:r="http://schemas.openxmlformats.org/officeDocument/2006/relationships" r:id="rId730"/>
        </xdr:cNvPr>
        <xdr:cNvSpPr>
          <a:spLocks noChangeAspect="1" noChangeArrowheads="1"/>
        </xdr:cNvSpPr>
      </xdr:nvSpPr>
      <xdr:spPr bwMode="auto">
        <a:xfrm>
          <a:off x="13411200" y="143499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152400</xdr:colOff>
      <xdr:row>701</xdr:row>
      <xdr:rowOff>106680</xdr:rowOff>
    </xdr:to>
    <xdr:sp macro="" textlink="">
      <xdr:nvSpPr>
        <xdr:cNvPr id="8865" name="AutoShape 1121" descr="BRAZIL5"/>
        <xdr:cNvSpPr>
          <a:spLocks noChangeAspect="1" noChangeArrowheads="1"/>
        </xdr:cNvSpPr>
      </xdr:nvSpPr>
      <xdr:spPr bwMode="auto">
        <a:xfrm>
          <a:off x="0" y="143675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701</xdr:row>
      <xdr:rowOff>0</xdr:rowOff>
    </xdr:from>
    <xdr:to>
      <xdr:col>22</xdr:col>
      <xdr:colOff>304800</xdr:colOff>
      <xdr:row>702</xdr:row>
      <xdr:rowOff>129540</xdr:rowOff>
    </xdr:to>
    <xdr:sp macro="" textlink="">
      <xdr:nvSpPr>
        <xdr:cNvPr id="8866" name="AutoShape 1122" descr="https://www.soccerstats.com/img/own/sshplogo.png">
          <a:hlinkClick xmlns:r="http://schemas.openxmlformats.org/officeDocument/2006/relationships" r:id="rId731"/>
        </xdr:cNvPr>
        <xdr:cNvSpPr>
          <a:spLocks noChangeAspect="1" noChangeArrowheads="1"/>
        </xdr:cNvSpPr>
      </xdr:nvSpPr>
      <xdr:spPr bwMode="auto">
        <a:xfrm>
          <a:off x="13411200" y="143675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152400</xdr:colOff>
      <xdr:row>702</xdr:row>
      <xdr:rowOff>106680</xdr:rowOff>
    </xdr:to>
    <xdr:sp macro="" textlink="">
      <xdr:nvSpPr>
        <xdr:cNvPr id="8867" name="AutoShape 1123" descr="BRAZIL5"/>
        <xdr:cNvSpPr>
          <a:spLocks noChangeAspect="1" noChangeArrowheads="1"/>
        </xdr:cNvSpPr>
      </xdr:nvSpPr>
      <xdr:spPr bwMode="auto">
        <a:xfrm>
          <a:off x="0" y="143850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702</xdr:row>
      <xdr:rowOff>0</xdr:rowOff>
    </xdr:from>
    <xdr:to>
      <xdr:col>22</xdr:col>
      <xdr:colOff>304800</xdr:colOff>
      <xdr:row>703</xdr:row>
      <xdr:rowOff>129540</xdr:rowOff>
    </xdr:to>
    <xdr:sp macro="" textlink="">
      <xdr:nvSpPr>
        <xdr:cNvPr id="8868" name="AutoShape 1124" descr="https://www.soccerstats.com/img/own/sshplogo.png">
          <a:hlinkClick xmlns:r="http://schemas.openxmlformats.org/officeDocument/2006/relationships" r:id="rId732"/>
        </xdr:cNvPr>
        <xdr:cNvSpPr>
          <a:spLocks noChangeAspect="1" noChangeArrowheads="1"/>
        </xdr:cNvSpPr>
      </xdr:nvSpPr>
      <xdr:spPr bwMode="auto">
        <a:xfrm>
          <a:off x="13411200" y="143850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152400</xdr:colOff>
      <xdr:row>703</xdr:row>
      <xdr:rowOff>106680</xdr:rowOff>
    </xdr:to>
    <xdr:sp macro="" textlink="">
      <xdr:nvSpPr>
        <xdr:cNvPr id="8869" name="AutoShape 1125" descr="BULGARIA"/>
        <xdr:cNvSpPr>
          <a:spLocks noChangeAspect="1" noChangeArrowheads="1"/>
        </xdr:cNvSpPr>
      </xdr:nvSpPr>
      <xdr:spPr bwMode="auto">
        <a:xfrm>
          <a:off x="0" y="144025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703</xdr:row>
      <xdr:rowOff>0</xdr:rowOff>
    </xdr:from>
    <xdr:to>
      <xdr:col>22</xdr:col>
      <xdr:colOff>304800</xdr:colOff>
      <xdr:row>704</xdr:row>
      <xdr:rowOff>129540</xdr:rowOff>
    </xdr:to>
    <xdr:sp macro="" textlink="">
      <xdr:nvSpPr>
        <xdr:cNvPr id="8870" name="AutoShape 1126" descr="https://www.soccerstats.com/img/own/sshplogo.png">
          <a:hlinkClick xmlns:r="http://schemas.openxmlformats.org/officeDocument/2006/relationships" r:id="rId733"/>
        </xdr:cNvPr>
        <xdr:cNvSpPr>
          <a:spLocks noChangeAspect="1" noChangeArrowheads="1"/>
        </xdr:cNvSpPr>
      </xdr:nvSpPr>
      <xdr:spPr bwMode="auto">
        <a:xfrm>
          <a:off x="13411200" y="144025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152400</xdr:colOff>
      <xdr:row>704</xdr:row>
      <xdr:rowOff>106680</xdr:rowOff>
    </xdr:to>
    <xdr:sp macro="" textlink="">
      <xdr:nvSpPr>
        <xdr:cNvPr id="8871" name="AutoShape 1127" descr="BULGARIA"/>
        <xdr:cNvSpPr>
          <a:spLocks noChangeAspect="1" noChangeArrowheads="1"/>
        </xdr:cNvSpPr>
      </xdr:nvSpPr>
      <xdr:spPr bwMode="auto">
        <a:xfrm>
          <a:off x="0" y="144200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704</xdr:row>
      <xdr:rowOff>0</xdr:rowOff>
    </xdr:from>
    <xdr:to>
      <xdr:col>22</xdr:col>
      <xdr:colOff>304800</xdr:colOff>
      <xdr:row>705</xdr:row>
      <xdr:rowOff>129540</xdr:rowOff>
    </xdr:to>
    <xdr:sp macro="" textlink="">
      <xdr:nvSpPr>
        <xdr:cNvPr id="8872" name="AutoShape 1128" descr="https://www.soccerstats.com/img/own/sshplogo.png">
          <a:hlinkClick xmlns:r="http://schemas.openxmlformats.org/officeDocument/2006/relationships" r:id="rId734"/>
        </xdr:cNvPr>
        <xdr:cNvSpPr>
          <a:spLocks noChangeAspect="1" noChangeArrowheads="1"/>
        </xdr:cNvSpPr>
      </xdr:nvSpPr>
      <xdr:spPr bwMode="auto">
        <a:xfrm>
          <a:off x="13411200" y="144200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152400</xdr:colOff>
      <xdr:row>705</xdr:row>
      <xdr:rowOff>106680</xdr:rowOff>
    </xdr:to>
    <xdr:sp macro="" textlink="">
      <xdr:nvSpPr>
        <xdr:cNvPr id="8873" name="AutoShape 1129" descr="BULGARIA2"/>
        <xdr:cNvSpPr>
          <a:spLocks noChangeAspect="1" noChangeArrowheads="1"/>
        </xdr:cNvSpPr>
      </xdr:nvSpPr>
      <xdr:spPr bwMode="auto">
        <a:xfrm>
          <a:off x="0" y="144376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705</xdr:row>
      <xdr:rowOff>0</xdr:rowOff>
    </xdr:from>
    <xdr:to>
      <xdr:col>22</xdr:col>
      <xdr:colOff>304800</xdr:colOff>
      <xdr:row>706</xdr:row>
      <xdr:rowOff>53340</xdr:rowOff>
    </xdr:to>
    <xdr:sp macro="" textlink="">
      <xdr:nvSpPr>
        <xdr:cNvPr id="8874" name="AutoShape 1130" descr="https://www.soccerstats.com/img/own/sshplogo.png">
          <a:hlinkClick xmlns:r="http://schemas.openxmlformats.org/officeDocument/2006/relationships" r:id="rId735"/>
        </xdr:cNvPr>
        <xdr:cNvSpPr>
          <a:spLocks noChangeAspect="1" noChangeArrowheads="1"/>
        </xdr:cNvSpPr>
      </xdr:nvSpPr>
      <xdr:spPr bwMode="auto">
        <a:xfrm>
          <a:off x="13411200" y="144376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152400</xdr:colOff>
      <xdr:row>706</xdr:row>
      <xdr:rowOff>106680</xdr:rowOff>
    </xdr:to>
    <xdr:sp macro="" textlink="">
      <xdr:nvSpPr>
        <xdr:cNvPr id="8875" name="AutoShape 1131" descr="BULGARIA2"/>
        <xdr:cNvSpPr>
          <a:spLocks noChangeAspect="1" noChangeArrowheads="1"/>
        </xdr:cNvSpPr>
      </xdr:nvSpPr>
      <xdr:spPr bwMode="auto">
        <a:xfrm>
          <a:off x="0" y="144627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706</xdr:row>
      <xdr:rowOff>0</xdr:rowOff>
    </xdr:from>
    <xdr:to>
      <xdr:col>22</xdr:col>
      <xdr:colOff>304800</xdr:colOff>
      <xdr:row>707</xdr:row>
      <xdr:rowOff>53340</xdr:rowOff>
    </xdr:to>
    <xdr:sp macro="" textlink="">
      <xdr:nvSpPr>
        <xdr:cNvPr id="8876" name="AutoShape 1132" descr="https://www.soccerstats.com/img/own/sshplogo.png">
          <a:hlinkClick xmlns:r="http://schemas.openxmlformats.org/officeDocument/2006/relationships" r:id="rId736"/>
        </xdr:cNvPr>
        <xdr:cNvSpPr>
          <a:spLocks noChangeAspect="1" noChangeArrowheads="1"/>
        </xdr:cNvSpPr>
      </xdr:nvSpPr>
      <xdr:spPr bwMode="auto">
        <a:xfrm>
          <a:off x="13411200" y="14462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152400</xdr:colOff>
      <xdr:row>707</xdr:row>
      <xdr:rowOff>106680</xdr:rowOff>
    </xdr:to>
    <xdr:sp macro="" textlink="">
      <xdr:nvSpPr>
        <xdr:cNvPr id="8877" name="AutoShape 1133" descr="BULGARIA2"/>
        <xdr:cNvSpPr>
          <a:spLocks noChangeAspect="1" noChangeArrowheads="1"/>
        </xdr:cNvSpPr>
      </xdr:nvSpPr>
      <xdr:spPr bwMode="auto">
        <a:xfrm>
          <a:off x="0" y="144879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707</xdr:row>
      <xdr:rowOff>0</xdr:rowOff>
    </xdr:from>
    <xdr:to>
      <xdr:col>22</xdr:col>
      <xdr:colOff>304800</xdr:colOff>
      <xdr:row>708</xdr:row>
      <xdr:rowOff>129540</xdr:rowOff>
    </xdr:to>
    <xdr:sp macro="" textlink="">
      <xdr:nvSpPr>
        <xdr:cNvPr id="8878" name="AutoShape 1134" descr="https://www.soccerstats.com/img/own/sshplogo.png">
          <a:hlinkClick xmlns:r="http://schemas.openxmlformats.org/officeDocument/2006/relationships" r:id="rId737"/>
        </xdr:cNvPr>
        <xdr:cNvSpPr>
          <a:spLocks noChangeAspect="1" noChangeArrowheads="1"/>
        </xdr:cNvSpPr>
      </xdr:nvSpPr>
      <xdr:spPr bwMode="auto">
        <a:xfrm>
          <a:off x="13411200" y="144879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152400</xdr:colOff>
      <xdr:row>708</xdr:row>
      <xdr:rowOff>106680</xdr:rowOff>
    </xdr:to>
    <xdr:sp macro="" textlink="">
      <xdr:nvSpPr>
        <xdr:cNvPr id="8879" name="AutoShape 1135" descr="BULGARIA2"/>
        <xdr:cNvSpPr>
          <a:spLocks noChangeAspect="1" noChangeArrowheads="1"/>
        </xdr:cNvSpPr>
      </xdr:nvSpPr>
      <xdr:spPr bwMode="auto">
        <a:xfrm>
          <a:off x="0" y="145054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708</xdr:row>
      <xdr:rowOff>0</xdr:rowOff>
    </xdr:from>
    <xdr:to>
      <xdr:col>22</xdr:col>
      <xdr:colOff>304800</xdr:colOff>
      <xdr:row>709</xdr:row>
      <xdr:rowOff>129540</xdr:rowOff>
    </xdr:to>
    <xdr:sp macro="" textlink="">
      <xdr:nvSpPr>
        <xdr:cNvPr id="8880" name="AutoShape 1136" descr="https://www.soccerstats.com/img/own/sshplogo.png">
          <a:hlinkClick xmlns:r="http://schemas.openxmlformats.org/officeDocument/2006/relationships" r:id="rId738"/>
        </xdr:cNvPr>
        <xdr:cNvSpPr>
          <a:spLocks noChangeAspect="1" noChangeArrowheads="1"/>
        </xdr:cNvSpPr>
      </xdr:nvSpPr>
      <xdr:spPr bwMode="auto">
        <a:xfrm>
          <a:off x="13411200" y="145054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152400</xdr:colOff>
      <xdr:row>709</xdr:row>
      <xdr:rowOff>106680</xdr:rowOff>
    </xdr:to>
    <xdr:sp macro="" textlink="">
      <xdr:nvSpPr>
        <xdr:cNvPr id="8881" name="AutoShape 1137" descr="BULGARIA2"/>
        <xdr:cNvSpPr>
          <a:spLocks noChangeAspect="1" noChangeArrowheads="1"/>
        </xdr:cNvSpPr>
      </xdr:nvSpPr>
      <xdr:spPr bwMode="auto">
        <a:xfrm>
          <a:off x="0" y="145229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709</xdr:row>
      <xdr:rowOff>0</xdr:rowOff>
    </xdr:from>
    <xdr:to>
      <xdr:col>22</xdr:col>
      <xdr:colOff>304800</xdr:colOff>
      <xdr:row>710</xdr:row>
      <xdr:rowOff>129540</xdr:rowOff>
    </xdr:to>
    <xdr:sp macro="" textlink="">
      <xdr:nvSpPr>
        <xdr:cNvPr id="8882" name="AutoShape 1138" descr="https://www.soccerstats.com/img/own/sshplogo.png">
          <a:hlinkClick xmlns:r="http://schemas.openxmlformats.org/officeDocument/2006/relationships" r:id="rId739"/>
        </xdr:cNvPr>
        <xdr:cNvSpPr>
          <a:spLocks noChangeAspect="1" noChangeArrowheads="1"/>
        </xdr:cNvSpPr>
      </xdr:nvSpPr>
      <xdr:spPr bwMode="auto">
        <a:xfrm>
          <a:off x="13411200" y="145229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152400</xdr:colOff>
      <xdr:row>710</xdr:row>
      <xdr:rowOff>106680</xdr:rowOff>
    </xdr:to>
    <xdr:sp macro="" textlink="">
      <xdr:nvSpPr>
        <xdr:cNvPr id="8883" name="AutoShape 1139" descr="CANADA"/>
        <xdr:cNvSpPr>
          <a:spLocks noChangeAspect="1" noChangeArrowheads="1"/>
        </xdr:cNvSpPr>
      </xdr:nvSpPr>
      <xdr:spPr bwMode="auto">
        <a:xfrm>
          <a:off x="0" y="145404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710</xdr:row>
      <xdr:rowOff>0</xdr:rowOff>
    </xdr:from>
    <xdr:to>
      <xdr:col>22</xdr:col>
      <xdr:colOff>304800</xdr:colOff>
      <xdr:row>711</xdr:row>
      <xdr:rowOff>53340</xdr:rowOff>
    </xdr:to>
    <xdr:sp macro="" textlink="">
      <xdr:nvSpPr>
        <xdr:cNvPr id="8884" name="AutoShape 1140" descr="https://www.soccerstats.com/img/own/sshplogo.png">
          <a:hlinkClick xmlns:r="http://schemas.openxmlformats.org/officeDocument/2006/relationships" r:id="rId740"/>
        </xdr:cNvPr>
        <xdr:cNvSpPr>
          <a:spLocks noChangeAspect="1" noChangeArrowheads="1"/>
        </xdr:cNvSpPr>
      </xdr:nvSpPr>
      <xdr:spPr bwMode="auto">
        <a:xfrm>
          <a:off x="13411200" y="145404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152400</xdr:colOff>
      <xdr:row>711</xdr:row>
      <xdr:rowOff>106680</xdr:rowOff>
    </xdr:to>
    <xdr:sp macro="" textlink="">
      <xdr:nvSpPr>
        <xdr:cNvPr id="8885" name="AutoShape 1141" descr="CANADA"/>
        <xdr:cNvSpPr>
          <a:spLocks noChangeAspect="1" noChangeArrowheads="1"/>
        </xdr:cNvSpPr>
      </xdr:nvSpPr>
      <xdr:spPr bwMode="auto">
        <a:xfrm>
          <a:off x="0" y="145656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711</xdr:row>
      <xdr:rowOff>0</xdr:rowOff>
    </xdr:from>
    <xdr:to>
      <xdr:col>22</xdr:col>
      <xdr:colOff>304800</xdr:colOff>
      <xdr:row>712</xdr:row>
      <xdr:rowOff>53340</xdr:rowOff>
    </xdr:to>
    <xdr:sp macro="" textlink="">
      <xdr:nvSpPr>
        <xdr:cNvPr id="8886" name="AutoShape 1142" descr="https://www.soccerstats.com/img/own/sshplogo.png">
          <a:hlinkClick xmlns:r="http://schemas.openxmlformats.org/officeDocument/2006/relationships" r:id="rId741"/>
        </xdr:cNvPr>
        <xdr:cNvSpPr>
          <a:spLocks noChangeAspect="1" noChangeArrowheads="1"/>
        </xdr:cNvSpPr>
      </xdr:nvSpPr>
      <xdr:spPr bwMode="auto">
        <a:xfrm>
          <a:off x="13411200" y="14565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152400</xdr:colOff>
      <xdr:row>712</xdr:row>
      <xdr:rowOff>106680</xdr:rowOff>
    </xdr:to>
    <xdr:sp macro="" textlink="">
      <xdr:nvSpPr>
        <xdr:cNvPr id="8887" name="AutoShape 1143" descr="CHILE"/>
        <xdr:cNvSpPr>
          <a:spLocks noChangeAspect="1" noChangeArrowheads="1"/>
        </xdr:cNvSpPr>
      </xdr:nvSpPr>
      <xdr:spPr bwMode="auto">
        <a:xfrm>
          <a:off x="0" y="145907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712</xdr:row>
      <xdr:rowOff>0</xdr:rowOff>
    </xdr:from>
    <xdr:to>
      <xdr:col>22</xdr:col>
      <xdr:colOff>304800</xdr:colOff>
      <xdr:row>713</xdr:row>
      <xdr:rowOff>53340</xdr:rowOff>
    </xdr:to>
    <xdr:sp macro="" textlink="">
      <xdr:nvSpPr>
        <xdr:cNvPr id="8888" name="AutoShape 1144" descr="https://www.soccerstats.com/img/own/sshplogo.png">
          <a:hlinkClick xmlns:r="http://schemas.openxmlformats.org/officeDocument/2006/relationships" r:id="rId742"/>
        </xdr:cNvPr>
        <xdr:cNvSpPr>
          <a:spLocks noChangeAspect="1" noChangeArrowheads="1"/>
        </xdr:cNvSpPr>
      </xdr:nvSpPr>
      <xdr:spPr bwMode="auto">
        <a:xfrm>
          <a:off x="13411200" y="145907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152400</xdr:colOff>
      <xdr:row>713</xdr:row>
      <xdr:rowOff>106680</xdr:rowOff>
    </xdr:to>
    <xdr:sp macro="" textlink="">
      <xdr:nvSpPr>
        <xdr:cNvPr id="8889" name="AutoShape 1145" descr="CHILE"/>
        <xdr:cNvSpPr>
          <a:spLocks noChangeAspect="1" noChangeArrowheads="1"/>
        </xdr:cNvSpPr>
      </xdr:nvSpPr>
      <xdr:spPr bwMode="auto">
        <a:xfrm>
          <a:off x="0" y="146159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713</xdr:row>
      <xdr:rowOff>0</xdr:rowOff>
    </xdr:from>
    <xdr:to>
      <xdr:col>22</xdr:col>
      <xdr:colOff>304800</xdr:colOff>
      <xdr:row>714</xdr:row>
      <xdr:rowOff>53340</xdr:rowOff>
    </xdr:to>
    <xdr:sp macro="" textlink="">
      <xdr:nvSpPr>
        <xdr:cNvPr id="8890" name="AutoShape 1146" descr="https://www.soccerstats.com/img/own/sshplogo.png">
          <a:hlinkClick xmlns:r="http://schemas.openxmlformats.org/officeDocument/2006/relationships" r:id="rId743"/>
        </xdr:cNvPr>
        <xdr:cNvSpPr>
          <a:spLocks noChangeAspect="1" noChangeArrowheads="1"/>
        </xdr:cNvSpPr>
      </xdr:nvSpPr>
      <xdr:spPr bwMode="auto">
        <a:xfrm>
          <a:off x="13411200" y="146159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152400</xdr:colOff>
      <xdr:row>714</xdr:row>
      <xdr:rowOff>106680</xdr:rowOff>
    </xdr:to>
    <xdr:sp macro="" textlink="">
      <xdr:nvSpPr>
        <xdr:cNvPr id="8891" name="AutoShape 1147" descr="CHILE"/>
        <xdr:cNvSpPr>
          <a:spLocks noChangeAspect="1" noChangeArrowheads="1"/>
        </xdr:cNvSpPr>
      </xdr:nvSpPr>
      <xdr:spPr bwMode="auto">
        <a:xfrm>
          <a:off x="0" y="146410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714</xdr:row>
      <xdr:rowOff>0</xdr:rowOff>
    </xdr:from>
    <xdr:to>
      <xdr:col>22</xdr:col>
      <xdr:colOff>304800</xdr:colOff>
      <xdr:row>715</xdr:row>
      <xdr:rowOff>129540</xdr:rowOff>
    </xdr:to>
    <xdr:sp macro="" textlink="">
      <xdr:nvSpPr>
        <xdr:cNvPr id="8892" name="AutoShape 1148" descr="https://www.soccerstats.com/img/own/sshplogo.png">
          <a:hlinkClick xmlns:r="http://schemas.openxmlformats.org/officeDocument/2006/relationships" r:id="rId744"/>
        </xdr:cNvPr>
        <xdr:cNvSpPr>
          <a:spLocks noChangeAspect="1" noChangeArrowheads="1"/>
        </xdr:cNvSpPr>
      </xdr:nvSpPr>
      <xdr:spPr bwMode="auto">
        <a:xfrm>
          <a:off x="13411200" y="146410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152400</xdr:colOff>
      <xdr:row>715</xdr:row>
      <xdr:rowOff>106680</xdr:rowOff>
    </xdr:to>
    <xdr:sp macro="" textlink="">
      <xdr:nvSpPr>
        <xdr:cNvPr id="8893" name="AutoShape 1149" descr="CHILE"/>
        <xdr:cNvSpPr>
          <a:spLocks noChangeAspect="1" noChangeArrowheads="1"/>
        </xdr:cNvSpPr>
      </xdr:nvSpPr>
      <xdr:spPr bwMode="auto">
        <a:xfrm>
          <a:off x="0" y="146585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715</xdr:row>
      <xdr:rowOff>0</xdr:rowOff>
    </xdr:from>
    <xdr:to>
      <xdr:col>22</xdr:col>
      <xdr:colOff>304800</xdr:colOff>
      <xdr:row>716</xdr:row>
      <xdr:rowOff>129540</xdr:rowOff>
    </xdr:to>
    <xdr:sp macro="" textlink="">
      <xdr:nvSpPr>
        <xdr:cNvPr id="8894" name="AutoShape 1150" descr="https://www.soccerstats.com/img/own/sshplogo.png">
          <a:hlinkClick xmlns:r="http://schemas.openxmlformats.org/officeDocument/2006/relationships" r:id="rId745"/>
        </xdr:cNvPr>
        <xdr:cNvSpPr>
          <a:spLocks noChangeAspect="1" noChangeArrowheads="1"/>
        </xdr:cNvSpPr>
      </xdr:nvSpPr>
      <xdr:spPr bwMode="auto">
        <a:xfrm>
          <a:off x="13411200" y="146585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152400</xdr:colOff>
      <xdr:row>716</xdr:row>
      <xdr:rowOff>106680</xdr:rowOff>
    </xdr:to>
    <xdr:sp macro="" textlink="">
      <xdr:nvSpPr>
        <xdr:cNvPr id="8895" name="AutoShape 1151" descr="CHILE2"/>
        <xdr:cNvSpPr>
          <a:spLocks noChangeAspect="1" noChangeArrowheads="1"/>
        </xdr:cNvSpPr>
      </xdr:nvSpPr>
      <xdr:spPr bwMode="auto">
        <a:xfrm>
          <a:off x="0" y="146761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716</xdr:row>
      <xdr:rowOff>0</xdr:rowOff>
    </xdr:from>
    <xdr:to>
      <xdr:col>22</xdr:col>
      <xdr:colOff>304800</xdr:colOff>
      <xdr:row>717</xdr:row>
      <xdr:rowOff>53340</xdr:rowOff>
    </xdr:to>
    <xdr:sp macro="" textlink="">
      <xdr:nvSpPr>
        <xdr:cNvPr id="8896" name="AutoShape 1152" descr="https://www.soccerstats.com/img/own/sshplogo.png">
          <a:hlinkClick xmlns:r="http://schemas.openxmlformats.org/officeDocument/2006/relationships" r:id="rId746"/>
        </xdr:cNvPr>
        <xdr:cNvSpPr>
          <a:spLocks noChangeAspect="1" noChangeArrowheads="1"/>
        </xdr:cNvSpPr>
      </xdr:nvSpPr>
      <xdr:spPr bwMode="auto">
        <a:xfrm>
          <a:off x="13411200" y="146761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152400</xdr:colOff>
      <xdr:row>717</xdr:row>
      <xdr:rowOff>106680</xdr:rowOff>
    </xdr:to>
    <xdr:sp macro="" textlink="">
      <xdr:nvSpPr>
        <xdr:cNvPr id="8897" name="AutoShape 1153" descr="CHILE2"/>
        <xdr:cNvSpPr>
          <a:spLocks noChangeAspect="1" noChangeArrowheads="1"/>
        </xdr:cNvSpPr>
      </xdr:nvSpPr>
      <xdr:spPr bwMode="auto">
        <a:xfrm>
          <a:off x="0" y="147012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717</xdr:row>
      <xdr:rowOff>0</xdr:rowOff>
    </xdr:from>
    <xdr:to>
      <xdr:col>22</xdr:col>
      <xdr:colOff>304800</xdr:colOff>
      <xdr:row>718</xdr:row>
      <xdr:rowOff>129540</xdr:rowOff>
    </xdr:to>
    <xdr:sp macro="" textlink="">
      <xdr:nvSpPr>
        <xdr:cNvPr id="8898" name="AutoShape 1154" descr="https://www.soccerstats.com/img/own/sshplogo.png">
          <a:hlinkClick xmlns:r="http://schemas.openxmlformats.org/officeDocument/2006/relationships" r:id="rId747"/>
        </xdr:cNvPr>
        <xdr:cNvSpPr>
          <a:spLocks noChangeAspect="1" noChangeArrowheads="1"/>
        </xdr:cNvSpPr>
      </xdr:nvSpPr>
      <xdr:spPr bwMode="auto">
        <a:xfrm>
          <a:off x="13411200" y="147012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152400</xdr:colOff>
      <xdr:row>718</xdr:row>
      <xdr:rowOff>106680</xdr:rowOff>
    </xdr:to>
    <xdr:sp macro="" textlink="">
      <xdr:nvSpPr>
        <xdr:cNvPr id="8899" name="AutoShape 1155" descr="CHILE2"/>
        <xdr:cNvSpPr>
          <a:spLocks noChangeAspect="1" noChangeArrowheads="1"/>
        </xdr:cNvSpPr>
      </xdr:nvSpPr>
      <xdr:spPr bwMode="auto">
        <a:xfrm>
          <a:off x="0" y="147187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718</xdr:row>
      <xdr:rowOff>0</xdr:rowOff>
    </xdr:from>
    <xdr:to>
      <xdr:col>22</xdr:col>
      <xdr:colOff>304800</xdr:colOff>
      <xdr:row>719</xdr:row>
      <xdr:rowOff>129540</xdr:rowOff>
    </xdr:to>
    <xdr:sp macro="" textlink="">
      <xdr:nvSpPr>
        <xdr:cNvPr id="8900" name="AutoShape 1156" descr="https://www.soccerstats.com/img/own/sshplogo.png">
          <a:hlinkClick xmlns:r="http://schemas.openxmlformats.org/officeDocument/2006/relationships" r:id="rId748"/>
        </xdr:cNvPr>
        <xdr:cNvSpPr>
          <a:spLocks noChangeAspect="1" noChangeArrowheads="1"/>
        </xdr:cNvSpPr>
      </xdr:nvSpPr>
      <xdr:spPr bwMode="auto">
        <a:xfrm>
          <a:off x="13411200" y="147187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152400</xdr:colOff>
      <xdr:row>719</xdr:row>
      <xdr:rowOff>106680</xdr:rowOff>
    </xdr:to>
    <xdr:sp macro="" textlink="">
      <xdr:nvSpPr>
        <xdr:cNvPr id="8901" name="AutoShape 1157" descr="CHINA2"/>
        <xdr:cNvSpPr>
          <a:spLocks noChangeAspect="1" noChangeArrowheads="1"/>
        </xdr:cNvSpPr>
      </xdr:nvSpPr>
      <xdr:spPr bwMode="auto">
        <a:xfrm>
          <a:off x="0" y="147363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719</xdr:row>
      <xdr:rowOff>0</xdr:rowOff>
    </xdr:from>
    <xdr:to>
      <xdr:col>22</xdr:col>
      <xdr:colOff>304800</xdr:colOff>
      <xdr:row>720</xdr:row>
      <xdr:rowOff>53340</xdr:rowOff>
    </xdr:to>
    <xdr:sp macro="" textlink="">
      <xdr:nvSpPr>
        <xdr:cNvPr id="8902" name="AutoShape 1158" descr="https://www.soccerstats.com/img/own/sshplogo.png">
          <a:hlinkClick xmlns:r="http://schemas.openxmlformats.org/officeDocument/2006/relationships" r:id="rId749"/>
        </xdr:cNvPr>
        <xdr:cNvSpPr>
          <a:spLocks noChangeAspect="1" noChangeArrowheads="1"/>
        </xdr:cNvSpPr>
      </xdr:nvSpPr>
      <xdr:spPr bwMode="auto">
        <a:xfrm>
          <a:off x="13411200" y="147363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152400</xdr:colOff>
      <xdr:row>720</xdr:row>
      <xdr:rowOff>106680</xdr:rowOff>
    </xdr:to>
    <xdr:sp macro="" textlink="">
      <xdr:nvSpPr>
        <xdr:cNvPr id="8903" name="AutoShape 1159" descr="CHINA2"/>
        <xdr:cNvSpPr>
          <a:spLocks noChangeAspect="1" noChangeArrowheads="1"/>
        </xdr:cNvSpPr>
      </xdr:nvSpPr>
      <xdr:spPr bwMode="auto">
        <a:xfrm>
          <a:off x="0" y="147614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720</xdr:row>
      <xdr:rowOff>0</xdr:rowOff>
    </xdr:from>
    <xdr:to>
      <xdr:col>22</xdr:col>
      <xdr:colOff>304800</xdr:colOff>
      <xdr:row>721</xdr:row>
      <xdr:rowOff>53340</xdr:rowOff>
    </xdr:to>
    <xdr:sp macro="" textlink="">
      <xdr:nvSpPr>
        <xdr:cNvPr id="8904" name="AutoShape 1160" descr="https://www.soccerstats.com/img/own/sshplogo.png">
          <a:hlinkClick xmlns:r="http://schemas.openxmlformats.org/officeDocument/2006/relationships" r:id="rId750"/>
        </xdr:cNvPr>
        <xdr:cNvSpPr>
          <a:spLocks noChangeAspect="1" noChangeArrowheads="1"/>
        </xdr:cNvSpPr>
      </xdr:nvSpPr>
      <xdr:spPr bwMode="auto">
        <a:xfrm>
          <a:off x="13411200" y="147614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152400</xdr:colOff>
      <xdr:row>721</xdr:row>
      <xdr:rowOff>106680</xdr:rowOff>
    </xdr:to>
    <xdr:sp macro="" textlink="">
      <xdr:nvSpPr>
        <xdr:cNvPr id="8905" name="AutoShape 1161" descr="CHINA2"/>
        <xdr:cNvSpPr>
          <a:spLocks noChangeAspect="1" noChangeArrowheads="1"/>
        </xdr:cNvSpPr>
      </xdr:nvSpPr>
      <xdr:spPr bwMode="auto">
        <a:xfrm>
          <a:off x="0" y="147866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721</xdr:row>
      <xdr:rowOff>0</xdr:rowOff>
    </xdr:from>
    <xdr:to>
      <xdr:col>22</xdr:col>
      <xdr:colOff>304800</xdr:colOff>
      <xdr:row>722</xdr:row>
      <xdr:rowOff>53340</xdr:rowOff>
    </xdr:to>
    <xdr:sp macro="" textlink="">
      <xdr:nvSpPr>
        <xdr:cNvPr id="8906" name="AutoShape 1162" descr="https://www.soccerstats.com/img/own/sshplogo.png">
          <a:hlinkClick xmlns:r="http://schemas.openxmlformats.org/officeDocument/2006/relationships" r:id="rId751"/>
        </xdr:cNvPr>
        <xdr:cNvSpPr>
          <a:spLocks noChangeAspect="1" noChangeArrowheads="1"/>
        </xdr:cNvSpPr>
      </xdr:nvSpPr>
      <xdr:spPr bwMode="auto">
        <a:xfrm>
          <a:off x="13411200" y="147866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152400</xdr:colOff>
      <xdr:row>722</xdr:row>
      <xdr:rowOff>106680</xdr:rowOff>
    </xdr:to>
    <xdr:sp macro="" textlink="">
      <xdr:nvSpPr>
        <xdr:cNvPr id="8907" name="AutoShape 1163" descr="CHINA2"/>
        <xdr:cNvSpPr>
          <a:spLocks noChangeAspect="1" noChangeArrowheads="1"/>
        </xdr:cNvSpPr>
      </xdr:nvSpPr>
      <xdr:spPr bwMode="auto">
        <a:xfrm>
          <a:off x="0" y="148117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722</xdr:row>
      <xdr:rowOff>0</xdr:rowOff>
    </xdr:from>
    <xdr:to>
      <xdr:col>22</xdr:col>
      <xdr:colOff>304800</xdr:colOff>
      <xdr:row>723</xdr:row>
      <xdr:rowOff>129540</xdr:rowOff>
    </xdr:to>
    <xdr:sp macro="" textlink="">
      <xdr:nvSpPr>
        <xdr:cNvPr id="8908" name="AutoShape 1164" descr="https://www.soccerstats.com/img/own/sshplogo.png">
          <a:hlinkClick xmlns:r="http://schemas.openxmlformats.org/officeDocument/2006/relationships" r:id="rId752"/>
        </xdr:cNvPr>
        <xdr:cNvSpPr>
          <a:spLocks noChangeAspect="1" noChangeArrowheads="1"/>
        </xdr:cNvSpPr>
      </xdr:nvSpPr>
      <xdr:spPr bwMode="auto">
        <a:xfrm>
          <a:off x="13411200" y="148117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152400</xdr:colOff>
      <xdr:row>723</xdr:row>
      <xdr:rowOff>106680</xdr:rowOff>
    </xdr:to>
    <xdr:sp macro="" textlink="">
      <xdr:nvSpPr>
        <xdr:cNvPr id="8909" name="AutoShape 1165" descr="COLOMBIA2"/>
        <xdr:cNvSpPr>
          <a:spLocks noChangeAspect="1" noChangeArrowheads="1"/>
        </xdr:cNvSpPr>
      </xdr:nvSpPr>
      <xdr:spPr bwMode="auto">
        <a:xfrm>
          <a:off x="0" y="148292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723</xdr:row>
      <xdr:rowOff>0</xdr:rowOff>
    </xdr:from>
    <xdr:to>
      <xdr:col>22</xdr:col>
      <xdr:colOff>304800</xdr:colOff>
      <xdr:row>724</xdr:row>
      <xdr:rowOff>129540</xdr:rowOff>
    </xdr:to>
    <xdr:sp macro="" textlink="">
      <xdr:nvSpPr>
        <xdr:cNvPr id="8910" name="AutoShape 1166" descr="https://www.soccerstats.com/img/own/sshplogo.png">
          <a:hlinkClick xmlns:r="http://schemas.openxmlformats.org/officeDocument/2006/relationships" r:id="rId753"/>
        </xdr:cNvPr>
        <xdr:cNvSpPr>
          <a:spLocks noChangeAspect="1" noChangeArrowheads="1"/>
        </xdr:cNvSpPr>
      </xdr:nvSpPr>
      <xdr:spPr bwMode="auto">
        <a:xfrm>
          <a:off x="13411200" y="148292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152400</xdr:colOff>
      <xdr:row>724</xdr:row>
      <xdr:rowOff>106680</xdr:rowOff>
    </xdr:to>
    <xdr:sp macro="" textlink="">
      <xdr:nvSpPr>
        <xdr:cNvPr id="8911" name="AutoShape 1167" descr="COLOMBIA2"/>
        <xdr:cNvSpPr>
          <a:spLocks noChangeAspect="1" noChangeArrowheads="1"/>
        </xdr:cNvSpPr>
      </xdr:nvSpPr>
      <xdr:spPr bwMode="auto">
        <a:xfrm>
          <a:off x="0" y="148468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724</xdr:row>
      <xdr:rowOff>0</xdr:rowOff>
    </xdr:from>
    <xdr:to>
      <xdr:col>22</xdr:col>
      <xdr:colOff>304800</xdr:colOff>
      <xdr:row>725</xdr:row>
      <xdr:rowOff>53340</xdr:rowOff>
    </xdr:to>
    <xdr:sp macro="" textlink="">
      <xdr:nvSpPr>
        <xdr:cNvPr id="8912" name="AutoShape 1168" descr="https://www.soccerstats.com/img/own/sshplogo.png">
          <a:hlinkClick xmlns:r="http://schemas.openxmlformats.org/officeDocument/2006/relationships" r:id="rId754"/>
        </xdr:cNvPr>
        <xdr:cNvSpPr>
          <a:spLocks noChangeAspect="1" noChangeArrowheads="1"/>
        </xdr:cNvSpPr>
      </xdr:nvSpPr>
      <xdr:spPr bwMode="auto">
        <a:xfrm>
          <a:off x="13411200" y="148468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152400</xdr:colOff>
      <xdr:row>725</xdr:row>
      <xdr:rowOff>106680</xdr:rowOff>
    </xdr:to>
    <xdr:sp macro="" textlink="">
      <xdr:nvSpPr>
        <xdr:cNvPr id="8913" name="AutoShape 1169" descr="COLOMBIA2"/>
        <xdr:cNvSpPr>
          <a:spLocks noChangeAspect="1" noChangeArrowheads="1"/>
        </xdr:cNvSpPr>
      </xdr:nvSpPr>
      <xdr:spPr bwMode="auto">
        <a:xfrm>
          <a:off x="0" y="148719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725</xdr:row>
      <xdr:rowOff>0</xdr:rowOff>
    </xdr:from>
    <xdr:to>
      <xdr:col>22</xdr:col>
      <xdr:colOff>304800</xdr:colOff>
      <xdr:row>726</xdr:row>
      <xdr:rowOff>53340</xdr:rowOff>
    </xdr:to>
    <xdr:sp macro="" textlink="">
      <xdr:nvSpPr>
        <xdr:cNvPr id="8914" name="AutoShape 1170" descr="https://www.soccerstats.com/img/own/sshplogo.png">
          <a:hlinkClick xmlns:r="http://schemas.openxmlformats.org/officeDocument/2006/relationships" r:id="rId755"/>
        </xdr:cNvPr>
        <xdr:cNvSpPr>
          <a:spLocks noChangeAspect="1" noChangeArrowheads="1"/>
        </xdr:cNvSpPr>
      </xdr:nvSpPr>
      <xdr:spPr bwMode="auto">
        <a:xfrm>
          <a:off x="13411200" y="148719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152400</xdr:colOff>
      <xdr:row>726</xdr:row>
      <xdr:rowOff>106680</xdr:rowOff>
    </xdr:to>
    <xdr:sp macro="" textlink="">
      <xdr:nvSpPr>
        <xdr:cNvPr id="8915" name="AutoShape 1171" descr="COSTARICA"/>
        <xdr:cNvSpPr>
          <a:spLocks noChangeAspect="1" noChangeArrowheads="1"/>
        </xdr:cNvSpPr>
      </xdr:nvSpPr>
      <xdr:spPr bwMode="auto">
        <a:xfrm>
          <a:off x="0" y="148971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726</xdr:row>
      <xdr:rowOff>0</xdr:rowOff>
    </xdr:from>
    <xdr:to>
      <xdr:col>22</xdr:col>
      <xdr:colOff>304800</xdr:colOff>
      <xdr:row>727</xdr:row>
      <xdr:rowOff>129540</xdr:rowOff>
    </xdr:to>
    <xdr:sp macro="" textlink="">
      <xdr:nvSpPr>
        <xdr:cNvPr id="8916" name="AutoShape 1172" descr="https://www.soccerstats.com/img/own/sshplogo.png">
          <a:hlinkClick xmlns:r="http://schemas.openxmlformats.org/officeDocument/2006/relationships" r:id="rId756"/>
        </xdr:cNvPr>
        <xdr:cNvSpPr>
          <a:spLocks noChangeAspect="1" noChangeArrowheads="1"/>
        </xdr:cNvSpPr>
      </xdr:nvSpPr>
      <xdr:spPr bwMode="auto">
        <a:xfrm>
          <a:off x="13411200" y="14897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152400</xdr:colOff>
      <xdr:row>727</xdr:row>
      <xdr:rowOff>106680</xdr:rowOff>
    </xdr:to>
    <xdr:sp macro="" textlink="">
      <xdr:nvSpPr>
        <xdr:cNvPr id="8917" name="AutoShape 1173" descr="COSTARICA"/>
        <xdr:cNvSpPr>
          <a:spLocks noChangeAspect="1" noChangeArrowheads="1"/>
        </xdr:cNvSpPr>
      </xdr:nvSpPr>
      <xdr:spPr bwMode="auto">
        <a:xfrm>
          <a:off x="0" y="149146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727</xdr:row>
      <xdr:rowOff>0</xdr:rowOff>
    </xdr:from>
    <xdr:to>
      <xdr:col>22</xdr:col>
      <xdr:colOff>304800</xdr:colOff>
      <xdr:row>728</xdr:row>
      <xdr:rowOff>129540</xdr:rowOff>
    </xdr:to>
    <xdr:sp macro="" textlink="">
      <xdr:nvSpPr>
        <xdr:cNvPr id="8918" name="AutoShape 1174" descr="https://www.soccerstats.com/img/own/sshplogo.png">
          <a:hlinkClick xmlns:r="http://schemas.openxmlformats.org/officeDocument/2006/relationships" r:id="rId757"/>
        </xdr:cNvPr>
        <xdr:cNvSpPr>
          <a:spLocks noChangeAspect="1" noChangeArrowheads="1"/>
        </xdr:cNvSpPr>
      </xdr:nvSpPr>
      <xdr:spPr bwMode="auto">
        <a:xfrm>
          <a:off x="13411200" y="149146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152400</xdr:colOff>
      <xdr:row>728</xdr:row>
      <xdr:rowOff>106680</xdr:rowOff>
    </xdr:to>
    <xdr:sp macro="" textlink="">
      <xdr:nvSpPr>
        <xdr:cNvPr id="8919" name="AutoShape 1175" descr="CROATIA"/>
        <xdr:cNvSpPr>
          <a:spLocks noChangeAspect="1" noChangeArrowheads="1"/>
        </xdr:cNvSpPr>
      </xdr:nvSpPr>
      <xdr:spPr bwMode="auto">
        <a:xfrm>
          <a:off x="0" y="149321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728</xdr:row>
      <xdr:rowOff>0</xdr:rowOff>
    </xdr:from>
    <xdr:to>
      <xdr:col>22</xdr:col>
      <xdr:colOff>304800</xdr:colOff>
      <xdr:row>729</xdr:row>
      <xdr:rowOff>129540</xdr:rowOff>
    </xdr:to>
    <xdr:sp macro="" textlink="">
      <xdr:nvSpPr>
        <xdr:cNvPr id="8920" name="AutoShape 1176" descr="https://www.soccerstats.com/img/own/sshplogo.png">
          <a:hlinkClick xmlns:r="http://schemas.openxmlformats.org/officeDocument/2006/relationships" r:id="rId758"/>
        </xdr:cNvPr>
        <xdr:cNvSpPr>
          <a:spLocks noChangeAspect="1" noChangeArrowheads="1"/>
        </xdr:cNvSpPr>
      </xdr:nvSpPr>
      <xdr:spPr bwMode="auto">
        <a:xfrm>
          <a:off x="13411200" y="149321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152400</xdr:colOff>
      <xdr:row>729</xdr:row>
      <xdr:rowOff>106680</xdr:rowOff>
    </xdr:to>
    <xdr:sp macro="" textlink="">
      <xdr:nvSpPr>
        <xdr:cNvPr id="8921" name="AutoShape 1177" descr="CROATIA"/>
        <xdr:cNvSpPr>
          <a:spLocks noChangeAspect="1" noChangeArrowheads="1"/>
        </xdr:cNvSpPr>
      </xdr:nvSpPr>
      <xdr:spPr bwMode="auto">
        <a:xfrm>
          <a:off x="0" y="149496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729</xdr:row>
      <xdr:rowOff>0</xdr:rowOff>
    </xdr:from>
    <xdr:to>
      <xdr:col>22</xdr:col>
      <xdr:colOff>304800</xdr:colOff>
      <xdr:row>730</xdr:row>
      <xdr:rowOff>129540</xdr:rowOff>
    </xdr:to>
    <xdr:sp macro="" textlink="">
      <xdr:nvSpPr>
        <xdr:cNvPr id="8922" name="AutoShape 1178" descr="https://www.soccerstats.com/img/own/sshplogo.png">
          <a:hlinkClick xmlns:r="http://schemas.openxmlformats.org/officeDocument/2006/relationships" r:id="rId759"/>
        </xdr:cNvPr>
        <xdr:cNvSpPr>
          <a:spLocks noChangeAspect="1" noChangeArrowheads="1"/>
        </xdr:cNvSpPr>
      </xdr:nvSpPr>
      <xdr:spPr bwMode="auto">
        <a:xfrm>
          <a:off x="13411200" y="149496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152400</xdr:colOff>
      <xdr:row>730</xdr:row>
      <xdr:rowOff>106680</xdr:rowOff>
    </xdr:to>
    <xdr:sp macro="" textlink="">
      <xdr:nvSpPr>
        <xdr:cNvPr id="8923" name="AutoShape 1179" descr="CZECHREPUBLIC2"/>
        <xdr:cNvSpPr>
          <a:spLocks noChangeAspect="1" noChangeArrowheads="1"/>
        </xdr:cNvSpPr>
      </xdr:nvSpPr>
      <xdr:spPr bwMode="auto">
        <a:xfrm>
          <a:off x="0" y="149672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730</xdr:row>
      <xdr:rowOff>0</xdr:rowOff>
    </xdr:from>
    <xdr:to>
      <xdr:col>22</xdr:col>
      <xdr:colOff>304800</xdr:colOff>
      <xdr:row>731</xdr:row>
      <xdr:rowOff>53340</xdr:rowOff>
    </xdr:to>
    <xdr:sp macro="" textlink="">
      <xdr:nvSpPr>
        <xdr:cNvPr id="8924" name="AutoShape 1180" descr="https://www.soccerstats.com/img/own/sshplogo.png">
          <a:hlinkClick xmlns:r="http://schemas.openxmlformats.org/officeDocument/2006/relationships" r:id="rId760"/>
        </xdr:cNvPr>
        <xdr:cNvSpPr>
          <a:spLocks noChangeAspect="1" noChangeArrowheads="1"/>
        </xdr:cNvSpPr>
      </xdr:nvSpPr>
      <xdr:spPr bwMode="auto">
        <a:xfrm>
          <a:off x="13411200" y="149672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152400</xdr:colOff>
      <xdr:row>731</xdr:row>
      <xdr:rowOff>106680</xdr:rowOff>
    </xdr:to>
    <xdr:sp macro="" textlink="">
      <xdr:nvSpPr>
        <xdr:cNvPr id="8925" name="AutoShape 1181" descr="DENMARK"/>
        <xdr:cNvSpPr>
          <a:spLocks noChangeAspect="1" noChangeArrowheads="1"/>
        </xdr:cNvSpPr>
      </xdr:nvSpPr>
      <xdr:spPr bwMode="auto">
        <a:xfrm>
          <a:off x="0" y="149923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731</xdr:row>
      <xdr:rowOff>0</xdr:rowOff>
    </xdr:from>
    <xdr:to>
      <xdr:col>22</xdr:col>
      <xdr:colOff>304800</xdr:colOff>
      <xdr:row>732</xdr:row>
      <xdr:rowOff>129540</xdr:rowOff>
    </xdr:to>
    <xdr:sp macro="" textlink="">
      <xdr:nvSpPr>
        <xdr:cNvPr id="8926" name="AutoShape 1182" descr="https://www.soccerstats.com/img/own/sshplogo.png">
          <a:hlinkClick xmlns:r="http://schemas.openxmlformats.org/officeDocument/2006/relationships" r:id="rId761"/>
        </xdr:cNvPr>
        <xdr:cNvSpPr>
          <a:spLocks noChangeAspect="1" noChangeArrowheads="1"/>
        </xdr:cNvSpPr>
      </xdr:nvSpPr>
      <xdr:spPr bwMode="auto">
        <a:xfrm>
          <a:off x="13411200" y="14992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152400</xdr:colOff>
      <xdr:row>732</xdr:row>
      <xdr:rowOff>106680</xdr:rowOff>
    </xdr:to>
    <xdr:sp macro="" textlink="">
      <xdr:nvSpPr>
        <xdr:cNvPr id="8927" name="AutoShape 1183" descr="DENMARK"/>
        <xdr:cNvSpPr>
          <a:spLocks noChangeAspect="1" noChangeArrowheads="1"/>
        </xdr:cNvSpPr>
      </xdr:nvSpPr>
      <xdr:spPr bwMode="auto">
        <a:xfrm>
          <a:off x="0" y="150098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732</xdr:row>
      <xdr:rowOff>0</xdr:rowOff>
    </xdr:from>
    <xdr:to>
      <xdr:col>22</xdr:col>
      <xdr:colOff>304800</xdr:colOff>
      <xdr:row>733</xdr:row>
      <xdr:rowOff>129540</xdr:rowOff>
    </xdr:to>
    <xdr:sp macro="" textlink="">
      <xdr:nvSpPr>
        <xdr:cNvPr id="8928" name="AutoShape 1184" descr="https://www.soccerstats.com/img/own/sshplogo.png">
          <a:hlinkClick xmlns:r="http://schemas.openxmlformats.org/officeDocument/2006/relationships" r:id="rId762"/>
        </xdr:cNvPr>
        <xdr:cNvSpPr>
          <a:spLocks noChangeAspect="1" noChangeArrowheads="1"/>
        </xdr:cNvSpPr>
      </xdr:nvSpPr>
      <xdr:spPr bwMode="auto">
        <a:xfrm>
          <a:off x="13411200" y="150098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152400</xdr:colOff>
      <xdr:row>733</xdr:row>
      <xdr:rowOff>106680</xdr:rowOff>
    </xdr:to>
    <xdr:sp macro="" textlink="">
      <xdr:nvSpPr>
        <xdr:cNvPr id="8929" name="AutoShape 1185" descr="DENMARK"/>
        <xdr:cNvSpPr>
          <a:spLocks noChangeAspect="1" noChangeArrowheads="1"/>
        </xdr:cNvSpPr>
      </xdr:nvSpPr>
      <xdr:spPr bwMode="auto">
        <a:xfrm>
          <a:off x="0" y="150274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733</xdr:row>
      <xdr:rowOff>0</xdr:rowOff>
    </xdr:from>
    <xdr:to>
      <xdr:col>22</xdr:col>
      <xdr:colOff>304800</xdr:colOff>
      <xdr:row>734</xdr:row>
      <xdr:rowOff>53340</xdr:rowOff>
    </xdr:to>
    <xdr:sp macro="" textlink="">
      <xdr:nvSpPr>
        <xdr:cNvPr id="8930" name="AutoShape 1186" descr="https://www.soccerstats.com/img/own/sshplogo.png">
          <a:hlinkClick xmlns:r="http://schemas.openxmlformats.org/officeDocument/2006/relationships" r:id="rId763"/>
        </xdr:cNvPr>
        <xdr:cNvSpPr>
          <a:spLocks noChangeAspect="1" noChangeArrowheads="1"/>
        </xdr:cNvSpPr>
      </xdr:nvSpPr>
      <xdr:spPr bwMode="auto">
        <a:xfrm>
          <a:off x="13411200" y="150274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152400</xdr:colOff>
      <xdr:row>734</xdr:row>
      <xdr:rowOff>106680</xdr:rowOff>
    </xdr:to>
    <xdr:sp macro="" textlink="">
      <xdr:nvSpPr>
        <xdr:cNvPr id="8931" name="AutoShape 1187" descr="DENMARK"/>
        <xdr:cNvSpPr>
          <a:spLocks noChangeAspect="1" noChangeArrowheads="1"/>
        </xdr:cNvSpPr>
      </xdr:nvSpPr>
      <xdr:spPr bwMode="auto">
        <a:xfrm>
          <a:off x="0" y="150525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734</xdr:row>
      <xdr:rowOff>0</xdr:rowOff>
    </xdr:from>
    <xdr:to>
      <xdr:col>22</xdr:col>
      <xdr:colOff>304800</xdr:colOff>
      <xdr:row>735</xdr:row>
      <xdr:rowOff>53340</xdr:rowOff>
    </xdr:to>
    <xdr:sp macro="" textlink="">
      <xdr:nvSpPr>
        <xdr:cNvPr id="8932" name="AutoShape 1188" descr="https://www.soccerstats.com/img/own/sshplogo.png">
          <a:hlinkClick xmlns:r="http://schemas.openxmlformats.org/officeDocument/2006/relationships" r:id="rId764"/>
        </xdr:cNvPr>
        <xdr:cNvSpPr>
          <a:spLocks noChangeAspect="1" noChangeArrowheads="1"/>
        </xdr:cNvSpPr>
      </xdr:nvSpPr>
      <xdr:spPr bwMode="auto">
        <a:xfrm>
          <a:off x="13411200" y="150525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152400</xdr:colOff>
      <xdr:row>735</xdr:row>
      <xdr:rowOff>106680</xdr:rowOff>
    </xdr:to>
    <xdr:sp macro="" textlink="">
      <xdr:nvSpPr>
        <xdr:cNvPr id="8933" name="AutoShape 1189" descr="DENMARK2"/>
        <xdr:cNvSpPr>
          <a:spLocks noChangeAspect="1" noChangeArrowheads="1"/>
        </xdr:cNvSpPr>
      </xdr:nvSpPr>
      <xdr:spPr bwMode="auto">
        <a:xfrm>
          <a:off x="0" y="1507769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735</xdr:row>
      <xdr:rowOff>0</xdr:rowOff>
    </xdr:from>
    <xdr:to>
      <xdr:col>22</xdr:col>
      <xdr:colOff>304800</xdr:colOff>
      <xdr:row>736</xdr:row>
      <xdr:rowOff>53340</xdr:rowOff>
    </xdr:to>
    <xdr:sp macro="" textlink="">
      <xdr:nvSpPr>
        <xdr:cNvPr id="8934" name="AutoShape 1190" descr="https://www.soccerstats.com/img/own/sshplogo.png">
          <a:hlinkClick xmlns:r="http://schemas.openxmlformats.org/officeDocument/2006/relationships" r:id="rId765"/>
        </xdr:cNvPr>
        <xdr:cNvSpPr>
          <a:spLocks noChangeAspect="1" noChangeArrowheads="1"/>
        </xdr:cNvSpPr>
      </xdr:nvSpPr>
      <xdr:spPr bwMode="auto">
        <a:xfrm>
          <a:off x="13411200" y="1507769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152400</xdr:colOff>
      <xdr:row>736</xdr:row>
      <xdr:rowOff>106680</xdr:rowOff>
    </xdr:to>
    <xdr:sp macro="" textlink="">
      <xdr:nvSpPr>
        <xdr:cNvPr id="8935" name="AutoShape 1191" descr="ECUADOR"/>
        <xdr:cNvSpPr>
          <a:spLocks noChangeAspect="1" noChangeArrowheads="1"/>
        </xdr:cNvSpPr>
      </xdr:nvSpPr>
      <xdr:spPr bwMode="auto">
        <a:xfrm>
          <a:off x="0" y="151028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736</xdr:row>
      <xdr:rowOff>0</xdr:rowOff>
    </xdr:from>
    <xdr:to>
      <xdr:col>22</xdr:col>
      <xdr:colOff>304800</xdr:colOff>
      <xdr:row>737</xdr:row>
      <xdr:rowOff>129540</xdr:rowOff>
    </xdr:to>
    <xdr:sp macro="" textlink="">
      <xdr:nvSpPr>
        <xdr:cNvPr id="8936" name="AutoShape 1192" descr="https://www.soccerstats.com/img/own/sshplogo.png">
          <a:hlinkClick xmlns:r="http://schemas.openxmlformats.org/officeDocument/2006/relationships" r:id="rId766"/>
        </xdr:cNvPr>
        <xdr:cNvSpPr>
          <a:spLocks noChangeAspect="1" noChangeArrowheads="1"/>
        </xdr:cNvSpPr>
      </xdr:nvSpPr>
      <xdr:spPr bwMode="auto">
        <a:xfrm>
          <a:off x="13411200" y="15102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152400</xdr:colOff>
      <xdr:row>737</xdr:row>
      <xdr:rowOff>106680</xdr:rowOff>
    </xdr:to>
    <xdr:sp macro="" textlink="">
      <xdr:nvSpPr>
        <xdr:cNvPr id="8937" name="AutoShape 1193" descr="ECUADOR"/>
        <xdr:cNvSpPr>
          <a:spLocks noChangeAspect="1" noChangeArrowheads="1"/>
        </xdr:cNvSpPr>
      </xdr:nvSpPr>
      <xdr:spPr bwMode="auto">
        <a:xfrm>
          <a:off x="0" y="151203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737</xdr:row>
      <xdr:rowOff>0</xdr:rowOff>
    </xdr:from>
    <xdr:to>
      <xdr:col>22</xdr:col>
      <xdr:colOff>304800</xdr:colOff>
      <xdr:row>738</xdr:row>
      <xdr:rowOff>129540</xdr:rowOff>
    </xdr:to>
    <xdr:sp macro="" textlink="">
      <xdr:nvSpPr>
        <xdr:cNvPr id="8938" name="AutoShape 1194" descr="https://www.soccerstats.com/img/own/sshplogo.png">
          <a:hlinkClick xmlns:r="http://schemas.openxmlformats.org/officeDocument/2006/relationships" r:id="rId767"/>
        </xdr:cNvPr>
        <xdr:cNvSpPr>
          <a:spLocks noChangeAspect="1" noChangeArrowheads="1"/>
        </xdr:cNvSpPr>
      </xdr:nvSpPr>
      <xdr:spPr bwMode="auto">
        <a:xfrm>
          <a:off x="13411200" y="151203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152400</xdr:colOff>
      <xdr:row>738</xdr:row>
      <xdr:rowOff>106680</xdr:rowOff>
    </xdr:to>
    <xdr:sp macro="" textlink="">
      <xdr:nvSpPr>
        <xdr:cNvPr id="8939" name="AutoShape 1195" descr="ECUADOR"/>
        <xdr:cNvSpPr>
          <a:spLocks noChangeAspect="1" noChangeArrowheads="1"/>
        </xdr:cNvSpPr>
      </xdr:nvSpPr>
      <xdr:spPr bwMode="auto">
        <a:xfrm>
          <a:off x="0" y="151378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738</xdr:row>
      <xdr:rowOff>0</xdr:rowOff>
    </xdr:from>
    <xdr:to>
      <xdr:col>22</xdr:col>
      <xdr:colOff>304800</xdr:colOff>
      <xdr:row>739</xdr:row>
      <xdr:rowOff>129540</xdr:rowOff>
    </xdr:to>
    <xdr:sp macro="" textlink="">
      <xdr:nvSpPr>
        <xdr:cNvPr id="8940" name="AutoShape 1196" descr="https://www.soccerstats.com/img/own/sshplogo.png">
          <a:hlinkClick xmlns:r="http://schemas.openxmlformats.org/officeDocument/2006/relationships" r:id="rId768"/>
        </xdr:cNvPr>
        <xdr:cNvSpPr>
          <a:spLocks noChangeAspect="1" noChangeArrowheads="1"/>
        </xdr:cNvSpPr>
      </xdr:nvSpPr>
      <xdr:spPr bwMode="auto">
        <a:xfrm>
          <a:off x="13411200" y="151378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152400</xdr:colOff>
      <xdr:row>739</xdr:row>
      <xdr:rowOff>106680</xdr:rowOff>
    </xdr:to>
    <xdr:sp macro="" textlink="">
      <xdr:nvSpPr>
        <xdr:cNvPr id="8941" name="AutoShape 1197" descr="ESTONIA"/>
        <xdr:cNvSpPr>
          <a:spLocks noChangeAspect="1" noChangeArrowheads="1"/>
        </xdr:cNvSpPr>
      </xdr:nvSpPr>
      <xdr:spPr bwMode="auto">
        <a:xfrm>
          <a:off x="0" y="1515541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739</xdr:row>
      <xdr:rowOff>0</xdr:rowOff>
    </xdr:from>
    <xdr:to>
      <xdr:col>22</xdr:col>
      <xdr:colOff>304800</xdr:colOff>
      <xdr:row>740</xdr:row>
      <xdr:rowOff>129540</xdr:rowOff>
    </xdr:to>
    <xdr:sp macro="" textlink="">
      <xdr:nvSpPr>
        <xdr:cNvPr id="8942" name="AutoShape 1198" descr="https://www.soccerstats.com/img/own/sshplogo.png">
          <a:hlinkClick xmlns:r="http://schemas.openxmlformats.org/officeDocument/2006/relationships" r:id="rId769"/>
        </xdr:cNvPr>
        <xdr:cNvSpPr>
          <a:spLocks noChangeAspect="1" noChangeArrowheads="1"/>
        </xdr:cNvSpPr>
      </xdr:nvSpPr>
      <xdr:spPr bwMode="auto">
        <a:xfrm>
          <a:off x="13411200" y="1515541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152400</xdr:colOff>
      <xdr:row>740</xdr:row>
      <xdr:rowOff>106680</xdr:rowOff>
    </xdr:to>
    <xdr:sp macro="" textlink="">
      <xdr:nvSpPr>
        <xdr:cNvPr id="8943" name="AutoShape 1199" descr="ESTONIA"/>
        <xdr:cNvSpPr>
          <a:spLocks noChangeAspect="1" noChangeArrowheads="1"/>
        </xdr:cNvSpPr>
      </xdr:nvSpPr>
      <xdr:spPr bwMode="auto">
        <a:xfrm>
          <a:off x="0" y="151729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740</xdr:row>
      <xdr:rowOff>0</xdr:rowOff>
    </xdr:from>
    <xdr:to>
      <xdr:col>22</xdr:col>
      <xdr:colOff>304800</xdr:colOff>
      <xdr:row>741</xdr:row>
      <xdr:rowOff>129540</xdr:rowOff>
    </xdr:to>
    <xdr:sp macro="" textlink="">
      <xdr:nvSpPr>
        <xdr:cNvPr id="8944" name="AutoShape 1200" descr="https://www.soccerstats.com/img/own/sshplogo.png">
          <a:hlinkClick xmlns:r="http://schemas.openxmlformats.org/officeDocument/2006/relationships" r:id="rId770"/>
        </xdr:cNvPr>
        <xdr:cNvSpPr>
          <a:spLocks noChangeAspect="1" noChangeArrowheads="1"/>
        </xdr:cNvSpPr>
      </xdr:nvSpPr>
      <xdr:spPr bwMode="auto">
        <a:xfrm>
          <a:off x="13411200" y="151729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152400</xdr:colOff>
      <xdr:row>741</xdr:row>
      <xdr:rowOff>106680</xdr:rowOff>
    </xdr:to>
    <xdr:sp macro="" textlink="">
      <xdr:nvSpPr>
        <xdr:cNvPr id="8945" name="AutoShape 1201" descr="ESTONIA"/>
        <xdr:cNvSpPr>
          <a:spLocks noChangeAspect="1" noChangeArrowheads="1"/>
        </xdr:cNvSpPr>
      </xdr:nvSpPr>
      <xdr:spPr bwMode="auto">
        <a:xfrm>
          <a:off x="0" y="151904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741</xdr:row>
      <xdr:rowOff>0</xdr:rowOff>
    </xdr:from>
    <xdr:to>
      <xdr:col>22</xdr:col>
      <xdr:colOff>304800</xdr:colOff>
      <xdr:row>742</xdr:row>
      <xdr:rowOff>129540</xdr:rowOff>
    </xdr:to>
    <xdr:sp macro="" textlink="">
      <xdr:nvSpPr>
        <xdr:cNvPr id="8946" name="AutoShape 1202" descr="https://www.soccerstats.com/img/own/sshplogo.png">
          <a:hlinkClick xmlns:r="http://schemas.openxmlformats.org/officeDocument/2006/relationships" r:id="rId771"/>
        </xdr:cNvPr>
        <xdr:cNvSpPr>
          <a:spLocks noChangeAspect="1" noChangeArrowheads="1"/>
        </xdr:cNvSpPr>
      </xdr:nvSpPr>
      <xdr:spPr bwMode="auto">
        <a:xfrm>
          <a:off x="13411200" y="15190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152400</xdr:colOff>
      <xdr:row>742</xdr:row>
      <xdr:rowOff>106680</xdr:rowOff>
    </xdr:to>
    <xdr:sp macro="" textlink="">
      <xdr:nvSpPr>
        <xdr:cNvPr id="8947" name="AutoShape 1203" descr="ESTONIA"/>
        <xdr:cNvSpPr>
          <a:spLocks noChangeAspect="1" noChangeArrowheads="1"/>
        </xdr:cNvSpPr>
      </xdr:nvSpPr>
      <xdr:spPr bwMode="auto">
        <a:xfrm>
          <a:off x="0" y="152079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742</xdr:row>
      <xdr:rowOff>0</xdr:rowOff>
    </xdr:from>
    <xdr:to>
      <xdr:col>22</xdr:col>
      <xdr:colOff>304800</xdr:colOff>
      <xdr:row>743</xdr:row>
      <xdr:rowOff>129540</xdr:rowOff>
    </xdr:to>
    <xdr:sp macro="" textlink="">
      <xdr:nvSpPr>
        <xdr:cNvPr id="8948" name="AutoShape 1204" descr="https://www.soccerstats.com/img/own/sshplogo.png">
          <a:hlinkClick xmlns:r="http://schemas.openxmlformats.org/officeDocument/2006/relationships" r:id="rId772"/>
        </xdr:cNvPr>
        <xdr:cNvSpPr>
          <a:spLocks noChangeAspect="1" noChangeArrowheads="1"/>
        </xdr:cNvSpPr>
      </xdr:nvSpPr>
      <xdr:spPr bwMode="auto">
        <a:xfrm>
          <a:off x="13411200" y="152079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152400</xdr:colOff>
      <xdr:row>743</xdr:row>
      <xdr:rowOff>106680</xdr:rowOff>
    </xdr:to>
    <xdr:sp macro="" textlink="">
      <xdr:nvSpPr>
        <xdr:cNvPr id="8949" name="AutoShape 1205" descr="FAROEISLANDS"/>
        <xdr:cNvSpPr>
          <a:spLocks noChangeAspect="1" noChangeArrowheads="1"/>
        </xdr:cNvSpPr>
      </xdr:nvSpPr>
      <xdr:spPr bwMode="auto">
        <a:xfrm>
          <a:off x="0" y="152255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743</xdr:row>
      <xdr:rowOff>0</xdr:rowOff>
    </xdr:from>
    <xdr:to>
      <xdr:col>22</xdr:col>
      <xdr:colOff>304800</xdr:colOff>
      <xdr:row>744</xdr:row>
      <xdr:rowOff>129540</xdr:rowOff>
    </xdr:to>
    <xdr:sp macro="" textlink="">
      <xdr:nvSpPr>
        <xdr:cNvPr id="8950" name="AutoShape 1206" descr="https://www.soccerstats.com/img/own/sshplogo.png">
          <a:hlinkClick xmlns:r="http://schemas.openxmlformats.org/officeDocument/2006/relationships" r:id="rId773"/>
        </xdr:cNvPr>
        <xdr:cNvSpPr>
          <a:spLocks noChangeAspect="1" noChangeArrowheads="1"/>
        </xdr:cNvSpPr>
      </xdr:nvSpPr>
      <xdr:spPr bwMode="auto">
        <a:xfrm>
          <a:off x="13411200" y="152255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152400</xdr:colOff>
      <xdr:row>744</xdr:row>
      <xdr:rowOff>106680</xdr:rowOff>
    </xdr:to>
    <xdr:sp macro="" textlink="">
      <xdr:nvSpPr>
        <xdr:cNvPr id="8951" name="AutoShape 1207" descr="FAROEISLANDS"/>
        <xdr:cNvSpPr>
          <a:spLocks noChangeAspect="1" noChangeArrowheads="1"/>
        </xdr:cNvSpPr>
      </xdr:nvSpPr>
      <xdr:spPr bwMode="auto">
        <a:xfrm>
          <a:off x="0" y="152430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744</xdr:row>
      <xdr:rowOff>0</xdr:rowOff>
    </xdr:from>
    <xdr:to>
      <xdr:col>22</xdr:col>
      <xdr:colOff>304800</xdr:colOff>
      <xdr:row>745</xdr:row>
      <xdr:rowOff>129540</xdr:rowOff>
    </xdr:to>
    <xdr:sp macro="" textlink="">
      <xdr:nvSpPr>
        <xdr:cNvPr id="8952" name="AutoShape 1208" descr="https://www.soccerstats.com/img/own/sshplogo.png">
          <a:hlinkClick xmlns:r="http://schemas.openxmlformats.org/officeDocument/2006/relationships" r:id="rId774"/>
        </xdr:cNvPr>
        <xdr:cNvSpPr>
          <a:spLocks noChangeAspect="1" noChangeArrowheads="1"/>
        </xdr:cNvSpPr>
      </xdr:nvSpPr>
      <xdr:spPr bwMode="auto">
        <a:xfrm>
          <a:off x="13411200" y="152430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152400</xdr:colOff>
      <xdr:row>745</xdr:row>
      <xdr:rowOff>106680</xdr:rowOff>
    </xdr:to>
    <xdr:sp macro="" textlink="">
      <xdr:nvSpPr>
        <xdr:cNvPr id="8953" name="AutoShape 1209" descr="FAROEISLANDS"/>
        <xdr:cNvSpPr>
          <a:spLocks noChangeAspect="1" noChangeArrowheads="1"/>
        </xdr:cNvSpPr>
      </xdr:nvSpPr>
      <xdr:spPr bwMode="auto">
        <a:xfrm>
          <a:off x="0" y="152605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745</xdr:row>
      <xdr:rowOff>0</xdr:rowOff>
    </xdr:from>
    <xdr:to>
      <xdr:col>22</xdr:col>
      <xdr:colOff>304800</xdr:colOff>
      <xdr:row>746</xdr:row>
      <xdr:rowOff>129540</xdr:rowOff>
    </xdr:to>
    <xdr:sp macro="" textlink="">
      <xdr:nvSpPr>
        <xdr:cNvPr id="8954" name="AutoShape 1210" descr="https://www.soccerstats.com/img/own/sshplogo.png">
          <a:hlinkClick xmlns:r="http://schemas.openxmlformats.org/officeDocument/2006/relationships" r:id="rId775"/>
        </xdr:cNvPr>
        <xdr:cNvSpPr>
          <a:spLocks noChangeAspect="1" noChangeArrowheads="1"/>
        </xdr:cNvSpPr>
      </xdr:nvSpPr>
      <xdr:spPr bwMode="auto">
        <a:xfrm>
          <a:off x="13411200" y="152605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152400</xdr:colOff>
      <xdr:row>746</xdr:row>
      <xdr:rowOff>106680</xdr:rowOff>
    </xdr:to>
    <xdr:sp macro="" textlink="">
      <xdr:nvSpPr>
        <xdr:cNvPr id="8955" name="AutoShape 1211" descr="FAROEISLANDS"/>
        <xdr:cNvSpPr>
          <a:spLocks noChangeAspect="1" noChangeArrowheads="1"/>
        </xdr:cNvSpPr>
      </xdr:nvSpPr>
      <xdr:spPr bwMode="auto">
        <a:xfrm>
          <a:off x="0" y="152781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746</xdr:row>
      <xdr:rowOff>0</xdr:rowOff>
    </xdr:from>
    <xdr:to>
      <xdr:col>22</xdr:col>
      <xdr:colOff>304800</xdr:colOff>
      <xdr:row>747</xdr:row>
      <xdr:rowOff>129540</xdr:rowOff>
    </xdr:to>
    <xdr:sp macro="" textlink="">
      <xdr:nvSpPr>
        <xdr:cNvPr id="8956" name="AutoShape 1212" descr="https://www.soccerstats.com/img/own/sshplogo.png">
          <a:hlinkClick xmlns:r="http://schemas.openxmlformats.org/officeDocument/2006/relationships" r:id="rId776"/>
        </xdr:cNvPr>
        <xdr:cNvSpPr>
          <a:spLocks noChangeAspect="1" noChangeArrowheads="1"/>
        </xdr:cNvSpPr>
      </xdr:nvSpPr>
      <xdr:spPr bwMode="auto">
        <a:xfrm>
          <a:off x="13411200" y="1527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152400</xdr:colOff>
      <xdr:row>747</xdr:row>
      <xdr:rowOff>106680</xdr:rowOff>
    </xdr:to>
    <xdr:sp macro="" textlink="">
      <xdr:nvSpPr>
        <xdr:cNvPr id="8957" name="AutoShape 1213" descr="FAROEISLANDS"/>
        <xdr:cNvSpPr>
          <a:spLocks noChangeAspect="1" noChangeArrowheads="1"/>
        </xdr:cNvSpPr>
      </xdr:nvSpPr>
      <xdr:spPr bwMode="auto">
        <a:xfrm>
          <a:off x="0" y="1529562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747</xdr:row>
      <xdr:rowOff>0</xdr:rowOff>
    </xdr:from>
    <xdr:to>
      <xdr:col>22</xdr:col>
      <xdr:colOff>304800</xdr:colOff>
      <xdr:row>748</xdr:row>
      <xdr:rowOff>129540</xdr:rowOff>
    </xdr:to>
    <xdr:sp macro="" textlink="">
      <xdr:nvSpPr>
        <xdr:cNvPr id="8958" name="AutoShape 1214" descr="https://www.soccerstats.com/img/own/sshplogo.png">
          <a:hlinkClick xmlns:r="http://schemas.openxmlformats.org/officeDocument/2006/relationships" r:id="rId777"/>
        </xdr:cNvPr>
        <xdr:cNvSpPr>
          <a:spLocks noChangeAspect="1" noChangeArrowheads="1"/>
        </xdr:cNvSpPr>
      </xdr:nvSpPr>
      <xdr:spPr bwMode="auto">
        <a:xfrm>
          <a:off x="13411200" y="1529562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152400</xdr:colOff>
      <xdr:row>748</xdr:row>
      <xdr:rowOff>106680</xdr:rowOff>
    </xdr:to>
    <xdr:sp macro="" textlink="">
      <xdr:nvSpPr>
        <xdr:cNvPr id="8959" name="AutoShape 1215" descr="FINLAND"/>
        <xdr:cNvSpPr>
          <a:spLocks noChangeAspect="1" noChangeArrowheads="1"/>
        </xdr:cNvSpPr>
      </xdr:nvSpPr>
      <xdr:spPr bwMode="auto">
        <a:xfrm>
          <a:off x="0" y="153131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748</xdr:row>
      <xdr:rowOff>0</xdr:rowOff>
    </xdr:from>
    <xdr:to>
      <xdr:col>22</xdr:col>
      <xdr:colOff>304800</xdr:colOff>
      <xdr:row>749</xdr:row>
      <xdr:rowOff>129540</xdr:rowOff>
    </xdr:to>
    <xdr:sp macro="" textlink="">
      <xdr:nvSpPr>
        <xdr:cNvPr id="8960" name="AutoShape 1216" descr="https://www.soccerstats.com/img/own/sshplogo.png">
          <a:hlinkClick xmlns:r="http://schemas.openxmlformats.org/officeDocument/2006/relationships" r:id="rId778"/>
        </xdr:cNvPr>
        <xdr:cNvSpPr>
          <a:spLocks noChangeAspect="1" noChangeArrowheads="1"/>
        </xdr:cNvSpPr>
      </xdr:nvSpPr>
      <xdr:spPr bwMode="auto">
        <a:xfrm>
          <a:off x="13411200" y="153131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152400</xdr:colOff>
      <xdr:row>749</xdr:row>
      <xdr:rowOff>106680</xdr:rowOff>
    </xdr:to>
    <xdr:sp macro="" textlink="">
      <xdr:nvSpPr>
        <xdr:cNvPr id="8961" name="AutoShape 1217" descr="FINLAND"/>
        <xdr:cNvSpPr>
          <a:spLocks noChangeAspect="1" noChangeArrowheads="1"/>
        </xdr:cNvSpPr>
      </xdr:nvSpPr>
      <xdr:spPr bwMode="auto">
        <a:xfrm>
          <a:off x="0" y="153306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749</xdr:row>
      <xdr:rowOff>0</xdr:rowOff>
    </xdr:from>
    <xdr:to>
      <xdr:col>22</xdr:col>
      <xdr:colOff>304800</xdr:colOff>
      <xdr:row>750</xdr:row>
      <xdr:rowOff>129540</xdr:rowOff>
    </xdr:to>
    <xdr:sp macro="" textlink="">
      <xdr:nvSpPr>
        <xdr:cNvPr id="8962" name="AutoShape 1218" descr="https://www.soccerstats.com/img/own/sshplogo.png">
          <a:hlinkClick xmlns:r="http://schemas.openxmlformats.org/officeDocument/2006/relationships" r:id="rId779"/>
        </xdr:cNvPr>
        <xdr:cNvSpPr>
          <a:spLocks noChangeAspect="1" noChangeArrowheads="1"/>
        </xdr:cNvSpPr>
      </xdr:nvSpPr>
      <xdr:spPr bwMode="auto">
        <a:xfrm>
          <a:off x="13411200" y="153306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152400</xdr:colOff>
      <xdr:row>750</xdr:row>
      <xdr:rowOff>106680</xdr:rowOff>
    </xdr:to>
    <xdr:sp macro="" textlink="">
      <xdr:nvSpPr>
        <xdr:cNvPr id="8963" name="AutoShape 1219" descr="FINLAND"/>
        <xdr:cNvSpPr>
          <a:spLocks noChangeAspect="1" noChangeArrowheads="1"/>
        </xdr:cNvSpPr>
      </xdr:nvSpPr>
      <xdr:spPr bwMode="auto">
        <a:xfrm>
          <a:off x="0" y="153482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750</xdr:row>
      <xdr:rowOff>0</xdr:rowOff>
    </xdr:from>
    <xdr:to>
      <xdr:col>22</xdr:col>
      <xdr:colOff>304800</xdr:colOff>
      <xdr:row>751</xdr:row>
      <xdr:rowOff>129540</xdr:rowOff>
    </xdr:to>
    <xdr:sp macro="" textlink="">
      <xdr:nvSpPr>
        <xdr:cNvPr id="8964" name="AutoShape 1220" descr="https://www.soccerstats.com/img/own/sshplogo.png">
          <a:hlinkClick xmlns:r="http://schemas.openxmlformats.org/officeDocument/2006/relationships" r:id="rId780"/>
        </xdr:cNvPr>
        <xdr:cNvSpPr>
          <a:spLocks noChangeAspect="1" noChangeArrowheads="1"/>
        </xdr:cNvSpPr>
      </xdr:nvSpPr>
      <xdr:spPr bwMode="auto">
        <a:xfrm>
          <a:off x="13411200" y="153482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152400</xdr:colOff>
      <xdr:row>751</xdr:row>
      <xdr:rowOff>106680</xdr:rowOff>
    </xdr:to>
    <xdr:sp macro="" textlink="">
      <xdr:nvSpPr>
        <xdr:cNvPr id="8965" name="AutoShape 1221" descr="FINLAND2"/>
        <xdr:cNvSpPr>
          <a:spLocks noChangeAspect="1" noChangeArrowheads="1"/>
        </xdr:cNvSpPr>
      </xdr:nvSpPr>
      <xdr:spPr bwMode="auto">
        <a:xfrm>
          <a:off x="0" y="153657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751</xdr:row>
      <xdr:rowOff>0</xdr:rowOff>
    </xdr:from>
    <xdr:to>
      <xdr:col>22</xdr:col>
      <xdr:colOff>304800</xdr:colOff>
      <xdr:row>752</xdr:row>
      <xdr:rowOff>129540</xdr:rowOff>
    </xdr:to>
    <xdr:sp macro="" textlink="">
      <xdr:nvSpPr>
        <xdr:cNvPr id="8966" name="AutoShape 1222" descr="https://www.soccerstats.com/img/own/sshplogo.png">
          <a:hlinkClick xmlns:r="http://schemas.openxmlformats.org/officeDocument/2006/relationships" r:id="rId781"/>
        </xdr:cNvPr>
        <xdr:cNvSpPr>
          <a:spLocks noChangeAspect="1" noChangeArrowheads="1"/>
        </xdr:cNvSpPr>
      </xdr:nvSpPr>
      <xdr:spPr bwMode="auto">
        <a:xfrm>
          <a:off x="13411200" y="153657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152400</xdr:colOff>
      <xdr:row>752</xdr:row>
      <xdr:rowOff>106680</xdr:rowOff>
    </xdr:to>
    <xdr:sp macro="" textlink="">
      <xdr:nvSpPr>
        <xdr:cNvPr id="8967" name="AutoShape 1223" descr="FINLAND3"/>
        <xdr:cNvSpPr>
          <a:spLocks noChangeAspect="1" noChangeArrowheads="1"/>
        </xdr:cNvSpPr>
      </xdr:nvSpPr>
      <xdr:spPr bwMode="auto">
        <a:xfrm>
          <a:off x="0" y="153832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752</xdr:row>
      <xdr:rowOff>0</xdr:rowOff>
    </xdr:from>
    <xdr:to>
      <xdr:col>22</xdr:col>
      <xdr:colOff>304800</xdr:colOff>
      <xdr:row>753</xdr:row>
      <xdr:rowOff>129540</xdr:rowOff>
    </xdr:to>
    <xdr:sp macro="" textlink="">
      <xdr:nvSpPr>
        <xdr:cNvPr id="8968" name="AutoShape 1224" descr="https://www.soccerstats.com/img/own/sshplogo.png">
          <a:hlinkClick xmlns:r="http://schemas.openxmlformats.org/officeDocument/2006/relationships" r:id="rId782"/>
        </xdr:cNvPr>
        <xdr:cNvSpPr>
          <a:spLocks noChangeAspect="1" noChangeArrowheads="1"/>
        </xdr:cNvSpPr>
      </xdr:nvSpPr>
      <xdr:spPr bwMode="auto">
        <a:xfrm>
          <a:off x="13411200" y="153832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152400</xdr:colOff>
      <xdr:row>753</xdr:row>
      <xdr:rowOff>106680</xdr:rowOff>
    </xdr:to>
    <xdr:sp macro="" textlink="">
      <xdr:nvSpPr>
        <xdr:cNvPr id="8969" name="AutoShape 1225" descr="FINLAND3"/>
        <xdr:cNvSpPr>
          <a:spLocks noChangeAspect="1" noChangeArrowheads="1"/>
        </xdr:cNvSpPr>
      </xdr:nvSpPr>
      <xdr:spPr bwMode="auto">
        <a:xfrm>
          <a:off x="0" y="154007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753</xdr:row>
      <xdr:rowOff>0</xdr:rowOff>
    </xdr:from>
    <xdr:to>
      <xdr:col>22</xdr:col>
      <xdr:colOff>304800</xdr:colOff>
      <xdr:row>754</xdr:row>
      <xdr:rowOff>129540</xdr:rowOff>
    </xdr:to>
    <xdr:sp macro="" textlink="">
      <xdr:nvSpPr>
        <xdr:cNvPr id="8970" name="AutoShape 1226" descr="https://www.soccerstats.com/img/own/sshplogo.png">
          <a:hlinkClick xmlns:r="http://schemas.openxmlformats.org/officeDocument/2006/relationships" r:id="rId783"/>
        </xdr:cNvPr>
        <xdr:cNvSpPr>
          <a:spLocks noChangeAspect="1" noChangeArrowheads="1"/>
        </xdr:cNvSpPr>
      </xdr:nvSpPr>
      <xdr:spPr bwMode="auto">
        <a:xfrm>
          <a:off x="13411200" y="154007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152400</xdr:colOff>
      <xdr:row>754</xdr:row>
      <xdr:rowOff>106680</xdr:rowOff>
    </xdr:to>
    <xdr:sp macro="" textlink="">
      <xdr:nvSpPr>
        <xdr:cNvPr id="8971" name="AutoShape 1227" descr="FINLAND3"/>
        <xdr:cNvSpPr>
          <a:spLocks noChangeAspect="1" noChangeArrowheads="1"/>
        </xdr:cNvSpPr>
      </xdr:nvSpPr>
      <xdr:spPr bwMode="auto">
        <a:xfrm>
          <a:off x="0" y="154183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754</xdr:row>
      <xdr:rowOff>0</xdr:rowOff>
    </xdr:from>
    <xdr:to>
      <xdr:col>22</xdr:col>
      <xdr:colOff>304800</xdr:colOff>
      <xdr:row>755</xdr:row>
      <xdr:rowOff>129540</xdr:rowOff>
    </xdr:to>
    <xdr:sp macro="" textlink="">
      <xdr:nvSpPr>
        <xdr:cNvPr id="8972" name="AutoShape 1228" descr="https://www.soccerstats.com/img/own/sshplogo.png">
          <a:hlinkClick xmlns:r="http://schemas.openxmlformats.org/officeDocument/2006/relationships" r:id="rId784"/>
        </xdr:cNvPr>
        <xdr:cNvSpPr>
          <a:spLocks noChangeAspect="1" noChangeArrowheads="1"/>
        </xdr:cNvSpPr>
      </xdr:nvSpPr>
      <xdr:spPr bwMode="auto">
        <a:xfrm>
          <a:off x="13411200" y="154183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152400</xdr:colOff>
      <xdr:row>755</xdr:row>
      <xdr:rowOff>106680</xdr:rowOff>
    </xdr:to>
    <xdr:sp macro="" textlink="">
      <xdr:nvSpPr>
        <xdr:cNvPr id="8973" name="AutoShape 1229" descr="FINLAND4"/>
        <xdr:cNvSpPr>
          <a:spLocks noChangeAspect="1" noChangeArrowheads="1"/>
        </xdr:cNvSpPr>
      </xdr:nvSpPr>
      <xdr:spPr bwMode="auto">
        <a:xfrm>
          <a:off x="0" y="154358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755</xdr:row>
      <xdr:rowOff>0</xdr:rowOff>
    </xdr:from>
    <xdr:to>
      <xdr:col>22</xdr:col>
      <xdr:colOff>304800</xdr:colOff>
      <xdr:row>756</xdr:row>
      <xdr:rowOff>129540</xdr:rowOff>
    </xdr:to>
    <xdr:sp macro="" textlink="">
      <xdr:nvSpPr>
        <xdr:cNvPr id="8974" name="AutoShape 1230" descr="https://www.soccerstats.com/img/own/sshplogo.png">
          <a:hlinkClick xmlns:r="http://schemas.openxmlformats.org/officeDocument/2006/relationships" r:id="rId785"/>
        </xdr:cNvPr>
        <xdr:cNvSpPr>
          <a:spLocks noChangeAspect="1" noChangeArrowheads="1"/>
        </xdr:cNvSpPr>
      </xdr:nvSpPr>
      <xdr:spPr bwMode="auto">
        <a:xfrm>
          <a:off x="13411200" y="15435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152400</xdr:colOff>
      <xdr:row>756</xdr:row>
      <xdr:rowOff>106680</xdr:rowOff>
    </xdr:to>
    <xdr:sp macro="" textlink="">
      <xdr:nvSpPr>
        <xdr:cNvPr id="8975" name="AutoShape 1231" descr="FINLAND6"/>
        <xdr:cNvSpPr>
          <a:spLocks noChangeAspect="1" noChangeArrowheads="1"/>
        </xdr:cNvSpPr>
      </xdr:nvSpPr>
      <xdr:spPr bwMode="auto">
        <a:xfrm>
          <a:off x="0" y="154533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756</xdr:row>
      <xdr:rowOff>0</xdr:rowOff>
    </xdr:from>
    <xdr:to>
      <xdr:col>22</xdr:col>
      <xdr:colOff>304800</xdr:colOff>
      <xdr:row>757</xdr:row>
      <xdr:rowOff>129540</xdr:rowOff>
    </xdr:to>
    <xdr:sp macro="" textlink="">
      <xdr:nvSpPr>
        <xdr:cNvPr id="8976" name="AutoShape 1232" descr="https://www.soccerstats.com/img/own/sshplogo.png">
          <a:hlinkClick xmlns:r="http://schemas.openxmlformats.org/officeDocument/2006/relationships" r:id="rId786"/>
        </xdr:cNvPr>
        <xdr:cNvSpPr>
          <a:spLocks noChangeAspect="1" noChangeArrowheads="1"/>
        </xdr:cNvSpPr>
      </xdr:nvSpPr>
      <xdr:spPr bwMode="auto">
        <a:xfrm>
          <a:off x="13411200" y="154533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152400</xdr:colOff>
      <xdr:row>757</xdr:row>
      <xdr:rowOff>106680</xdr:rowOff>
    </xdr:to>
    <xdr:sp macro="" textlink="">
      <xdr:nvSpPr>
        <xdr:cNvPr id="8977" name="AutoShape 1233" descr="FINLAND6"/>
        <xdr:cNvSpPr>
          <a:spLocks noChangeAspect="1" noChangeArrowheads="1"/>
        </xdr:cNvSpPr>
      </xdr:nvSpPr>
      <xdr:spPr bwMode="auto">
        <a:xfrm>
          <a:off x="0" y="154708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757</xdr:row>
      <xdr:rowOff>0</xdr:rowOff>
    </xdr:from>
    <xdr:to>
      <xdr:col>22</xdr:col>
      <xdr:colOff>304800</xdr:colOff>
      <xdr:row>758</xdr:row>
      <xdr:rowOff>53340</xdr:rowOff>
    </xdr:to>
    <xdr:sp macro="" textlink="">
      <xdr:nvSpPr>
        <xdr:cNvPr id="8978" name="AutoShape 1234" descr="https://www.soccerstats.com/img/own/sshplogo.png">
          <a:hlinkClick xmlns:r="http://schemas.openxmlformats.org/officeDocument/2006/relationships" r:id="rId787"/>
        </xdr:cNvPr>
        <xdr:cNvSpPr>
          <a:spLocks noChangeAspect="1" noChangeArrowheads="1"/>
        </xdr:cNvSpPr>
      </xdr:nvSpPr>
      <xdr:spPr bwMode="auto">
        <a:xfrm>
          <a:off x="13411200" y="154708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152400</xdr:colOff>
      <xdr:row>758</xdr:row>
      <xdr:rowOff>106680</xdr:rowOff>
    </xdr:to>
    <xdr:sp macro="" textlink="">
      <xdr:nvSpPr>
        <xdr:cNvPr id="8979" name="AutoShape 1235" descr="GEORGIA"/>
        <xdr:cNvSpPr>
          <a:spLocks noChangeAspect="1" noChangeArrowheads="1"/>
        </xdr:cNvSpPr>
      </xdr:nvSpPr>
      <xdr:spPr bwMode="auto">
        <a:xfrm>
          <a:off x="0" y="154960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758</xdr:row>
      <xdr:rowOff>0</xdr:rowOff>
    </xdr:from>
    <xdr:to>
      <xdr:col>22</xdr:col>
      <xdr:colOff>304800</xdr:colOff>
      <xdr:row>759</xdr:row>
      <xdr:rowOff>129540</xdr:rowOff>
    </xdr:to>
    <xdr:sp macro="" textlink="">
      <xdr:nvSpPr>
        <xdr:cNvPr id="8980" name="AutoShape 1236" descr="https://www.soccerstats.com/img/own/sshplogo.png">
          <a:hlinkClick xmlns:r="http://schemas.openxmlformats.org/officeDocument/2006/relationships" r:id="rId788"/>
        </xdr:cNvPr>
        <xdr:cNvSpPr>
          <a:spLocks noChangeAspect="1" noChangeArrowheads="1"/>
        </xdr:cNvSpPr>
      </xdr:nvSpPr>
      <xdr:spPr bwMode="auto">
        <a:xfrm>
          <a:off x="13411200" y="15496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152400</xdr:colOff>
      <xdr:row>759</xdr:row>
      <xdr:rowOff>106680</xdr:rowOff>
    </xdr:to>
    <xdr:sp macro="" textlink="">
      <xdr:nvSpPr>
        <xdr:cNvPr id="8981" name="AutoShape 1237" descr="GEORGIA"/>
        <xdr:cNvSpPr>
          <a:spLocks noChangeAspect="1" noChangeArrowheads="1"/>
        </xdr:cNvSpPr>
      </xdr:nvSpPr>
      <xdr:spPr bwMode="auto">
        <a:xfrm>
          <a:off x="0" y="155135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759</xdr:row>
      <xdr:rowOff>0</xdr:rowOff>
    </xdr:from>
    <xdr:to>
      <xdr:col>22</xdr:col>
      <xdr:colOff>304800</xdr:colOff>
      <xdr:row>760</xdr:row>
      <xdr:rowOff>53340</xdr:rowOff>
    </xdr:to>
    <xdr:sp macro="" textlink="">
      <xdr:nvSpPr>
        <xdr:cNvPr id="8982" name="AutoShape 1238" descr="https://www.soccerstats.com/img/own/sshplogo.png">
          <a:hlinkClick xmlns:r="http://schemas.openxmlformats.org/officeDocument/2006/relationships" r:id="rId789"/>
        </xdr:cNvPr>
        <xdr:cNvSpPr>
          <a:spLocks noChangeAspect="1" noChangeArrowheads="1"/>
        </xdr:cNvSpPr>
      </xdr:nvSpPr>
      <xdr:spPr bwMode="auto">
        <a:xfrm>
          <a:off x="13411200" y="155135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152400</xdr:colOff>
      <xdr:row>760</xdr:row>
      <xdr:rowOff>106680</xdr:rowOff>
    </xdr:to>
    <xdr:sp macro="" textlink="">
      <xdr:nvSpPr>
        <xdr:cNvPr id="8983" name="AutoShape 1239" descr="GERMANY3"/>
        <xdr:cNvSpPr>
          <a:spLocks noChangeAspect="1" noChangeArrowheads="1"/>
        </xdr:cNvSpPr>
      </xdr:nvSpPr>
      <xdr:spPr bwMode="auto">
        <a:xfrm>
          <a:off x="0" y="155387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760</xdr:row>
      <xdr:rowOff>0</xdr:rowOff>
    </xdr:from>
    <xdr:to>
      <xdr:col>22</xdr:col>
      <xdr:colOff>304800</xdr:colOff>
      <xdr:row>761</xdr:row>
      <xdr:rowOff>53340</xdr:rowOff>
    </xdr:to>
    <xdr:sp macro="" textlink="">
      <xdr:nvSpPr>
        <xdr:cNvPr id="8984" name="AutoShape 1240" descr="https://www.soccerstats.com/img/own/sshplogo.png">
          <a:hlinkClick xmlns:r="http://schemas.openxmlformats.org/officeDocument/2006/relationships" r:id="rId790"/>
        </xdr:cNvPr>
        <xdr:cNvSpPr>
          <a:spLocks noChangeAspect="1" noChangeArrowheads="1"/>
        </xdr:cNvSpPr>
      </xdr:nvSpPr>
      <xdr:spPr bwMode="auto">
        <a:xfrm>
          <a:off x="13411200" y="155387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152400</xdr:colOff>
      <xdr:row>761</xdr:row>
      <xdr:rowOff>106680</xdr:rowOff>
    </xdr:to>
    <xdr:sp macro="" textlink="">
      <xdr:nvSpPr>
        <xdr:cNvPr id="8985" name="AutoShape 1241" descr="GERMANY3"/>
        <xdr:cNvSpPr>
          <a:spLocks noChangeAspect="1" noChangeArrowheads="1"/>
        </xdr:cNvSpPr>
      </xdr:nvSpPr>
      <xdr:spPr bwMode="auto">
        <a:xfrm>
          <a:off x="0" y="155638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761</xdr:row>
      <xdr:rowOff>0</xdr:rowOff>
    </xdr:from>
    <xdr:to>
      <xdr:col>22</xdr:col>
      <xdr:colOff>304800</xdr:colOff>
      <xdr:row>762</xdr:row>
      <xdr:rowOff>129540</xdr:rowOff>
    </xdr:to>
    <xdr:sp macro="" textlink="">
      <xdr:nvSpPr>
        <xdr:cNvPr id="8986" name="AutoShape 1242" descr="https://www.soccerstats.com/img/own/sshplogo.png">
          <a:hlinkClick xmlns:r="http://schemas.openxmlformats.org/officeDocument/2006/relationships" r:id="rId791"/>
        </xdr:cNvPr>
        <xdr:cNvSpPr>
          <a:spLocks noChangeAspect="1" noChangeArrowheads="1"/>
        </xdr:cNvSpPr>
      </xdr:nvSpPr>
      <xdr:spPr bwMode="auto">
        <a:xfrm>
          <a:off x="13411200" y="1556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152400</xdr:colOff>
      <xdr:row>762</xdr:row>
      <xdr:rowOff>106680</xdr:rowOff>
    </xdr:to>
    <xdr:sp macro="" textlink="">
      <xdr:nvSpPr>
        <xdr:cNvPr id="8987" name="AutoShape 1243" descr="GERMANY3"/>
        <xdr:cNvSpPr>
          <a:spLocks noChangeAspect="1" noChangeArrowheads="1"/>
        </xdr:cNvSpPr>
      </xdr:nvSpPr>
      <xdr:spPr bwMode="auto">
        <a:xfrm>
          <a:off x="0" y="155813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762</xdr:row>
      <xdr:rowOff>0</xdr:rowOff>
    </xdr:from>
    <xdr:to>
      <xdr:col>22</xdr:col>
      <xdr:colOff>304800</xdr:colOff>
      <xdr:row>763</xdr:row>
      <xdr:rowOff>53340</xdr:rowOff>
    </xdr:to>
    <xdr:sp macro="" textlink="">
      <xdr:nvSpPr>
        <xdr:cNvPr id="8988" name="AutoShape 1244" descr="https://www.soccerstats.com/img/own/sshplogo.png">
          <a:hlinkClick xmlns:r="http://schemas.openxmlformats.org/officeDocument/2006/relationships" r:id="rId792"/>
        </xdr:cNvPr>
        <xdr:cNvSpPr>
          <a:spLocks noChangeAspect="1" noChangeArrowheads="1"/>
        </xdr:cNvSpPr>
      </xdr:nvSpPr>
      <xdr:spPr bwMode="auto">
        <a:xfrm>
          <a:off x="13411200" y="155813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152400</xdr:colOff>
      <xdr:row>763</xdr:row>
      <xdr:rowOff>106680</xdr:rowOff>
    </xdr:to>
    <xdr:sp macro="" textlink="">
      <xdr:nvSpPr>
        <xdr:cNvPr id="8989" name="AutoShape 1245" descr="GERMANY4"/>
        <xdr:cNvSpPr>
          <a:spLocks noChangeAspect="1" noChangeArrowheads="1"/>
        </xdr:cNvSpPr>
      </xdr:nvSpPr>
      <xdr:spPr bwMode="auto">
        <a:xfrm>
          <a:off x="0" y="156065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763</xdr:row>
      <xdr:rowOff>0</xdr:rowOff>
    </xdr:from>
    <xdr:to>
      <xdr:col>22</xdr:col>
      <xdr:colOff>304800</xdr:colOff>
      <xdr:row>764</xdr:row>
      <xdr:rowOff>53340</xdr:rowOff>
    </xdr:to>
    <xdr:sp macro="" textlink="">
      <xdr:nvSpPr>
        <xdr:cNvPr id="8990" name="AutoShape 1246" descr="https://www.soccerstats.com/img/own/sshplogo.png">
          <a:hlinkClick xmlns:r="http://schemas.openxmlformats.org/officeDocument/2006/relationships" r:id="rId793"/>
        </xdr:cNvPr>
        <xdr:cNvSpPr>
          <a:spLocks noChangeAspect="1" noChangeArrowheads="1"/>
        </xdr:cNvSpPr>
      </xdr:nvSpPr>
      <xdr:spPr bwMode="auto">
        <a:xfrm>
          <a:off x="13411200" y="156065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152400</xdr:colOff>
      <xdr:row>764</xdr:row>
      <xdr:rowOff>106680</xdr:rowOff>
    </xdr:to>
    <xdr:sp macro="" textlink="">
      <xdr:nvSpPr>
        <xdr:cNvPr id="8991" name="AutoShape 1247" descr="GERMANY4"/>
        <xdr:cNvSpPr>
          <a:spLocks noChangeAspect="1" noChangeArrowheads="1"/>
        </xdr:cNvSpPr>
      </xdr:nvSpPr>
      <xdr:spPr bwMode="auto">
        <a:xfrm>
          <a:off x="0" y="156316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764</xdr:row>
      <xdr:rowOff>0</xdr:rowOff>
    </xdr:from>
    <xdr:to>
      <xdr:col>22</xdr:col>
      <xdr:colOff>304800</xdr:colOff>
      <xdr:row>765</xdr:row>
      <xdr:rowOff>53340</xdr:rowOff>
    </xdr:to>
    <xdr:sp macro="" textlink="">
      <xdr:nvSpPr>
        <xdr:cNvPr id="8992" name="AutoShape 1248" descr="https://www.soccerstats.com/img/own/sshplogo.png">
          <a:hlinkClick xmlns:r="http://schemas.openxmlformats.org/officeDocument/2006/relationships" r:id="rId794"/>
        </xdr:cNvPr>
        <xdr:cNvSpPr>
          <a:spLocks noChangeAspect="1" noChangeArrowheads="1"/>
        </xdr:cNvSpPr>
      </xdr:nvSpPr>
      <xdr:spPr bwMode="auto">
        <a:xfrm>
          <a:off x="13411200" y="156316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152400</xdr:colOff>
      <xdr:row>765</xdr:row>
      <xdr:rowOff>106680</xdr:rowOff>
    </xdr:to>
    <xdr:sp macro="" textlink="">
      <xdr:nvSpPr>
        <xdr:cNvPr id="8993" name="AutoShape 1249" descr="GERMANY4"/>
        <xdr:cNvSpPr>
          <a:spLocks noChangeAspect="1" noChangeArrowheads="1"/>
        </xdr:cNvSpPr>
      </xdr:nvSpPr>
      <xdr:spPr bwMode="auto">
        <a:xfrm>
          <a:off x="0" y="156568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765</xdr:row>
      <xdr:rowOff>0</xdr:rowOff>
    </xdr:from>
    <xdr:to>
      <xdr:col>22</xdr:col>
      <xdr:colOff>304800</xdr:colOff>
      <xdr:row>766</xdr:row>
      <xdr:rowOff>53340</xdr:rowOff>
    </xdr:to>
    <xdr:sp macro="" textlink="">
      <xdr:nvSpPr>
        <xdr:cNvPr id="8994" name="AutoShape 1250" descr="https://www.soccerstats.com/img/own/sshplogo.png">
          <a:hlinkClick xmlns:r="http://schemas.openxmlformats.org/officeDocument/2006/relationships" r:id="rId795"/>
        </xdr:cNvPr>
        <xdr:cNvSpPr>
          <a:spLocks noChangeAspect="1" noChangeArrowheads="1"/>
        </xdr:cNvSpPr>
      </xdr:nvSpPr>
      <xdr:spPr bwMode="auto">
        <a:xfrm>
          <a:off x="13411200" y="15656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152400</xdr:colOff>
      <xdr:row>766</xdr:row>
      <xdr:rowOff>106680</xdr:rowOff>
    </xdr:to>
    <xdr:sp macro="" textlink="">
      <xdr:nvSpPr>
        <xdr:cNvPr id="8995" name="AutoShape 1251" descr="GERMANY4"/>
        <xdr:cNvSpPr>
          <a:spLocks noChangeAspect="1" noChangeArrowheads="1"/>
        </xdr:cNvSpPr>
      </xdr:nvSpPr>
      <xdr:spPr bwMode="auto">
        <a:xfrm>
          <a:off x="0" y="156819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766</xdr:row>
      <xdr:rowOff>0</xdr:rowOff>
    </xdr:from>
    <xdr:to>
      <xdr:col>22</xdr:col>
      <xdr:colOff>304800</xdr:colOff>
      <xdr:row>767</xdr:row>
      <xdr:rowOff>53340</xdr:rowOff>
    </xdr:to>
    <xdr:sp macro="" textlink="">
      <xdr:nvSpPr>
        <xdr:cNvPr id="8996" name="AutoShape 1252" descr="https://www.soccerstats.com/img/own/sshplogo.png">
          <a:hlinkClick xmlns:r="http://schemas.openxmlformats.org/officeDocument/2006/relationships" r:id="rId796"/>
        </xdr:cNvPr>
        <xdr:cNvSpPr>
          <a:spLocks noChangeAspect="1" noChangeArrowheads="1"/>
        </xdr:cNvSpPr>
      </xdr:nvSpPr>
      <xdr:spPr bwMode="auto">
        <a:xfrm>
          <a:off x="13411200" y="156819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152400</xdr:colOff>
      <xdr:row>767</xdr:row>
      <xdr:rowOff>106680</xdr:rowOff>
    </xdr:to>
    <xdr:sp macro="" textlink="">
      <xdr:nvSpPr>
        <xdr:cNvPr id="8997" name="AutoShape 1253" descr="GERMANY4"/>
        <xdr:cNvSpPr>
          <a:spLocks noChangeAspect="1" noChangeArrowheads="1"/>
        </xdr:cNvSpPr>
      </xdr:nvSpPr>
      <xdr:spPr bwMode="auto">
        <a:xfrm>
          <a:off x="0" y="157071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767</xdr:row>
      <xdr:rowOff>0</xdr:rowOff>
    </xdr:from>
    <xdr:to>
      <xdr:col>22</xdr:col>
      <xdr:colOff>304800</xdr:colOff>
      <xdr:row>768</xdr:row>
      <xdr:rowOff>129540</xdr:rowOff>
    </xdr:to>
    <xdr:sp macro="" textlink="">
      <xdr:nvSpPr>
        <xdr:cNvPr id="8998" name="AutoShape 1254" descr="https://www.soccerstats.com/img/own/sshplogo.png">
          <a:hlinkClick xmlns:r="http://schemas.openxmlformats.org/officeDocument/2006/relationships" r:id="rId797"/>
        </xdr:cNvPr>
        <xdr:cNvSpPr>
          <a:spLocks noChangeAspect="1" noChangeArrowheads="1"/>
        </xdr:cNvSpPr>
      </xdr:nvSpPr>
      <xdr:spPr bwMode="auto">
        <a:xfrm>
          <a:off x="13411200" y="15707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152400</xdr:colOff>
      <xdr:row>768</xdr:row>
      <xdr:rowOff>106680</xdr:rowOff>
    </xdr:to>
    <xdr:sp macro="" textlink="">
      <xdr:nvSpPr>
        <xdr:cNvPr id="8999" name="AutoShape 1255" descr="GERMANY5"/>
        <xdr:cNvSpPr>
          <a:spLocks noChangeAspect="1" noChangeArrowheads="1"/>
        </xdr:cNvSpPr>
      </xdr:nvSpPr>
      <xdr:spPr bwMode="auto">
        <a:xfrm>
          <a:off x="0" y="157246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768</xdr:row>
      <xdr:rowOff>0</xdr:rowOff>
    </xdr:from>
    <xdr:to>
      <xdr:col>22</xdr:col>
      <xdr:colOff>304800</xdr:colOff>
      <xdr:row>769</xdr:row>
      <xdr:rowOff>129540</xdr:rowOff>
    </xdr:to>
    <xdr:sp macro="" textlink="">
      <xdr:nvSpPr>
        <xdr:cNvPr id="9000" name="AutoShape 1256" descr="https://www.soccerstats.com/img/own/sshplogo.png">
          <a:hlinkClick xmlns:r="http://schemas.openxmlformats.org/officeDocument/2006/relationships" r:id="rId798"/>
        </xdr:cNvPr>
        <xdr:cNvSpPr>
          <a:spLocks noChangeAspect="1" noChangeArrowheads="1"/>
        </xdr:cNvSpPr>
      </xdr:nvSpPr>
      <xdr:spPr bwMode="auto">
        <a:xfrm>
          <a:off x="13411200" y="157246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152400</xdr:colOff>
      <xdr:row>769</xdr:row>
      <xdr:rowOff>106680</xdr:rowOff>
    </xdr:to>
    <xdr:sp macro="" textlink="">
      <xdr:nvSpPr>
        <xdr:cNvPr id="9001" name="AutoShape 1257" descr="GERMANY5"/>
        <xdr:cNvSpPr>
          <a:spLocks noChangeAspect="1" noChangeArrowheads="1"/>
        </xdr:cNvSpPr>
      </xdr:nvSpPr>
      <xdr:spPr bwMode="auto">
        <a:xfrm>
          <a:off x="0" y="157421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769</xdr:row>
      <xdr:rowOff>0</xdr:rowOff>
    </xdr:from>
    <xdr:to>
      <xdr:col>22</xdr:col>
      <xdr:colOff>304800</xdr:colOff>
      <xdr:row>770</xdr:row>
      <xdr:rowOff>53340</xdr:rowOff>
    </xdr:to>
    <xdr:sp macro="" textlink="">
      <xdr:nvSpPr>
        <xdr:cNvPr id="9002" name="AutoShape 1258" descr="https://www.soccerstats.com/img/own/sshplogo.png">
          <a:hlinkClick xmlns:r="http://schemas.openxmlformats.org/officeDocument/2006/relationships" r:id="rId799"/>
        </xdr:cNvPr>
        <xdr:cNvSpPr>
          <a:spLocks noChangeAspect="1" noChangeArrowheads="1"/>
        </xdr:cNvSpPr>
      </xdr:nvSpPr>
      <xdr:spPr bwMode="auto">
        <a:xfrm>
          <a:off x="13411200" y="157421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152400</xdr:colOff>
      <xdr:row>770</xdr:row>
      <xdr:rowOff>106680</xdr:rowOff>
    </xdr:to>
    <xdr:sp macro="" textlink="">
      <xdr:nvSpPr>
        <xdr:cNvPr id="9003" name="AutoShape 1259" descr="GERMANY6"/>
        <xdr:cNvSpPr>
          <a:spLocks noChangeAspect="1" noChangeArrowheads="1"/>
        </xdr:cNvSpPr>
      </xdr:nvSpPr>
      <xdr:spPr bwMode="auto">
        <a:xfrm>
          <a:off x="0" y="157673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770</xdr:row>
      <xdr:rowOff>0</xdr:rowOff>
    </xdr:from>
    <xdr:to>
      <xdr:col>22</xdr:col>
      <xdr:colOff>304800</xdr:colOff>
      <xdr:row>771</xdr:row>
      <xdr:rowOff>129540</xdr:rowOff>
    </xdr:to>
    <xdr:sp macro="" textlink="">
      <xdr:nvSpPr>
        <xdr:cNvPr id="9004" name="AutoShape 1260" descr="https://www.soccerstats.com/img/own/sshplogo.png">
          <a:hlinkClick xmlns:r="http://schemas.openxmlformats.org/officeDocument/2006/relationships" r:id="rId800"/>
        </xdr:cNvPr>
        <xdr:cNvSpPr>
          <a:spLocks noChangeAspect="1" noChangeArrowheads="1"/>
        </xdr:cNvSpPr>
      </xdr:nvSpPr>
      <xdr:spPr bwMode="auto">
        <a:xfrm>
          <a:off x="13411200" y="157673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152400</xdr:colOff>
      <xdr:row>771</xdr:row>
      <xdr:rowOff>106680</xdr:rowOff>
    </xdr:to>
    <xdr:sp macro="" textlink="">
      <xdr:nvSpPr>
        <xdr:cNvPr id="9005" name="AutoShape 1261" descr="GERMANY7"/>
        <xdr:cNvSpPr>
          <a:spLocks noChangeAspect="1" noChangeArrowheads="1"/>
        </xdr:cNvSpPr>
      </xdr:nvSpPr>
      <xdr:spPr bwMode="auto">
        <a:xfrm>
          <a:off x="0" y="157848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771</xdr:row>
      <xdr:rowOff>0</xdr:rowOff>
    </xdr:from>
    <xdr:to>
      <xdr:col>22</xdr:col>
      <xdr:colOff>304800</xdr:colOff>
      <xdr:row>772</xdr:row>
      <xdr:rowOff>129540</xdr:rowOff>
    </xdr:to>
    <xdr:sp macro="" textlink="">
      <xdr:nvSpPr>
        <xdr:cNvPr id="9006" name="AutoShape 1262" descr="https://www.soccerstats.com/img/own/sshplogo.png">
          <a:hlinkClick xmlns:r="http://schemas.openxmlformats.org/officeDocument/2006/relationships" r:id="rId801"/>
        </xdr:cNvPr>
        <xdr:cNvSpPr>
          <a:spLocks noChangeAspect="1" noChangeArrowheads="1"/>
        </xdr:cNvSpPr>
      </xdr:nvSpPr>
      <xdr:spPr bwMode="auto">
        <a:xfrm>
          <a:off x="13411200" y="15784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152400</xdr:colOff>
      <xdr:row>772</xdr:row>
      <xdr:rowOff>106680</xdr:rowOff>
    </xdr:to>
    <xdr:sp macro="" textlink="">
      <xdr:nvSpPr>
        <xdr:cNvPr id="9007" name="AutoShape 1263" descr="GERMANY7"/>
        <xdr:cNvSpPr>
          <a:spLocks noChangeAspect="1" noChangeArrowheads="1"/>
        </xdr:cNvSpPr>
      </xdr:nvSpPr>
      <xdr:spPr bwMode="auto">
        <a:xfrm>
          <a:off x="0" y="158023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772</xdr:row>
      <xdr:rowOff>0</xdr:rowOff>
    </xdr:from>
    <xdr:to>
      <xdr:col>22</xdr:col>
      <xdr:colOff>304800</xdr:colOff>
      <xdr:row>773</xdr:row>
      <xdr:rowOff>129540</xdr:rowOff>
    </xdr:to>
    <xdr:sp macro="" textlink="">
      <xdr:nvSpPr>
        <xdr:cNvPr id="9008" name="AutoShape 1264" descr="https://www.soccerstats.com/img/own/sshplogo.png">
          <a:hlinkClick xmlns:r="http://schemas.openxmlformats.org/officeDocument/2006/relationships" r:id="rId802"/>
        </xdr:cNvPr>
        <xdr:cNvSpPr>
          <a:spLocks noChangeAspect="1" noChangeArrowheads="1"/>
        </xdr:cNvSpPr>
      </xdr:nvSpPr>
      <xdr:spPr bwMode="auto">
        <a:xfrm>
          <a:off x="13411200" y="158023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152400</xdr:colOff>
      <xdr:row>773</xdr:row>
      <xdr:rowOff>106680</xdr:rowOff>
    </xdr:to>
    <xdr:sp macro="" textlink="">
      <xdr:nvSpPr>
        <xdr:cNvPr id="9009" name="AutoShape 1265" descr="GERMANY7"/>
        <xdr:cNvSpPr>
          <a:spLocks noChangeAspect="1" noChangeArrowheads="1"/>
        </xdr:cNvSpPr>
      </xdr:nvSpPr>
      <xdr:spPr bwMode="auto">
        <a:xfrm>
          <a:off x="0" y="158198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773</xdr:row>
      <xdr:rowOff>0</xdr:rowOff>
    </xdr:from>
    <xdr:to>
      <xdr:col>22</xdr:col>
      <xdr:colOff>304800</xdr:colOff>
      <xdr:row>774</xdr:row>
      <xdr:rowOff>53340</xdr:rowOff>
    </xdr:to>
    <xdr:sp macro="" textlink="">
      <xdr:nvSpPr>
        <xdr:cNvPr id="9010" name="AutoShape 1266" descr="https://www.soccerstats.com/img/own/sshplogo.png">
          <a:hlinkClick xmlns:r="http://schemas.openxmlformats.org/officeDocument/2006/relationships" r:id="rId803"/>
        </xdr:cNvPr>
        <xdr:cNvSpPr>
          <a:spLocks noChangeAspect="1" noChangeArrowheads="1"/>
        </xdr:cNvSpPr>
      </xdr:nvSpPr>
      <xdr:spPr bwMode="auto">
        <a:xfrm>
          <a:off x="13411200" y="158198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152400</xdr:colOff>
      <xdr:row>774</xdr:row>
      <xdr:rowOff>106680</xdr:rowOff>
    </xdr:to>
    <xdr:sp macro="" textlink="">
      <xdr:nvSpPr>
        <xdr:cNvPr id="9011" name="AutoShape 1267" descr="GUATEMALA"/>
        <xdr:cNvSpPr>
          <a:spLocks noChangeAspect="1" noChangeArrowheads="1"/>
        </xdr:cNvSpPr>
      </xdr:nvSpPr>
      <xdr:spPr bwMode="auto">
        <a:xfrm>
          <a:off x="0" y="158450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774</xdr:row>
      <xdr:rowOff>0</xdr:rowOff>
    </xdr:from>
    <xdr:to>
      <xdr:col>22</xdr:col>
      <xdr:colOff>304800</xdr:colOff>
      <xdr:row>775</xdr:row>
      <xdr:rowOff>53340</xdr:rowOff>
    </xdr:to>
    <xdr:sp macro="" textlink="">
      <xdr:nvSpPr>
        <xdr:cNvPr id="9012" name="AutoShape 1268" descr="https://www.soccerstats.com/img/own/sshplogo.png">
          <a:hlinkClick xmlns:r="http://schemas.openxmlformats.org/officeDocument/2006/relationships" r:id="rId804"/>
        </xdr:cNvPr>
        <xdr:cNvSpPr>
          <a:spLocks noChangeAspect="1" noChangeArrowheads="1"/>
        </xdr:cNvSpPr>
      </xdr:nvSpPr>
      <xdr:spPr bwMode="auto">
        <a:xfrm>
          <a:off x="13411200" y="158450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152400</xdr:colOff>
      <xdr:row>775</xdr:row>
      <xdr:rowOff>106680</xdr:rowOff>
    </xdr:to>
    <xdr:sp macro="" textlink="">
      <xdr:nvSpPr>
        <xdr:cNvPr id="9013" name="AutoShape 1269" descr="GUATEMALA"/>
        <xdr:cNvSpPr>
          <a:spLocks noChangeAspect="1" noChangeArrowheads="1"/>
        </xdr:cNvSpPr>
      </xdr:nvSpPr>
      <xdr:spPr bwMode="auto">
        <a:xfrm>
          <a:off x="0" y="158701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775</xdr:row>
      <xdr:rowOff>0</xdr:rowOff>
    </xdr:from>
    <xdr:to>
      <xdr:col>22</xdr:col>
      <xdr:colOff>304800</xdr:colOff>
      <xdr:row>776</xdr:row>
      <xdr:rowOff>129540</xdr:rowOff>
    </xdr:to>
    <xdr:sp macro="" textlink="">
      <xdr:nvSpPr>
        <xdr:cNvPr id="9014" name="AutoShape 1270" descr="https://www.soccerstats.com/img/own/sshplogo.png">
          <a:hlinkClick xmlns:r="http://schemas.openxmlformats.org/officeDocument/2006/relationships" r:id="rId805"/>
        </xdr:cNvPr>
        <xdr:cNvSpPr>
          <a:spLocks noChangeAspect="1" noChangeArrowheads="1"/>
        </xdr:cNvSpPr>
      </xdr:nvSpPr>
      <xdr:spPr bwMode="auto">
        <a:xfrm>
          <a:off x="13411200" y="158701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152400</xdr:colOff>
      <xdr:row>776</xdr:row>
      <xdr:rowOff>106680</xdr:rowOff>
    </xdr:to>
    <xdr:sp macro="" textlink="">
      <xdr:nvSpPr>
        <xdr:cNvPr id="9015" name="AutoShape 1271" descr="GUATEMALA"/>
        <xdr:cNvSpPr>
          <a:spLocks noChangeAspect="1" noChangeArrowheads="1"/>
        </xdr:cNvSpPr>
      </xdr:nvSpPr>
      <xdr:spPr bwMode="auto">
        <a:xfrm>
          <a:off x="0" y="158877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776</xdr:row>
      <xdr:rowOff>0</xdr:rowOff>
    </xdr:from>
    <xdr:to>
      <xdr:col>22</xdr:col>
      <xdr:colOff>304800</xdr:colOff>
      <xdr:row>777</xdr:row>
      <xdr:rowOff>53340</xdr:rowOff>
    </xdr:to>
    <xdr:sp macro="" textlink="">
      <xdr:nvSpPr>
        <xdr:cNvPr id="9016" name="AutoShape 1272" descr="https://www.soccerstats.com/img/own/sshplogo.png">
          <a:hlinkClick xmlns:r="http://schemas.openxmlformats.org/officeDocument/2006/relationships" r:id="rId806"/>
        </xdr:cNvPr>
        <xdr:cNvSpPr>
          <a:spLocks noChangeAspect="1" noChangeArrowheads="1"/>
        </xdr:cNvSpPr>
      </xdr:nvSpPr>
      <xdr:spPr bwMode="auto">
        <a:xfrm>
          <a:off x="13411200" y="15887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152400</xdr:colOff>
      <xdr:row>777</xdr:row>
      <xdr:rowOff>106680</xdr:rowOff>
    </xdr:to>
    <xdr:sp macro="" textlink="">
      <xdr:nvSpPr>
        <xdr:cNvPr id="9017" name="AutoShape 1273" descr="HUNGARY"/>
        <xdr:cNvSpPr>
          <a:spLocks noChangeAspect="1" noChangeArrowheads="1"/>
        </xdr:cNvSpPr>
      </xdr:nvSpPr>
      <xdr:spPr bwMode="auto">
        <a:xfrm>
          <a:off x="0" y="159128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777</xdr:row>
      <xdr:rowOff>0</xdr:rowOff>
    </xdr:from>
    <xdr:to>
      <xdr:col>22</xdr:col>
      <xdr:colOff>304800</xdr:colOff>
      <xdr:row>778</xdr:row>
      <xdr:rowOff>129540</xdr:rowOff>
    </xdr:to>
    <xdr:sp macro="" textlink="">
      <xdr:nvSpPr>
        <xdr:cNvPr id="9018" name="AutoShape 1274" descr="https://www.soccerstats.com/img/own/sshplogo.png">
          <a:hlinkClick xmlns:r="http://schemas.openxmlformats.org/officeDocument/2006/relationships" r:id="rId807"/>
        </xdr:cNvPr>
        <xdr:cNvSpPr>
          <a:spLocks noChangeAspect="1" noChangeArrowheads="1"/>
        </xdr:cNvSpPr>
      </xdr:nvSpPr>
      <xdr:spPr bwMode="auto">
        <a:xfrm>
          <a:off x="13411200" y="159128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152400</xdr:colOff>
      <xdr:row>778</xdr:row>
      <xdr:rowOff>106680</xdr:rowOff>
    </xdr:to>
    <xdr:sp macro="" textlink="">
      <xdr:nvSpPr>
        <xdr:cNvPr id="9019" name="AutoShape 1275" descr="HUNGARY"/>
        <xdr:cNvSpPr>
          <a:spLocks noChangeAspect="1" noChangeArrowheads="1"/>
        </xdr:cNvSpPr>
      </xdr:nvSpPr>
      <xdr:spPr bwMode="auto">
        <a:xfrm>
          <a:off x="0" y="1593037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778</xdr:row>
      <xdr:rowOff>0</xdr:rowOff>
    </xdr:from>
    <xdr:to>
      <xdr:col>22</xdr:col>
      <xdr:colOff>304800</xdr:colOff>
      <xdr:row>779</xdr:row>
      <xdr:rowOff>129540</xdr:rowOff>
    </xdr:to>
    <xdr:sp macro="" textlink="">
      <xdr:nvSpPr>
        <xdr:cNvPr id="9020" name="AutoShape 1276" descr="https://www.soccerstats.com/img/own/sshplogo.png">
          <a:hlinkClick xmlns:r="http://schemas.openxmlformats.org/officeDocument/2006/relationships" r:id="rId808"/>
        </xdr:cNvPr>
        <xdr:cNvSpPr>
          <a:spLocks noChangeAspect="1" noChangeArrowheads="1"/>
        </xdr:cNvSpPr>
      </xdr:nvSpPr>
      <xdr:spPr bwMode="auto">
        <a:xfrm>
          <a:off x="13411200" y="159303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152400</xdr:colOff>
      <xdr:row>779</xdr:row>
      <xdr:rowOff>106680</xdr:rowOff>
    </xdr:to>
    <xdr:sp macro="" textlink="">
      <xdr:nvSpPr>
        <xdr:cNvPr id="9021" name="AutoShape 1277" descr="HUNGARY2"/>
        <xdr:cNvSpPr>
          <a:spLocks noChangeAspect="1" noChangeArrowheads="1"/>
        </xdr:cNvSpPr>
      </xdr:nvSpPr>
      <xdr:spPr bwMode="auto">
        <a:xfrm>
          <a:off x="0" y="159478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779</xdr:row>
      <xdr:rowOff>0</xdr:rowOff>
    </xdr:from>
    <xdr:to>
      <xdr:col>22</xdr:col>
      <xdr:colOff>304800</xdr:colOff>
      <xdr:row>780</xdr:row>
      <xdr:rowOff>129540</xdr:rowOff>
    </xdr:to>
    <xdr:sp macro="" textlink="">
      <xdr:nvSpPr>
        <xdr:cNvPr id="9022" name="AutoShape 1278" descr="https://www.soccerstats.com/img/own/sshplogo.png">
          <a:hlinkClick xmlns:r="http://schemas.openxmlformats.org/officeDocument/2006/relationships" r:id="rId809"/>
        </xdr:cNvPr>
        <xdr:cNvSpPr>
          <a:spLocks noChangeAspect="1" noChangeArrowheads="1"/>
        </xdr:cNvSpPr>
      </xdr:nvSpPr>
      <xdr:spPr bwMode="auto">
        <a:xfrm>
          <a:off x="13411200" y="159478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152400</xdr:colOff>
      <xdr:row>780</xdr:row>
      <xdr:rowOff>106680</xdr:rowOff>
    </xdr:to>
    <xdr:sp macro="" textlink="">
      <xdr:nvSpPr>
        <xdr:cNvPr id="9023" name="AutoShape 1279" descr="HUNGARY2"/>
        <xdr:cNvSpPr>
          <a:spLocks noChangeAspect="1" noChangeArrowheads="1"/>
        </xdr:cNvSpPr>
      </xdr:nvSpPr>
      <xdr:spPr bwMode="auto">
        <a:xfrm>
          <a:off x="0" y="159654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780</xdr:row>
      <xdr:rowOff>0</xdr:rowOff>
    </xdr:from>
    <xdr:to>
      <xdr:col>22</xdr:col>
      <xdr:colOff>304800</xdr:colOff>
      <xdr:row>781</xdr:row>
      <xdr:rowOff>129540</xdr:rowOff>
    </xdr:to>
    <xdr:sp macro="" textlink="">
      <xdr:nvSpPr>
        <xdr:cNvPr id="9024" name="AutoShape 1280" descr="https://www.soccerstats.com/img/own/sshplogo.png">
          <a:hlinkClick xmlns:r="http://schemas.openxmlformats.org/officeDocument/2006/relationships" r:id="rId810"/>
        </xdr:cNvPr>
        <xdr:cNvSpPr>
          <a:spLocks noChangeAspect="1" noChangeArrowheads="1"/>
        </xdr:cNvSpPr>
      </xdr:nvSpPr>
      <xdr:spPr bwMode="auto">
        <a:xfrm>
          <a:off x="13411200" y="159654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152400</xdr:colOff>
      <xdr:row>781</xdr:row>
      <xdr:rowOff>106680</xdr:rowOff>
    </xdr:to>
    <xdr:sp macro="" textlink="">
      <xdr:nvSpPr>
        <xdr:cNvPr id="9025" name="AutoShape 1281" descr="ICELAND"/>
        <xdr:cNvSpPr>
          <a:spLocks noChangeAspect="1" noChangeArrowheads="1"/>
        </xdr:cNvSpPr>
      </xdr:nvSpPr>
      <xdr:spPr bwMode="auto">
        <a:xfrm>
          <a:off x="0" y="159829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781</xdr:row>
      <xdr:rowOff>0</xdr:rowOff>
    </xdr:from>
    <xdr:to>
      <xdr:col>22</xdr:col>
      <xdr:colOff>304800</xdr:colOff>
      <xdr:row>782</xdr:row>
      <xdr:rowOff>129540</xdr:rowOff>
    </xdr:to>
    <xdr:sp macro="" textlink="">
      <xdr:nvSpPr>
        <xdr:cNvPr id="9026" name="AutoShape 1282" descr="https://www.soccerstats.com/img/own/sshplogo.png">
          <a:hlinkClick xmlns:r="http://schemas.openxmlformats.org/officeDocument/2006/relationships" r:id="rId811"/>
        </xdr:cNvPr>
        <xdr:cNvSpPr>
          <a:spLocks noChangeAspect="1" noChangeArrowheads="1"/>
        </xdr:cNvSpPr>
      </xdr:nvSpPr>
      <xdr:spPr bwMode="auto">
        <a:xfrm>
          <a:off x="13411200" y="15982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152400</xdr:colOff>
      <xdr:row>782</xdr:row>
      <xdr:rowOff>106680</xdr:rowOff>
    </xdr:to>
    <xdr:sp macro="" textlink="">
      <xdr:nvSpPr>
        <xdr:cNvPr id="9027" name="AutoShape 1283" descr="ICELAND"/>
        <xdr:cNvSpPr>
          <a:spLocks noChangeAspect="1" noChangeArrowheads="1"/>
        </xdr:cNvSpPr>
      </xdr:nvSpPr>
      <xdr:spPr bwMode="auto">
        <a:xfrm>
          <a:off x="0" y="160004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782</xdr:row>
      <xdr:rowOff>0</xdr:rowOff>
    </xdr:from>
    <xdr:to>
      <xdr:col>22</xdr:col>
      <xdr:colOff>304800</xdr:colOff>
      <xdr:row>783</xdr:row>
      <xdr:rowOff>129540</xdr:rowOff>
    </xdr:to>
    <xdr:sp macro="" textlink="">
      <xdr:nvSpPr>
        <xdr:cNvPr id="9028" name="AutoShape 1284" descr="https://www.soccerstats.com/img/own/sshplogo.png">
          <a:hlinkClick xmlns:r="http://schemas.openxmlformats.org/officeDocument/2006/relationships" r:id="rId812"/>
        </xdr:cNvPr>
        <xdr:cNvSpPr>
          <a:spLocks noChangeAspect="1" noChangeArrowheads="1"/>
        </xdr:cNvSpPr>
      </xdr:nvSpPr>
      <xdr:spPr bwMode="auto">
        <a:xfrm>
          <a:off x="13411200" y="160004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152400</xdr:colOff>
      <xdr:row>783</xdr:row>
      <xdr:rowOff>106680</xdr:rowOff>
    </xdr:to>
    <xdr:sp macro="" textlink="">
      <xdr:nvSpPr>
        <xdr:cNvPr id="9029" name="AutoShape 1285" descr="ICELAND"/>
        <xdr:cNvSpPr>
          <a:spLocks noChangeAspect="1" noChangeArrowheads="1"/>
        </xdr:cNvSpPr>
      </xdr:nvSpPr>
      <xdr:spPr bwMode="auto">
        <a:xfrm>
          <a:off x="0" y="160180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783</xdr:row>
      <xdr:rowOff>0</xdr:rowOff>
    </xdr:from>
    <xdr:to>
      <xdr:col>22</xdr:col>
      <xdr:colOff>304800</xdr:colOff>
      <xdr:row>784</xdr:row>
      <xdr:rowOff>129540</xdr:rowOff>
    </xdr:to>
    <xdr:sp macro="" textlink="">
      <xdr:nvSpPr>
        <xdr:cNvPr id="9030" name="AutoShape 1286" descr="https://www.soccerstats.com/img/own/sshplogo.png">
          <a:hlinkClick xmlns:r="http://schemas.openxmlformats.org/officeDocument/2006/relationships" r:id="rId813"/>
        </xdr:cNvPr>
        <xdr:cNvSpPr>
          <a:spLocks noChangeAspect="1" noChangeArrowheads="1"/>
        </xdr:cNvSpPr>
      </xdr:nvSpPr>
      <xdr:spPr bwMode="auto">
        <a:xfrm>
          <a:off x="13411200" y="160180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152400</xdr:colOff>
      <xdr:row>784</xdr:row>
      <xdr:rowOff>106680</xdr:rowOff>
    </xdr:to>
    <xdr:sp macro="" textlink="">
      <xdr:nvSpPr>
        <xdr:cNvPr id="9031" name="AutoShape 1287" descr="JAPAN2"/>
        <xdr:cNvSpPr>
          <a:spLocks noChangeAspect="1" noChangeArrowheads="1"/>
        </xdr:cNvSpPr>
      </xdr:nvSpPr>
      <xdr:spPr bwMode="auto">
        <a:xfrm>
          <a:off x="0" y="160355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784</xdr:row>
      <xdr:rowOff>0</xdr:rowOff>
    </xdr:from>
    <xdr:to>
      <xdr:col>22</xdr:col>
      <xdr:colOff>304800</xdr:colOff>
      <xdr:row>785</xdr:row>
      <xdr:rowOff>53340</xdr:rowOff>
    </xdr:to>
    <xdr:sp macro="" textlink="">
      <xdr:nvSpPr>
        <xdr:cNvPr id="9032" name="AutoShape 1288" descr="https://www.soccerstats.com/img/own/sshplogo.png">
          <a:hlinkClick xmlns:r="http://schemas.openxmlformats.org/officeDocument/2006/relationships" r:id="rId814"/>
        </xdr:cNvPr>
        <xdr:cNvSpPr>
          <a:spLocks noChangeAspect="1" noChangeArrowheads="1"/>
        </xdr:cNvSpPr>
      </xdr:nvSpPr>
      <xdr:spPr bwMode="auto">
        <a:xfrm>
          <a:off x="13411200" y="160355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152400</xdr:colOff>
      <xdr:row>785</xdr:row>
      <xdr:rowOff>106680</xdr:rowOff>
    </xdr:to>
    <xdr:sp macro="" textlink="">
      <xdr:nvSpPr>
        <xdr:cNvPr id="9033" name="AutoShape 1289" descr="JAPAN2"/>
        <xdr:cNvSpPr>
          <a:spLocks noChangeAspect="1" noChangeArrowheads="1"/>
        </xdr:cNvSpPr>
      </xdr:nvSpPr>
      <xdr:spPr bwMode="auto">
        <a:xfrm>
          <a:off x="0" y="160606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785</xdr:row>
      <xdr:rowOff>0</xdr:rowOff>
    </xdr:from>
    <xdr:to>
      <xdr:col>22</xdr:col>
      <xdr:colOff>304800</xdr:colOff>
      <xdr:row>786</xdr:row>
      <xdr:rowOff>129540</xdr:rowOff>
    </xdr:to>
    <xdr:sp macro="" textlink="">
      <xdr:nvSpPr>
        <xdr:cNvPr id="9034" name="AutoShape 1290" descr="https://www.soccerstats.com/img/own/sshplogo.png">
          <a:hlinkClick xmlns:r="http://schemas.openxmlformats.org/officeDocument/2006/relationships" r:id="rId815"/>
        </xdr:cNvPr>
        <xdr:cNvSpPr>
          <a:spLocks noChangeAspect="1" noChangeArrowheads="1"/>
        </xdr:cNvSpPr>
      </xdr:nvSpPr>
      <xdr:spPr bwMode="auto">
        <a:xfrm>
          <a:off x="13411200" y="160606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152400</xdr:colOff>
      <xdr:row>786</xdr:row>
      <xdr:rowOff>106680</xdr:rowOff>
    </xdr:to>
    <xdr:sp macro="" textlink="">
      <xdr:nvSpPr>
        <xdr:cNvPr id="9035" name="AutoShape 1291" descr="JAPAN3"/>
        <xdr:cNvSpPr>
          <a:spLocks noChangeAspect="1" noChangeArrowheads="1"/>
        </xdr:cNvSpPr>
      </xdr:nvSpPr>
      <xdr:spPr bwMode="auto">
        <a:xfrm>
          <a:off x="0" y="1607820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786</xdr:row>
      <xdr:rowOff>0</xdr:rowOff>
    </xdr:from>
    <xdr:to>
      <xdr:col>22</xdr:col>
      <xdr:colOff>304800</xdr:colOff>
      <xdr:row>787</xdr:row>
      <xdr:rowOff>53340</xdr:rowOff>
    </xdr:to>
    <xdr:sp macro="" textlink="">
      <xdr:nvSpPr>
        <xdr:cNvPr id="9036" name="AutoShape 1292" descr="https://www.soccerstats.com/img/own/sshplogo.png">
          <a:hlinkClick xmlns:r="http://schemas.openxmlformats.org/officeDocument/2006/relationships" r:id="rId816"/>
        </xdr:cNvPr>
        <xdr:cNvSpPr>
          <a:spLocks noChangeAspect="1" noChangeArrowheads="1"/>
        </xdr:cNvSpPr>
      </xdr:nvSpPr>
      <xdr:spPr bwMode="auto">
        <a:xfrm>
          <a:off x="13411200" y="16078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152400</xdr:colOff>
      <xdr:row>787</xdr:row>
      <xdr:rowOff>106680</xdr:rowOff>
    </xdr:to>
    <xdr:sp macro="" textlink="">
      <xdr:nvSpPr>
        <xdr:cNvPr id="9037" name="AutoShape 1293" descr="JAPAN3"/>
        <xdr:cNvSpPr>
          <a:spLocks noChangeAspect="1" noChangeArrowheads="1"/>
        </xdr:cNvSpPr>
      </xdr:nvSpPr>
      <xdr:spPr bwMode="auto">
        <a:xfrm>
          <a:off x="0" y="1610334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787</xdr:row>
      <xdr:rowOff>0</xdr:rowOff>
    </xdr:from>
    <xdr:to>
      <xdr:col>22</xdr:col>
      <xdr:colOff>304800</xdr:colOff>
      <xdr:row>788</xdr:row>
      <xdr:rowOff>53340</xdr:rowOff>
    </xdr:to>
    <xdr:sp macro="" textlink="">
      <xdr:nvSpPr>
        <xdr:cNvPr id="9038" name="AutoShape 1294" descr="https://www.soccerstats.com/img/own/sshplogo.png">
          <a:hlinkClick xmlns:r="http://schemas.openxmlformats.org/officeDocument/2006/relationships" r:id="rId817"/>
        </xdr:cNvPr>
        <xdr:cNvSpPr>
          <a:spLocks noChangeAspect="1" noChangeArrowheads="1"/>
        </xdr:cNvSpPr>
      </xdr:nvSpPr>
      <xdr:spPr bwMode="auto">
        <a:xfrm>
          <a:off x="13411200" y="161033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152400</xdr:colOff>
      <xdr:row>788</xdr:row>
      <xdr:rowOff>106680</xdr:rowOff>
    </xdr:to>
    <xdr:sp macro="" textlink="">
      <xdr:nvSpPr>
        <xdr:cNvPr id="9039" name="AutoShape 1295" descr="JAPAN3"/>
        <xdr:cNvSpPr>
          <a:spLocks noChangeAspect="1" noChangeArrowheads="1"/>
        </xdr:cNvSpPr>
      </xdr:nvSpPr>
      <xdr:spPr bwMode="auto">
        <a:xfrm>
          <a:off x="0" y="161284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788</xdr:row>
      <xdr:rowOff>0</xdr:rowOff>
    </xdr:from>
    <xdr:to>
      <xdr:col>22</xdr:col>
      <xdr:colOff>304800</xdr:colOff>
      <xdr:row>789</xdr:row>
      <xdr:rowOff>53340</xdr:rowOff>
    </xdr:to>
    <xdr:sp macro="" textlink="">
      <xdr:nvSpPr>
        <xdr:cNvPr id="9040" name="AutoShape 1296" descr="https://www.soccerstats.com/img/own/sshplogo.png">
          <a:hlinkClick xmlns:r="http://schemas.openxmlformats.org/officeDocument/2006/relationships" r:id="rId818"/>
        </xdr:cNvPr>
        <xdr:cNvSpPr>
          <a:spLocks noChangeAspect="1" noChangeArrowheads="1"/>
        </xdr:cNvSpPr>
      </xdr:nvSpPr>
      <xdr:spPr bwMode="auto">
        <a:xfrm>
          <a:off x="13411200" y="161284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152400</xdr:colOff>
      <xdr:row>789</xdr:row>
      <xdr:rowOff>106680</xdr:rowOff>
    </xdr:to>
    <xdr:sp macro="" textlink="">
      <xdr:nvSpPr>
        <xdr:cNvPr id="9041" name="AutoShape 1297" descr="JAPAN3"/>
        <xdr:cNvSpPr>
          <a:spLocks noChangeAspect="1" noChangeArrowheads="1"/>
        </xdr:cNvSpPr>
      </xdr:nvSpPr>
      <xdr:spPr bwMode="auto">
        <a:xfrm>
          <a:off x="0" y="161536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789</xdr:row>
      <xdr:rowOff>0</xdr:rowOff>
    </xdr:from>
    <xdr:to>
      <xdr:col>22</xdr:col>
      <xdr:colOff>304800</xdr:colOff>
      <xdr:row>790</xdr:row>
      <xdr:rowOff>53340</xdr:rowOff>
    </xdr:to>
    <xdr:sp macro="" textlink="">
      <xdr:nvSpPr>
        <xdr:cNvPr id="9042" name="AutoShape 1298" descr="https://www.soccerstats.com/img/own/sshplogo.png">
          <a:hlinkClick xmlns:r="http://schemas.openxmlformats.org/officeDocument/2006/relationships" r:id="rId819"/>
        </xdr:cNvPr>
        <xdr:cNvSpPr>
          <a:spLocks noChangeAspect="1" noChangeArrowheads="1"/>
        </xdr:cNvSpPr>
      </xdr:nvSpPr>
      <xdr:spPr bwMode="auto">
        <a:xfrm>
          <a:off x="13411200" y="161536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152400</xdr:colOff>
      <xdr:row>790</xdr:row>
      <xdr:rowOff>106680</xdr:rowOff>
    </xdr:to>
    <xdr:sp macro="" textlink="">
      <xdr:nvSpPr>
        <xdr:cNvPr id="9043" name="AutoShape 1299" descr="KAZAKHSTAN"/>
        <xdr:cNvSpPr>
          <a:spLocks noChangeAspect="1" noChangeArrowheads="1"/>
        </xdr:cNvSpPr>
      </xdr:nvSpPr>
      <xdr:spPr bwMode="auto">
        <a:xfrm>
          <a:off x="0" y="161787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790</xdr:row>
      <xdr:rowOff>0</xdr:rowOff>
    </xdr:from>
    <xdr:to>
      <xdr:col>22</xdr:col>
      <xdr:colOff>304800</xdr:colOff>
      <xdr:row>791</xdr:row>
      <xdr:rowOff>129540</xdr:rowOff>
    </xdr:to>
    <xdr:sp macro="" textlink="">
      <xdr:nvSpPr>
        <xdr:cNvPr id="9044" name="AutoShape 1300" descr="https://www.soccerstats.com/img/own/sshplogo.png">
          <a:hlinkClick xmlns:r="http://schemas.openxmlformats.org/officeDocument/2006/relationships" r:id="rId820"/>
        </xdr:cNvPr>
        <xdr:cNvSpPr>
          <a:spLocks noChangeAspect="1" noChangeArrowheads="1"/>
        </xdr:cNvSpPr>
      </xdr:nvSpPr>
      <xdr:spPr bwMode="auto">
        <a:xfrm>
          <a:off x="13411200" y="161787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152400</xdr:colOff>
      <xdr:row>791</xdr:row>
      <xdr:rowOff>106680</xdr:rowOff>
    </xdr:to>
    <xdr:sp macro="" textlink="">
      <xdr:nvSpPr>
        <xdr:cNvPr id="9045" name="AutoShape 1301" descr="KAZAKHSTAN"/>
        <xdr:cNvSpPr>
          <a:spLocks noChangeAspect="1" noChangeArrowheads="1"/>
        </xdr:cNvSpPr>
      </xdr:nvSpPr>
      <xdr:spPr bwMode="auto">
        <a:xfrm>
          <a:off x="0" y="161963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791</xdr:row>
      <xdr:rowOff>0</xdr:rowOff>
    </xdr:from>
    <xdr:to>
      <xdr:col>22</xdr:col>
      <xdr:colOff>304800</xdr:colOff>
      <xdr:row>792</xdr:row>
      <xdr:rowOff>53340</xdr:rowOff>
    </xdr:to>
    <xdr:sp macro="" textlink="">
      <xdr:nvSpPr>
        <xdr:cNvPr id="9046" name="AutoShape 1302" descr="https://www.soccerstats.com/img/own/sshplogo.png">
          <a:hlinkClick xmlns:r="http://schemas.openxmlformats.org/officeDocument/2006/relationships" r:id="rId823"/>
        </xdr:cNvPr>
        <xdr:cNvSpPr>
          <a:spLocks noChangeAspect="1" noChangeArrowheads="1"/>
        </xdr:cNvSpPr>
      </xdr:nvSpPr>
      <xdr:spPr bwMode="auto">
        <a:xfrm>
          <a:off x="13411200" y="16196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792</xdr:row>
      <xdr:rowOff>0</xdr:rowOff>
    </xdr:from>
    <xdr:to>
      <xdr:col>0</xdr:col>
      <xdr:colOff>152400</xdr:colOff>
      <xdr:row>792</xdr:row>
      <xdr:rowOff>106680</xdr:rowOff>
    </xdr:to>
    <xdr:sp macro="" textlink="">
      <xdr:nvSpPr>
        <xdr:cNvPr id="9047" name="AutoShape 1303" descr="KAZAKHSTAN"/>
        <xdr:cNvSpPr>
          <a:spLocks noChangeAspect="1" noChangeArrowheads="1"/>
        </xdr:cNvSpPr>
      </xdr:nvSpPr>
      <xdr:spPr bwMode="auto">
        <a:xfrm>
          <a:off x="0" y="1622145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792</xdr:row>
      <xdr:rowOff>0</xdr:rowOff>
    </xdr:from>
    <xdr:to>
      <xdr:col>22</xdr:col>
      <xdr:colOff>304800</xdr:colOff>
      <xdr:row>793</xdr:row>
      <xdr:rowOff>129540</xdr:rowOff>
    </xdr:to>
    <xdr:sp macro="" textlink="">
      <xdr:nvSpPr>
        <xdr:cNvPr id="9048" name="AutoShape 1304" descr="https://www.soccerstats.com/img/own/sshplogo.png">
          <a:hlinkClick xmlns:r="http://schemas.openxmlformats.org/officeDocument/2006/relationships" r:id="rId821"/>
        </xdr:cNvPr>
        <xdr:cNvSpPr>
          <a:spLocks noChangeAspect="1" noChangeArrowheads="1"/>
        </xdr:cNvSpPr>
      </xdr:nvSpPr>
      <xdr:spPr bwMode="auto">
        <a:xfrm>
          <a:off x="13411200" y="162214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152400</xdr:colOff>
      <xdr:row>793</xdr:row>
      <xdr:rowOff>106680</xdr:rowOff>
    </xdr:to>
    <xdr:sp macro="" textlink="">
      <xdr:nvSpPr>
        <xdr:cNvPr id="9049" name="AutoShape 1305" descr="KAZAKHSTAN"/>
        <xdr:cNvSpPr>
          <a:spLocks noChangeAspect="1" noChangeArrowheads="1"/>
        </xdr:cNvSpPr>
      </xdr:nvSpPr>
      <xdr:spPr bwMode="auto">
        <a:xfrm>
          <a:off x="0" y="162389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793</xdr:row>
      <xdr:rowOff>0</xdr:rowOff>
    </xdr:from>
    <xdr:to>
      <xdr:col>22</xdr:col>
      <xdr:colOff>304800</xdr:colOff>
      <xdr:row>794</xdr:row>
      <xdr:rowOff>129540</xdr:rowOff>
    </xdr:to>
    <xdr:sp macro="" textlink="">
      <xdr:nvSpPr>
        <xdr:cNvPr id="9050" name="AutoShape 1306" descr="https://www.soccerstats.com/img/own/sshplogo.png">
          <a:hlinkClick xmlns:r="http://schemas.openxmlformats.org/officeDocument/2006/relationships" r:id="rId822"/>
        </xdr:cNvPr>
        <xdr:cNvSpPr>
          <a:spLocks noChangeAspect="1" noChangeArrowheads="1"/>
        </xdr:cNvSpPr>
      </xdr:nvSpPr>
      <xdr:spPr bwMode="auto">
        <a:xfrm>
          <a:off x="13411200" y="162389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152400</xdr:colOff>
      <xdr:row>794</xdr:row>
      <xdr:rowOff>106680</xdr:rowOff>
    </xdr:to>
    <xdr:sp macro="" textlink="">
      <xdr:nvSpPr>
        <xdr:cNvPr id="9051" name="AutoShape 1307" descr="LITHUANIA"/>
        <xdr:cNvSpPr>
          <a:spLocks noChangeAspect="1" noChangeArrowheads="1"/>
        </xdr:cNvSpPr>
      </xdr:nvSpPr>
      <xdr:spPr bwMode="auto">
        <a:xfrm>
          <a:off x="0" y="1625650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794</xdr:row>
      <xdr:rowOff>0</xdr:rowOff>
    </xdr:from>
    <xdr:to>
      <xdr:col>22</xdr:col>
      <xdr:colOff>304800</xdr:colOff>
      <xdr:row>795</xdr:row>
      <xdr:rowOff>53340</xdr:rowOff>
    </xdr:to>
    <xdr:sp macro="" textlink="">
      <xdr:nvSpPr>
        <xdr:cNvPr id="9052" name="AutoShape 1308" descr="https://www.soccerstats.com/img/own/sshplogo.png">
          <a:hlinkClick xmlns:r="http://schemas.openxmlformats.org/officeDocument/2006/relationships" r:id="rId824"/>
        </xdr:cNvPr>
        <xdr:cNvSpPr>
          <a:spLocks noChangeAspect="1" noChangeArrowheads="1"/>
        </xdr:cNvSpPr>
      </xdr:nvSpPr>
      <xdr:spPr bwMode="auto">
        <a:xfrm>
          <a:off x="13411200" y="162565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152400</xdr:colOff>
      <xdr:row>795</xdr:row>
      <xdr:rowOff>106680</xdr:rowOff>
    </xdr:to>
    <xdr:sp macro="" textlink="">
      <xdr:nvSpPr>
        <xdr:cNvPr id="9053" name="AutoShape 1309" descr="LITHUANIA"/>
        <xdr:cNvSpPr>
          <a:spLocks noChangeAspect="1" noChangeArrowheads="1"/>
        </xdr:cNvSpPr>
      </xdr:nvSpPr>
      <xdr:spPr bwMode="auto">
        <a:xfrm>
          <a:off x="0" y="162816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795</xdr:row>
      <xdr:rowOff>0</xdr:rowOff>
    </xdr:from>
    <xdr:to>
      <xdr:col>22</xdr:col>
      <xdr:colOff>304800</xdr:colOff>
      <xdr:row>796</xdr:row>
      <xdr:rowOff>129540</xdr:rowOff>
    </xdr:to>
    <xdr:sp macro="" textlink="">
      <xdr:nvSpPr>
        <xdr:cNvPr id="9054" name="AutoShape 1310" descr="https://www.soccerstats.com/img/own/sshplogo.png">
          <a:hlinkClick xmlns:r="http://schemas.openxmlformats.org/officeDocument/2006/relationships" r:id="rId825"/>
        </xdr:cNvPr>
        <xdr:cNvSpPr>
          <a:spLocks noChangeAspect="1" noChangeArrowheads="1"/>
        </xdr:cNvSpPr>
      </xdr:nvSpPr>
      <xdr:spPr bwMode="auto">
        <a:xfrm>
          <a:off x="13411200" y="162816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152400</xdr:colOff>
      <xdr:row>796</xdr:row>
      <xdr:rowOff>106680</xdr:rowOff>
    </xdr:to>
    <xdr:sp macro="" textlink="">
      <xdr:nvSpPr>
        <xdr:cNvPr id="9055" name="AutoShape 1311" descr="MEXICO"/>
        <xdr:cNvSpPr>
          <a:spLocks noChangeAspect="1" noChangeArrowheads="1"/>
        </xdr:cNvSpPr>
      </xdr:nvSpPr>
      <xdr:spPr bwMode="auto">
        <a:xfrm>
          <a:off x="0" y="162991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796</xdr:row>
      <xdr:rowOff>0</xdr:rowOff>
    </xdr:from>
    <xdr:to>
      <xdr:col>22</xdr:col>
      <xdr:colOff>304800</xdr:colOff>
      <xdr:row>797</xdr:row>
      <xdr:rowOff>129540</xdr:rowOff>
    </xdr:to>
    <xdr:sp macro="" textlink="">
      <xdr:nvSpPr>
        <xdr:cNvPr id="9056" name="AutoShape 1312" descr="https://www.soccerstats.com/img/own/sshplogo.png">
          <a:hlinkClick xmlns:r="http://schemas.openxmlformats.org/officeDocument/2006/relationships" r:id="rId826"/>
        </xdr:cNvPr>
        <xdr:cNvSpPr>
          <a:spLocks noChangeAspect="1" noChangeArrowheads="1"/>
        </xdr:cNvSpPr>
      </xdr:nvSpPr>
      <xdr:spPr bwMode="auto">
        <a:xfrm>
          <a:off x="13411200" y="16299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152400</xdr:colOff>
      <xdr:row>797</xdr:row>
      <xdr:rowOff>106680</xdr:rowOff>
    </xdr:to>
    <xdr:sp macro="" textlink="">
      <xdr:nvSpPr>
        <xdr:cNvPr id="9057" name="AutoShape 1313" descr="MEXICO"/>
        <xdr:cNvSpPr>
          <a:spLocks noChangeAspect="1" noChangeArrowheads="1"/>
        </xdr:cNvSpPr>
      </xdr:nvSpPr>
      <xdr:spPr bwMode="auto">
        <a:xfrm>
          <a:off x="0" y="163167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797</xdr:row>
      <xdr:rowOff>0</xdr:rowOff>
    </xdr:from>
    <xdr:to>
      <xdr:col>22</xdr:col>
      <xdr:colOff>304800</xdr:colOff>
      <xdr:row>798</xdr:row>
      <xdr:rowOff>129540</xdr:rowOff>
    </xdr:to>
    <xdr:sp macro="" textlink="">
      <xdr:nvSpPr>
        <xdr:cNvPr id="9058" name="AutoShape 1314" descr="https://www.soccerstats.com/img/own/sshplogo.png">
          <a:hlinkClick xmlns:r="http://schemas.openxmlformats.org/officeDocument/2006/relationships" r:id="rId827"/>
        </xdr:cNvPr>
        <xdr:cNvSpPr>
          <a:spLocks noChangeAspect="1" noChangeArrowheads="1"/>
        </xdr:cNvSpPr>
      </xdr:nvSpPr>
      <xdr:spPr bwMode="auto">
        <a:xfrm>
          <a:off x="13411200" y="163167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152400</xdr:colOff>
      <xdr:row>798</xdr:row>
      <xdr:rowOff>106680</xdr:rowOff>
    </xdr:to>
    <xdr:sp macro="" textlink="">
      <xdr:nvSpPr>
        <xdr:cNvPr id="9059" name="AutoShape 1315" descr="MEXICO"/>
        <xdr:cNvSpPr>
          <a:spLocks noChangeAspect="1" noChangeArrowheads="1"/>
        </xdr:cNvSpPr>
      </xdr:nvSpPr>
      <xdr:spPr bwMode="auto">
        <a:xfrm>
          <a:off x="0" y="163342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798</xdr:row>
      <xdr:rowOff>0</xdr:rowOff>
    </xdr:from>
    <xdr:to>
      <xdr:col>22</xdr:col>
      <xdr:colOff>304800</xdr:colOff>
      <xdr:row>799</xdr:row>
      <xdr:rowOff>53340</xdr:rowOff>
    </xdr:to>
    <xdr:sp macro="" textlink="">
      <xdr:nvSpPr>
        <xdr:cNvPr id="9060" name="AutoShape 1316" descr="https://www.soccerstats.com/img/own/sshplogo.png">
          <a:hlinkClick xmlns:r="http://schemas.openxmlformats.org/officeDocument/2006/relationships" r:id="rId828"/>
        </xdr:cNvPr>
        <xdr:cNvSpPr>
          <a:spLocks noChangeAspect="1" noChangeArrowheads="1"/>
        </xdr:cNvSpPr>
      </xdr:nvSpPr>
      <xdr:spPr bwMode="auto">
        <a:xfrm>
          <a:off x="13411200" y="163342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152400</xdr:colOff>
      <xdr:row>799</xdr:row>
      <xdr:rowOff>106680</xdr:rowOff>
    </xdr:to>
    <xdr:sp macro="" textlink="">
      <xdr:nvSpPr>
        <xdr:cNvPr id="9061" name="AutoShape 1317" descr="MEXICO"/>
        <xdr:cNvSpPr>
          <a:spLocks noChangeAspect="1" noChangeArrowheads="1"/>
        </xdr:cNvSpPr>
      </xdr:nvSpPr>
      <xdr:spPr bwMode="auto">
        <a:xfrm>
          <a:off x="0" y="163593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799</xdr:row>
      <xdr:rowOff>0</xdr:rowOff>
    </xdr:from>
    <xdr:to>
      <xdr:col>22</xdr:col>
      <xdr:colOff>304800</xdr:colOff>
      <xdr:row>800</xdr:row>
      <xdr:rowOff>129540</xdr:rowOff>
    </xdr:to>
    <xdr:sp macro="" textlink="">
      <xdr:nvSpPr>
        <xdr:cNvPr id="9062" name="AutoShape 1318" descr="https://www.soccerstats.com/img/own/sshplogo.png">
          <a:hlinkClick xmlns:r="http://schemas.openxmlformats.org/officeDocument/2006/relationships" r:id="rId829"/>
        </xdr:cNvPr>
        <xdr:cNvSpPr>
          <a:spLocks noChangeAspect="1" noChangeArrowheads="1"/>
        </xdr:cNvSpPr>
      </xdr:nvSpPr>
      <xdr:spPr bwMode="auto">
        <a:xfrm>
          <a:off x="13411200" y="163593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152400</xdr:colOff>
      <xdr:row>800</xdr:row>
      <xdr:rowOff>106680</xdr:rowOff>
    </xdr:to>
    <xdr:sp macro="" textlink="">
      <xdr:nvSpPr>
        <xdr:cNvPr id="9063" name="AutoShape 1319" descr="MOLDOVA"/>
        <xdr:cNvSpPr>
          <a:spLocks noChangeAspect="1" noChangeArrowheads="1"/>
        </xdr:cNvSpPr>
      </xdr:nvSpPr>
      <xdr:spPr bwMode="auto">
        <a:xfrm>
          <a:off x="0" y="1637690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800</xdr:row>
      <xdr:rowOff>0</xdr:rowOff>
    </xdr:from>
    <xdr:to>
      <xdr:col>22</xdr:col>
      <xdr:colOff>304800</xdr:colOff>
      <xdr:row>801</xdr:row>
      <xdr:rowOff>129540</xdr:rowOff>
    </xdr:to>
    <xdr:sp macro="" textlink="">
      <xdr:nvSpPr>
        <xdr:cNvPr id="9064" name="AutoShape 1320" descr="https://www.soccerstats.com/img/own/sshplogo.png">
          <a:hlinkClick xmlns:r="http://schemas.openxmlformats.org/officeDocument/2006/relationships" r:id="rId830"/>
        </xdr:cNvPr>
        <xdr:cNvSpPr>
          <a:spLocks noChangeAspect="1" noChangeArrowheads="1"/>
        </xdr:cNvSpPr>
      </xdr:nvSpPr>
      <xdr:spPr bwMode="auto">
        <a:xfrm>
          <a:off x="13411200" y="163769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152400</xdr:colOff>
      <xdr:row>801</xdr:row>
      <xdr:rowOff>106680</xdr:rowOff>
    </xdr:to>
    <xdr:sp macro="" textlink="">
      <xdr:nvSpPr>
        <xdr:cNvPr id="9065" name="AutoShape 1321" descr="MOLDOVA"/>
        <xdr:cNvSpPr>
          <a:spLocks noChangeAspect="1" noChangeArrowheads="1"/>
        </xdr:cNvSpPr>
      </xdr:nvSpPr>
      <xdr:spPr bwMode="auto">
        <a:xfrm>
          <a:off x="0" y="1639443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801</xdr:row>
      <xdr:rowOff>0</xdr:rowOff>
    </xdr:from>
    <xdr:to>
      <xdr:col>22</xdr:col>
      <xdr:colOff>304800</xdr:colOff>
      <xdr:row>802</xdr:row>
      <xdr:rowOff>53340</xdr:rowOff>
    </xdr:to>
    <xdr:sp macro="" textlink="">
      <xdr:nvSpPr>
        <xdr:cNvPr id="9066" name="AutoShape 1322" descr="https://www.soccerstats.com/img/own/sshplogo.png">
          <a:hlinkClick xmlns:r="http://schemas.openxmlformats.org/officeDocument/2006/relationships" r:id="rId831"/>
        </xdr:cNvPr>
        <xdr:cNvSpPr>
          <a:spLocks noChangeAspect="1" noChangeArrowheads="1"/>
        </xdr:cNvSpPr>
      </xdr:nvSpPr>
      <xdr:spPr bwMode="auto">
        <a:xfrm>
          <a:off x="13411200" y="16394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152400</xdr:colOff>
      <xdr:row>802</xdr:row>
      <xdr:rowOff>106680</xdr:rowOff>
    </xdr:to>
    <xdr:sp macro="" textlink="">
      <xdr:nvSpPr>
        <xdr:cNvPr id="9067" name="AutoShape 1323" descr="MONTENEGRO"/>
        <xdr:cNvSpPr>
          <a:spLocks noChangeAspect="1" noChangeArrowheads="1"/>
        </xdr:cNvSpPr>
      </xdr:nvSpPr>
      <xdr:spPr bwMode="auto">
        <a:xfrm>
          <a:off x="0" y="1641957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802</xdr:row>
      <xdr:rowOff>0</xdr:rowOff>
    </xdr:from>
    <xdr:to>
      <xdr:col>22</xdr:col>
      <xdr:colOff>304800</xdr:colOff>
      <xdr:row>803</xdr:row>
      <xdr:rowOff>129540</xdr:rowOff>
    </xdr:to>
    <xdr:sp macro="" textlink="">
      <xdr:nvSpPr>
        <xdr:cNvPr id="9068" name="AutoShape 1324" descr="https://www.soccerstats.com/img/own/sshplogo.png">
          <a:hlinkClick xmlns:r="http://schemas.openxmlformats.org/officeDocument/2006/relationships" r:id="rId832"/>
        </xdr:cNvPr>
        <xdr:cNvSpPr>
          <a:spLocks noChangeAspect="1" noChangeArrowheads="1"/>
        </xdr:cNvSpPr>
      </xdr:nvSpPr>
      <xdr:spPr bwMode="auto">
        <a:xfrm>
          <a:off x="13411200" y="164195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152400</xdr:colOff>
      <xdr:row>803</xdr:row>
      <xdr:rowOff>106680</xdr:rowOff>
    </xdr:to>
    <xdr:sp macro="" textlink="">
      <xdr:nvSpPr>
        <xdr:cNvPr id="9069" name="AutoShape 1325" descr="MONTENEGRO"/>
        <xdr:cNvSpPr>
          <a:spLocks noChangeAspect="1" noChangeArrowheads="1"/>
        </xdr:cNvSpPr>
      </xdr:nvSpPr>
      <xdr:spPr bwMode="auto">
        <a:xfrm>
          <a:off x="0" y="1643710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803</xdr:row>
      <xdr:rowOff>0</xdr:rowOff>
    </xdr:from>
    <xdr:to>
      <xdr:col>22</xdr:col>
      <xdr:colOff>304800</xdr:colOff>
      <xdr:row>804</xdr:row>
      <xdr:rowOff>129540</xdr:rowOff>
    </xdr:to>
    <xdr:sp macro="" textlink="">
      <xdr:nvSpPr>
        <xdr:cNvPr id="9070" name="AutoShape 1326" descr="https://www.soccerstats.com/img/own/sshplogo.png">
          <a:hlinkClick xmlns:r="http://schemas.openxmlformats.org/officeDocument/2006/relationships" r:id="rId833"/>
        </xdr:cNvPr>
        <xdr:cNvSpPr>
          <a:spLocks noChangeAspect="1" noChangeArrowheads="1"/>
        </xdr:cNvSpPr>
      </xdr:nvSpPr>
      <xdr:spPr bwMode="auto">
        <a:xfrm>
          <a:off x="13411200" y="1643710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152400</xdr:colOff>
      <xdr:row>804</xdr:row>
      <xdr:rowOff>106680</xdr:rowOff>
    </xdr:to>
    <xdr:sp macro="" textlink="">
      <xdr:nvSpPr>
        <xdr:cNvPr id="9071" name="AutoShape 1327" descr="MONTENEGRO"/>
        <xdr:cNvSpPr>
          <a:spLocks noChangeAspect="1" noChangeArrowheads="1"/>
        </xdr:cNvSpPr>
      </xdr:nvSpPr>
      <xdr:spPr bwMode="auto">
        <a:xfrm>
          <a:off x="0" y="164546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804</xdr:row>
      <xdr:rowOff>0</xdr:rowOff>
    </xdr:from>
    <xdr:to>
      <xdr:col>22</xdr:col>
      <xdr:colOff>304800</xdr:colOff>
      <xdr:row>805</xdr:row>
      <xdr:rowOff>129540</xdr:rowOff>
    </xdr:to>
    <xdr:sp macro="" textlink="">
      <xdr:nvSpPr>
        <xdr:cNvPr id="9072" name="AutoShape 1328" descr="https://www.soccerstats.com/img/own/sshplogo.png">
          <a:hlinkClick xmlns:r="http://schemas.openxmlformats.org/officeDocument/2006/relationships" r:id="rId834"/>
        </xdr:cNvPr>
        <xdr:cNvSpPr>
          <a:spLocks noChangeAspect="1" noChangeArrowheads="1"/>
        </xdr:cNvSpPr>
      </xdr:nvSpPr>
      <xdr:spPr bwMode="auto">
        <a:xfrm>
          <a:off x="13411200" y="164546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152400</xdr:colOff>
      <xdr:row>805</xdr:row>
      <xdr:rowOff>106680</xdr:rowOff>
    </xdr:to>
    <xdr:sp macro="" textlink="">
      <xdr:nvSpPr>
        <xdr:cNvPr id="9073" name="AutoShape 1329" descr="NORWAY"/>
        <xdr:cNvSpPr>
          <a:spLocks noChangeAspect="1" noChangeArrowheads="1"/>
        </xdr:cNvSpPr>
      </xdr:nvSpPr>
      <xdr:spPr bwMode="auto">
        <a:xfrm>
          <a:off x="0" y="1647215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805</xdr:row>
      <xdr:rowOff>0</xdr:rowOff>
    </xdr:from>
    <xdr:to>
      <xdr:col>22</xdr:col>
      <xdr:colOff>304800</xdr:colOff>
      <xdr:row>806</xdr:row>
      <xdr:rowOff>129540</xdr:rowOff>
    </xdr:to>
    <xdr:sp macro="" textlink="">
      <xdr:nvSpPr>
        <xdr:cNvPr id="9074" name="AutoShape 1330" descr="https://www.soccerstats.com/img/own/sshplogo.png">
          <a:hlinkClick xmlns:r="http://schemas.openxmlformats.org/officeDocument/2006/relationships" r:id="rId835"/>
        </xdr:cNvPr>
        <xdr:cNvSpPr>
          <a:spLocks noChangeAspect="1" noChangeArrowheads="1"/>
        </xdr:cNvSpPr>
      </xdr:nvSpPr>
      <xdr:spPr bwMode="auto">
        <a:xfrm>
          <a:off x="13411200" y="1647215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806</xdr:row>
      <xdr:rowOff>0</xdr:rowOff>
    </xdr:from>
    <xdr:to>
      <xdr:col>0</xdr:col>
      <xdr:colOff>152400</xdr:colOff>
      <xdr:row>806</xdr:row>
      <xdr:rowOff>106680</xdr:rowOff>
    </xdr:to>
    <xdr:sp macro="" textlink="">
      <xdr:nvSpPr>
        <xdr:cNvPr id="9075" name="AutoShape 1331" descr="NORWAY"/>
        <xdr:cNvSpPr>
          <a:spLocks noChangeAspect="1" noChangeArrowheads="1"/>
        </xdr:cNvSpPr>
      </xdr:nvSpPr>
      <xdr:spPr bwMode="auto">
        <a:xfrm>
          <a:off x="0" y="164896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806</xdr:row>
      <xdr:rowOff>0</xdr:rowOff>
    </xdr:from>
    <xdr:to>
      <xdr:col>22</xdr:col>
      <xdr:colOff>304800</xdr:colOff>
      <xdr:row>807</xdr:row>
      <xdr:rowOff>129540</xdr:rowOff>
    </xdr:to>
    <xdr:sp macro="" textlink="">
      <xdr:nvSpPr>
        <xdr:cNvPr id="9076" name="AutoShape 1332" descr="https://www.soccerstats.com/img/own/sshplogo.png">
          <a:hlinkClick xmlns:r="http://schemas.openxmlformats.org/officeDocument/2006/relationships" r:id="rId836"/>
        </xdr:cNvPr>
        <xdr:cNvSpPr>
          <a:spLocks noChangeAspect="1" noChangeArrowheads="1"/>
        </xdr:cNvSpPr>
      </xdr:nvSpPr>
      <xdr:spPr bwMode="auto">
        <a:xfrm>
          <a:off x="13411200" y="16489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807</xdr:row>
      <xdr:rowOff>0</xdr:rowOff>
    </xdr:from>
    <xdr:to>
      <xdr:col>0</xdr:col>
      <xdr:colOff>152400</xdr:colOff>
      <xdr:row>807</xdr:row>
      <xdr:rowOff>106680</xdr:rowOff>
    </xdr:to>
    <xdr:sp macro="" textlink="">
      <xdr:nvSpPr>
        <xdr:cNvPr id="9077" name="AutoShape 1333" descr="NORWAY"/>
        <xdr:cNvSpPr>
          <a:spLocks noChangeAspect="1" noChangeArrowheads="1"/>
        </xdr:cNvSpPr>
      </xdr:nvSpPr>
      <xdr:spPr bwMode="auto">
        <a:xfrm>
          <a:off x="0" y="165072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807</xdr:row>
      <xdr:rowOff>0</xdr:rowOff>
    </xdr:from>
    <xdr:to>
      <xdr:col>22</xdr:col>
      <xdr:colOff>304800</xdr:colOff>
      <xdr:row>808</xdr:row>
      <xdr:rowOff>129540</xdr:rowOff>
    </xdr:to>
    <xdr:sp macro="" textlink="">
      <xdr:nvSpPr>
        <xdr:cNvPr id="9078" name="AutoShape 1334" descr="https://www.soccerstats.com/img/own/sshplogo.png">
          <a:hlinkClick xmlns:r="http://schemas.openxmlformats.org/officeDocument/2006/relationships" r:id="rId837"/>
        </xdr:cNvPr>
        <xdr:cNvSpPr>
          <a:spLocks noChangeAspect="1" noChangeArrowheads="1"/>
        </xdr:cNvSpPr>
      </xdr:nvSpPr>
      <xdr:spPr bwMode="auto">
        <a:xfrm>
          <a:off x="13411200" y="165072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808</xdr:row>
      <xdr:rowOff>0</xdr:rowOff>
    </xdr:from>
    <xdr:to>
      <xdr:col>0</xdr:col>
      <xdr:colOff>152400</xdr:colOff>
      <xdr:row>808</xdr:row>
      <xdr:rowOff>106680</xdr:rowOff>
    </xdr:to>
    <xdr:sp macro="" textlink="">
      <xdr:nvSpPr>
        <xdr:cNvPr id="9079" name="AutoShape 1335" descr="NORWAY"/>
        <xdr:cNvSpPr>
          <a:spLocks noChangeAspect="1" noChangeArrowheads="1"/>
        </xdr:cNvSpPr>
      </xdr:nvSpPr>
      <xdr:spPr bwMode="auto">
        <a:xfrm>
          <a:off x="0" y="1652473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808</xdr:row>
      <xdr:rowOff>0</xdr:rowOff>
    </xdr:from>
    <xdr:to>
      <xdr:col>22</xdr:col>
      <xdr:colOff>304800</xdr:colOff>
      <xdr:row>809</xdr:row>
      <xdr:rowOff>129540</xdr:rowOff>
    </xdr:to>
    <xdr:sp macro="" textlink="">
      <xdr:nvSpPr>
        <xdr:cNvPr id="9080" name="AutoShape 1336" descr="https://www.soccerstats.com/img/own/sshplogo.png">
          <a:hlinkClick xmlns:r="http://schemas.openxmlformats.org/officeDocument/2006/relationships" r:id="rId838"/>
        </xdr:cNvPr>
        <xdr:cNvSpPr>
          <a:spLocks noChangeAspect="1" noChangeArrowheads="1"/>
        </xdr:cNvSpPr>
      </xdr:nvSpPr>
      <xdr:spPr bwMode="auto">
        <a:xfrm>
          <a:off x="13411200" y="165247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152400</xdr:colOff>
      <xdr:row>809</xdr:row>
      <xdr:rowOff>106680</xdr:rowOff>
    </xdr:to>
    <xdr:sp macro="" textlink="">
      <xdr:nvSpPr>
        <xdr:cNvPr id="9081" name="AutoShape 1337" descr="NORWAY"/>
        <xdr:cNvSpPr>
          <a:spLocks noChangeAspect="1" noChangeArrowheads="1"/>
        </xdr:cNvSpPr>
      </xdr:nvSpPr>
      <xdr:spPr bwMode="auto">
        <a:xfrm>
          <a:off x="0" y="165422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809</xdr:row>
      <xdr:rowOff>0</xdr:rowOff>
    </xdr:from>
    <xdr:to>
      <xdr:col>22</xdr:col>
      <xdr:colOff>304800</xdr:colOff>
      <xdr:row>810</xdr:row>
      <xdr:rowOff>129540</xdr:rowOff>
    </xdr:to>
    <xdr:sp macro="" textlink="">
      <xdr:nvSpPr>
        <xdr:cNvPr id="9082" name="AutoShape 1338" descr="https://www.soccerstats.com/img/own/sshplogo.png">
          <a:hlinkClick xmlns:r="http://schemas.openxmlformats.org/officeDocument/2006/relationships" r:id="rId839"/>
        </xdr:cNvPr>
        <xdr:cNvSpPr>
          <a:spLocks noChangeAspect="1" noChangeArrowheads="1"/>
        </xdr:cNvSpPr>
      </xdr:nvSpPr>
      <xdr:spPr bwMode="auto">
        <a:xfrm>
          <a:off x="13411200" y="165422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810</xdr:row>
      <xdr:rowOff>0</xdr:rowOff>
    </xdr:from>
    <xdr:to>
      <xdr:col>0</xdr:col>
      <xdr:colOff>152400</xdr:colOff>
      <xdr:row>810</xdr:row>
      <xdr:rowOff>106680</xdr:rowOff>
    </xdr:to>
    <xdr:sp macro="" textlink="">
      <xdr:nvSpPr>
        <xdr:cNvPr id="9083" name="AutoShape 1339" descr="NORWAY2"/>
        <xdr:cNvSpPr>
          <a:spLocks noChangeAspect="1" noChangeArrowheads="1"/>
        </xdr:cNvSpPr>
      </xdr:nvSpPr>
      <xdr:spPr bwMode="auto">
        <a:xfrm>
          <a:off x="0" y="165597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810</xdr:row>
      <xdr:rowOff>0</xdr:rowOff>
    </xdr:from>
    <xdr:to>
      <xdr:col>22</xdr:col>
      <xdr:colOff>304800</xdr:colOff>
      <xdr:row>811</xdr:row>
      <xdr:rowOff>129540</xdr:rowOff>
    </xdr:to>
    <xdr:sp macro="" textlink="">
      <xdr:nvSpPr>
        <xdr:cNvPr id="9084" name="AutoShape 1340" descr="https://www.soccerstats.com/img/own/sshplogo.png">
          <a:hlinkClick xmlns:r="http://schemas.openxmlformats.org/officeDocument/2006/relationships" r:id="rId840"/>
        </xdr:cNvPr>
        <xdr:cNvSpPr>
          <a:spLocks noChangeAspect="1" noChangeArrowheads="1"/>
        </xdr:cNvSpPr>
      </xdr:nvSpPr>
      <xdr:spPr bwMode="auto">
        <a:xfrm>
          <a:off x="13411200" y="165597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152400</xdr:colOff>
      <xdr:row>811</xdr:row>
      <xdr:rowOff>106680</xdr:rowOff>
    </xdr:to>
    <xdr:sp macro="" textlink="">
      <xdr:nvSpPr>
        <xdr:cNvPr id="9085" name="AutoShape 1341" descr="NORWAY2"/>
        <xdr:cNvSpPr>
          <a:spLocks noChangeAspect="1" noChangeArrowheads="1"/>
        </xdr:cNvSpPr>
      </xdr:nvSpPr>
      <xdr:spPr bwMode="auto">
        <a:xfrm>
          <a:off x="0" y="165773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811</xdr:row>
      <xdr:rowOff>0</xdr:rowOff>
    </xdr:from>
    <xdr:to>
      <xdr:col>22</xdr:col>
      <xdr:colOff>304800</xdr:colOff>
      <xdr:row>812</xdr:row>
      <xdr:rowOff>129540</xdr:rowOff>
    </xdr:to>
    <xdr:sp macro="" textlink="">
      <xdr:nvSpPr>
        <xdr:cNvPr id="9086" name="AutoShape 1342" descr="https://www.soccerstats.com/img/own/sshplogo.png">
          <a:hlinkClick xmlns:r="http://schemas.openxmlformats.org/officeDocument/2006/relationships" r:id="rId841"/>
        </xdr:cNvPr>
        <xdr:cNvSpPr>
          <a:spLocks noChangeAspect="1" noChangeArrowheads="1"/>
        </xdr:cNvSpPr>
      </xdr:nvSpPr>
      <xdr:spPr bwMode="auto">
        <a:xfrm>
          <a:off x="13411200" y="16577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152400</xdr:colOff>
      <xdr:row>812</xdr:row>
      <xdr:rowOff>106680</xdr:rowOff>
    </xdr:to>
    <xdr:sp macro="" textlink="">
      <xdr:nvSpPr>
        <xdr:cNvPr id="9087" name="AutoShape 1343" descr="NORWAY2"/>
        <xdr:cNvSpPr>
          <a:spLocks noChangeAspect="1" noChangeArrowheads="1"/>
        </xdr:cNvSpPr>
      </xdr:nvSpPr>
      <xdr:spPr bwMode="auto">
        <a:xfrm>
          <a:off x="0" y="165948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812</xdr:row>
      <xdr:rowOff>0</xdr:rowOff>
    </xdr:from>
    <xdr:to>
      <xdr:col>22</xdr:col>
      <xdr:colOff>304800</xdr:colOff>
      <xdr:row>813</xdr:row>
      <xdr:rowOff>129540</xdr:rowOff>
    </xdr:to>
    <xdr:sp macro="" textlink="">
      <xdr:nvSpPr>
        <xdr:cNvPr id="9088" name="AutoShape 1344" descr="https://www.soccerstats.com/img/own/sshplogo.png">
          <a:hlinkClick xmlns:r="http://schemas.openxmlformats.org/officeDocument/2006/relationships" r:id="rId842"/>
        </xdr:cNvPr>
        <xdr:cNvSpPr>
          <a:spLocks noChangeAspect="1" noChangeArrowheads="1"/>
        </xdr:cNvSpPr>
      </xdr:nvSpPr>
      <xdr:spPr bwMode="auto">
        <a:xfrm>
          <a:off x="13411200" y="165948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152400</xdr:colOff>
      <xdr:row>813</xdr:row>
      <xdr:rowOff>106680</xdr:rowOff>
    </xdr:to>
    <xdr:sp macro="" textlink="">
      <xdr:nvSpPr>
        <xdr:cNvPr id="9089" name="AutoShape 1345" descr="NORWAY2"/>
        <xdr:cNvSpPr>
          <a:spLocks noChangeAspect="1" noChangeArrowheads="1"/>
        </xdr:cNvSpPr>
      </xdr:nvSpPr>
      <xdr:spPr bwMode="auto">
        <a:xfrm>
          <a:off x="0" y="166123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813</xdr:row>
      <xdr:rowOff>0</xdr:rowOff>
    </xdr:from>
    <xdr:to>
      <xdr:col>22</xdr:col>
      <xdr:colOff>304800</xdr:colOff>
      <xdr:row>814</xdr:row>
      <xdr:rowOff>129540</xdr:rowOff>
    </xdr:to>
    <xdr:sp macro="" textlink="">
      <xdr:nvSpPr>
        <xdr:cNvPr id="9090" name="AutoShape 1346" descr="https://www.soccerstats.com/img/own/sshplogo.png">
          <a:hlinkClick xmlns:r="http://schemas.openxmlformats.org/officeDocument/2006/relationships" r:id="rId843"/>
        </xdr:cNvPr>
        <xdr:cNvSpPr>
          <a:spLocks noChangeAspect="1" noChangeArrowheads="1"/>
        </xdr:cNvSpPr>
      </xdr:nvSpPr>
      <xdr:spPr bwMode="auto">
        <a:xfrm>
          <a:off x="13411200" y="166123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814</xdr:row>
      <xdr:rowOff>0</xdr:rowOff>
    </xdr:from>
    <xdr:to>
      <xdr:col>0</xdr:col>
      <xdr:colOff>152400</xdr:colOff>
      <xdr:row>814</xdr:row>
      <xdr:rowOff>106680</xdr:rowOff>
    </xdr:to>
    <xdr:sp macro="" textlink="">
      <xdr:nvSpPr>
        <xdr:cNvPr id="9091" name="AutoShape 1347" descr="NORWAY2"/>
        <xdr:cNvSpPr>
          <a:spLocks noChangeAspect="1" noChangeArrowheads="1"/>
        </xdr:cNvSpPr>
      </xdr:nvSpPr>
      <xdr:spPr bwMode="auto">
        <a:xfrm>
          <a:off x="0" y="166298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814</xdr:row>
      <xdr:rowOff>0</xdr:rowOff>
    </xdr:from>
    <xdr:to>
      <xdr:col>22</xdr:col>
      <xdr:colOff>304800</xdr:colOff>
      <xdr:row>815</xdr:row>
      <xdr:rowOff>129540</xdr:rowOff>
    </xdr:to>
    <xdr:sp macro="" textlink="">
      <xdr:nvSpPr>
        <xdr:cNvPr id="9092" name="AutoShape 1348" descr="https://www.soccerstats.com/img/own/sshplogo.png">
          <a:hlinkClick xmlns:r="http://schemas.openxmlformats.org/officeDocument/2006/relationships" r:id="rId844"/>
        </xdr:cNvPr>
        <xdr:cNvSpPr>
          <a:spLocks noChangeAspect="1" noChangeArrowheads="1"/>
        </xdr:cNvSpPr>
      </xdr:nvSpPr>
      <xdr:spPr bwMode="auto">
        <a:xfrm>
          <a:off x="13411200" y="166298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152400</xdr:colOff>
      <xdr:row>815</xdr:row>
      <xdr:rowOff>106680</xdr:rowOff>
    </xdr:to>
    <xdr:sp macro="" textlink="">
      <xdr:nvSpPr>
        <xdr:cNvPr id="9093" name="AutoShape 1349" descr="NORWAY3"/>
        <xdr:cNvSpPr>
          <a:spLocks noChangeAspect="1" noChangeArrowheads="1"/>
        </xdr:cNvSpPr>
      </xdr:nvSpPr>
      <xdr:spPr bwMode="auto">
        <a:xfrm>
          <a:off x="0" y="166474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815</xdr:row>
      <xdr:rowOff>0</xdr:rowOff>
    </xdr:from>
    <xdr:to>
      <xdr:col>22</xdr:col>
      <xdr:colOff>304800</xdr:colOff>
      <xdr:row>816</xdr:row>
      <xdr:rowOff>129540</xdr:rowOff>
    </xdr:to>
    <xdr:sp macro="" textlink="">
      <xdr:nvSpPr>
        <xdr:cNvPr id="9094" name="AutoShape 1350" descr="https://www.soccerstats.com/img/own/sshplogo.png">
          <a:hlinkClick xmlns:r="http://schemas.openxmlformats.org/officeDocument/2006/relationships" r:id="rId845"/>
        </xdr:cNvPr>
        <xdr:cNvSpPr>
          <a:spLocks noChangeAspect="1" noChangeArrowheads="1"/>
        </xdr:cNvSpPr>
      </xdr:nvSpPr>
      <xdr:spPr bwMode="auto">
        <a:xfrm>
          <a:off x="13411200" y="166474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152400</xdr:colOff>
      <xdr:row>816</xdr:row>
      <xdr:rowOff>106680</xdr:rowOff>
    </xdr:to>
    <xdr:sp macro="" textlink="">
      <xdr:nvSpPr>
        <xdr:cNvPr id="9095" name="AutoShape 1351" descr="NORWAY3"/>
        <xdr:cNvSpPr>
          <a:spLocks noChangeAspect="1" noChangeArrowheads="1"/>
        </xdr:cNvSpPr>
      </xdr:nvSpPr>
      <xdr:spPr bwMode="auto">
        <a:xfrm>
          <a:off x="0" y="166649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816</xdr:row>
      <xdr:rowOff>0</xdr:rowOff>
    </xdr:from>
    <xdr:to>
      <xdr:col>22</xdr:col>
      <xdr:colOff>304800</xdr:colOff>
      <xdr:row>817</xdr:row>
      <xdr:rowOff>53340</xdr:rowOff>
    </xdr:to>
    <xdr:sp macro="" textlink="">
      <xdr:nvSpPr>
        <xdr:cNvPr id="9096" name="AutoShape 1352" descr="https://www.soccerstats.com/img/own/sshplogo.png">
          <a:hlinkClick xmlns:r="http://schemas.openxmlformats.org/officeDocument/2006/relationships" r:id="rId846"/>
        </xdr:cNvPr>
        <xdr:cNvSpPr>
          <a:spLocks noChangeAspect="1" noChangeArrowheads="1"/>
        </xdr:cNvSpPr>
      </xdr:nvSpPr>
      <xdr:spPr bwMode="auto">
        <a:xfrm>
          <a:off x="13411200" y="16664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817</xdr:row>
      <xdr:rowOff>0</xdr:rowOff>
    </xdr:from>
    <xdr:to>
      <xdr:col>0</xdr:col>
      <xdr:colOff>152400</xdr:colOff>
      <xdr:row>817</xdr:row>
      <xdr:rowOff>106680</xdr:rowOff>
    </xdr:to>
    <xdr:sp macro="" textlink="">
      <xdr:nvSpPr>
        <xdr:cNvPr id="9097" name="AutoShape 1353" descr="NORWAY3"/>
        <xdr:cNvSpPr>
          <a:spLocks noChangeAspect="1" noChangeArrowheads="1"/>
        </xdr:cNvSpPr>
      </xdr:nvSpPr>
      <xdr:spPr bwMode="auto">
        <a:xfrm>
          <a:off x="0" y="166900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817</xdr:row>
      <xdr:rowOff>0</xdr:rowOff>
    </xdr:from>
    <xdr:to>
      <xdr:col>22</xdr:col>
      <xdr:colOff>304800</xdr:colOff>
      <xdr:row>818</xdr:row>
      <xdr:rowOff>129540</xdr:rowOff>
    </xdr:to>
    <xdr:sp macro="" textlink="">
      <xdr:nvSpPr>
        <xdr:cNvPr id="9098" name="AutoShape 1354" descr="https://www.soccerstats.com/img/own/sshplogo.png">
          <a:hlinkClick xmlns:r="http://schemas.openxmlformats.org/officeDocument/2006/relationships" r:id="rId847"/>
        </xdr:cNvPr>
        <xdr:cNvSpPr>
          <a:spLocks noChangeAspect="1" noChangeArrowheads="1"/>
        </xdr:cNvSpPr>
      </xdr:nvSpPr>
      <xdr:spPr bwMode="auto">
        <a:xfrm>
          <a:off x="13411200" y="166900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152400</xdr:colOff>
      <xdr:row>818</xdr:row>
      <xdr:rowOff>106680</xdr:rowOff>
    </xdr:to>
    <xdr:sp macro="" textlink="">
      <xdr:nvSpPr>
        <xdr:cNvPr id="9099" name="AutoShape 1355" descr="NORWAY4"/>
        <xdr:cNvSpPr>
          <a:spLocks noChangeAspect="1" noChangeArrowheads="1"/>
        </xdr:cNvSpPr>
      </xdr:nvSpPr>
      <xdr:spPr bwMode="auto">
        <a:xfrm>
          <a:off x="0" y="167076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818</xdr:row>
      <xdr:rowOff>0</xdr:rowOff>
    </xdr:from>
    <xdr:to>
      <xdr:col>22</xdr:col>
      <xdr:colOff>304800</xdr:colOff>
      <xdr:row>819</xdr:row>
      <xdr:rowOff>129540</xdr:rowOff>
    </xdr:to>
    <xdr:sp macro="" textlink="">
      <xdr:nvSpPr>
        <xdr:cNvPr id="9100" name="AutoShape 1356" descr="https://www.soccerstats.com/img/own/sshplogo.png">
          <a:hlinkClick xmlns:r="http://schemas.openxmlformats.org/officeDocument/2006/relationships" r:id="rId848"/>
        </xdr:cNvPr>
        <xdr:cNvSpPr>
          <a:spLocks noChangeAspect="1" noChangeArrowheads="1"/>
        </xdr:cNvSpPr>
      </xdr:nvSpPr>
      <xdr:spPr bwMode="auto">
        <a:xfrm>
          <a:off x="13411200" y="167076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152400</xdr:colOff>
      <xdr:row>819</xdr:row>
      <xdr:rowOff>106680</xdr:rowOff>
    </xdr:to>
    <xdr:sp macro="" textlink="">
      <xdr:nvSpPr>
        <xdr:cNvPr id="9101" name="AutoShape 1357" descr="NORWAY4"/>
        <xdr:cNvSpPr>
          <a:spLocks noChangeAspect="1" noChangeArrowheads="1"/>
        </xdr:cNvSpPr>
      </xdr:nvSpPr>
      <xdr:spPr bwMode="auto">
        <a:xfrm>
          <a:off x="0" y="167251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819</xdr:row>
      <xdr:rowOff>0</xdr:rowOff>
    </xdr:from>
    <xdr:to>
      <xdr:col>22</xdr:col>
      <xdr:colOff>304800</xdr:colOff>
      <xdr:row>820</xdr:row>
      <xdr:rowOff>129540</xdr:rowOff>
    </xdr:to>
    <xdr:sp macro="" textlink="">
      <xdr:nvSpPr>
        <xdr:cNvPr id="9102" name="AutoShape 1358" descr="https://www.soccerstats.com/img/own/sshplogo.png">
          <a:hlinkClick xmlns:r="http://schemas.openxmlformats.org/officeDocument/2006/relationships" r:id="rId849"/>
        </xdr:cNvPr>
        <xdr:cNvSpPr>
          <a:spLocks noChangeAspect="1" noChangeArrowheads="1"/>
        </xdr:cNvSpPr>
      </xdr:nvSpPr>
      <xdr:spPr bwMode="auto">
        <a:xfrm>
          <a:off x="13411200" y="167251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152400</xdr:colOff>
      <xdr:row>820</xdr:row>
      <xdr:rowOff>106680</xdr:rowOff>
    </xdr:to>
    <xdr:sp macro="" textlink="">
      <xdr:nvSpPr>
        <xdr:cNvPr id="9103" name="AutoShape 1359" descr="NORWAY4"/>
        <xdr:cNvSpPr>
          <a:spLocks noChangeAspect="1" noChangeArrowheads="1"/>
        </xdr:cNvSpPr>
      </xdr:nvSpPr>
      <xdr:spPr bwMode="auto">
        <a:xfrm>
          <a:off x="0" y="167426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820</xdr:row>
      <xdr:rowOff>0</xdr:rowOff>
    </xdr:from>
    <xdr:to>
      <xdr:col>22</xdr:col>
      <xdr:colOff>304800</xdr:colOff>
      <xdr:row>821</xdr:row>
      <xdr:rowOff>129540</xdr:rowOff>
    </xdr:to>
    <xdr:sp macro="" textlink="">
      <xdr:nvSpPr>
        <xdr:cNvPr id="9104" name="AutoShape 1360" descr="https://www.soccerstats.com/img/own/sshplogo.png">
          <a:hlinkClick xmlns:r="http://schemas.openxmlformats.org/officeDocument/2006/relationships" r:id="rId850"/>
        </xdr:cNvPr>
        <xdr:cNvSpPr>
          <a:spLocks noChangeAspect="1" noChangeArrowheads="1"/>
        </xdr:cNvSpPr>
      </xdr:nvSpPr>
      <xdr:spPr bwMode="auto">
        <a:xfrm>
          <a:off x="13411200" y="167426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152400</xdr:colOff>
      <xdr:row>821</xdr:row>
      <xdr:rowOff>106680</xdr:rowOff>
    </xdr:to>
    <xdr:sp macro="" textlink="">
      <xdr:nvSpPr>
        <xdr:cNvPr id="9105" name="AutoShape 1361" descr="NORWAY4"/>
        <xdr:cNvSpPr>
          <a:spLocks noChangeAspect="1" noChangeArrowheads="1"/>
        </xdr:cNvSpPr>
      </xdr:nvSpPr>
      <xdr:spPr bwMode="auto">
        <a:xfrm>
          <a:off x="0" y="167601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821</xdr:row>
      <xdr:rowOff>0</xdr:rowOff>
    </xdr:from>
    <xdr:to>
      <xdr:col>22</xdr:col>
      <xdr:colOff>304800</xdr:colOff>
      <xdr:row>822</xdr:row>
      <xdr:rowOff>53340</xdr:rowOff>
    </xdr:to>
    <xdr:sp macro="" textlink="">
      <xdr:nvSpPr>
        <xdr:cNvPr id="9106" name="AutoShape 1362" descr="https://www.soccerstats.com/img/own/sshplogo.png">
          <a:hlinkClick xmlns:r="http://schemas.openxmlformats.org/officeDocument/2006/relationships" r:id="rId851"/>
        </xdr:cNvPr>
        <xdr:cNvSpPr>
          <a:spLocks noChangeAspect="1" noChangeArrowheads="1"/>
        </xdr:cNvSpPr>
      </xdr:nvSpPr>
      <xdr:spPr bwMode="auto">
        <a:xfrm>
          <a:off x="13411200" y="167601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822</xdr:row>
      <xdr:rowOff>0</xdr:rowOff>
    </xdr:from>
    <xdr:to>
      <xdr:col>0</xdr:col>
      <xdr:colOff>152400</xdr:colOff>
      <xdr:row>822</xdr:row>
      <xdr:rowOff>106680</xdr:rowOff>
    </xdr:to>
    <xdr:sp macro="" textlink="">
      <xdr:nvSpPr>
        <xdr:cNvPr id="9107" name="AutoShape 1363" descr="NORWAY4"/>
        <xdr:cNvSpPr>
          <a:spLocks noChangeAspect="1" noChangeArrowheads="1"/>
        </xdr:cNvSpPr>
      </xdr:nvSpPr>
      <xdr:spPr bwMode="auto">
        <a:xfrm>
          <a:off x="0" y="167853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822</xdr:row>
      <xdr:rowOff>0</xdr:rowOff>
    </xdr:from>
    <xdr:to>
      <xdr:col>22</xdr:col>
      <xdr:colOff>304800</xdr:colOff>
      <xdr:row>823</xdr:row>
      <xdr:rowOff>129540</xdr:rowOff>
    </xdr:to>
    <xdr:sp macro="" textlink="">
      <xdr:nvSpPr>
        <xdr:cNvPr id="9108" name="AutoShape 1364" descr="https://www.soccerstats.com/img/own/sshplogo.png">
          <a:hlinkClick xmlns:r="http://schemas.openxmlformats.org/officeDocument/2006/relationships" r:id="rId852"/>
        </xdr:cNvPr>
        <xdr:cNvSpPr>
          <a:spLocks noChangeAspect="1" noChangeArrowheads="1"/>
        </xdr:cNvSpPr>
      </xdr:nvSpPr>
      <xdr:spPr bwMode="auto">
        <a:xfrm>
          <a:off x="13411200" y="167853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823</xdr:row>
      <xdr:rowOff>0</xdr:rowOff>
    </xdr:from>
    <xdr:to>
      <xdr:col>0</xdr:col>
      <xdr:colOff>152400</xdr:colOff>
      <xdr:row>823</xdr:row>
      <xdr:rowOff>106680</xdr:rowOff>
    </xdr:to>
    <xdr:sp macro="" textlink="">
      <xdr:nvSpPr>
        <xdr:cNvPr id="9109" name="AutoShape 1365" descr="NORWAY4"/>
        <xdr:cNvSpPr>
          <a:spLocks noChangeAspect="1" noChangeArrowheads="1"/>
        </xdr:cNvSpPr>
      </xdr:nvSpPr>
      <xdr:spPr bwMode="auto">
        <a:xfrm>
          <a:off x="0" y="168028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823</xdr:row>
      <xdr:rowOff>0</xdr:rowOff>
    </xdr:from>
    <xdr:to>
      <xdr:col>22</xdr:col>
      <xdr:colOff>304800</xdr:colOff>
      <xdr:row>824</xdr:row>
      <xdr:rowOff>129540</xdr:rowOff>
    </xdr:to>
    <xdr:sp macro="" textlink="">
      <xdr:nvSpPr>
        <xdr:cNvPr id="9110" name="AutoShape 1366" descr="https://www.soccerstats.com/img/own/sshplogo.png">
          <a:hlinkClick xmlns:r="http://schemas.openxmlformats.org/officeDocument/2006/relationships" r:id="rId853"/>
        </xdr:cNvPr>
        <xdr:cNvSpPr>
          <a:spLocks noChangeAspect="1" noChangeArrowheads="1"/>
        </xdr:cNvSpPr>
      </xdr:nvSpPr>
      <xdr:spPr bwMode="auto">
        <a:xfrm>
          <a:off x="13411200" y="168028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824</xdr:row>
      <xdr:rowOff>0</xdr:rowOff>
    </xdr:from>
    <xdr:to>
      <xdr:col>0</xdr:col>
      <xdr:colOff>152400</xdr:colOff>
      <xdr:row>824</xdr:row>
      <xdr:rowOff>106680</xdr:rowOff>
    </xdr:to>
    <xdr:sp macro="" textlink="">
      <xdr:nvSpPr>
        <xdr:cNvPr id="9111" name="AutoShape 1367" descr="PARAGUAY2"/>
        <xdr:cNvSpPr>
          <a:spLocks noChangeAspect="1" noChangeArrowheads="1"/>
        </xdr:cNvSpPr>
      </xdr:nvSpPr>
      <xdr:spPr bwMode="auto">
        <a:xfrm>
          <a:off x="0" y="168203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824</xdr:row>
      <xdr:rowOff>0</xdr:rowOff>
    </xdr:from>
    <xdr:to>
      <xdr:col>22</xdr:col>
      <xdr:colOff>304800</xdr:colOff>
      <xdr:row>825</xdr:row>
      <xdr:rowOff>53340</xdr:rowOff>
    </xdr:to>
    <xdr:sp macro="" textlink="">
      <xdr:nvSpPr>
        <xdr:cNvPr id="9112" name="AutoShape 1368" descr="https://www.soccerstats.com/img/own/sshplogo.png">
          <a:hlinkClick xmlns:r="http://schemas.openxmlformats.org/officeDocument/2006/relationships" r:id="rId854"/>
        </xdr:cNvPr>
        <xdr:cNvSpPr>
          <a:spLocks noChangeAspect="1" noChangeArrowheads="1"/>
        </xdr:cNvSpPr>
      </xdr:nvSpPr>
      <xdr:spPr bwMode="auto">
        <a:xfrm>
          <a:off x="13411200" y="168203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825</xdr:row>
      <xdr:rowOff>0</xdr:rowOff>
    </xdr:from>
    <xdr:to>
      <xdr:col>0</xdr:col>
      <xdr:colOff>152400</xdr:colOff>
      <xdr:row>825</xdr:row>
      <xdr:rowOff>106680</xdr:rowOff>
    </xdr:to>
    <xdr:sp macro="" textlink="">
      <xdr:nvSpPr>
        <xdr:cNvPr id="9113" name="AutoShape 1369" descr="PARAGUAY2"/>
        <xdr:cNvSpPr>
          <a:spLocks noChangeAspect="1" noChangeArrowheads="1"/>
        </xdr:cNvSpPr>
      </xdr:nvSpPr>
      <xdr:spPr bwMode="auto">
        <a:xfrm>
          <a:off x="0" y="168455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825</xdr:row>
      <xdr:rowOff>0</xdr:rowOff>
    </xdr:from>
    <xdr:to>
      <xdr:col>22</xdr:col>
      <xdr:colOff>304800</xdr:colOff>
      <xdr:row>826</xdr:row>
      <xdr:rowOff>129540</xdr:rowOff>
    </xdr:to>
    <xdr:sp macro="" textlink="">
      <xdr:nvSpPr>
        <xdr:cNvPr id="9114" name="AutoShape 1370" descr="https://www.soccerstats.com/img/own/sshplogo.png">
          <a:hlinkClick xmlns:r="http://schemas.openxmlformats.org/officeDocument/2006/relationships" r:id="rId855"/>
        </xdr:cNvPr>
        <xdr:cNvSpPr>
          <a:spLocks noChangeAspect="1" noChangeArrowheads="1"/>
        </xdr:cNvSpPr>
      </xdr:nvSpPr>
      <xdr:spPr bwMode="auto">
        <a:xfrm>
          <a:off x="13411200" y="168455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826</xdr:row>
      <xdr:rowOff>0</xdr:rowOff>
    </xdr:from>
    <xdr:to>
      <xdr:col>0</xdr:col>
      <xdr:colOff>152400</xdr:colOff>
      <xdr:row>826</xdr:row>
      <xdr:rowOff>106680</xdr:rowOff>
    </xdr:to>
    <xdr:sp macro="" textlink="">
      <xdr:nvSpPr>
        <xdr:cNvPr id="9115" name="AutoShape 1371" descr="PARAGUAY2"/>
        <xdr:cNvSpPr>
          <a:spLocks noChangeAspect="1" noChangeArrowheads="1"/>
        </xdr:cNvSpPr>
      </xdr:nvSpPr>
      <xdr:spPr bwMode="auto">
        <a:xfrm>
          <a:off x="0" y="168630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826</xdr:row>
      <xdr:rowOff>0</xdr:rowOff>
    </xdr:from>
    <xdr:to>
      <xdr:col>22</xdr:col>
      <xdr:colOff>304800</xdr:colOff>
      <xdr:row>827</xdr:row>
      <xdr:rowOff>129540</xdr:rowOff>
    </xdr:to>
    <xdr:sp macro="" textlink="">
      <xdr:nvSpPr>
        <xdr:cNvPr id="9116" name="AutoShape 1372" descr="https://www.soccerstats.com/img/own/sshplogo.png">
          <a:hlinkClick xmlns:r="http://schemas.openxmlformats.org/officeDocument/2006/relationships" r:id="rId856"/>
        </xdr:cNvPr>
        <xdr:cNvSpPr>
          <a:spLocks noChangeAspect="1" noChangeArrowheads="1"/>
        </xdr:cNvSpPr>
      </xdr:nvSpPr>
      <xdr:spPr bwMode="auto">
        <a:xfrm>
          <a:off x="13411200" y="16863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152400</xdr:colOff>
      <xdr:row>827</xdr:row>
      <xdr:rowOff>106680</xdr:rowOff>
    </xdr:to>
    <xdr:sp macro="" textlink="">
      <xdr:nvSpPr>
        <xdr:cNvPr id="9117" name="AutoShape 1373" descr="POLAND"/>
        <xdr:cNvSpPr>
          <a:spLocks noChangeAspect="1" noChangeArrowheads="1"/>
        </xdr:cNvSpPr>
      </xdr:nvSpPr>
      <xdr:spPr bwMode="auto">
        <a:xfrm>
          <a:off x="0" y="168805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827</xdr:row>
      <xdr:rowOff>0</xdr:rowOff>
    </xdr:from>
    <xdr:to>
      <xdr:col>22</xdr:col>
      <xdr:colOff>304800</xdr:colOff>
      <xdr:row>828</xdr:row>
      <xdr:rowOff>129540</xdr:rowOff>
    </xdr:to>
    <xdr:sp macro="" textlink="">
      <xdr:nvSpPr>
        <xdr:cNvPr id="9118" name="AutoShape 1374" descr="https://www.soccerstats.com/img/own/sshplogo.png">
          <a:hlinkClick xmlns:r="http://schemas.openxmlformats.org/officeDocument/2006/relationships" r:id="rId857"/>
        </xdr:cNvPr>
        <xdr:cNvSpPr>
          <a:spLocks noChangeAspect="1" noChangeArrowheads="1"/>
        </xdr:cNvSpPr>
      </xdr:nvSpPr>
      <xdr:spPr bwMode="auto">
        <a:xfrm>
          <a:off x="13411200" y="168805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152400</xdr:colOff>
      <xdr:row>828</xdr:row>
      <xdr:rowOff>106680</xdr:rowOff>
    </xdr:to>
    <xdr:sp macro="" textlink="">
      <xdr:nvSpPr>
        <xdr:cNvPr id="9119" name="AutoShape 1375" descr="POLAND"/>
        <xdr:cNvSpPr>
          <a:spLocks noChangeAspect="1" noChangeArrowheads="1"/>
        </xdr:cNvSpPr>
      </xdr:nvSpPr>
      <xdr:spPr bwMode="auto">
        <a:xfrm>
          <a:off x="0" y="168981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828</xdr:row>
      <xdr:rowOff>0</xdr:rowOff>
    </xdr:from>
    <xdr:to>
      <xdr:col>22</xdr:col>
      <xdr:colOff>304800</xdr:colOff>
      <xdr:row>829</xdr:row>
      <xdr:rowOff>53340</xdr:rowOff>
    </xdr:to>
    <xdr:sp macro="" textlink="">
      <xdr:nvSpPr>
        <xdr:cNvPr id="9120" name="AutoShape 1376" descr="https://www.soccerstats.com/img/own/sshplogo.png">
          <a:hlinkClick xmlns:r="http://schemas.openxmlformats.org/officeDocument/2006/relationships" r:id="rId858"/>
        </xdr:cNvPr>
        <xdr:cNvSpPr>
          <a:spLocks noChangeAspect="1" noChangeArrowheads="1"/>
        </xdr:cNvSpPr>
      </xdr:nvSpPr>
      <xdr:spPr bwMode="auto">
        <a:xfrm>
          <a:off x="13411200" y="168981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152400</xdr:colOff>
      <xdr:row>829</xdr:row>
      <xdr:rowOff>106680</xdr:rowOff>
    </xdr:to>
    <xdr:sp macro="" textlink="">
      <xdr:nvSpPr>
        <xdr:cNvPr id="9121" name="AutoShape 1377" descr="POLAND"/>
        <xdr:cNvSpPr>
          <a:spLocks noChangeAspect="1" noChangeArrowheads="1"/>
        </xdr:cNvSpPr>
      </xdr:nvSpPr>
      <xdr:spPr bwMode="auto">
        <a:xfrm>
          <a:off x="0" y="1692325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829</xdr:row>
      <xdr:rowOff>0</xdr:rowOff>
    </xdr:from>
    <xdr:to>
      <xdr:col>22</xdr:col>
      <xdr:colOff>304800</xdr:colOff>
      <xdr:row>830</xdr:row>
      <xdr:rowOff>129540</xdr:rowOff>
    </xdr:to>
    <xdr:sp macro="" textlink="">
      <xdr:nvSpPr>
        <xdr:cNvPr id="9122" name="AutoShape 1378" descr="https://www.soccerstats.com/img/own/sshplogo.png">
          <a:hlinkClick xmlns:r="http://schemas.openxmlformats.org/officeDocument/2006/relationships" r:id="rId859"/>
        </xdr:cNvPr>
        <xdr:cNvSpPr>
          <a:spLocks noChangeAspect="1" noChangeArrowheads="1"/>
        </xdr:cNvSpPr>
      </xdr:nvSpPr>
      <xdr:spPr bwMode="auto">
        <a:xfrm>
          <a:off x="13411200" y="169232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152400</xdr:colOff>
      <xdr:row>830</xdr:row>
      <xdr:rowOff>106680</xdr:rowOff>
    </xdr:to>
    <xdr:sp macro="" textlink="">
      <xdr:nvSpPr>
        <xdr:cNvPr id="9123" name="AutoShape 1379" descr="POLAND"/>
        <xdr:cNvSpPr>
          <a:spLocks noChangeAspect="1" noChangeArrowheads="1"/>
        </xdr:cNvSpPr>
      </xdr:nvSpPr>
      <xdr:spPr bwMode="auto">
        <a:xfrm>
          <a:off x="0" y="1694078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830</xdr:row>
      <xdr:rowOff>0</xdr:rowOff>
    </xdr:from>
    <xdr:to>
      <xdr:col>22</xdr:col>
      <xdr:colOff>304800</xdr:colOff>
      <xdr:row>831</xdr:row>
      <xdr:rowOff>129540</xdr:rowOff>
    </xdr:to>
    <xdr:sp macro="" textlink="">
      <xdr:nvSpPr>
        <xdr:cNvPr id="9124" name="AutoShape 1380" descr="https://www.soccerstats.com/img/own/sshplogo.png">
          <a:hlinkClick xmlns:r="http://schemas.openxmlformats.org/officeDocument/2006/relationships" r:id="rId860"/>
        </xdr:cNvPr>
        <xdr:cNvSpPr>
          <a:spLocks noChangeAspect="1" noChangeArrowheads="1"/>
        </xdr:cNvSpPr>
      </xdr:nvSpPr>
      <xdr:spPr bwMode="auto">
        <a:xfrm>
          <a:off x="13411200" y="169407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831</xdr:row>
      <xdr:rowOff>0</xdr:rowOff>
    </xdr:from>
    <xdr:to>
      <xdr:col>0</xdr:col>
      <xdr:colOff>152400</xdr:colOff>
      <xdr:row>831</xdr:row>
      <xdr:rowOff>106680</xdr:rowOff>
    </xdr:to>
    <xdr:sp macro="" textlink="">
      <xdr:nvSpPr>
        <xdr:cNvPr id="9125" name="AutoShape 1381" descr="POLAND2"/>
        <xdr:cNvSpPr>
          <a:spLocks noChangeAspect="1" noChangeArrowheads="1"/>
        </xdr:cNvSpPr>
      </xdr:nvSpPr>
      <xdr:spPr bwMode="auto">
        <a:xfrm>
          <a:off x="0" y="1695831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831</xdr:row>
      <xdr:rowOff>0</xdr:rowOff>
    </xdr:from>
    <xdr:to>
      <xdr:col>22</xdr:col>
      <xdr:colOff>304800</xdr:colOff>
      <xdr:row>832</xdr:row>
      <xdr:rowOff>129540</xdr:rowOff>
    </xdr:to>
    <xdr:sp macro="" textlink="">
      <xdr:nvSpPr>
        <xdr:cNvPr id="9126" name="AutoShape 1382" descr="https://www.soccerstats.com/img/own/sshplogo.png">
          <a:hlinkClick xmlns:r="http://schemas.openxmlformats.org/officeDocument/2006/relationships" r:id="rId861"/>
        </xdr:cNvPr>
        <xdr:cNvSpPr>
          <a:spLocks noChangeAspect="1" noChangeArrowheads="1"/>
        </xdr:cNvSpPr>
      </xdr:nvSpPr>
      <xdr:spPr bwMode="auto">
        <a:xfrm>
          <a:off x="13411200" y="16958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832</xdr:row>
      <xdr:rowOff>0</xdr:rowOff>
    </xdr:from>
    <xdr:to>
      <xdr:col>0</xdr:col>
      <xdr:colOff>152400</xdr:colOff>
      <xdr:row>832</xdr:row>
      <xdr:rowOff>106680</xdr:rowOff>
    </xdr:to>
    <xdr:sp macro="" textlink="">
      <xdr:nvSpPr>
        <xdr:cNvPr id="9127" name="AutoShape 1383" descr="POLAND2"/>
        <xdr:cNvSpPr>
          <a:spLocks noChangeAspect="1" noChangeArrowheads="1"/>
        </xdr:cNvSpPr>
      </xdr:nvSpPr>
      <xdr:spPr bwMode="auto">
        <a:xfrm>
          <a:off x="0" y="169758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832</xdr:row>
      <xdr:rowOff>0</xdr:rowOff>
    </xdr:from>
    <xdr:to>
      <xdr:col>22</xdr:col>
      <xdr:colOff>304800</xdr:colOff>
      <xdr:row>833</xdr:row>
      <xdr:rowOff>53340</xdr:rowOff>
    </xdr:to>
    <xdr:sp macro="" textlink="">
      <xdr:nvSpPr>
        <xdr:cNvPr id="9128" name="AutoShape 1384" descr="https://www.soccerstats.com/img/own/sshplogo.png">
          <a:hlinkClick xmlns:r="http://schemas.openxmlformats.org/officeDocument/2006/relationships" r:id="rId862"/>
        </xdr:cNvPr>
        <xdr:cNvSpPr>
          <a:spLocks noChangeAspect="1" noChangeArrowheads="1"/>
        </xdr:cNvSpPr>
      </xdr:nvSpPr>
      <xdr:spPr bwMode="auto">
        <a:xfrm>
          <a:off x="13411200" y="169758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152400</xdr:colOff>
      <xdr:row>833</xdr:row>
      <xdr:rowOff>106680</xdr:rowOff>
    </xdr:to>
    <xdr:sp macro="" textlink="">
      <xdr:nvSpPr>
        <xdr:cNvPr id="9129" name="AutoShape 1385" descr="POLAND2"/>
        <xdr:cNvSpPr>
          <a:spLocks noChangeAspect="1" noChangeArrowheads="1"/>
        </xdr:cNvSpPr>
      </xdr:nvSpPr>
      <xdr:spPr bwMode="auto">
        <a:xfrm>
          <a:off x="0" y="1700098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833</xdr:row>
      <xdr:rowOff>0</xdr:rowOff>
    </xdr:from>
    <xdr:to>
      <xdr:col>22</xdr:col>
      <xdr:colOff>304800</xdr:colOff>
      <xdr:row>834</xdr:row>
      <xdr:rowOff>53340</xdr:rowOff>
    </xdr:to>
    <xdr:sp macro="" textlink="">
      <xdr:nvSpPr>
        <xdr:cNvPr id="9130" name="AutoShape 1386" descr="https://www.soccerstats.com/img/own/sshplogo.png">
          <a:hlinkClick xmlns:r="http://schemas.openxmlformats.org/officeDocument/2006/relationships" r:id="rId863"/>
        </xdr:cNvPr>
        <xdr:cNvSpPr>
          <a:spLocks noChangeAspect="1" noChangeArrowheads="1"/>
        </xdr:cNvSpPr>
      </xdr:nvSpPr>
      <xdr:spPr bwMode="auto">
        <a:xfrm>
          <a:off x="13411200" y="170009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834</xdr:row>
      <xdr:rowOff>0</xdr:rowOff>
    </xdr:from>
    <xdr:to>
      <xdr:col>0</xdr:col>
      <xdr:colOff>152400</xdr:colOff>
      <xdr:row>834</xdr:row>
      <xdr:rowOff>106680</xdr:rowOff>
    </xdr:to>
    <xdr:sp macro="" textlink="">
      <xdr:nvSpPr>
        <xdr:cNvPr id="9131" name="AutoShape 1387" descr="POLAND3"/>
        <xdr:cNvSpPr>
          <a:spLocks noChangeAspect="1" noChangeArrowheads="1"/>
        </xdr:cNvSpPr>
      </xdr:nvSpPr>
      <xdr:spPr bwMode="auto">
        <a:xfrm>
          <a:off x="0" y="1702612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834</xdr:row>
      <xdr:rowOff>0</xdr:rowOff>
    </xdr:from>
    <xdr:to>
      <xdr:col>22</xdr:col>
      <xdr:colOff>304800</xdr:colOff>
      <xdr:row>835</xdr:row>
      <xdr:rowOff>53340</xdr:rowOff>
    </xdr:to>
    <xdr:sp macro="" textlink="">
      <xdr:nvSpPr>
        <xdr:cNvPr id="9132" name="AutoShape 1388" descr="https://www.soccerstats.com/img/own/sshplogo.png">
          <a:hlinkClick xmlns:r="http://schemas.openxmlformats.org/officeDocument/2006/relationships" r:id="rId864"/>
        </xdr:cNvPr>
        <xdr:cNvSpPr>
          <a:spLocks noChangeAspect="1" noChangeArrowheads="1"/>
        </xdr:cNvSpPr>
      </xdr:nvSpPr>
      <xdr:spPr bwMode="auto">
        <a:xfrm>
          <a:off x="13411200" y="170261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835</xdr:row>
      <xdr:rowOff>0</xdr:rowOff>
    </xdr:from>
    <xdr:to>
      <xdr:col>0</xdr:col>
      <xdr:colOff>152400</xdr:colOff>
      <xdr:row>835</xdr:row>
      <xdr:rowOff>106680</xdr:rowOff>
    </xdr:to>
    <xdr:sp macro="" textlink="">
      <xdr:nvSpPr>
        <xdr:cNvPr id="9133" name="AutoShape 1389" descr="POLAND3"/>
        <xdr:cNvSpPr>
          <a:spLocks noChangeAspect="1" noChangeArrowheads="1"/>
        </xdr:cNvSpPr>
      </xdr:nvSpPr>
      <xdr:spPr bwMode="auto">
        <a:xfrm>
          <a:off x="0" y="170512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835</xdr:row>
      <xdr:rowOff>0</xdr:rowOff>
    </xdr:from>
    <xdr:to>
      <xdr:col>22</xdr:col>
      <xdr:colOff>304800</xdr:colOff>
      <xdr:row>836</xdr:row>
      <xdr:rowOff>53340</xdr:rowOff>
    </xdr:to>
    <xdr:sp macro="" textlink="">
      <xdr:nvSpPr>
        <xdr:cNvPr id="9134" name="AutoShape 1390" descr="https://www.soccerstats.com/img/own/sshplogo.png">
          <a:hlinkClick xmlns:r="http://schemas.openxmlformats.org/officeDocument/2006/relationships" r:id="rId865"/>
        </xdr:cNvPr>
        <xdr:cNvSpPr>
          <a:spLocks noChangeAspect="1" noChangeArrowheads="1"/>
        </xdr:cNvSpPr>
      </xdr:nvSpPr>
      <xdr:spPr bwMode="auto">
        <a:xfrm>
          <a:off x="13411200" y="170512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836</xdr:row>
      <xdr:rowOff>0</xdr:rowOff>
    </xdr:from>
    <xdr:to>
      <xdr:col>0</xdr:col>
      <xdr:colOff>152400</xdr:colOff>
      <xdr:row>836</xdr:row>
      <xdr:rowOff>106680</xdr:rowOff>
    </xdr:to>
    <xdr:sp macro="" textlink="">
      <xdr:nvSpPr>
        <xdr:cNvPr id="9135" name="AutoShape 1391" descr="POLAND3"/>
        <xdr:cNvSpPr>
          <a:spLocks noChangeAspect="1" noChangeArrowheads="1"/>
        </xdr:cNvSpPr>
      </xdr:nvSpPr>
      <xdr:spPr bwMode="auto">
        <a:xfrm>
          <a:off x="0" y="170764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836</xdr:row>
      <xdr:rowOff>0</xdr:rowOff>
    </xdr:from>
    <xdr:to>
      <xdr:col>22</xdr:col>
      <xdr:colOff>304800</xdr:colOff>
      <xdr:row>837</xdr:row>
      <xdr:rowOff>53340</xdr:rowOff>
    </xdr:to>
    <xdr:sp macro="" textlink="">
      <xdr:nvSpPr>
        <xdr:cNvPr id="9136" name="AutoShape 1392" descr="https://www.soccerstats.com/img/own/sshplogo.png">
          <a:hlinkClick xmlns:r="http://schemas.openxmlformats.org/officeDocument/2006/relationships" r:id="rId866"/>
        </xdr:cNvPr>
        <xdr:cNvSpPr>
          <a:spLocks noChangeAspect="1" noChangeArrowheads="1"/>
        </xdr:cNvSpPr>
      </xdr:nvSpPr>
      <xdr:spPr bwMode="auto">
        <a:xfrm>
          <a:off x="13411200" y="170764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837</xdr:row>
      <xdr:rowOff>0</xdr:rowOff>
    </xdr:from>
    <xdr:to>
      <xdr:col>0</xdr:col>
      <xdr:colOff>152400</xdr:colOff>
      <xdr:row>837</xdr:row>
      <xdr:rowOff>106680</xdr:rowOff>
    </xdr:to>
    <xdr:sp macro="" textlink="">
      <xdr:nvSpPr>
        <xdr:cNvPr id="9137" name="AutoShape 1393" descr="POLAND3"/>
        <xdr:cNvSpPr>
          <a:spLocks noChangeAspect="1" noChangeArrowheads="1"/>
        </xdr:cNvSpPr>
      </xdr:nvSpPr>
      <xdr:spPr bwMode="auto">
        <a:xfrm>
          <a:off x="0" y="171015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837</xdr:row>
      <xdr:rowOff>0</xdr:rowOff>
    </xdr:from>
    <xdr:to>
      <xdr:col>22</xdr:col>
      <xdr:colOff>304800</xdr:colOff>
      <xdr:row>838</xdr:row>
      <xdr:rowOff>129540</xdr:rowOff>
    </xdr:to>
    <xdr:sp macro="" textlink="">
      <xdr:nvSpPr>
        <xdr:cNvPr id="9138" name="AutoShape 1394" descr="https://www.soccerstats.com/img/own/sshplogo.png">
          <a:hlinkClick xmlns:r="http://schemas.openxmlformats.org/officeDocument/2006/relationships" r:id="rId867"/>
        </xdr:cNvPr>
        <xdr:cNvSpPr>
          <a:spLocks noChangeAspect="1" noChangeArrowheads="1"/>
        </xdr:cNvSpPr>
      </xdr:nvSpPr>
      <xdr:spPr bwMode="auto">
        <a:xfrm>
          <a:off x="13411200" y="171015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838</xdr:row>
      <xdr:rowOff>0</xdr:rowOff>
    </xdr:from>
    <xdr:to>
      <xdr:col>0</xdr:col>
      <xdr:colOff>152400</xdr:colOff>
      <xdr:row>838</xdr:row>
      <xdr:rowOff>106680</xdr:rowOff>
    </xdr:to>
    <xdr:sp macro="" textlink="">
      <xdr:nvSpPr>
        <xdr:cNvPr id="9139" name="AutoShape 1395" descr="PORTUGAL2"/>
        <xdr:cNvSpPr>
          <a:spLocks noChangeAspect="1" noChangeArrowheads="1"/>
        </xdr:cNvSpPr>
      </xdr:nvSpPr>
      <xdr:spPr bwMode="auto">
        <a:xfrm>
          <a:off x="0" y="171190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838</xdr:row>
      <xdr:rowOff>0</xdr:rowOff>
    </xdr:from>
    <xdr:to>
      <xdr:col>22</xdr:col>
      <xdr:colOff>304800</xdr:colOff>
      <xdr:row>839</xdr:row>
      <xdr:rowOff>53340</xdr:rowOff>
    </xdr:to>
    <xdr:sp macro="" textlink="">
      <xdr:nvSpPr>
        <xdr:cNvPr id="9140" name="AutoShape 1396" descr="https://www.soccerstats.com/img/own/sshplogo.png">
          <a:hlinkClick xmlns:r="http://schemas.openxmlformats.org/officeDocument/2006/relationships" r:id="rId868"/>
        </xdr:cNvPr>
        <xdr:cNvSpPr>
          <a:spLocks noChangeAspect="1" noChangeArrowheads="1"/>
        </xdr:cNvSpPr>
      </xdr:nvSpPr>
      <xdr:spPr bwMode="auto">
        <a:xfrm>
          <a:off x="13411200" y="171190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839</xdr:row>
      <xdr:rowOff>0</xdr:rowOff>
    </xdr:from>
    <xdr:to>
      <xdr:col>0</xdr:col>
      <xdr:colOff>152400</xdr:colOff>
      <xdr:row>839</xdr:row>
      <xdr:rowOff>106680</xdr:rowOff>
    </xdr:to>
    <xdr:sp macro="" textlink="">
      <xdr:nvSpPr>
        <xdr:cNvPr id="9141" name="AutoShape 1397" descr="PORTUGAL2"/>
        <xdr:cNvSpPr>
          <a:spLocks noChangeAspect="1" noChangeArrowheads="1"/>
        </xdr:cNvSpPr>
      </xdr:nvSpPr>
      <xdr:spPr bwMode="auto">
        <a:xfrm>
          <a:off x="0" y="171442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839</xdr:row>
      <xdr:rowOff>0</xdr:rowOff>
    </xdr:from>
    <xdr:to>
      <xdr:col>22</xdr:col>
      <xdr:colOff>304800</xdr:colOff>
      <xdr:row>840</xdr:row>
      <xdr:rowOff>129540</xdr:rowOff>
    </xdr:to>
    <xdr:sp macro="" textlink="">
      <xdr:nvSpPr>
        <xdr:cNvPr id="9142" name="AutoShape 1398" descr="https://www.soccerstats.com/img/own/sshplogo.png">
          <a:hlinkClick xmlns:r="http://schemas.openxmlformats.org/officeDocument/2006/relationships" r:id="rId869"/>
        </xdr:cNvPr>
        <xdr:cNvSpPr>
          <a:spLocks noChangeAspect="1" noChangeArrowheads="1"/>
        </xdr:cNvSpPr>
      </xdr:nvSpPr>
      <xdr:spPr bwMode="auto">
        <a:xfrm>
          <a:off x="13411200" y="171442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840</xdr:row>
      <xdr:rowOff>0</xdr:rowOff>
    </xdr:from>
    <xdr:to>
      <xdr:col>0</xdr:col>
      <xdr:colOff>152400</xdr:colOff>
      <xdr:row>840</xdr:row>
      <xdr:rowOff>106680</xdr:rowOff>
    </xdr:to>
    <xdr:sp macro="" textlink="">
      <xdr:nvSpPr>
        <xdr:cNvPr id="9143" name="AutoShape 1399" descr="PORTUGAL2"/>
        <xdr:cNvSpPr>
          <a:spLocks noChangeAspect="1" noChangeArrowheads="1"/>
        </xdr:cNvSpPr>
      </xdr:nvSpPr>
      <xdr:spPr bwMode="auto">
        <a:xfrm>
          <a:off x="0" y="171617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840</xdr:row>
      <xdr:rowOff>0</xdr:rowOff>
    </xdr:from>
    <xdr:to>
      <xdr:col>22</xdr:col>
      <xdr:colOff>304800</xdr:colOff>
      <xdr:row>841</xdr:row>
      <xdr:rowOff>129540</xdr:rowOff>
    </xdr:to>
    <xdr:sp macro="" textlink="">
      <xdr:nvSpPr>
        <xdr:cNvPr id="9144" name="AutoShape 1400" descr="https://www.soccerstats.com/img/own/sshplogo.png">
          <a:hlinkClick xmlns:r="http://schemas.openxmlformats.org/officeDocument/2006/relationships" r:id="rId870"/>
        </xdr:cNvPr>
        <xdr:cNvSpPr>
          <a:spLocks noChangeAspect="1" noChangeArrowheads="1"/>
        </xdr:cNvSpPr>
      </xdr:nvSpPr>
      <xdr:spPr bwMode="auto">
        <a:xfrm>
          <a:off x="13411200" y="171617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841</xdr:row>
      <xdr:rowOff>0</xdr:rowOff>
    </xdr:from>
    <xdr:to>
      <xdr:col>0</xdr:col>
      <xdr:colOff>152400</xdr:colOff>
      <xdr:row>841</xdr:row>
      <xdr:rowOff>106680</xdr:rowOff>
    </xdr:to>
    <xdr:sp macro="" textlink="">
      <xdr:nvSpPr>
        <xdr:cNvPr id="9145" name="AutoShape 1401" descr="PORTUGAL2"/>
        <xdr:cNvSpPr>
          <a:spLocks noChangeAspect="1" noChangeArrowheads="1"/>
        </xdr:cNvSpPr>
      </xdr:nvSpPr>
      <xdr:spPr bwMode="auto">
        <a:xfrm>
          <a:off x="0" y="171792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841</xdr:row>
      <xdr:rowOff>0</xdr:rowOff>
    </xdr:from>
    <xdr:to>
      <xdr:col>22</xdr:col>
      <xdr:colOff>304800</xdr:colOff>
      <xdr:row>842</xdr:row>
      <xdr:rowOff>129540</xdr:rowOff>
    </xdr:to>
    <xdr:sp macro="" textlink="">
      <xdr:nvSpPr>
        <xdr:cNvPr id="9146" name="AutoShape 1402" descr="https://www.soccerstats.com/img/own/sshplogo.png">
          <a:hlinkClick xmlns:r="http://schemas.openxmlformats.org/officeDocument/2006/relationships" r:id="rId871"/>
        </xdr:cNvPr>
        <xdr:cNvSpPr>
          <a:spLocks noChangeAspect="1" noChangeArrowheads="1"/>
        </xdr:cNvSpPr>
      </xdr:nvSpPr>
      <xdr:spPr bwMode="auto">
        <a:xfrm>
          <a:off x="13411200" y="171792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842</xdr:row>
      <xdr:rowOff>0</xdr:rowOff>
    </xdr:from>
    <xdr:to>
      <xdr:col>0</xdr:col>
      <xdr:colOff>152400</xdr:colOff>
      <xdr:row>842</xdr:row>
      <xdr:rowOff>106680</xdr:rowOff>
    </xdr:to>
    <xdr:sp macro="" textlink="">
      <xdr:nvSpPr>
        <xdr:cNvPr id="9147" name="AutoShape 1403" descr="ROMANIA"/>
        <xdr:cNvSpPr>
          <a:spLocks noChangeAspect="1" noChangeArrowheads="1"/>
        </xdr:cNvSpPr>
      </xdr:nvSpPr>
      <xdr:spPr bwMode="auto">
        <a:xfrm>
          <a:off x="0" y="171968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842</xdr:row>
      <xdr:rowOff>0</xdr:rowOff>
    </xdr:from>
    <xdr:to>
      <xdr:col>22</xdr:col>
      <xdr:colOff>304800</xdr:colOff>
      <xdr:row>843</xdr:row>
      <xdr:rowOff>129540</xdr:rowOff>
    </xdr:to>
    <xdr:sp macro="" textlink="">
      <xdr:nvSpPr>
        <xdr:cNvPr id="9148" name="AutoShape 1404" descr="https://www.soccerstats.com/img/own/sshplogo.png">
          <a:hlinkClick xmlns:r="http://schemas.openxmlformats.org/officeDocument/2006/relationships" r:id="rId872"/>
        </xdr:cNvPr>
        <xdr:cNvSpPr>
          <a:spLocks noChangeAspect="1" noChangeArrowheads="1"/>
        </xdr:cNvSpPr>
      </xdr:nvSpPr>
      <xdr:spPr bwMode="auto">
        <a:xfrm>
          <a:off x="13411200" y="171968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843</xdr:row>
      <xdr:rowOff>0</xdr:rowOff>
    </xdr:from>
    <xdr:to>
      <xdr:col>0</xdr:col>
      <xdr:colOff>152400</xdr:colOff>
      <xdr:row>843</xdr:row>
      <xdr:rowOff>106680</xdr:rowOff>
    </xdr:to>
    <xdr:sp macro="" textlink="">
      <xdr:nvSpPr>
        <xdr:cNvPr id="9149" name="AutoShape 1405" descr="ROMANIA"/>
        <xdr:cNvSpPr>
          <a:spLocks noChangeAspect="1" noChangeArrowheads="1"/>
        </xdr:cNvSpPr>
      </xdr:nvSpPr>
      <xdr:spPr bwMode="auto">
        <a:xfrm>
          <a:off x="0" y="172143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843</xdr:row>
      <xdr:rowOff>0</xdr:rowOff>
    </xdr:from>
    <xdr:to>
      <xdr:col>22</xdr:col>
      <xdr:colOff>304800</xdr:colOff>
      <xdr:row>844</xdr:row>
      <xdr:rowOff>129540</xdr:rowOff>
    </xdr:to>
    <xdr:sp macro="" textlink="">
      <xdr:nvSpPr>
        <xdr:cNvPr id="9150" name="AutoShape 1406" descr="https://www.soccerstats.com/img/own/sshplogo.png">
          <a:hlinkClick xmlns:r="http://schemas.openxmlformats.org/officeDocument/2006/relationships" r:id="rId873"/>
        </xdr:cNvPr>
        <xdr:cNvSpPr>
          <a:spLocks noChangeAspect="1" noChangeArrowheads="1"/>
        </xdr:cNvSpPr>
      </xdr:nvSpPr>
      <xdr:spPr bwMode="auto">
        <a:xfrm>
          <a:off x="13411200" y="172143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844</xdr:row>
      <xdr:rowOff>0</xdr:rowOff>
    </xdr:from>
    <xdr:to>
      <xdr:col>0</xdr:col>
      <xdr:colOff>152400</xdr:colOff>
      <xdr:row>844</xdr:row>
      <xdr:rowOff>106680</xdr:rowOff>
    </xdr:to>
    <xdr:sp macro="" textlink="">
      <xdr:nvSpPr>
        <xdr:cNvPr id="9151" name="AutoShape 1407" descr="RUSSIA"/>
        <xdr:cNvSpPr>
          <a:spLocks noChangeAspect="1" noChangeArrowheads="1"/>
        </xdr:cNvSpPr>
      </xdr:nvSpPr>
      <xdr:spPr bwMode="auto">
        <a:xfrm>
          <a:off x="0" y="172318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844</xdr:row>
      <xdr:rowOff>0</xdr:rowOff>
    </xdr:from>
    <xdr:to>
      <xdr:col>22</xdr:col>
      <xdr:colOff>304800</xdr:colOff>
      <xdr:row>845</xdr:row>
      <xdr:rowOff>53340</xdr:rowOff>
    </xdr:to>
    <xdr:sp macro="" textlink="">
      <xdr:nvSpPr>
        <xdr:cNvPr id="9152" name="AutoShape 1408" descr="https://www.soccerstats.com/img/own/sshplogo.png">
          <a:hlinkClick xmlns:r="http://schemas.openxmlformats.org/officeDocument/2006/relationships" r:id="rId874"/>
        </xdr:cNvPr>
        <xdr:cNvSpPr>
          <a:spLocks noChangeAspect="1" noChangeArrowheads="1"/>
        </xdr:cNvSpPr>
      </xdr:nvSpPr>
      <xdr:spPr bwMode="auto">
        <a:xfrm>
          <a:off x="13411200" y="172318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152400</xdr:colOff>
      <xdr:row>845</xdr:row>
      <xdr:rowOff>106680</xdr:rowOff>
    </xdr:to>
    <xdr:sp macro="" textlink="">
      <xdr:nvSpPr>
        <xdr:cNvPr id="9153" name="AutoShape 1409" descr="RUSSIA"/>
        <xdr:cNvSpPr>
          <a:spLocks noChangeAspect="1" noChangeArrowheads="1"/>
        </xdr:cNvSpPr>
      </xdr:nvSpPr>
      <xdr:spPr bwMode="auto">
        <a:xfrm>
          <a:off x="0" y="172570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845</xdr:row>
      <xdr:rowOff>0</xdr:rowOff>
    </xdr:from>
    <xdr:to>
      <xdr:col>22</xdr:col>
      <xdr:colOff>304800</xdr:colOff>
      <xdr:row>846</xdr:row>
      <xdr:rowOff>53340</xdr:rowOff>
    </xdr:to>
    <xdr:sp macro="" textlink="">
      <xdr:nvSpPr>
        <xdr:cNvPr id="9154" name="AutoShape 1410" descr="https://www.soccerstats.com/img/own/sshplogo.png">
          <a:hlinkClick xmlns:r="http://schemas.openxmlformats.org/officeDocument/2006/relationships" r:id="rId875"/>
        </xdr:cNvPr>
        <xdr:cNvSpPr>
          <a:spLocks noChangeAspect="1" noChangeArrowheads="1"/>
        </xdr:cNvSpPr>
      </xdr:nvSpPr>
      <xdr:spPr bwMode="auto">
        <a:xfrm>
          <a:off x="13411200" y="172570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846</xdr:row>
      <xdr:rowOff>0</xdr:rowOff>
    </xdr:from>
    <xdr:to>
      <xdr:col>0</xdr:col>
      <xdr:colOff>152400</xdr:colOff>
      <xdr:row>846</xdr:row>
      <xdr:rowOff>106680</xdr:rowOff>
    </xdr:to>
    <xdr:sp macro="" textlink="">
      <xdr:nvSpPr>
        <xdr:cNvPr id="9155" name="AutoShape 1411" descr="RUSSIA"/>
        <xdr:cNvSpPr>
          <a:spLocks noChangeAspect="1" noChangeArrowheads="1"/>
        </xdr:cNvSpPr>
      </xdr:nvSpPr>
      <xdr:spPr bwMode="auto">
        <a:xfrm>
          <a:off x="0" y="172821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846</xdr:row>
      <xdr:rowOff>0</xdr:rowOff>
    </xdr:from>
    <xdr:to>
      <xdr:col>22</xdr:col>
      <xdr:colOff>304800</xdr:colOff>
      <xdr:row>847</xdr:row>
      <xdr:rowOff>53340</xdr:rowOff>
    </xdr:to>
    <xdr:sp macro="" textlink="">
      <xdr:nvSpPr>
        <xdr:cNvPr id="9156" name="AutoShape 1412" descr="https://www.soccerstats.com/img/own/sshplogo.png">
          <a:hlinkClick xmlns:r="http://schemas.openxmlformats.org/officeDocument/2006/relationships" r:id="rId876"/>
        </xdr:cNvPr>
        <xdr:cNvSpPr>
          <a:spLocks noChangeAspect="1" noChangeArrowheads="1"/>
        </xdr:cNvSpPr>
      </xdr:nvSpPr>
      <xdr:spPr bwMode="auto">
        <a:xfrm>
          <a:off x="13411200" y="172821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847</xdr:row>
      <xdr:rowOff>0</xdr:rowOff>
    </xdr:from>
    <xdr:to>
      <xdr:col>0</xdr:col>
      <xdr:colOff>152400</xdr:colOff>
      <xdr:row>847</xdr:row>
      <xdr:rowOff>106680</xdr:rowOff>
    </xdr:to>
    <xdr:sp macro="" textlink="">
      <xdr:nvSpPr>
        <xdr:cNvPr id="9157" name="AutoShape 1413" descr="SERBIA"/>
        <xdr:cNvSpPr>
          <a:spLocks noChangeAspect="1" noChangeArrowheads="1"/>
        </xdr:cNvSpPr>
      </xdr:nvSpPr>
      <xdr:spPr bwMode="auto">
        <a:xfrm>
          <a:off x="0" y="173073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847</xdr:row>
      <xdr:rowOff>0</xdr:rowOff>
    </xdr:from>
    <xdr:to>
      <xdr:col>22</xdr:col>
      <xdr:colOff>304800</xdr:colOff>
      <xdr:row>848</xdr:row>
      <xdr:rowOff>53340</xdr:rowOff>
    </xdr:to>
    <xdr:sp macro="" textlink="">
      <xdr:nvSpPr>
        <xdr:cNvPr id="9158" name="AutoShape 1414" descr="https://www.soccerstats.com/img/own/sshplogo.png">
          <a:hlinkClick xmlns:r="http://schemas.openxmlformats.org/officeDocument/2006/relationships" r:id="rId409"/>
        </xdr:cNvPr>
        <xdr:cNvSpPr>
          <a:spLocks noChangeAspect="1" noChangeArrowheads="1"/>
        </xdr:cNvSpPr>
      </xdr:nvSpPr>
      <xdr:spPr bwMode="auto">
        <a:xfrm>
          <a:off x="13411200" y="173073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848</xdr:row>
      <xdr:rowOff>0</xdr:rowOff>
    </xdr:from>
    <xdr:to>
      <xdr:col>0</xdr:col>
      <xdr:colOff>152400</xdr:colOff>
      <xdr:row>848</xdr:row>
      <xdr:rowOff>106680</xdr:rowOff>
    </xdr:to>
    <xdr:sp macro="" textlink="">
      <xdr:nvSpPr>
        <xdr:cNvPr id="9159" name="AutoShape 1415" descr="SERBIA"/>
        <xdr:cNvSpPr>
          <a:spLocks noChangeAspect="1" noChangeArrowheads="1"/>
        </xdr:cNvSpPr>
      </xdr:nvSpPr>
      <xdr:spPr bwMode="auto">
        <a:xfrm>
          <a:off x="0" y="173324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848</xdr:row>
      <xdr:rowOff>0</xdr:rowOff>
    </xdr:from>
    <xdr:to>
      <xdr:col>22</xdr:col>
      <xdr:colOff>304800</xdr:colOff>
      <xdr:row>849</xdr:row>
      <xdr:rowOff>129540</xdr:rowOff>
    </xdr:to>
    <xdr:sp macro="" textlink="">
      <xdr:nvSpPr>
        <xdr:cNvPr id="9160" name="AutoShape 1416" descr="https://www.soccerstats.com/img/own/sshplogo.png">
          <a:hlinkClick xmlns:r="http://schemas.openxmlformats.org/officeDocument/2006/relationships" r:id="rId411"/>
        </xdr:cNvPr>
        <xdr:cNvSpPr>
          <a:spLocks noChangeAspect="1" noChangeArrowheads="1"/>
        </xdr:cNvSpPr>
      </xdr:nvSpPr>
      <xdr:spPr bwMode="auto">
        <a:xfrm>
          <a:off x="13411200" y="173324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849</xdr:row>
      <xdr:rowOff>0</xdr:rowOff>
    </xdr:from>
    <xdr:to>
      <xdr:col>0</xdr:col>
      <xdr:colOff>152400</xdr:colOff>
      <xdr:row>849</xdr:row>
      <xdr:rowOff>106680</xdr:rowOff>
    </xdr:to>
    <xdr:sp macro="" textlink="">
      <xdr:nvSpPr>
        <xdr:cNvPr id="9161" name="AutoShape 1417" descr="SERBIA"/>
        <xdr:cNvSpPr>
          <a:spLocks noChangeAspect="1" noChangeArrowheads="1"/>
        </xdr:cNvSpPr>
      </xdr:nvSpPr>
      <xdr:spPr bwMode="auto">
        <a:xfrm>
          <a:off x="0" y="173499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849</xdr:row>
      <xdr:rowOff>0</xdr:rowOff>
    </xdr:from>
    <xdr:to>
      <xdr:col>22</xdr:col>
      <xdr:colOff>304800</xdr:colOff>
      <xdr:row>850</xdr:row>
      <xdr:rowOff>53340</xdr:rowOff>
    </xdr:to>
    <xdr:sp macro="" textlink="">
      <xdr:nvSpPr>
        <xdr:cNvPr id="9162" name="AutoShape 1418" descr="https://www.soccerstats.com/img/own/sshplogo.png">
          <a:hlinkClick xmlns:r="http://schemas.openxmlformats.org/officeDocument/2006/relationships" r:id="rId414"/>
        </xdr:cNvPr>
        <xdr:cNvSpPr>
          <a:spLocks noChangeAspect="1" noChangeArrowheads="1"/>
        </xdr:cNvSpPr>
      </xdr:nvSpPr>
      <xdr:spPr bwMode="auto">
        <a:xfrm>
          <a:off x="13411200" y="173499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850</xdr:row>
      <xdr:rowOff>0</xdr:rowOff>
    </xdr:from>
    <xdr:to>
      <xdr:col>0</xdr:col>
      <xdr:colOff>152400</xdr:colOff>
      <xdr:row>850</xdr:row>
      <xdr:rowOff>106680</xdr:rowOff>
    </xdr:to>
    <xdr:sp macro="" textlink="">
      <xdr:nvSpPr>
        <xdr:cNvPr id="9163" name="AutoShape 1419" descr="SLOVAKIA"/>
        <xdr:cNvSpPr>
          <a:spLocks noChangeAspect="1" noChangeArrowheads="1"/>
        </xdr:cNvSpPr>
      </xdr:nvSpPr>
      <xdr:spPr bwMode="auto">
        <a:xfrm>
          <a:off x="0" y="173751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850</xdr:row>
      <xdr:rowOff>0</xdr:rowOff>
    </xdr:from>
    <xdr:to>
      <xdr:col>22</xdr:col>
      <xdr:colOff>304800</xdr:colOff>
      <xdr:row>851</xdr:row>
      <xdr:rowOff>53340</xdr:rowOff>
    </xdr:to>
    <xdr:sp macro="" textlink="">
      <xdr:nvSpPr>
        <xdr:cNvPr id="9164" name="AutoShape 1420" descr="https://www.soccerstats.com/img/own/sshplogo.png">
          <a:hlinkClick xmlns:r="http://schemas.openxmlformats.org/officeDocument/2006/relationships" r:id="rId877"/>
        </xdr:cNvPr>
        <xdr:cNvSpPr>
          <a:spLocks noChangeAspect="1" noChangeArrowheads="1"/>
        </xdr:cNvSpPr>
      </xdr:nvSpPr>
      <xdr:spPr bwMode="auto">
        <a:xfrm>
          <a:off x="13411200" y="173751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851</xdr:row>
      <xdr:rowOff>0</xdr:rowOff>
    </xdr:from>
    <xdr:to>
      <xdr:col>0</xdr:col>
      <xdr:colOff>152400</xdr:colOff>
      <xdr:row>851</xdr:row>
      <xdr:rowOff>106680</xdr:rowOff>
    </xdr:to>
    <xdr:sp macro="" textlink="">
      <xdr:nvSpPr>
        <xdr:cNvPr id="9165" name="AutoShape 1421" descr="SLOVAKIA"/>
        <xdr:cNvSpPr>
          <a:spLocks noChangeAspect="1" noChangeArrowheads="1"/>
        </xdr:cNvSpPr>
      </xdr:nvSpPr>
      <xdr:spPr bwMode="auto">
        <a:xfrm>
          <a:off x="0" y="174002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851</xdr:row>
      <xdr:rowOff>0</xdr:rowOff>
    </xdr:from>
    <xdr:to>
      <xdr:col>22</xdr:col>
      <xdr:colOff>304800</xdr:colOff>
      <xdr:row>852</xdr:row>
      <xdr:rowOff>129540</xdr:rowOff>
    </xdr:to>
    <xdr:sp macro="" textlink="">
      <xdr:nvSpPr>
        <xdr:cNvPr id="9166" name="AutoShape 1422" descr="https://www.soccerstats.com/img/own/sshplogo.png">
          <a:hlinkClick xmlns:r="http://schemas.openxmlformats.org/officeDocument/2006/relationships" r:id="rId878"/>
        </xdr:cNvPr>
        <xdr:cNvSpPr>
          <a:spLocks noChangeAspect="1" noChangeArrowheads="1"/>
        </xdr:cNvSpPr>
      </xdr:nvSpPr>
      <xdr:spPr bwMode="auto">
        <a:xfrm>
          <a:off x="13411200" y="174002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852</xdr:row>
      <xdr:rowOff>0</xdr:rowOff>
    </xdr:from>
    <xdr:to>
      <xdr:col>0</xdr:col>
      <xdr:colOff>152400</xdr:colOff>
      <xdr:row>852</xdr:row>
      <xdr:rowOff>106680</xdr:rowOff>
    </xdr:to>
    <xdr:sp macro="" textlink="">
      <xdr:nvSpPr>
        <xdr:cNvPr id="9167" name="AutoShape 1423" descr="SLOVENIA"/>
        <xdr:cNvSpPr>
          <a:spLocks noChangeAspect="1" noChangeArrowheads="1"/>
        </xdr:cNvSpPr>
      </xdr:nvSpPr>
      <xdr:spPr bwMode="auto">
        <a:xfrm>
          <a:off x="0" y="174177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852</xdr:row>
      <xdr:rowOff>0</xdr:rowOff>
    </xdr:from>
    <xdr:to>
      <xdr:col>22</xdr:col>
      <xdr:colOff>304800</xdr:colOff>
      <xdr:row>853</xdr:row>
      <xdr:rowOff>129540</xdr:rowOff>
    </xdr:to>
    <xdr:sp macro="" textlink="">
      <xdr:nvSpPr>
        <xdr:cNvPr id="9168" name="AutoShape 1424" descr="https://www.soccerstats.com/img/own/sshplogo.png">
          <a:hlinkClick xmlns:r="http://schemas.openxmlformats.org/officeDocument/2006/relationships" r:id="rId879"/>
        </xdr:cNvPr>
        <xdr:cNvSpPr>
          <a:spLocks noChangeAspect="1" noChangeArrowheads="1"/>
        </xdr:cNvSpPr>
      </xdr:nvSpPr>
      <xdr:spPr bwMode="auto">
        <a:xfrm>
          <a:off x="13411200" y="174177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853</xdr:row>
      <xdr:rowOff>0</xdr:rowOff>
    </xdr:from>
    <xdr:to>
      <xdr:col>0</xdr:col>
      <xdr:colOff>152400</xdr:colOff>
      <xdr:row>853</xdr:row>
      <xdr:rowOff>106680</xdr:rowOff>
    </xdr:to>
    <xdr:sp macro="" textlink="">
      <xdr:nvSpPr>
        <xdr:cNvPr id="9169" name="AutoShape 1425" descr="SLOVENIA"/>
        <xdr:cNvSpPr>
          <a:spLocks noChangeAspect="1" noChangeArrowheads="1"/>
        </xdr:cNvSpPr>
      </xdr:nvSpPr>
      <xdr:spPr bwMode="auto">
        <a:xfrm>
          <a:off x="0" y="1743532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853</xdr:row>
      <xdr:rowOff>0</xdr:rowOff>
    </xdr:from>
    <xdr:to>
      <xdr:col>22</xdr:col>
      <xdr:colOff>304800</xdr:colOff>
      <xdr:row>854</xdr:row>
      <xdr:rowOff>129540</xdr:rowOff>
    </xdr:to>
    <xdr:sp macro="" textlink="">
      <xdr:nvSpPr>
        <xdr:cNvPr id="9170" name="AutoShape 1426" descr="https://www.soccerstats.com/img/own/sshplogo.png">
          <a:hlinkClick xmlns:r="http://schemas.openxmlformats.org/officeDocument/2006/relationships" r:id="rId880"/>
        </xdr:cNvPr>
        <xdr:cNvSpPr>
          <a:spLocks noChangeAspect="1" noChangeArrowheads="1"/>
        </xdr:cNvSpPr>
      </xdr:nvSpPr>
      <xdr:spPr bwMode="auto">
        <a:xfrm>
          <a:off x="13411200" y="1743532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854</xdr:row>
      <xdr:rowOff>0</xdr:rowOff>
    </xdr:from>
    <xdr:to>
      <xdr:col>0</xdr:col>
      <xdr:colOff>152400</xdr:colOff>
      <xdr:row>854</xdr:row>
      <xdr:rowOff>106680</xdr:rowOff>
    </xdr:to>
    <xdr:sp macro="" textlink="">
      <xdr:nvSpPr>
        <xdr:cNvPr id="9171" name="AutoShape 1427" descr="SLOVENIA"/>
        <xdr:cNvSpPr>
          <a:spLocks noChangeAspect="1" noChangeArrowheads="1"/>
        </xdr:cNvSpPr>
      </xdr:nvSpPr>
      <xdr:spPr bwMode="auto">
        <a:xfrm>
          <a:off x="0" y="1745284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854</xdr:row>
      <xdr:rowOff>0</xdr:rowOff>
    </xdr:from>
    <xdr:to>
      <xdr:col>22</xdr:col>
      <xdr:colOff>304800</xdr:colOff>
      <xdr:row>855</xdr:row>
      <xdr:rowOff>129540</xdr:rowOff>
    </xdr:to>
    <xdr:sp macro="" textlink="">
      <xdr:nvSpPr>
        <xdr:cNvPr id="9172" name="AutoShape 1428" descr="https://www.soccerstats.com/img/own/sshplogo.png">
          <a:hlinkClick xmlns:r="http://schemas.openxmlformats.org/officeDocument/2006/relationships" r:id="rId881"/>
        </xdr:cNvPr>
        <xdr:cNvSpPr>
          <a:spLocks noChangeAspect="1" noChangeArrowheads="1"/>
        </xdr:cNvSpPr>
      </xdr:nvSpPr>
      <xdr:spPr bwMode="auto">
        <a:xfrm>
          <a:off x="13411200" y="174528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855</xdr:row>
      <xdr:rowOff>0</xdr:rowOff>
    </xdr:from>
    <xdr:to>
      <xdr:col>0</xdr:col>
      <xdr:colOff>152400</xdr:colOff>
      <xdr:row>855</xdr:row>
      <xdr:rowOff>106680</xdr:rowOff>
    </xdr:to>
    <xdr:sp macro="" textlink="">
      <xdr:nvSpPr>
        <xdr:cNvPr id="9173" name="AutoShape 1429" descr="SOUTHAFRICA"/>
        <xdr:cNvSpPr>
          <a:spLocks noChangeAspect="1" noChangeArrowheads="1"/>
        </xdr:cNvSpPr>
      </xdr:nvSpPr>
      <xdr:spPr bwMode="auto">
        <a:xfrm>
          <a:off x="0" y="1747037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855</xdr:row>
      <xdr:rowOff>0</xdr:rowOff>
    </xdr:from>
    <xdr:to>
      <xdr:col>22</xdr:col>
      <xdr:colOff>304800</xdr:colOff>
      <xdr:row>856</xdr:row>
      <xdr:rowOff>53340</xdr:rowOff>
    </xdr:to>
    <xdr:sp macro="" textlink="">
      <xdr:nvSpPr>
        <xdr:cNvPr id="9174" name="AutoShape 1430" descr="https://www.soccerstats.com/img/own/sshplogo.png">
          <a:hlinkClick xmlns:r="http://schemas.openxmlformats.org/officeDocument/2006/relationships" r:id="rId882"/>
        </xdr:cNvPr>
        <xdr:cNvSpPr>
          <a:spLocks noChangeAspect="1" noChangeArrowheads="1"/>
        </xdr:cNvSpPr>
      </xdr:nvSpPr>
      <xdr:spPr bwMode="auto">
        <a:xfrm>
          <a:off x="13411200" y="1747037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856</xdr:row>
      <xdr:rowOff>0</xdr:rowOff>
    </xdr:from>
    <xdr:to>
      <xdr:col>0</xdr:col>
      <xdr:colOff>152400</xdr:colOff>
      <xdr:row>856</xdr:row>
      <xdr:rowOff>106680</xdr:rowOff>
    </xdr:to>
    <xdr:sp macro="" textlink="">
      <xdr:nvSpPr>
        <xdr:cNvPr id="9175" name="AutoShape 1431" descr="SOUTHAFRICA"/>
        <xdr:cNvSpPr>
          <a:spLocks noChangeAspect="1" noChangeArrowheads="1"/>
        </xdr:cNvSpPr>
      </xdr:nvSpPr>
      <xdr:spPr bwMode="auto">
        <a:xfrm>
          <a:off x="0" y="1749552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856</xdr:row>
      <xdr:rowOff>0</xdr:rowOff>
    </xdr:from>
    <xdr:to>
      <xdr:col>22</xdr:col>
      <xdr:colOff>304800</xdr:colOff>
      <xdr:row>857</xdr:row>
      <xdr:rowOff>53340</xdr:rowOff>
    </xdr:to>
    <xdr:sp macro="" textlink="">
      <xdr:nvSpPr>
        <xdr:cNvPr id="9176" name="AutoShape 1432" descr="https://www.soccerstats.com/img/own/sshplogo.png">
          <a:hlinkClick xmlns:r="http://schemas.openxmlformats.org/officeDocument/2006/relationships" r:id="rId883"/>
        </xdr:cNvPr>
        <xdr:cNvSpPr>
          <a:spLocks noChangeAspect="1" noChangeArrowheads="1"/>
        </xdr:cNvSpPr>
      </xdr:nvSpPr>
      <xdr:spPr bwMode="auto">
        <a:xfrm>
          <a:off x="13411200" y="174955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152400</xdr:colOff>
      <xdr:row>857</xdr:row>
      <xdr:rowOff>106680</xdr:rowOff>
    </xdr:to>
    <xdr:sp macro="" textlink="">
      <xdr:nvSpPr>
        <xdr:cNvPr id="9177" name="AutoShape 1433" descr="SOUTHKOREA"/>
        <xdr:cNvSpPr>
          <a:spLocks noChangeAspect="1" noChangeArrowheads="1"/>
        </xdr:cNvSpPr>
      </xdr:nvSpPr>
      <xdr:spPr bwMode="auto">
        <a:xfrm>
          <a:off x="0" y="1752066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857</xdr:row>
      <xdr:rowOff>0</xdr:rowOff>
    </xdr:from>
    <xdr:to>
      <xdr:col>22</xdr:col>
      <xdr:colOff>304800</xdr:colOff>
      <xdr:row>858</xdr:row>
      <xdr:rowOff>129540</xdr:rowOff>
    </xdr:to>
    <xdr:sp macro="" textlink="">
      <xdr:nvSpPr>
        <xdr:cNvPr id="9178" name="AutoShape 1434" descr="https://www.soccerstats.com/img/own/sshplogo.png">
          <a:hlinkClick xmlns:r="http://schemas.openxmlformats.org/officeDocument/2006/relationships" r:id="rId884"/>
        </xdr:cNvPr>
        <xdr:cNvSpPr>
          <a:spLocks noChangeAspect="1" noChangeArrowheads="1"/>
        </xdr:cNvSpPr>
      </xdr:nvSpPr>
      <xdr:spPr bwMode="auto">
        <a:xfrm>
          <a:off x="13411200" y="175206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858</xdr:row>
      <xdr:rowOff>0</xdr:rowOff>
    </xdr:from>
    <xdr:to>
      <xdr:col>0</xdr:col>
      <xdr:colOff>152400</xdr:colOff>
      <xdr:row>858</xdr:row>
      <xdr:rowOff>106680</xdr:rowOff>
    </xdr:to>
    <xdr:sp macro="" textlink="">
      <xdr:nvSpPr>
        <xdr:cNvPr id="9179" name="AutoShape 1435" descr="SOUTHKOREA"/>
        <xdr:cNvSpPr>
          <a:spLocks noChangeAspect="1" noChangeArrowheads="1"/>
        </xdr:cNvSpPr>
      </xdr:nvSpPr>
      <xdr:spPr bwMode="auto">
        <a:xfrm>
          <a:off x="0" y="1753819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858</xdr:row>
      <xdr:rowOff>0</xdr:rowOff>
    </xdr:from>
    <xdr:to>
      <xdr:col>22</xdr:col>
      <xdr:colOff>304800</xdr:colOff>
      <xdr:row>859</xdr:row>
      <xdr:rowOff>53340</xdr:rowOff>
    </xdr:to>
    <xdr:sp macro="" textlink="">
      <xdr:nvSpPr>
        <xdr:cNvPr id="9180" name="AutoShape 1436" descr="https://www.soccerstats.com/img/own/sshplogo.png">
          <a:hlinkClick xmlns:r="http://schemas.openxmlformats.org/officeDocument/2006/relationships" r:id="rId885"/>
        </xdr:cNvPr>
        <xdr:cNvSpPr>
          <a:spLocks noChangeAspect="1" noChangeArrowheads="1"/>
        </xdr:cNvSpPr>
      </xdr:nvSpPr>
      <xdr:spPr bwMode="auto">
        <a:xfrm>
          <a:off x="13411200" y="175381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152400</xdr:colOff>
      <xdr:row>859</xdr:row>
      <xdr:rowOff>106680</xdr:rowOff>
    </xdr:to>
    <xdr:sp macro="" textlink="">
      <xdr:nvSpPr>
        <xdr:cNvPr id="9181" name="AutoShape 1437" descr="SOUTHKOREA"/>
        <xdr:cNvSpPr>
          <a:spLocks noChangeAspect="1" noChangeArrowheads="1"/>
        </xdr:cNvSpPr>
      </xdr:nvSpPr>
      <xdr:spPr bwMode="auto">
        <a:xfrm>
          <a:off x="0" y="175633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859</xdr:row>
      <xdr:rowOff>0</xdr:rowOff>
    </xdr:from>
    <xdr:to>
      <xdr:col>22</xdr:col>
      <xdr:colOff>304800</xdr:colOff>
      <xdr:row>860</xdr:row>
      <xdr:rowOff>129540</xdr:rowOff>
    </xdr:to>
    <xdr:sp macro="" textlink="">
      <xdr:nvSpPr>
        <xdr:cNvPr id="9182" name="AutoShape 1438" descr="https://www.soccerstats.com/img/own/sshplogo.png">
          <a:hlinkClick xmlns:r="http://schemas.openxmlformats.org/officeDocument/2006/relationships" r:id="rId886"/>
        </xdr:cNvPr>
        <xdr:cNvSpPr>
          <a:spLocks noChangeAspect="1" noChangeArrowheads="1"/>
        </xdr:cNvSpPr>
      </xdr:nvSpPr>
      <xdr:spPr bwMode="auto">
        <a:xfrm>
          <a:off x="13411200" y="175633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860</xdr:row>
      <xdr:rowOff>0</xdr:rowOff>
    </xdr:from>
    <xdr:to>
      <xdr:col>0</xdr:col>
      <xdr:colOff>152400</xdr:colOff>
      <xdr:row>860</xdr:row>
      <xdr:rowOff>106680</xdr:rowOff>
    </xdr:to>
    <xdr:sp macro="" textlink="">
      <xdr:nvSpPr>
        <xdr:cNvPr id="9183" name="AutoShape 1439" descr="SOUTHKOREA2"/>
        <xdr:cNvSpPr>
          <a:spLocks noChangeAspect="1" noChangeArrowheads="1"/>
        </xdr:cNvSpPr>
      </xdr:nvSpPr>
      <xdr:spPr bwMode="auto">
        <a:xfrm>
          <a:off x="0" y="175808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860</xdr:row>
      <xdr:rowOff>0</xdr:rowOff>
    </xdr:from>
    <xdr:to>
      <xdr:col>22</xdr:col>
      <xdr:colOff>304800</xdr:colOff>
      <xdr:row>861</xdr:row>
      <xdr:rowOff>129540</xdr:rowOff>
    </xdr:to>
    <xdr:sp macro="" textlink="">
      <xdr:nvSpPr>
        <xdr:cNvPr id="9184" name="AutoShape 1440" descr="https://www.soccerstats.com/img/own/sshplogo.png">
          <a:hlinkClick xmlns:r="http://schemas.openxmlformats.org/officeDocument/2006/relationships" r:id="rId887"/>
        </xdr:cNvPr>
        <xdr:cNvSpPr>
          <a:spLocks noChangeAspect="1" noChangeArrowheads="1"/>
        </xdr:cNvSpPr>
      </xdr:nvSpPr>
      <xdr:spPr bwMode="auto">
        <a:xfrm>
          <a:off x="13411200" y="175808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861</xdr:row>
      <xdr:rowOff>0</xdr:rowOff>
    </xdr:from>
    <xdr:to>
      <xdr:col>0</xdr:col>
      <xdr:colOff>152400</xdr:colOff>
      <xdr:row>861</xdr:row>
      <xdr:rowOff>106680</xdr:rowOff>
    </xdr:to>
    <xdr:sp macro="" textlink="">
      <xdr:nvSpPr>
        <xdr:cNvPr id="9185" name="AutoShape 1441" descr="SOUTHKOREA2"/>
        <xdr:cNvSpPr>
          <a:spLocks noChangeAspect="1" noChangeArrowheads="1"/>
        </xdr:cNvSpPr>
      </xdr:nvSpPr>
      <xdr:spPr bwMode="auto">
        <a:xfrm>
          <a:off x="0" y="175983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861</xdr:row>
      <xdr:rowOff>0</xdr:rowOff>
    </xdr:from>
    <xdr:to>
      <xdr:col>22</xdr:col>
      <xdr:colOff>304800</xdr:colOff>
      <xdr:row>862</xdr:row>
      <xdr:rowOff>129540</xdr:rowOff>
    </xdr:to>
    <xdr:sp macro="" textlink="">
      <xdr:nvSpPr>
        <xdr:cNvPr id="9186" name="AutoShape 1442" descr="https://www.soccerstats.com/img/own/sshplogo.png">
          <a:hlinkClick xmlns:r="http://schemas.openxmlformats.org/officeDocument/2006/relationships" r:id="rId888"/>
        </xdr:cNvPr>
        <xdr:cNvSpPr>
          <a:spLocks noChangeAspect="1" noChangeArrowheads="1"/>
        </xdr:cNvSpPr>
      </xdr:nvSpPr>
      <xdr:spPr bwMode="auto">
        <a:xfrm>
          <a:off x="13411200" y="175983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862</xdr:row>
      <xdr:rowOff>0</xdr:rowOff>
    </xdr:from>
    <xdr:to>
      <xdr:col>0</xdr:col>
      <xdr:colOff>152400</xdr:colOff>
      <xdr:row>862</xdr:row>
      <xdr:rowOff>106680</xdr:rowOff>
    </xdr:to>
    <xdr:sp macro="" textlink="">
      <xdr:nvSpPr>
        <xdr:cNvPr id="9187" name="AutoShape 1443" descr="SOUTHKOREA2"/>
        <xdr:cNvSpPr>
          <a:spLocks noChangeAspect="1" noChangeArrowheads="1"/>
        </xdr:cNvSpPr>
      </xdr:nvSpPr>
      <xdr:spPr bwMode="auto">
        <a:xfrm>
          <a:off x="0" y="176159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862</xdr:row>
      <xdr:rowOff>0</xdr:rowOff>
    </xdr:from>
    <xdr:to>
      <xdr:col>22</xdr:col>
      <xdr:colOff>304800</xdr:colOff>
      <xdr:row>863</xdr:row>
      <xdr:rowOff>129540</xdr:rowOff>
    </xdr:to>
    <xdr:sp macro="" textlink="">
      <xdr:nvSpPr>
        <xdr:cNvPr id="9188" name="AutoShape 1444" descr="https://www.soccerstats.com/img/own/sshplogo.png">
          <a:hlinkClick xmlns:r="http://schemas.openxmlformats.org/officeDocument/2006/relationships" r:id="rId889"/>
        </xdr:cNvPr>
        <xdr:cNvSpPr>
          <a:spLocks noChangeAspect="1" noChangeArrowheads="1"/>
        </xdr:cNvSpPr>
      </xdr:nvSpPr>
      <xdr:spPr bwMode="auto">
        <a:xfrm>
          <a:off x="13411200" y="176159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863</xdr:row>
      <xdr:rowOff>0</xdr:rowOff>
    </xdr:from>
    <xdr:to>
      <xdr:col>0</xdr:col>
      <xdr:colOff>152400</xdr:colOff>
      <xdr:row>863</xdr:row>
      <xdr:rowOff>106680</xdr:rowOff>
    </xdr:to>
    <xdr:sp macro="" textlink="">
      <xdr:nvSpPr>
        <xdr:cNvPr id="9189" name="AutoShape 1445" descr="SOUTHKOREA2"/>
        <xdr:cNvSpPr>
          <a:spLocks noChangeAspect="1" noChangeArrowheads="1"/>
        </xdr:cNvSpPr>
      </xdr:nvSpPr>
      <xdr:spPr bwMode="auto">
        <a:xfrm>
          <a:off x="0" y="176334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863</xdr:row>
      <xdr:rowOff>0</xdr:rowOff>
    </xdr:from>
    <xdr:to>
      <xdr:col>22</xdr:col>
      <xdr:colOff>304800</xdr:colOff>
      <xdr:row>864</xdr:row>
      <xdr:rowOff>53340</xdr:rowOff>
    </xdr:to>
    <xdr:sp macro="" textlink="">
      <xdr:nvSpPr>
        <xdr:cNvPr id="9190" name="AutoShape 1446" descr="https://www.soccerstats.com/img/own/sshplogo.png">
          <a:hlinkClick xmlns:r="http://schemas.openxmlformats.org/officeDocument/2006/relationships" r:id="rId890"/>
        </xdr:cNvPr>
        <xdr:cNvSpPr>
          <a:spLocks noChangeAspect="1" noChangeArrowheads="1"/>
        </xdr:cNvSpPr>
      </xdr:nvSpPr>
      <xdr:spPr bwMode="auto">
        <a:xfrm>
          <a:off x="13411200" y="176334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864</xdr:row>
      <xdr:rowOff>0</xdr:rowOff>
    </xdr:from>
    <xdr:to>
      <xdr:col>0</xdr:col>
      <xdr:colOff>152400</xdr:colOff>
      <xdr:row>864</xdr:row>
      <xdr:rowOff>106680</xdr:rowOff>
    </xdr:to>
    <xdr:sp macro="" textlink="">
      <xdr:nvSpPr>
        <xdr:cNvPr id="9191" name="AutoShape 1447" descr="SWEDEN"/>
        <xdr:cNvSpPr>
          <a:spLocks noChangeAspect="1" noChangeArrowheads="1"/>
        </xdr:cNvSpPr>
      </xdr:nvSpPr>
      <xdr:spPr bwMode="auto">
        <a:xfrm>
          <a:off x="0" y="176585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864</xdr:row>
      <xdr:rowOff>0</xdr:rowOff>
    </xdr:from>
    <xdr:to>
      <xdr:col>22</xdr:col>
      <xdr:colOff>304800</xdr:colOff>
      <xdr:row>865</xdr:row>
      <xdr:rowOff>53340</xdr:rowOff>
    </xdr:to>
    <xdr:sp macro="" textlink="">
      <xdr:nvSpPr>
        <xdr:cNvPr id="9192" name="AutoShape 1448" descr="https://www.soccerstats.com/img/own/sshplogo.png">
          <a:hlinkClick xmlns:r="http://schemas.openxmlformats.org/officeDocument/2006/relationships" r:id="rId891"/>
        </xdr:cNvPr>
        <xdr:cNvSpPr>
          <a:spLocks noChangeAspect="1" noChangeArrowheads="1"/>
        </xdr:cNvSpPr>
      </xdr:nvSpPr>
      <xdr:spPr bwMode="auto">
        <a:xfrm>
          <a:off x="13411200" y="176585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865</xdr:row>
      <xdr:rowOff>0</xdr:rowOff>
    </xdr:from>
    <xdr:to>
      <xdr:col>0</xdr:col>
      <xdr:colOff>152400</xdr:colOff>
      <xdr:row>865</xdr:row>
      <xdr:rowOff>106680</xdr:rowOff>
    </xdr:to>
    <xdr:sp macro="" textlink="">
      <xdr:nvSpPr>
        <xdr:cNvPr id="9193" name="AutoShape 1449" descr="SWEDEN"/>
        <xdr:cNvSpPr>
          <a:spLocks noChangeAspect="1" noChangeArrowheads="1"/>
        </xdr:cNvSpPr>
      </xdr:nvSpPr>
      <xdr:spPr bwMode="auto">
        <a:xfrm>
          <a:off x="0" y="176837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865</xdr:row>
      <xdr:rowOff>0</xdr:rowOff>
    </xdr:from>
    <xdr:to>
      <xdr:col>22</xdr:col>
      <xdr:colOff>304800</xdr:colOff>
      <xdr:row>866</xdr:row>
      <xdr:rowOff>129540</xdr:rowOff>
    </xdr:to>
    <xdr:sp macro="" textlink="">
      <xdr:nvSpPr>
        <xdr:cNvPr id="9194" name="AutoShape 1450" descr="https://www.soccerstats.com/img/own/sshplogo.png">
          <a:hlinkClick xmlns:r="http://schemas.openxmlformats.org/officeDocument/2006/relationships" r:id="rId892"/>
        </xdr:cNvPr>
        <xdr:cNvSpPr>
          <a:spLocks noChangeAspect="1" noChangeArrowheads="1"/>
        </xdr:cNvSpPr>
      </xdr:nvSpPr>
      <xdr:spPr bwMode="auto">
        <a:xfrm>
          <a:off x="13411200" y="176837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866</xdr:row>
      <xdr:rowOff>0</xdr:rowOff>
    </xdr:from>
    <xdr:to>
      <xdr:col>0</xdr:col>
      <xdr:colOff>152400</xdr:colOff>
      <xdr:row>866</xdr:row>
      <xdr:rowOff>106680</xdr:rowOff>
    </xdr:to>
    <xdr:sp macro="" textlink="">
      <xdr:nvSpPr>
        <xdr:cNvPr id="9195" name="AutoShape 1451" descr="SWEDEN"/>
        <xdr:cNvSpPr>
          <a:spLocks noChangeAspect="1" noChangeArrowheads="1"/>
        </xdr:cNvSpPr>
      </xdr:nvSpPr>
      <xdr:spPr bwMode="auto">
        <a:xfrm>
          <a:off x="0" y="177012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866</xdr:row>
      <xdr:rowOff>0</xdr:rowOff>
    </xdr:from>
    <xdr:to>
      <xdr:col>22</xdr:col>
      <xdr:colOff>304800</xdr:colOff>
      <xdr:row>867</xdr:row>
      <xdr:rowOff>129540</xdr:rowOff>
    </xdr:to>
    <xdr:sp macro="" textlink="">
      <xdr:nvSpPr>
        <xdr:cNvPr id="9196" name="AutoShape 1452" descr="https://www.soccerstats.com/img/own/sshplogo.png">
          <a:hlinkClick xmlns:r="http://schemas.openxmlformats.org/officeDocument/2006/relationships" r:id="rId893"/>
        </xdr:cNvPr>
        <xdr:cNvSpPr>
          <a:spLocks noChangeAspect="1" noChangeArrowheads="1"/>
        </xdr:cNvSpPr>
      </xdr:nvSpPr>
      <xdr:spPr bwMode="auto">
        <a:xfrm>
          <a:off x="13411200" y="17701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867</xdr:row>
      <xdr:rowOff>0</xdr:rowOff>
    </xdr:from>
    <xdr:to>
      <xdr:col>0</xdr:col>
      <xdr:colOff>152400</xdr:colOff>
      <xdr:row>867</xdr:row>
      <xdr:rowOff>106680</xdr:rowOff>
    </xdr:to>
    <xdr:sp macro="" textlink="">
      <xdr:nvSpPr>
        <xdr:cNvPr id="9197" name="AutoShape 1453" descr="SWEDEN"/>
        <xdr:cNvSpPr>
          <a:spLocks noChangeAspect="1" noChangeArrowheads="1"/>
        </xdr:cNvSpPr>
      </xdr:nvSpPr>
      <xdr:spPr bwMode="auto">
        <a:xfrm>
          <a:off x="0" y="177187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867</xdr:row>
      <xdr:rowOff>0</xdr:rowOff>
    </xdr:from>
    <xdr:to>
      <xdr:col>22</xdr:col>
      <xdr:colOff>304800</xdr:colOff>
      <xdr:row>868</xdr:row>
      <xdr:rowOff>129540</xdr:rowOff>
    </xdr:to>
    <xdr:sp macro="" textlink="">
      <xdr:nvSpPr>
        <xdr:cNvPr id="9198" name="AutoShape 1454" descr="https://www.soccerstats.com/img/own/sshplogo.png">
          <a:hlinkClick xmlns:r="http://schemas.openxmlformats.org/officeDocument/2006/relationships" r:id="rId894"/>
        </xdr:cNvPr>
        <xdr:cNvSpPr>
          <a:spLocks noChangeAspect="1" noChangeArrowheads="1"/>
        </xdr:cNvSpPr>
      </xdr:nvSpPr>
      <xdr:spPr bwMode="auto">
        <a:xfrm>
          <a:off x="13411200" y="177187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868</xdr:row>
      <xdr:rowOff>0</xdr:rowOff>
    </xdr:from>
    <xdr:to>
      <xdr:col>0</xdr:col>
      <xdr:colOff>152400</xdr:colOff>
      <xdr:row>868</xdr:row>
      <xdr:rowOff>106680</xdr:rowOff>
    </xdr:to>
    <xdr:sp macro="" textlink="">
      <xdr:nvSpPr>
        <xdr:cNvPr id="9199" name="AutoShape 1455" descr="SWEDEN"/>
        <xdr:cNvSpPr>
          <a:spLocks noChangeAspect="1" noChangeArrowheads="1"/>
        </xdr:cNvSpPr>
      </xdr:nvSpPr>
      <xdr:spPr bwMode="auto">
        <a:xfrm>
          <a:off x="0" y="177363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868</xdr:row>
      <xdr:rowOff>0</xdr:rowOff>
    </xdr:from>
    <xdr:to>
      <xdr:col>22</xdr:col>
      <xdr:colOff>304800</xdr:colOff>
      <xdr:row>869</xdr:row>
      <xdr:rowOff>129540</xdr:rowOff>
    </xdr:to>
    <xdr:sp macro="" textlink="">
      <xdr:nvSpPr>
        <xdr:cNvPr id="9200" name="AutoShape 1456" descr="https://www.soccerstats.com/img/own/sshplogo.png">
          <a:hlinkClick xmlns:r="http://schemas.openxmlformats.org/officeDocument/2006/relationships" r:id="rId895"/>
        </xdr:cNvPr>
        <xdr:cNvSpPr>
          <a:spLocks noChangeAspect="1" noChangeArrowheads="1"/>
        </xdr:cNvSpPr>
      </xdr:nvSpPr>
      <xdr:spPr bwMode="auto">
        <a:xfrm>
          <a:off x="13411200" y="177363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152400</xdr:colOff>
      <xdr:row>869</xdr:row>
      <xdr:rowOff>106680</xdr:rowOff>
    </xdr:to>
    <xdr:sp macro="" textlink="">
      <xdr:nvSpPr>
        <xdr:cNvPr id="9201" name="AutoShape 1457" descr="SWEDEN2"/>
        <xdr:cNvSpPr>
          <a:spLocks noChangeAspect="1" noChangeArrowheads="1"/>
        </xdr:cNvSpPr>
      </xdr:nvSpPr>
      <xdr:spPr bwMode="auto">
        <a:xfrm>
          <a:off x="0" y="177538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869</xdr:row>
      <xdr:rowOff>0</xdr:rowOff>
    </xdr:from>
    <xdr:to>
      <xdr:col>22</xdr:col>
      <xdr:colOff>304800</xdr:colOff>
      <xdr:row>870</xdr:row>
      <xdr:rowOff>129540</xdr:rowOff>
    </xdr:to>
    <xdr:sp macro="" textlink="">
      <xdr:nvSpPr>
        <xdr:cNvPr id="9202" name="AutoShape 1458" descr="https://www.soccerstats.com/img/own/sshplogo.png">
          <a:hlinkClick xmlns:r="http://schemas.openxmlformats.org/officeDocument/2006/relationships" r:id="rId896"/>
        </xdr:cNvPr>
        <xdr:cNvSpPr>
          <a:spLocks noChangeAspect="1" noChangeArrowheads="1"/>
        </xdr:cNvSpPr>
      </xdr:nvSpPr>
      <xdr:spPr bwMode="auto">
        <a:xfrm>
          <a:off x="13411200" y="177538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870</xdr:row>
      <xdr:rowOff>0</xdr:rowOff>
    </xdr:from>
    <xdr:to>
      <xdr:col>0</xdr:col>
      <xdr:colOff>152400</xdr:colOff>
      <xdr:row>870</xdr:row>
      <xdr:rowOff>106680</xdr:rowOff>
    </xdr:to>
    <xdr:sp macro="" textlink="">
      <xdr:nvSpPr>
        <xdr:cNvPr id="9203" name="AutoShape 1459" descr="SWEDEN3"/>
        <xdr:cNvSpPr>
          <a:spLocks noChangeAspect="1" noChangeArrowheads="1"/>
        </xdr:cNvSpPr>
      </xdr:nvSpPr>
      <xdr:spPr bwMode="auto">
        <a:xfrm>
          <a:off x="0" y="177713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870</xdr:row>
      <xdr:rowOff>0</xdr:rowOff>
    </xdr:from>
    <xdr:to>
      <xdr:col>22</xdr:col>
      <xdr:colOff>304800</xdr:colOff>
      <xdr:row>871</xdr:row>
      <xdr:rowOff>129540</xdr:rowOff>
    </xdr:to>
    <xdr:sp macro="" textlink="">
      <xdr:nvSpPr>
        <xdr:cNvPr id="9204" name="AutoShape 1460" descr="https://www.soccerstats.com/img/own/sshplogo.png">
          <a:hlinkClick xmlns:r="http://schemas.openxmlformats.org/officeDocument/2006/relationships" r:id="rId897"/>
        </xdr:cNvPr>
        <xdr:cNvSpPr>
          <a:spLocks noChangeAspect="1" noChangeArrowheads="1"/>
        </xdr:cNvSpPr>
      </xdr:nvSpPr>
      <xdr:spPr bwMode="auto">
        <a:xfrm>
          <a:off x="13411200" y="177713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871</xdr:row>
      <xdr:rowOff>0</xdr:rowOff>
    </xdr:from>
    <xdr:to>
      <xdr:col>0</xdr:col>
      <xdr:colOff>152400</xdr:colOff>
      <xdr:row>871</xdr:row>
      <xdr:rowOff>106680</xdr:rowOff>
    </xdr:to>
    <xdr:sp macro="" textlink="">
      <xdr:nvSpPr>
        <xdr:cNvPr id="9205" name="AutoShape 1461" descr="SWEDEN3"/>
        <xdr:cNvSpPr>
          <a:spLocks noChangeAspect="1" noChangeArrowheads="1"/>
        </xdr:cNvSpPr>
      </xdr:nvSpPr>
      <xdr:spPr bwMode="auto">
        <a:xfrm>
          <a:off x="0" y="177888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871</xdr:row>
      <xdr:rowOff>0</xdr:rowOff>
    </xdr:from>
    <xdr:to>
      <xdr:col>22</xdr:col>
      <xdr:colOff>304800</xdr:colOff>
      <xdr:row>872</xdr:row>
      <xdr:rowOff>53340</xdr:rowOff>
    </xdr:to>
    <xdr:sp macro="" textlink="">
      <xdr:nvSpPr>
        <xdr:cNvPr id="9206" name="AutoShape 1462" descr="https://www.soccerstats.com/img/own/sshplogo.png">
          <a:hlinkClick xmlns:r="http://schemas.openxmlformats.org/officeDocument/2006/relationships" r:id="rId898"/>
        </xdr:cNvPr>
        <xdr:cNvSpPr>
          <a:spLocks noChangeAspect="1" noChangeArrowheads="1"/>
        </xdr:cNvSpPr>
      </xdr:nvSpPr>
      <xdr:spPr bwMode="auto">
        <a:xfrm>
          <a:off x="13411200" y="17788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872</xdr:row>
      <xdr:rowOff>0</xdr:rowOff>
    </xdr:from>
    <xdr:to>
      <xdr:col>0</xdr:col>
      <xdr:colOff>152400</xdr:colOff>
      <xdr:row>872</xdr:row>
      <xdr:rowOff>106680</xdr:rowOff>
    </xdr:to>
    <xdr:sp macro="" textlink="">
      <xdr:nvSpPr>
        <xdr:cNvPr id="9207" name="AutoShape 1463" descr="SWEDEN3"/>
        <xdr:cNvSpPr>
          <a:spLocks noChangeAspect="1" noChangeArrowheads="1"/>
        </xdr:cNvSpPr>
      </xdr:nvSpPr>
      <xdr:spPr bwMode="auto">
        <a:xfrm>
          <a:off x="0" y="1781403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872</xdr:row>
      <xdr:rowOff>0</xdr:rowOff>
    </xdr:from>
    <xdr:to>
      <xdr:col>22</xdr:col>
      <xdr:colOff>304800</xdr:colOff>
      <xdr:row>873</xdr:row>
      <xdr:rowOff>129540</xdr:rowOff>
    </xdr:to>
    <xdr:sp macro="" textlink="">
      <xdr:nvSpPr>
        <xdr:cNvPr id="9208" name="AutoShape 1464" descr="https://www.soccerstats.com/img/own/sshplogo.png">
          <a:hlinkClick xmlns:r="http://schemas.openxmlformats.org/officeDocument/2006/relationships" r:id="rId899"/>
        </xdr:cNvPr>
        <xdr:cNvSpPr>
          <a:spLocks noChangeAspect="1" noChangeArrowheads="1"/>
        </xdr:cNvSpPr>
      </xdr:nvSpPr>
      <xdr:spPr bwMode="auto">
        <a:xfrm>
          <a:off x="13411200" y="178140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873</xdr:row>
      <xdr:rowOff>0</xdr:rowOff>
    </xdr:from>
    <xdr:to>
      <xdr:col>0</xdr:col>
      <xdr:colOff>152400</xdr:colOff>
      <xdr:row>873</xdr:row>
      <xdr:rowOff>106680</xdr:rowOff>
    </xdr:to>
    <xdr:sp macro="" textlink="">
      <xdr:nvSpPr>
        <xdr:cNvPr id="9209" name="AutoShape 1465" descr="SWEDEN4"/>
        <xdr:cNvSpPr>
          <a:spLocks noChangeAspect="1" noChangeArrowheads="1"/>
        </xdr:cNvSpPr>
      </xdr:nvSpPr>
      <xdr:spPr bwMode="auto">
        <a:xfrm>
          <a:off x="0" y="1783156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873</xdr:row>
      <xdr:rowOff>0</xdr:rowOff>
    </xdr:from>
    <xdr:to>
      <xdr:col>22</xdr:col>
      <xdr:colOff>304800</xdr:colOff>
      <xdr:row>874</xdr:row>
      <xdr:rowOff>129540</xdr:rowOff>
    </xdr:to>
    <xdr:sp macro="" textlink="">
      <xdr:nvSpPr>
        <xdr:cNvPr id="9210" name="AutoShape 1466" descr="https://www.soccerstats.com/img/own/sshplogo.png">
          <a:hlinkClick xmlns:r="http://schemas.openxmlformats.org/officeDocument/2006/relationships" r:id="rId900"/>
        </xdr:cNvPr>
        <xdr:cNvSpPr>
          <a:spLocks noChangeAspect="1" noChangeArrowheads="1"/>
        </xdr:cNvSpPr>
      </xdr:nvSpPr>
      <xdr:spPr bwMode="auto">
        <a:xfrm>
          <a:off x="13411200" y="178315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874</xdr:row>
      <xdr:rowOff>0</xdr:rowOff>
    </xdr:from>
    <xdr:to>
      <xdr:col>0</xdr:col>
      <xdr:colOff>152400</xdr:colOff>
      <xdr:row>874</xdr:row>
      <xdr:rowOff>106680</xdr:rowOff>
    </xdr:to>
    <xdr:sp macro="" textlink="">
      <xdr:nvSpPr>
        <xdr:cNvPr id="9211" name="AutoShape 1467" descr="SWEDEN4"/>
        <xdr:cNvSpPr>
          <a:spLocks noChangeAspect="1" noChangeArrowheads="1"/>
        </xdr:cNvSpPr>
      </xdr:nvSpPr>
      <xdr:spPr bwMode="auto">
        <a:xfrm>
          <a:off x="0" y="178490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874</xdr:row>
      <xdr:rowOff>0</xdr:rowOff>
    </xdr:from>
    <xdr:to>
      <xdr:col>22</xdr:col>
      <xdr:colOff>304800</xdr:colOff>
      <xdr:row>875</xdr:row>
      <xdr:rowOff>129540</xdr:rowOff>
    </xdr:to>
    <xdr:sp macro="" textlink="">
      <xdr:nvSpPr>
        <xdr:cNvPr id="9212" name="AutoShape 1468" descr="https://www.soccerstats.com/img/own/sshplogo.png">
          <a:hlinkClick xmlns:r="http://schemas.openxmlformats.org/officeDocument/2006/relationships" r:id="rId901"/>
        </xdr:cNvPr>
        <xdr:cNvSpPr>
          <a:spLocks noChangeAspect="1" noChangeArrowheads="1"/>
        </xdr:cNvSpPr>
      </xdr:nvSpPr>
      <xdr:spPr bwMode="auto">
        <a:xfrm>
          <a:off x="13411200" y="178490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875</xdr:row>
      <xdr:rowOff>0</xdr:rowOff>
    </xdr:from>
    <xdr:to>
      <xdr:col>0</xdr:col>
      <xdr:colOff>152400</xdr:colOff>
      <xdr:row>875</xdr:row>
      <xdr:rowOff>106680</xdr:rowOff>
    </xdr:to>
    <xdr:sp macro="" textlink="">
      <xdr:nvSpPr>
        <xdr:cNvPr id="9213" name="AutoShape 1469" descr="SWEDEN4"/>
        <xdr:cNvSpPr>
          <a:spLocks noChangeAspect="1" noChangeArrowheads="1"/>
        </xdr:cNvSpPr>
      </xdr:nvSpPr>
      <xdr:spPr bwMode="auto">
        <a:xfrm>
          <a:off x="0" y="178666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875</xdr:row>
      <xdr:rowOff>0</xdr:rowOff>
    </xdr:from>
    <xdr:to>
      <xdr:col>22</xdr:col>
      <xdr:colOff>304800</xdr:colOff>
      <xdr:row>876</xdr:row>
      <xdr:rowOff>129540</xdr:rowOff>
    </xdr:to>
    <xdr:sp macro="" textlink="">
      <xdr:nvSpPr>
        <xdr:cNvPr id="9214" name="AutoShape 1470" descr="https://www.soccerstats.com/img/own/sshplogo.png">
          <a:hlinkClick xmlns:r="http://schemas.openxmlformats.org/officeDocument/2006/relationships" r:id="rId902"/>
        </xdr:cNvPr>
        <xdr:cNvSpPr>
          <a:spLocks noChangeAspect="1" noChangeArrowheads="1"/>
        </xdr:cNvSpPr>
      </xdr:nvSpPr>
      <xdr:spPr bwMode="auto">
        <a:xfrm>
          <a:off x="13411200" y="178666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876</xdr:row>
      <xdr:rowOff>0</xdr:rowOff>
    </xdr:from>
    <xdr:to>
      <xdr:col>0</xdr:col>
      <xdr:colOff>152400</xdr:colOff>
      <xdr:row>876</xdr:row>
      <xdr:rowOff>106680</xdr:rowOff>
    </xdr:to>
    <xdr:sp macro="" textlink="">
      <xdr:nvSpPr>
        <xdr:cNvPr id="9215" name="AutoShape 1471" descr="SWEDEN11"/>
        <xdr:cNvSpPr>
          <a:spLocks noChangeAspect="1" noChangeArrowheads="1"/>
        </xdr:cNvSpPr>
      </xdr:nvSpPr>
      <xdr:spPr bwMode="auto">
        <a:xfrm>
          <a:off x="0" y="1788414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876</xdr:row>
      <xdr:rowOff>0</xdr:rowOff>
    </xdr:from>
    <xdr:to>
      <xdr:col>22</xdr:col>
      <xdr:colOff>304800</xdr:colOff>
      <xdr:row>877</xdr:row>
      <xdr:rowOff>53340</xdr:rowOff>
    </xdr:to>
    <xdr:sp macro="" textlink="">
      <xdr:nvSpPr>
        <xdr:cNvPr id="9216" name="AutoShape 1472" descr="https://www.soccerstats.com/img/own/sshplogo.png">
          <a:hlinkClick xmlns:r="http://schemas.openxmlformats.org/officeDocument/2006/relationships" r:id="rId903"/>
        </xdr:cNvPr>
        <xdr:cNvSpPr>
          <a:spLocks noChangeAspect="1" noChangeArrowheads="1"/>
        </xdr:cNvSpPr>
      </xdr:nvSpPr>
      <xdr:spPr bwMode="auto">
        <a:xfrm>
          <a:off x="13411200" y="178841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877</xdr:row>
      <xdr:rowOff>0</xdr:rowOff>
    </xdr:from>
    <xdr:to>
      <xdr:col>0</xdr:col>
      <xdr:colOff>152400</xdr:colOff>
      <xdr:row>877</xdr:row>
      <xdr:rowOff>106680</xdr:rowOff>
    </xdr:to>
    <xdr:sp macro="" textlink="">
      <xdr:nvSpPr>
        <xdr:cNvPr id="9217" name="AutoShape 1473" descr="TURKEY"/>
        <xdr:cNvSpPr>
          <a:spLocks noChangeAspect="1" noChangeArrowheads="1"/>
        </xdr:cNvSpPr>
      </xdr:nvSpPr>
      <xdr:spPr bwMode="auto">
        <a:xfrm>
          <a:off x="0" y="1790928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877</xdr:row>
      <xdr:rowOff>0</xdr:rowOff>
    </xdr:from>
    <xdr:to>
      <xdr:col>22</xdr:col>
      <xdr:colOff>304800</xdr:colOff>
      <xdr:row>878</xdr:row>
      <xdr:rowOff>129540</xdr:rowOff>
    </xdr:to>
    <xdr:sp macro="" textlink="">
      <xdr:nvSpPr>
        <xdr:cNvPr id="9218" name="AutoShape 1474" descr="https://www.soccerstats.com/img/own/sshplogo.png">
          <a:hlinkClick xmlns:r="http://schemas.openxmlformats.org/officeDocument/2006/relationships" r:id="rId904"/>
        </xdr:cNvPr>
        <xdr:cNvSpPr>
          <a:spLocks noChangeAspect="1" noChangeArrowheads="1"/>
        </xdr:cNvSpPr>
      </xdr:nvSpPr>
      <xdr:spPr bwMode="auto">
        <a:xfrm>
          <a:off x="13411200" y="1790928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878</xdr:row>
      <xdr:rowOff>0</xdr:rowOff>
    </xdr:from>
    <xdr:to>
      <xdr:col>0</xdr:col>
      <xdr:colOff>152400</xdr:colOff>
      <xdr:row>878</xdr:row>
      <xdr:rowOff>106680</xdr:rowOff>
    </xdr:to>
    <xdr:sp macro="" textlink="">
      <xdr:nvSpPr>
        <xdr:cNvPr id="9219" name="AutoShape 1475" descr="TURKEY"/>
        <xdr:cNvSpPr>
          <a:spLocks noChangeAspect="1" noChangeArrowheads="1"/>
        </xdr:cNvSpPr>
      </xdr:nvSpPr>
      <xdr:spPr bwMode="auto">
        <a:xfrm>
          <a:off x="0" y="1792681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878</xdr:row>
      <xdr:rowOff>0</xdr:rowOff>
    </xdr:from>
    <xdr:to>
      <xdr:col>22</xdr:col>
      <xdr:colOff>304800</xdr:colOff>
      <xdr:row>879</xdr:row>
      <xdr:rowOff>129540</xdr:rowOff>
    </xdr:to>
    <xdr:sp macro="" textlink="">
      <xdr:nvSpPr>
        <xdr:cNvPr id="9220" name="AutoShape 1476" descr="https://www.soccerstats.com/img/own/sshplogo.png">
          <a:hlinkClick xmlns:r="http://schemas.openxmlformats.org/officeDocument/2006/relationships" r:id="rId905"/>
        </xdr:cNvPr>
        <xdr:cNvSpPr>
          <a:spLocks noChangeAspect="1" noChangeArrowheads="1"/>
        </xdr:cNvSpPr>
      </xdr:nvSpPr>
      <xdr:spPr bwMode="auto">
        <a:xfrm>
          <a:off x="13411200" y="179268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879</xdr:row>
      <xdr:rowOff>0</xdr:rowOff>
    </xdr:from>
    <xdr:to>
      <xdr:col>0</xdr:col>
      <xdr:colOff>152400</xdr:colOff>
      <xdr:row>879</xdr:row>
      <xdr:rowOff>106680</xdr:rowOff>
    </xdr:to>
    <xdr:sp macro="" textlink="">
      <xdr:nvSpPr>
        <xdr:cNvPr id="9221" name="AutoShape 1477" descr="TURKEY"/>
        <xdr:cNvSpPr>
          <a:spLocks noChangeAspect="1" noChangeArrowheads="1"/>
        </xdr:cNvSpPr>
      </xdr:nvSpPr>
      <xdr:spPr bwMode="auto">
        <a:xfrm>
          <a:off x="0" y="1794433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879</xdr:row>
      <xdr:rowOff>0</xdr:rowOff>
    </xdr:from>
    <xdr:to>
      <xdr:col>22</xdr:col>
      <xdr:colOff>304800</xdr:colOff>
      <xdr:row>880</xdr:row>
      <xdr:rowOff>129540</xdr:rowOff>
    </xdr:to>
    <xdr:sp macro="" textlink="">
      <xdr:nvSpPr>
        <xdr:cNvPr id="9222" name="AutoShape 1478" descr="https://www.soccerstats.com/img/own/sshplogo.png">
          <a:hlinkClick xmlns:r="http://schemas.openxmlformats.org/officeDocument/2006/relationships" r:id="rId906"/>
        </xdr:cNvPr>
        <xdr:cNvSpPr>
          <a:spLocks noChangeAspect="1" noChangeArrowheads="1"/>
        </xdr:cNvSpPr>
      </xdr:nvSpPr>
      <xdr:spPr bwMode="auto">
        <a:xfrm>
          <a:off x="13411200" y="179443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880</xdr:row>
      <xdr:rowOff>0</xdr:rowOff>
    </xdr:from>
    <xdr:to>
      <xdr:col>0</xdr:col>
      <xdr:colOff>152400</xdr:colOff>
      <xdr:row>880</xdr:row>
      <xdr:rowOff>106680</xdr:rowOff>
    </xdr:to>
    <xdr:sp macro="" textlink="">
      <xdr:nvSpPr>
        <xdr:cNvPr id="9223" name="AutoShape 1479" descr="TURKEY2"/>
        <xdr:cNvSpPr>
          <a:spLocks noChangeAspect="1" noChangeArrowheads="1"/>
        </xdr:cNvSpPr>
      </xdr:nvSpPr>
      <xdr:spPr bwMode="auto">
        <a:xfrm>
          <a:off x="0" y="1796186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880</xdr:row>
      <xdr:rowOff>0</xdr:rowOff>
    </xdr:from>
    <xdr:to>
      <xdr:col>22</xdr:col>
      <xdr:colOff>304800</xdr:colOff>
      <xdr:row>881</xdr:row>
      <xdr:rowOff>129540</xdr:rowOff>
    </xdr:to>
    <xdr:sp macro="" textlink="">
      <xdr:nvSpPr>
        <xdr:cNvPr id="9224" name="AutoShape 1480" descr="https://www.soccerstats.com/img/own/sshplogo.png">
          <a:hlinkClick xmlns:r="http://schemas.openxmlformats.org/officeDocument/2006/relationships" r:id="rId907"/>
        </xdr:cNvPr>
        <xdr:cNvSpPr>
          <a:spLocks noChangeAspect="1" noChangeArrowheads="1"/>
        </xdr:cNvSpPr>
      </xdr:nvSpPr>
      <xdr:spPr bwMode="auto">
        <a:xfrm>
          <a:off x="13411200" y="179618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881</xdr:row>
      <xdr:rowOff>0</xdr:rowOff>
    </xdr:from>
    <xdr:to>
      <xdr:col>0</xdr:col>
      <xdr:colOff>152400</xdr:colOff>
      <xdr:row>881</xdr:row>
      <xdr:rowOff>106680</xdr:rowOff>
    </xdr:to>
    <xdr:sp macro="" textlink="">
      <xdr:nvSpPr>
        <xdr:cNvPr id="9225" name="AutoShape 1481" descr="TURKEY2"/>
        <xdr:cNvSpPr>
          <a:spLocks noChangeAspect="1" noChangeArrowheads="1"/>
        </xdr:cNvSpPr>
      </xdr:nvSpPr>
      <xdr:spPr bwMode="auto">
        <a:xfrm>
          <a:off x="0" y="1797939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881</xdr:row>
      <xdr:rowOff>0</xdr:rowOff>
    </xdr:from>
    <xdr:to>
      <xdr:col>22</xdr:col>
      <xdr:colOff>304800</xdr:colOff>
      <xdr:row>882</xdr:row>
      <xdr:rowOff>129540</xdr:rowOff>
    </xdr:to>
    <xdr:sp macro="" textlink="">
      <xdr:nvSpPr>
        <xdr:cNvPr id="9226" name="AutoShape 1482" descr="https://www.soccerstats.com/img/own/sshplogo.png">
          <a:hlinkClick xmlns:r="http://schemas.openxmlformats.org/officeDocument/2006/relationships" r:id="rId908"/>
        </xdr:cNvPr>
        <xdr:cNvSpPr>
          <a:spLocks noChangeAspect="1" noChangeArrowheads="1"/>
        </xdr:cNvSpPr>
      </xdr:nvSpPr>
      <xdr:spPr bwMode="auto">
        <a:xfrm>
          <a:off x="13411200" y="179793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882</xdr:row>
      <xdr:rowOff>0</xdr:rowOff>
    </xdr:from>
    <xdr:to>
      <xdr:col>0</xdr:col>
      <xdr:colOff>152400</xdr:colOff>
      <xdr:row>882</xdr:row>
      <xdr:rowOff>106680</xdr:rowOff>
    </xdr:to>
    <xdr:sp macro="" textlink="">
      <xdr:nvSpPr>
        <xdr:cNvPr id="9227" name="AutoShape 1483" descr="TURKEY2"/>
        <xdr:cNvSpPr>
          <a:spLocks noChangeAspect="1" noChangeArrowheads="1"/>
        </xdr:cNvSpPr>
      </xdr:nvSpPr>
      <xdr:spPr bwMode="auto">
        <a:xfrm>
          <a:off x="0" y="1799691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882</xdr:row>
      <xdr:rowOff>0</xdr:rowOff>
    </xdr:from>
    <xdr:to>
      <xdr:col>22</xdr:col>
      <xdr:colOff>304800</xdr:colOff>
      <xdr:row>883</xdr:row>
      <xdr:rowOff>129540</xdr:rowOff>
    </xdr:to>
    <xdr:sp macro="" textlink="">
      <xdr:nvSpPr>
        <xdr:cNvPr id="9228" name="AutoShape 1484" descr="https://www.soccerstats.com/img/own/sshplogo.png">
          <a:hlinkClick xmlns:r="http://schemas.openxmlformats.org/officeDocument/2006/relationships" r:id="rId909"/>
        </xdr:cNvPr>
        <xdr:cNvSpPr>
          <a:spLocks noChangeAspect="1" noChangeArrowheads="1"/>
        </xdr:cNvSpPr>
      </xdr:nvSpPr>
      <xdr:spPr bwMode="auto">
        <a:xfrm>
          <a:off x="13411200" y="179969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883</xdr:row>
      <xdr:rowOff>0</xdr:rowOff>
    </xdr:from>
    <xdr:to>
      <xdr:col>0</xdr:col>
      <xdr:colOff>152400</xdr:colOff>
      <xdr:row>883</xdr:row>
      <xdr:rowOff>106680</xdr:rowOff>
    </xdr:to>
    <xdr:sp macro="" textlink="">
      <xdr:nvSpPr>
        <xdr:cNvPr id="9229" name="AutoShape 1485" descr="TURKEY2"/>
        <xdr:cNvSpPr>
          <a:spLocks noChangeAspect="1" noChangeArrowheads="1"/>
        </xdr:cNvSpPr>
      </xdr:nvSpPr>
      <xdr:spPr bwMode="auto">
        <a:xfrm>
          <a:off x="0" y="180144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883</xdr:row>
      <xdr:rowOff>0</xdr:rowOff>
    </xdr:from>
    <xdr:to>
      <xdr:col>22</xdr:col>
      <xdr:colOff>304800</xdr:colOff>
      <xdr:row>884</xdr:row>
      <xdr:rowOff>53340</xdr:rowOff>
    </xdr:to>
    <xdr:sp macro="" textlink="">
      <xdr:nvSpPr>
        <xdr:cNvPr id="9230" name="AutoShape 1486" descr="https://www.soccerstats.com/img/own/sshplogo.png">
          <a:hlinkClick xmlns:r="http://schemas.openxmlformats.org/officeDocument/2006/relationships" r:id="rId910"/>
        </xdr:cNvPr>
        <xdr:cNvSpPr>
          <a:spLocks noChangeAspect="1" noChangeArrowheads="1"/>
        </xdr:cNvSpPr>
      </xdr:nvSpPr>
      <xdr:spPr bwMode="auto">
        <a:xfrm>
          <a:off x="13411200" y="180144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884</xdr:row>
      <xdr:rowOff>0</xdr:rowOff>
    </xdr:from>
    <xdr:to>
      <xdr:col>0</xdr:col>
      <xdr:colOff>152400</xdr:colOff>
      <xdr:row>884</xdr:row>
      <xdr:rowOff>106680</xdr:rowOff>
    </xdr:to>
    <xdr:sp macro="" textlink="">
      <xdr:nvSpPr>
        <xdr:cNvPr id="9231" name="AutoShape 1487" descr="UKRAINE"/>
        <xdr:cNvSpPr>
          <a:spLocks noChangeAspect="1" noChangeArrowheads="1"/>
        </xdr:cNvSpPr>
      </xdr:nvSpPr>
      <xdr:spPr bwMode="auto">
        <a:xfrm>
          <a:off x="0" y="180395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884</xdr:row>
      <xdr:rowOff>0</xdr:rowOff>
    </xdr:from>
    <xdr:to>
      <xdr:col>22</xdr:col>
      <xdr:colOff>304800</xdr:colOff>
      <xdr:row>885</xdr:row>
      <xdr:rowOff>53340</xdr:rowOff>
    </xdr:to>
    <xdr:sp macro="" textlink="">
      <xdr:nvSpPr>
        <xdr:cNvPr id="9232" name="AutoShape 1488" descr="https://www.soccerstats.com/img/own/sshplogo.png">
          <a:hlinkClick xmlns:r="http://schemas.openxmlformats.org/officeDocument/2006/relationships" r:id="rId911"/>
        </xdr:cNvPr>
        <xdr:cNvSpPr>
          <a:spLocks noChangeAspect="1" noChangeArrowheads="1"/>
        </xdr:cNvSpPr>
      </xdr:nvSpPr>
      <xdr:spPr bwMode="auto">
        <a:xfrm>
          <a:off x="13411200" y="180395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885</xdr:row>
      <xdr:rowOff>0</xdr:rowOff>
    </xdr:from>
    <xdr:to>
      <xdr:col>0</xdr:col>
      <xdr:colOff>152400</xdr:colOff>
      <xdr:row>885</xdr:row>
      <xdr:rowOff>106680</xdr:rowOff>
    </xdr:to>
    <xdr:sp macro="" textlink="">
      <xdr:nvSpPr>
        <xdr:cNvPr id="9233" name="AutoShape 1489" descr="UKRAINE"/>
        <xdr:cNvSpPr>
          <a:spLocks noChangeAspect="1" noChangeArrowheads="1"/>
        </xdr:cNvSpPr>
      </xdr:nvSpPr>
      <xdr:spPr bwMode="auto">
        <a:xfrm>
          <a:off x="0" y="180647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885</xdr:row>
      <xdr:rowOff>0</xdr:rowOff>
    </xdr:from>
    <xdr:to>
      <xdr:col>22</xdr:col>
      <xdr:colOff>304800</xdr:colOff>
      <xdr:row>886</xdr:row>
      <xdr:rowOff>129540</xdr:rowOff>
    </xdr:to>
    <xdr:sp macro="" textlink="">
      <xdr:nvSpPr>
        <xdr:cNvPr id="9234" name="AutoShape 1490" descr="https://www.soccerstats.com/img/own/sshplogo.png">
          <a:hlinkClick xmlns:r="http://schemas.openxmlformats.org/officeDocument/2006/relationships" r:id="rId912"/>
        </xdr:cNvPr>
        <xdr:cNvSpPr>
          <a:spLocks noChangeAspect="1" noChangeArrowheads="1"/>
        </xdr:cNvSpPr>
      </xdr:nvSpPr>
      <xdr:spPr bwMode="auto">
        <a:xfrm>
          <a:off x="13411200" y="180647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886</xdr:row>
      <xdr:rowOff>0</xdr:rowOff>
    </xdr:from>
    <xdr:to>
      <xdr:col>0</xdr:col>
      <xdr:colOff>152400</xdr:colOff>
      <xdr:row>886</xdr:row>
      <xdr:rowOff>106680</xdr:rowOff>
    </xdr:to>
    <xdr:sp macro="" textlink="">
      <xdr:nvSpPr>
        <xdr:cNvPr id="9235" name="AutoShape 1491" descr="UKRAINE"/>
        <xdr:cNvSpPr>
          <a:spLocks noChangeAspect="1" noChangeArrowheads="1"/>
        </xdr:cNvSpPr>
      </xdr:nvSpPr>
      <xdr:spPr bwMode="auto">
        <a:xfrm>
          <a:off x="0" y="180822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886</xdr:row>
      <xdr:rowOff>0</xdr:rowOff>
    </xdr:from>
    <xdr:to>
      <xdr:col>22</xdr:col>
      <xdr:colOff>304800</xdr:colOff>
      <xdr:row>887</xdr:row>
      <xdr:rowOff>53340</xdr:rowOff>
    </xdr:to>
    <xdr:sp macro="" textlink="">
      <xdr:nvSpPr>
        <xdr:cNvPr id="9236" name="AutoShape 1492" descr="https://www.soccerstats.com/img/own/sshplogo.png">
          <a:hlinkClick xmlns:r="http://schemas.openxmlformats.org/officeDocument/2006/relationships" r:id="rId913"/>
        </xdr:cNvPr>
        <xdr:cNvSpPr>
          <a:spLocks noChangeAspect="1" noChangeArrowheads="1"/>
        </xdr:cNvSpPr>
      </xdr:nvSpPr>
      <xdr:spPr bwMode="auto">
        <a:xfrm>
          <a:off x="13411200" y="18082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887</xdr:row>
      <xdr:rowOff>0</xdr:rowOff>
    </xdr:from>
    <xdr:to>
      <xdr:col>0</xdr:col>
      <xdr:colOff>152400</xdr:colOff>
      <xdr:row>887</xdr:row>
      <xdr:rowOff>106680</xdr:rowOff>
    </xdr:to>
    <xdr:sp macro="" textlink="">
      <xdr:nvSpPr>
        <xdr:cNvPr id="9237" name="AutoShape 1493" descr="URUGUAY3"/>
        <xdr:cNvSpPr>
          <a:spLocks noChangeAspect="1" noChangeArrowheads="1"/>
        </xdr:cNvSpPr>
      </xdr:nvSpPr>
      <xdr:spPr bwMode="auto">
        <a:xfrm>
          <a:off x="0" y="181074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887</xdr:row>
      <xdr:rowOff>0</xdr:rowOff>
    </xdr:from>
    <xdr:to>
      <xdr:col>22</xdr:col>
      <xdr:colOff>304800</xdr:colOff>
      <xdr:row>888</xdr:row>
      <xdr:rowOff>53340</xdr:rowOff>
    </xdr:to>
    <xdr:sp macro="" textlink="">
      <xdr:nvSpPr>
        <xdr:cNvPr id="9238" name="AutoShape 1494" descr="https://www.soccerstats.com/img/own/sshplogo.png">
          <a:hlinkClick xmlns:r="http://schemas.openxmlformats.org/officeDocument/2006/relationships" r:id="rId914"/>
        </xdr:cNvPr>
        <xdr:cNvSpPr>
          <a:spLocks noChangeAspect="1" noChangeArrowheads="1"/>
        </xdr:cNvSpPr>
      </xdr:nvSpPr>
      <xdr:spPr bwMode="auto">
        <a:xfrm>
          <a:off x="13411200" y="181074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888</xdr:row>
      <xdr:rowOff>0</xdr:rowOff>
    </xdr:from>
    <xdr:to>
      <xdr:col>0</xdr:col>
      <xdr:colOff>152400</xdr:colOff>
      <xdr:row>888</xdr:row>
      <xdr:rowOff>106680</xdr:rowOff>
    </xdr:to>
    <xdr:sp macro="" textlink="">
      <xdr:nvSpPr>
        <xdr:cNvPr id="9239" name="AutoShape 1495" descr="URUGUAY3"/>
        <xdr:cNvSpPr>
          <a:spLocks noChangeAspect="1" noChangeArrowheads="1"/>
        </xdr:cNvSpPr>
      </xdr:nvSpPr>
      <xdr:spPr bwMode="auto">
        <a:xfrm>
          <a:off x="0" y="181325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888</xdr:row>
      <xdr:rowOff>0</xdr:rowOff>
    </xdr:from>
    <xdr:to>
      <xdr:col>22</xdr:col>
      <xdr:colOff>304800</xdr:colOff>
      <xdr:row>889</xdr:row>
      <xdr:rowOff>129540</xdr:rowOff>
    </xdr:to>
    <xdr:sp macro="" textlink="">
      <xdr:nvSpPr>
        <xdr:cNvPr id="9240" name="AutoShape 1496" descr="https://www.soccerstats.com/img/own/sshplogo.png">
          <a:hlinkClick xmlns:r="http://schemas.openxmlformats.org/officeDocument/2006/relationships" r:id="rId915"/>
        </xdr:cNvPr>
        <xdr:cNvSpPr>
          <a:spLocks noChangeAspect="1" noChangeArrowheads="1"/>
        </xdr:cNvSpPr>
      </xdr:nvSpPr>
      <xdr:spPr bwMode="auto">
        <a:xfrm>
          <a:off x="13411200" y="181325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889</xdr:row>
      <xdr:rowOff>0</xdr:rowOff>
    </xdr:from>
    <xdr:to>
      <xdr:col>0</xdr:col>
      <xdr:colOff>152400</xdr:colOff>
      <xdr:row>889</xdr:row>
      <xdr:rowOff>106680</xdr:rowOff>
    </xdr:to>
    <xdr:sp macro="" textlink="">
      <xdr:nvSpPr>
        <xdr:cNvPr id="9241" name="AutoShape 1497" descr="URUGUAY3"/>
        <xdr:cNvSpPr>
          <a:spLocks noChangeAspect="1" noChangeArrowheads="1"/>
        </xdr:cNvSpPr>
      </xdr:nvSpPr>
      <xdr:spPr bwMode="auto">
        <a:xfrm>
          <a:off x="0" y="1815007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889</xdr:row>
      <xdr:rowOff>0</xdr:rowOff>
    </xdr:from>
    <xdr:to>
      <xdr:col>22</xdr:col>
      <xdr:colOff>304800</xdr:colOff>
      <xdr:row>890</xdr:row>
      <xdr:rowOff>53340</xdr:rowOff>
    </xdr:to>
    <xdr:sp macro="" textlink="">
      <xdr:nvSpPr>
        <xdr:cNvPr id="9242" name="AutoShape 1498" descr="https://www.soccerstats.com/img/own/sshplogo.png">
          <a:hlinkClick xmlns:r="http://schemas.openxmlformats.org/officeDocument/2006/relationships" r:id="rId916"/>
        </xdr:cNvPr>
        <xdr:cNvSpPr>
          <a:spLocks noChangeAspect="1" noChangeArrowheads="1"/>
        </xdr:cNvSpPr>
      </xdr:nvSpPr>
      <xdr:spPr bwMode="auto">
        <a:xfrm>
          <a:off x="13411200" y="181500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890</xdr:row>
      <xdr:rowOff>0</xdr:rowOff>
    </xdr:from>
    <xdr:to>
      <xdr:col>0</xdr:col>
      <xdr:colOff>152400</xdr:colOff>
      <xdr:row>890</xdr:row>
      <xdr:rowOff>106680</xdr:rowOff>
    </xdr:to>
    <xdr:sp macro="" textlink="">
      <xdr:nvSpPr>
        <xdr:cNvPr id="9243" name="AutoShape 1499" descr="USA"/>
        <xdr:cNvSpPr>
          <a:spLocks noChangeAspect="1" noChangeArrowheads="1"/>
        </xdr:cNvSpPr>
      </xdr:nvSpPr>
      <xdr:spPr bwMode="auto">
        <a:xfrm>
          <a:off x="0" y="181752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890</xdr:row>
      <xdr:rowOff>0</xdr:rowOff>
    </xdr:from>
    <xdr:to>
      <xdr:col>22</xdr:col>
      <xdr:colOff>304800</xdr:colOff>
      <xdr:row>891</xdr:row>
      <xdr:rowOff>53340</xdr:rowOff>
    </xdr:to>
    <xdr:sp macro="" textlink="">
      <xdr:nvSpPr>
        <xdr:cNvPr id="9244" name="AutoShape 1500" descr="https://www.soccerstats.com/img/own/sshplogo.png">
          <a:hlinkClick xmlns:r="http://schemas.openxmlformats.org/officeDocument/2006/relationships" r:id="rId917"/>
        </xdr:cNvPr>
        <xdr:cNvSpPr>
          <a:spLocks noChangeAspect="1" noChangeArrowheads="1"/>
        </xdr:cNvSpPr>
      </xdr:nvSpPr>
      <xdr:spPr bwMode="auto">
        <a:xfrm>
          <a:off x="13411200" y="181752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891</xdr:row>
      <xdr:rowOff>0</xdr:rowOff>
    </xdr:from>
    <xdr:to>
      <xdr:col>0</xdr:col>
      <xdr:colOff>152400</xdr:colOff>
      <xdr:row>891</xdr:row>
      <xdr:rowOff>106680</xdr:rowOff>
    </xdr:to>
    <xdr:sp macro="" textlink="">
      <xdr:nvSpPr>
        <xdr:cNvPr id="9245" name="AutoShape 1501" descr="USA"/>
        <xdr:cNvSpPr>
          <a:spLocks noChangeAspect="1" noChangeArrowheads="1"/>
        </xdr:cNvSpPr>
      </xdr:nvSpPr>
      <xdr:spPr bwMode="auto">
        <a:xfrm>
          <a:off x="0" y="1820037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891</xdr:row>
      <xdr:rowOff>0</xdr:rowOff>
    </xdr:from>
    <xdr:to>
      <xdr:col>22</xdr:col>
      <xdr:colOff>304800</xdr:colOff>
      <xdr:row>892</xdr:row>
      <xdr:rowOff>129540</xdr:rowOff>
    </xdr:to>
    <xdr:sp macro="" textlink="">
      <xdr:nvSpPr>
        <xdr:cNvPr id="9246" name="AutoShape 1502" descr="https://www.soccerstats.com/img/own/sshplogo.png">
          <a:hlinkClick xmlns:r="http://schemas.openxmlformats.org/officeDocument/2006/relationships" r:id="rId918"/>
        </xdr:cNvPr>
        <xdr:cNvSpPr>
          <a:spLocks noChangeAspect="1" noChangeArrowheads="1"/>
        </xdr:cNvSpPr>
      </xdr:nvSpPr>
      <xdr:spPr bwMode="auto">
        <a:xfrm>
          <a:off x="13411200" y="182003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892</xdr:row>
      <xdr:rowOff>0</xdr:rowOff>
    </xdr:from>
    <xdr:to>
      <xdr:col>0</xdr:col>
      <xdr:colOff>152400</xdr:colOff>
      <xdr:row>892</xdr:row>
      <xdr:rowOff>106680</xdr:rowOff>
    </xdr:to>
    <xdr:sp macro="" textlink="">
      <xdr:nvSpPr>
        <xdr:cNvPr id="9247" name="AutoShape 1503" descr="USA"/>
        <xdr:cNvSpPr>
          <a:spLocks noChangeAspect="1" noChangeArrowheads="1"/>
        </xdr:cNvSpPr>
      </xdr:nvSpPr>
      <xdr:spPr bwMode="auto">
        <a:xfrm>
          <a:off x="0" y="182178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892</xdr:row>
      <xdr:rowOff>0</xdr:rowOff>
    </xdr:from>
    <xdr:to>
      <xdr:col>22</xdr:col>
      <xdr:colOff>304800</xdr:colOff>
      <xdr:row>893</xdr:row>
      <xdr:rowOff>53340</xdr:rowOff>
    </xdr:to>
    <xdr:sp macro="" textlink="">
      <xdr:nvSpPr>
        <xdr:cNvPr id="9248" name="AutoShape 1504" descr="https://www.soccerstats.com/img/own/sshplogo.png">
          <a:hlinkClick xmlns:r="http://schemas.openxmlformats.org/officeDocument/2006/relationships" r:id="rId919"/>
        </xdr:cNvPr>
        <xdr:cNvSpPr>
          <a:spLocks noChangeAspect="1" noChangeArrowheads="1"/>
        </xdr:cNvSpPr>
      </xdr:nvSpPr>
      <xdr:spPr bwMode="auto">
        <a:xfrm>
          <a:off x="13411200" y="182178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893</xdr:row>
      <xdr:rowOff>0</xdr:rowOff>
    </xdr:from>
    <xdr:to>
      <xdr:col>0</xdr:col>
      <xdr:colOff>152400</xdr:colOff>
      <xdr:row>893</xdr:row>
      <xdr:rowOff>106680</xdr:rowOff>
    </xdr:to>
    <xdr:sp macro="" textlink="">
      <xdr:nvSpPr>
        <xdr:cNvPr id="9249" name="AutoShape 1505" descr="USA"/>
        <xdr:cNvSpPr>
          <a:spLocks noChangeAspect="1" noChangeArrowheads="1"/>
        </xdr:cNvSpPr>
      </xdr:nvSpPr>
      <xdr:spPr bwMode="auto">
        <a:xfrm>
          <a:off x="0" y="182430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893</xdr:row>
      <xdr:rowOff>0</xdr:rowOff>
    </xdr:from>
    <xdr:to>
      <xdr:col>22</xdr:col>
      <xdr:colOff>304800</xdr:colOff>
      <xdr:row>894</xdr:row>
      <xdr:rowOff>53340</xdr:rowOff>
    </xdr:to>
    <xdr:sp macro="" textlink="">
      <xdr:nvSpPr>
        <xdr:cNvPr id="9250" name="AutoShape 1506" descr="https://www.soccerstats.com/img/own/sshplogo.png">
          <a:hlinkClick xmlns:r="http://schemas.openxmlformats.org/officeDocument/2006/relationships" r:id="rId920"/>
        </xdr:cNvPr>
        <xdr:cNvSpPr>
          <a:spLocks noChangeAspect="1" noChangeArrowheads="1"/>
        </xdr:cNvSpPr>
      </xdr:nvSpPr>
      <xdr:spPr bwMode="auto">
        <a:xfrm>
          <a:off x="13411200" y="182430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894</xdr:row>
      <xdr:rowOff>0</xdr:rowOff>
    </xdr:from>
    <xdr:to>
      <xdr:col>0</xdr:col>
      <xdr:colOff>152400</xdr:colOff>
      <xdr:row>894</xdr:row>
      <xdr:rowOff>106680</xdr:rowOff>
    </xdr:to>
    <xdr:sp macro="" textlink="">
      <xdr:nvSpPr>
        <xdr:cNvPr id="9251" name="AutoShape 1507" descr="USA"/>
        <xdr:cNvSpPr>
          <a:spLocks noChangeAspect="1" noChangeArrowheads="1"/>
        </xdr:cNvSpPr>
      </xdr:nvSpPr>
      <xdr:spPr bwMode="auto">
        <a:xfrm>
          <a:off x="0" y="1826818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894</xdr:row>
      <xdr:rowOff>0</xdr:rowOff>
    </xdr:from>
    <xdr:to>
      <xdr:col>22</xdr:col>
      <xdr:colOff>304800</xdr:colOff>
      <xdr:row>895</xdr:row>
      <xdr:rowOff>53340</xdr:rowOff>
    </xdr:to>
    <xdr:sp macro="" textlink="">
      <xdr:nvSpPr>
        <xdr:cNvPr id="9252" name="AutoShape 1508" descr="https://www.soccerstats.com/img/own/sshplogo.png">
          <a:hlinkClick xmlns:r="http://schemas.openxmlformats.org/officeDocument/2006/relationships" r:id="rId921"/>
        </xdr:cNvPr>
        <xdr:cNvSpPr>
          <a:spLocks noChangeAspect="1" noChangeArrowheads="1"/>
        </xdr:cNvSpPr>
      </xdr:nvSpPr>
      <xdr:spPr bwMode="auto">
        <a:xfrm>
          <a:off x="13411200" y="182681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895</xdr:row>
      <xdr:rowOff>0</xdr:rowOff>
    </xdr:from>
    <xdr:to>
      <xdr:col>0</xdr:col>
      <xdr:colOff>152400</xdr:colOff>
      <xdr:row>895</xdr:row>
      <xdr:rowOff>106680</xdr:rowOff>
    </xdr:to>
    <xdr:sp macro="" textlink="">
      <xdr:nvSpPr>
        <xdr:cNvPr id="9253" name="AutoShape 1509" descr="USA"/>
        <xdr:cNvSpPr>
          <a:spLocks noChangeAspect="1" noChangeArrowheads="1"/>
        </xdr:cNvSpPr>
      </xdr:nvSpPr>
      <xdr:spPr bwMode="auto">
        <a:xfrm>
          <a:off x="0" y="1829333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895</xdr:row>
      <xdr:rowOff>0</xdr:rowOff>
    </xdr:from>
    <xdr:to>
      <xdr:col>22</xdr:col>
      <xdr:colOff>304800</xdr:colOff>
      <xdr:row>896</xdr:row>
      <xdr:rowOff>53340</xdr:rowOff>
    </xdr:to>
    <xdr:sp macro="" textlink="">
      <xdr:nvSpPr>
        <xdr:cNvPr id="9254" name="AutoShape 1510" descr="https://www.soccerstats.com/img/own/sshplogo.png">
          <a:hlinkClick xmlns:r="http://schemas.openxmlformats.org/officeDocument/2006/relationships" r:id="rId922"/>
        </xdr:cNvPr>
        <xdr:cNvSpPr>
          <a:spLocks noChangeAspect="1" noChangeArrowheads="1"/>
        </xdr:cNvSpPr>
      </xdr:nvSpPr>
      <xdr:spPr bwMode="auto">
        <a:xfrm>
          <a:off x="13411200" y="182933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896</xdr:row>
      <xdr:rowOff>0</xdr:rowOff>
    </xdr:from>
    <xdr:to>
      <xdr:col>0</xdr:col>
      <xdr:colOff>152400</xdr:colOff>
      <xdr:row>896</xdr:row>
      <xdr:rowOff>106680</xdr:rowOff>
    </xdr:to>
    <xdr:sp macro="" textlink="">
      <xdr:nvSpPr>
        <xdr:cNvPr id="9255" name="AutoShape 1511" descr="USA"/>
        <xdr:cNvSpPr>
          <a:spLocks noChangeAspect="1" noChangeArrowheads="1"/>
        </xdr:cNvSpPr>
      </xdr:nvSpPr>
      <xdr:spPr bwMode="auto">
        <a:xfrm>
          <a:off x="0" y="1831848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896</xdr:row>
      <xdr:rowOff>0</xdr:rowOff>
    </xdr:from>
    <xdr:to>
      <xdr:col>22</xdr:col>
      <xdr:colOff>304800</xdr:colOff>
      <xdr:row>897</xdr:row>
      <xdr:rowOff>129540</xdr:rowOff>
    </xdr:to>
    <xdr:sp macro="" textlink="">
      <xdr:nvSpPr>
        <xdr:cNvPr id="9256" name="AutoShape 1512" descr="https://www.soccerstats.com/img/own/sshplogo.png">
          <a:hlinkClick xmlns:r="http://schemas.openxmlformats.org/officeDocument/2006/relationships" r:id="rId923"/>
        </xdr:cNvPr>
        <xdr:cNvSpPr>
          <a:spLocks noChangeAspect="1" noChangeArrowheads="1"/>
        </xdr:cNvSpPr>
      </xdr:nvSpPr>
      <xdr:spPr bwMode="auto">
        <a:xfrm>
          <a:off x="13411200" y="18318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897</xdr:row>
      <xdr:rowOff>0</xdr:rowOff>
    </xdr:from>
    <xdr:to>
      <xdr:col>0</xdr:col>
      <xdr:colOff>152400</xdr:colOff>
      <xdr:row>897</xdr:row>
      <xdr:rowOff>106680</xdr:rowOff>
    </xdr:to>
    <xdr:sp macro="" textlink="">
      <xdr:nvSpPr>
        <xdr:cNvPr id="9257" name="AutoShape 1513" descr="USA"/>
        <xdr:cNvSpPr>
          <a:spLocks noChangeAspect="1" noChangeArrowheads="1"/>
        </xdr:cNvSpPr>
      </xdr:nvSpPr>
      <xdr:spPr bwMode="auto">
        <a:xfrm>
          <a:off x="0" y="183360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897</xdr:row>
      <xdr:rowOff>0</xdr:rowOff>
    </xdr:from>
    <xdr:to>
      <xdr:col>22</xdr:col>
      <xdr:colOff>304800</xdr:colOff>
      <xdr:row>898</xdr:row>
      <xdr:rowOff>53340</xdr:rowOff>
    </xdr:to>
    <xdr:sp macro="" textlink="">
      <xdr:nvSpPr>
        <xdr:cNvPr id="9258" name="AutoShape 1514" descr="https://www.soccerstats.com/img/own/sshplogo.png">
          <a:hlinkClick xmlns:r="http://schemas.openxmlformats.org/officeDocument/2006/relationships" r:id="rId924"/>
        </xdr:cNvPr>
        <xdr:cNvSpPr>
          <a:spLocks noChangeAspect="1" noChangeArrowheads="1"/>
        </xdr:cNvSpPr>
      </xdr:nvSpPr>
      <xdr:spPr bwMode="auto">
        <a:xfrm>
          <a:off x="13411200" y="183360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898</xdr:row>
      <xdr:rowOff>0</xdr:rowOff>
    </xdr:from>
    <xdr:to>
      <xdr:col>0</xdr:col>
      <xdr:colOff>152400</xdr:colOff>
      <xdr:row>898</xdr:row>
      <xdr:rowOff>106680</xdr:rowOff>
    </xdr:to>
    <xdr:sp macro="" textlink="">
      <xdr:nvSpPr>
        <xdr:cNvPr id="9259" name="AutoShape 1515" descr="USA2"/>
        <xdr:cNvSpPr>
          <a:spLocks noChangeAspect="1" noChangeArrowheads="1"/>
        </xdr:cNvSpPr>
      </xdr:nvSpPr>
      <xdr:spPr bwMode="auto">
        <a:xfrm>
          <a:off x="0" y="183611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898</xdr:row>
      <xdr:rowOff>0</xdr:rowOff>
    </xdr:from>
    <xdr:to>
      <xdr:col>22</xdr:col>
      <xdr:colOff>304800</xdr:colOff>
      <xdr:row>899</xdr:row>
      <xdr:rowOff>53340</xdr:rowOff>
    </xdr:to>
    <xdr:sp macro="" textlink="">
      <xdr:nvSpPr>
        <xdr:cNvPr id="9260" name="AutoShape 1516" descr="https://www.soccerstats.com/img/own/sshplogo.png">
          <a:hlinkClick xmlns:r="http://schemas.openxmlformats.org/officeDocument/2006/relationships" r:id="rId925"/>
        </xdr:cNvPr>
        <xdr:cNvSpPr>
          <a:spLocks noChangeAspect="1" noChangeArrowheads="1"/>
        </xdr:cNvSpPr>
      </xdr:nvSpPr>
      <xdr:spPr bwMode="auto">
        <a:xfrm>
          <a:off x="13411200" y="183611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899</xdr:row>
      <xdr:rowOff>0</xdr:rowOff>
    </xdr:from>
    <xdr:to>
      <xdr:col>0</xdr:col>
      <xdr:colOff>152400</xdr:colOff>
      <xdr:row>899</xdr:row>
      <xdr:rowOff>106680</xdr:rowOff>
    </xdr:to>
    <xdr:sp macro="" textlink="">
      <xdr:nvSpPr>
        <xdr:cNvPr id="9261" name="AutoShape 1517" descr="USA2"/>
        <xdr:cNvSpPr>
          <a:spLocks noChangeAspect="1" noChangeArrowheads="1"/>
        </xdr:cNvSpPr>
      </xdr:nvSpPr>
      <xdr:spPr bwMode="auto">
        <a:xfrm>
          <a:off x="0" y="183862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899</xdr:row>
      <xdr:rowOff>0</xdr:rowOff>
    </xdr:from>
    <xdr:to>
      <xdr:col>22</xdr:col>
      <xdr:colOff>304800</xdr:colOff>
      <xdr:row>900</xdr:row>
      <xdr:rowOff>129540</xdr:rowOff>
    </xdr:to>
    <xdr:sp macro="" textlink="">
      <xdr:nvSpPr>
        <xdr:cNvPr id="9262" name="AutoShape 1518" descr="https://www.soccerstats.com/img/own/sshplogo.png">
          <a:hlinkClick xmlns:r="http://schemas.openxmlformats.org/officeDocument/2006/relationships" r:id="rId926"/>
        </xdr:cNvPr>
        <xdr:cNvSpPr>
          <a:spLocks noChangeAspect="1" noChangeArrowheads="1"/>
        </xdr:cNvSpPr>
      </xdr:nvSpPr>
      <xdr:spPr bwMode="auto">
        <a:xfrm>
          <a:off x="13411200" y="183862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900</xdr:row>
      <xdr:rowOff>0</xdr:rowOff>
    </xdr:from>
    <xdr:to>
      <xdr:col>0</xdr:col>
      <xdr:colOff>152400</xdr:colOff>
      <xdr:row>900</xdr:row>
      <xdr:rowOff>106680</xdr:rowOff>
    </xdr:to>
    <xdr:sp macro="" textlink="">
      <xdr:nvSpPr>
        <xdr:cNvPr id="9263" name="AutoShape 1519" descr="USA2"/>
        <xdr:cNvSpPr>
          <a:spLocks noChangeAspect="1" noChangeArrowheads="1"/>
        </xdr:cNvSpPr>
      </xdr:nvSpPr>
      <xdr:spPr bwMode="auto">
        <a:xfrm>
          <a:off x="0" y="1840382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900</xdr:row>
      <xdr:rowOff>0</xdr:rowOff>
    </xdr:from>
    <xdr:to>
      <xdr:col>22</xdr:col>
      <xdr:colOff>304800</xdr:colOff>
      <xdr:row>901</xdr:row>
      <xdr:rowOff>129540</xdr:rowOff>
    </xdr:to>
    <xdr:sp macro="" textlink="">
      <xdr:nvSpPr>
        <xdr:cNvPr id="9264" name="AutoShape 1520" descr="https://www.soccerstats.com/img/own/sshplogo.png">
          <a:hlinkClick xmlns:r="http://schemas.openxmlformats.org/officeDocument/2006/relationships" r:id="rId927"/>
        </xdr:cNvPr>
        <xdr:cNvSpPr>
          <a:spLocks noChangeAspect="1" noChangeArrowheads="1"/>
        </xdr:cNvSpPr>
      </xdr:nvSpPr>
      <xdr:spPr bwMode="auto">
        <a:xfrm>
          <a:off x="13411200" y="184038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901</xdr:row>
      <xdr:rowOff>0</xdr:rowOff>
    </xdr:from>
    <xdr:to>
      <xdr:col>0</xdr:col>
      <xdr:colOff>152400</xdr:colOff>
      <xdr:row>901</xdr:row>
      <xdr:rowOff>106680</xdr:rowOff>
    </xdr:to>
    <xdr:sp macro="" textlink="">
      <xdr:nvSpPr>
        <xdr:cNvPr id="9265" name="AutoShape 1521" descr="USA2"/>
        <xdr:cNvSpPr>
          <a:spLocks noChangeAspect="1" noChangeArrowheads="1"/>
        </xdr:cNvSpPr>
      </xdr:nvSpPr>
      <xdr:spPr bwMode="auto">
        <a:xfrm>
          <a:off x="0" y="1842135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901</xdr:row>
      <xdr:rowOff>0</xdr:rowOff>
    </xdr:from>
    <xdr:to>
      <xdr:col>22</xdr:col>
      <xdr:colOff>304800</xdr:colOff>
      <xdr:row>902</xdr:row>
      <xdr:rowOff>53340</xdr:rowOff>
    </xdr:to>
    <xdr:sp macro="" textlink="">
      <xdr:nvSpPr>
        <xdr:cNvPr id="9266" name="AutoShape 1522" descr="https://www.soccerstats.com/img/own/sshplogo.png">
          <a:hlinkClick xmlns:r="http://schemas.openxmlformats.org/officeDocument/2006/relationships" r:id="rId928"/>
        </xdr:cNvPr>
        <xdr:cNvSpPr>
          <a:spLocks noChangeAspect="1" noChangeArrowheads="1"/>
        </xdr:cNvSpPr>
      </xdr:nvSpPr>
      <xdr:spPr bwMode="auto">
        <a:xfrm>
          <a:off x="13411200" y="18421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902</xdr:row>
      <xdr:rowOff>0</xdr:rowOff>
    </xdr:from>
    <xdr:to>
      <xdr:col>0</xdr:col>
      <xdr:colOff>152400</xdr:colOff>
      <xdr:row>902</xdr:row>
      <xdr:rowOff>106680</xdr:rowOff>
    </xdr:to>
    <xdr:sp macro="" textlink="">
      <xdr:nvSpPr>
        <xdr:cNvPr id="9267" name="AutoShape 1523" descr="USA2"/>
        <xdr:cNvSpPr>
          <a:spLocks noChangeAspect="1" noChangeArrowheads="1"/>
        </xdr:cNvSpPr>
      </xdr:nvSpPr>
      <xdr:spPr bwMode="auto">
        <a:xfrm>
          <a:off x="0" y="1844649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902</xdr:row>
      <xdr:rowOff>0</xdr:rowOff>
    </xdr:from>
    <xdr:to>
      <xdr:col>22</xdr:col>
      <xdr:colOff>304800</xdr:colOff>
      <xdr:row>903</xdr:row>
      <xdr:rowOff>53340</xdr:rowOff>
    </xdr:to>
    <xdr:sp macro="" textlink="">
      <xdr:nvSpPr>
        <xdr:cNvPr id="9268" name="AutoShape 1524" descr="https://www.soccerstats.com/img/own/sshplogo.png">
          <a:hlinkClick xmlns:r="http://schemas.openxmlformats.org/officeDocument/2006/relationships" r:id="rId929"/>
        </xdr:cNvPr>
        <xdr:cNvSpPr>
          <a:spLocks noChangeAspect="1" noChangeArrowheads="1"/>
        </xdr:cNvSpPr>
      </xdr:nvSpPr>
      <xdr:spPr bwMode="auto">
        <a:xfrm>
          <a:off x="13411200" y="184464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903</xdr:row>
      <xdr:rowOff>0</xdr:rowOff>
    </xdr:from>
    <xdr:to>
      <xdr:col>0</xdr:col>
      <xdr:colOff>152400</xdr:colOff>
      <xdr:row>903</xdr:row>
      <xdr:rowOff>106680</xdr:rowOff>
    </xdr:to>
    <xdr:sp macro="" textlink="">
      <xdr:nvSpPr>
        <xdr:cNvPr id="9269" name="AutoShape 1525" descr="USA2"/>
        <xdr:cNvSpPr>
          <a:spLocks noChangeAspect="1" noChangeArrowheads="1"/>
        </xdr:cNvSpPr>
      </xdr:nvSpPr>
      <xdr:spPr bwMode="auto">
        <a:xfrm>
          <a:off x="0" y="1847164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903</xdr:row>
      <xdr:rowOff>0</xdr:rowOff>
    </xdr:from>
    <xdr:to>
      <xdr:col>22</xdr:col>
      <xdr:colOff>304800</xdr:colOff>
      <xdr:row>904</xdr:row>
      <xdr:rowOff>129540</xdr:rowOff>
    </xdr:to>
    <xdr:sp macro="" textlink="">
      <xdr:nvSpPr>
        <xdr:cNvPr id="9270" name="AutoShape 1526" descr="https://www.soccerstats.com/img/own/sshplogo.png">
          <a:hlinkClick xmlns:r="http://schemas.openxmlformats.org/officeDocument/2006/relationships" r:id="rId930"/>
        </xdr:cNvPr>
        <xdr:cNvSpPr>
          <a:spLocks noChangeAspect="1" noChangeArrowheads="1"/>
        </xdr:cNvSpPr>
      </xdr:nvSpPr>
      <xdr:spPr bwMode="auto">
        <a:xfrm>
          <a:off x="13411200" y="1847164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904</xdr:row>
      <xdr:rowOff>0</xdr:rowOff>
    </xdr:from>
    <xdr:to>
      <xdr:col>0</xdr:col>
      <xdr:colOff>152400</xdr:colOff>
      <xdr:row>904</xdr:row>
      <xdr:rowOff>106680</xdr:rowOff>
    </xdr:to>
    <xdr:sp macro="" textlink="">
      <xdr:nvSpPr>
        <xdr:cNvPr id="9271" name="AutoShape 1527" descr="USA2"/>
        <xdr:cNvSpPr>
          <a:spLocks noChangeAspect="1" noChangeArrowheads="1"/>
        </xdr:cNvSpPr>
      </xdr:nvSpPr>
      <xdr:spPr bwMode="auto">
        <a:xfrm>
          <a:off x="0" y="1848916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904</xdr:row>
      <xdr:rowOff>0</xdr:rowOff>
    </xdr:from>
    <xdr:to>
      <xdr:col>22</xdr:col>
      <xdr:colOff>304800</xdr:colOff>
      <xdr:row>905</xdr:row>
      <xdr:rowOff>53340</xdr:rowOff>
    </xdr:to>
    <xdr:sp macro="" textlink="">
      <xdr:nvSpPr>
        <xdr:cNvPr id="9272" name="AutoShape 1528" descr="https://www.soccerstats.com/img/own/sshplogo.png">
          <a:hlinkClick xmlns:r="http://schemas.openxmlformats.org/officeDocument/2006/relationships" r:id="rId931"/>
        </xdr:cNvPr>
        <xdr:cNvSpPr>
          <a:spLocks noChangeAspect="1" noChangeArrowheads="1"/>
        </xdr:cNvSpPr>
      </xdr:nvSpPr>
      <xdr:spPr bwMode="auto">
        <a:xfrm>
          <a:off x="13411200" y="18489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905</xdr:row>
      <xdr:rowOff>0</xdr:rowOff>
    </xdr:from>
    <xdr:to>
      <xdr:col>0</xdr:col>
      <xdr:colOff>152400</xdr:colOff>
      <xdr:row>905</xdr:row>
      <xdr:rowOff>106680</xdr:rowOff>
    </xdr:to>
    <xdr:sp macro="" textlink="">
      <xdr:nvSpPr>
        <xdr:cNvPr id="9273" name="AutoShape 1529" descr="USA3"/>
        <xdr:cNvSpPr>
          <a:spLocks noChangeAspect="1" noChangeArrowheads="1"/>
        </xdr:cNvSpPr>
      </xdr:nvSpPr>
      <xdr:spPr bwMode="auto">
        <a:xfrm>
          <a:off x="0" y="1851431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905</xdr:row>
      <xdr:rowOff>0</xdr:rowOff>
    </xdr:from>
    <xdr:to>
      <xdr:col>22</xdr:col>
      <xdr:colOff>304800</xdr:colOff>
      <xdr:row>906</xdr:row>
      <xdr:rowOff>53340</xdr:rowOff>
    </xdr:to>
    <xdr:sp macro="" textlink="">
      <xdr:nvSpPr>
        <xdr:cNvPr id="9274" name="AutoShape 1530" descr="https://www.soccerstats.com/img/own/sshplogo.png">
          <a:hlinkClick xmlns:r="http://schemas.openxmlformats.org/officeDocument/2006/relationships" r:id="rId932"/>
        </xdr:cNvPr>
        <xdr:cNvSpPr>
          <a:spLocks noChangeAspect="1" noChangeArrowheads="1"/>
        </xdr:cNvSpPr>
      </xdr:nvSpPr>
      <xdr:spPr bwMode="auto">
        <a:xfrm>
          <a:off x="13411200" y="185143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906</xdr:row>
      <xdr:rowOff>0</xdr:rowOff>
    </xdr:from>
    <xdr:to>
      <xdr:col>0</xdr:col>
      <xdr:colOff>152400</xdr:colOff>
      <xdr:row>906</xdr:row>
      <xdr:rowOff>106680</xdr:rowOff>
    </xdr:to>
    <xdr:sp macro="" textlink="">
      <xdr:nvSpPr>
        <xdr:cNvPr id="9275" name="AutoShape 1531" descr="USA3"/>
        <xdr:cNvSpPr>
          <a:spLocks noChangeAspect="1" noChangeArrowheads="1"/>
        </xdr:cNvSpPr>
      </xdr:nvSpPr>
      <xdr:spPr bwMode="auto">
        <a:xfrm>
          <a:off x="0" y="18539460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906</xdr:row>
      <xdr:rowOff>0</xdr:rowOff>
    </xdr:from>
    <xdr:to>
      <xdr:col>22</xdr:col>
      <xdr:colOff>304800</xdr:colOff>
      <xdr:row>907</xdr:row>
      <xdr:rowOff>53340</xdr:rowOff>
    </xdr:to>
    <xdr:sp macro="" textlink="">
      <xdr:nvSpPr>
        <xdr:cNvPr id="9276" name="AutoShape 1532" descr="https://www.soccerstats.com/img/own/sshplogo.png">
          <a:hlinkClick xmlns:r="http://schemas.openxmlformats.org/officeDocument/2006/relationships" r:id="rId933"/>
        </xdr:cNvPr>
        <xdr:cNvSpPr>
          <a:spLocks noChangeAspect="1" noChangeArrowheads="1"/>
        </xdr:cNvSpPr>
      </xdr:nvSpPr>
      <xdr:spPr bwMode="auto">
        <a:xfrm>
          <a:off x="13411200" y="185394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907</xdr:row>
      <xdr:rowOff>0</xdr:rowOff>
    </xdr:from>
    <xdr:to>
      <xdr:col>0</xdr:col>
      <xdr:colOff>152400</xdr:colOff>
      <xdr:row>907</xdr:row>
      <xdr:rowOff>106680</xdr:rowOff>
    </xdr:to>
    <xdr:sp macro="" textlink="">
      <xdr:nvSpPr>
        <xdr:cNvPr id="9277" name="AutoShape 1533" descr="USA3"/>
        <xdr:cNvSpPr>
          <a:spLocks noChangeAspect="1" noChangeArrowheads="1"/>
        </xdr:cNvSpPr>
      </xdr:nvSpPr>
      <xdr:spPr bwMode="auto">
        <a:xfrm>
          <a:off x="0" y="18564606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907</xdr:row>
      <xdr:rowOff>0</xdr:rowOff>
    </xdr:from>
    <xdr:to>
      <xdr:col>22</xdr:col>
      <xdr:colOff>304800</xdr:colOff>
      <xdr:row>908</xdr:row>
      <xdr:rowOff>53340</xdr:rowOff>
    </xdr:to>
    <xdr:sp macro="" textlink="">
      <xdr:nvSpPr>
        <xdr:cNvPr id="9278" name="AutoShape 1534" descr="https://www.soccerstats.com/img/own/sshplogo.png">
          <a:hlinkClick xmlns:r="http://schemas.openxmlformats.org/officeDocument/2006/relationships" r:id="rId934"/>
        </xdr:cNvPr>
        <xdr:cNvSpPr>
          <a:spLocks noChangeAspect="1" noChangeArrowheads="1"/>
        </xdr:cNvSpPr>
      </xdr:nvSpPr>
      <xdr:spPr bwMode="auto">
        <a:xfrm>
          <a:off x="13411200" y="185646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908</xdr:row>
      <xdr:rowOff>0</xdr:rowOff>
    </xdr:from>
    <xdr:to>
      <xdr:col>0</xdr:col>
      <xdr:colOff>152400</xdr:colOff>
      <xdr:row>908</xdr:row>
      <xdr:rowOff>106680</xdr:rowOff>
    </xdr:to>
    <xdr:sp macro="" textlink="">
      <xdr:nvSpPr>
        <xdr:cNvPr id="9279" name="AutoShape 1535" descr="USA6"/>
        <xdr:cNvSpPr>
          <a:spLocks noChangeAspect="1" noChangeArrowheads="1"/>
        </xdr:cNvSpPr>
      </xdr:nvSpPr>
      <xdr:spPr bwMode="auto">
        <a:xfrm>
          <a:off x="0" y="18589752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908</xdr:row>
      <xdr:rowOff>0</xdr:rowOff>
    </xdr:from>
    <xdr:to>
      <xdr:col>22</xdr:col>
      <xdr:colOff>304800</xdr:colOff>
      <xdr:row>909</xdr:row>
      <xdr:rowOff>53340</xdr:rowOff>
    </xdr:to>
    <xdr:sp macro="" textlink="">
      <xdr:nvSpPr>
        <xdr:cNvPr id="9280" name="AutoShape 1536" descr="https://www.soccerstats.com/img/own/sshplogo.png">
          <a:hlinkClick xmlns:r="http://schemas.openxmlformats.org/officeDocument/2006/relationships" r:id="rId935"/>
        </xdr:cNvPr>
        <xdr:cNvSpPr>
          <a:spLocks noChangeAspect="1" noChangeArrowheads="1"/>
        </xdr:cNvSpPr>
      </xdr:nvSpPr>
      <xdr:spPr bwMode="auto">
        <a:xfrm>
          <a:off x="13411200" y="185897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909</xdr:row>
      <xdr:rowOff>0</xdr:rowOff>
    </xdr:from>
    <xdr:to>
      <xdr:col>0</xdr:col>
      <xdr:colOff>152400</xdr:colOff>
      <xdr:row>909</xdr:row>
      <xdr:rowOff>106680</xdr:rowOff>
    </xdr:to>
    <xdr:sp macro="" textlink="">
      <xdr:nvSpPr>
        <xdr:cNvPr id="9281" name="AutoShape 1537" descr="USA6"/>
        <xdr:cNvSpPr>
          <a:spLocks noChangeAspect="1" noChangeArrowheads="1"/>
        </xdr:cNvSpPr>
      </xdr:nvSpPr>
      <xdr:spPr bwMode="auto">
        <a:xfrm>
          <a:off x="0" y="18614898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909</xdr:row>
      <xdr:rowOff>0</xdr:rowOff>
    </xdr:from>
    <xdr:to>
      <xdr:col>22</xdr:col>
      <xdr:colOff>304800</xdr:colOff>
      <xdr:row>910</xdr:row>
      <xdr:rowOff>53340</xdr:rowOff>
    </xdr:to>
    <xdr:sp macro="" textlink="">
      <xdr:nvSpPr>
        <xdr:cNvPr id="9282" name="AutoShape 1538" descr="https://www.soccerstats.com/img/own/sshplogo.png">
          <a:hlinkClick xmlns:r="http://schemas.openxmlformats.org/officeDocument/2006/relationships" r:id="rId936"/>
        </xdr:cNvPr>
        <xdr:cNvSpPr>
          <a:spLocks noChangeAspect="1" noChangeArrowheads="1"/>
        </xdr:cNvSpPr>
      </xdr:nvSpPr>
      <xdr:spPr bwMode="auto">
        <a:xfrm>
          <a:off x="13411200" y="1861489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910</xdr:row>
      <xdr:rowOff>0</xdr:rowOff>
    </xdr:from>
    <xdr:to>
      <xdr:col>0</xdr:col>
      <xdr:colOff>152400</xdr:colOff>
      <xdr:row>910</xdr:row>
      <xdr:rowOff>106680</xdr:rowOff>
    </xdr:to>
    <xdr:sp macro="" textlink="">
      <xdr:nvSpPr>
        <xdr:cNvPr id="9283" name="AutoShape 1539" descr="USA7"/>
        <xdr:cNvSpPr>
          <a:spLocks noChangeAspect="1" noChangeArrowheads="1"/>
        </xdr:cNvSpPr>
      </xdr:nvSpPr>
      <xdr:spPr bwMode="auto">
        <a:xfrm>
          <a:off x="0" y="186400440"/>
          <a:ext cx="152400" cy="1066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910</xdr:row>
      <xdr:rowOff>0</xdr:rowOff>
    </xdr:from>
    <xdr:to>
      <xdr:col>22</xdr:col>
      <xdr:colOff>304800</xdr:colOff>
      <xdr:row>911</xdr:row>
      <xdr:rowOff>53340</xdr:rowOff>
    </xdr:to>
    <xdr:sp macro="" textlink="">
      <xdr:nvSpPr>
        <xdr:cNvPr id="9284" name="AutoShape 1540" descr="https://www.soccerstats.com/img/own/sshplogo.png">
          <a:hlinkClick xmlns:r="http://schemas.openxmlformats.org/officeDocument/2006/relationships" r:id="rId937"/>
        </xdr:cNvPr>
        <xdr:cNvSpPr>
          <a:spLocks noChangeAspect="1" noChangeArrowheads="1"/>
        </xdr:cNvSpPr>
      </xdr:nvSpPr>
      <xdr:spPr bwMode="auto">
        <a:xfrm>
          <a:off x="13411200" y="186400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soccerstats.com/latest.asp?league=romania" TargetMode="External"/><Relationship Id="rId671" Type="http://schemas.openxmlformats.org/officeDocument/2006/relationships/hyperlink" Target="https://www.soccerstats.com/latest.asp?league=austria" TargetMode="External"/><Relationship Id="rId769" Type="http://schemas.openxmlformats.org/officeDocument/2006/relationships/hyperlink" Target="https://www.soccerstats.com/latest.asp?league=germany5" TargetMode="External"/><Relationship Id="rId21" Type="http://schemas.openxmlformats.org/officeDocument/2006/relationships/hyperlink" Target="https://www.soccerstats.com/latest.asp?league=netherlands2" TargetMode="External"/><Relationship Id="rId324" Type="http://schemas.openxmlformats.org/officeDocument/2006/relationships/hyperlink" Target="https://www.soccerstats.com/latest.asp?league=england6" TargetMode="External"/><Relationship Id="rId531" Type="http://schemas.openxmlformats.org/officeDocument/2006/relationships/hyperlink" Target="https://www.soccerstats.com/latest.asp?league=russia" TargetMode="External"/><Relationship Id="rId629" Type="http://schemas.openxmlformats.org/officeDocument/2006/relationships/hyperlink" Target="https://www.soccerstats.com/latest.asp?league=netherlands" TargetMode="External"/><Relationship Id="rId170" Type="http://schemas.openxmlformats.org/officeDocument/2006/relationships/hyperlink" Target="https://www.soccerstats.com/latest.asp?league=england4" TargetMode="External"/><Relationship Id="rId836" Type="http://schemas.openxmlformats.org/officeDocument/2006/relationships/hyperlink" Target="https://www.soccerstats.com/latest.asp?league=poland3" TargetMode="External"/><Relationship Id="rId268" Type="http://schemas.openxmlformats.org/officeDocument/2006/relationships/hyperlink" Target="https://www.soccerstats.com/latest.asp?league=brazil5" TargetMode="External"/><Relationship Id="rId475" Type="http://schemas.openxmlformats.org/officeDocument/2006/relationships/hyperlink" Target="https://www.soccerstats.com/latest.asp?league=netherlands3" TargetMode="External"/><Relationship Id="rId682" Type="http://schemas.openxmlformats.org/officeDocument/2006/relationships/hyperlink" Target="https://www.soccerstats.com/latest.asp?league=belgium" TargetMode="External"/><Relationship Id="rId903" Type="http://schemas.openxmlformats.org/officeDocument/2006/relationships/hyperlink" Target="https://www.soccerstats.com/latest.asp?league=usa2" TargetMode="External"/><Relationship Id="rId32" Type="http://schemas.openxmlformats.org/officeDocument/2006/relationships/hyperlink" Target="https://www.soccerstats.com/latest.asp?league=australia4" TargetMode="External"/><Relationship Id="rId128" Type="http://schemas.openxmlformats.org/officeDocument/2006/relationships/hyperlink" Target="https://www.soccerstats.com/latest.asp?league=sweden3" TargetMode="External"/><Relationship Id="rId335" Type="http://schemas.openxmlformats.org/officeDocument/2006/relationships/hyperlink" Target="https://www.soccerstats.com/latest.asp?league=england7" TargetMode="External"/><Relationship Id="rId542" Type="http://schemas.openxmlformats.org/officeDocument/2006/relationships/hyperlink" Target="https://www.soccerstats.com/latest.asp?league=scotland4" TargetMode="External"/><Relationship Id="rId181" Type="http://schemas.openxmlformats.org/officeDocument/2006/relationships/hyperlink" Target="https://www.soccerstats.com/latest.asp?league=england4" TargetMode="External"/><Relationship Id="rId402" Type="http://schemas.openxmlformats.org/officeDocument/2006/relationships/hyperlink" Target="https://www.soccerstats.com/latest.asp?league=germany5" TargetMode="External"/><Relationship Id="rId847" Type="http://schemas.openxmlformats.org/officeDocument/2006/relationships/hyperlink" Target="https://www.soccerstats.com/latest.asp?league=serbia" TargetMode="External"/><Relationship Id="rId279" Type="http://schemas.openxmlformats.org/officeDocument/2006/relationships/hyperlink" Target="https://www.soccerstats.com/latest.asp?league=chile2" TargetMode="External"/><Relationship Id="rId486" Type="http://schemas.openxmlformats.org/officeDocument/2006/relationships/hyperlink" Target="https://www.soccerstats.com/latest.asp?league=northmacedonia" TargetMode="External"/><Relationship Id="rId693" Type="http://schemas.openxmlformats.org/officeDocument/2006/relationships/hyperlink" Target="https://www.soccerstats.com/latest.asp?league=brazil2" TargetMode="External"/><Relationship Id="rId707" Type="http://schemas.openxmlformats.org/officeDocument/2006/relationships/hyperlink" Target="https://www.soccerstats.com/latest.asp?league=bulgaria2" TargetMode="External"/><Relationship Id="rId43" Type="http://schemas.openxmlformats.org/officeDocument/2006/relationships/hyperlink" Target="https://www.soccerstats.com/latest.asp?league=belarus" TargetMode="External"/><Relationship Id="rId139" Type="http://schemas.openxmlformats.org/officeDocument/2006/relationships/hyperlink" Target="https://www.soccerstats.com/latest.asp?league=wales" TargetMode="External"/><Relationship Id="rId346" Type="http://schemas.openxmlformats.org/officeDocument/2006/relationships/hyperlink" Target="https://www.soccerstats.com/latest.asp?league=england8" TargetMode="External"/><Relationship Id="rId553" Type="http://schemas.openxmlformats.org/officeDocument/2006/relationships/hyperlink" Target="https://www.soccerstats.com/latest.asp?league=southafrica" TargetMode="External"/><Relationship Id="rId760" Type="http://schemas.openxmlformats.org/officeDocument/2006/relationships/hyperlink" Target="https://www.soccerstats.com/latest.asp?league=germany3" TargetMode="External"/><Relationship Id="rId192" Type="http://schemas.openxmlformats.org/officeDocument/2006/relationships/hyperlink" Target="https://www.soccerstats.com/latest.asp?league=england5" TargetMode="External"/><Relationship Id="rId206" Type="http://schemas.openxmlformats.org/officeDocument/2006/relationships/hyperlink" Target="https://www.soccerstats.com/latest.asp?league=argentina2" TargetMode="External"/><Relationship Id="rId413" Type="http://schemas.openxmlformats.org/officeDocument/2006/relationships/hyperlink" Target="https://www.soccerstats.com/latest.asp?league=germany7" TargetMode="External"/><Relationship Id="rId858" Type="http://schemas.openxmlformats.org/officeDocument/2006/relationships/hyperlink" Target="https://www.soccerstats.com/latest.asp?league=southkorea" TargetMode="External"/><Relationship Id="rId497" Type="http://schemas.openxmlformats.org/officeDocument/2006/relationships/hyperlink" Target="https://www.soccerstats.com/latest.asp?league=norway11" TargetMode="External"/><Relationship Id="rId620" Type="http://schemas.openxmlformats.org/officeDocument/2006/relationships/hyperlink" Target="https://www.soccerstats.com/latest.asp?league=usa7" TargetMode="External"/><Relationship Id="rId718" Type="http://schemas.openxmlformats.org/officeDocument/2006/relationships/hyperlink" Target="https://www.soccerstats.com/latest.asp?league=chile2" TargetMode="External"/><Relationship Id="rId357" Type="http://schemas.openxmlformats.org/officeDocument/2006/relationships/hyperlink" Target="https://www.soccerstats.com/latest.asp?league=england10" TargetMode="External"/><Relationship Id="rId54" Type="http://schemas.openxmlformats.org/officeDocument/2006/relationships/hyperlink" Target="https://www.soccerstats.com/latest.asp?league=chile2" TargetMode="External"/><Relationship Id="rId217" Type="http://schemas.openxmlformats.org/officeDocument/2006/relationships/hyperlink" Target="https://www.soccerstats.com/latest.asp?league=armenia" TargetMode="External"/><Relationship Id="rId564" Type="http://schemas.openxmlformats.org/officeDocument/2006/relationships/hyperlink" Target="https://www.soccerstats.com/latest.asp?league=southkorea2" TargetMode="External"/><Relationship Id="rId771" Type="http://schemas.openxmlformats.org/officeDocument/2006/relationships/hyperlink" Target="https://www.soccerstats.com/latest.asp?league=germany7" TargetMode="External"/><Relationship Id="rId869" Type="http://schemas.openxmlformats.org/officeDocument/2006/relationships/hyperlink" Target="https://www.soccerstats.com/latest.asp?league=sweden2" TargetMode="External"/><Relationship Id="rId424" Type="http://schemas.openxmlformats.org/officeDocument/2006/relationships/hyperlink" Target="https://www.soccerstats.com/latest.asp?league=iceland" TargetMode="External"/><Relationship Id="rId631" Type="http://schemas.openxmlformats.org/officeDocument/2006/relationships/hyperlink" Target="https://www.soccerstats.com/latest.asp?league=netherlands" TargetMode="External"/><Relationship Id="rId729" Type="http://schemas.openxmlformats.org/officeDocument/2006/relationships/hyperlink" Target="https://www.soccerstats.com/latest.asp?league=croatia" TargetMode="External"/><Relationship Id="rId270" Type="http://schemas.openxmlformats.org/officeDocument/2006/relationships/hyperlink" Target="https://www.soccerstats.com/latest.asp?league=brazil5" TargetMode="External"/><Relationship Id="rId65" Type="http://schemas.openxmlformats.org/officeDocument/2006/relationships/hyperlink" Target="https://www.soccerstats.com/latest.asp?league=denmark" TargetMode="External"/><Relationship Id="rId130" Type="http://schemas.openxmlformats.org/officeDocument/2006/relationships/hyperlink" Target="https://www.soccerstats.com/latest.asp?league=sweden11" TargetMode="External"/><Relationship Id="rId368" Type="http://schemas.openxmlformats.org/officeDocument/2006/relationships/hyperlink" Target="https://www.soccerstats.com/latest.asp?league=estonia2" TargetMode="External"/><Relationship Id="rId575" Type="http://schemas.openxmlformats.org/officeDocument/2006/relationships/hyperlink" Target="https://www.soccerstats.com/latest.asp?league=sweden3" TargetMode="External"/><Relationship Id="rId782" Type="http://schemas.openxmlformats.org/officeDocument/2006/relationships/hyperlink" Target="https://www.soccerstats.com/latest.asp?league=iceland" TargetMode="External"/><Relationship Id="rId228" Type="http://schemas.openxmlformats.org/officeDocument/2006/relationships/hyperlink" Target="https://www.soccerstats.com/latest.asp?league=australia6" TargetMode="External"/><Relationship Id="rId435" Type="http://schemas.openxmlformats.org/officeDocument/2006/relationships/hyperlink" Target="https://www.soccerstats.com/latest.asp?league=ireland3" TargetMode="External"/><Relationship Id="rId642" Type="http://schemas.openxmlformats.org/officeDocument/2006/relationships/hyperlink" Target="https://www.soccerstats.com/latest.asp?league=germany2" TargetMode="External"/><Relationship Id="rId281" Type="http://schemas.openxmlformats.org/officeDocument/2006/relationships/hyperlink" Target="https://www.soccerstats.com/latest.asp?league=china" TargetMode="External"/><Relationship Id="rId502" Type="http://schemas.openxmlformats.org/officeDocument/2006/relationships/hyperlink" Target="https://www.soccerstats.com/latest.asp?league=paraguay2" TargetMode="External"/><Relationship Id="rId76" Type="http://schemas.openxmlformats.org/officeDocument/2006/relationships/hyperlink" Target="https://www.soccerstats.com/latest.asp?league=finland2" TargetMode="External"/><Relationship Id="rId141" Type="http://schemas.openxmlformats.org/officeDocument/2006/relationships/hyperlink" Target="https://www.soccerstats.com/latest.asp?league=spain" TargetMode="External"/><Relationship Id="rId379" Type="http://schemas.openxmlformats.org/officeDocument/2006/relationships/hyperlink" Target="https://www.soccerstats.com/latest.asp?league=finland4" TargetMode="External"/><Relationship Id="rId586" Type="http://schemas.openxmlformats.org/officeDocument/2006/relationships/hyperlink" Target="https://www.soccerstats.com/latest.asp?league=turkey" TargetMode="External"/><Relationship Id="rId793" Type="http://schemas.openxmlformats.org/officeDocument/2006/relationships/hyperlink" Target="https://www.soccerstats.com/latest.asp?league=kazakhstan" TargetMode="External"/><Relationship Id="rId807" Type="http://schemas.openxmlformats.org/officeDocument/2006/relationships/hyperlink" Target="https://www.soccerstats.com/latest.asp?league=norway" TargetMode="External"/><Relationship Id="rId7" Type="http://schemas.openxmlformats.org/officeDocument/2006/relationships/hyperlink" Target="https://www.soccerstats.com/latest.asp?league=france2" TargetMode="External"/><Relationship Id="rId239" Type="http://schemas.openxmlformats.org/officeDocument/2006/relationships/hyperlink" Target="https://www.soccerstats.com/latest.asp?league=austria" TargetMode="External"/><Relationship Id="rId446" Type="http://schemas.openxmlformats.org/officeDocument/2006/relationships/hyperlink" Target="https://www.soccerstats.com/latest.asp?league=japan2" TargetMode="External"/><Relationship Id="rId653" Type="http://schemas.openxmlformats.org/officeDocument/2006/relationships/hyperlink" Target="https://www.soccerstats.com/latest.asp?league=argentina3" TargetMode="External"/><Relationship Id="rId292" Type="http://schemas.openxmlformats.org/officeDocument/2006/relationships/hyperlink" Target="https://www.soccerstats.com/latest.asp?league=croatia" TargetMode="External"/><Relationship Id="rId306" Type="http://schemas.openxmlformats.org/officeDocument/2006/relationships/hyperlink" Target="https://www.soccerstats.com/latest.asp?league=denmark2" TargetMode="External"/><Relationship Id="rId860" Type="http://schemas.openxmlformats.org/officeDocument/2006/relationships/hyperlink" Target="https://www.soccerstats.com/latest.asp?league=southkorea2" TargetMode="External"/><Relationship Id="rId87" Type="http://schemas.openxmlformats.org/officeDocument/2006/relationships/hyperlink" Target="https://www.soccerstats.com/latest.asp?league=germany5" TargetMode="External"/><Relationship Id="rId513" Type="http://schemas.openxmlformats.org/officeDocument/2006/relationships/hyperlink" Target="https://www.soccerstats.com/latest.asp?league=poland" TargetMode="External"/><Relationship Id="rId597" Type="http://schemas.openxmlformats.org/officeDocument/2006/relationships/hyperlink" Target="https://www.soccerstats.com/latest.asp?league=uruguay3" TargetMode="External"/><Relationship Id="rId720" Type="http://schemas.openxmlformats.org/officeDocument/2006/relationships/hyperlink" Target="https://www.soccerstats.com/latest.asp?league=china2" TargetMode="External"/><Relationship Id="rId818" Type="http://schemas.openxmlformats.org/officeDocument/2006/relationships/hyperlink" Target="https://www.soccerstats.com/latest.asp?league=norway4" TargetMode="External"/><Relationship Id="rId152" Type="http://schemas.openxmlformats.org/officeDocument/2006/relationships/hyperlink" Target="https://www.soccerstats.com/latest.asp?league=england2" TargetMode="External"/><Relationship Id="rId457" Type="http://schemas.openxmlformats.org/officeDocument/2006/relationships/hyperlink" Target="https://www.soccerstats.com/latest.asp?league=japan3" TargetMode="External"/><Relationship Id="rId664" Type="http://schemas.openxmlformats.org/officeDocument/2006/relationships/hyperlink" Target="https://www.soccerstats.com/latest.asp?league=australia7" TargetMode="External"/><Relationship Id="rId871" Type="http://schemas.openxmlformats.org/officeDocument/2006/relationships/hyperlink" Target="https://www.soccerstats.com/latest.asp?league=sweden3" TargetMode="External"/><Relationship Id="rId14" Type="http://schemas.openxmlformats.org/officeDocument/2006/relationships/hyperlink" Target="https://www.soccerstats.com/latest.asp?league=germany2" TargetMode="External"/><Relationship Id="rId317" Type="http://schemas.openxmlformats.org/officeDocument/2006/relationships/hyperlink" Target="https://www.soccerstats.com/latest.asp?league=england6" TargetMode="External"/><Relationship Id="rId524" Type="http://schemas.openxmlformats.org/officeDocument/2006/relationships/hyperlink" Target="https://www.soccerstats.com/latest.asp?league=portugal2" TargetMode="External"/><Relationship Id="rId731" Type="http://schemas.openxmlformats.org/officeDocument/2006/relationships/hyperlink" Target="https://www.soccerstats.com/latest.asp?league=denmark" TargetMode="External"/><Relationship Id="rId98" Type="http://schemas.openxmlformats.org/officeDocument/2006/relationships/hyperlink" Target="https://www.soccerstats.com/latest.asp?league=germany8" TargetMode="External"/><Relationship Id="rId163" Type="http://schemas.openxmlformats.org/officeDocument/2006/relationships/hyperlink" Target="https://www.soccerstats.com/latest.asp?league=england3" TargetMode="External"/><Relationship Id="rId370" Type="http://schemas.openxmlformats.org/officeDocument/2006/relationships/hyperlink" Target="https://www.soccerstats.com/latest.asp?league=estonia2" TargetMode="External"/><Relationship Id="rId829" Type="http://schemas.openxmlformats.org/officeDocument/2006/relationships/hyperlink" Target="https://www.soccerstats.com/latest.asp?league=poland" TargetMode="External"/><Relationship Id="rId230" Type="http://schemas.openxmlformats.org/officeDocument/2006/relationships/hyperlink" Target="https://www.soccerstats.com/latest.asp?league=australia6" TargetMode="External"/><Relationship Id="rId468" Type="http://schemas.openxmlformats.org/officeDocument/2006/relationships/hyperlink" Target="https://www.soccerstats.com/latest.asp?league=netherlands3" TargetMode="External"/><Relationship Id="rId675" Type="http://schemas.openxmlformats.org/officeDocument/2006/relationships/hyperlink" Target="https://www.soccerstats.com/latest.asp?league=azerbaijan" TargetMode="External"/><Relationship Id="rId882" Type="http://schemas.openxmlformats.org/officeDocument/2006/relationships/hyperlink" Target="https://www.soccerstats.com/latest.asp?league=turkey2" TargetMode="External"/><Relationship Id="rId25" Type="http://schemas.openxmlformats.org/officeDocument/2006/relationships/hyperlink" Target="https://www.soccerstats.com/latest.asp?league=armenia" TargetMode="External"/><Relationship Id="rId328" Type="http://schemas.openxmlformats.org/officeDocument/2006/relationships/hyperlink" Target="https://www.soccerstats.com/latest.asp?league=england7" TargetMode="External"/><Relationship Id="rId535" Type="http://schemas.openxmlformats.org/officeDocument/2006/relationships/hyperlink" Target="https://www.soccerstats.com/latest.asp?league=scotland3" TargetMode="External"/><Relationship Id="rId742" Type="http://schemas.openxmlformats.org/officeDocument/2006/relationships/hyperlink" Target="https://www.soccerstats.com/latest.asp?league=estonia" TargetMode="External"/><Relationship Id="rId174" Type="http://schemas.openxmlformats.org/officeDocument/2006/relationships/hyperlink" Target="https://www.soccerstats.com/latest.asp?league=england4" TargetMode="External"/><Relationship Id="rId381" Type="http://schemas.openxmlformats.org/officeDocument/2006/relationships/hyperlink" Target="https://www.soccerstats.com/latest.asp?league=finland4" TargetMode="External"/><Relationship Id="rId602" Type="http://schemas.openxmlformats.org/officeDocument/2006/relationships/hyperlink" Target="https://www.soccerstats.com/latest.asp?league=usa" TargetMode="External"/><Relationship Id="rId241" Type="http://schemas.openxmlformats.org/officeDocument/2006/relationships/hyperlink" Target="https://www.soccerstats.com/latest.asp?league=austria2" TargetMode="External"/><Relationship Id="rId479" Type="http://schemas.openxmlformats.org/officeDocument/2006/relationships/hyperlink" Target="https://www.soccerstats.com/latest.asp?league=northernireland" TargetMode="External"/><Relationship Id="rId686" Type="http://schemas.openxmlformats.org/officeDocument/2006/relationships/hyperlink" Target="https://www.soccerstats.com/latest.asp?league=brazil" TargetMode="External"/><Relationship Id="rId893" Type="http://schemas.openxmlformats.org/officeDocument/2006/relationships/hyperlink" Target="https://www.soccerstats.com/latest.asp?league=usa" TargetMode="External"/><Relationship Id="rId907" Type="http://schemas.openxmlformats.org/officeDocument/2006/relationships/hyperlink" Target="https://www.soccerstats.com/latest.asp?league=usa3" TargetMode="External"/><Relationship Id="rId36" Type="http://schemas.openxmlformats.org/officeDocument/2006/relationships/hyperlink" Target="https://www.soccerstats.com/latest.asp?league=australia11" TargetMode="External"/><Relationship Id="rId339" Type="http://schemas.openxmlformats.org/officeDocument/2006/relationships/hyperlink" Target="https://www.soccerstats.com/latest.asp?league=england8" TargetMode="External"/><Relationship Id="rId546" Type="http://schemas.openxmlformats.org/officeDocument/2006/relationships/hyperlink" Target="https://www.soccerstats.com/latest.asp?league=serbia" TargetMode="External"/><Relationship Id="rId753" Type="http://schemas.openxmlformats.org/officeDocument/2006/relationships/hyperlink" Target="https://www.soccerstats.com/latest.asp?league=finland3" TargetMode="External"/><Relationship Id="rId101" Type="http://schemas.openxmlformats.org/officeDocument/2006/relationships/hyperlink" Target="https://www.soccerstats.com/latest.asp?league=germany8" TargetMode="External"/><Relationship Id="rId185" Type="http://schemas.openxmlformats.org/officeDocument/2006/relationships/hyperlink" Target="https://www.soccerstats.com/latest.asp?league=england5" TargetMode="External"/><Relationship Id="rId406" Type="http://schemas.openxmlformats.org/officeDocument/2006/relationships/hyperlink" Target="https://www.soccerstats.com/latest.asp?league=germany6" TargetMode="External"/><Relationship Id="rId392" Type="http://schemas.openxmlformats.org/officeDocument/2006/relationships/hyperlink" Target="https://www.soccerstats.com/latest.asp?league=germany3" TargetMode="External"/><Relationship Id="rId613" Type="http://schemas.openxmlformats.org/officeDocument/2006/relationships/hyperlink" Target="https://www.soccerstats.com/latest.asp?league=usa3" TargetMode="External"/><Relationship Id="rId697" Type="http://schemas.openxmlformats.org/officeDocument/2006/relationships/hyperlink" Target="https://www.soccerstats.com/latest.asp?league=brazil3" TargetMode="External"/><Relationship Id="rId820" Type="http://schemas.openxmlformats.org/officeDocument/2006/relationships/hyperlink" Target="https://www.soccerstats.com/latest.asp?league=norway4" TargetMode="External"/><Relationship Id="rId252" Type="http://schemas.openxmlformats.org/officeDocument/2006/relationships/hyperlink" Target="https://www.soccerstats.com/latest.asp?league=belgium" TargetMode="External"/><Relationship Id="rId47" Type="http://schemas.openxmlformats.org/officeDocument/2006/relationships/hyperlink" Target="https://www.soccerstats.com/latest.asp?league=bosnia" TargetMode="External"/><Relationship Id="rId112" Type="http://schemas.openxmlformats.org/officeDocument/2006/relationships/hyperlink" Target="https://www.soccerstats.com/latest.asp?league=poland2" TargetMode="External"/><Relationship Id="rId557" Type="http://schemas.openxmlformats.org/officeDocument/2006/relationships/hyperlink" Target="https://www.soccerstats.com/latest.asp?league=southafrica" TargetMode="External"/><Relationship Id="rId764" Type="http://schemas.openxmlformats.org/officeDocument/2006/relationships/hyperlink" Target="https://www.soccerstats.com/latest.asp?league=germany4" TargetMode="External"/><Relationship Id="rId196" Type="http://schemas.openxmlformats.org/officeDocument/2006/relationships/hyperlink" Target="https://www.soccerstats.com/latest.asp?league=spain2" TargetMode="External"/><Relationship Id="rId417" Type="http://schemas.openxmlformats.org/officeDocument/2006/relationships/hyperlink" Target="https://www.soccerstats.com/latest.asp?league=hungary" TargetMode="External"/><Relationship Id="rId624" Type="http://schemas.openxmlformats.org/officeDocument/2006/relationships/hyperlink" Target="https://www.soccerstats.com/latest.asp?league=wales" TargetMode="External"/><Relationship Id="rId831" Type="http://schemas.openxmlformats.org/officeDocument/2006/relationships/hyperlink" Target="https://www.soccerstats.com/latest.asp?league=poland2" TargetMode="External"/><Relationship Id="rId263" Type="http://schemas.openxmlformats.org/officeDocument/2006/relationships/hyperlink" Target="https://www.soccerstats.com/latest.asp?league=brazil2" TargetMode="External"/><Relationship Id="rId470" Type="http://schemas.openxmlformats.org/officeDocument/2006/relationships/hyperlink" Target="https://www.soccerstats.com/latest.asp?league=netherlands3" TargetMode="External"/><Relationship Id="rId58" Type="http://schemas.openxmlformats.org/officeDocument/2006/relationships/hyperlink" Target="https://www.soccerstats.com/latest.asp?league=china" TargetMode="External"/><Relationship Id="rId123" Type="http://schemas.openxmlformats.org/officeDocument/2006/relationships/hyperlink" Target="https://www.soccerstats.com/latest.asp?league=southkorea4" TargetMode="External"/><Relationship Id="rId330" Type="http://schemas.openxmlformats.org/officeDocument/2006/relationships/hyperlink" Target="https://www.soccerstats.com/latest.asp?league=england7" TargetMode="External"/><Relationship Id="rId568" Type="http://schemas.openxmlformats.org/officeDocument/2006/relationships/hyperlink" Target="https://www.soccerstats.com/latest.asp?league=sweden2" TargetMode="External"/><Relationship Id="rId775" Type="http://schemas.openxmlformats.org/officeDocument/2006/relationships/hyperlink" Target="https://www.soccerstats.com/latest.asp?league=guatemala" TargetMode="External"/><Relationship Id="rId428" Type="http://schemas.openxmlformats.org/officeDocument/2006/relationships/hyperlink" Target="https://www.soccerstats.com/latest.asp?league=iceland3" TargetMode="External"/><Relationship Id="rId635" Type="http://schemas.openxmlformats.org/officeDocument/2006/relationships/hyperlink" Target="https://www.soccerstats.com/latest.asp?league=portugal" TargetMode="External"/><Relationship Id="rId842" Type="http://schemas.openxmlformats.org/officeDocument/2006/relationships/hyperlink" Target="https://www.soccerstats.com/latest.asp?league=romania" TargetMode="External"/><Relationship Id="rId274" Type="http://schemas.openxmlformats.org/officeDocument/2006/relationships/hyperlink" Target="https://www.soccerstats.com/latest.asp?league=bulgaria" TargetMode="External"/><Relationship Id="rId481" Type="http://schemas.openxmlformats.org/officeDocument/2006/relationships/hyperlink" Target="https://www.soccerstats.com/latest.asp?league=northernireland" TargetMode="External"/><Relationship Id="rId702" Type="http://schemas.openxmlformats.org/officeDocument/2006/relationships/hyperlink" Target="https://www.soccerstats.com/latest.asp?league=brazil5" TargetMode="External"/><Relationship Id="rId69" Type="http://schemas.openxmlformats.org/officeDocument/2006/relationships/hyperlink" Target="https://www.soccerstats.com/latest.asp?league=denmark3" TargetMode="External"/><Relationship Id="rId134" Type="http://schemas.openxmlformats.org/officeDocument/2006/relationships/hyperlink" Target="https://www.soccerstats.com/latest.asp?league=uruguay3" TargetMode="External"/><Relationship Id="rId579" Type="http://schemas.openxmlformats.org/officeDocument/2006/relationships/hyperlink" Target="https://www.soccerstats.com/latest.asp?league=sweden4" TargetMode="External"/><Relationship Id="rId786" Type="http://schemas.openxmlformats.org/officeDocument/2006/relationships/hyperlink" Target="https://www.soccerstats.com/latest.asp?league=japan3" TargetMode="External"/><Relationship Id="rId341" Type="http://schemas.openxmlformats.org/officeDocument/2006/relationships/hyperlink" Target="https://www.soccerstats.com/latest.asp?league=england8" TargetMode="External"/><Relationship Id="rId439" Type="http://schemas.openxmlformats.org/officeDocument/2006/relationships/hyperlink" Target="https://www.soccerstats.com/latest.asp?league=japan" TargetMode="External"/><Relationship Id="rId646" Type="http://schemas.openxmlformats.org/officeDocument/2006/relationships/hyperlink" Target="https://www.soccerstats.com/latest.asp?league=argentina2" TargetMode="External"/><Relationship Id="rId201" Type="http://schemas.openxmlformats.org/officeDocument/2006/relationships/hyperlink" Target="https://www.soccerstats.com/latest.asp?league=germany2" TargetMode="External"/><Relationship Id="rId285" Type="http://schemas.openxmlformats.org/officeDocument/2006/relationships/hyperlink" Target="https://www.soccerstats.com/latest.asp?league=china2" TargetMode="External"/><Relationship Id="rId506" Type="http://schemas.openxmlformats.org/officeDocument/2006/relationships/hyperlink" Target="https://www.soccerstats.com/latest.asp?league=peru2" TargetMode="External"/><Relationship Id="rId853" Type="http://schemas.openxmlformats.org/officeDocument/2006/relationships/hyperlink" Target="https://www.soccerstats.com/latest.asp?league=slovenia" TargetMode="External"/><Relationship Id="rId492" Type="http://schemas.openxmlformats.org/officeDocument/2006/relationships/hyperlink" Target="https://www.soccerstats.com/latest.asp?league=norway3" TargetMode="External"/><Relationship Id="rId713" Type="http://schemas.openxmlformats.org/officeDocument/2006/relationships/hyperlink" Target="https://www.soccerstats.com/latest.asp?league=chile" TargetMode="External"/><Relationship Id="rId797" Type="http://schemas.openxmlformats.org/officeDocument/2006/relationships/hyperlink" Target="https://www.soccerstats.com/latest.asp?league=mexico" TargetMode="External"/><Relationship Id="rId145" Type="http://schemas.openxmlformats.org/officeDocument/2006/relationships/hyperlink" Target="https://www.soccerstats.com/latest.asp?league=netherlands" TargetMode="External"/><Relationship Id="rId352" Type="http://schemas.openxmlformats.org/officeDocument/2006/relationships/hyperlink" Target="https://www.soccerstats.com/latest.asp?league=england9" TargetMode="External"/><Relationship Id="rId212" Type="http://schemas.openxmlformats.org/officeDocument/2006/relationships/hyperlink" Target="https://www.soccerstats.com/latest.asp?league=argentina3" TargetMode="External"/><Relationship Id="rId657" Type="http://schemas.openxmlformats.org/officeDocument/2006/relationships/hyperlink" Target="https://www.soccerstats.com/latest.asp?league=armenia" TargetMode="External"/><Relationship Id="rId864" Type="http://schemas.openxmlformats.org/officeDocument/2006/relationships/hyperlink" Target="https://www.soccerstats.com/latest.asp?league=sweden" TargetMode="External"/><Relationship Id="rId296" Type="http://schemas.openxmlformats.org/officeDocument/2006/relationships/hyperlink" Target="https://www.soccerstats.com/latest.asp?league=czechrepublic" TargetMode="External"/><Relationship Id="rId517" Type="http://schemas.openxmlformats.org/officeDocument/2006/relationships/hyperlink" Target="https://www.soccerstats.com/latest.asp?league=poland2" TargetMode="External"/><Relationship Id="rId724" Type="http://schemas.openxmlformats.org/officeDocument/2006/relationships/hyperlink" Target="https://www.soccerstats.com/latest.asp?league=colombia2" TargetMode="External"/><Relationship Id="rId60" Type="http://schemas.openxmlformats.org/officeDocument/2006/relationships/hyperlink" Target="https://www.soccerstats.com/leagueview.asp?league=copasudamericana" TargetMode="External"/><Relationship Id="rId156" Type="http://schemas.openxmlformats.org/officeDocument/2006/relationships/hyperlink" Target="https://www.soccerstats.com/latest.asp?league=england2" TargetMode="External"/><Relationship Id="rId363" Type="http://schemas.openxmlformats.org/officeDocument/2006/relationships/hyperlink" Target="https://www.soccerstats.com/latest.asp?league=england10" TargetMode="External"/><Relationship Id="rId570" Type="http://schemas.openxmlformats.org/officeDocument/2006/relationships/hyperlink" Target="https://www.soccerstats.com/latest.asp?league=sweden2" TargetMode="External"/><Relationship Id="rId223" Type="http://schemas.openxmlformats.org/officeDocument/2006/relationships/hyperlink" Target="https://www.soccerstats.com/latest.asp?league=australia5" TargetMode="External"/><Relationship Id="rId430" Type="http://schemas.openxmlformats.org/officeDocument/2006/relationships/hyperlink" Target="https://www.soccerstats.com/latest.asp?league=ireland3" TargetMode="External"/><Relationship Id="rId668" Type="http://schemas.openxmlformats.org/officeDocument/2006/relationships/hyperlink" Target="https://www.soccerstats.com/latest.asp?league=australia11" TargetMode="External"/><Relationship Id="rId875" Type="http://schemas.openxmlformats.org/officeDocument/2006/relationships/hyperlink" Target="https://www.soccerstats.com/latest.asp?league=sweden4" TargetMode="External"/><Relationship Id="rId18" Type="http://schemas.openxmlformats.org/officeDocument/2006/relationships/hyperlink" Target="https://www.soccerstats.com/latest.asp?league=netherlands2" TargetMode="External"/><Relationship Id="rId528" Type="http://schemas.openxmlformats.org/officeDocument/2006/relationships/hyperlink" Target="https://www.soccerstats.com/latest.asp?league=russia" TargetMode="External"/><Relationship Id="rId735" Type="http://schemas.openxmlformats.org/officeDocument/2006/relationships/hyperlink" Target="https://www.soccerstats.com/latest.asp?league=denmark2" TargetMode="External"/><Relationship Id="rId167" Type="http://schemas.openxmlformats.org/officeDocument/2006/relationships/hyperlink" Target="https://www.soccerstats.com/latest.asp?league=england3" TargetMode="External"/><Relationship Id="rId374" Type="http://schemas.openxmlformats.org/officeDocument/2006/relationships/hyperlink" Target="https://www.soccerstats.com/latest.asp?league=finland2" TargetMode="External"/><Relationship Id="rId581" Type="http://schemas.openxmlformats.org/officeDocument/2006/relationships/hyperlink" Target="https://www.soccerstats.com/latest.asp?league=sweden11" TargetMode="External"/><Relationship Id="rId71" Type="http://schemas.openxmlformats.org/officeDocument/2006/relationships/hyperlink" Target="https://www.soccerstats.com/latest.asp?league=denmark3" TargetMode="External"/><Relationship Id="rId234" Type="http://schemas.openxmlformats.org/officeDocument/2006/relationships/hyperlink" Target="https://www.soccerstats.com/latest.asp?league=australia10" TargetMode="External"/><Relationship Id="rId679" Type="http://schemas.openxmlformats.org/officeDocument/2006/relationships/hyperlink" Target="https://www.soccerstats.com/latest.asp?league=belgium" TargetMode="External"/><Relationship Id="rId802" Type="http://schemas.openxmlformats.org/officeDocument/2006/relationships/hyperlink" Target="https://www.soccerstats.com/latest.asp?league=montenegro" TargetMode="External"/><Relationship Id="rId886" Type="http://schemas.openxmlformats.org/officeDocument/2006/relationships/hyperlink" Target="https://www.soccerstats.com/latest.asp?league=ukraine" TargetMode="External"/><Relationship Id="rId2" Type="http://schemas.openxmlformats.org/officeDocument/2006/relationships/hyperlink" Target="https://www.soccerstats.com/latest.asp?league=portugal" TargetMode="External"/><Relationship Id="rId29" Type="http://schemas.openxmlformats.org/officeDocument/2006/relationships/hyperlink" Target="https://www.soccerstats.com/latest.asp?league=australia4" TargetMode="External"/><Relationship Id="rId441" Type="http://schemas.openxmlformats.org/officeDocument/2006/relationships/hyperlink" Target="https://www.soccerstats.com/latest.asp?league=japan" TargetMode="External"/><Relationship Id="rId539" Type="http://schemas.openxmlformats.org/officeDocument/2006/relationships/hyperlink" Target="https://www.soccerstats.com/latest.asp?league=scotland4" TargetMode="External"/><Relationship Id="rId746" Type="http://schemas.openxmlformats.org/officeDocument/2006/relationships/hyperlink" Target="https://www.soccerstats.com/latest.asp?league=faroeislands" TargetMode="External"/><Relationship Id="rId178" Type="http://schemas.openxmlformats.org/officeDocument/2006/relationships/hyperlink" Target="https://www.soccerstats.com/latest.asp?league=england4" TargetMode="External"/><Relationship Id="rId301" Type="http://schemas.openxmlformats.org/officeDocument/2006/relationships/hyperlink" Target="https://www.soccerstats.com/latest.asp?league=czechrepublic2" TargetMode="External"/><Relationship Id="rId82" Type="http://schemas.openxmlformats.org/officeDocument/2006/relationships/hyperlink" Target="https://www.soccerstats.com/latest.asp?league=france3" TargetMode="External"/><Relationship Id="rId385" Type="http://schemas.openxmlformats.org/officeDocument/2006/relationships/hyperlink" Target="https://www.soccerstats.com/latest.asp?league=finland5" TargetMode="External"/><Relationship Id="rId592" Type="http://schemas.openxmlformats.org/officeDocument/2006/relationships/hyperlink" Target="https://www.soccerstats.com/latest.asp?league=turkey2" TargetMode="External"/><Relationship Id="rId606" Type="http://schemas.openxmlformats.org/officeDocument/2006/relationships/hyperlink" Target="https://www.soccerstats.com/latest.asp?league=usa2" TargetMode="External"/><Relationship Id="rId813" Type="http://schemas.openxmlformats.org/officeDocument/2006/relationships/hyperlink" Target="https://www.soccerstats.com/latest.asp?league=norway2" TargetMode="External"/><Relationship Id="rId245" Type="http://schemas.openxmlformats.org/officeDocument/2006/relationships/hyperlink" Target="https://www.soccerstats.com/latest.asp?league=austria2" TargetMode="External"/><Relationship Id="rId452" Type="http://schemas.openxmlformats.org/officeDocument/2006/relationships/hyperlink" Target="https://www.soccerstats.com/latest.asp?league=japan2" TargetMode="External"/><Relationship Id="rId897" Type="http://schemas.openxmlformats.org/officeDocument/2006/relationships/hyperlink" Target="https://www.soccerstats.com/latest.asp?league=usa" TargetMode="External"/><Relationship Id="rId105" Type="http://schemas.openxmlformats.org/officeDocument/2006/relationships/hyperlink" Target="https://www.soccerstats.com/latest.asp?league=hungary" TargetMode="External"/><Relationship Id="rId312" Type="http://schemas.openxmlformats.org/officeDocument/2006/relationships/hyperlink" Target="https://www.soccerstats.com/latest.asp?league=ecuador" TargetMode="External"/><Relationship Id="rId757" Type="http://schemas.openxmlformats.org/officeDocument/2006/relationships/hyperlink" Target="https://www.soccerstats.com/latest.asp?league=finland6" TargetMode="External"/><Relationship Id="rId93" Type="http://schemas.openxmlformats.org/officeDocument/2006/relationships/hyperlink" Target="https://www.soccerstats.com/latest.asp?league=germany6" TargetMode="External"/><Relationship Id="rId189" Type="http://schemas.openxmlformats.org/officeDocument/2006/relationships/hyperlink" Target="https://www.soccerstats.com/latest.asp?league=england5" TargetMode="External"/><Relationship Id="rId396" Type="http://schemas.openxmlformats.org/officeDocument/2006/relationships/hyperlink" Target="https://www.soccerstats.com/latest.asp?league=germany3" TargetMode="External"/><Relationship Id="rId617" Type="http://schemas.openxmlformats.org/officeDocument/2006/relationships/hyperlink" Target="https://www.soccerstats.com/latest.asp?league=usa6" TargetMode="External"/><Relationship Id="rId824" Type="http://schemas.openxmlformats.org/officeDocument/2006/relationships/hyperlink" Target="https://www.soccerstats.com/latest.asp?league=paraguay2" TargetMode="External"/><Relationship Id="rId256" Type="http://schemas.openxmlformats.org/officeDocument/2006/relationships/hyperlink" Target="https://www.soccerstats.com/latest.asp?league=belgium2" TargetMode="External"/><Relationship Id="rId463" Type="http://schemas.openxmlformats.org/officeDocument/2006/relationships/hyperlink" Target="https://www.soccerstats.com/latest.asp?league=mexico" TargetMode="External"/><Relationship Id="rId670" Type="http://schemas.openxmlformats.org/officeDocument/2006/relationships/hyperlink" Target="https://www.soccerstats.com/latest.asp?league=austria" TargetMode="External"/><Relationship Id="rId116" Type="http://schemas.openxmlformats.org/officeDocument/2006/relationships/hyperlink" Target="https://www.soccerstats.com/latest.asp?league=romania" TargetMode="External"/><Relationship Id="rId323" Type="http://schemas.openxmlformats.org/officeDocument/2006/relationships/hyperlink" Target="https://www.soccerstats.com/latest.asp?league=england6" TargetMode="External"/><Relationship Id="rId530" Type="http://schemas.openxmlformats.org/officeDocument/2006/relationships/hyperlink" Target="https://www.soccerstats.com/latest.asp?league=russia" TargetMode="External"/><Relationship Id="rId768" Type="http://schemas.openxmlformats.org/officeDocument/2006/relationships/hyperlink" Target="https://www.soccerstats.com/latest.asp?league=germany5" TargetMode="External"/><Relationship Id="rId20" Type="http://schemas.openxmlformats.org/officeDocument/2006/relationships/hyperlink" Target="https://www.soccerstats.com/latest.asp?league=netherlands2" TargetMode="External"/><Relationship Id="rId628" Type="http://schemas.openxmlformats.org/officeDocument/2006/relationships/hyperlink" Target="https://www.soccerstats.com/latest.asp?league=netherlands" TargetMode="External"/><Relationship Id="rId835" Type="http://schemas.openxmlformats.org/officeDocument/2006/relationships/hyperlink" Target="https://www.soccerstats.com/latest.asp?league=poland3" TargetMode="External"/><Relationship Id="rId267" Type="http://schemas.openxmlformats.org/officeDocument/2006/relationships/hyperlink" Target="https://www.soccerstats.com/latest.asp?league=brazil3" TargetMode="External"/><Relationship Id="rId474" Type="http://schemas.openxmlformats.org/officeDocument/2006/relationships/hyperlink" Target="https://www.soccerstats.com/latest.asp?league=netherlands3" TargetMode="External"/><Relationship Id="rId127" Type="http://schemas.openxmlformats.org/officeDocument/2006/relationships/hyperlink" Target="https://www.soccerstats.com/latest.asp?league=sweden2" TargetMode="External"/><Relationship Id="rId681" Type="http://schemas.openxmlformats.org/officeDocument/2006/relationships/hyperlink" Target="https://www.soccerstats.com/latest.asp?league=belgium" TargetMode="External"/><Relationship Id="rId779" Type="http://schemas.openxmlformats.org/officeDocument/2006/relationships/hyperlink" Target="https://www.soccerstats.com/latest.asp?league=hungary2" TargetMode="External"/><Relationship Id="rId902" Type="http://schemas.openxmlformats.org/officeDocument/2006/relationships/hyperlink" Target="https://www.soccerstats.com/latest.asp?league=usa2" TargetMode="External"/><Relationship Id="rId31" Type="http://schemas.openxmlformats.org/officeDocument/2006/relationships/hyperlink" Target="https://www.soccerstats.com/latest.asp?league=australia4" TargetMode="External"/><Relationship Id="rId334" Type="http://schemas.openxmlformats.org/officeDocument/2006/relationships/hyperlink" Target="https://www.soccerstats.com/latest.asp?league=england7" TargetMode="External"/><Relationship Id="rId541" Type="http://schemas.openxmlformats.org/officeDocument/2006/relationships/hyperlink" Target="https://www.soccerstats.com/latest.asp?league=scotland4" TargetMode="External"/><Relationship Id="rId639" Type="http://schemas.openxmlformats.org/officeDocument/2006/relationships/hyperlink" Target="https://www.soccerstats.com/latest.asp?league=spain2" TargetMode="External"/><Relationship Id="rId180" Type="http://schemas.openxmlformats.org/officeDocument/2006/relationships/hyperlink" Target="https://www.soccerstats.com/latest.asp?league=england4" TargetMode="External"/><Relationship Id="rId278" Type="http://schemas.openxmlformats.org/officeDocument/2006/relationships/hyperlink" Target="https://www.soccerstats.com/latest.asp?league=chile" TargetMode="External"/><Relationship Id="rId401" Type="http://schemas.openxmlformats.org/officeDocument/2006/relationships/hyperlink" Target="https://www.soccerstats.com/latest.asp?league=germany4" TargetMode="External"/><Relationship Id="rId846" Type="http://schemas.openxmlformats.org/officeDocument/2006/relationships/hyperlink" Target="https://www.soccerstats.com/latest.asp?league=russia" TargetMode="External"/><Relationship Id="rId485" Type="http://schemas.openxmlformats.org/officeDocument/2006/relationships/hyperlink" Target="https://www.soccerstats.com/latest.asp?league=northmacedonia" TargetMode="External"/><Relationship Id="rId692" Type="http://schemas.openxmlformats.org/officeDocument/2006/relationships/hyperlink" Target="https://www.soccerstats.com/latest.asp?league=brazil" TargetMode="External"/><Relationship Id="rId706" Type="http://schemas.openxmlformats.org/officeDocument/2006/relationships/hyperlink" Target="https://www.soccerstats.com/latest.asp?league=bulgaria2" TargetMode="External"/><Relationship Id="rId42" Type="http://schemas.openxmlformats.org/officeDocument/2006/relationships/hyperlink" Target="https://www.soccerstats.com/latest.asp?league=belarus" TargetMode="External"/><Relationship Id="rId138" Type="http://schemas.openxmlformats.org/officeDocument/2006/relationships/hyperlink" Target="https://www.soccerstats.com/latest.asp?league=wales" TargetMode="External"/><Relationship Id="rId345" Type="http://schemas.openxmlformats.org/officeDocument/2006/relationships/hyperlink" Target="https://www.soccerstats.com/latest.asp?league=england8" TargetMode="External"/><Relationship Id="rId552" Type="http://schemas.openxmlformats.org/officeDocument/2006/relationships/hyperlink" Target="https://www.soccerstats.com/latest.asp?league=slovenia" TargetMode="External"/><Relationship Id="rId191" Type="http://schemas.openxmlformats.org/officeDocument/2006/relationships/hyperlink" Target="https://www.soccerstats.com/latest.asp?league=england5" TargetMode="External"/><Relationship Id="rId205" Type="http://schemas.openxmlformats.org/officeDocument/2006/relationships/hyperlink" Target="https://www.soccerstats.com/latest.asp?league=argentina2" TargetMode="External"/><Relationship Id="rId412" Type="http://schemas.openxmlformats.org/officeDocument/2006/relationships/hyperlink" Target="https://www.soccerstats.com/latest.asp?league=germany7" TargetMode="External"/><Relationship Id="rId857" Type="http://schemas.openxmlformats.org/officeDocument/2006/relationships/hyperlink" Target="https://www.soccerstats.com/latest.asp?league=southkorea" TargetMode="External"/><Relationship Id="rId289" Type="http://schemas.openxmlformats.org/officeDocument/2006/relationships/hyperlink" Target="https://www.soccerstats.com/latest.asp?league=costarica" TargetMode="External"/><Relationship Id="rId496" Type="http://schemas.openxmlformats.org/officeDocument/2006/relationships/hyperlink" Target="https://www.soccerstats.com/latest.asp?league=norway11" TargetMode="External"/><Relationship Id="rId717" Type="http://schemas.openxmlformats.org/officeDocument/2006/relationships/hyperlink" Target="https://www.soccerstats.com/latest.asp?league=chile2" TargetMode="External"/><Relationship Id="rId53" Type="http://schemas.openxmlformats.org/officeDocument/2006/relationships/hyperlink" Target="https://www.soccerstats.com/latest.asp?league=chile" TargetMode="External"/><Relationship Id="rId149" Type="http://schemas.openxmlformats.org/officeDocument/2006/relationships/hyperlink" Target="https://www.soccerstats.com/latest.asp?league=portugal" TargetMode="External"/><Relationship Id="rId356" Type="http://schemas.openxmlformats.org/officeDocument/2006/relationships/hyperlink" Target="https://www.soccerstats.com/latest.asp?league=england9" TargetMode="External"/><Relationship Id="rId563" Type="http://schemas.openxmlformats.org/officeDocument/2006/relationships/hyperlink" Target="https://www.soccerstats.com/latest.asp?league=southkorea2" TargetMode="External"/><Relationship Id="rId770" Type="http://schemas.openxmlformats.org/officeDocument/2006/relationships/hyperlink" Target="https://www.soccerstats.com/latest.asp?league=germany6" TargetMode="External"/><Relationship Id="rId216" Type="http://schemas.openxmlformats.org/officeDocument/2006/relationships/hyperlink" Target="https://www.soccerstats.com/latest.asp?league=armenia" TargetMode="External"/><Relationship Id="rId423" Type="http://schemas.openxmlformats.org/officeDocument/2006/relationships/hyperlink" Target="https://www.soccerstats.com/latest.asp?league=hungary2" TargetMode="External"/><Relationship Id="rId868" Type="http://schemas.openxmlformats.org/officeDocument/2006/relationships/hyperlink" Target="https://www.soccerstats.com/latest.asp?league=sweden" TargetMode="External"/><Relationship Id="rId630" Type="http://schemas.openxmlformats.org/officeDocument/2006/relationships/hyperlink" Target="https://www.soccerstats.com/latest.asp?league=netherlands" TargetMode="External"/><Relationship Id="rId728" Type="http://schemas.openxmlformats.org/officeDocument/2006/relationships/hyperlink" Target="https://www.soccerstats.com/latest.asp?league=croatia" TargetMode="External"/><Relationship Id="rId64" Type="http://schemas.openxmlformats.org/officeDocument/2006/relationships/hyperlink" Target="https://www.soccerstats.com/latest.asp?league=czechrepublic2" TargetMode="External"/><Relationship Id="rId367" Type="http://schemas.openxmlformats.org/officeDocument/2006/relationships/hyperlink" Target="https://www.soccerstats.com/latest.asp?league=england10" TargetMode="External"/><Relationship Id="rId574" Type="http://schemas.openxmlformats.org/officeDocument/2006/relationships/hyperlink" Target="https://www.soccerstats.com/latest.asp?league=sweden3" TargetMode="External"/><Relationship Id="rId227" Type="http://schemas.openxmlformats.org/officeDocument/2006/relationships/hyperlink" Target="https://www.soccerstats.com/latest.asp?league=australia6" TargetMode="External"/><Relationship Id="rId781" Type="http://schemas.openxmlformats.org/officeDocument/2006/relationships/hyperlink" Target="https://www.soccerstats.com/latest.asp?league=iceland" TargetMode="External"/><Relationship Id="rId879" Type="http://schemas.openxmlformats.org/officeDocument/2006/relationships/hyperlink" Target="https://www.soccerstats.com/latest.asp?league=turkey" TargetMode="External"/><Relationship Id="rId434" Type="http://schemas.openxmlformats.org/officeDocument/2006/relationships/hyperlink" Target="https://www.soccerstats.com/latest.asp?league=ireland3" TargetMode="External"/><Relationship Id="rId641" Type="http://schemas.openxmlformats.org/officeDocument/2006/relationships/hyperlink" Target="https://www.soccerstats.com/latest.asp?league=spain2" TargetMode="External"/><Relationship Id="rId739" Type="http://schemas.openxmlformats.org/officeDocument/2006/relationships/hyperlink" Target="https://www.soccerstats.com/latest.asp?league=estonia" TargetMode="External"/><Relationship Id="rId280" Type="http://schemas.openxmlformats.org/officeDocument/2006/relationships/hyperlink" Target="https://www.soccerstats.com/latest.asp?league=china" TargetMode="External"/><Relationship Id="rId501" Type="http://schemas.openxmlformats.org/officeDocument/2006/relationships/hyperlink" Target="https://www.soccerstats.com/latest.asp?league=paraguay2" TargetMode="External"/><Relationship Id="rId75" Type="http://schemas.openxmlformats.org/officeDocument/2006/relationships/hyperlink" Target="https://www.soccerstats.com/latest.asp?league=finland" TargetMode="External"/><Relationship Id="rId140" Type="http://schemas.openxmlformats.org/officeDocument/2006/relationships/hyperlink" Target="https://www.soccerstats.com/latest.asp?league=wales" TargetMode="External"/><Relationship Id="rId378" Type="http://schemas.openxmlformats.org/officeDocument/2006/relationships/hyperlink" Target="https://www.soccerstats.com/latest.asp?league=finland3" TargetMode="External"/><Relationship Id="rId585" Type="http://schemas.openxmlformats.org/officeDocument/2006/relationships/hyperlink" Target="https://www.soccerstats.com/latest.asp?league=sweden11" TargetMode="External"/><Relationship Id="rId792" Type="http://schemas.openxmlformats.org/officeDocument/2006/relationships/hyperlink" Target="https://www.soccerstats.com/latest.asp?league=kazakhstan" TargetMode="External"/><Relationship Id="rId806" Type="http://schemas.openxmlformats.org/officeDocument/2006/relationships/hyperlink" Target="https://www.soccerstats.com/latest.asp?league=norway" TargetMode="External"/><Relationship Id="rId6" Type="http://schemas.openxmlformats.org/officeDocument/2006/relationships/hyperlink" Target="https://www.soccerstats.com/latest.asp?league=france2" TargetMode="External"/><Relationship Id="rId238" Type="http://schemas.openxmlformats.org/officeDocument/2006/relationships/hyperlink" Target="https://www.soccerstats.com/latest.asp?league=australia11" TargetMode="External"/><Relationship Id="rId445" Type="http://schemas.openxmlformats.org/officeDocument/2006/relationships/hyperlink" Target="https://www.soccerstats.com/latest.asp?league=japan2" TargetMode="External"/><Relationship Id="rId652" Type="http://schemas.openxmlformats.org/officeDocument/2006/relationships/hyperlink" Target="https://www.soccerstats.com/latest.asp?league=argentina3" TargetMode="External"/><Relationship Id="rId291" Type="http://schemas.openxmlformats.org/officeDocument/2006/relationships/hyperlink" Target="https://www.soccerstats.com/latest.asp?league=croatia" TargetMode="External"/><Relationship Id="rId305" Type="http://schemas.openxmlformats.org/officeDocument/2006/relationships/hyperlink" Target="https://www.soccerstats.com/latest.asp?league=denmark2" TargetMode="External"/><Relationship Id="rId512" Type="http://schemas.openxmlformats.org/officeDocument/2006/relationships/hyperlink" Target="https://www.soccerstats.com/latest.asp?league=poland" TargetMode="External"/><Relationship Id="rId86" Type="http://schemas.openxmlformats.org/officeDocument/2006/relationships/hyperlink" Target="https://www.soccerstats.com/latest.asp?league=germany3" TargetMode="External"/><Relationship Id="rId151" Type="http://schemas.openxmlformats.org/officeDocument/2006/relationships/hyperlink" Target="https://www.soccerstats.com/latest.asp?league=england2" TargetMode="External"/><Relationship Id="rId389" Type="http://schemas.openxmlformats.org/officeDocument/2006/relationships/hyperlink" Target="https://www.soccerstats.com/latest.asp?league=finland6" TargetMode="External"/><Relationship Id="rId596" Type="http://schemas.openxmlformats.org/officeDocument/2006/relationships/hyperlink" Target="https://www.soccerstats.com/latest.asp?league=ukraine" TargetMode="External"/><Relationship Id="rId817" Type="http://schemas.openxmlformats.org/officeDocument/2006/relationships/hyperlink" Target="https://www.soccerstats.com/latest.asp?league=norway3" TargetMode="External"/><Relationship Id="rId249" Type="http://schemas.openxmlformats.org/officeDocument/2006/relationships/hyperlink" Target="https://www.soccerstats.com/latest.asp?league=belarus" TargetMode="External"/><Relationship Id="rId456" Type="http://schemas.openxmlformats.org/officeDocument/2006/relationships/hyperlink" Target="https://www.soccerstats.com/latest.asp?league=japan3" TargetMode="External"/><Relationship Id="rId663" Type="http://schemas.openxmlformats.org/officeDocument/2006/relationships/hyperlink" Target="https://www.soccerstats.com/latest.asp?league=australia7" TargetMode="External"/><Relationship Id="rId870" Type="http://schemas.openxmlformats.org/officeDocument/2006/relationships/hyperlink" Target="https://www.soccerstats.com/latest.asp?league=sweden3" TargetMode="External"/><Relationship Id="rId13" Type="http://schemas.openxmlformats.org/officeDocument/2006/relationships/hyperlink" Target="https://www.soccerstats.com/latest.asp?league=france2" TargetMode="External"/><Relationship Id="rId109" Type="http://schemas.openxmlformats.org/officeDocument/2006/relationships/hyperlink" Target="https://www.soccerstats.com/latest.asp?league=norway11" TargetMode="External"/><Relationship Id="rId316" Type="http://schemas.openxmlformats.org/officeDocument/2006/relationships/hyperlink" Target="https://www.soccerstats.com/latest.asp?league=england6" TargetMode="External"/><Relationship Id="rId523" Type="http://schemas.openxmlformats.org/officeDocument/2006/relationships/hyperlink" Target="https://www.soccerstats.com/latest.asp?league=portugal2" TargetMode="External"/><Relationship Id="rId97" Type="http://schemas.openxmlformats.org/officeDocument/2006/relationships/hyperlink" Target="https://www.soccerstats.com/latest.asp?league=germany8" TargetMode="External"/><Relationship Id="rId730" Type="http://schemas.openxmlformats.org/officeDocument/2006/relationships/hyperlink" Target="https://www.soccerstats.com/latest.asp?league=czechrepublic2" TargetMode="External"/><Relationship Id="rId828" Type="http://schemas.openxmlformats.org/officeDocument/2006/relationships/hyperlink" Target="https://www.soccerstats.com/latest.asp?league=poland" TargetMode="External"/><Relationship Id="rId162" Type="http://schemas.openxmlformats.org/officeDocument/2006/relationships/hyperlink" Target="https://www.soccerstats.com/latest.asp?league=england3" TargetMode="External"/><Relationship Id="rId467" Type="http://schemas.openxmlformats.org/officeDocument/2006/relationships/hyperlink" Target="https://www.soccerstats.com/latest.asp?league=netherlands3" TargetMode="External"/><Relationship Id="rId674" Type="http://schemas.openxmlformats.org/officeDocument/2006/relationships/hyperlink" Target="https://www.soccerstats.com/latest.asp?league=azerbaijan" TargetMode="External"/><Relationship Id="rId881" Type="http://schemas.openxmlformats.org/officeDocument/2006/relationships/hyperlink" Target="https://www.soccerstats.com/latest.asp?league=turkey2" TargetMode="External"/><Relationship Id="rId24" Type="http://schemas.openxmlformats.org/officeDocument/2006/relationships/hyperlink" Target="https://www.soccerstats.com/latest.asp?league=argentina3" TargetMode="External"/><Relationship Id="rId327" Type="http://schemas.openxmlformats.org/officeDocument/2006/relationships/hyperlink" Target="https://www.soccerstats.com/latest.asp?league=england7" TargetMode="External"/><Relationship Id="rId534" Type="http://schemas.openxmlformats.org/officeDocument/2006/relationships/hyperlink" Target="https://www.soccerstats.com/latest.asp?league=saudiarabia" TargetMode="External"/><Relationship Id="rId741" Type="http://schemas.openxmlformats.org/officeDocument/2006/relationships/hyperlink" Target="https://www.soccerstats.com/latest.asp?league=estonia" TargetMode="External"/><Relationship Id="rId839" Type="http://schemas.openxmlformats.org/officeDocument/2006/relationships/hyperlink" Target="https://www.soccerstats.com/latest.asp?league=portugal2" TargetMode="External"/><Relationship Id="rId173" Type="http://schemas.openxmlformats.org/officeDocument/2006/relationships/hyperlink" Target="https://www.soccerstats.com/latest.asp?league=england4" TargetMode="External"/><Relationship Id="rId380" Type="http://schemas.openxmlformats.org/officeDocument/2006/relationships/hyperlink" Target="https://www.soccerstats.com/latest.asp?league=finland4" TargetMode="External"/><Relationship Id="rId601" Type="http://schemas.openxmlformats.org/officeDocument/2006/relationships/hyperlink" Target="https://www.soccerstats.com/latest.asp?league=usa" TargetMode="External"/><Relationship Id="rId240" Type="http://schemas.openxmlformats.org/officeDocument/2006/relationships/hyperlink" Target="https://www.soccerstats.com/latest.asp?league=austria" TargetMode="External"/><Relationship Id="rId478" Type="http://schemas.openxmlformats.org/officeDocument/2006/relationships/hyperlink" Target="https://www.soccerstats.com/latest.asp?league=northernireland" TargetMode="External"/><Relationship Id="rId685" Type="http://schemas.openxmlformats.org/officeDocument/2006/relationships/hyperlink" Target="https://www.soccerstats.com/latest.asp?league=bosnia" TargetMode="External"/><Relationship Id="rId892" Type="http://schemas.openxmlformats.org/officeDocument/2006/relationships/hyperlink" Target="https://www.soccerstats.com/latest.asp?league=usa" TargetMode="External"/><Relationship Id="rId906" Type="http://schemas.openxmlformats.org/officeDocument/2006/relationships/hyperlink" Target="https://www.soccerstats.com/latest.asp?league=usa3" TargetMode="External"/><Relationship Id="rId35" Type="http://schemas.openxmlformats.org/officeDocument/2006/relationships/hyperlink" Target="https://www.soccerstats.com/latest.asp?league=australia5" TargetMode="External"/><Relationship Id="rId100" Type="http://schemas.openxmlformats.org/officeDocument/2006/relationships/hyperlink" Target="https://www.soccerstats.com/latest.asp?league=germany8" TargetMode="External"/><Relationship Id="rId338" Type="http://schemas.openxmlformats.org/officeDocument/2006/relationships/hyperlink" Target="https://www.soccerstats.com/latest.asp?league=england8" TargetMode="External"/><Relationship Id="rId545" Type="http://schemas.openxmlformats.org/officeDocument/2006/relationships/hyperlink" Target="https://www.soccerstats.com/latest.asp?league=serbia" TargetMode="External"/><Relationship Id="rId752" Type="http://schemas.openxmlformats.org/officeDocument/2006/relationships/hyperlink" Target="https://www.soccerstats.com/latest.asp?league=finland3" TargetMode="External"/><Relationship Id="rId184" Type="http://schemas.openxmlformats.org/officeDocument/2006/relationships/hyperlink" Target="https://www.soccerstats.com/latest.asp?league=england5" TargetMode="External"/><Relationship Id="rId391" Type="http://schemas.openxmlformats.org/officeDocument/2006/relationships/hyperlink" Target="https://www.soccerstats.com/latest.asp?league=georgia" TargetMode="External"/><Relationship Id="rId405" Type="http://schemas.openxmlformats.org/officeDocument/2006/relationships/hyperlink" Target="https://www.soccerstats.com/latest.asp?league=germany6" TargetMode="External"/><Relationship Id="rId612" Type="http://schemas.openxmlformats.org/officeDocument/2006/relationships/hyperlink" Target="https://www.soccerstats.com/latest.asp?league=usa3" TargetMode="External"/><Relationship Id="rId251" Type="http://schemas.openxmlformats.org/officeDocument/2006/relationships/hyperlink" Target="https://www.soccerstats.com/latest.asp?league=belgium" TargetMode="External"/><Relationship Id="rId489" Type="http://schemas.openxmlformats.org/officeDocument/2006/relationships/hyperlink" Target="https://www.soccerstats.com/latest.asp?league=norway2" TargetMode="External"/><Relationship Id="rId696" Type="http://schemas.openxmlformats.org/officeDocument/2006/relationships/hyperlink" Target="https://www.soccerstats.com/latest.asp?league=brazil3" TargetMode="External"/><Relationship Id="rId46" Type="http://schemas.openxmlformats.org/officeDocument/2006/relationships/hyperlink" Target="https://www.soccerstats.com/latest.asp?league=belgium2" TargetMode="External"/><Relationship Id="rId349" Type="http://schemas.openxmlformats.org/officeDocument/2006/relationships/hyperlink" Target="https://www.soccerstats.com/latest.asp?league=england9" TargetMode="External"/><Relationship Id="rId556" Type="http://schemas.openxmlformats.org/officeDocument/2006/relationships/hyperlink" Target="https://www.soccerstats.com/latest.asp?league=southafrica" TargetMode="External"/><Relationship Id="rId763" Type="http://schemas.openxmlformats.org/officeDocument/2006/relationships/hyperlink" Target="https://www.soccerstats.com/latest.asp?league=germany4" TargetMode="External"/><Relationship Id="rId111" Type="http://schemas.openxmlformats.org/officeDocument/2006/relationships/hyperlink" Target="https://www.soccerstats.com/latest.asp?league=poland" TargetMode="External"/><Relationship Id="rId195" Type="http://schemas.openxmlformats.org/officeDocument/2006/relationships/hyperlink" Target="https://www.soccerstats.com/latest.asp?league=spain2" TargetMode="External"/><Relationship Id="rId209" Type="http://schemas.openxmlformats.org/officeDocument/2006/relationships/hyperlink" Target="https://www.soccerstats.com/latest.asp?league=argentina3" TargetMode="External"/><Relationship Id="rId416" Type="http://schemas.openxmlformats.org/officeDocument/2006/relationships/hyperlink" Target="https://www.soccerstats.com/latest.asp?league=hungary" TargetMode="External"/><Relationship Id="rId623" Type="http://schemas.openxmlformats.org/officeDocument/2006/relationships/hyperlink" Target="https://www.soccerstats.com/latest.asp?league=wales" TargetMode="External"/><Relationship Id="rId830" Type="http://schemas.openxmlformats.org/officeDocument/2006/relationships/hyperlink" Target="https://www.soccerstats.com/latest.asp?league=poland" TargetMode="External"/><Relationship Id="rId57" Type="http://schemas.openxmlformats.org/officeDocument/2006/relationships/hyperlink" Target="https://www.soccerstats.com/latest.asp?league=china" TargetMode="External"/><Relationship Id="rId262" Type="http://schemas.openxmlformats.org/officeDocument/2006/relationships/hyperlink" Target="https://www.soccerstats.com/latest.asp?league=brazil2" TargetMode="External"/><Relationship Id="rId567" Type="http://schemas.openxmlformats.org/officeDocument/2006/relationships/hyperlink" Target="https://www.soccerstats.com/latest.asp?league=sweden" TargetMode="External"/><Relationship Id="rId122" Type="http://schemas.openxmlformats.org/officeDocument/2006/relationships/hyperlink" Target="https://www.soccerstats.com/latest.asp?league=southafrica" TargetMode="External"/><Relationship Id="rId774" Type="http://schemas.openxmlformats.org/officeDocument/2006/relationships/hyperlink" Target="https://www.soccerstats.com/latest.asp?league=guatemala" TargetMode="External"/><Relationship Id="rId427" Type="http://schemas.openxmlformats.org/officeDocument/2006/relationships/hyperlink" Target="https://www.soccerstats.com/latest.asp?league=iceland3" TargetMode="External"/><Relationship Id="rId634" Type="http://schemas.openxmlformats.org/officeDocument/2006/relationships/hyperlink" Target="https://www.soccerstats.com/latest.asp?league=portugal" TargetMode="External"/><Relationship Id="rId841" Type="http://schemas.openxmlformats.org/officeDocument/2006/relationships/hyperlink" Target="https://www.soccerstats.com/latest.asp?league=portugal2" TargetMode="External"/><Relationship Id="rId273" Type="http://schemas.openxmlformats.org/officeDocument/2006/relationships/hyperlink" Target="https://www.soccerstats.com/latest.asp?league=brazil5" TargetMode="External"/><Relationship Id="rId480" Type="http://schemas.openxmlformats.org/officeDocument/2006/relationships/hyperlink" Target="https://www.soccerstats.com/latest.asp?league=northernireland" TargetMode="External"/><Relationship Id="rId701" Type="http://schemas.openxmlformats.org/officeDocument/2006/relationships/hyperlink" Target="https://www.soccerstats.com/latest.asp?league=brazil5" TargetMode="External"/><Relationship Id="rId68" Type="http://schemas.openxmlformats.org/officeDocument/2006/relationships/hyperlink" Target="https://www.soccerstats.com/latest.asp?league=denmark3" TargetMode="External"/><Relationship Id="rId133" Type="http://schemas.openxmlformats.org/officeDocument/2006/relationships/hyperlink" Target="https://www.soccerstats.com/latest.asp?league=ukraine" TargetMode="External"/><Relationship Id="rId340" Type="http://schemas.openxmlformats.org/officeDocument/2006/relationships/hyperlink" Target="https://www.soccerstats.com/latest.asp?league=england8" TargetMode="External"/><Relationship Id="rId578" Type="http://schemas.openxmlformats.org/officeDocument/2006/relationships/hyperlink" Target="https://www.soccerstats.com/latest.asp?league=sweden4" TargetMode="External"/><Relationship Id="rId785" Type="http://schemas.openxmlformats.org/officeDocument/2006/relationships/hyperlink" Target="https://www.soccerstats.com/latest.asp?league=japan2" TargetMode="External"/><Relationship Id="rId200" Type="http://schemas.openxmlformats.org/officeDocument/2006/relationships/hyperlink" Target="https://www.soccerstats.com/latest.asp?league=germany2" TargetMode="External"/><Relationship Id="rId438" Type="http://schemas.openxmlformats.org/officeDocument/2006/relationships/hyperlink" Target="https://www.soccerstats.com/latest.asp?league=japan" TargetMode="External"/><Relationship Id="rId645" Type="http://schemas.openxmlformats.org/officeDocument/2006/relationships/hyperlink" Target="https://www.soccerstats.com/latest.asp?league=argentina2" TargetMode="External"/><Relationship Id="rId852" Type="http://schemas.openxmlformats.org/officeDocument/2006/relationships/hyperlink" Target="https://www.soccerstats.com/latest.asp?league=slovenia" TargetMode="External"/><Relationship Id="rId284" Type="http://schemas.openxmlformats.org/officeDocument/2006/relationships/hyperlink" Target="https://www.soccerstats.com/latest.asp?league=china" TargetMode="External"/><Relationship Id="rId491" Type="http://schemas.openxmlformats.org/officeDocument/2006/relationships/hyperlink" Target="https://www.soccerstats.com/latest.asp?league=norway3" TargetMode="External"/><Relationship Id="rId505" Type="http://schemas.openxmlformats.org/officeDocument/2006/relationships/hyperlink" Target="https://www.soccerstats.com/latest.asp?league=peru2" TargetMode="External"/><Relationship Id="rId712" Type="http://schemas.openxmlformats.org/officeDocument/2006/relationships/hyperlink" Target="https://www.soccerstats.com/latest.asp?league=chile" TargetMode="External"/><Relationship Id="rId37" Type="http://schemas.openxmlformats.org/officeDocument/2006/relationships/hyperlink" Target="https://www.soccerstats.com/latest.asp?league=austria" TargetMode="External"/><Relationship Id="rId79" Type="http://schemas.openxmlformats.org/officeDocument/2006/relationships/hyperlink" Target="https://www.soccerstats.com/latest.asp?league=france3" TargetMode="External"/><Relationship Id="rId102" Type="http://schemas.openxmlformats.org/officeDocument/2006/relationships/hyperlink" Target="https://www.soccerstats.com/latest.asp?league=germany8" TargetMode="External"/><Relationship Id="rId144" Type="http://schemas.openxmlformats.org/officeDocument/2006/relationships/hyperlink" Target="https://www.soccerstats.com/latest.asp?league=netherlands" TargetMode="External"/><Relationship Id="rId547" Type="http://schemas.openxmlformats.org/officeDocument/2006/relationships/hyperlink" Target="https://www.soccerstats.com/latest.asp?league=slovakia" TargetMode="External"/><Relationship Id="rId589" Type="http://schemas.openxmlformats.org/officeDocument/2006/relationships/hyperlink" Target="https://www.soccerstats.com/latest.asp?league=turkey" TargetMode="External"/><Relationship Id="rId754" Type="http://schemas.openxmlformats.org/officeDocument/2006/relationships/hyperlink" Target="https://www.soccerstats.com/latest.asp?league=finland3" TargetMode="External"/><Relationship Id="rId796" Type="http://schemas.openxmlformats.org/officeDocument/2006/relationships/hyperlink" Target="https://www.soccerstats.com/latest.asp?league=mexico" TargetMode="External"/><Relationship Id="rId90" Type="http://schemas.openxmlformats.org/officeDocument/2006/relationships/hyperlink" Target="https://www.soccerstats.com/latest.asp?league=germany5" TargetMode="External"/><Relationship Id="rId186" Type="http://schemas.openxmlformats.org/officeDocument/2006/relationships/hyperlink" Target="https://www.soccerstats.com/latest.asp?league=england5" TargetMode="External"/><Relationship Id="rId351" Type="http://schemas.openxmlformats.org/officeDocument/2006/relationships/hyperlink" Target="https://www.soccerstats.com/latest.asp?league=england9" TargetMode="External"/><Relationship Id="rId393" Type="http://schemas.openxmlformats.org/officeDocument/2006/relationships/hyperlink" Target="https://www.soccerstats.com/latest.asp?league=germany3" TargetMode="External"/><Relationship Id="rId407" Type="http://schemas.openxmlformats.org/officeDocument/2006/relationships/hyperlink" Target="https://www.soccerstats.com/latest.asp?league=germany6" TargetMode="External"/><Relationship Id="rId449" Type="http://schemas.openxmlformats.org/officeDocument/2006/relationships/hyperlink" Target="https://www.soccerstats.com/latest.asp?league=japan2" TargetMode="External"/><Relationship Id="rId614" Type="http://schemas.openxmlformats.org/officeDocument/2006/relationships/hyperlink" Target="https://www.soccerstats.com/latest.asp?league=usa3" TargetMode="External"/><Relationship Id="rId656" Type="http://schemas.openxmlformats.org/officeDocument/2006/relationships/hyperlink" Target="https://www.soccerstats.com/latest.asp?league=argentina3" TargetMode="External"/><Relationship Id="rId821" Type="http://schemas.openxmlformats.org/officeDocument/2006/relationships/hyperlink" Target="https://www.soccerstats.com/latest.asp?league=norway4" TargetMode="External"/><Relationship Id="rId863" Type="http://schemas.openxmlformats.org/officeDocument/2006/relationships/hyperlink" Target="https://www.soccerstats.com/latest.asp?league=southkorea2" TargetMode="External"/><Relationship Id="rId211" Type="http://schemas.openxmlformats.org/officeDocument/2006/relationships/hyperlink" Target="https://www.soccerstats.com/latest.asp?league=argentina3" TargetMode="External"/><Relationship Id="rId253" Type="http://schemas.openxmlformats.org/officeDocument/2006/relationships/hyperlink" Target="https://www.soccerstats.com/latest.asp?league=belgium" TargetMode="External"/><Relationship Id="rId295" Type="http://schemas.openxmlformats.org/officeDocument/2006/relationships/hyperlink" Target="https://www.soccerstats.com/latest.asp?league=czechrepublic" TargetMode="External"/><Relationship Id="rId309" Type="http://schemas.openxmlformats.org/officeDocument/2006/relationships/hyperlink" Target="https://www.soccerstats.com/latest.asp?league=denmark3" TargetMode="External"/><Relationship Id="rId460" Type="http://schemas.openxmlformats.org/officeDocument/2006/relationships/hyperlink" Target="https://www.soccerstats.com/latest.asp?league=kazakhstan" TargetMode="External"/><Relationship Id="rId516" Type="http://schemas.openxmlformats.org/officeDocument/2006/relationships/hyperlink" Target="https://www.soccerstats.com/latest.asp?league=poland2" TargetMode="External"/><Relationship Id="rId698" Type="http://schemas.openxmlformats.org/officeDocument/2006/relationships/hyperlink" Target="https://www.soccerstats.com/latest.asp?league=brazil3" TargetMode="External"/><Relationship Id="rId48" Type="http://schemas.openxmlformats.org/officeDocument/2006/relationships/hyperlink" Target="https://www.soccerstats.com/latest.asp?league=brazil2" TargetMode="External"/><Relationship Id="rId113" Type="http://schemas.openxmlformats.org/officeDocument/2006/relationships/hyperlink" Target="https://www.soccerstats.com/latest.asp?league=poland2" TargetMode="External"/><Relationship Id="rId320" Type="http://schemas.openxmlformats.org/officeDocument/2006/relationships/hyperlink" Target="https://www.soccerstats.com/latest.asp?league=england6" TargetMode="External"/><Relationship Id="rId558" Type="http://schemas.openxmlformats.org/officeDocument/2006/relationships/hyperlink" Target="https://www.soccerstats.com/latest.asp?league=southkorea" TargetMode="External"/><Relationship Id="rId723" Type="http://schemas.openxmlformats.org/officeDocument/2006/relationships/hyperlink" Target="https://www.soccerstats.com/latest.asp?league=colombia2" TargetMode="External"/><Relationship Id="rId765" Type="http://schemas.openxmlformats.org/officeDocument/2006/relationships/hyperlink" Target="https://www.soccerstats.com/latest.asp?league=germany4" TargetMode="External"/><Relationship Id="rId155" Type="http://schemas.openxmlformats.org/officeDocument/2006/relationships/hyperlink" Target="https://www.soccerstats.com/latest.asp?league=england2" TargetMode="External"/><Relationship Id="rId197" Type="http://schemas.openxmlformats.org/officeDocument/2006/relationships/hyperlink" Target="https://www.soccerstats.com/latest.asp?league=spain2" TargetMode="External"/><Relationship Id="rId362" Type="http://schemas.openxmlformats.org/officeDocument/2006/relationships/hyperlink" Target="https://www.soccerstats.com/latest.asp?league=england10" TargetMode="External"/><Relationship Id="rId418" Type="http://schemas.openxmlformats.org/officeDocument/2006/relationships/hyperlink" Target="https://www.soccerstats.com/latest.asp?league=hungary2" TargetMode="External"/><Relationship Id="rId625" Type="http://schemas.openxmlformats.org/officeDocument/2006/relationships/hyperlink" Target="https://www.soccerstats.com/latest.asp?league=spain" TargetMode="External"/><Relationship Id="rId832" Type="http://schemas.openxmlformats.org/officeDocument/2006/relationships/hyperlink" Target="https://www.soccerstats.com/latest.asp?league=poland2" TargetMode="External"/><Relationship Id="rId222" Type="http://schemas.openxmlformats.org/officeDocument/2006/relationships/hyperlink" Target="https://www.soccerstats.com/latest.asp?league=australia5" TargetMode="External"/><Relationship Id="rId264" Type="http://schemas.openxmlformats.org/officeDocument/2006/relationships/hyperlink" Target="https://www.soccerstats.com/latest.asp?league=brazil3" TargetMode="External"/><Relationship Id="rId471" Type="http://schemas.openxmlformats.org/officeDocument/2006/relationships/hyperlink" Target="https://www.soccerstats.com/latest.asp?league=netherlands3" TargetMode="External"/><Relationship Id="rId667" Type="http://schemas.openxmlformats.org/officeDocument/2006/relationships/hyperlink" Target="https://www.soccerstats.com/latest.asp?league=australia11" TargetMode="External"/><Relationship Id="rId874" Type="http://schemas.openxmlformats.org/officeDocument/2006/relationships/hyperlink" Target="https://www.soccerstats.com/latest.asp?league=sweden4" TargetMode="External"/><Relationship Id="rId17" Type="http://schemas.openxmlformats.org/officeDocument/2006/relationships/hyperlink" Target="https://www.soccerstats.com/latest.asp?league=netherlands2" TargetMode="External"/><Relationship Id="rId59" Type="http://schemas.openxmlformats.org/officeDocument/2006/relationships/hyperlink" Target="https://www.soccerstats.com/latest.asp?league=colombia2" TargetMode="External"/><Relationship Id="rId124" Type="http://schemas.openxmlformats.org/officeDocument/2006/relationships/hyperlink" Target="https://www.soccerstats.com/latest.asp?league=southkorea4" TargetMode="External"/><Relationship Id="rId527" Type="http://schemas.openxmlformats.org/officeDocument/2006/relationships/hyperlink" Target="https://www.soccerstats.com/latest.asp?league=romania" TargetMode="External"/><Relationship Id="rId569" Type="http://schemas.openxmlformats.org/officeDocument/2006/relationships/hyperlink" Target="https://www.soccerstats.com/latest.asp?league=sweden2" TargetMode="External"/><Relationship Id="rId734" Type="http://schemas.openxmlformats.org/officeDocument/2006/relationships/hyperlink" Target="https://www.soccerstats.com/latest.asp?league=denmark" TargetMode="External"/><Relationship Id="rId776" Type="http://schemas.openxmlformats.org/officeDocument/2006/relationships/hyperlink" Target="https://www.soccerstats.com/latest.asp?league=guatemala" TargetMode="External"/><Relationship Id="rId70" Type="http://schemas.openxmlformats.org/officeDocument/2006/relationships/hyperlink" Target="https://www.soccerstats.com/latest.asp?league=denmark3" TargetMode="External"/><Relationship Id="rId166" Type="http://schemas.openxmlformats.org/officeDocument/2006/relationships/hyperlink" Target="https://www.soccerstats.com/latest.asp?league=england3" TargetMode="External"/><Relationship Id="rId331" Type="http://schemas.openxmlformats.org/officeDocument/2006/relationships/hyperlink" Target="https://www.soccerstats.com/latest.asp?league=england7" TargetMode="External"/><Relationship Id="rId373" Type="http://schemas.openxmlformats.org/officeDocument/2006/relationships/hyperlink" Target="https://www.soccerstats.com/latest.asp?league=finland2" TargetMode="External"/><Relationship Id="rId429" Type="http://schemas.openxmlformats.org/officeDocument/2006/relationships/hyperlink" Target="https://www.soccerstats.com/latest.asp?league=iceland3" TargetMode="External"/><Relationship Id="rId580" Type="http://schemas.openxmlformats.org/officeDocument/2006/relationships/hyperlink" Target="https://www.soccerstats.com/latest.asp?league=sweden4" TargetMode="External"/><Relationship Id="rId636" Type="http://schemas.openxmlformats.org/officeDocument/2006/relationships/hyperlink" Target="https://www.soccerstats.com/latest.asp?league=england2" TargetMode="External"/><Relationship Id="rId801" Type="http://schemas.openxmlformats.org/officeDocument/2006/relationships/hyperlink" Target="https://www.soccerstats.com/latest.asp?league=moldova" TargetMode="External"/><Relationship Id="rId1" Type="http://schemas.openxmlformats.org/officeDocument/2006/relationships/hyperlink" Target="https://www.soccerstats.com/latest.asp?league=netherlands" TargetMode="External"/><Relationship Id="rId233" Type="http://schemas.openxmlformats.org/officeDocument/2006/relationships/hyperlink" Target="https://www.soccerstats.com/latest.asp?league=australia10" TargetMode="External"/><Relationship Id="rId440" Type="http://schemas.openxmlformats.org/officeDocument/2006/relationships/hyperlink" Target="https://www.soccerstats.com/latest.asp?league=japan" TargetMode="External"/><Relationship Id="rId678" Type="http://schemas.openxmlformats.org/officeDocument/2006/relationships/hyperlink" Target="https://www.soccerstats.com/latest.asp?league=belarus" TargetMode="External"/><Relationship Id="rId843" Type="http://schemas.openxmlformats.org/officeDocument/2006/relationships/hyperlink" Target="https://www.soccerstats.com/latest.asp?league=romania" TargetMode="External"/><Relationship Id="rId885" Type="http://schemas.openxmlformats.org/officeDocument/2006/relationships/hyperlink" Target="https://www.soccerstats.com/latest.asp?league=ukraine" TargetMode="External"/><Relationship Id="rId28" Type="http://schemas.openxmlformats.org/officeDocument/2006/relationships/hyperlink" Target="https://www.soccerstats.com/latest.asp?league=australia3" TargetMode="External"/><Relationship Id="rId275" Type="http://schemas.openxmlformats.org/officeDocument/2006/relationships/hyperlink" Target="https://www.soccerstats.com/latest.asp?league=bulgaria" TargetMode="External"/><Relationship Id="rId300" Type="http://schemas.openxmlformats.org/officeDocument/2006/relationships/hyperlink" Target="https://www.soccerstats.com/latest.asp?league=czechrepublic" TargetMode="External"/><Relationship Id="rId482" Type="http://schemas.openxmlformats.org/officeDocument/2006/relationships/hyperlink" Target="https://www.soccerstats.com/latest.asp?league=northmacedonia" TargetMode="External"/><Relationship Id="rId538" Type="http://schemas.openxmlformats.org/officeDocument/2006/relationships/hyperlink" Target="https://www.soccerstats.com/latest.asp?league=scotland3" TargetMode="External"/><Relationship Id="rId703" Type="http://schemas.openxmlformats.org/officeDocument/2006/relationships/hyperlink" Target="https://www.soccerstats.com/latest.asp?league=bulgaria" TargetMode="External"/><Relationship Id="rId745" Type="http://schemas.openxmlformats.org/officeDocument/2006/relationships/hyperlink" Target="https://www.soccerstats.com/latest.asp?league=faroeislands" TargetMode="External"/><Relationship Id="rId910" Type="http://schemas.openxmlformats.org/officeDocument/2006/relationships/hyperlink" Target="https://www.soccerstats.com/latest.asp?league=usa7" TargetMode="External"/><Relationship Id="rId81" Type="http://schemas.openxmlformats.org/officeDocument/2006/relationships/hyperlink" Target="https://www.soccerstats.com/latest.asp?league=france3" TargetMode="External"/><Relationship Id="rId135" Type="http://schemas.openxmlformats.org/officeDocument/2006/relationships/hyperlink" Target="https://www.soccerstats.com/latest.asp?league=wales" TargetMode="External"/><Relationship Id="rId177" Type="http://schemas.openxmlformats.org/officeDocument/2006/relationships/hyperlink" Target="https://www.soccerstats.com/latest.asp?league=england4" TargetMode="External"/><Relationship Id="rId342" Type="http://schemas.openxmlformats.org/officeDocument/2006/relationships/hyperlink" Target="https://www.soccerstats.com/latest.asp?league=england8" TargetMode="External"/><Relationship Id="rId384" Type="http://schemas.openxmlformats.org/officeDocument/2006/relationships/hyperlink" Target="https://www.soccerstats.com/latest.asp?league=finland5" TargetMode="External"/><Relationship Id="rId591" Type="http://schemas.openxmlformats.org/officeDocument/2006/relationships/hyperlink" Target="https://www.soccerstats.com/latest.asp?league=turkey2" TargetMode="External"/><Relationship Id="rId605" Type="http://schemas.openxmlformats.org/officeDocument/2006/relationships/hyperlink" Target="https://www.soccerstats.com/latest.asp?league=usa2" TargetMode="External"/><Relationship Id="rId787" Type="http://schemas.openxmlformats.org/officeDocument/2006/relationships/hyperlink" Target="https://www.soccerstats.com/latest.asp?league=japan3" TargetMode="External"/><Relationship Id="rId812" Type="http://schemas.openxmlformats.org/officeDocument/2006/relationships/hyperlink" Target="https://www.soccerstats.com/latest.asp?league=norway2" TargetMode="External"/><Relationship Id="rId202" Type="http://schemas.openxmlformats.org/officeDocument/2006/relationships/hyperlink" Target="https://www.soccerstats.com/latest.asp?league=netherlands2" TargetMode="External"/><Relationship Id="rId244" Type="http://schemas.openxmlformats.org/officeDocument/2006/relationships/hyperlink" Target="https://www.soccerstats.com/latest.asp?league=austria2" TargetMode="External"/><Relationship Id="rId647" Type="http://schemas.openxmlformats.org/officeDocument/2006/relationships/hyperlink" Target="https://www.soccerstats.com/latest.asp?league=argentina2" TargetMode="External"/><Relationship Id="rId689" Type="http://schemas.openxmlformats.org/officeDocument/2006/relationships/hyperlink" Target="https://www.soccerstats.com/latest.asp?league=brazil" TargetMode="External"/><Relationship Id="rId854" Type="http://schemas.openxmlformats.org/officeDocument/2006/relationships/hyperlink" Target="https://www.soccerstats.com/latest.asp?league=slovenia" TargetMode="External"/><Relationship Id="rId896" Type="http://schemas.openxmlformats.org/officeDocument/2006/relationships/hyperlink" Target="https://www.soccerstats.com/latest.asp?league=usa" TargetMode="External"/><Relationship Id="rId39" Type="http://schemas.openxmlformats.org/officeDocument/2006/relationships/hyperlink" Target="https://www.soccerstats.com/latest.asp?league=austria2" TargetMode="External"/><Relationship Id="rId286" Type="http://schemas.openxmlformats.org/officeDocument/2006/relationships/hyperlink" Target="https://www.soccerstats.com/latest.asp?league=china2" TargetMode="External"/><Relationship Id="rId451" Type="http://schemas.openxmlformats.org/officeDocument/2006/relationships/hyperlink" Target="https://www.soccerstats.com/latest.asp?league=japan2" TargetMode="External"/><Relationship Id="rId493" Type="http://schemas.openxmlformats.org/officeDocument/2006/relationships/hyperlink" Target="https://www.soccerstats.com/latest.asp?league=norway3" TargetMode="External"/><Relationship Id="rId507" Type="http://schemas.openxmlformats.org/officeDocument/2006/relationships/hyperlink" Target="https://www.soccerstats.com/latest.asp?league=peru2" TargetMode="External"/><Relationship Id="rId549" Type="http://schemas.openxmlformats.org/officeDocument/2006/relationships/hyperlink" Target="https://www.soccerstats.com/latest.asp?league=slovakia" TargetMode="External"/><Relationship Id="rId714" Type="http://schemas.openxmlformats.org/officeDocument/2006/relationships/hyperlink" Target="https://www.soccerstats.com/latest.asp?league=chile" TargetMode="External"/><Relationship Id="rId756" Type="http://schemas.openxmlformats.org/officeDocument/2006/relationships/hyperlink" Target="https://www.soccerstats.com/latest.asp?league=finland6" TargetMode="External"/><Relationship Id="rId50" Type="http://schemas.openxmlformats.org/officeDocument/2006/relationships/hyperlink" Target="https://www.soccerstats.com/latest.asp?league=brazil2" TargetMode="External"/><Relationship Id="rId104" Type="http://schemas.openxmlformats.org/officeDocument/2006/relationships/hyperlink" Target="https://www.soccerstats.com/latest.asp?league=germany8" TargetMode="External"/><Relationship Id="rId146" Type="http://schemas.openxmlformats.org/officeDocument/2006/relationships/hyperlink" Target="https://www.soccerstats.com/latest.asp?league=netherlands" TargetMode="External"/><Relationship Id="rId188" Type="http://schemas.openxmlformats.org/officeDocument/2006/relationships/hyperlink" Target="https://www.soccerstats.com/latest.asp?league=england5" TargetMode="External"/><Relationship Id="rId311" Type="http://schemas.openxmlformats.org/officeDocument/2006/relationships/hyperlink" Target="https://www.soccerstats.com/latest.asp?league=ecuador" TargetMode="External"/><Relationship Id="rId353" Type="http://schemas.openxmlformats.org/officeDocument/2006/relationships/hyperlink" Target="https://www.soccerstats.com/latest.asp?league=england9" TargetMode="External"/><Relationship Id="rId395" Type="http://schemas.openxmlformats.org/officeDocument/2006/relationships/hyperlink" Target="https://www.soccerstats.com/latest.asp?league=germany3" TargetMode="External"/><Relationship Id="rId409" Type="http://schemas.openxmlformats.org/officeDocument/2006/relationships/hyperlink" Target="https://www.soccerstats.com/latest.asp?league=germany7" TargetMode="External"/><Relationship Id="rId560" Type="http://schemas.openxmlformats.org/officeDocument/2006/relationships/hyperlink" Target="https://www.soccerstats.com/latest.asp?league=southkorea" TargetMode="External"/><Relationship Id="rId798" Type="http://schemas.openxmlformats.org/officeDocument/2006/relationships/hyperlink" Target="https://www.soccerstats.com/latest.asp?league=mexico" TargetMode="External"/><Relationship Id="rId92" Type="http://schemas.openxmlformats.org/officeDocument/2006/relationships/hyperlink" Target="https://www.soccerstats.com/latest.asp?league=germany6" TargetMode="External"/><Relationship Id="rId213" Type="http://schemas.openxmlformats.org/officeDocument/2006/relationships/hyperlink" Target="https://www.soccerstats.com/latest.asp?league=argentina3" TargetMode="External"/><Relationship Id="rId420" Type="http://schemas.openxmlformats.org/officeDocument/2006/relationships/hyperlink" Target="https://www.soccerstats.com/latest.asp?league=hungary2" TargetMode="External"/><Relationship Id="rId616" Type="http://schemas.openxmlformats.org/officeDocument/2006/relationships/hyperlink" Target="https://www.soccerstats.com/latest.asp?league=usa6" TargetMode="External"/><Relationship Id="rId658" Type="http://schemas.openxmlformats.org/officeDocument/2006/relationships/hyperlink" Target="https://www.soccerstats.com/latest.asp?league=australia3" TargetMode="External"/><Relationship Id="rId823" Type="http://schemas.openxmlformats.org/officeDocument/2006/relationships/hyperlink" Target="https://www.soccerstats.com/latest.asp?league=norway4" TargetMode="External"/><Relationship Id="rId865" Type="http://schemas.openxmlformats.org/officeDocument/2006/relationships/hyperlink" Target="https://www.soccerstats.com/latest.asp?league=sweden" TargetMode="External"/><Relationship Id="rId255" Type="http://schemas.openxmlformats.org/officeDocument/2006/relationships/hyperlink" Target="https://www.soccerstats.com/latest.asp?league=belgium2" TargetMode="External"/><Relationship Id="rId297" Type="http://schemas.openxmlformats.org/officeDocument/2006/relationships/hyperlink" Target="https://www.soccerstats.com/latest.asp?league=czechrepublic" TargetMode="External"/><Relationship Id="rId462" Type="http://schemas.openxmlformats.org/officeDocument/2006/relationships/hyperlink" Target="https://www.soccerstats.com/latest.asp?league=kazakhstan" TargetMode="External"/><Relationship Id="rId518" Type="http://schemas.openxmlformats.org/officeDocument/2006/relationships/hyperlink" Target="https://www.soccerstats.com/latest.asp?league=poland3" TargetMode="External"/><Relationship Id="rId725" Type="http://schemas.openxmlformats.org/officeDocument/2006/relationships/hyperlink" Target="https://www.soccerstats.com/latest.asp?league=colombia2" TargetMode="External"/><Relationship Id="rId115" Type="http://schemas.openxmlformats.org/officeDocument/2006/relationships/hyperlink" Target="https://www.soccerstats.com/latest.asp?league=portugal2" TargetMode="External"/><Relationship Id="rId157" Type="http://schemas.openxmlformats.org/officeDocument/2006/relationships/hyperlink" Target="https://www.soccerstats.com/latest.asp?league=england2" TargetMode="External"/><Relationship Id="rId322" Type="http://schemas.openxmlformats.org/officeDocument/2006/relationships/hyperlink" Target="https://www.soccerstats.com/latest.asp?league=england6" TargetMode="External"/><Relationship Id="rId364" Type="http://schemas.openxmlformats.org/officeDocument/2006/relationships/hyperlink" Target="https://www.soccerstats.com/latest.asp?league=england10" TargetMode="External"/><Relationship Id="rId767" Type="http://schemas.openxmlformats.org/officeDocument/2006/relationships/hyperlink" Target="https://www.soccerstats.com/latest.asp?league=germany4" TargetMode="External"/><Relationship Id="rId61" Type="http://schemas.openxmlformats.org/officeDocument/2006/relationships/hyperlink" Target="https://www.soccerstats.com/leagueview.asp?league=copalibertadores" TargetMode="External"/><Relationship Id="rId199" Type="http://schemas.openxmlformats.org/officeDocument/2006/relationships/hyperlink" Target="https://www.soccerstats.com/latest.asp?league=germany2" TargetMode="External"/><Relationship Id="rId571" Type="http://schemas.openxmlformats.org/officeDocument/2006/relationships/hyperlink" Target="https://www.soccerstats.com/latest.asp?league=sweden2" TargetMode="External"/><Relationship Id="rId627" Type="http://schemas.openxmlformats.org/officeDocument/2006/relationships/hyperlink" Target="https://www.soccerstats.com/latest.asp?league=spain" TargetMode="External"/><Relationship Id="rId669" Type="http://schemas.openxmlformats.org/officeDocument/2006/relationships/hyperlink" Target="https://www.soccerstats.com/latest.asp?league=australia11" TargetMode="External"/><Relationship Id="rId834" Type="http://schemas.openxmlformats.org/officeDocument/2006/relationships/hyperlink" Target="https://www.soccerstats.com/latest.asp?league=poland3" TargetMode="External"/><Relationship Id="rId876" Type="http://schemas.openxmlformats.org/officeDocument/2006/relationships/hyperlink" Target="https://www.soccerstats.com/latest.asp?league=sweden11" TargetMode="External"/><Relationship Id="rId19" Type="http://schemas.openxmlformats.org/officeDocument/2006/relationships/hyperlink" Target="https://www.soccerstats.com/latest.asp?league=netherlands2" TargetMode="External"/><Relationship Id="rId224" Type="http://schemas.openxmlformats.org/officeDocument/2006/relationships/hyperlink" Target="https://www.soccerstats.com/latest.asp?league=australia5" TargetMode="External"/><Relationship Id="rId266" Type="http://schemas.openxmlformats.org/officeDocument/2006/relationships/hyperlink" Target="https://www.soccerstats.com/latest.asp?league=brazil3" TargetMode="External"/><Relationship Id="rId431" Type="http://schemas.openxmlformats.org/officeDocument/2006/relationships/hyperlink" Target="https://www.soccerstats.com/latest.asp?league=ireland3" TargetMode="External"/><Relationship Id="rId473" Type="http://schemas.openxmlformats.org/officeDocument/2006/relationships/hyperlink" Target="https://www.soccerstats.com/latest.asp?league=netherlands3" TargetMode="External"/><Relationship Id="rId529" Type="http://schemas.openxmlformats.org/officeDocument/2006/relationships/hyperlink" Target="https://www.soccerstats.com/latest.asp?league=russia" TargetMode="External"/><Relationship Id="rId680" Type="http://schemas.openxmlformats.org/officeDocument/2006/relationships/hyperlink" Target="https://www.soccerstats.com/latest.asp?league=belgium" TargetMode="External"/><Relationship Id="rId736" Type="http://schemas.openxmlformats.org/officeDocument/2006/relationships/hyperlink" Target="https://www.soccerstats.com/latest.asp?league=ecuador" TargetMode="External"/><Relationship Id="rId901" Type="http://schemas.openxmlformats.org/officeDocument/2006/relationships/hyperlink" Target="https://www.soccerstats.com/latest.asp?league=usa2" TargetMode="External"/><Relationship Id="rId30" Type="http://schemas.openxmlformats.org/officeDocument/2006/relationships/hyperlink" Target="https://www.soccerstats.com/latest.asp?league=australia4" TargetMode="External"/><Relationship Id="rId126" Type="http://schemas.openxmlformats.org/officeDocument/2006/relationships/hyperlink" Target="https://www.soccerstats.com/latest.asp?league=sweden2" TargetMode="External"/><Relationship Id="rId168" Type="http://schemas.openxmlformats.org/officeDocument/2006/relationships/hyperlink" Target="https://www.soccerstats.com/latest.asp?league=england3" TargetMode="External"/><Relationship Id="rId333" Type="http://schemas.openxmlformats.org/officeDocument/2006/relationships/hyperlink" Target="https://www.soccerstats.com/latest.asp?league=england7" TargetMode="External"/><Relationship Id="rId540" Type="http://schemas.openxmlformats.org/officeDocument/2006/relationships/hyperlink" Target="https://www.soccerstats.com/latest.asp?league=scotland4" TargetMode="External"/><Relationship Id="rId778" Type="http://schemas.openxmlformats.org/officeDocument/2006/relationships/hyperlink" Target="https://www.soccerstats.com/latest.asp?league=hungary" TargetMode="External"/><Relationship Id="rId72" Type="http://schemas.openxmlformats.org/officeDocument/2006/relationships/hyperlink" Target="https://www.soccerstats.com/latest.asp?league=england7" TargetMode="External"/><Relationship Id="rId375" Type="http://schemas.openxmlformats.org/officeDocument/2006/relationships/hyperlink" Target="https://www.soccerstats.com/latest.asp?league=finland2" TargetMode="External"/><Relationship Id="rId582" Type="http://schemas.openxmlformats.org/officeDocument/2006/relationships/hyperlink" Target="https://www.soccerstats.com/latest.asp?league=sweden11" TargetMode="External"/><Relationship Id="rId638" Type="http://schemas.openxmlformats.org/officeDocument/2006/relationships/hyperlink" Target="https://www.soccerstats.com/latest.asp?league=spain2" TargetMode="External"/><Relationship Id="rId803" Type="http://schemas.openxmlformats.org/officeDocument/2006/relationships/hyperlink" Target="https://www.soccerstats.com/latest.asp?league=montenegro" TargetMode="External"/><Relationship Id="rId845" Type="http://schemas.openxmlformats.org/officeDocument/2006/relationships/hyperlink" Target="https://www.soccerstats.com/latest.asp?league=russia" TargetMode="External"/><Relationship Id="rId3" Type="http://schemas.openxmlformats.org/officeDocument/2006/relationships/hyperlink" Target="https://www.soccerstats.com/latest.asp?league=england2" TargetMode="External"/><Relationship Id="rId235" Type="http://schemas.openxmlformats.org/officeDocument/2006/relationships/hyperlink" Target="https://www.soccerstats.com/latest.asp?league=australia11" TargetMode="External"/><Relationship Id="rId277" Type="http://schemas.openxmlformats.org/officeDocument/2006/relationships/hyperlink" Target="https://www.soccerstats.com/latest.asp?league=canada" TargetMode="External"/><Relationship Id="rId400" Type="http://schemas.openxmlformats.org/officeDocument/2006/relationships/hyperlink" Target="https://www.soccerstats.com/latest.asp?league=germany4" TargetMode="External"/><Relationship Id="rId442" Type="http://schemas.openxmlformats.org/officeDocument/2006/relationships/hyperlink" Target="https://www.soccerstats.com/latest.asp?league=japan" TargetMode="External"/><Relationship Id="rId484" Type="http://schemas.openxmlformats.org/officeDocument/2006/relationships/hyperlink" Target="https://www.soccerstats.com/latest.asp?league=northmacedonia" TargetMode="External"/><Relationship Id="rId705" Type="http://schemas.openxmlformats.org/officeDocument/2006/relationships/hyperlink" Target="https://www.soccerstats.com/latest.asp?league=bulgaria2" TargetMode="External"/><Relationship Id="rId887" Type="http://schemas.openxmlformats.org/officeDocument/2006/relationships/hyperlink" Target="https://www.soccerstats.com/latest.asp?league=uruguay3" TargetMode="External"/><Relationship Id="rId137" Type="http://schemas.openxmlformats.org/officeDocument/2006/relationships/hyperlink" Target="https://www.soccerstats.com/latest.asp?league=wales" TargetMode="External"/><Relationship Id="rId302" Type="http://schemas.openxmlformats.org/officeDocument/2006/relationships/hyperlink" Target="https://www.soccerstats.com/latest.asp?league=czechrepublic2" TargetMode="External"/><Relationship Id="rId344" Type="http://schemas.openxmlformats.org/officeDocument/2006/relationships/hyperlink" Target="https://www.soccerstats.com/latest.asp?league=england8" TargetMode="External"/><Relationship Id="rId691" Type="http://schemas.openxmlformats.org/officeDocument/2006/relationships/hyperlink" Target="https://www.soccerstats.com/latest.asp?league=brazil" TargetMode="External"/><Relationship Id="rId747" Type="http://schemas.openxmlformats.org/officeDocument/2006/relationships/hyperlink" Target="https://www.soccerstats.com/latest.asp?league=faroeislands" TargetMode="External"/><Relationship Id="rId789" Type="http://schemas.openxmlformats.org/officeDocument/2006/relationships/hyperlink" Target="https://www.soccerstats.com/latest.asp?league=japan3" TargetMode="External"/><Relationship Id="rId912" Type="http://schemas.openxmlformats.org/officeDocument/2006/relationships/drawing" Target="../drawings/drawing1.xml"/><Relationship Id="rId41" Type="http://schemas.openxmlformats.org/officeDocument/2006/relationships/hyperlink" Target="https://www.soccerstats.com/latest.asp?league=azerbaijan" TargetMode="External"/><Relationship Id="rId83" Type="http://schemas.openxmlformats.org/officeDocument/2006/relationships/hyperlink" Target="https://www.soccerstats.com/latest.asp?league=france3" TargetMode="External"/><Relationship Id="rId179" Type="http://schemas.openxmlformats.org/officeDocument/2006/relationships/hyperlink" Target="https://www.soccerstats.com/latest.asp?league=england4" TargetMode="External"/><Relationship Id="rId386" Type="http://schemas.openxmlformats.org/officeDocument/2006/relationships/hyperlink" Target="https://www.soccerstats.com/latest.asp?league=finland5" TargetMode="External"/><Relationship Id="rId551" Type="http://schemas.openxmlformats.org/officeDocument/2006/relationships/hyperlink" Target="https://www.soccerstats.com/latest.asp?league=slovenia" TargetMode="External"/><Relationship Id="rId593" Type="http://schemas.openxmlformats.org/officeDocument/2006/relationships/hyperlink" Target="https://www.soccerstats.com/latest.asp?league=turkey2" TargetMode="External"/><Relationship Id="rId607" Type="http://schemas.openxmlformats.org/officeDocument/2006/relationships/hyperlink" Target="https://www.soccerstats.com/latest.asp?league=usa2" TargetMode="External"/><Relationship Id="rId649" Type="http://schemas.openxmlformats.org/officeDocument/2006/relationships/hyperlink" Target="https://www.soccerstats.com/latest.asp?league=argentina2" TargetMode="External"/><Relationship Id="rId814" Type="http://schemas.openxmlformats.org/officeDocument/2006/relationships/hyperlink" Target="https://www.soccerstats.com/latest.asp?league=norway2" TargetMode="External"/><Relationship Id="rId856" Type="http://schemas.openxmlformats.org/officeDocument/2006/relationships/hyperlink" Target="https://www.soccerstats.com/latest.asp?league=southafrica" TargetMode="External"/><Relationship Id="rId190" Type="http://schemas.openxmlformats.org/officeDocument/2006/relationships/hyperlink" Target="https://www.soccerstats.com/latest.asp?league=england5" TargetMode="External"/><Relationship Id="rId204" Type="http://schemas.openxmlformats.org/officeDocument/2006/relationships/hyperlink" Target="https://www.soccerstats.com/latest.asp?league=argentina2" TargetMode="External"/><Relationship Id="rId246" Type="http://schemas.openxmlformats.org/officeDocument/2006/relationships/hyperlink" Target="https://www.soccerstats.com/latest.asp?league=azerbaijan" TargetMode="External"/><Relationship Id="rId288" Type="http://schemas.openxmlformats.org/officeDocument/2006/relationships/hyperlink" Target="https://www.soccerstats.com/latest.asp?league=colombia2" TargetMode="External"/><Relationship Id="rId411" Type="http://schemas.openxmlformats.org/officeDocument/2006/relationships/hyperlink" Target="https://www.soccerstats.com/latest.asp?league=germany7" TargetMode="External"/><Relationship Id="rId453" Type="http://schemas.openxmlformats.org/officeDocument/2006/relationships/hyperlink" Target="https://www.soccerstats.com/latest.asp?league=japan3" TargetMode="External"/><Relationship Id="rId509" Type="http://schemas.openxmlformats.org/officeDocument/2006/relationships/hyperlink" Target="https://www.soccerstats.com/latest.asp?league=peru2" TargetMode="External"/><Relationship Id="rId660" Type="http://schemas.openxmlformats.org/officeDocument/2006/relationships/hyperlink" Target="https://www.soccerstats.com/latest.asp?league=australia7" TargetMode="External"/><Relationship Id="rId898" Type="http://schemas.openxmlformats.org/officeDocument/2006/relationships/hyperlink" Target="https://www.soccerstats.com/latest.asp?league=usa2" TargetMode="External"/><Relationship Id="rId106" Type="http://schemas.openxmlformats.org/officeDocument/2006/relationships/hyperlink" Target="https://www.soccerstats.com/latest.asp?league=iceland3" TargetMode="External"/><Relationship Id="rId313" Type="http://schemas.openxmlformats.org/officeDocument/2006/relationships/hyperlink" Target="https://www.soccerstats.com/latest.asp?league=england6" TargetMode="External"/><Relationship Id="rId495" Type="http://schemas.openxmlformats.org/officeDocument/2006/relationships/hyperlink" Target="https://www.soccerstats.com/latest.asp?league=norway4" TargetMode="External"/><Relationship Id="rId716" Type="http://schemas.openxmlformats.org/officeDocument/2006/relationships/hyperlink" Target="https://www.soccerstats.com/latest.asp?league=chile2" TargetMode="External"/><Relationship Id="rId758" Type="http://schemas.openxmlformats.org/officeDocument/2006/relationships/hyperlink" Target="https://www.soccerstats.com/latest.asp?league=georgia" TargetMode="External"/><Relationship Id="rId10" Type="http://schemas.openxmlformats.org/officeDocument/2006/relationships/hyperlink" Target="https://www.soccerstats.com/latest.asp?league=france2" TargetMode="External"/><Relationship Id="rId52" Type="http://schemas.openxmlformats.org/officeDocument/2006/relationships/hyperlink" Target="https://www.soccerstats.com/latest.asp?league=bulgaria2" TargetMode="External"/><Relationship Id="rId94" Type="http://schemas.openxmlformats.org/officeDocument/2006/relationships/hyperlink" Target="https://www.soccerstats.com/latest.asp?league=germany6" TargetMode="External"/><Relationship Id="rId148" Type="http://schemas.openxmlformats.org/officeDocument/2006/relationships/hyperlink" Target="https://www.soccerstats.com/latest.asp?league=portugal" TargetMode="External"/><Relationship Id="rId355" Type="http://schemas.openxmlformats.org/officeDocument/2006/relationships/hyperlink" Target="https://www.soccerstats.com/latest.asp?league=england9" TargetMode="External"/><Relationship Id="rId397" Type="http://schemas.openxmlformats.org/officeDocument/2006/relationships/hyperlink" Target="https://www.soccerstats.com/latest.asp?league=germany3" TargetMode="External"/><Relationship Id="rId520" Type="http://schemas.openxmlformats.org/officeDocument/2006/relationships/hyperlink" Target="https://www.soccerstats.com/latest.asp?league=poland3" TargetMode="External"/><Relationship Id="rId562" Type="http://schemas.openxmlformats.org/officeDocument/2006/relationships/hyperlink" Target="https://www.soccerstats.com/latest.asp?league=southkorea2" TargetMode="External"/><Relationship Id="rId618" Type="http://schemas.openxmlformats.org/officeDocument/2006/relationships/hyperlink" Target="https://www.soccerstats.com/latest.asp?league=usa6" TargetMode="External"/><Relationship Id="rId825" Type="http://schemas.openxmlformats.org/officeDocument/2006/relationships/hyperlink" Target="https://www.soccerstats.com/latest.asp?league=paraguay2" TargetMode="External"/><Relationship Id="rId215" Type="http://schemas.openxmlformats.org/officeDocument/2006/relationships/hyperlink" Target="https://www.soccerstats.com/latest.asp?league=argentina3" TargetMode="External"/><Relationship Id="rId257" Type="http://schemas.openxmlformats.org/officeDocument/2006/relationships/hyperlink" Target="https://www.soccerstats.com/latest.asp?league=belgium2" TargetMode="External"/><Relationship Id="rId422" Type="http://schemas.openxmlformats.org/officeDocument/2006/relationships/hyperlink" Target="https://www.soccerstats.com/latest.asp?league=hungary2" TargetMode="External"/><Relationship Id="rId464" Type="http://schemas.openxmlformats.org/officeDocument/2006/relationships/hyperlink" Target="https://www.soccerstats.com/latest.asp?league=moldova" TargetMode="External"/><Relationship Id="rId867" Type="http://schemas.openxmlformats.org/officeDocument/2006/relationships/hyperlink" Target="https://www.soccerstats.com/latest.asp?league=sweden" TargetMode="External"/><Relationship Id="rId299" Type="http://schemas.openxmlformats.org/officeDocument/2006/relationships/hyperlink" Target="https://www.soccerstats.com/latest.asp?league=czechrepublic" TargetMode="External"/><Relationship Id="rId727" Type="http://schemas.openxmlformats.org/officeDocument/2006/relationships/hyperlink" Target="https://www.soccerstats.com/latest.asp?league=costarica" TargetMode="External"/><Relationship Id="rId63" Type="http://schemas.openxmlformats.org/officeDocument/2006/relationships/hyperlink" Target="https://www.soccerstats.com/latest.asp?league=czechrepublic2" TargetMode="External"/><Relationship Id="rId159" Type="http://schemas.openxmlformats.org/officeDocument/2006/relationships/hyperlink" Target="https://www.soccerstats.com/latest.asp?league=england3" TargetMode="External"/><Relationship Id="rId366" Type="http://schemas.openxmlformats.org/officeDocument/2006/relationships/hyperlink" Target="https://www.soccerstats.com/latest.asp?league=england10" TargetMode="External"/><Relationship Id="rId573" Type="http://schemas.openxmlformats.org/officeDocument/2006/relationships/hyperlink" Target="https://www.soccerstats.com/latest.asp?league=sweden3" TargetMode="External"/><Relationship Id="rId780" Type="http://schemas.openxmlformats.org/officeDocument/2006/relationships/hyperlink" Target="https://www.soccerstats.com/latest.asp?league=hungary2" TargetMode="External"/><Relationship Id="rId226" Type="http://schemas.openxmlformats.org/officeDocument/2006/relationships/hyperlink" Target="https://www.soccerstats.com/latest.asp?league=australia6" TargetMode="External"/><Relationship Id="rId433" Type="http://schemas.openxmlformats.org/officeDocument/2006/relationships/hyperlink" Target="https://www.soccerstats.com/latest.asp?league=ireland3" TargetMode="External"/><Relationship Id="rId878" Type="http://schemas.openxmlformats.org/officeDocument/2006/relationships/hyperlink" Target="https://www.soccerstats.com/latest.asp?league=turkey" TargetMode="External"/><Relationship Id="rId640" Type="http://schemas.openxmlformats.org/officeDocument/2006/relationships/hyperlink" Target="https://www.soccerstats.com/latest.asp?league=spain2" TargetMode="External"/><Relationship Id="rId738" Type="http://schemas.openxmlformats.org/officeDocument/2006/relationships/hyperlink" Target="https://www.soccerstats.com/latest.asp?league=ecuador" TargetMode="External"/><Relationship Id="rId74" Type="http://schemas.openxmlformats.org/officeDocument/2006/relationships/hyperlink" Target="https://www.soccerstats.com/latest.asp?league=estonia" TargetMode="External"/><Relationship Id="rId377" Type="http://schemas.openxmlformats.org/officeDocument/2006/relationships/hyperlink" Target="https://www.soccerstats.com/latest.asp?league=finland3" TargetMode="External"/><Relationship Id="rId500" Type="http://schemas.openxmlformats.org/officeDocument/2006/relationships/hyperlink" Target="https://www.soccerstats.com/latest.asp?league=norway11" TargetMode="External"/><Relationship Id="rId584" Type="http://schemas.openxmlformats.org/officeDocument/2006/relationships/hyperlink" Target="https://www.soccerstats.com/latest.asp?league=sweden11" TargetMode="External"/><Relationship Id="rId805" Type="http://schemas.openxmlformats.org/officeDocument/2006/relationships/hyperlink" Target="https://www.soccerstats.com/latest.asp?league=norway" TargetMode="External"/><Relationship Id="rId5" Type="http://schemas.openxmlformats.org/officeDocument/2006/relationships/hyperlink" Target="https://www.soccerstats.com/latest.asp?league=france2" TargetMode="External"/><Relationship Id="rId237" Type="http://schemas.openxmlformats.org/officeDocument/2006/relationships/hyperlink" Target="https://www.soccerstats.com/latest.asp?league=australia11" TargetMode="External"/><Relationship Id="rId791" Type="http://schemas.openxmlformats.org/officeDocument/2006/relationships/hyperlink" Target="https://www.soccerstats.com/latest.asp?league=kazakhstan" TargetMode="External"/><Relationship Id="rId889" Type="http://schemas.openxmlformats.org/officeDocument/2006/relationships/hyperlink" Target="https://www.soccerstats.com/latest.asp?league=uruguay3" TargetMode="External"/><Relationship Id="rId444" Type="http://schemas.openxmlformats.org/officeDocument/2006/relationships/hyperlink" Target="https://www.soccerstats.com/latest.asp?league=japan" TargetMode="External"/><Relationship Id="rId651" Type="http://schemas.openxmlformats.org/officeDocument/2006/relationships/hyperlink" Target="https://www.soccerstats.com/latest.asp?league=argentina3" TargetMode="External"/><Relationship Id="rId749" Type="http://schemas.openxmlformats.org/officeDocument/2006/relationships/hyperlink" Target="https://www.soccerstats.com/latest.asp?league=finland" TargetMode="External"/><Relationship Id="rId290" Type="http://schemas.openxmlformats.org/officeDocument/2006/relationships/hyperlink" Target="https://www.soccerstats.com/latest.asp?league=costarica" TargetMode="External"/><Relationship Id="rId304" Type="http://schemas.openxmlformats.org/officeDocument/2006/relationships/hyperlink" Target="https://www.soccerstats.com/latest.asp?league=czechrepublic2" TargetMode="External"/><Relationship Id="rId388" Type="http://schemas.openxmlformats.org/officeDocument/2006/relationships/hyperlink" Target="https://www.soccerstats.com/latest.asp?league=finland6" TargetMode="External"/><Relationship Id="rId511" Type="http://schemas.openxmlformats.org/officeDocument/2006/relationships/hyperlink" Target="https://www.soccerstats.com/latest.asp?league=peru2" TargetMode="External"/><Relationship Id="rId609" Type="http://schemas.openxmlformats.org/officeDocument/2006/relationships/hyperlink" Target="https://www.soccerstats.com/latest.asp?league=usa2" TargetMode="External"/><Relationship Id="rId85" Type="http://schemas.openxmlformats.org/officeDocument/2006/relationships/hyperlink" Target="https://www.soccerstats.com/latest.asp?league=france3" TargetMode="External"/><Relationship Id="rId150" Type="http://schemas.openxmlformats.org/officeDocument/2006/relationships/hyperlink" Target="https://www.soccerstats.com/latest.asp?league=england2" TargetMode="External"/><Relationship Id="rId595" Type="http://schemas.openxmlformats.org/officeDocument/2006/relationships/hyperlink" Target="https://www.soccerstats.com/latest.asp?league=ukraine" TargetMode="External"/><Relationship Id="rId816" Type="http://schemas.openxmlformats.org/officeDocument/2006/relationships/hyperlink" Target="https://www.soccerstats.com/latest.asp?league=norway3" TargetMode="External"/><Relationship Id="rId248" Type="http://schemas.openxmlformats.org/officeDocument/2006/relationships/hyperlink" Target="https://www.soccerstats.com/latest.asp?league=belarus" TargetMode="External"/><Relationship Id="rId455" Type="http://schemas.openxmlformats.org/officeDocument/2006/relationships/hyperlink" Target="https://www.soccerstats.com/latest.asp?league=japan3" TargetMode="External"/><Relationship Id="rId662" Type="http://schemas.openxmlformats.org/officeDocument/2006/relationships/hyperlink" Target="https://www.soccerstats.com/latest.asp?league=australia7" TargetMode="External"/><Relationship Id="rId12" Type="http://schemas.openxmlformats.org/officeDocument/2006/relationships/hyperlink" Target="https://www.soccerstats.com/latest.asp?league=france2" TargetMode="External"/><Relationship Id="rId108" Type="http://schemas.openxmlformats.org/officeDocument/2006/relationships/hyperlink" Target="https://www.soccerstats.com/latest.asp?league=norway" TargetMode="External"/><Relationship Id="rId315" Type="http://schemas.openxmlformats.org/officeDocument/2006/relationships/hyperlink" Target="https://www.soccerstats.com/latest.asp?league=england6" TargetMode="External"/><Relationship Id="rId522" Type="http://schemas.openxmlformats.org/officeDocument/2006/relationships/hyperlink" Target="https://www.soccerstats.com/latest.asp?league=poland3" TargetMode="External"/><Relationship Id="rId96" Type="http://schemas.openxmlformats.org/officeDocument/2006/relationships/hyperlink" Target="https://www.soccerstats.com/latest.asp?league=germany8" TargetMode="External"/><Relationship Id="rId161" Type="http://schemas.openxmlformats.org/officeDocument/2006/relationships/hyperlink" Target="https://www.soccerstats.com/latest.asp?league=england3" TargetMode="External"/><Relationship Id="rId399" Type="http://schemas.openxmlformats.org/officeDocument/2006/relationships/hyperlink" Target="https://www.soccerstats.com/latest.asp?league=germany4" TargetMode="External"/><Relationship Id="rId827" Type="http://schemas.openxmlformats.org/officeDocument/2006/relationships/hyperlink" Target="https://www.soccerstats.com/latest.asp?league=poland" TargetMode="External"/><Relationship Id="rId259" Type="http://schemas.openxmlformats.org/officeDocument/2006/relationships/hyperlink" Target="https://www.soccerstats.com/latest.asp?league=brazil" TargetMode="External"/><Relationship Id="rId466" Type="http://schemas.openxmlformats.org/officeDocument/2006/relationships/hyperlink" Target="https://www.soccerstats.com/latest.asp?league=montenegro" TargetMode="External"/><Relationship Id="rId673" Type="http://schemas.openxmlformats.org/officeDocument/2006/relationships/hyperlink" Target="https://www.soccerstats.com/latest.asp?league=austria2" TargetMode="External"/><Relationship Id="rId880" Type="http://schemas.openxmlformats.org/officeDocument/2006/relationships/hyperlink" Target="https://www.soccerstats.com/latest.asp?league=turkey2" TargetMode="External"/><Relationship Id="rId23" Type="http://schemas.openxmlformats.org/officeDocument/2006/relationships/hyperlink" Target="https://www.soccerstats.com/latest.asp?league=argentina3" TargetMode="External"/><Relationship Id="rId119" Type="http://schemas.openxmlformats.org/officeDocument/2006/relationships/hyperlink" Target="https://www.soccerstats.com/latest.asp?league=saudiarabia" TargetMode="External"/><Relationship Id="rId326" Type="http://schemas.openxmlformats.org/officeDocument/2006/relationships/hyperlink" Target="https://www.soccerstats.com/latest.asp?league=england7" TargetMode="External"/><Relationship Id="rId533" Type="http://schemas.openxmlformats.org/officeDocument/2006/relationships/hyperlink" Target="https://www.soccerstats.com/latest.asp?league=saudiarabia" TargetMode="External"/><Relationship Id="rId740" Type="http://schemas.openxmlformats.org/officeDocument/2006/relationships/hyperlink" Target="https://www.soccerstats.com/latest.asp?league=estonia" TargetMode="External"/><Relationship Id="rId838" Type="http://schemas.openxmlformats.org/officeDocument/2006/relationships/hyperlink" Target="https://www.soccerstats.com/latest.asp?league=portugal2" TargetMode="External"/><Relationship Id="rId172" Type="http://schemas.openxmlformats.org/officeDocument/2006/relationships/hyperlink" Target="https://www.soccerstats.com/latest.asp?league=england4" TargetMode="External"/><Relationship Id="rId477" Type="http://schemas.openxmlformats.org/officeDocument/2006/relationships/hyperlink" Target="https://www.soccerstats.com/latest.asp?league=northernireland" TargetMode="External"/><Relationship Id="rId600" Type="http://schemas.openxmlformats.org/officeDocument/2006/relationships/hyperlink" Target="https://www.soccerstats.com/latest.asp?league=usa" TargetMode="External"/><Relationship Id="rId684" Type="http://schemas.openxmlformats.org/officeDocument/2006/relationships/hyperlink" Target="https://www.soccerstats.com/latest.asp?league=bosnia" TargetMode="External"/><Relationship Id="rId337" Type="http://schemas.openxmlformats.org/officeDocument/2006/relationships/hyperlink" Target="https://www.soccerstats.com/latest.asp?league=england8" TargetMode="External"/><Relationship Id="rId891" Type="http://schemas.openxmlformats.org/officeDocument/2006/relationships/hyperlink" Target="https://www.soccerstats.com/latest.asp?league=usa" TargetMode="External"/><Relationship Id="rId905" Type="http://schemas.openxmlformats.org/officeDocument/2006/relationships/hyperlink" Target="https://www.soccerstats.com/latest.asp?league=usa3" TargetMode="External"/><Relationship Id="rId34" Type="http://schemas.openxmlformats.org/officeDocument/2006/relationships/hyperlink" Target="https://www.soccerstats.com/latest.asp?league=australia4" TargetMode="External"/><Relationship Id="rId544" Type="http://schemas.openxmlformats.org/officeDocument/2006/relationships/hyperlink" Target="https://www.soccerstats.com/latest.asp?league=serbia" TargetMode="External"/><Relationship Id="rId751" Type="http://schemas.openxmlformats.org/officeDocument/2006/relationships/hyperlink" Target="https://www.soccerstats.com/latest.asp?league=finland2" TargetMode="External"/><Relationship Id="rId849" Type="http://schemas.openxmlformats.org/officeDocument/2006/relationships/hyperlink" Target="https://www.soccerstats.com/latest.asp?league=serbia" TargetMode="External"/><Relationship Id="rId183" Type="http://schemas.openxmlformats.org/officeDocument/2006/relationships/hyperlink" Target="https://www.soccerstats.com/latest.asp?league=england5" TargetMode="External"/><Relationship Id="rId390" Type="http://schemas.openxmlformats.org/officeDocument/2006/relationships/hyperlink" Target="https://www.soccerstats.com/latest.asp?league=georgia" TargetMode="External"/><Relationship Id="rId404" Type="http://schemas.openxmlformats.org/officeDocument/2006/relationships/hyperlink" Target="https://www.soccerstats.com/latest.asp?league=germany5" TargetMode="External"/><Relationship Id="rId611" Type="http://schemas.openxmlformats.org/officeDocument/2006/relationships/hyperlink" Target="https://www.soccerstats.com/latest.asp?league=usa3" TargetMode="External"/><Relationship Id="rId250" Type="http://schemas.openxmlformats.org/officeDocument/2006/relationships/hyperlink" Target="https://www.soccerstats.com/latest.asp?league=belarus" TargetMode="External"/><Relationship Id="rId488" Type="http://schemas.openxmlformats.org/officeDocument/2006/relationships/hyperlink" Target="https://www.soccerstats.com/latest.asp?league=norway2" TargetMode="External"/><Relationship Id="rId695" Type="http://schemas.openxmlformats.org/officeDocument/2006/relationships/hyperlink" Target="https://www.soccerstats.com/latest.asp?league=brazil2" TargetMode="External"/><Relationship Id="rId709" Type="http://schemas.openxmlformats.org/officeDocument/2006/relationships/hyperlink" Target="https://www.soccerstats.com/latest.asp?league=bulgaria2" TargetMode="External"/><Relationship Id="rId45" Type="http://schemas.openxmlformats.org/officeDocument/2006/relationships/hyperlink" Target="https://www.soccerstats.com/latest.asp?league=belgium2" TargetMode="External"/><Relationship Id="rId110" Type="http://schemas.openxmlformats.org/officeDocument/2006/relationships/hyperlink" Target="https://www.soccerstats.com/latest.asp?league=paraguay2" TargetMode="External"/><Relationship Id="rId348" Type="http://schemas.openxmlformats.org/officeDocument/2006/relationships/hyperlink" Target="https://www.soccerstats.com/latest.asp?league=england9" TargetMode="External"/><Relationship Id="rId555" Type="http://schemas.openxmlformats.org/officeDocument/2006/relationships/hyperlink" Target="https://www.soccerstats.com/latest.asp?league=southafrica" TargetMode="External"/><Relationship Id="rId762" Type="http://schemas.openxmlformats.org/officeDocument/2006/relationships/hyperlink" Target="https://www.soccerstats.com/latest.asp?league=germany3" TargetMode="External"/><Relationship Id="rId194" Type="http://schemas.openxmlformats.org/officeDocument/2006/relationships/hyperlink" Target="https://www.soccerstats.com/latest.asp?league=spain2" TargetMode="External"/><Relationship Id="rId208" Type="http://schemas.openxmlformats.org/officeDocument/2006/relationships/hyperlink" Target="https://www.soccerstats.com/latest.asp?league=argentina3" TargetMode="External"/><Relationship Id="rId415" Type="http://schemas.openxmlformats.org/officeDocument/2006/relationships/hyperlink" Target="https://www.soccerstats.com/latest.asp?league=guatemala" TargetMode="External"/><Relationship Id="rId622" Type="http://schemas.openxmlformats.org/officeDocument/2006/relationships/hyperlink" Target="https://www.soccerstats.com/latest.asp?league=usa7" TargetMode="External"/><Relationship Id="rId261" Type="http://schemas.openxmlformats.org/officeDocument/2006/relationships/hyperlink" Target="https://www.soccerstats.com/latest.asp?league=brazil2" TargetMode="External"/><Relationship Id="rId499" Type="http://schemas.openxmlformats.org/officeDocument/2006/relationships/hyperlink" Target="https://www.soccerstats.com/latest.asp?league=norway11" TargetMode="External"/><Relationship Id="rId56" Type="http://schemas.openxmlformats.org/officeDocument/2006/relationships/hyperlink" Target="https://www.soccerstats.com/latest.asp?league=china" TargetMode="External"/><Relationship Id="rId359" Type="http://schemas.openxmlformats.org/officeDocument/2006/relationships/hyperlink" Target="https://www.soccerstats.com/latest.asp?league=england10" TargetMode="External"/><Relationship Id="rId566" Type="http://schemas.openxmlformats.org/officeDocument/2006/relationships/hyperlink" Target="https://www.soccerstats.com/latest.asp?league=southkorea4" TargetMode="External"/><Relationship Id="rId773" Type="http://schemas.openxmlformats.org/officeDocument/2006/relationships/hyperlink" Target="https://www.soccerstats.com/latest.asp?league=germany7" TargetMode="External"/><Relationship Id="rId121" Type="http://schemas.openxmlformats.org/officeDocument/2006/relationships/hyperlink" Target="https://www.soccerstats.com/latest.asp?league=saudiarabia" TargetMode="External"/><Relationship Id="rId219" Type="http://schemas.openxmlformats.org/officeDocument/2006/relationships/hyperlink" Target="https://www.soccerstats.com/latest.asp?league=australia3" TargetMode="External"/><Relationship Id="rId426" Type="http://schemas.openxmlformats.org/officeDocument/2006/relationships/hyperlink" Target="https://www.soccerstats.com/latest.asp?league=iceland3" TargetMode="External"/><Relationship Id="rId633" Type="http://schemas.openxmlformats.org/officeDocument/2006/relationships/hyperlink" Target="https://www.soccerstats.com/latest.asp?league=portugal" TargetMode="External"/><Relationship Id="rId840" Type="http://schemas.openxmlformats.org/officeDocument/2006/relationships/hyperlink" Target="https://www.soccerstats.com/latest.asp?league=portugal2" TargetMode="External"/><Relationship Id="rId67" Type="http://schemas.openxmlformats.org/officeDocument/2006/relationships/hyperlink" Target="https://www.soccerstats.com/latest.asp?league=denmark2" TargetMode="External"/><Relationship Id="rId272" Type="http://schemas.openxmlformats.org/officeDocument/2006/relationships/hyperlink" Target="https://www.soccerstats.com/latest.asp?league=brazil5" TargetMode="External"/><Relationship Id="rId577" Type="http://schemas.openxmlformats.org/officeDocument/2006/relationships/hyperlink" Target="https://www.soccerstats.com/latest.asp?league=sweden4" TargetMode="External"/><Relationship Id="rId700" Type="http://schemas.openxmlformats.org/officeDocument/2006/relationships/hyperlink" Target="https://www.soccerstats.com/latest.asp?league=brazil5" TargetMode="External"/><Relationship Id="rId132" Type="http://schemas.openxmlformats.org/officeDocument/2006/relationships/hyperlink" Target="https://www.soccerstats.com/latest.asp?league=turkey2" TargetMode="External"/><Relationship Id="rId784" Type="http://schemas.openxmlformats.org/officeDocument/2006/relationships/hyperlink" Target="https://www.soccerstats.com/latest.asp?league=japan2" TargetMode="External"/><Relationship Id="rId437" Type="http://schemas.openxmlformats.org/officeDocument/2006/relationships/hyperlink" Target="https://www.soccerstats.com/latest.asp?league=japan" TargetMode="External"/><Relationship Id="rId644" Type="http://schemas.openxmlformats.org/officeDocument/2006/relationships/hyperlink" Target="https://www.soccerstats.com/latest.asp?league=germany2" TargetMode="External"/><Relationship Id="rId851" Type="http://schemas.openxmlformats.org/officeDocument/2006/relationships/hyperlink" Target="https://www.soccerstats.com/latest.asp?league=slovakia" TargetMode="External"/><Relationship Id="rId283" Type="http://schemas.openxmlformats.org/officeDocument/2006/relationships/hyperlink" Target="https://www.soccerstats.com/latest.asp?league=china" TargetMode="External"/><Relationship Id="rId490" Type="http://schemas.openxmlformats.org/officeDocument/2006/relationships/hyperlink" Target="https://www.soccerstats.com/latest.asp?league=norway2" TargetMode="External"/><Relationship Id="rId504" Type="http://schemas.openxmlformats.org/officeDocument/2006/relationships/hyperlink" Target="https://www.soccerstats.com/latest.asp?league=peru2" TargetMode="External"/><Relationship Id="rId711" Type="http://schemas.openxmlformats.org/officeDocument/2006/relationships/hyperlink" Target="https://www.soccerstats.com/latest.asp?league=canada" TargetMode="External"/><Relationship Id="rId78" Type="http://schemas.openxmlformats.org/officeDocument/2006/relationships/hyperlink" Target="https://www.soccerstats.com/latest.asp?league=france3" TargetMode="External"/><Relationship Id="rId143" Type="http://schemas.openxmlformats.org/officeDocument/2006/relationships/hyperlink" Target="https://www.soccerstats.com/latest.asp?league=netherlands" TargetMode="External"/><Relationship Id="rId350" Type="http://schemas.openxmlformats.org/officeDocument/2006/relationships/hyperlink" Target="https://www.soccerstats.com/latest.asp?league=england9" TargetMode="External"/><Relationship Id="rId588" Type="http://schemas.openxmlformats.org/officeDocument/2006/relationships/hyperlink" Target="https://www.soccerstats.com/latest.asp?league=turkey" TargetMode="External"/><Relationship Id="rId795" Type="http://schemas.openxmlformats.org/officeDocument/2006/relationships/hyperlink" Target="https://www.soccerstats.com/latest.asp?league=lithuania" TargetMode="External"/><Relationship Id="rId809" Type="http://schemas.openxmlformats.org/officeDocument/2006/relationships/hyperlink" Target="https://www.soccerstats.com/latest.asp?league=norway" TargetMode="External"/><Relationship Id="rId9" Type="http://schemas.openxmlformats.org/officeDocument/2006/relationships/hyperlink" Target="https://www.soccerstats.com/latest.asp?league=france2" TargetMode="External"/><Relationship Id="rId210" Type="http://schemas.openxmlformats.org/officeDocument/2006/relationships/hyperlink" Target="https://www.soccerstats.com/latest.asp?league=argentina3" TargetMode="External"/><Relationship Id="rId448" Type="http://schemas.openxmlformats.org/officeDocument/2006/relationships/hyperlink" Target="https://www.soccerstats.com/latest.asp?league=japan2" TargetMode="External"/><Relationship Id="rId655" Type="http://schemas.openxmlformats.org/officeDocument/2006/relationships/hyperlink" Target="https://www.soccerstats.com/latest.asp?league=argentina3" TargetMode="External"/><Relationship Id="rId862" Type="http://schemas.openxmlformats.org/officeDocument/2006/relationships/hyperlink" Target="https://www.soccerstats.com/latest.asp?league=southkorea2" TargetMode="External"/><Relationship Id="rId294" Type="http://schemas.openxmlformats.org/officeDocument/2006/relationships/hyperlink" Target="https://www.soccerstats.com/latest.asp?league=czechrepublic" TargetMode="External"/><Relationship Id="rId308" Type="http://schemas.openxmlformats.org/officeDocument/2006/relationships/hyperlink" Target="https://www.soccerstats.com/latest.asp?league=denmark3" TargetMode="External"/><Relationship Id="rId515" Type="http://schemas.openxmlformats.org/officeDocument/2006/relationships/hyperlink" Target="https://www.soccerstats.com/latest.asp?league=poland2" TargetMode="External"/><Relationship Id="rId722" Type="http://schemas.openxmlformats.org/officeDocument/2006/relationships/hyperlink" Target="https://www.soccerstats.com/latest.asp?league=china2" TargetMode="External"/><Relationship Id="rId89" Type="http://schemas.openxmlformats.org/officeDocument/2006/relationships/hyperlink" Target="https://www.soccerstats.com/latest.asp?league=germany5" TargetMode="External"/><Relationship Id="rId154" Type="http://schemas.openxmlformats.org/officeDocument/2006/relationships/hyperlink" Target="https://www.soccerstats.com/latest.asp?league=england2" TargetMode="External"/><Relationship Id="rId361" Type="http://schemas.openxmlformats.org/officeDocument/2006/relationships/hyperlink" Target="https://www.soccerstats.com/latest.asp?league=england10" TargetMode="External"/><Relationship Id="rId599" Type="http://schemas.openxmlformats.org/officeDocument/2006/relationships/hyperlink" Target="https://www.soccerstats.com/latest.asp?league=uruguay3" TargetMode="External"/><Relationship Id="rId459" Type="http://schemas.openxmlformats.org/officeDocument/2006/relationships/hyperlink" Target="https://www.soccerstats.com/latest.asp?league=kazakhstan" TargetMode="External"/><Relationship Id="rId666" Type="http://schemas.openxmlformats.org/officeDocument/2006/relationships/hyperlink" Target="https://www.soccerstats.com/latest.asp?league=australia10" TargetMode="External"/><Relationship Id="rId873" Type="http://schemas.openxmlformats.org/officeDocument/2006/relationships/hyperlink" Target="https://www.soccerstats.com/latest.asp?league=sweden4" TargetMode="External"/><Relationship Id="rId16" Type="http://schemas.openxmlformats.org/officeDocument/2006/relationships/hyperlink" Target="https://www.soccerstats.com/latest.asp?league=netherlands2" TargetMode="External"/><Relationship Id="rId221" Type="http://schemas.openxmlformats.org/officeDocument/2006/relationships/hyperlink" Target="https://www.soccerstats.com/latest.asp?league=australia5" TargetMode="External"/><Relationship Id="rId319" Type="http://schemas.openxmlformats.org/officeDocument/2006/relationships/hyperlink" Target="https://www.soccerstats.com/latest.asp?league=england6" TargetMode="External"/><Relationship Id="rId526" Type="http://schemas.openxmlformats.org/officeDocument/2006/relationships/hyperlink" Target="https://www.soccerstats.com/latest.asp?league=romania" TargetMode="External"/><Relationship Id="rId733" Type="http://schemas.openxmlformats.org/officeDocument/2006/relationships/hyperlink" Target="https://www.soccerstats.com/latest.asp?league=denmark" TargetMode="External"/><Relationship Id="rId165" Type="http://schemas.openxmlformats.org/officeDocument/2006/relationships/hyperlink" Target="https://www.soccerstats.com/latest.asp?league=england3" TargetMode="External"/><Relationship Id="rId372" Type="http://schemas.openxmlformats.org/officeDocument/2006/relationships/hyperlink" Target="https://www.soccerstats.com/latest.asp?league=finland" TargetMode="External"/><Relationship Id="rId677" Type="http://schemas.openxmlformats.org/officeDocument/2006/relationships/hyperlink" Target="https://www.soccerstats.com/latest.asp?league=belarus" TargetMode="External"/><Relationship Id="rId800" Type="http://schemas.openxmlformats.org/officeDocument/2006/relationships/hyperlink" Target="https://www.soccerstats.com/latest.asp?league=moldova" TargetMode="External"/><Relationship Id="rId232" Type="http://schemas.openxmlformats.org/officeDocument/2006/relationships/hyperlink" Target="https://www.soccerstats.com/latest.asp?league=australia10" TargetMode="External"/><Relationship Id="rId884" Type="http://schemas.openxmlformats.org/officeDocument/2006/relationships/hyperlink" Target="https://www.soccerstats.com/latest.asp?league=ukraine" TargetMode="External"/><Relationship Id="rId27" Type="http://schemas.openxmlformats.org/officeDocument/2006/relationships/hyperlink" Target="https://www.soccerstats.com/latest.asp?league=australia3" TargetMode="External"/><Relationship Id="rId537" Type="http://schemas.openxmlformats.org/officeDocument/2006/relationships/hyperlink" Target="https://www.soccerstats.com/latest.asp?league=scotland3" TargetMode="External"/><Relationship Id="rId744" Type="http://schemas.openxmlformats.org/officeDocument/2006/relationships/hyperlink" Target="https://www.soccerstats.com/latest.asp?league=faroeislands" TargetMode="External"/><Relationship Id="rId80" Type="http://schemas.openxmlformats.org/officeDocument/2006/relationships/hyperlink" Target="https://www.soccerstats.com/latest.asp?league=france3" TargetMode="External"/><Relationship Id="rId176" Type="http://schemas.openxmlformats.org/officeDocument/2006/relationships/hyperlink" Target="https://www.soccerstats.com/latest.asp?league=england4" TargetMode="External"/><Relationship Id="rId383" Type="http://schemas.openxmlformats.org/officeDocument/2006/relationships/hyperlink" Target="https://www.soccerstats.com/latest.asp?league=finland5" TargetMode="External"/><Relationship Id="rId590" Type="http://schemas.openxmlformats.org/officeDocument/2006/relationships/hyperlink" Target="https://www.soccerstats.com/latest.asp?league=turkey2" TargetMode="External"/><Relationship Id="rId604" Type="http://schemas.openxmlformats.org/officeDocument/2006/relationships/hyperlink" Target="https://www.soccerstats.com/latest.asp?league=usa" TargetMode="External"/><Relationship Id="rId811" Type="http://schemas.openxmlformats.org/officeDocument/2006/relationships/hyperlink" Target="https://www.soccerstats.com/latest.asp?league=norway2" TargetMode="External"/><Relationship Id="rId243" Type="http://schemas.openxmlformats.org/officeDocument/2006/relationships/hyperlink" Target="https://www.soccerstats.com/latest.asp?league=austria2" TargetMode="External"/><Relationship Id="rId450" Type="http://schemas.openxmlformats.org/officeDocument/2006/relationships/hyperlink" Target="https://www.soccerstats.com/latest.asp?league=japan2" TargetMode="External"/><Relationship Id="rId688" Type="http://schemas.openxmlformats.org/officeDocument/2006/relationships/hyperlink" Target="https://www.soccerstats.com/latest.asp?league=brazil" TargetMode="External"/><Relationship Id="rId895" Type="http://schemas.openxmlformats.org/officeDocument/2006/relationships/hyperlink" Target="https://www.soccerstats.com/latest.asp?league=usa" TargetMode="External"/><Relationship Id="rId909" Type="http://schemas.openxmlformats.org/officeDocument/2006/relationships/hyperlink" Target="https://www.soccerstats.com/latest.asp?league=usa6" TargetMode="External"/><Relationship Id="rId38" Type="http://schemas.openxmlformats.org/officeDocument/2006/relationships/hyperlink" Target="https://www.soccerstats.com/latest.asp?league=austria2" TargetMode="External"/><Relationship Id="rId103" Type="http://schemas.openxmlformats.org/officeDocument/2006/relationships/hyperlink" Target="https://www.soccerstats.com/latest.asp?league=germany8" TargetMode="External"/><Relationship Id="rId310" Type="http://schemas.openxmlformats.org/officeDocument/2006/relationships/hyperlink" Target="https://www.soccerstats.com/latest.asp?league=ecuador" TargetMode="External"/><Relationship Id="rId548" Type="http://schemas.openxmlformats.org/officeDocument/2006/relationships/hyperlink" Target="https://www.soccerstats.com/latest.asp?league=slovakia" TargetMode="External"/><Relationship Id="rId755" Type="http://schemas.openxmlformats.org/officeDocument/2006/relationships/hyperlink" Target="https://www.soccerstats.com/latest.asp?league=finland4" TargetMode="External"/><Relationship Id="rId91" Type="http://schemas.openxmlformats.org/officeDocument/2006/relationships/hyperlink" Target="https://www.soccerstats.com/latest.asp?league=germany6" TargetMode="External"/><Relationship Id="rId187" Type="http://schemas.openxmlformats.org/officeDocument/2006/relationships/hyperlink" Target="https://www.soccerstats.com/latest.asp?league=england5" TargetMode="External"/><Relationship Id="rId394" Type="http://schemas.openxmlformats.org/officeDocument/2006/relationships/hyperlink" Target="https://www.soccerstats.com/latest.asp?league=germany3" TargetMode="External"/><Relationship Id="rId408" Type="http://schemas.openxmlformats.org/officeDocument/2006/relationships/hyperlink" Target="https://www.soccerstats.com/latest.asp?league=germany6" TargetMode="External"/><Relationship Id="rId615" Type="http://schemas.openxmlformats.org/officeDocument/2006/relationships/hyperlink" Target="https://www.soccerstats.com/latest.asp?league=usa6" TargetMode="External"/><Relationship Id="rId822" Type="http://schemas.openxmlformats.org/officeDocument/2006/relationships/hyperlink" Target="https://www.soccerstats.com/latest.asp?league=norway4" TargetMode="External"/><Relationship Id="rId254" Type="http://schemas.openxmlformats.org/officeDocument/2006/relationships/hyperlink" Target="https://www.soccerstats.com/latest.asp?league=belgium" TargetMode="External"/><Relationship Id="rId699" Type="http://schemas.openxmlformats.org/officeDocument/2006/relationships/hyperlink" Target="https://www.soccerstats.com/latest.asp?league=brazil3" TargetMode="External"/><Relationship Id="rId49" Type="http://schemas.openxmlformats.org/officeDocument/2006/relationships/hyperlink" Target="https://www.soccerstats.com/latest.asp?league=brazil2" TargetMode="External"/><Relationship Id="rId114" Type="http://schemas.openxmlformats.org/officeDocument/2006/relationships/hyperlink" Target="https://www.soccerstats.com/latest.asp?league=poland3" TargetMode="External"/><Relationship Id="rId461" Type="http://schemas.openxmlformats.org/officeDocument/2006/relationships/hyperlink" Target="https://www.soccerstats.com/latest.asp?league=kazakhstan" TargetMode="External"/><Relationship Id="rId559" Type="http://schemas.openxmlformats.org/officeDocument/2006/relationships/hyperlink" Target="https://www.soccerstats.com/latest.asp?league=southkorea" TargetMode="External"/><Relationship Id="rId766" Type="http://schemas.openxmlformats.org/officeDocument/2006/relationships/hyperlink" Target="https://www.soccerstats.com/latest.asp?league=germany4" TargetMode="External"/><Relationship Id="rId198" Type="http://schemas.openxmlformats.org/officeDocument/2006/relationships/hyperlink" Target="https://www.soccerstats.com/latest.asp?league=germany2" TargetMode="External"/><Relationship Id="rId321" Type="http://schemas.openxmlformats.org/officeDocument/2006/relationships/hyperlink" Target="https://www.soccerstats.com/latest.asp?league=england6" TargetMode="External"/><Relationship Id="rId419" Type="http://schemas.openxmlformats.org/officeDocument/2006/relationships/hyperlink" Target="https://www.soccerstats.com/latest.asp?league=hungary2" TargetMode="External"/><Relationship Id="rId626" Type="http://schemas.openxmlformats.org/officeDocument/2006/relationships/hyperlink" Target="https://www.soccerstats.com/latest.asp?league=spain" TargetMode="External"/><Relationship Id="rId833" Type="http://schemas.openxmlformats.org/officeDocument/2006/relationships/hyperlink" Target="https://www.soccerstats.com/latest.asp?league=poland2" TargetMode="External"/><Relationship Id="rId265" Type="http://schemas.openxmlformats.org/officeDocument/2006/relationships/hyperlink" Target="https://www.soccerstats.com/latest.asp?league=brazil3" TargetMode="External"/><Relationship Id="rId472" Type="http://schemas.openxmlformats.org/officeDocument/2006/relationships/hyperlink" Target="https://www.soccerstats.com/latest.asp?league=netherlands3" TargetMode="External"/><Relationship Id="rId900" Type="http://schemas.openxmlformats.org/officeDocument/2006/relationships/hyperlink" Target="https://www.soccerstats.com/latest.asp?league=usa2" TargetMode="External"/><Relationship Id="rId125" Type="http://schemas.openxmlformats.org/officeDocument/2006/relationships/hyperlink" Target="https://www.soccerstats.com/latest.asp?league=sweden" TargetMode="External"/><Relationship Id="rId332" Type="http://schemas.openxmlformats.org/officeDocument/2006/relationships/hyperlink" Target="https://www.soccerstats.com/latest.asp?league=england7" TargetMode="External"/><Relationship Id="rId777" Type="http://schemas.openxmlformats.org/officeDocument/2006/relationships/hyperlink" Target="https://www.soccerstats.com/latest.asp?league=hungary" TargetMode="External"/><Relationship Id="rId637" Type="http://schemas.openxmlformats.org/officeDocument/2006/relationships/hyperlink" Target="https://www.soccerstats.com/latest.asp?league=england2" TargetMode="External"/><Relationship Id="rId844" Type="http://schemas.openxmlformats.org/officeDocument/2006/relationships/hyperlink" Target="https://www.soccerstats.com/latest.asp?league=russia" TargetMode="External"/><Relationship Id="rId276" Type="http://schemas.openxmlformats.org/officeDocument/2006/relationships/hyperlink" Target="https://www.soccerstats.com/latest.asp?league=canada" TargetMode="External"/><Relationship Id="rId483" Type="http://schemas.openxmlformats.org/officeDocument/2006/relationships/hyperlink" Target="https://www.soccerstats.com/latest.asp?league=northmacedonia" TargetMode="External"/><Relationship Id="rId690" Type="http://schemas.openxmlformats.org/officeDocument/2006/relationships/hyperlink" Target="https://www.soccerstats.com/latest.asp?league=brazil" TargetMode="External"/><Relationship Id="rId704" Type="http://schemas.openxmlformats.org/officeDocument/2006/relationships/hyperlink" Target="https://www.soccerstats.com/latest.asp?league=bulgaria" TargetMode="External"/><Relationship Id="rId911" Type="http://schemas.openxmlformats.org/officeDocument/2006/relationships/printerSettings" Target="../printerSettings/printerSettings1.bin"/><Relationship Id="rId40" Type="http://schemas.openxmlformats.org/officeDocument/2006/relationships/hyperlink" Target="https://www.soccerstats.com/latest.asp?league=azerbaijan" TargetMode="External"/><Relationship Id="rId136" Type="http://schemas.openxmlformats.org/officeDocument/2006/relationships/hyperlink" Target="https://www.soccerstats.com/latest.asp?league=wales" TargetMode="External"/><Relationship Id="rId343" Type="http://schemas.openxmlformats.org/officeDocument/2006/relationships/hyperlink" Target="https://www.soccerstats.com/latest.asp?league=england8" TargetMode="External"/><Relationship Id="rId550" Type="http://schemas.openxmlformats.org/officeDocument/2006/relationships/hyperlink" Target="https://www.soccerstats.com/latest.asp?league=slovakia" TargetMode="External"/><Relationship Id="rId788" Type="http://schemas.openxmlformats.org/officeDocument/2006/relationships/hyperlink" Target="https://www.soccerstats.com/latest.asp?league=japan3" TargetMode="External"/><Relationship Id="rId203" Type="http://schemas.openxmlformats.org/officeDocument/2006/relationships/hyperlink" Target="https://www.soccerstats.com/latest.asp?league=argentina2" TargetMode="External"/><Relationship Id="rId648" Type="http://schemas.openxmlformats.org/officeDocument/2006/relationships/hyperlink" Target="https://www.soccerstats.com/latest.asp?league=argentina2" TargetMode="External"/><Relationship Id="rId855" Type="http://schemas.openxmlformats.org/officeDocument/2006/relationships/hyperlink" Target="https://www.soccerstats.com/latest.asp?league=southafrica" TargetMode="External"/><Relationship Id="rId287" Type="http://schemas.openxmlformats.org/officeDocument/2006/relationships/hyperlink" Target="https://www.soccerstats.com/latest.asp?league=china2" TargetMode="External"/><Relationship Id="rId410" Type="http://schemas.openxmlformats.org/officeDocument/2006/relationships/hyperlink" Target="https://www.soccerstats.com/latest.asp?league=germany7" TargetMode="External"/><Relationship Id="rId494" Type="http://schemas.openxmlformats.org/officeDocument/2006/relationships/hyperlink" Target="https://www.soccerstats.com/latest.asp?league=norway3" TargetMode="External"/><Relationship Id="rId508" Type="http://schemas.openxmlformats.org/officeDocument/2006/relationships/hyperlink" Target="https://www.soccerstats.com/latest.asp?league=peru2" TargetMode="External"/><Relationship Id="rId715" Type="http://schemas.openxmlformats.org/officeDocument/2006/relationships/hyperlink" Target="https://www.soccerstats.com/latest.asp?league=chile" TargetMode="External"/><Relationship Id="rId147" Type="http://schemas.openxmlformats.org/officeDocument/2006/relationships/hyperlink" Target="https://www.soccerstats.com/latest.asp?league=portugal" TargetMode="External"/><Relationship Id="rId354" Type="http://schemas.openxmlformats.org/officeDocument/2006/relationships/hyperlink" Target="https://www.soccerstats.com/latest.asp?league=england9" TargetMode="External"/><Relationship Id="rId799" Type="http://schemas.openxmlformats.org/officeDocument/2006/relationships/hyperlink" Target="https://www.soccerstats.com/latest.asp?league=mexico" TargetMode="External"/><Relationship Id="rId51" Type="http://schemas.openxmlformats.org/officeDocument/2006/relationships/hyperlink" Target="https://www.soccerstats.com/latest.asp?league=bulgaria" TargetMode="External"/><Relationship Id="rId561" Type="http://schemas.openxmlformats.org/officeDocument/2006/relationships/hyperlink" Target="https://www.soccerstats.com/latest.asp?league=southkorea2" TargetMode="External"/><Relationship Id="rId659" Type="http://schemas.openxmlformats.org/officeDocument/2006/relationships/hyperlink" Target="https://www.soccerstats.com/latest.asp?league=australia7" TargetMode="External"/><Relationship Id="rId866" Type="http://schemas.openxmlformats.org/officeDocument/2006/relationships/hyperlink" Target="https://www.soccerstats.com/latest.asp?league=sweden" TargetMode="External"/><Relationship Id="rId214" Type="http://schemas.openxmlformats.org/officeDocument/2006/relationships/hyperlink" Target="https://www.soccerstats.com/latest.asp?league=argentina3" TargetMode="External"/><Relationship Id="rId298" Type="http://schemas.openxmlformats.org/officeDocument/2006/relationships/hyperlink" Target="https://www.soccerstats.com/latest.asp?league=czechrepublic" TargetMode="External"/><Relationship Id="rId421" Type="http://schemas.openxmlformats.org/officeDocument/2006/relationships/hyperlink" Target="https://www.soccerstats.com/latest.asp?league=hungary2" TargetMode="External"/><Relationship Id="rId519" Type="http://schemas.openxmlformats.org/officeDocument/2006/relationships/hyperlink" Target="https://www.soccerstats.com/latest.asp?league=poland3" TargetMode="External"/><Relationship Id="rId158" Type="http://schemas.openxmlformats.org/officeDocument/2006/relationships/hyperlink" Target="https://www.soccerstats.com/latest.asp?league=england3" TargetMode="External"/><Relationship Id="rId726" Type="http://schemas.openxmlformats.org/officeDocument/2006/relationships/hyperlink" Target="https://www.soccerstats.com/latest.asp?league=costarica" TargetMode="External"/><Relationship Id="rId62" Type="http://schemas.openxmlformats.org/officeDocument/2006/relationships/hyperlink" Target="https://www.soccerstats.com/latest.asp?league=croatia" TargetMode="External"/><Relationship Id="rId365" Type="http://schemas.openxmlformats.org/officeDocument/2006/relationships/hyperlink" Target="https://www.soccerstats.com/latest.asp?league=england10" TargetMode="External"/><Relationship Id="rId572" Type="http://schemas.openxmlformats.org/officeDocument/2006/relationships/hyperlink" Target="https://www.soccerstats.com/latest.asp?league=sweden2" TargetMode="External"/><Relationship Id="rId225" Type="http://schemas.openxmlformats.org/officeDocument/2006/relationships/hyperlink" Target="https://www.soccerstats.com/latest.asp?league=australia5" TargetMode="External"/><Relationship Id="rId432" Type="http://schemas.openxmlformats.org/officeDocument/2006/relationships/hyperlink" Target="https://www.soccerstats.com/latest.asp?league=ireland3" TargetMode="External"/><Relationship Id="rId877" Type="http://schemas.openxmlformats.org/officeDocument/2006/relationships/hyperlink" Target="https://www.soccerstats.com/latest.asp?league=turkey" TargetMode="External"/><Relationship Id="rId737" Type="http://schemas.openxmlformats.org/officeDocument/2006/relationships/hyperlink" Target="https://www.soccerstats.com/latest.asp?league=ecuador" TargetMode="External"/><Relationship Id="rId73" Type="http://schemas.openxmlformats.org/officeDocument/2006/relationships/hyperlink" Target="https://www.soccerstats.com/latest.asp?league=england9" TargetMode="External"/><Relationship Id="rId169" Type="http://schemas.openxmlformats.org/officeDocument/2006/relationships/hyperlink" Target="https://www.soccerstats.com/latest.asp?league=england3" TargetMode="External"/><Relationship Id="rId376" Type="http://schemas.openxmlformats.org/officeDocument/2006/relationships/hyperlink" Target="https://www.soccerstats.com/latest.asp?league=finland3" TargetMode="External"/><Relationship Id="rId583" Type="http://schemas.openxmlformats.org/officeDocument/2006/relationships/hyperlink" Target="https://www.soccerstats.com/latest.asp?league=sweden11" TargetMode="External"/><Relationship Id="rId790" Type="http://schemas.openxmlformats.org/officeDocument/2006/relationships/hyperlink" Target="https://www.soccerstats.com/latest.asp?league=kazakhstan" TargetMode="External"/><Relationship Id="rId804" Type="http://schemas.openxmlformats.org/officeDocument/2006/relationships/hyperlink" Target="https://www.soccerstats.com/latest.asp?league=montenegro" TargetMode="External"/><Relationship Id="rId4" Type="http://schemas.openxmlformats.org/officeDocument/2006/relationships/hyperlink" Target="https://www.soccerstats.com/latest.asp?league=spain2" TargetMode="External"/><Relationship Id="rId236" Type="http://schemas.openxmlformats.org/officeDocument/2006/relationships/hyperlink" Target="https://www.soccerstats.com/latest.asp?league=australia11" TargetMode="External"/><Relationship Id="rId443" Type="http://schemas.openxmlformats.org/officeDocument/2006/relationships/hyperlink" Target="https://www.soccerstats.com/latest.asp?league=japan" TargetMode="External"/><Relationship Id="rId650" Type="http://schemas.openxmlformats.org/officeDocument/2006/relationships/hyperlink" Target="https://www.soccerstats.com/latest.asp?league=argentina3" TargetMode="External"/><Relationship Id="rId888" Type="http://schemas.openxmlformats.org/officeDocument/2006/relationships/hyperlink" Target="https://www.soccerstats.com/latest.asp?league=uruguay3" TargetMode="External"/><Relationship Id="rId303" Type="http://schemas.openxmlformats.org/officeDocument/2006/relationships/hyperlink" Target="https://www.soccerstats.com/latest.asp?league=czechrepublic2" TargetMode="External"/><Relationship Id="rId748" Type="http://schemas.openxmlformats.org/officeDocument/2006/relationships/hyperlink" Target="https://www.soccerstats.com/latest.asp?league=finland" TargetMode="External"/><Relationship Id="rId84" Type="http://schemas.openxmlformats.org/officeDocument/2006/relationships/hyperlink" Target="https://www.soccerstats.com/latest.asp?league=france3" TargetMode="External"/><Relationship Id="rId387" Type="http://schemas.openxmlformats.org/officeDocument/2006/relationships/hyperlink" Target="https://www.soccerstats.com/latest.asp?league=finland6" TargetMode="External"/><Relationship Id="rId510" Type="http://schemas.openxmlformats.org/officeDocument/2006/relationships/hyperlink" Target="https://www.soccerstats.com/latest.asp?league=peru2" TargetMode="External"/><Relationship Id="rId594" Type="http://schemas.openxmlformats.org/officeDocument/2006/relationships/hyperlink" Target="https://www.soccerstats.com/latest.asp?league=ukraine" TargetMode="External"/><Relationship Id="rId608" Type="http://schemas.openxmlformats.org/officeDocument/2006/relationships/hyperlink" Target="https://www.soccerstats.com/latest.asp?league=usa2" TargetMode="External"/><Relationship Id="rId815" Type="http://schemas.openxmlformats.org/officeDocument/2006/relationships/hyperlink" Target="https://www.soccerstats.com/latest.asp?league=norway3" TargetMode="External"/><Relationship Id="rId247" Type="http://schemas.openxmlformats.org/officeDocument/2006/relationships/hyperlink" Target="https://www.soccerstats.com/latest.asp?league=azerbaijan" TargetMode="External"/><Relationship Id="rId899" Type="http://schemas.openxmlformats.org/officeDocument/2006/relationships/hyperlink" Target="https://www.soccerstats.com/latest.asp?league=usa2" TargetMode="External"/><Relationship Id="rId107" Type="http://schemas.openxmlformats.org/officeDocument/2006/relationships/hyperlink" Target="https://www.soccerstats.com/latest.asp?league=japan" TargetMode="External"/><Relationship Id="rId454" Type="http://schemas.openxmlformats.org/officeDocument/2006/relationships/hyperlink" Target="https://www.soccerstats.com/latest.asp?league=japan3" TargetMode="External"/><Relationship Id="rId661" Type="http://schemas.openxmlformats.org/officeDocument/2006/relationships/hyperlink" Target="https://www.soccerstats.com/latest.asp?league=australia7" TargetMode="External"/><Relationship Id="rId759" Type="http://schemas.openxmlformats.org/officeDocument/2006/relationships/hyperlink" Target="https://www.soccerstats.com/latest.asp?league=georgia" TargetMode="External"/><Relationship Id="rId11" Type="http://schemas.openxmlformats.org/officeDocument/2006/relationships/hyperlink" Target="https://www.soccerstats.com/latest.asp?league=france2" TargetMode="External"/><Relationship Id="rId314" Type="http://schemas.openxmlformats.org/officeDocument/2006/relationships/hyperlink" Target="https://www.soccerstats.com/latest.asp?league=england6" TargetMode="External"/><Relationship Id="rId398" Type="http://schemas.openxmlformats.org/officeDocument/2006/relationships/hyperlink" Target="https://www.soccerstats.com/latest.asp?league=germany4" TargetMode="External"/><Relationship Id="rId521" Type="http://schemas.openxmlformats.org/officeDocument/2006/relationships/hyperlink" Target="https://www.soccerstats.com/latest.asp?league=poland3" TargetMode="External"/><Relationship Id="rId619" Type="http://schemas.openxmlformats.org/officeDocument/2006/relationships/hyperlink" Target="https://www.soccerstats.com/latest.asp?league=usa6" TargetMode="External"/><Relationship Id="rId95" Type="http://schemas.openxmlformats.org/officeDocument/2006/relationships/hyperlink" Target="https://www.soccerstats.com/latest.asp?league=germany7" TargetMode="External"/><Relationship Id="rId160" Type="http://schemas.openxmlformats.org/officeDocument/2006/relationships/hyperlink" Target="https://www.soccerstats.com/latest.asp?league=england3" TargetMode="External"/><Relationship Id="rId826" Type="http://schemas.openxmlformats.org/officeDocument/2006/relationships/hyperlink" Target="https://www.soccerstats.com/latest.asp?league=paraguay2" TargetMode="External"/><Relationship Id="rId258" Type="http://schemas.openxmlformats.org/officeDocument/2006/relationships/hyperlink" Target="https://www.soccerstats.com/latest.asp?league=brazil" TargetMode="External"/><Relationship Id="rId465" Type="http://schemas.openxmlformats.org/officeDocument/2006/relationships/hyperlink" Target="https://www.soccerstats.com/latest.asp?league=moldova" TargetMode="External"/><Relationship Id="rId672" Type="http://schemas.openxmlformats.org/officeDocument/2006/relationships/hyperlink" Target="https://www.soccerstats.com/latest.asp?league=austria" TargetMode="External"/><Relationship Id="rId22" Type="http://schemas.openxmlformats.org/officeDocument/2006/relationships/hyperlink" Target="https://www.soccerstats.com/latest.asp?league=argentina2" TargetMode="External"/><Relationship Id="rId118" Type="http://schemas.openxmlformats.org/officeDocument/2006/relationships/hyperlink" Target="https://www.soccerstats.com/latest.asp?league=russia" TargetMode="External"/><Relationship Id="rId325" Type="http://schemas.openxmlformats.org/officeDocument/2006/relationships/hyperlink" Target="https://www.soccerstats.com/latest.asp?league=england7" TargetMode="External"/><Relationship Id="rId532" Type="http://schemas.openxmlformats.org/officeDocument/2006/relationships/hyperlink" Target="https://www.soccerstats.com/latest.asp?league=saudiarabia" TargetMode="External"/><Relationship Id="rId171" Type="http://schemas.openxmlformats.org/officeDocument/2006/relationships/hyperlink" Target="https://www.soccerstats.com/latest.asp?league=england4" TargetMode="External"/><Relationship Id="rId837" Type="http://schemas.openxmlformats.org/officeDocument/2006/relationships/hyperlink" Target="https://www.soccerstats.com/latest.asp?league=poland3" TargetMode="External"/><Relationship Id="rId269" Type="http://schemas.openxmlformats.org/officeDocument/2006/relationships/hyperlink" Target="https://www.soccerstats.com/latest.asp?league=brazil5" TargetMode="External"/><Relationship Id="rId476" Type="http://schemas.openxmlformats.org/officeDocument/2006/relationships/hyperlink" Target="https://www.soccerstats.com/latest.asp?league=northernireland" TargetMode="External"/><Relationship Id="rId683" Type="http://schemas.openxmlformats.org/officeDocument/2006/relationships/hyperlink" Target="https://www.soccerstats.com/latest.asp?league=belgium2" TargetMode="External"/><Relationship Id="rId890" Type="http://schemas.openxmlformats.org/officeDocument/2006/relationships/hyperlink" Target="https://www.soccerstats.com/latest.asp?league=usa" TargetMode="External"/><Relationship Id="rId904" Type="http://schemas.openxmlformats.org/officeDocument/2006/relationships/hyperlink" Target="https://www.soccerstats.com/latest.asp?league=usa2" TargetMode="External"/><Relationship Id="rId33" Type="http://schemas.openxmlformats.org/officeDocument/2006/relationships/hyperlink" Target="https://www.soccerstats.com/latest.asp?league=australia4" TargetMode="External"/><Relationship Id="rId129" Type="http://schemas.openxmlformats.org/officeDocument/2006/relationships/hyperlink" Target="https://www.soccerstats.com/latest.asp?league=sweden4" TargetMode="External"/><Relationship Id="rId336" Type="http://schemas.openxmlformats.org/officeDocument/2006/relationships/hyperlink" Target="https://www.soccerstats.com/latest.asp?league=england8" TargetMode="External"/><Relationship Id="rId543" Type="http://schemas.openxmlformats.org/officeDocument/2006/relationships/hyperlink" Target="https://www.soccerstats.com/latest.asp?league=scotland4" TargetMode="External"/><Relationship Id="rId182" Type="http://schemas.openxmlformats.org/officeDocument/2006/relationships/hyperlink" Target="https://www.soccerstats.com/latest.asp?league=england5" TargetMode="External"/><Relationship Id="rId403" Type="http://schemas.openxmlformats.org/officeDocument/2006/relationships/hyperlink" Target="https://www.soccerstats.com/latest.asp?league=germany5" TargetMode="External"/><Relationship Id="rId750" Type="http://schemas.openxmlformats.org/officeDocument/2006/relationships/hyperlink" Target="https://www.soccerstats.com/latest.asp?league=finland" TargetMode="External"/><Relationship Id="rId848" Type="http://schemas.openxmlformats.org/officeDocument/2006/relationships/hyperlink" Target="https://www.soccerstats.com/latest.asp?league=serbia" TargetMode="External"/><Relationship Id="rId487" Type="http://schemas.openxmlformats.org/officeDocument/2006/relationships/hyperlink" Target="https://www.soccerstats.com/latest.asp?league=norway" TargetMode="External"/><Relationship Id="rId610" Type="http://schemas.openxmlformats.org/officeDocument/2006/relationships/hyperlink" Target="https://www.soccerstats.com/latest.asp?league=usa3" TargetMode="External"/><Relationship Id="rId694" Type="http://schemas.openxmlformats.org/officeDocument/2006/relationships/hyperlink" Target="https://www.soccerstats.com/latest.asp?league=brazil2" TargetMode="External"/><Relationship Id="rId708" Type="http://schemas.openxmlformats.org/officeDocument/2006/relationships/hyperlink" Target="https://www.soccerstats.com/latest.asp?league=bulgaria2" TargetMode="External"/><Relationship Id="rId347" Type="http://schemas.openxmlformats.org/officeDocument/2006/relationships/hyperlink" Target="https://www.soccerstats.com/latest.asp?league=england9" TargetMode="External"/><Relationship Id="rId44" Type="http://schemas.openxmlformats.org/officeDocument/2006/relationships/hyperlink" Target="https://www.soccerstats.com/latest.asp?league=belgium" TargetMode="External"/><Relationship Id="rId554" Type="http://schemas.openxmlformats.org/officeDocument/2006/relationships/hyperlink" Target="https://www.soccerstats.com/latest.asp?league=southafrica" TargetMode="External"/><Relationship Id="rId761" Type="http://schemas.openxmlformats.org/officeDocument/2006/relationships/hyperlink" Target="https://www.soccerstats.com/latest.asp?league=germany3" TargetMode="External"/><Relationship Id="rId859" Type="http://schemas.openxmlformats.org/officeDocument/2006/relationships/hyperlink" Target="https://www.soccerstats.com/latest.asp?league=southkorea" TargetMode="External"/><Relationship Id="rId193" Type="http://schemas.openxmlformats.org/officeDocument/2006/relationships/hyperlink" Target="https://www.soccerstats.com/latest.asp?league=england5" TargetMode="External"/><Relationship Id="rId207" Type="http://schemas.openxmlformats.org/officeDocument/2006/relationships/hyperlink" Target="https://www.soccerstats.com/latest.asp?league=argentina2" TargetMode="External"/><Relationship Id="rId414" Type="http://schemas.openxmlformats.org/officeDocument/2006/relationships/hyperlink" Target="https://www.soccerstats.com/latest.asp?league=guatemala" TargetMode="External"/><Relationship Id="rId498" Type="http://schemas.openxmlformats.org/officeDocument/2006/relationships/hyperlink" Target="https://www.soccerstats.com/latest.asp?league=norway11" TargetMode="External"/><Relationship Id="rId621" Type="http://schemas.openxmlformats.org/officeDocument/2006/relationships/hyperlink" Target="https://www.soccerstats.com/latest.asp?league=usa7" TargetMode="External"/><Relationship Id="rId260" Type="http://schemas.openxmlformats.org/officeDocument/2006/relationships/hyperlink" Target="https://www.soccerstats.com/latest.asp?league=brazil2" TargetMode="External"/><Relationship Id="rId719" Type="http://schemas.openxmlformats.org/officeDocument/2006/relationships/hyperlink" Target="https://www.soccerstats.com/latest.asp?league=china2" TargetMode="External"/><Relationship Id="rId55" Type="http://schemas.openxmlformats.org/officeDocument/2006/relationships/hyperlink" Target="https://www.soccerstats.com/latest.asp?league=chile2" TargetMode="External"/><Relationship Id="rId120" Type="http://schemas.openxmlformats.org/officeDocument/2006/relationships/hyperlink" Target="https://www.soccerstats.com/latest.asp?league=saudiarabia" TargetMode="External"/><Relationship Id="rId358" Type="http://schemas.openxmlformats.org/officeDocument/2006/relationships/hyperlink" Target="https://www.soccerstats.com/latest.asp?league=england10" TargetMode="External"/><Relationship Id="rId565" Type="http://schemas.openxmlformats.org/officeDocument/2006/relationships/hyperlink" Target="https://www.soccerstats.com/latest.asp?league=southkorea4" TargetMode="External"/><Relationship Id="rId772" Type="http://schemas.openxmlformats.org/officeDocument/2006/relationships/hyperlink" Target="https://www.soccerstats.com/latest.asp?league=germany7" TargetMode="External"/><Relationship Id="rId218" Type="http://schemas.openxmlformats.org/officeDocument/2006/relationships/hyperlink" Target="https://www.soccerstats.com/latest.asp?league=australia3" TargetMode="External"/><Relationship Id="rId425" Type="http://schemas.openxmlformats.org/officeDocument/2006/relationships/hyperlink" Target="https://www.soccerstats.com/latest.asp?league=iceland3" TargetMode="External"/><Relationship Id="rId632" Type="http://schemas.openxmlformats.org/officeDocument/2006/relationships/hyperlink" Target="https://www.soccerstats.com/latest.asp?league=portugal" TargetMode="External"/><Relationship Id="rId271" Type="http://schemas.openxmlformats.org/officeDocument/2006/relationships/hyperlink" Target="https://www.soccerstats.com/latest.asp?league=brazil5" TargetMode="External"/><Relationship Id="rId66" Type="http://schemas.openxmlformats.org/officeDocument/2006/relationships/hyperlink" Target="https://www.soccerstats.com/latest.asp?league=denmark2" TargetMode="External"/><Relationship Id="rId131" Type="http://schemas.openxmlformats.org/officeDocument/2006/relationships/hyperlink" Target="https://www.soccerstats.com/latest.asp?league=turkey" TargetMode="External"/><Relationship Id="rId369" Type="http://schemas.openxmlformats.org/officeDocument/2006/relationships/hyperlink" Target="https://www.soccerstats.com/latest.asp?league=estonia2" TargetMode="External"/><Relationship Id="rId576" Type="http://schemas.openxmlformats.org/officeDocument/2006/relationships/hyperlink" Target="https://www.soccerstats.com/latest.asp?league=sweden3" TargetMode="External"/><Relationship Id="rId783" Type="http://schemas.openxmlformats.org/officeDocument/2006/relationships/hyperlink" Target="https://www.soccerstats.com/latest.asp?league=iceland" TargetMode="External"/><Relationship Id="rId229" Type="http://schemas.openxmlformats.org/officeDocument/2006/relationships/hyperlink" Target="https://www.soccerstats.com/latest.asp?league=australia6" TargetMode="External"/><Relationship Id="rId436" Type="http://schemas.openxmlformats.org/officeDocument/2006/relationships/hyperlink" Target="https://www.soccerstats.com/latest.asp?league=japan" TargetMode="External"/><Relationship Id="rId643" Type="http://schemas.openxmlformats.org/officeDocument/2006/relationships/hyperlink" Target="https://www.soccerstats.com/latest.asp?league=germany2" TargetMode="External"/><Relationship Id="rId850" Type="http://schemas.openxmlformats.org/officeDocument/2006/relationships/hyperlink" Target="https://www.soccerstats.com/latest.asp?league=slovakia" TargetMode="External"/><Relationship Id="rId77" Type="http://schemas.openxmlformats.org/officeDocument/2006/relationships/hyperlink" Target="https://www.soccerstats.com/latest.asp?league=france3" TargetMode="External"/><Relationship Id="rId282" Type="http://schemas.openxmlformats.org/officeDocument/2006/relationships/hyperlink" Target="https://www.soccerstats.com/latest.asp?league=china" TargetMode="External"/><Relationship Id="rId503" Type="http://schemas.openxmlformats.org/officeDocument/2006/relationships/hyperlink" Target="https://www.soccerstats.com/latest.asp?league=peru2" TargetMode="External"/><Relationship Id="rId587" Type="http://schemas.openxmlformats.org/officeDocument/2006/relationships/hyperlink" Target="https://www.soccerstats.com/latest.asp?league=turkey" TargetMode="External"/><Relationship Id="rId710" Type="http://schemas.openxmlformats.org/officeDocument/2006/relationships/hyperlink" Target="https://www.soccerstats.com/latest.asp?league=canada" TargetMode="External"/><Relationship Id="rId808" Type="http://schemas.openxmlformats.org/officeDocument/2006/relationships/hyperlink" Target="https://www.soccerstats.com/latest.asp?league=norway" TargetMode="External"/><Relationship Id="rId8" Type="http://schemas.openxmlformats.org/officeDocument/2006/relationships/hyperlink" Target="https://www.soccerstats.com/latest.asp?league=france2" TargetMode="External"/><Relationship Id="rId142" Type="http://schemas.openxmlformats.org/officeDocument/2006/relationships/hyperlink" Target="https://www.soccerstats.com/latest.asp?league=spain" TargetMode="External"/><Relationship Id="rId447" Type="http://schemas.openxmlformats.org/officeDocument/2006/relationships/hyperlink" Target="https://www.soccerstats.com/latest.asp?league=japan2" TargetMode="External"/><Relationship Id="rId794" Type="http://schemas.openxmlformats.org/officeDocument/2006/relationships/hyperlink" Target="https://www.soccerstats.com/latest.asp?league=lithuania" TargetMode="External"/><Relationship Id="rId654" Type="http://schemas.openxmlformats.org/officeDocument/2006/relationships/hyperlink" Target="https://www.soccerstats.com/latest.asp?league=argentina3" TargetMode="External"/><Relationship Id="rId861" Type="http://schemas.openxmlformats.org/officeDocument/2006/relationships/hyperlink" Target="https://www.soccerstats.com/latest.asp?league=southkorea2" TargetMode="External"/><Relationship Id="rId293" Type="http://schemas.openxmlformats.org/officeDocument/2006/relationships/hyperlink" Target="https://www.soccerstats.com/latest.asp?league=czechrepublic" TargetMode="External"/><Relationship Id="rId307" Type="http://schemas.openxmlformats.org/officeDocument/2006/relationships/hyperlink" Target="https://www.soccerstats.com/latest.asp?league=denmark2" TargetMode="External"/><Relationship Id="rId514" Type="http://schemas.openxmlformats.org/officeDocument/2006/relationships/hyperlink" Target="https://www.soccerstats.com/latest.asp?league=poland" TargetMode="External"/><Relationship Id="rId721" Type="http://schemas.openxmlformats.org/officeDocument/2006/relationships/hyperlink" Target="https://www.soccerstats.com/latest.asp?league=china2" TargetMode="External"/><Relationship Id="rId88" Type="http://schemas.openxmlformats.org/officeDocument/2006/relationships/hyperlink" Target="https://www.soccerstats.com/latest.asp?league=germany5" TargetMode="External"/><Relationship Id="rId153" Type="http://schemas.openxmlformats.org/officeDocument/2006/relationships/hyperlink" Target="https://www.soccerstats.com/latest.asp?league=england2" TargetMode="External"/><Relationship Id="rId360" Type="http://schemas.openxmlformats.org/officeDocument/2006/relationships/hyperlink" Target="https://www.soccerstats.com/latest.asp?league=england10" TargetMode="External"/><Relationship Id="rId598" Type="http://schemas.openxmlformats.org/officeDocument/2006/relationships/hyperlink" Target="https://www.soccerstats.com/latest.asp?league=uruguay3" TargetMode="External"/><Relationship Id="rId819" Type="http://schemas.openxmlformats.org/officeDocument/2006/relationships/hyperlink" Target="https://www.soccerstats.com/latest.asp?league=norway4" TargetMode="External"/><Relationship Id="rId220" Type="http://schemas.openxmlformats.org/officeDocument/2006/relationships/hyperlink" Target="https://www.soccerstats.com/latest.asp?league=australia3" TargetMode="External"/><Relationship Id="rId458" Type="http://schemas.openxmlformats.org/officeDocument/2006/relationships/hyperlink" Target="https://www.soccerstats.com/latest.asp?league=japan3" TargetMode="External"/><Relationship Id="rId665" Type="http://schemas.openxmlformats.org/officeDocument/2006/relationships/hyperlink" Target="https://www.soccerstats.com/latest.asp?league=australia10" TargetMode="External"/><Relationship Id="rId872" Type="http://schemas.openxmlformats.org/officeDocument/2006/relationships/hyperlink" Target="https://www.soccerstats.com/latest.asp?league=sweden3" TargetMode="External"/><Relationship Id="rId15" Type="http://schemas.openxmlformats.org/officeDocument/2006/relationships/hyperlink" Target="https://www.soccerstats.com/latest.asp?league=germany2" TargetMode="External"/><Relationship Id="rId318" Type="http://schemas.openxmlformats.org/officeDocument/2006/relationships/hyperlink" Target="https://www.soccerstats.com/latest.asp?league=england6" TargetMode="External"/><Relationship Id="rId525" Type="http://schemas.openxmlformats.org/officeDocument/2006/relationships/hyperlink" Target="https://www.soccerstats.com/latest.asp?league=portugal2" TargetMode="External"/><Relationship Id="rId732" Type="http://schemas.openxmlformats.org/officeDocument/2006/relationships/hyperlink" Target="https://www.soccerstats.com/latest.asp?league=denmark" TargetMode="External"/><Relationship Id="rId99" Type="http://schemas.openxmlformats.org/officeDocument/2006/relationships/hyperlink" Target="https://www.soccerstats.com/latest.asp?league=germany8" TargetMode="External"/><Relationship Id="rId164" Type="http://schemas.openxmlformats.org/officeDocument/2006/relationships/hyperlink" Target="https://www.soccerstats.com/latest.asp?league=england3" TargetMode="External"/><Relationship Id="rId371" Type="http://schemas.openxmlformats.org/officeDocument/2006/relationships/hyperlink" Target="https://www.soccerstats.com/latest.asp?league=estonia2" TargetMode="External"/><Relationship Id="rId469" Type="http://schemas.openxmlformats.org/officeDocument/2006/relationships/hyperlink" Target="https://www.soccerstats.com/latest.asp?league=netherlands3" TargetMode="External"/><Relationship Id="rId676" Type="http://schemas.openxmlformats.org/officeDocument/2006/relationships/hyperlink" Target="https://www.soccerstats.com/latest.asp?league=belarus" TargetMode="External"/><Relationship Id="rId883" Type="http://schemas.openxmlformats.org/officeDocument/2006/relationships/hyperlink" Target="https://www.soccerstats.com/latest.asp?league=turkey2" TargetMode="External"/><Relationship Id="rId26" Type="http://schemas.openxmlformats.org/officeDocument/2006/relationships/hyperlink" Target="https://www.soccerstats.com/latest.asp?league=australia3" TargetMode="External"/><Relationship Id="rId231" Type="http://schemas.openxmlformats.org/officeDocument/2006/relationships/hyperlink" Target="https://www.soccerstats.com/latest.asp?league=australia6" TargetMode="External"/><Relationship Id="rId329" Type="http://schemas.openxmlformats.org/officeDocument/2006/relationships/hyperlink" Target="https://www.soccerstats.com/latest.asp?league=england7" TargetMode="External"/><Relationship Id="rId536" Type="http://schemas.openxmlformats.org/officeDocument/2006/relationships/hyperlink" Target="https://www.soccerstats.com/latest.asp?league=scotland3" TargetMode="External"/><Relationship Id="rId175" Type="http://schemas.openxmlformats.org/officeDocument/2006/relationships/hyperlink" Target="https://www.soccerstats.com/latest.asp?league=england4" TargetMode="External"/><Relationship Id="rId743" Type="http://schemas.openxmlformats.org/officeDocument/2006/relationships/hyperlink" Target="https://www.soccerstats.com/latest.asp?league=faroeislands" TargetMode="External"/><Relationship Id="rId382" Type="http://schemas.openxmlformats.org/officeDocument/2006/relationships/hyperlink" Target="https://www.soccerstats.com/latest.asp?league=finland5" TargetMode="External"/><Relationship Id="rId603" Type="http://schemas.openxmlformats.org/officeDocument/2006/relationships/hyperlink" Target="https://www.soccerstats.com/latest.asp?league=usa" TargetMode="External"/><Relationship Id="rId687" Type="http://schemas.openxmlformats.org/officeDocument/2006/relationships/hyperlink" Target="https://www.soccerstats.com/latest.asp?league=brazil" TargetMode="External"/><Relationship Id="rId810" Type="http://schemas.openxmlformats.org/officeDocument/2006/relationships/hyperlink" Target="https://www.soccerstats.com/latest.asp?league=norway2" TargetMode="External"/><Relationship Id="rId908" Type="http://schemas.openxmlformats.org/officeDocument/2006/relationships/hyperlink" Target="https://www.soccerstats.com/latest.asp?league=usa6" TargetMode="External"/><Relationship Id="rId242" Type="http://schemas.openxmlformats.org/officeDocument/2006/relationships/hyperlink" Target="https://www.soccerstats.com/latest.asp?league=austria2" TargetMode="External"/><Relationship Id="rId894" Type="http://schemas.openxmlformats.org/officeDocument/2006/relationships/hyperlink" Target="https://www.soccerstats.com/latest.asp?league=usa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occerstats.com/latest.asp?league=brazil" TargetMode="External"/><Relationship Id="rId18" Type="http://schemas.openxmlformats.org/officeDocument/2006/relationships/hyperlink" Target="https://www.soccerstats.com/latest.asp?league=brazil2" TargetMode="External"/><Relationship Id="rId26" Type="http://schemas.openxmlformats.org/officeDocument/2006/relationships/hyperlink" Target="https://www.soccerstats.com/latest.asp?league=china2" TargetMode="External"/><Relationship Id="rId39" Type="http://schemas.openxmlformats.org/officeDocument/2006/relationships/hyperlink" Target="https://www.soccerstats.com/latest.asp?league=norway" TargetMode="External"/><Relationship Id="rId21" Type="http://schemas.openxmlformats.org/officeDocument/2006/relationships/hyperlink" Target="https://www.soccerstats.com/latest.asp?league=china" TargetMode="External"/><Relationship Id="rId34" Type="http://schemas.openxmlformats.org/officeDocument/2006/relationships/hyperlink" Target="https://www.soccerstats.com/latest.asp?league=finland6" TargetMode="External"/><Relationship Id="rId42" Type="http://schemas.openxmlformats.org/officeDocument/2006/relationships/hyperlink" Target="https://www.soccerstats.com/latest.asp?league=sweden" TargetMode="External"/><Relationship Id="rId47" Type="http://schemas.openxmlformats.org/officeDocument/2006/relationships/hyperlink" Target="https://www.soccerstats.com/latest.asp?league=usa" TargetMode="External"/><Relationship Id="rId7" Type="http://schemas.openxmlformats.org/officeDocument/2006/relationships/hyperlink" Target="https://www.soccerstats.com/latest.asp?league=australia3" TargetMode="External"/><Relationship Id="rId2" Type="http://schemas.openxmlformats.org/officeDocument/2006/relationships/hyperlink" Target="https://www.soccerstats.com/latest.asp?league=argentina3" TargetMode="External"/><Relationship Id="rId16" Type="http://schemas.openxmlformats.org/officeDocument/2006/relationships/hyperlink" Target="https://www.soccerstats.com/latest.asp?league=brazil2" TargetMode="External"/><Relationship Id="rId29" Type="http://schemas.openxmlformats.org/officeDocument/2006/relationships/hyperlink" Target="https://www.soccerstats.com/latest.asp?league=ecuador" TargetMode="External"/><Relationship Id="rId1" Type="http://schemas.openxmlformats.org/officeDocument/2006/relationships/hyperlink" Target="https://www.soccerstats.com/latest.asp?league=argentina3" TargetMode="External"/><Relationship Id="rId6" Type="http://schemas.openxmlformats.org/officeDocument/2006/relationships/hyperlink" Target="https://www.soccerstats.com/latest.asp?league=australia3" TargetMode="External"/><Relationship Id="rId11" Type="http://schemas.openxmlformats.org/officeDocument/2006/relationships/hyperlink" Target="https://www.soccerstats.com/latest.asp?league=australia6" TargetMode="External"/><Relationship Id="rId24" Type="http://schemas.openxmlformats.org/officeDocument/2006/relationships/hyperlink" Target="https://www.soccerstats.com/latest.asp?league=china" TargetMode="External"/><Relationship Id="rId32" Type="http://schemas.openxmlformats.org/officeDocument/2006/relationships/hyperlink" Target="https://www.soccerstats.com/latest.asp?league=finland2" TargetMode="External"/><Relationship Id="rId37" Type="http://schemas.openxmlformats.org/officeDocument/2006/relationships/hyperlink" Target="https://www.soccerstats.com/latest.asp?league=iceland3" TargetMode="External"/><Relationship Id="rId40" Type="http://schemas.openxmlformats.org/officeDocument/2006/relationships/hyperlink" Target="https://www.soccerstats.com/latest.asp?league=southkorea4" TargetMode="External"/><Relationship Id="rId45" Type="http://schemas.openxmlformats.org/officeDocument/2006/relationships/hyperlink" Target="https://www.soccerstats.com/latest.asp?league=usa" TargetMode="External"/><Relationship Id="rId5" Type="http://schemas.openxmlformats.org/officeDocument/2006/relationships/hyperlink" Target="https://www.soccerstats.com/latest.asp?league=argentina3" TargetMode="External"/><Relationship Id="rId15" Type="http://schemas.openxmlformats.org/officeDocument/2006/relationships/hyperlink" Target="https://www.soccerstats.com/latest.asp?league=brazil" TargetMode="External"/><Relationship Id="rId23" Type="http://schemas.openxmlformats.org/officeDocument/2006/relationships/hyperlink" Target="https://www.soccerstats.com/latest.asp?league=china" TargetMode="External"/><Relationship Id="rId28" Type="http://schemas.openxmlformats.org/officeDocument/2006/relationships/hyperlink" Target="https://www.soccerstats.com/latest.asp?league=china2" TargetMode="External"/><Relationship Id="rId36" Type="http://schemas.openxmlformats.org/officeDocument/2006/relationships/hyperlink" Target="https://www.soccerstats.com/latest.asp?league=iceland3" TargetMode="External"/><Relationship Id="rId10" Type="http://schemas.openxmlformats.org/officeDocument/2006/relationships/hyperlink" Target="https://www.soccerstats.com/latest.asp?league=australia6" TargetMode="External"/><Relationship Id="rId19" Type="http://schemas.openxmlformats.org/officeDocument/2006/relationships/hyperlink" Target="https://www.soccerstats.com/latest.asp?league=canada" TargetMode="External"/><Relationship Id="rId31" Type="http://schemas.openxmlformats.org/officeDocument/2006/relationships/hyperlink" Target="https://www.soccerstats.com/latest.asp?league=finland2" TargetMode="External"/><Relationship Id="rId44" Type="http://schemas.openxmlformats.org/officeDocument/2006/relationships/hyperlink" Target="https://www.soccerstats.com/latest.asp?league=uruguay2" TargetMode="External"/><Relationship Id="rId4" Type="http://schemas.openxmlformats.org/officeDocument/2006/relationships/hyperlink" Target="https://www.soccerstats.com/latest.asp?league=argentina3" TargetMode="External"/><Relationship Id="rId9" Type="http://schemas.openxmlformats.org/officeDocument/2006/relationships/hyperlink" Target="https://www.soccerstats.com/latest.asp?league=australia5" TargetMode="External"/><Relationship Id="rId14" Type="http://schemas.openxmlformats.org/officeDocument/2006/relationships/hyperlink" Target="https://www.soccerstats.com/latest.asp?league=brazil" TargetMode="External"/><Relationship Id="rId22" Type="http://schemas.openxmlformats.org/officeDocument/2006/relationships/hyperlink" Target="https://www.soccerstats.com/latest.asp?league=china" TargetMode="External"/><Relationship Id="rId27" Type="http://schemas.openxmlformats.org/officeDocument/2006/relationships/hyperlink" Target="https://www.soccerstats.com/latest.asp?league=china2" TargetMode="External"/><Relationship Id="rId30" Type="http://schemas.openxmlformats.org/officeDocument/2006/relationships/hyperlink" Target="https://www.soccerstats.com/latest.asp?league=estonia" TargetMode="External"/><Relationship Id="rId35" Type="http://schemas.openxmlformats.org/officeDocument/2006/relationships/hyperlink" Target="https://www.soccerstats.com/latest.asp?league=iceland2" TargetMode="External"/><Relationship Id="rId43" Type="http://schemas.openxmlformats.org/officeDocument/2006/relationships/hyperlink" Target="https://www.soccerstats.com/latest.asp?league=uruguay2" TargetMode="External"/><Relationship Id="rId48" Type="http://schemas.openxmlformats.org/officeDocument/2006/relationships/printerSettings" Target="../printerSettings/printerSettings3.bin"/><Relationship Id="rId8" Type="http://schemas.openxmlformats.org/officeDocument/2006/relationships/hyperlink" Target="https://www.soccerstats.com/latest.asp?league=australia5" TargetMode="External"/><Relationship Id="rId3" Type="http://schemas.openxmlformats.org/officeDocument/2006/relationships/hyperlink" Target="https://www.soccerstats.com/latest.asp?league=argentina3" TargetMode="External"/><Relationship Id="rId12" Type="http://schemas.openxmlformats.org/officeDocument/2006/relationships/hyperlink" Target="https://www.soccerstats.com/latest.asp?league=australia11" TargetMode="External"/><Relationship Id="rId17" Type="http://schemas.openxmlformats.org/officeDocument/2006/relationships/hyperlink" Target="https://www.soccerstats.com/latest.asp?league=brazil2" TargetMode="External"/><Relationship Id="rId25" Type="http://schemas.openxmlformats.org/officeDocument/2006/relationships/hyperlink" Target="https://www.soccerstats.com/latest.asp?league=china2" TargetMode="External"/><Relationship Id="rId33" Type="http://schemas.openxmlformats.org/officeDocument/2006/relationships/hyperlink" Target="https://www.soccerstats.com/latest.asp?league=finland5" TargetMode="External"/><Relationship Id="rId38" Type="http://schemas.openxmlformats.org/officeDocument/2006/relationships/hyperlink" Target="https://www.soccerstats.com/latest.asp?league=iceland3" TargetMode="External"/><Relationship Id="rId46" Type="http://schemas.openxmlformats.org/officeDocument/2006/relationships/hyperlink" Target="https://www.soccerstats.com/latest.asp?league=usa" TargetMode="External"/><Relationship Id="rId20" Type="http://schemas.openxmlformats.org/officeDocument/2006/relationships/hyperlink" Target="https://www.soccerstats.com/latest.asp?league=canada" TargetMode="External"/><Relationship Id="rId41" Type="http://schemas.openxmlformats.org/officeDocument/2006/relationships/hyperlink" Target="https://www.soccerstats.com/latest.asp?league=sweden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911"/>
  <sheetViews>
    <sheetView showGridLines="0" tabSelected="1" topLeftCell="C615" workbookViewId="0">
      <selection activeCell="X626" sqref="X626:X911"/>
    </sheetView>
  </sheetViews>
  <sheetFormatPr defaultRowHeight="13.2" x14ac:dyDescent="0.25"/>
  <cols>
    <col min="24" max="24" width="10.5546875" bestFit="1" customWidth="1"/>
  </cols>
  <sheetData>
    <row r="1" spans="1:24" ht="13.8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3"/>
      <c r="L1" s="3"/>
      <c r="M1" s="3"/>
      <c r="N1" s="2" t="s">
        <v>9</v>
      </c>
      <c r="O1" s="2" t="s">
        <v>8</v>
      </c>
      <c r="P1" s="1" t="s">
        <v>7</v>
      </c>
      <c r="Q1" s="1" t="s">
        <v>6</v>
      </c>
      <c r="R1" s="1" t="s">
        <v>5</v>
      </c>
      <c r="S1" s="1" t="s">
        <v>4</v>
      </c>
      <c r="T1" s="1" t="s">
        <v>3</v>
      </c>
      <c r="U1" s="1" t="s">
        <v>2</v>
      </c>
      <c r="V1" s="1" t="s">
        <v>1</v>
      </c>
      <c r="W1" s="3"/>
      <c r="X1" s="16" t="s">
        <v>69</v>
      </c>
    </row>
    <row r="2" spans="1:24" ht="13.8" thickBot="1" x14ac:dyDescent="0.3">
      <c r="A2" s="4" t="s">
        <v>242</v>
      </c>
      <c r="B2" s="63"/>
      <c r="C2" s="63"/>
      <c r="D2" s="63"/>
      <c r="E2" s="63"/>
      <c r="F2" s="63"/>
      <c r="G2" s="63"/>
      <c r="H2" s="63"/>
      <c r="I2" s="64"/>
      <c r="J2" s="14" t="s">
        <v>10</v>
      </c>
      <c r="K2" s="5" t="s">
        <v>358</v>
      </c>
      <c r="L2" s="6">
        <v>0.66666666666666663</v>
      </c>
      <c r="M2" s="7" t="s">
        <v>359</v>
      </c>
      <c r="N2" s="14" t="s">
        <v>11</v>
      </c>
      <c r="O2" s="64"/>
      <c r="P2" s="63"/>
      <c r="Q2" s="63"/>
      <c r="R2" s="63"/>
      <c r="S2" s="63"/>
      <c r="T2" s="63"/>
      <c r="U2" s="63"/>
      <c r="V2" s="63"/>
      <c r="W2" s="17"/>
      <c r="X2" s="65">
        <v>46248</v>
      </c>
    </row>
    <row r="3" spans="1:24" ht="13.8" thickBot="1" x14ac:dyDescent="0.3">
      <c r="A3" s="4" t="s">
        <v>243</v>
      </c>
      <c r="B3" s="63"/>
      <c r="C3" s="63"/>
      <c r="D3" s="63"/>
      <c r="E3" s="63"/>
      <c r="F3" s="63"/>
      <c r="G3" s="63"/>
      <c r="H3" s="63"/>
      <c r="I3" s="64"/>
      <c r="J3" s="14" t="s">
        <v>10</v>
      </c>
      <c r="K3" s="5" t="s">
        <v>360</v>
      </c>
      <c r="L3" s="6">
        <v>0.71875</v>
      </c>
      <c r="M3" s="7" t="s">
        <v>361</v>
      </c>
      <c r="N3" s="14" t="s">
        <v>11</v>
      </c>
      <c r="O3" s="64"/>
      <c r="P3" s="63"/>
      <c r="Q3" s="63"/>
      <c r="R3" s="63"/>
      <c r="S3" s="63"/>
      <c r="T3" s="63"/>
      <c r="U3" s="63"/>
      <c r="V3" s="63"/>
      <c r="W3" s="17"/>
      <c r="X3" s="65">
        <v>46248</v>
      </c>
    </row>
    <row r="4" spans="1:24" ht="19.8" thickBot="1" x14ac:dyDescent="0.3">
      <c r="A4" s="4" t="s">
        <v>244</v>
      </c>
      <c r="B4" s="63"/>
      <c r="C4" s="63"/>
      <c r="D4" s="63"/>
      <c r="E4" s="63"/>
      <c r="F4" s="63"/>
      <c r="G4" s="63"/>
      <c r="H4" s="63"/>
      <c r="I4" s="64"/>
      <c r="J4" s="14" t="s">
        <v>10</v>
      </c>
      <c r="K4" s="5" t="s">
        <v>362</v>
      </c>
      <c r="L4" s="6">
        <v>0.70833333333333337</v>
      </c>
      <c r="M4" s="7" t="s">
        <v>363</v>
      </c>
      <c r="N4" s="14" t="s">
        <v>11</v>
      </c>
      <c r="O4" s="64"/>
      <c r="P4" s="63"/>
      <c r="Q4" s="63"/>
      <c r="R4" s="63"/>
      <c r="S4" s="63"/>
      <c r="T4" s="63"/>
      <c r="U4" s="63"/>
      <c r="V4" s="63"/>
      <c r="W4" s="17"/>
      <c r="X4" s="65">
        <v>46248</v>
      </c>
    </row>
    <row r="5" spans="1:24" ht="19.8" thickBot="1" x14ac:dyDescent="0.3">
      <c r="A5" s="4" t="s">
        <v>245</v>
      </c>
      <c r="B5" s="63"/>
      <c r="C5" s="63"/>
      <c r="D5" s="63"/>
      <c r="E5" s="63"/>
      <c r="F5" s="63"/>
      <c r="G5" s="63"/>
      <c r="H5" s="63"/>
      <c r="I5" s="64"/>
      <c r="J5" s="14" t="s">
        <v>10</v>
      </c>
      <c r="K5" s="5" t="s">
        <v>364</v>
      </c>
      <c r="L5" s="6">
        <v>0.6875</v>
      </c>
      <c r="M5" s="7" t="s">
        <v>365</v>
      </c>
      <c r="N5" s="14" t="s">
        <v>11</v>
      </c>
      <c r="O5" s="64"/>
      <c r="P5" s="63"/>
      <c r="Q5" s="63"/>
      <c r="R5" s="63"/>
      <c r="S5" s="63"/>
      <c r="T5" s="63"/>
      <c r="U5" s="63"/>
      <c r="V5" s="63"/>
      <c r="W5" s="17"/>
      <c r="X5" s="65">
        <v>46248</v>
      </c>
    </row>
    <row r="6" spans="1:24" ht="19.8" thickBot="1" x14ac:dyDescent="0.3">
      <c r="A6" s="4" t="s">
        <v>366</v>
      </c>
      <c r="B6" s="63"/>
      <c r="C6" s="63"/>
      <c r="D6" s="63"/>
      <c r="E6" s="63"/>
      <c r="F6" s="63"/>
      <c r="G6" s="63"/>
      <c r="H6" s="63"/>
      <c r="I6" s="64"/>
      <c r="J6" s="14" t="s">
        <v>10</v>
      </c>
      <c r="K6" s="5" t="s">
        <v>367</v>
      </c>
      <c r="L6" s="6">
        <v>0.69791666666666663</v>
      </c>
      <c r="M6" s="7" t="s">
        <v>368</v>
      </c>
      <c r="N6" s="14" t="s">
        <v>11</v>
      </c>
      <c r="O6" s="64"/>
      <c r="P6" s="63"/>
      <c r="Q6" s="63"/>
      <c r="R6" s="63"/>
      <c r="S6" s="63"/>
      <c r="T6" s="63"/>
      <c r="U6" s="63"/>
      <c r="V6" s="63"/>
      <c r="W6" s="17"/>
      <c r="X6" s="65">
        <v>46248</v>
      </c>
    </row>
    <row r="7" spans="1:24" ht="13.8" thickBot="1" x14ac:dyDescent="0.3">
      <c r="A7" s="4" t="s">
        <v>366</v>
      </c>
      <c r="B7" s="63"/>
      <c r="C7" s="63"/>
      <c r="D7" s="63"/>
      <c r="E7" s="63"/>
      <c r="F7" s="63"/>
      <c r="G7" s="63"/>
      <c r="H7" s="63"/>
      <c r="I7" s="64"/>
      <c r="J7" s="14" t="s">
        <v>10</v>
      </c>
      <c r="K7" s="5" t="s">
        <v>369</v>
      </c>
      <c r="L7" s="6">
        <v>0.69791666666666663</v>
      </c>
      <c r="M7" s="7" t="s">
        <v>370</v>
      </c>
      <c r="N7" s="14" t="s">
        <v>11</v>
      </c>
      <c r="O7" s="64"/>
      <c r="P7" s="63"/>
      <c r="Q7" s="63"/>
      <c r="R7" s="63"/>
      <c r="S7" s="63"/>
      <c r="T7" s="63"/>
      <c r="U7" s="63"/>
      <c r="V7" s="63"/>
      <c r="W7" s="17"/>
      <c r="X7" s="65">
        <v>46248</v>
      </c>
    </row>
    <row r="8" spans="1:24" ht="13.8" thickBot="1" x14ac:dyDescent="0.3">
      <c r="A8" s="4" t="s">
        <v>366</v>
      </c>
      <c r="B8" s="63"/>
      <c r="C8" s="63"/>
      <c r="D8" s="63"/>
      <c r="E8" s="63"/>
      <c r="F8" s="63"/>
      <c r="G8" s="63"/>
      <c r="H8" s="63"/>
      <c r="I8" s="64"/>
      <c r="J8" s="14" t="s">
        <v>10</v>
      </c>
      <c r="K8" s="5" t="s">
        <v>371</v>
      </c>
      <c r="L8" s="6">
        <v>0.69791666666666663</v>
      </c>
      <c r="M8" s="7" t="s">
        <v>372</v>
      </c>
      <c r="N8" s="14" t="s">
        <v>11</v>
      </c>
      <c r="O8" s="64"/>
      <c r="P8" s="63"/>
      <c r="Q8" s="63"/>
      <c r="R8" s="63"/>
      <c r="S8" s="63"/>
      <c r="T8" s="63"/>
      <c r="U8" s="63"/>
      <c r="V8" s="63"/>
      <c r="W8" s="17"/>
      <c r="X8" s="65">
        <v>46248</v>
      </c>
    </row>
    <row r="9" spans="1:24" ht="13.8" thickBot="1" x14ac:dyDescent="0.3">
      <c r="A9" s="4" t="s">
        <v>366</v>
      </c>
      <c r="B9" s="63"/>
      <c r="C9" s="63"/>
      <c r="D9" s="63"/>
      <c r="E9" s="63"/>
      <c r="F9" s="63"/>
      <c r="G9" s="63"/>
      <c r="H9" s="63"/>
      <c r="I9" s="64"/>
      <c r="J9" s="14" t="s">
        <v>10</v>
      </c>
      <c r="K9" s="5" t="s">
        <v>373</v>
      </c>
      <c r="L9" s="6">
        <v>0.69791666666666663</v>
      </c>
      <c r="M9" s="7" t="s">
        <v>374</v>
      </c>
      <c r="N9" s="14" t="s">
        <v>11</v>
      </c>
      <c r="O9" s="64"/>
      <c r="P9" s="63"/>
      <c r="Q9" s="63"/>
      <c r="R9" s="63"/>
      <c r="S9" s="63"/>
      <c r="T9" s="63"/>
      <c r="U9" s="63"/>
      <c r="V9" s="63"/>
      <c r="W9" s="17"/>
      <c r="X9" s="65">
        <v>46248</v>
      </c>
    </row>
    <row r="10" spans="1:24" ht="13.8" thickBot="1" x14ac:dyDescent="0.3">
      <c r="A10" s="4" t="s">
        <v>366</v>
      </c>
      <c r="B10" s="63"/>
      <c r="C10" s="63"/>
      <c r="D10" s="63"/>
      <c r="E10" s="63"/>
      <c r="F10" s="63"/>
      <c r="G10" s="63"/>
      <c r="H10" s="63"/>
      <c r="I10" s="64"/>
      <c r="J10" s="14" t="s">
        <v>10</v>
      </c>
      <c r="K10" s="5" t="s">
        <v>375</v>
      </c>
      <c r="L10" s="6">
        <v>0.69791666666666663</v>
      </c>
      <c r="M10" s="7" t="s">
        <v>376</v>
      </c>
      <c r="N10" s="14" t="s">
        <v>11</v>
      </c>
      <c r="O10" s="64"/>
      <c r="P10" s="63"/>
      <c r="Q10" s="63"/>
      <c r="R10" s="63"/>
      <c r="S10" s="63"/>
      <c r="T10" s="63"/>
      <c r="U10" s="63"/>
      <c r="V10" s="63"/>
      <c r="W10" s="17"/>
      <c r="X10" s="65">
        <v>46248</v>
      </c>
    </row>
    <row r="11" spans="1:24" ht="13.8" thickBot="1" x14ac:dyDescent="0.3">
      <c r="A11" s="4" t="s">
        <v>366</v>
      </c>
      <c r="B11" s="63"/>
      <c r="C11" s="63"/>
      <c r="D11" s="63"/>
      <c r="E11" s="63"/>
      <c r="F11" s="63"/>
      <c r="G11" s="63"/>
      <c r="H11" s="63"/>
      <c r="I11" s="64"/>
      <c r="J11" s="14" t="s">
        <v>10</v>
      </c>
      <c r="K11" s="5" t="s">
        <v>377</v>
      </c>
      <c r="L11" s="6">
        <v>0.69791666666666663</v>
      </c>
      <c r="M11" s="7" t="s">
        <v>378</v>
      </c>
      <c r="N11" s="14" t="s">
        <v>11</v>
      </c>
      <c r="O11" s="64"/>
      <c r="P11" s="63"/>
      <c r="Q11" s="63"/>
      <c r="R11" s="63"/>
      <c r="S11" s="63"/>
      <c r="T11" s="63"/>
      <c r="U11" s="63"/>
      <c r="V11" s="63"/>
      <c r="W11" s="17"/>
      <c r="X11" s="65">
        <v>46248</v>
      </c>
    </row>
    <row r="12" spans="1:24" ht="13.8" thickBot="1" x14ac:dyDescent="0.3">
      <c r="A12" s="4" t="s">
        <v>366</v>
      </c>
      <c r="B12" s="63"/>
      <c r="C12" s="63"/>
      <c r="D12" s="63"/>
      <c r="E12" s="63"/>
      <c r="F12" s="63"/>
      <c r="G12" s="63"/>
      <c r="H12" s="63"/>
      <c r="I12" s="64"/>
      <c r="J12" s="14" t="s">
        <v>10</v>
      </c>
      <c r="K12" s="5" t="s">
        <v>379</v>
      </c>
      <c r="L12" s="6">
        <v>0.69791666666666663</v>
      </c>
      <c r="M12" s="7" t="s">
        <v>380</v>
      </c>
      <c r="N12" s="14" t="s">
        <v>11</v>
      </c>
      <c r="O12" s="64"/>
      <c r="P12" s="63"/>
      <c r="Q12" s="63"/>
      <c r="R12" s="63"/>
      <c r="S12" s="63"/>
      <c r="T12" s="63"/>
      <c r="U12" s="63"/>
      <c r="V12" s="63"/>
      <c r="W12" s="17"/>
      <c r="X12" s="65">
        <v>46248</v>
      </c>
    </row>
    <row r="13" spans="1:24" ht="19.8" thickBot="1" x14ac:dyDescent="0.3">
      <c r="A13" s="4" t="s">
        <v>366</v>
      </c>
      <c r="B13" s="63"/>
      <c r="C13" s="63"/>
      <c r="D13" s="63"/>
      <c r="E13" s="63"/>
      <c r="F13" s="63"/>
      <c r="G13" s="63"/>
      <c r="H13" s="63"/>
      <c r="I13" s="64"/>
      <c r="J13" s="14" t="s">
        <v>10</v>
      </c>
      <c r="K13" s="5" t="s">
        <v>381</v>
      </c>
      <c r="L13" s="6">
        <v>0.69791666666666663</v>
      </c>
      <c r="M13" s="7" t="s">
        <v>382</v>
      </c>
      <c r="N13" s="14" t="s">
        <v>11</v>
      </c>
      <c r="O13" s="64"/>
      <c r="P13" s="63"/>
      <c r="Q13" s="63"/>
      <c r="R13" s="63"/>
      <c r="S13" s="63"/>
      <c r="T13" s="63"/>
      <c r="U13" s="63"/>
      <c r="V13" s="63"/>
      <c r="W13" s="17"/>
      <c r="X13" s="65">
        <v>46248</v>
      </c>
    </row>
    <row r="14" spans="1:24" ht="13.8" thickBot="1" x14ac:dyDescent="0.3">
      <c r="A14" s="51" t="s">
        <v>366</v>
      </c>
      <c r="B14" s="66"/>
      <c r="C14" s="66"/>
      <c r="D14" s="66"/>
      <c r="E14" s="66"/>
      <c r="F14" s="66"/>
      <c r="G14" s="66"/>
      <c r="H14" s="66"/>
      <c r="I14" s="3"/>
      <c r="J14" s="58" t="s">
        <v>10</v>
      </c>
      <c r="K14" s="59" t="s">
        <v>383</v>
      </c>
      <c r="L14" s="60">
        <v>0.69791666666666663</v>
      </c>
      <c r="M14" s="61" t="s">
        <v>384</v>
      </c>
      <c r="N14" s="58" t="s">
        <v>11</v>
      </c>
      <c r="O14" s="3"/>
      <c r="P14" s="66"/>
      <c r="Q14" s="66"/>
      <c r="R14" s="66"/>
      <c r="S14" s="66"/>
      <c r="T14" s="66"/>
      <c r="U14" s="66"/>
      <c r="V14" s="66"/>
      <c r="W14" s="62"/>
      <c r="X14" s="65">
        <v>46248</v>
      </c>
    </row>
    <row r="15" spans="1:24" ht="19.8" thickBot="1" x14ac:dyDescent="0.3">
      <c r="A15" s="4" t="s">
        <v>215</v>
      </c>
      <c r="B15" s="63"/>
      <c r="C15" s="63"/>
      <c r="D15" s="63"/>
      <c r="E15" s="63"/>
      <c r="F15" s="63"/>
      <c r="G15" s="63"/>
      <c r="H15" s="63"/>
      <c r="I15" s="64"/>
      <c r="J15" s="14" t="s">
        <v>10</v>
      </c>
      <c r="K15" s="5" t="s">
        <v>385</v>
      </c>
      <c r="L15" s="6">
        <v>0.60416666666666663</v>
      </c>
      <c r="M15" s="7" t="s">
        <v>386</v>
      </c>
      <c r="N15" s="14" t="s">
        <v>11</v>
      </c>
      <c r="O15" s="64"/>
      <c r="P15" s="63"/>
      <c r="Q15" s="63"/>
      <c r="R15" s="63"/>
      <c r="S15" s="63"/>
      <c r="T15" s="63"/>
      <c r="U15" s="63"/>
      <c r="V15" s="63"/>
      <c r="W15" s="17"/>
      <c r="X15" s="65">
        <v>46248</v>
      </c>
    </row>
    <row r="16" spans="1:24" ht="13.8" thickBot="1" x14ac:dyDescent="0.3">
      <c r="A16" s="4" t="s">
        <v>215</v>
      </c>
      <c r="B16" s="63"/>
      <c r="C16" s="63"/>
      <c r="D16" s="63"/>
      <c r="E16" s="63"/>
      <c r="F16" s="63"/>
      <c r="G16" s="63"/>
      <c r="H16" s="63"/>
      <c r="I16" s="64"/>
      <c r="J16" s="14" t="s">
        <v>10</v>
      </c>
      <c r="K16" s="5" t="s">
        <v>387</v>
      </c>
      <c r="L16" s="6">
        <v>0.60416666666666663</v>
      </c>
      <c r="M16" s="7" t="s">
        <v>388</v>
      </c>
      <c r="N16" s="14" t="s">
        <v>11</v>
      </c>
      <c r="O16" s="64"/>
      <c r="P16" s="63"/>
      <c r="Q16" s="63"/>
      <c r="R16" s="63"/>
      <c r="S16" s="63"/>
      <c r="T16" s="63"/>
      <c r="U16" s="63"/>
      <c r="V16" s="63"/>
      <c r="W16" s="17"/>
      <c r="X16" s="65">
        <v>46248</v>
      </c>
    </row>
    <row r="17" spans="1:24" ht="13.8" thickBot="1" x14ac:dyDescent="0.3">
      <c r="A17" s="4" t="s">
        <v>242</v>
      </c>
      <c r="B17" s="63"/>
      <c r="C17" s="63"/>
      <c r="D17" s="63"/>
      <c r="E17" s="63"/>
      <c r="F17" s="63"/>
      <c r="G17" s="63"/>
      <c r="H17" s="63"/>
      <c r="I17" s="64"/>
      <c r="J17" s="14" t="s">
        <v>10</v>
      </c>
      <c r="K17" s="5" t="s">
        <v>389</v>
      </c>
      <c r="L17" s="6">
        <v>0.66666666666666663</v>
      </c>
      <c r="M17" s="7" t="s">
        <v>390</v>
      </c>
      <c r="N17" s="14" t="s">
        <v>11</v>
      </c>
      <c r="O17" s="64"/>
      <c r="P17" s="63"/>
      <c r="Q17" s="63"/>
      <c r="R17" s="63"/>
      <c r="S17" s="63"/>
      <c r="T17" s="63"/>
      <c r="U17" s="63"/>
      <c r="V17" s="63"/>
      <c r="W17" s="17"/>
      <c r="X17" s="65">
        <v>46248</v>
      </c>
    </row>
    <row r="18" spans="1:24" ht="19.8" thickBot="1" x14ac:dyDescent="0.3">
      <c r="A18" s="4" t="s">
        <v>242</v>
      </c>
      <c r="B18" s="63"/>
      <c r="C18" s="63"/>
      <c r="D18" s="63"/>
      <c r="E18" s="63"/>
      <c r="F18" s="63"/>
      <c r="G18" s="63"/>
      <c r="H18" s="63"/>
      <c r="I18" s="64"/>
      <c r="J18" s="14" t="s">
        <v>10</v>
      </c>
      <c r="K18" s="5" t="s">
        <v>391</v>
      </c>
      <c r="L18" s="6">
        <v>0.66666666666666663</v>
      </c>
      <c r="M18" s="7" t="s">
        <v>392</v>
      </c>
      <c r="N18" s="14" t="s">
        <v>11</v>
      </c>
      <c r="O18" s="64"/>
      <c r="P18" s="63"/>
      <c r="Q18" s="63"/>
      <c r="R18" s="63"/>
      <c r="S18" s="63"/>
      <c r="T18" s="63"/>
      <c r="U18" s="63"/>
      <c r="V18" s="63"/>
      <c r="W18" s="17"/>
      <c r="X18" s="65">
        <v>46248</v>
      </c>
    </row>
    <row r="19" spans="1:24" ht="19.8" thickBot="1" x14ac:dyDescent="0.3">
      <c r="A19" s="4" t="s">
        <v>242</v>
      </c>
      <c r="B19" s="63"/>
      <c r="C19" s="63"/>
      <c r="D19" s="63"/>
      <c r="E19" s="63"/>
      <c r="F19" s="63"/>
      <c r="G19" s="63"/>
      <c r="H19" s="63"/>
      <c r="I19" s="64"/>
      <c r="J19" s="14" t="s">
        <v>10</v>
      </c>
      <c r="K19" s="5" t="s">
        <v>393</v>
      </c>
      <c r="L19" s="6">
        <v>0.66666666666666663</v>
      </c>
      <c r="M19" s="7" t="s">
        <v>394</v>
      </c>
      <c r="N19" s="14" t="s">
        <v>11</v>
      </c>
      <c r="O19" s="64"/>
      <c r="P19" s="63"/>
      <c r="Q19" s="63"/>
      <c r="R19" s="63"/>
      <c r="S19" s="63"/>
      <c r="T19" s="63"/>
      <c r="U19" s="63"/>
      <c r="V19" s="63"/>
      <c r="W19" s="17"/>
      <c r="X19" s="65">
        <v>46248</v>
      </c>
    </row>
    <row r="20" spans="1:24" ht="13.8" thickBot="1" x14ac:dyDescent="0.3">
      <c r="A20" s="4" t="s">
        <v>242</v>
      </c>
      <c r="B20" s="63"/>
      <c r="C20" s="63"/>
      <c r="D20" s="63"/>
      <c r="E20" s="63"/>
      <c r="F20" s="63"/>
      <c r="G20" s="63"/>
      <c r="H20" s="63"/>
      <c r="I20" s="64"/>
      <c r="J20" s="14" t="s">
        <v>10</v>
      </c>
      <c r="K20" s="5" t="s">
        <v>395</v>
      </c>
      <c r="L20" s="6">
        <v>0.66666666666666663</v>
      </c>
      <c r="M20" s="7" t="s">
        <v>396</v>
      </c>
      <c r="N20" s="14" t="s">
        <v>11</v>
      </c>
      <c r="O20" s="64"/>
      <c r="P20" s="63"/>
      <c r="Q20" s="63"/>
      <c r="R20" s="63"/>
      <c r="S20" s="63"/>
      <c r="T20" s="63"/>
      <c r="U20" s="63"/>
      <c r="V20" s="63"/>
      <c r="W20" s="17"/>
      <c r="X20" s="65">
        <v>46248</v>
      </c>
    </row>
    <row r="21" spans="1:24" ht="13.8" thickBot="1" x14ac:dyDescent="0.3">
      <c r="A21" s="4" t="s">
        <v>242</v>
      </c>
      <c r="B21" s="63"/>
      <c r="C21" s="63"/>
      <c r="D21" s="63"/>
      <c r="E21" s="63"/>
      <c r="F21" s="63"/>
      <c r="G21" s="63"/>
      <c r="H21" s="63"/>
      <c r="I21" s="64"/>
      <c r="J21" s="14" t="s">
        <v>10</v>
      </c>
      <c r="K21" s="5" t="s">
        <v>397</v>
      </c>
      <c r="L21" s="6">
        <v>0.66666666666666663</v>
      </c>
      <c r="M21" s="7" t="s">
        <v>398</v>
      </c>
      <c r="N21" s="14" t="s">
        <v>11</v>
      </c>
      <c r="O21" s="64"/>
      <c r="P21" s="63"/>
      <c r="Q21" s="63"/>
      <c r="R21" s="63"/>
      <c r="S21" s="63"/>
      <c r="T21" s="63"/>
      <c r="U21" s="63"/>
      <c r="V21" s="63"/>
      <c r="W21" s="17"/>
      <c r="X21" s="65">
        <v>46248</v>
      </c>
    </row>
    <row r="22" spans="1:24" ht="19.8" thickBot="1" x14ac:dyDescent="0.3">
      <c r="A22" s="4" t="s">
        <v>242</v>
      </c>
      <c r="B22" s="63"/>
      <c r="C22" s="63"/>
      <c r="D22" s="63"/>
      <c r="E22" s="63"/>
      <c r="F22" s="63"/>
      <c r="G22" s="63"/>
      <c r="H22" s="63"/>
      <c r="I22" s="64"/>
      <c r="J22" s="14" t="s">
        <v>10</v>
      </c>
      <c r="K22" s="5" t="s">
        <v>399</v>
      </c>
      <c r="L22" s="6">
        <v>0.66666666666666663</v>
      </c>
      <c r="M22" s="7" t="s">
        <v>400</v>
      </c>
      <c r="N22" s="14" t="s">
        <v>11</v>
      </c>
      <c r="O22" s="64"/>
      <c r="P22" s="63"/>
      <c r="Q22" s="63"/>
      <c r="R22" s="63"/>
      <c r="S22" s="63"/>
      <c r="T22" s="63"/>
      <c r="U22" s="63"/>
      <c r="V22" s="63"/>
      <c r="W22" s="17"/>
      <c r="X22" s="65">
        <v>46248</v>
      </c>
    </row>
    <row r="23" spans="1:24" ht="13.8" thickBot="1" x14ac:dyDescent="0.3">
      <c r="A23" s="4" t="s">
        <v>117</v>
      </c>
      <c r="B23" s="8">
        <v>0.5</v>
      </c>
      <c r="C23" s="15">
        <v>1</v>
      </c>
      <c r="D23" s="8">
        <v>1</v>
      </c>
      <c r="E23" s="10" t="s">
        <v>216</v>
      </c>
      <c r="F23" s="11" t="s">
        <v>220</v>
      </c>
      <c r="G23" s="12" t="s">
        <v>246</v>
      </c>
      <c r="H23" s="13" t="s">
        <v>220</v>
      </c>
      <c r="I23" s="14">
        <v>2</v>
      </c>
      <c r="J23" s="14" t="s">
        <v>10</v>
      </c>
      <c r="K23" s="5" t="s">
        <v>401</v>
      </c>
      <c r="L23" s="6">
        <v>0.89583333333333337</v>
      </c>
      <c r="M23" s="7" t="s">
        <v>402</v>
      </c>
      <c r="N23" s="14" t="s">
        <v>11</v>
      </c>
      <c r="O23" s="14">
        <v>2</v>
      </c>
      <c r="P23" s="13" t="s">
        <v>247</v>
      </c>
      <c r="Q23" s="12" t="s">
        <v>247</v>
      </c>
      <c r="R23" s="11" t="s">
        <v>219</v>
      </c>
      <c r="S23" s="10" t="s">
        <v>247</v>
      </c>
      <c r="T23" s="8">
        <v>0</v>
      </c>
      <c r="U23" s="9">
        <v>0</v>
      </c>
      <c r="V23" s="8">
        <v>0</v>
      </c>
      <c r="W23" s="17"/>
      <c r="X23" s="65">
        <v>46248</v>
      </c>
    </row>
    <row r="24" spans="1:24" ht="13.8" thickBot="1" x14ac:dyDescent="0.3">
      <c r="A24" s="4" t="s">
        <v>117</v>
      </c>
      <c r="B24" s="8">
        <v>0</v>
      </c>
      <c r="C24" s="9">
        <v>0.3</v>
      </c>
      <c r="D24" s="8">
        <v>0.6</v>
      </c>
      <c r="E24" s="10" t="s">
        <v>248</v>
      </c>
      <c r="F24" s="11" t="s">
        <v>248</v>
      </c>
      <c r="G24" s="12" t="s">
        <v>234</v>
      </c>
      <c r="H24" s="13" t="s">
        <v>227</v>
      </c>
      <c r="I24" s="14">
        <v>10</v>
      </c>
      <c r="J24" s="14" t="s">
        <v>10</v>
      </c>
      <c r="K24" s="5" t="s">
        <v>403</v>
      </c>
      <c r="L24" s="6">
        <v>0.66666666666666663</v>
      </c>
      <c r="M24" s="7" t="s">
        <v>404</v>
      </c>
      <c r="N24" s="14" t="s">
        <v>11</v>
      </c>
      <c r="O24" s="14">
        <v>10</v>
      </c>
      <c r="P24" s="13" t="s">
        <v>217</v>
      </c>
      <c r="Q24" s="12" t="s">
        <v>249</v>
      </c>
      <c r="R24" s="11" t="s">
        <v>248</v>
      </c>
      <c r="S24" s="10" t="s">
        <v>217</v>
      </c>
      <c r="T24" s="8">
        <v>0.5</v>
      </c>
      <c r="U24" s="9">
        <v>0.3</v>
      </c>
      <c r="V24" s="8">
        <v>0.2</v>
      </c>
      <c r="W24" s="17"/>
      <c r="X24" s="65">
        <v>46248</v>
      </c>
    </row>
    <row r="25" spans="1:24" ht="19.8" thickBot="1" x14ac:dyDescent="0.3">
      <c r="A25" s="4" t="s">
        <v>117</v>
      </c>
      <c r="B25" s="8">
        <v>0.17</v>
      </c>
      <c r="C25" s="9">
        <v>0.25</v>
      </c>
      <c r="D25" s="8">
        <v>0.25</v>
      </c>
      <c r="E25" s="10" t="s">
        <v>247</v>
      </c>
      <c r="F25" s="11" t="s">
        <v>250</v>
      </c>
      <c r="G25" s="12" t="s">
        <v>251</v>
      </c>
      <c r="H25" s="13" t="s">
        <v>252</v>
      </c>
      <c r="I25" s="14">
        <v>12</v>
      </c>
      <c r="J25" s="14" t="s">
        <v>10</v>
      </c>
      <c r="K25" s="5" t="s">
        <v>125</v>
      </c>
      <c r="L25" s="6">
        <v>0.89583333333333337</v>
      </c>
      <c r="M25" s="7" t="s">
        <v>405</v>
      </c>
      <c r="N25" s="14" t="s">
        <v>11</v>
      </c>
      <c r="O25" s="14">
        <v>12</v>
      </c>
      <c r="P25" s="13" t="s">
        <v>217</v>
      </c>
      <c r="Q25" s="12" t="s">
        <v>223</v>
      </c>
      <c r="R25" s="11" t="s">
        <v>222</v>
      </c>
      <c r="S25" s="10" t="s">
        <v>217</v>
      </c>
      <c r="T25" s="8">
        <v>0.57999999999999996</v>
      </c>
      <c r="U25" s="9">
        <v>0.33</v>
      </c>
      <c r="V25" s="8">
        <v>0</v>
      </c>
      <c r="W25" s="17"/>
      <c r="X25" s="65">
        <v>46248</v>
      </c>
    </row>
    <row r="26" spans="1:24" ht="13.8" thickBot="1" x14ac:dyDescent="0.3">
      <c r="A26" s="4" t="s">
        <v>253</v>
      </c>
      <c r="B26" s="8">
        <v>1</v>
      </c>
      <c r="C26" s="15">
        <v>1</v>
      </c>
      <c r="D26" s="8">
        <v>1</v>
      </c>
      <c r="E26" s="10" t="s">
        <v>221</v>
      </c>
      <c r="F26" s="11" t="s">
        <v>218</v>
      </c>
      <c r="G26" s="12" t="s">
        <v>254</v>
      </c>
      <c r="H26" s="13" t="s">
        <v>220</v>
      </c>
      <c r="I26" s="14">
        <v>2</v>
      </c>
      <c r="J26" s="14" t="s">
        <v>10</v>
      </c>
      <c r="K26" s="5" t="s">
        <v>406</v>
      </c>
      <c r="L26" s="6">
        <v>0.58333333333333337</v>
      </c>
      <c r="M26" s="7" t="s">
        <v>407</v>
      </c>
      <c r="N26" s="14" t="s">
        <v>11</v>
      </c>
      <c r="O26" s="14">
        <v>1</v>
      </c>
      <c r="P26" s="13" t="s">
        <v>217</v>
      </c>
      <c r="Q26" s="12" t="s">
        <v>219</v>
      </c>
      <c r="R26" s="11" t="s">
        <v>219</v>
      </c>
      <c r="S26" s="10" t="s">
        <v>219</v>
      </c>
      <c r="T26" s="8">
        <v>0</v>
      </c>
      <c r="U26" s="9">
        <v>0</v>
      </c>
      <c r="V26" s="8">
        <v>0</v>
      </c>
      <c r="W26" s="17"/>
      <c r="X26" s="65">
        <v>46248</v>
      </c>
    </row>
    <row r="27" spans="1:24" ht="19.8" thickBot="1" x14ac:dyDescent="0.3">
      <c r="A27" s="4" t="s">
        <v>126</v>
      </c>
      <c r="B27" s="8">
        <v>0.27</v>
      </c>
      <c r="C27" s="15">
        <v>0.55000000000000004</v>
      </c>
      <c r="D27" s="8">
        <v>0.82</v>
      </c>
      <c r="E27" s="10" t="s">
        <v>255</v>
      </c>
      <c r="F27" s="11" t="s">
        <v>256</v>
      </c>
      <c r="G27" s="12" t="s">
        <v>257</v>
      </c>
      <c r="H27" s="13" t="s">
        <v>256</v>
      </c>
      <c r="I27" s="14">
        <v>11</v>
      </c>
      <c r="J27" s="14" t="s">
        <v>10</v>
      </c>
      <c r="K27" s="5" t="s">
        <v>128</v>
      </c>
      <c r="L27" s="6">
        <v>0.32291666666666669</v>
      </c>
      <c r="M27" s="7" t="s">
        <v>408</v>
      </c>
      <c r="N27" s="14" t="s">
        <v>11</v>
      </c>
      <c r="O27" s="14">
        <v>11</v>
      </c>
      <c r="P27" s="13" t="s">
        <v>256</v>
      </c>
      <c r="Q27" s="12" t="s">
        <v>258</v>
      </c>
      <c r="R27" s="11" t="s">
        <v>259</v>
      </c>
      <c r="S27" s="10" t="s">
        <v>256</v>
      </c>
      <c r="T27" s="8">
        <v>0.91</v>
      </c>
      <c r="U27" s="15">
        <v>0.64</v>
      </c>
      <c r="V27" s="8">
        <v>0.55000000000000004</v>
      </c>
      <c r="W27" s="17"/>
      <c r="X27" s="65">
        <v>46248</v>
      </c>
    </row>
    <row r="28" spans="1:24" ht="13.8" thickBot="1" x14ac:dyDescent="0.3">
      <c r="A28" s="4" t="s">
        <v>126</v>
      </c>
      <c r="B28" s="8">
        <v>0.64</v>
      </c>
      <c r="C28" s="15">
        <v>0.82</v>
      </c>
      <c r="D28" s="8">
        <v>1</v>
      </c>
      <c r="E28" s="10" t="s">
        <v>260</v>
      </c>
      <c r="F28" s="11" t="s">
        <v>261</v>
      </c>
      <c r="G28" s="12" t="s">
        <v>409</v>
      </c>
      <c r="H28" s="13" t="s">
        <v>216</v>
      </c>
      <c r="I28" s="14">
        <v>11</v>
      </c>
      <c r="J28" s="14" t="s">
        <v>10</v>
      </c>
      <c r="K28" s="5" t="s">
        <v>410</v>
      </c>
      <c r="L28" s="6">
        <v>0.34375</v>
      </c>
      <c r="M28" s="7" t="s">
        <v>129</v>
      </c>
      <c r="N28" s="14" t="s">
        <v>11</v>
      </c>
      <c r="O28" s="14">
        <v>11</v>
      </c>
      <c r="P28" s="13" t="s">
        <v>262</v>
      </c>
      <c r="Q28" s="12" t="s">
        <v>263</v>
      </c>
      <c r="R28" s="11" t="s">
        <v>264</v>
      </c>
      <c r="S28" s="10" t="s">
        <v>216</v>
      </c>
      <c r="T28" s="8">
        <v>0.82</v>
      </c>
      <c r="U28" s="15">
        <v>0.64</v>
      </c>
      <c r="V28" s="8">
        <v>0.36</v>
      </c>
      <c r="W28" s="17"/>
      <c r="X28" s="65">
        <v>46248</v>
      </c>
    </row>
    <row r="29" spans="1:24" ht="13.8" thickBot="1" x14ac:dyDescent="0.3">
      <c r="A29" s="4" t="s">
        <v>126</v>
      </c>
      <c r="B29" s="8">
        <v>0.45</v>
      </c>
      <c r="C29" s="15">
        <v>0.64</v>
      </c>
      <c r="D29" s="8">
        <v>0.73</v>
      </c>
      <c r="E29" s="10" t="s">
        <v>259</v>
      </c>
      <c r="F29" s="11" t="s">
        <v>255</v>
      </c>
      <c r="G29" s="12" t="s">
        <v>263</v>
      </c>
      <c r="H29" s="13" t="s">
        <v>265</v>
      </c>
      <c r="I29" s="14">
        <v>11</v>
      </c>
      <c r="J29" s="14" t="s">
        <v>10</v>
      </c>
      <c r="K29" s="5" t="s">
        <v>411</v>
      </c>
      <c r="L29" s="6">
        <v>0.35416666666666669</v>
      </c>
      <c r="M29" s="7" t="s">
        <v>127</v>
      </c>
      <c r="N29" s="14" t="s">
        <v>11</v>
      </c>
      <c r="O29" s="14">
        <v>10</v>
      </c>
      <c r="P29" s="13" t="s">
        <v>266</v>
      </c>
      <c r="Q29" s="12" t="s">
        <v>267</v>
      </c>
      <c r="R29" s="11" t="s">
        <v>412</v>
      </c>
      <c r="S29" s="10" t="s">
        <v>249</v>
      </c>
      <c r="T29" s="8">
        <v>0.6</v>
      </c>
      <c r="U29" s="9">
        <v>0.5</v>
      </c>
      <c r="V29" s="8">
        <v>0.2</v>
      </c>
      <c r="W29" s="17"/>
      <c r="X29" s="65">
        <v>46248</v>
      </c>
    </row>
    <row r="30" spans="1:24" ht="19.8" thickBot="1" x14ac:dyDescent="0.3">
      <c r="A30" s="4" t="s">
        <v>126</v>
      </c>
      <c r="B30" s="8">
        <v>0.6</v>
      </c>
      <c r="C30" s="15">
        <v>0.8</v>
      </c>
      <c r="D30" s="8">
        <v>0.9</v>
      </c>
      <c r="E30" s="10" t="s">
        <v>233</v>
      </c>
      <c r="F30" s="11" t="s">
        <v>268</v>
      </c>
      <c r="G30" s="12" t="s">
        <v>269</v>
      </c>
      <c r="H30" s="13" t="s">
        <v>270</v>
      </c>
      <c r="I30" s="14">
        <v>10</v>
      </c>
      <c r="J30" s="14" t="s">
        <v>10</v>
      </c>
      <c r="K30" s="5" t="s">
        <v>413</v>
      </c>
      <c r="L30" s="6">
        <v>0.3125</v>
      </c>
      <c r="M30" s="7" t="s">
        <v>414</v>
      </c>
      <c r="N30" s="14" t="s">
        <v>11</v>
      </c>
      <c r="O30" s="14">
        <v>10</v>
      </c>
      <c r="P30" s="13" t="s">
        <v>271</v>
      </c>
      <c r="Q30" s="12" t="s">
        <v>272</v>
      </c>
      <c r="R30" s="11" t="s">
        <v>233</v>
      </c>
      <c r="S30" s="10" t="s">
        <v>273</v>
      </c>
      <c r="T30" s="8">
        <v>0.8</v>
      </c>
      <c r="U30" s="15">
        <v>0.7</v>
      </c>
      <c r="V30" s="8">
        <v>0.6</v>
      </c>
      <c r="W30" s="17"/>
      <c r="X30" s="65">
        <v>46248</v>
      </c>
    </row>
    <row r="31" spans="1:24" ht="19.8" thickBot="1" x14ac:dyDescent="0.3">
      <c r="A31" s="4" t="s">
        <v>126</v>
      </c>
      <c r="B31" s="8">
        <v>0.4</v>
      </c>
      <c r="C31" s="15">
        <v>0.6</v>
      </c>
      <c r="D31" s="8">
        <v>0.7</v>
      </c>
      <c r="E31" s="10" t="s">
        <v>273</v>
      </c>
      <c r="F31" s="11" t="s">
        <v>274</v>
      </c>
      <c r="G31" s="12" t="s">
        <v>275</v>
      </c>
      <c r="H31" s="13" t="s">
        <v>248</v>
      </c>
      <c r="I31" s="14">
        <v>10</v>
      </c>
      <c r="J31" s="14" t="s">
        <v>10</v>
      </c>
      <c r="K31" s="5" t="s">
        <v>415</v>
      </c>
      <c r="L31" s="6">
        <v>0.3125</v>
      </c>
      <c r="M31" s="7" t="s">
        <v>416</v>
      </c>
      <c r="N31" s="14" t="s">
        <v>11</v>
      </c>
      <c r="O31" s="14">
        <v>10</v>
      </c>
      <c r="P31" s="13" t="s">
        <v>220</v>
      </c>
      <c r="Q31" s="12" t="s">
        <v>276</v>
      </c>
      <c r="R31" s="11" t="s">
        <v>220</v>
      </c>
      <c r="S31" s="10" t="s">
        <v>227</v>
      </c>
      <c r="T31" s="8">
        <v>0.8</v>
      </c>
      <c r="U31" s="15">
        <v>0.7</v>
      </c>
      <c r="V31" s="8">
        <v>0.3</v>
      </c>
      <c r="W31" s="17"/>
      <c r="X31" s="65">
        <v>46248</v>
      </c>
    </row>
    <row r="32" spans="1:24" ht="19.8" thickBot="1" x14ac:dyDescent="0.3">
      <c r="A32" s="4" t="s">
        <v>126</v>
      </c>
      <c r="B32" s="8">
        <v>0.8</v>
      </c>
      <c r="C32" s="15">
        <v>1</v>
      </c>
      <c r="D32" s="8">
        <v>1</v>
      </c>
      <c r="E32" s="10" t="s">
        <v>234</v>
      </c>
      <c r="F32" s="11" t="s">
        <v>277</v>
      </c>
      <c r="G32" s="12" t="s">
        <v>278</v>
      </c>
      <c r="H32" s="13" t="s">
        <v>279</v>
      </c>
      <c r="I32" s="14">
        <v>10</v>
      </c>
      <c r="J32" s="14" t="s">
        <v>10</v>
      </c>
      <c r="K32" s="5" t="s">
        <v>417</v>
      </c>
      <c r="L32" s="6">
        <v>0.3125</v>
      </c>
      <c r="M32" s="7" t="s">
        <v>418</v>
      </c>
      <c r="N32" s="14" t="s">
        <v>11</v>
      </c>
      <c r="O32" s="14">
        <v>10</v>
      </c>
      <c r="P32" s="13" t="s">
        <v>233</v>
      </c>
      <c r="Q32" s="12" t="s">
        <v>419</v>
      </c>
      <c r="R32" s="11" t="s">
        <v>275</v>
      </c>
      <c r="S32" s="10" t="s">
        <v>271</v>
      </c>
      <c r="T32" s="8">
        <v>0.9</v>
      </c>
      <c r="U32" s="15">
        <v>0.9</v>
      </c>
      <c r="V32" s="8">
        <v>0.7</v>
      </c>
      <c r="W32" s="17"/>
      <c r="X32" s="65">
        <v>46248</v>
      </c>
    </row>
    <row r="33" spans="1:24" ht="13.8" thickBot="1" x14ac:dyDescent="0.3">
      <c r="A33" s="4" t="s">
        <v>126</v>
      </c>
      <c r="B33" s="8">
        <v>0.4</v>
      </c>
      <c r="C33" s="15">
        <v>0.7</v>
      </c>
      <c r="D33" s="8">
        <v>0.9</v>
      </c>
      <c r="E33" s="10" t="s">
        <v>220</v>
      </c>
      <c r="F33" s="11" t="s">
        <v>268</v>
      </c>
      <c r="G33" s="12" t="s">
        <v>280</v>
      </c>
      <c r="H33" s="13" t="s">
        <v>220</v>
      </c>
      <c r="I33" s="14">
        <v>10</v>
      </c>
      <c r="J33" s="14" t="s">
        <v>10</v>
      </c>
      <c r="K33" s="5" t="s">
        <v>420</v>
      </c>
      <c r="L33" s="6">
        <v>0.3125</v>
      </c>
      <c r="M33" s="7" t="s">
        <v>421</v>
      </c>
      <c r="N33" s="14" t="s">
        <v>11</v>
      </c>
      <c r="O33" s="14">
        <v>10</v>
      </c>
      <c r="P33" s="13" t="s">
        <v>412</v>
      </c>
      <c r="Q33" s="12" t="s">
        <v>272</v>
      </c>
      <c r="R33" s="11" t="s">
        <v>217</v>
      </c>
      <c r="S33" s="10" t="s">
        <v>275</v>
      </c>
      <c r="T33" s="8">
        <v>1</v>
      </c>
      <c r="U33" s="15">
        <v>0.8</v>
      </c>
      <c r="V33" s="8">
        <v>0.6</v>
      </c>
      <c r="W33" s="17"/>
      <c r="X33" s="65">
        <v>46248</v>
      </c>
    </row>
    <row r="34" spans="1:24" ht="13.8" thickBot="1" x14ac:dyDescent="0.3">
      <c r="A34" s="4" t="s">
        <v>126</v>
      </c>
      <c r="B34" s="8">
        <v>0.6</v>
      </c>
      <c r="C34" s="15">
        <v>0.6</v>
      </c>
      <c r="D34" s="8">
        <v>0.8</v>
      </c>
      <c r="E34" s="10" t="s">
        <v>271</v>
      </c>
      <c r="F34" s="11" t="s">
        <v>233</v>
      </c>
      <c r="G34" s="12" t="s">
        <v>281</v>
      </c>
      <c r="H34" s="13" t="s">
        <v>279</v>
      </c>
      <c r="I34" s="14">
        <v>10</v>
      </c>
      <c r="J34" s="14" t="s">
        <v>10</v>
      </c>
      <c r="K34" s="5" t="s">
        <v>422</v>
      </c>
      <c r="L34" s="6">
        <v>0.3125</v>
      </c>
      <c r="M34" s="7" t="s">
        <v>423</v>
      </c>
      <c r="N34" s="14" t="s">
        <v>11</v>
      </c>
      <c r="O34" s="14">
        <v>10</v>
      </c>
      <c r="P34" s="13" t="s">
        <v>216</v>
      </c>
      <c r="Q34" s="12" t="s">
        <v>424</v>
      </c>
      <c r="R34" s="11" t="s">
        <v>282</v>
      </c>
      <c r="S34" s="10" t="s">
        <v>216</v>
      </c>
      <c r="T34" s="8">
        <v>0.9</v>
      </c>
      <c r="U34" s="15">
        <v>0.8</v>
      </c>
      <c r="V34" s="8">
        <v>0.8</v>
      </c>
      <c r="W34" s="17"/>
      <c r="X34" s="65">
        <v>46248</v>
      </c>
    </row>
    <row r="35" spans="1:24" ht="19.8" thickBot="1" x14ac:dyDescent="0.3">
      <c r="A35" s="4" t="s">
        <v>126</v>
      </c>
      <c r="B35" s="8">
        <v>0.4</v>
      </c>
      <c r="C35" s="15">
        <v>0.8</v>
      </c>
      <c r="D35" s="8">
        <v>1</v>
      </c>
      <c r="E35" s="10" t="s">
        <v>249</v>
      </c>
      <c r="F35" s="11" t="s">
        <v>273</v>
      </c>
      <c r="G35" s="12" t="s">
        <v>283</v>
      </c>
      <c r="H35" s="13" t="s">
        <v>220</v>
      </c>
      <c r="I35" s="14">
        <v>10</v>
      </c>
      <c r="J35" s="14" t="s">
        <v>10</v>
      </c>
      <c r="K35" s="5" t="s">
        <v>425</v>
      </c>
      <c r="L35" s="6">
        <v>0.3125</v>
      </c>
      <c r="M35" s="7" t="s">
        <v>426</v>
      </c>
      <c r="N35" s="14" t="s">
        <v>11</v>
      </c>
      <c r="O35" s="14">
        <v>10</v>
      </c>
      <c r="P35" s="13" t="s">
        <v>217</v>
      </c>
      <c r="Q35" s="12" t="s">
        <v>235</v>
      </c>
      <c r="R35" s="11" t="s">
        <v>268</v>
      </c>
      <c r="S35" s="10" t="s">
        <v>279</v>
      </c>
      <c r="T35" s="8">
        <v>0.9</v>
      </c>
      <c r="U35" s="15">
        <v>0.8</v>
      </c>
      <c r="V35" s="8">
        <v>0.7</v>
      </c>
      <c r="W35" s="17"/>
      <c r="X35" s="65">
        <v>46248</v>
      </c>
    </row>
    <row r="36" spans="1:24" ht="13.8" thickBot="1" x14ac:dyDescent="0.3">
      <c r="A36" s="4" t="s">
        <v>126</v>
      </c>
      <c r="B36" s="8">
        <v>0.67</v>
      </c>
      <c r="C36" s="15">
        <v>0.78</v>
      </c>
      <c r="D36" s="8">
        <v>0.89</v>
      </c>
      <c r="E36" s="10" t="s">
        <v>284</v>
      </c>
      <c r="F36" s="11" t="s">
        <v>285</v>
      </c>
      <c r="G36" s="12" t="s">
        <v>427</v>
      </c>
      <c r="H36" s="13" t="s">
        <v>230</v>
      </c>
      <c r="I36" s="14">
        <v>9</v>
      </c>
      <c r="J36" s="14" t="s">
        <v>10</v>
      </c>
      <c r="K36" s="5" t="s">
        <v>131</v>
      </c>
      <c r="L36" s="6">
        <v>0.375</v>
      </c>
      <c r="M36" s="7" t="s">
        <v>428</v>
      </c>
      <c r="N36" s="14" t="s">
        <v>11</v>
      </c>
      <c r="O36" s="14">
        <v>10</v>
      </c>
      <c r="P36" s="13" t="s">
        <v>273</v>
      </c>
      <c r="Q36" s="12" t="s">
        <v>277</v>
      </c>
      <c r="R36" s="11" t="s">
        <v>249</v>
      </c>
      <c r="S36" s="10" t="s">
        <v>271</v>
      </c>
      <c r="T36" s="8">
        <v>0.9</v>
      </c>
      <c r="U36" s="15">
        <v>0.7</v>
      </c>
      <c r="V36" s="8">
        <v>0.2</v>
      </c>
      <c r="W36" s="17"/>
      <c r="X36" s="65">
        <v>46248</v>
      </c>
    </row>
    <row r="37" spans="1:24" ht="19.8" thickBot="1" x14ac:dyDescent="0.3">
      <c r="A37" s="4" t="s">
        <v>126</v>
      </c>
      <c r="B37" s="8">
        <v>0.31</v>
      </c>
      <c r="C37" s="9">
        <v>0.38</v>
      </c>
      <c r="D37" s="8">
        <v>0.62</v>
      </c>
      <c r="E37" s="10" t="s">
        <v>286</v>
      </c>
      <c r="F37" s="11" t="s">
        <v>429</v>
      </c>
      <c r="G37" s="12" t="s">
        <v>430</v>
      </c>
      <c r="H37" s="13" t="s">
        <v>287</v>
      </c>
      <c r="I37" s="14">
        <v>13</v>
      </c>
      <c r="J37" s="14" t="s">
        <v>10</v>
      </c>
      <c r="K37" s="5" t="s">
        <v>139</v>
      </c>
      <c r="L37" s="6">
        <v>0.3125</v>
      </c>
      <c r="M37" s="7" t="s">
        <v>431</v>
      </c>
      <c r="N37" s="14" t="s">
        <v>11</v>
      </c>
      <c r="O37" s="14">
        <v>12</v>
      </c>
      <c r="P37" s="13" t="s">
        <v>288</v>
      </c>
      <c r="Q37" s="12" t="s">
        <v>221</v>
      </c>
      <c r="R37" s="11" t="s">
        <v>222</v>
      </c>
      <c r="S37" s="10" t="s">
        <v>223</v>
      </c>
      <c r="T37" s="8">
        <v>0.57999999999999996</v>
      </c>
      <c r="U37" s="9">
        <v>0.42</v>
      </c>
      <c r="V37" s="8">
        <v>0.33</v>
      </c>
      <c r="W37" s="17"/>
      <c r="X37" s="65">
        <v>46248</v>
      </c>
    </row>
    <row r="38" spans="1:24" ht="13.8" thickBot="1" x14ac:dyDescent="0.3">
      <c r="A38" s="4" t="s">
        <v>126</v>
      </c>
      <c r="B38" s="8">
        <v>0</v>
      </c>
      <c r="C38" s="15">
        <v>1</v>
      </c>
      <c r="D38" s="8">
        <v>1</v>
      </c>
      <c r="E38" s="10" t="s">
        <v>219</v>
      </c>
      <c r="F38" s="11" t="s">
        <v>218</v>
      </c>
      <c r="G38" s="12" t="s">
        <v>218</v>
      </c>
      <c r="H38" s="13" t="s">
        <v>218</v>
      </c>
      <c r="I38" s="14">
        <v>1</v>
      </c>
      <c r="J38" s="14" t="s">
        <v>10</v>
      </c>
      <c r="K38" s="5" t="s">
        <v>432</v>
      </c>
      <c r="L38" s="6">
        <v>0.64583333333333337</v>
      </c>
      <c r="M38" s="7" t="s">
        <v>433</v>
      </c>
      <c r="N38" s="14" t="s">
        <v>11</v>
      </c>
      <c r="O38" s="14">
        <v>1</v>
      </c>
      <c r="P38" s="13" t="s">
        <v>217</v>
      </c>
      <c r="Q38" s="12" t="s">
        <v>216</v>
      </c>
      <c r="R38" s="11" t="s">
        <v>217</v>
      </c>
      <c r="S38" s="10" t="s">
        <v>217</v>
      </c>
      <c r="T38" s="8">
        <v>1</v>
      </c>
      <c r="U38" s="9">
        <v>0</v>
      </c>
      <c r="V38" s="8">
        <v>0</v>
      </c>
      <c r="W38" s="17"/>
      <c r="X38" s="65">
        <v>46248</v>
      </c>
    </row>
    <row r="39" spans="1:24" ht="13.8" thickBot="1" x14ac:dyDescent="0.3">
      <c r="A39" s="4" t="s">
        <v>126</v>
      </c>
      <c r="B39" s="8">
        <v>0</v>
      </c>
      <c r="C39" s="9">
        <v>0</v>
      </c>
      <c r="D39" s="8">
        <v>1</v>
      </c>
      <c r="E39" s="10" t="s">
        <v>216</v>
      </c>
      <c r="F39" s="11" t="s">
        <v>219</v>
      </c>
      <c r="G39" s="12" t="s">
        <v>216</v>
      </c>
      <c r="H39" s="13" t="s">
        <v>219</v>
      </c>
      <c r="I39" s="14">
        <v>1</v>
      </c>
      <c r="J39" s="14" t="s">
        <v>10</v>
      </c>
      <c r="K39" s="5" t="s">
        <v>434</v>
      </c>
      <c r="L39" s="6">
        <v>0.60416666666666663</v>
      </c>
      <c r="M39" s="7" t="s">
        <v>435</v>
      </c>
      <c r="N39" s="14" t="s">
        <v>11</v>
      </c>
      <c r="O39" s="14">
        <v>1</v>
      </c>
      <c r="P39" s="13" t="s">
        <v>218</v>
      </c>
      <c r="Q39" s="12" t="s">
        <v>217</v>
      </c>
      <c r="R39" s="11" t="s">
        <v>217</v>
      </c>
      <c r="S39" s="10" t="s">
        <v>219</v>
      </c>
      <c r="T39" s="8">
        <v>0</v>
      </c>
      <c r="U39" s="9">
        <v>0</v>
      </c>
      <c r="V39" s="8">
        <v>0</v>
      </c>
      <c r="W39" s="17"/>
      <c r="X39" s="65">
        <v>46248</v>
      </c>
    </row>
    <row r="40" spans="1:24" ht="13.8" thickBot="1" x14ac:dyDescent="0.3">
      <c r="A40" s="4" t="s">
        <v>126</v>
      </c>
      <c r="B40" s="8">
        <v>0</v>
      </c>
      <c r="C40" s="9">
        <v>0</v>
      </c>
      <c r="D40" s="8">
        <v>0</v>
      </c>
      <c r="E40" s="10" t="s">
        <v>217</v>
      </c>
      <c r="F40" s="11" t="s">
        <v>219</v>
      </c>
      <c r="G40" s="12" t="s">
        <v>217</v>
      </c>
      <c r="H40" s="13" t="s">
        <v>219</v>
      </c>
      <c r="I40" s="14">
        <v>1</v>
      </c>
      <c r="J40" s="14" t="s">
        <v>10</v>
      </c>
      <c r="K40" s="5" t="s">
        <v>436</v>
      </c>
      <c r="L40" s="6">
        <v>0.6875</v>
      </c>
      <c r="M40" s="7" t="s">
        <v>437</v>
      </c>
      <c r="N40" s="14" t="s">
        <v>11</v>
      </c>
      <c r="O40" s="14">
        <v>1</v>
      </c>
      <c r="P40" s="13" t="s">
        <v>218</v>
      </c>
      <c r="Q40" s="12" t="s">
        <v>218</v>
      </c>
      <c r="R40" s="11" t="s">
        <v>218</v>
      </c>
      <c r="S40" s="10" t="s">
        <v>219</v>
      </c>
      <c r="T40" s="8">
        <v>1</v>
      </c>
      <c r="U40" s="15">
        <v>1</v>
      </c>
      <c r="V40" s="8">
        <v>0</v>
      </c>
      <c r="W40" s="17"/>
      <c r="X40" s="65">
        <v>46248</v>
      </c>
    </row>
    <row r="41" spans="1:24" ht="13.8" thickBot="1" x14ac:dyDescent="0.3">
      <c r="A41" s="4" t="s">
        <v>438</v>
      </c>
      <c r="B41" s="63"/>
      <c r="C41" s="63"/>
      <c r="D41" s="63"/>
      <c r="E41" s="63"/>
      <c r="F41" s="63"/>
      <c r="G41" s="63"/>
      <c r="H41" s="63"/>
      <c r="I41" s="64"/>
      <c r="J41" s="14" t="s">
        <v>10</v>
      </c>
      <c r="K41" s="5" t="s">
        <v>439</v>
      </c>
      <c r="L41" s="6">
        <v>0.91666666666666663</v>
      </c>
      <c r="M41" s="7" t="s">
        <v>440</v>
      </c>
      <c r="N41" s="14" t="s">
        <v>11</v>
      </c>
      <c r="O41" s="64"/>
      <c r="P41" s="63"/>
      <c r="Q41" s="63"/>
      <c r="R41" s="63"/>
      <c r="S41" s="63"/>
      <c r="T41" s="63"/>
      <c r="U41" s="63"/>
      <c r="V41" s="63"/>
      <c r="W41" s="17"/>
      <c r="X41" s="65">
        <v>46248</v>
      </c>
    </row>
    <row r="42" spans="1:24" ht="13.8" thickBot="1" x14ac:dyDescent="0.3">
      <c r="A42" s="4" t="s">
        <v>438</v>
      </c>
      <c r="B42" s="63"/>
      <c r="C42" s="63"/>
      <c r="D42" s="63"/>
      <c r="E42" s="63"/>
      <c r="F42" s="63"/>
      <c r="G42" s="63"/>
      <c r="H42" s="63"/>
      <c r="I42" s="64"/>
      <c r="J42" s="14" t="s">
        <v>10</v>
      </c>
      <c r="K42" s="5" t="s">
        <v>441</v>
      </c>
      <c r="L42" s="6">
        <v>0.5625</v>
      </c>
      <c r="M42" s="7" t="s">
        <v>442</v>
      </c>
      <c r="N42" s="14" t="s">
        <v>11</v>
      </c>
      <c r="O42" s="64"/>
      <c r="P42" s="63"/>
      <c r="Q42" s="63"/>
      <c r="R42" s="63"/>
      <c r="S42" s="63"/>
      <c r="T42" s="63"/>
      <c r="U42" s="63"/>
      <c r="V42" s="63"/>
      <c r="W42" s="17"/>
      <c r="X42" s="65">
        <v>46248</v>
      </c>
    </row>
    <row r="43" spans="1:24" ht="13.8" thickBot="1" x14ac:dyDescent="0.3">
      <c r="A43" s="4" t="s">
        <v>289</v>
      </c>
      <c r="B43" s="8">
        <v>0.12</v>
      </c>
      <c r="C43" s="9">
        <v>0.5</v>
      </c>
      <c r="D43" s="8">
        <v>0.88</v>
      </c>
      <c r="E43" s="10" t="s">
        <v>220</v>
      </c>
      <c r="F43" s="11" t="s">
        <v>217</v>
      </c>
      <c r="G43" s="12" t="s">
        <v>221</v>
      </c>
      <c r="H43" s="13" t="s">
        <v>217</v>
      </c>
      <c r="I43" s="14">
        <v>8</v>
      </c>
      <c r="J43" s="14" t="s">
        <v>10</v>
      </c>
      <c r="K43" s="5" t="s">
        <v>443</v>
      </c>
      <c r="L43" s="6">
        <v>0.5</v>
      </c>
      <c r="M43" s="7" t="s">
        <v>444</v>
      </c>
      <c r="N43" s="14" t="s">
        <v>11</v>
      </c>
      <c r="O43" s="14">
        <v>7</v>
      </c>
      <c r="P43" s="13" t="s">
        <v>290</v>
      </c>
      <c r="Q43" s="12" t="s">
        <v>291</v>
      </c>
      <c r="R43" s="11" t="s">
        <v>292</v>
      </c>
      <c r="S43" s="10" t="s">
        <v>290</v>
      </c>
      <c r="T43" s="8">
        <v>0.56999999999999995</v>
      </c>
      <c r="U43" s="9">
        <v>0.28999999999999998</v>
      </c>
      <c r="V43" s="8">
        <v>0.28999999999999998</v>
      </c>
      <c r="W43" s="17"/>
      <c r="X43" s="65">
        <v>46248</v>
      </c>
    </row>
    <row r="44" spans="1:24" ht="19.8" thickBot="1" x14ac:dyDescent="0.3">
      <c r="A44" s="4" t="s">
        <v>289</v>
      </c>
      <c r="B44" s="8">
        <v>0.25</v>
      </c>
      <c r="C44" s="9">
        <v>0.38</v>
      </c>
      <c r="D44" s="8">
        <v>0.62</v>
      </c>
      <c r="E44" s="10" t="s">
        <v>293</v>
      </c>
      <c r="F44" s="11" t="s">
        <v>294</v>
      </c>
      <c r="G44" s="12" t="s">
        <v>295</v>
      </c>
      <c r="H44" s="13" t="s">
        <v>296</v>
      </c>
      <c r="I44" s="14">
        <v>8</v>
      </c>
      <c r="J44" s="14" t="s">
        <v>10</v>
      </c>
      <c r="K44" s="5" t="s">
        <v>445</v>
      </c>
      <c r="L44" s="6">
        <v>0.58333333333333337</v>
      </c>
      <c r="M44" s="7" t="s">
        <v>446</v>
      </c>
      <c r="N44" s="14" t="s">
        <v>11</v>
      </c>
      <c r="O44" s="14">
        <v>7</v>
      </c>
      <c r="P44" s="13" t="s">
        <v>219</v>
      </c>
      <c r="Q44" s="12" t="s">
        <v>297</v>
      </c>
      <c r="R44" s="11" t="s">
        <v>447</v>
      </c>
      <c r="S44" s="10" t="s">
        <v>218</v>
      </c>
      <c r="T44" s="8">
        <v>1</v>
      </c>
      <c r="U44" s="15">
        <v>0.71</v>
      </c>
      <c r="V44" s="8">
        <v>0.43</v>
      </c>
      <c r="W44" s="17"/>
      <c r="X44" s="65">
        <v>46248</v>
      </c>
    </row>
    <row r="45" spans="1:24" ht="19.8" thickBot="1" x14ac:dyDescent="0.3">
      <c r="A45" s="4" t="s">
        <v>289</v>
      </c>
      <c r="B45" s="63"/>
      <c r="C45" s="63"/>
      <c r="D45" s="63"/>
      <c r="E45" s="63"/>
      <c r="F45" s="63"/>
      <c r="G45" s="63"/>
      <c r="H45" s="63"/>
      <c r="I45" s="64"/>
      <c r="J45" s="14" t="s">
        <v>10</v>
      </c>
      <c r="K45" s="5" t="s">
        <v>448</v>
      </c>
      <c r="L45" s="6">
        <v>0.69791666666666663</v>
      </c>
      <c r="M45" s="7" t="s">
        <v>449</v>
      </c>
      <c r="N45" s="14" t="s">
        <v>11</v>
      </c>
      <c r="O45" s="64"/>
      <c r="P45" s="63"/>
      <c r="Q45" s="63"/>
      <c r="R45" s="63"/>
      <c r="S45" s="63"/>
      <c r="T45" s="63"/>
      <c r="U45" s="63"/>
      <c r="V45" s="63"/>
      <c r="W45" s="17"/>
      <c r="X45" s="65">
        <v>46248</v>
      </c>
    </row>
    <row r="46" spans="1:24" ht="13.8" thickBot="1" x14ac:dyDescent="0.3">
      <c r="A46" s="4" t="s">
        <v>289</v>
      </c>
      <c r="B46" s="63"/>
      <c r="C46" s="63"/>
      <c r="D46" s="63"/>
      <c r="E46" s="63"/>
      <c r="F46" s="63"/>
      <c r="G46" s="63"/>
      <c r="H46" s="63"/>
      <c r="I46" s="64"/>
      <c r="J46" s="14" t="s">
        <v>10</v>
      </c>
      <c r="K46" s="5" t="s">
        <v>450</v>
      </c>
      <c r="L46" s="6">
        <v>0.66666666666666663</v>
      </c>
      <c r="M46" s="7" t="s">
        <v>451</v>
      </c>
      <c r="N46" s="14" t="s">
        <v>11</v>
      </c>
      <c r="O46" s="64"/>
      <c r="P46" s="63"/>
      <c r="Q46" s="63"/>
      <c r="R46" s="63"/>
      <c r="S46" s="63"/>
      <c r="T46" s="63"/>
      <c r="U46" s="63"/>
      <c r="V46" s="63"/>
      <c r="W46" s="17"/>
      <c r="X46" s="65">
        <v>46248</v>
      </c>
    </row>
    <row r="47" spans="1:24" ht="19.8" thickBot="1" x14ac:dyDescent="0.3">
      <c r="A47" s="4" t="s">
        <v>289</v>
      </c>
      <c r="B47" s="63"/>
      <c r="C47" s="63"/>
      <c r="D47" s="63"/>
      <c r="E47" s="63"/>
      <c r="F47" s="63"/>
      <c r="G47" s="63"/>
      <c r="H47" s="63"/>
      <c r="I47" s="64"/>
      <c r="J47" s="14" t="s">
        <v>10</v>
      </c>
      <c r="K47" s="5" t="s">
        <v>452</v>
      </c>
      <c r="L47" s="6">
        <v>0.66666666666666663</v>
      </c>
      <c r="M47" s="7" t="s">
        <v>453</v>
      </c>
      <c r="N47" s="14" t="s">
        <v>11</v>
      </c>
      <c r="O47" s="64"/>
      <c r="P47" s="63"/>
      <c r="Q47" s="63"/>
      <c r="R47" s="63"/>
      <c r="S47" s="63"/>
      <c r="T47" s="63"/>
      <c r="U47" s="63"/>
      <c r="V47" s="63"/>
      <c r="W47" s="17"/>
      <c r="X47" s="65">
        <v>46248</v>
      </c>
    </row>
    <row r="48" spans="1:24" ht="13.8" thickBot="1" x14ac:dyDescent="0.3">
      <c r="A48" s="4" t="s">
        <v>454</v>
      </c>
      <c r="B48" s="63"/>
      <c r="C48" s="63"/>
      <c r="D48" s="63"/>
      <c r="E48" s="63"/>
      <c r="F48" s="63"/>
      <c r="G48" s="63"/>
      <c r="H48" s="63"/>
      <c r="I48" s="64"/>
      <c r="J48" s="14" t="s">
        <v>10</v>
      </c>
      <c r="K48" s="5" t="s">
        <v>455</v>
      </c>
      <c r="L48" s="6">
        <v>0.66666666666666663</v>
      </c>
      <c r="M48" s="7" t="s">
        <v>456</v>
      </c>
      <c r="N48" s="14" t="s">
        <v>11</v>
      </c>
      <c r="O48" s="64"/>
      <c r="P48" s="63"/>
      <c r="Q48" s="63"/>
      <c r="R48" s="63"/>
      <c r="S48" s="63"/>
      <c r="T48" s="63"/>
      <c r="U48" s="63"/>
      <c r="V48" s="63"/>
      <c r="W48" s="17"/>
      <c r="X48" s="65">
        <v>46248</v>
      </c>
    </row>
    <row r="49" spans="1:24" ht="13.8" thickBot="1" x14ac:dyDescent="0.3">
      <c r="A49" s="4" t="s">
        <v>90</v>
      </c>
      <c r="B49" s="8">
        <v>0.18</v>
      </c>
      <c r="C49" s="9">
        <v>0.45</v>
      </c>
      <c r="D49" s="8">
        <v>0.73</v>
      </c>
      <c r="E49" s="10" t="s">
        <v>256</v>
      </c>
      <c r="F49" s="11" t="s">
        <v>298</v>
      </c>
      <c r="G49" s="12" t="s">
        <v>299</v>
      </c>
      <c r="H49" s="13" t="s">
        <v>300</v>
      </c>
      <c r="I49" s="14">
        <v>11</v>
      </c>
      <c r="J49" s="14" t="s">
        <v>10</v>
      </c>
      <c r="K49" s="5" t="s">
        <v>457</v>
      </c>
      <c r="L49" s="6">
        <v>0.85416666666666663</v>
      </c>
      <c r="M49" s="7" t="s">
        <v>458</v>
      </c>
      <c r="N49" s="14" t="s">
        <v>11</v>
      </c>
      <c r="O49" s="14">
        <v>11</v>
      </c>
      <c r="P49" s="13" t="s">
        <v>301</v>
      </c>
      <c r="Q49" s="12" t="s">
        <v>218</v>
      </c>
      <c r="R49" s="11" t="s">
        <v>302</v>
      </c>
      <c r="S49" s="10" t="s">
        <v>303</v>
      </c>
      <c r="T49" s="8">
        <v>0.73</v>
      </c>
      <c r="U49" s="9">
        <v>0.45</v>
      </c>
      <c r="V49" s="8">
        <v>0.27</v>
      </c>
      <c r="W49" s="17"/>
      <c r="X49" s="65">
        <v>46248</v>
      </c>
    </row>
    <row r="50" spans="1:24" ht="13.8" thickBot="1" x14ac:dyDescent="0.3">
      <c r="A50" s="4" t="s">
        <v>90</v>
      </c>
      <c r="B50" s="8">
        <v>0.18</v>
      </c>
      <c r="C50" s="9">
        <v>0.36</v>
      </c>
      <c r="D50" s="8">
        <v>0.64</v>
      </c>
      <c r="E50" s="10" t="s">
        <v>255</v>
      </c>
      <c r="F50" s="11" t="s">
        <v>255</v>
      </c>
      <c r="G50" s="12" t="s">
        <v>299</v>
      </c>
      <c r="H50" s="13" t="s">
        <v>217</v>
      </c>
      <c r="I50" s="14">
        <v>11</v>
      </c>
      <c r="J50" s="14" t="s">
        <v>10</v>
      </c>
      <c r="K50" s="5" t="s">
        <v>151</v>
      </c>
      <c r="L50" s="6">
        <v>0.85416666666666663</v>
      </c>
      <c r="M50" s="7" t="s">
        <v>459</v>
      </c>
      <c r="N50" s="14" t="s">
        <v>11</v>
      </c>
      <c r="O50" s="14">
        <v>11</v>
      </c>
      <c r="P50" s="13" t="s">
        <v>264</v>
      </c>
      <c r="Q50" s="12" t="s">
        <v>303</v>
      </c>
      <c r="R50" s="11" t="s">
        <v>262</v>
      </c>
      <c r="S50" s="10" t="s">
        <v>264</v>
      </c>
      <c r="T50" s="8">
        <v>0.27</v>
      </c>
      <c r="U50" s="9">
        <v>0.18</v>
      </c>
      <c r="V50" s="8">
        <v>0.09</v>
      </c>
      <c r="W50" s="17"/>
      <c r="X50" s="65">
        <v>46248</v>
      </c>
    </row>
    <row r="51" spans="1:24" ht="13.8" thickBot="1" x14ac:dyDescent="0.3">
      <c r="A51" s="4" t="s">
        <v>90</v>
      </c>
      <c r="B51" s="8">
        <v>0.27</v>
      </c>
      <c r="C51" s="9">
        <v>0.36</v>
      </c>
      <c r="D51" s="8">
        <v>0.91</v>
      </c>
      <c r="E51" s="10" t="s">
        <v>255</v>
      </c>
      <c r="F51" s="11" t="s">
        <v>303</v>
      </c>
      <c r="G51" s="12" t="s">
        <v>304</v>
      </c>
      <c r="H51" s="13" t="s">
        <v>302</v>
      </c>
      <c r="I51" s="14">
        <v>11</v>
      </c>
      <c r="J51" s="14" t="s">
        <v>10</v>
      </c>
      <c r="K51" s="5" t="s">
        <v>460</v>
      </c>
      <c r="L51" s="6">
        <v>0.89583333333333337</v>
      </c>
      <c r="M51" s="7" t="s">
        <v>461</v>
      </c>
      <c r="N51" s="14" t="s">
        <v>11</v>
      </c>
      <c r="O51" s="14">
        <v>11</v>
      </c>
      <c r="P51" s="13" t="s">
        <v>298</v>
      </c>
      <c r="Q51" s="12" t="s">
        <v>304</v>
      </c>
      <c r="R51" s="11" t="s">
        <v>301</v>
      </c>
      <c r="S51" s="10" t="s">
        <v>256</v>
      </c>
      <c r="T51" s="8">
        <v>0.73</v>
      </c>
      <c r="U51" s="15">
        <v>0.64</v>
      </c>
      <c r="V51" s="8">
        <v>0.27</v>
      </c>
      <c r="W51" s="17"/>
      <c r="X51" s="65">
        <v>46248</v>
      </c>
    </row>
    <row r="52" spans="1:24" ht="19.8" thickBot="1" x14ac:dyDescent="0.3">
      <c r="A52" s="4" t="s">
        <v>305</v>
      </c>
      <c r="B52" s="8">
        <v>0</v>
      </c>
      <c r="C52" s="15">
        <v>1</v>
      </c>
      <c r="D52" s="8">
        <v>1</v>
      </c>
      <c r="E52" s="10" t="s">
        <v>217</v>
      </c>
      <c r="F52" s="11" t="s">
        <v>216</v>
      </c>
      <c r="G52" s="12" t="s">
        <v>218</v>
      </c>
      <c r="H52" s="13" t="s">
        <v>218</v>
      </c>
      <c r="I52" s="14">
        <v>2</v>
      </c>
      <c r="J52" s="14" t="s">
        <v>10</v>
      </c>
      <c r="K52" s="5" t="s">
        <v>462</v>
      </c>
      <c r="L52" s="6">
        <v>0.67708333333333337</v>
      </c>
      <c r="M52" s="7" t="s">
        <v>463</v>
      </c>
      <c r="N52" s="14" t="s">
        <v>11</v>
      </c>
      <c r="O52" s="14">
        <v>2</v>
      </c>
      <c r="P52" s="13" t="s">
        <v>247</v>
      </c>
      <c r="Q52" s="12" t="s">
        <v>220</v>
      </c>
      <c r="R52" s="11" t="s">
        <v>247</v>
      </c>
      <c r="S52" s="10" t="s">
        <v>217</v>
      </c>
      <c r="T52" s="8">
        <v>0.5</v>
      </c>
      <c r="U52" s="9">
        <v>0</v>
      </c>
      <c r="V52" s="8">
        <v>0</v>
      </c>
      <c r="W52" s="17"/>
      <c r="X52" s="65">
        <v>46248</v>
      </c>
    </row>
    <row r="53" spans="1:24" ht="13.8" thickBot="1" x14ac:dyDescent="0.3">
      <c r="A53" s="4" t="s">
        <v>305</v>
      </c>
      <c r="B53" s="8">
        <v>0</v>
      </c>
      <c r="C53" s="9">
        <v>0</v>
      </c>
      <c r="D53" s="8">
        <v>0</v>
      </c>
      <c r="E53" s="10" t="s">
        <v>247</v>
      </c>
      <c r="F53" s="11" t="s">
        <v>247</v>
      </c>
      <c r="G53" s="12" t="s">
        <v>217</v>
      </c>
      <c r="H53" s="13" t="s">
        <v>220</v>
      </c>
      <c r="I53" s="14">
        <v>2</v>
      </c>
      <c r="J53" s="14" t="s">
        <v>10</v>
      </c>
      <c r="K53" s="5" t="s">
        <v>464</v>
      </c>
      <c r="L53" s="6">
        <v>0.57291666666666663</v>
      </c>
      <c r="M53" s="7" t="s">
        <v>465</v>
      </c>
      <c r="N53" s="14" t="s">
        <v>11</v>
      </c>
      <c r="O53" s="14">
        <v>1</v>
      </c>
      <c r="P53" s="13" t="s">
        <v>219</v>
      </c>
      <c r="Q53" s="12" t="s">
        <v>217</v>
      </c>
      <c r="R53" s="11" t="s">
        <v>219</v>
      </c>
      <c r="S53" s="10" t="s">
        <v>217</v>
      </c>
      <c r="T53" s="8">
        <v>0</v>
      </c>
      <c r="U53" s="9">
        <v>0</v>
      </c>
      <c r="V53" s="8">
        <v>0</v>
      </c>
      <c r="W53" s="17"/>
      <c r="X53" s="65">
        <v>46248</v>
      </c>
    </row>
    <row r="54" spans="1:24" ht="19.8" thickBot="1" x14ac:dyDescent="0.3">
      <c r="A54" s="4" t="s">
        <v>157</v>
      </c>
      <c r="B54" s="8">
        <v>0</v>
      </c>
      <c r="C54" s="9">
        <v>0.38</v>
      </c>
      <c r="D54" s="8">
        <v>0.38</v>
      </c>
      <c r="E54" s="10" t="s">
        <v>296</v>
      </c>
      <c r="F54" s="11" t="s">
        <v>222</v>
      </c>
      <c r="G54" s="12" t="s">
        <v>239</v>
      </c>
      <c r="H54" s="13" t="s">
        <v>239</v>
      </c>
      <c r="I54" s="14">
        <v>8</v>
      </c>
      <c r="J54" s="14" t="s">
        <v>10</v>
      </c>
      <c r="K54" s="5" t="s">
        <v>466</v>
      </c>
      <c r="L54" s="6">
        <v>0.875</v>
      </c>
      <c r="M54" s="7" t="s">
        <v>467</v>
      </c>
      <c r="N54" s="14" t="s">
        <v>11</v>
      </c>
      <c r="O54" s="14">
        <v>9</v>
      </c>
      <c r="P54" s="13" t="s">
        <v>306</v>
      </c>
      <c r="Q54" s="12" t="s">
        <v>285</v>
      </c>
      <c r="R54" s="11" t="s">
        <v>224</v>
      </c>
      <c r="S54" s="10" t="s">
        <v>307</v>
      </c>
      <c r="T54" s="8">
        <v>0.78</v>
      </c>
      <c r="U54" s="15">
        <v>0.56000000000000005</v>
      </c>
      <c r="V54" s="8">
        <v>0.56000000000000005</v>
      </c>
      <c r="W54" s="17"/>
      <c r="X54" s="65">
        <v>46248</v>
      </c>
    </row>
    <row r="55" spans="1:24" ht="19.8" thickBot="1" x14ac:dyDescent="0.3">
      <c r="A55" s="4" t="s">
        <v>157</v>
      </c>
      <c r="B55" s="8">
        <v>0.11</v>
      </c>
      <c r="C55" s="15">
        <v>0.56000000000000005</v>
      </c>
      <c r="D55" s="8">
        <v>0.67</v>
      </c>
      <c r="E55" s="10" t="s">
        <v>284</v>
      </c>
      <c r="F55" s="11" t="s">
        <v>217</v>
      </c>
      <c r="G55" s="12" t="s">
        <v>307</v>
      </c>
      <c r="H55" s="13" t="s">
        <v>224</v>
      </c>
      <c r="I55" s="14">
        <v>9</v>
      </c>
      <c r="J55" s="14" t="s">
        <v>10</v>
      </c>
      <c r="K55" s="5" t="s">
        <v>468</v>
      </c>
      <c r="L55" s="6">
        <v>0.9375</v>
      </c>
      <c r="M55" s="7" t="s">
        <v>469</v>
      </c>
      <c r="N55" s="14" t="s">
        <v>11</v>
      </c>
      <c r="O55" s="14">
        <v>9</v>
      </c>
      <c r="P55" s="13" t="s">
        <v>308</v>
      </c>
      <c r="Q55" s="12" t="s">
        <v>309</v>
      </c>
      <c r="R55" s="11" t="s">
        <v>217</v>
      </c>
      <c r="S55" s="10" t="s">
        <v>231</v>
      </c>
      <c r="T55" s="8">
        <v>0.78</v>
      </c>
      <c r="U55" s="9">
        <v>0.33</v>
      </c>
      <c r="V55" s="8">
        <v>0.33</v>
      </c>
      <c r="W55" s="17"/>
      <c r="X55" s="65">
        <v>46248</v>
      </c>
    </row>
    <row r="56" spans="1:24" ht="13.8" thickBot="1" x14ac:dyDescent="0.3">
      <c r="A56" s="4" t="s">
        <v>157</v>
      </c>
      <c r="B56" s="8">
        <v>0.11</v>
      </c>
      <c r="C56" s="9">
        <v>0.33</v>
      </c>
      <c r="D56" s="8">
        <v>0.67</v>
      </c>
      <c r="E56" s="10" t="s">
        <v>310</v>
      </c>
      <c r="F56" s="11" t="s">
        <v>224</v>
      </c>
      <c r="G56" s="12" t="s">
        <v>216</v>
      </c>
      <c r="H56" s="13" t="s">
        <v>229</v>
      </c>
      <c r="I56" s="14">
        <v>9</v>
      </c>
      <c r="J56" s="14" t="s">
        <v>10</v>
      </c>
      <c r="K56" s="5" t="s">
        <v>470</v>
      </c>
      <c r="L56" s="6">
        <v>0.9375</v>
      </c>
      <c r="M56" s="7" t="s">
        <v>471</v>
      </c>
      <c r="N56" s="14" t="s">
        <v>11</v>
      </c>
      <c r="O56" s="14">
        <v>9</v>
      </c>
      <c r="P56" s="13" t="s">
        <v>228</v>
      </c>
      <c r="Q56" s="12" t="s">
        <v>309</v>
      </c>
      <c r="R56" s="11" t="s">
        <v>224</v>
      </c>
      <c r="S56" s="10" t="s">
        <v>229</v>
      </c>
      <c r="T56" s="8">
        <v>0.78</v>
      </c>
      <c r="U56" s="9">
        <v>0.44</v>
      </c>
      <c r="V56" s="8">
        <v>0.44</v>
      </c>
      <c r="W56" s="17"/>
      <c r="X56" s="65">
        <v>46248</v>
      </c>
    </row>
    <row r="57" spans="1:24" ht="19.8" thickBot="1" x14ac:dyDescent="0.3">
      <c r="A57" s="4" t="s">
        <v>157</v>
      </c>
      <c r="B57" s="8">
        <v>0.36</v>
      </c>
      <c r="C57" s="15">
        <v>0.82</v>
      </c>
      <c r="D57" s="8">
        <v>1</v>
      </c>
      <c r="E57" s="10" t="s">
        <v>302</v>
      </c>
      <c r="F57" s="11" t="s">
        <v>261</v>
      </c>
      <c r="G57" s="12" t="s">
        <v>472</v>
      </c>
      <c r="H57" s="13" t="s">
        <v>311</v>
      </c>
      <c r="I57" s="14">
        <v>11</v>
      </c>
      <c r="J57" s="14" t="s">
        <v>10</v>
      </c>
      <c r="K57" s="5" t="s">
        <v>473</v>
      </c>
      <c r="L57" s="6">
        <v>0.39930555555555558</v>
      </c>
      <c r="M57" s="7" t="s">
        <v>162</v>
      </c>
      <c r="N57" s="14" t="s">
        <v>11</v>
      </c>
      <c r="O57" s="14">
        <v>11</v>
      </c>
      <c r="P57" s="13" t="s">
        <v>474</v>
      </c>
      <c r="Q57" s="12" t="s">
        <v>409</v>
      </c>
      <c r="R57" s="11" t="s">
        <v>255</v>
      </c>
      <c r="S57" s="10" t="s">
        <v>312</v>
      </c>
      <c r="T57" s="8">
        <v>0.91</v>
      </c>
      <c r="U57" s="15">
        <v>0.64</v>
      </c>
      <c r="V57" s="8">
        <v>0.55000000000000004</v>
      </c>
      <c r="W57" s="17"/>
      <c r="X57" s="65">
        <v>46248</v>
      </c>
    </row>
    <row r="58" spans="1:24" ht="19.8" thickBot="1" x14ac:dyDescent="0.3">
      <c r="A58" s="4" t="s">
        <v>157</v>
      </c>
      <c r="B58" s="8">
        <v>0.33</v>
      </c>
      <c r="C58" s="9">
        <v>0.33</v>
      </c>
      <c r="D58" s="8">
        <v>0.78</v>
      </c>
      <c r="E58" s="10" t="s">
        <v>228</v>
      </c>
      <c r="F58" s="11" t="s">
        <v>232</v>
      </c>
      <c r="G58" s="12" t="s">
        <v>230</v>
      </c>
      <c r="H58" s="13" t="s">
        <v>229</v>
      </c>
      <c r="I58" s="14">
        <v>9</v>
      </c>
      <c r="J58" s="14" t="s">
        <v>10</v>
      </c>
      <c r="K58" s="5" t="s">
        <v>475</v>
      </c>
      <c r="L58" s="6">
        <v>0.39930555555555558</v>
      </c>
      <c r="M58" s="7" t="s">
        <v>164</v>
      </c>
      <c r="N58" s="14" t="s">
        <v>11</v>
      </c>
      <c r="O58" s="14">
        <v>11</v>
      </c>
      <c r="P58" s="13" t="s">
        <v>301</v>
      </c>
      <c r="Q58" s="12" t="s">
        <v>218</v>
      </c>
      <c r="R58" s="11" t="s">
        <v>260</v>
      </c>
      <c r="S58" s="10" t="s">
        <v>256</v>
      </c>
      <c r="T58" s="8">
        <v>0.73</v>
      </c>
      <c r="U58" s="15">
        <v>0.64</v>
      </c>
      <c r="V58" s="8">
        <v>0.45</v>
      </c>
      <c r="W58" s="17"/>
      <c r="X58" s="65">
        <v>46248</v>
      </c>
    </row>
    <row r="59" spans="1:24" ht="19.8" thickBot="1" x14ac:dyDescent="0.3">
      <c r="A59" s="4" t="s">
        <v>157</v>
      </c>
      <c r="B59" s="8">
        <v>0.18</v>
      </c>
      <c r="C59" s="9">
        <v>0.27</v>
      </c>
      <c r="D59" s="8">
        <v>0.82</v>
      </c>
      <c r="E59" s="10" t="s">
        <v>313</v>
      </c>
      <c r="F59" s="11" t="s">
        <v>260</v>
      </c>
      <c r="G59" s="12" t="s">
        <v>314</v>
      </c>
      <c r="H59" s="13" t="s">
        <v>259</v>
      </c>
      <c r="I59" s="14">
        <v>11</v>
      </c>
      <c r="J59" s="14" t="s">
        <v>10</v>
      </c>
      <c r="K59" s="5" t="s">
        <v>158</v>
      </c>
      <c r="L59" s="6">
        <v>0.41666666666666669</v>
      </c>
      <c r="M59" s="7" t="s">
        <v>476</v>
      </c>
      <c r="N59" s="14" t="s">
        <v>11</v>
      </c>
      <c r="O59" s="14">
        <v>11</v>
      </c>
      <c r="P59" s="13" t="s">
        <v>301</v>
      </c>
      <c r="Q59" s="12" t="s">
        <v>315</v>
      </c>
      <c r="R59" s="11" t="s">
        <v>313</v>
      </c>
      <c r="S59" s="10" t="s">
        <v>265</v>
      </c>
      <c r="T59" s="8">
        <v>0.55000000000000004</v>
      </c>
      <c r="U59" s="9">
        <v>0.36</v>
      </c>
      <c r="V59" s="8">
        <v>0.27</v>
      </c>
      <c r="W59" s="17"/>
      <c r="X59" s="65">
        <v>46248</v>
      </c>
    </row>
    <row r="60" spans="1:24" ht="19.8" thickBot="1" x14ac:dyDescent="0.3">
      <c r="A60" s="4" t="s">
        <v>316</v>
      </c>
      <c r="B60" s="8">
        <v>0.5</v>
      </c>
      <c r="C60" s="9">
        <v>0.5</v>
      </c>
      <c r="D60" s="8">
        <v>0.5</v>
      </c>
      <c r="E60" s="10" t="s">
        <v>247</v>
      </c>
      <c r="F60" s="11" t="s">
        <v>216</v>
      </c>
      <c r="G60" s="12" t="s">
        <v>221</v>
      </c>
      <c r="H60" s="13" t="s">
        <v>218</v>
      </c>
      <c r="I60" s="14">
        <v>2</v>
      </c>
      <c r="J60" s="14" t="s">
        <v>10</v>
      </c>
      <c r="K60" s="5" t="s">
        <v>477</v>
      </c>
      <c r="L60" s="6">
        <v>0.875</v>
      </c>
      <c r="M60" s="7" t="s">
        <v>478</v>
      </c>
      <c r="N60" s="14" t="s">
        <v>11</v>
      </c>
      <c r="O60" s="14">
        <v>1</v>
      </c>
      <c r="P60" s="13" t="s">
        <v>218</v>
      </c>
      <c r="Q60" s="12" t="s">
        <v>218</v>
      </c>
      <c r="R60" s="11" t="s">
        <v>216</v>
      </c>
      <c r="S60" s="10" t="s">
        <v>217</v>
      </c>
      <c r="T60" s="8">
        <v>1</v>
      </c>
      <c r="U60" s="15">
        <v>1</v>
      </c>
      <c r="V60" s="8">
        <v>0</v>
      </c>
      <c r="W60" s="17"/>
      <c r="X60" s="65">
        <v>46248</v>
      </c>
    </row>
    <row r="61" spans="1:24" ht="27" thickBot="1" x14ac:dyDescent="0.3">
      <c r="A61" s="4" t="s">
        <v>479</v>
      </c>
      <c r="B61" s="63"/>
      <c r="C61" s="63"/>
      <c r="D61" s="63"/>
      <c r="E61" s="63"/>
      <c r="F61" s="63"/>
      <c r="G61" s="63"/>
      <c r="H61" s="63"/>
      <c r="I61" s="64"/>
      <c r="J61" s="63"/>
      <c r="K61" s="5" t="s">
        <v>480</v>
      </c>
      <c r="L61" s="6">
        <v>0.9375</v>
      </c>
      <c r="M61" s="7" t="s">
        <v>317</v>
      </c>
      <c r="N61" s="63"/>
      <c r="O61" s="64"/>
      <c r="P61" s="63"/>
      <c r="Q61" s="63"/>
      <c r="R61" s="63"/>
      <c r="S61" s="63"/>
      <c r="T61" s="63"/>
      <c r="U61" s="63"/>
      <c r="V61" s="63"/>
      <c r="W61" s="17"/>
      <c r="X61" s="65">
        <v>46248</v>
      </c>
    </row>
    <row r="62" spans="1:24" ht="19.8" thickBot="1" x14ac:dyDescent="0.3">
      <c r="A62" s="4" t="s">
        <v>481</v>
      </c>
      <c r="B62" s="63"/>
      <c r="C62" s="63"/>
      <c r="D62" s="63"/>
      <c r="E62" s="63"/>
      <c r="F62" s="63"/>
      <c r="G62" s="63"/>
      <c r="H62" s="63"/>
      <c r="I62" s="64"/>
      <c r="J62" s="63"/>
      <c r="K62" s="5" t="s">
        <v>318</v>
      </c>
      <c r="L62" s="6">
        <v>0.9375</v>
      </c>
      <c r="M62" s="7" t="s">
        <v>319</v>
      </c>
      <c r="N62" s="63"/>
      <c r="O62" s="64"/>
      <c r="P62" s="63"/>
      <c r="Q62" s="63"/>
      <c r="R62" s="63"/>
      <c r="S62" s="63"/>
      <c r="T62" s="63"/>
      <c r="U62" s="63"/>
      <c r="V62" s="63"/>
      <c r="W62" s="17"/>
      <c r="X62" s="65">
        <v>46248</v>
      </c>
    </row>
    <row r="63" spans="1:24" ht="19.8" thickBot="1" x14ac:dyDescent="0.3">
      <c r="A63" s="4" t="s">
        <v>320</v>
      </c>
      <c r="B63" s="8">
        <v>0</v>
      </c>
      <c r="C63" s="9">
        <v>0</v>
      </c>
      <c r="D63" s="8">
        <v>1</v>
      </c>
      <c r="E63" s="10" t="s">
        <v>219</v>
      </c>
      <c r="F63" s="11" t="s">
        <v>216</v>
      </c>
      <c r="G63" s="12" t="s">
        <v>216</v>
      </c>
      <c r="H63" s="13" t="s">
        <v>218</v>
      </c>
      <c r="I63" s="14">
        <v>1</v>
      </c>
      <c r="J63" s="14" t="s">
        <v>10</v>
      </c>
      <c r="K63" s="5" t="s">
        <v>482</v>
      </c>
      <c r="L63" s="6">
        <v>0.66666666666666663</v>
      </c>
      <c r="M63" s="7" t="s">
        <v>483</v>
      </c>
      <c r="N63" s="14" t="s">
        <v>11</v>
      </c>
      <c r="O63" s="14">
        <v>1</v>
      </c>
      <c r="P63" s="13" t="s">
        <v>219</v>
      </c>
      <c r="Q63" s="12" t="s">
        <v>218</v>
      </c>
      <c r="R63" s="11" t="s">
        <v>217</v>
      </c>
      <c r="S63" s="10" t="s">
        <v>216</v>
      </c>
      <c r="T63" s="8">
        <v>1</v>
      </c>
      <c r="U63" s="15">
        <v>1</v>
      </c>
      <c r="V63" s="8">
        <v>0</v>
      </c>
      <c r="W63" s="17"/>
      <c r="X63" s="65">
        <v>46248</v>
      </c>
    </row>
    <row r="64" spans="1:24" ht="19.8" thickBot="1" x14ac:dyDescent="0.3">
      <c r="A64" s="4" t="s">
        <v>321</v>
      </c>
      <c r="B64" s="8">
        <v>0</v>
      </c>
      <c r="C64" s="9">
        <v>0</v>
      </c>
      <c r="D64" s="8">
        <v>1</v>
      </c>
      <c r="E64" s="10" t="s">
        <v>219</v>
      </c>
      <c r="F64" s="11" t="s">
        <v>216</v>
      </c>
      <c r="G64" s="12" t="s">
        <v>216</v>
      </c>
      <c r="H64" s="13" t="s">
        <v>218</v>
      </c>
      <c r="I64" s="14">
        <v>2</v>
      </c>
      <c r="J64" s="14" t="s">
        <v>10</v>
      </c>
      <c r="K64" s="5" t="s">
        <v>484</v>
      </c>
      <c r="L64" s="6">
        <v>0.58333333333333337</v>
      </c>
      <c r="M64" s="7" t="s">
        <v>485</v>
      </c>
      <c r="N64" s="14" t="s">
        <v>11</v>
      </c>
      <c r="O64" s="14">
        <v>1</v>
      </c>
      <c r="P64" s="13" t="s">
        <v>217</v>
      </c>
      <c r="Q64" s="12" t="s">
        <v>216</v>
      </c>
      <c r="R64" s="11" t="s">
        <v>217</v>
      </c>
      <c r="S64" s="10" t="s">
        <v>217</v>
      </c>
      <c r="T64" s="8">
        <v>1</v>
      </c>
      <c r="U64" s="9">
        <v>0</v>
      </c>
      <c r="V64" s="8">
        <v>0</v>
      </c>
      <c r="W64" s="17"/>
      <c r="X64" s="65">
        <v>46248</v>
      </c>
    </row>
    <row r="65" spans="1:24" ht="13.8" thickBot="1" x14ac:dyDescent="0.3">
      <c r="A65" s="4" t="s">
        <v>321</v>
      </c>
      <c r="B65" s="8">
        <v>0</v>
      </c>
      <c r="C65" s="9">
        <v>0</v>
      </c>
      <c r="D65" s="8">
        <v>0</v>
      </c>
      <c r="E65" s="10" t="s">
        <v>219</v>
      </c>
      <c r="F65" s="11" t="s">
        <v>217</v>
      </c>
      <c r="G65" s="12" t="s">
        <v>217</v>
      </c>
      <c r="H65" s="13" t="s">
        <v>218</v>
      </c>
      <c r="I65" s="14">
        <v>1</v>
      </c>
      <c r="J65" s="14" t="s">
        <v>10</v>
      </c>
      <c r="K65" s="5" t="s">
        <v>486</v>
      </c>
      <c r="L65" s="6">
        <v>0.58333333333333337</v>
      </c>
      <c r="M65" s="7" t="s">
        <v>487</v>
      </c>
      <c r="N65" s="14" t="s">
        <v>11</v>
      </c>
      <c r="O65" s="14">
        <v>2</v>
      </c>
      <c r="P65" s="13" t="s">
        <v>247</v>
      </c>
      <c r="Q65" s="12" t="s">
        <v>221</v>
      </c>
      <c r="R65" s="11" t="s">
        <v>217</v>
      </c>
      <c r="S65" s="10" t="s">
        <v>220</v>
      </c>
      <c r="T65" s="8">
        <v>0.5</v>
      </c>
      <c r="U65" s="9">
        <v>0.5</v>
      </c>
      <c r="V65" s="8">
        <v>0.5</v>
      </c>
      <c r="W65" s="17"/>
      <c r="X65" s="65">
        <v>46248</v>
      </c>
    </row>
    <row r="66" spans="1:24" ht="13.8" thickBot="1" x14ac:dyDescent="0.3">
      <c r="A66" s="4" t="s">
        <v>322</v>
      </c>
      <c r="B66" s="8">
        <v>0</v>
      </c>
      <c r="C66" s="9">
        <v>0</v>
      </c>
      <c r="D66" s="8">
        <v>0</v>
      </c>
      <c r="E66" s="10" t="s">
        <v>219</v>
      </c>
      <c r="F66" s="11" t="s">
        <v>217</v>
      </c>
      <c r="G66" s="12" t="s">
        <v>217</v>
      </c>
      <c r="H66" s="13" t="s">
        <v>218</v>
      </c>
      <c r="I66" s="14">
        <v>1</v>
      </c>
      <c r="J66" s="14" t="s">
        <v>10</v>
      </c>
      <c r="K66" s="5" t="s">
        <v>488</v>
      </c>
      <c r="L66" s="6">
        <v>0.625</v>
      </c>
      <c r="M66" s="7" t="s">
        <v>489</v>
      </c>
      <c r="N66" s="14" t="s">
        <v>11</v>
      </c>
      <c r="O66" s="14">
        <v>1</v>
      </c>
      <c r="P66" s="13" t="s">
        <v>217</v>
      </c>
      <c r="Q66" s="12" t="s">
        <v>226</v>
      </c>
      <c r="R66" s="11" t="s">
        <v>216</v>
      </c>
      <c r="S66" s="10" t="s">
        <v>216</v>
      </c>
      <c r="T66" s="8">
        <v>1</v>
      </c>
      <c r="U66" s="15">
        <v>1</v>
      </c>
      <c r="V66" s="8">
        <v>1</v>
      </c>
      <c r="W66" s="17"/>
      <c r="X66" s="65">
        <v>46248</v>
      </c>
    </row>
    <row r="67" spans="1:24" ht="13.8" thickBot="1" x14ac:dyDescent="0.3">
      <c r="A67" s="4" t="s">
        <v>322</v>
      </c>
      <c r="B67" s="8">
        <v>0</v>
      </c>
      <c r="C67" s="9">
        <v>0</v>
      </c>
      <c r="D67" s="8">
        <v>0.5</v>
      </c>
      <c r="E67" s="10" t="s">
        <v>247</v>
      </c>
      <c r="F67" s="11" t="s">
        <v>217</v>
      </c>
      <c r="G67" s="12" t="s">
        <v>220</v>
      </c>
      <c r="H67" s="13" t="s">
        <v>216</v>
      </c>
      <c r="I67" s="14">
        <v>2</v>
      </c>
      <c r="J67" s="14" t="s">
        <v>10</v>
      </c>
      <c r="K67" s="5" t="s">
        <v>490</v>
      </c>
      <c r="L67" s="6">
        <v>0.625</v>
      </c>
      <c r="M67" s="7" t="s">
        <v>491</v>
      </c>
      <c r="N67" s="14" t="s">
        <v>11</v>
      </c>
      <c r="O67" s="14">
        <v>1</v>
      </c>
      <c r="P67" s="13" t="s">
        <v>217</v>
      </c>
      <c r="Q67" s="12" t="s">
        <v>216</v>
      </c>
      <c r="R67" s="11" t="s">
        <v>217</v>
      </c>
      <c r="S67" s="10" t="s">
        <v>217</v>
      </c>
      <c r="T67" s="8">
        <v>1</v>
      </c>
      <c r="U67" s="9">
        <v>0</v>
      </c>
      <c r="V67" s="8">
        <v>0</v>
      </c>
      <c r="W67" s="17"/>
      <c r="X67" s="65">
        <v>46248</v>
      </c>
    </row>
    <row r="68" spans="1:24" ht="13.8" thickBot="1" x14ac:dyDescent="0.3">
      <c r="A68" s="4" t="s">
        <v>322</v>
      </c>
      <c r="B68" s="8">
        <v>0</v>
      </c>
      <c r="C68" s="9">
        <v>0</v>
      </c>
      <c r="D68" s="8">
        <v>0</v>
      </c>
      <c r="E68" s="10" t="s">
        <v>217</v>
      </c>
      <c r="F68" s="11" t="s">
        <v>219</v>
      </c>
      <c r="G68" s="12" t="s">
        <v>217</v>
      </c>
      <c r="H68" s="13" t="s">
        <v>219</v>
      </c>
      <c r="I68" s="14">
        <v>1</v>
      </c>
      <c r="J68" s="14" t="s">
        <v>10</v>
      </c>
      <c r="K68" s="5" t="s">
        <v>492</v>
      </c>
      <c r="L68" s="6">
        <v>0.625</v>
      </c>
      <c r="M68" s="7" t="s">
        <v>493</v>
      </c>
      <c r="N68" s="14" t="s">
        <v>11</v>
      </c>
      <c r="O68" s="14">
        <v>1</v>
      </c>
      <c r="P68" s="13" t="s">
        <v>218</v>
      </c>
      <c r="Q68" s="12" t="s">
        <v>216</v>
      </c>
      <c r="R68" s="11" t="s">
        <v>216</v>
      </c>
      <c r="S68" s="10" t="s">
        <v>219</v>
      </c>
      <c r="T68" s="8">
        <v>1</v>
      </c>
      <c r="U68" s="9">
        <v>0</v>
      </c>
      <c r="V68" s="8">
        <v>0</v>
      </c>
      <c r="W68" s="17"/>
      <c r="X68" s="65">
        <v>46248</v>
      </c>
    </row>
    <row r="69" spans="1:24" ht="13.8" thickBot="1" x14ac:dyDescent="0.3">
      <c r="A69" s="4" t="s">
        <v>322</v>
      </c>
      <c r="B69" s="8">
        <v>0</v>
      </c>
      <c r="C69" s="9">
        <v>0</v>
      </c>
      <c r="D69" s="8">
        <v>1</v>
      </c>
      <c r="E69" s="10" t="s">
        <v>216</v>
      </c>
      <c r="F69" s="11" t="s">
        <v>219</v>
      </c>
      <c r="G69" s="12" t="s">
        <v>216</v>
      </c>
      <c r="H69" s="13" t="s">
        <v>219</v>
      </c>
      <c r="I69" s="14">
        <v>1</v>
      </c>
      <c r="J69" s="14" t="s">
        <v>10</v>
      </c>
      <c r="K69" s="5" t="s">
        <v>494</v>
      </c>
      <c r="L69" s="6">
        <v>0.58333333333333337</v>
      </c>
      <c r="M69" s="7" t="s">
        <v>495</v>
      </c>
      <c r="N69" s="14" t="s">
        <v>11</v>
      </c>
      <c r="O69" s="14">
        <v>1</v>
      </c>
      <c r="P69" s="13" t="s">
        <v>218</v>
      </c>
      <c r="Q69" s="12" t="s">
        <v>217</v>
      </c>
      <c r="R69" s="11" t="s">
        <v>217</v>
      </c>
      <c r="S69" s="10" t="s">
        <v>219</v>
      </c>
      <c r="T69" s="8">
        <v>0</v>
      </c>
      <c r="U69" s="9">
        <v>0</v>
      </c>
      <c r="V69" s="8">
        <v>0</v>
      </c>
      <c r="W69" s="17"/>
      <c r="X69" s="65">
        <v>46248</v>
      </c>
    </row>
    <row r="70" spans="1:24" ht="13.8" thickBot="1" x14ac:dyDescent="0.3">
      <c r="A70" s="4" t="s">
        <v>322</v>
      </c>
      <c r="B70" s="8">
        <v>1</v>
      </c>
      <c r="C70" s="15">
        <v>1</v>
      </c>
      <c r="D70" s="8">
        <v>1</v>
      </c>
      <c r="E70" s="10" t="s">
        <v>218</v>
      </c>
      <c r="F70" s="11" t="s">
        <v>217</v>
      </c>
      <c r="G70" s="12" t="s">
        <v>226</v>
      </c>
      <c r="H70" s="13" t="s">
        <v>219</v>
      </c>
      <c r="I70" s="14">
        <v>1</v>
      </c>
      <c r="J70" s="14" t="s">
        <v>10</v>
      </c>
      <c r="K70" s="5" t="s">
        <v>496</v>
      </c>
      <c r="L70" s="6">
        <v>0.625</v>
      </c>
      <c r="M70" s="7" t="s">
        <v>497</v>
      </c>
      <c r="N70" s="14" t="s">
        <v>11</v>
      </c>
      <c r="O70" s="14">
        <v>1</v>
      </c>
      <c r="P70" s="13" t="s">
        <v>217</v>
      </c>
      <c r="Q70" s="12" t="s">
        <v>226</v>
      </c>
      <c r="R70" s="11" t="s">
        <v>216</v>
      </c>
      <c r="S70" s="10" t="s">
        <v>216</v>
      </c>
      <c r="T70" s="8">
        <v>1</v>
      </c>
      <c r="U70" s="15">
        <v>1</v>
      </c>
      <c r="V70" s="8">
        <v>1</v>
      </c>
      <c r="W70" s="17"/>
      <c r="X70" s="65">
        <v>46248</v>
      </c>
    </row>
    <row r="71" spans="1:24" ht="13.8" thickBot="1" x14ac:dyDescent="0.3">
      <c r="A71" s="4" t="s">
        <v>322</v>
      </c>
      <c r="B71" s="8">
        <v>1</v>
      </c>
      <c r="C71" s="15">
        <v>1</v>
      </c>
      <c r="D71" s="8">
        <v>1</v>
      </c>
      <c r="E71" s="10" t="s">
        <v>216</v>
      </c>
      <c r="F71" s="11" t="s">
        <v>216</v>
      </c>
      <c r="G71" s="12" t="s">
        <v>226</v>
      </c>
      <c r="H71" s="13" t="s">
        <v>217</v>
      </c>
      <c r="I71" s="14">
        <v>1</v>
      </c>
      <c r="J71" s="14" t="s">
        <v>10</v>
      </c>
      <c r="K71" s="5" t="s">
        <v>498</v>
      </c>
      <c r="L71" s="6">
        <v>0.625</v>
      </c>
      <c r="M71" s="7" t="s">
        <v>499</v>
      </c>
      <c r="N71" s="14" t="s">
        <v>11</v>
      </c>
      <c r="O71" s="14">
        <v>1</v>
      </c>
      <c r="P71" s="13" t="s">
        <v>218</v>
      </c>
      <c r="Q71" s="12" t="s">
        <v>226</v>
      </c>
      <c r="R71" s="11" t="s">
        <v>218</v>
      </c>
      <c r="S71" s="10" t="s">
        <v>217</v>
      </c>
      <c r="T71" s="8">
        <v>1</v>
      </c>
      <c r="U71" s="15">
        <v>1</v>
      </c>
      <c r="V71" s="8">
        <v>1</v>
      </c>
      <c r="W71" s="17"/>
      <c r="X71" s="65">
        <v>46248</v>
      </c>
    </row>
    <row r="72" spans="1:24" ht="19.8" thickBot="1" x14ac:dyDescent="0.3">
      <c r="A72" s="4" t="s">
        <v>322</v>
      </c>
      <c r="B72" s="8">
        <v>1</v>
      </c>
      <c r="C72" s="15">
        <v>1</v>
      </c>
      <c r="D72" s="8">
        <v>1</v>
      </c>
      <c r="E72" s="10" t="s">
        <v>218</v>
      </c>
      <c r="F72" s="11" t="s">
        <v>216</v>
      </c>
      <c r="G72" s="12" t="s">
        <v>278</v>
      </c>
      <c r="H72" s="13" t="s">
        <v>219</v>
      </c>
      <c r="I72" s="14">
        <v>1</v>
      </c>
      <c r="J72" s="14" t="s">
        <v>10</v>
      </c>
      <c r="K72" s="5" t="s">
        <v>500</v>
      </c>
      <c r="L72" s="6">
        <v>0.625</v>
      </c>
      <c r="M72" s="7" t="s">
        <v>501</v>
      </c>
      <c r="N72" s="14" t="s">
        <v>11</v>
      </c>
      <c r="O72" s="14">
        <v>2</v>
      </c>
      <c r="P72" s="13" t="s">
        <v>247</v>
      </c>
      <c r="Q72" s="12" t="s">
        <v>246</v>
      </c>
      <c r="R72" s="11" t="s">
        <v>217</v>
      </c>
      <c r="S72" s="10" t="s">
        <v>221</v>
      </c>
      <c r="T72" s="8">
        <v>1</v>
      </c>
      <c r="U72" s="15">
        <v>1</v>
      </c>
      <c r="V72" s="8">
        <v>0.5</v>
      </c>
      <c r="W72" s="17"/>
      <c r="X72" s="65">
        <v>46248</v>
      </c>
    </row>
    <row r="73" spans="1:24" ht="19.8" thickBot="1" x14ac:dyDescent="0.3">
      <c r="A73" s="4" t="s">
        <v>244</v>
      </c>
      <c r="B73" s="63"/>
      <c r="C73" s="63"/>
      <c r="D73" s="63"/>
      <c r="E73" s="63"/>
      <c r="F73" s="63"/>
      <c r="G73" s="63"/>
      <c r="H73" s="63"/>
      <c r="I73" s="64"/>
      <c r="J73" s="14" t="s">
        <v>10</v>
      </c>
      <c r="K73" s="5" t="s">
        <v>502</v>
      </c>
      <c r="L73" s="6">
        <v>0.70833333333333337</v>
      </c>
      <c r="M73" s="7" t="s">
        <v>503</v>
      </c>
      <c r="N73" s="14" t="s">
        <v>11</v>
      </c>
      <c r="O73" s="64"/>
      <c r="P73" s="63"/>
      <c r="Q73" s="63"/>
      <c r="R73" s="63"/>
      <c r="S73" s="63"/>
      <c r="T73" s="63"/>
      <c r="U73" s="63"/>
      <c r="V73" s="63"/>
      <c r="W73" s="17"/>
      <c r="X73" s="65">
        <v>46248</v>
      </c>
    </row>
    <row r="74" spans="1:24" ht="13.8" thickBot="1" x14ac:dyDescent="0.3">
      <c r="A74" s="4" t="s">
        <v>244</v>
      </c>
      <c r="B74" s="8">
        <v>0</v>
      </c>
      <c r="C74" s="15">
        <v>1</v>
      </c>
      <c r="D74" s="8">
        <v>1</v>
      </c>
      <c r="E74" s="10" t="s">
        <v>216</v>
      </c>
      <c r="F74" s="11" t="s">
        <v>217</v>
      </c>
      <c r="G74" s="12" t="s">
        <v>218</v>
      </c>
      <c r="H74" s="13" t="s">
        <v>219</v>
      </c>
      <c r="I74" s="14">
        <v>1</v>
      </c>
      <c r="J74" s="14" t="s">
        <v>10</v>
      </c>
      <c r="K74" s="5" t="s">
        <v>504</v>
      </c>
      <c r="L74" s="6">
        <v>0.69791666666666663</v>
      </c>
      <c r="M74" s="7" t="s">
        <v>505</v>
      </c>
      <c r="N74" s="14" t="s">
        <v>11</v>
      </c>
      <c r="O74" s="14">
        <v>1</v>
      </c>
      <c r="P74" s="13" t="s">
        <v>219</v>
      </c>
      <c r="Q74" s="12" t="s">
        <v>278</v>
      </c>
      <c r="R74" s="11" t="s">
        <v>216</v>
      </c>
      <c r="S74" s="10" t="s">
        <v>218</v>
      </c>
      <c r="T74" s="8">
        <v>1</v>
      </c>
      <c r="U74" s="15">
        <v>1</v>
      </c>
      <c r="V74" s="8">
        <v>1</v>
      </c>
      <c r="W74" s="17"/>
      <c r="X74" s="65">
        <v>46248</v>
      </c>
    </row>
    <row r="75" spans="1:24" ht="13.8" thickBot="1" x14ac:dyDescent="0.3">
      <c r="A75" s="4" t="s">
        <v>175</v>
      </c>
      <c r="B75" s="8">
        <v>0.64</v>
      </c>
      <c r="C75" s="15">
        <v>1</v>
      </c>
      <c r="D75" s="8">
        <v>1</v>
      </c>
      <c r="E75" s="10" t="s">
        <v>314</v>
      </c>
      <c r="F75" s="11" t="s">
        <v>261</v>
      </c>
      <c r="G75" s="12" t="s">
        <v>506</v>
      </c>
      <c r="H75" s="13" t="s">
        <v>301</v>
      </c>
      <c r="I75" s="14">
        <v>11</v>
      </c>
      <c r="J75" s="14" t="s">
        <v>10</v>
      </c>
      <c r="K75" s="5" t="s">
        <v>177</v>
      </c>
      <c r="L75" s="6">
        <v>0.58333333333333337</v>
      </c>
      <c r="M75" s="7" t="s">
        <v>507</v>
      </c>
      <c r="N75" s="14" t="s">
        <v>11</v>
      </c>
      <c r="O75" s="14">
        <v>9</v>
      </c>
      <c r="P75" s="13" t="s">
        <v>228</v>
      </c>
      <c r="Q75" s="12" t="s">
        <v>323</v>
      </c>
      <c r="R75" s="11" t="s">
        <v>228</v>
      </c>
      <c r="S75" s="10" t="s">
        <v>307</v>
      </c>
      <c r="T75" s="8">
        <v>0.67</v>
      </c>
      <c r="U75" s="15">
        <v>0.67</v>
      </c>
      <c r="V75" s="8">
        <v>0.44</v>
      </c>
      <c r="W75" s="17"/>
      <c r="X75" s="65">
        <v>46248</v>
      </c>
    </row>
    <row r="76" spans="1:24" ht="13.8" thickBot="1" x14ac:dyDescent="0.3">
      <c r="A76" s="4" t="s">
        <v>87</v>
      </c>
      <c r="B76" s="8">
        <v>0.33</v>
      </c>
      <c r="C76" s="9">
        <v>0.44</v>
      </c>
      <c r="D76" s="8">
        <v>0.67</v>
      </c>
      <c r="E76" s="10" t="s">
        <v>324</v>
      </c>
      <c r="F76" s="11" t="s">
        <v>231</v>
      </c>
      <c r="G76" s="12" t="s">
        <v>325</v>
      </c>
      <c r="H76" s="13" t="s">
        <v>216</v>
      </c>
      <c r="I76" s="14">
        <v>9</v>
      </c>
      <c r="J76" s="14" t="s">
        <v>10</v>
      </c>
      <c r="K76" s="5" t="s">
        <v>508</v>
      </c>
      <c r="L76" s="6">
        <v>0.54166666666666663</v>
      </c>
      <c r="M76" s="7" t="s">
        <v>509</v>
      </c>
      <c r="N76" s="14" t="s">
        <v>11</v>
      </c>
      <c r="O76" s="14">
        <v>9</v>
      </c>
      <c r="P76" s="13" t="s">
        <v>326</v>
      </c>
      <c r="Q76" s="12" t="s">
        <v>216</v>
      </c>
      <c r="R76" s="11" t="s">
        <v>310</v>
      </c>
      <c r="S76" s="10" t="s">
        <v>224</v>
      </c>
      <c r="T76" s="8">
        <v>0.56000000000000005</v>
      </c>
      <c r="U76" s="9">
        <v>0.33</v>
      </c>
      <c r="V76" s="8">
        <v>0.22</v>
      </c>
      <c r="W76" s="17"/>
      <c r="X76" s="65">
        <v>46248</v>
      </c>
    </row>
    <row r="77" spans="1:24" ht="13.8" thickBot="1" x14ac:dyDescent="0.3">
      <c r="A77" s="4" t="s">
        <v>87</v>
      </c>
      <c r="B77" s="8">
        <v>0.11</v>
      </c>
      <c r="C77" s="9">
        <v>0.22</v>
      </c>
      <c r="D77" s="8">
        <v>0.44</v>
      </c>
      <c r="E77" s="10" t="s">
        <v>306</v>
      </c>
      <c r="F77" s="11" t="s">
        <v>217</v>
      </c>
      <c r="G77" s="12" t="s">
        <v>231</v>
      </c>
      <c r="H77" s="13" t="s">
        <v>216</v>
      </c>
      <c r="I77" s="14">
        <v>9</v>
      </c>
      <c r="J77" s="14" t="s">
        <v>10</v>
      </c>
      <c r="K77" s="5" t="s">
        <v>510</v>
      </c>
      <c r="L77" s="6">
        <v>0.5625</v>
      </c>
      <c r="M77" s="7" t="s">
        <v>181</v>
      </c>
      <c r="N77" s="14" t="s">
        <v>11</v>
      </c>
      <c r="O77" s="14">
        <v>8</v>
      </c>
      <c r="P77" s="13" t="s">
        <v>223</v>
      </c>
      <c r="Q77" s="12" t="s">
        <v>225</v>
      </c>
      <c r="R77" s="11" t="s">
        <v>220</v>
      </c>
      <c r="S77" s="10" t="s">
        <v>222</v>
      </c>
      <c r="T77" s="8">
        <v>0.62</v>
      </c>
      <c r="U77" s="9">
        <v>0.38</v>
      </c>
      <c r="V77" s="8">
        <v>0.25</v>
      </c>
      <c r="W77" s="17"/>
      <c r="X77" s="65">
        <v>46248</v>
      </c>
    </row>
    <row r="78" spans="1:24" ht="13.8" thickBot="1" x14ac:dyDescent="0.3">
      <c r="A78" s="4" t="s">
        <v>366</v>
      </c>
      <c r="B78" s="63"/>
      <c r="C78" s="63"/>
      <c r="D78" s="63"/>
      <c r="E78" s="63"/>
      <c r="F78" s="63"/>
      <c r="G78" s="63"/>
      <c r="H78" s="63"/>
      <c r="I78" s="64"/>
      <c r="J78" s="14" t="s">
        <v>10</v>
      </c>
      <c r="K78" s="5" t="s">
        <v>511</v>
      </c>
      <c r="L78" s="6">
        <v>0.625</v>
      </c>
      <c r="M78" s="7" t="s">
        <v>512</v>
      </c>
      <c r="N78" s="14" t="s">
        <v>11</v>
      </c>
      <c r="O78" s="64"/>
      <c r="P78" s="63"/>
      <c r="Q78" s="63"/>
      <c r="R78" s="63"/>
      <c r="S78" s="63"/>
      <c r="T78" s="63"/>
      <c r="U78" s="63"/>
      <c r="V78" s="63"/>
      <c r="W78" s="17"/>
      <c r="X78" s="65">
        <v>46248</v>
      </c>
    </row>
    <row r="79" spans="1:24" ht="13.8" thickBot="1" x14ac:dyDescent="0.3">
      <c r="A79" s="4" t="s">
        <v>366</v>
      </c>
      <c r="B79" s="8">
        <v>0</v>
      </c>
      <c r="C79" s="15">
        <v>1</v>
      </c>
      <c r="D79" s="8">
        <v>1</v>
      </c>
      <c r="E79" s="10" t="s">
        <v>218</v>
      </c>
      <c r="F79" s="11" t="s">
        <v>219</v>
      </c>
      <c r="G79" s="12" t="s">
        <v>218</v>
      </c>
      <c r="H79" s="13" t="s">
        <v>219</v>
      </c>
      <c r="I79" s="14">
        <v>1</v>
      </c>
      <c r="J79" s="14" t="s">
        <v>10</v>
      </c>
      <c r="K79" s="5" t="s">
        <v>513</v>
      </c>
      <c r="L79" s="6">
        <v>0.625</v>
      </c>
      <c r="M79" s="7" t="s">
        <v>514</v>
      </c>
      <c r="N79" s="14" t="s">
        <v>11</v>
      </c>
      <c r="O79" s="64"/>
      <c r="P79" s="63"/>
      <c r="Q79" s="63"/>
      <c r="R79" s="63"/>
      <c r="S79" s="63"/>
      <c r="T79" s="63"/>
      <c r="U79" s="63"/>
      <c r="V79" s="63"/>
      <c r="W79" s="17"/>
      <c r="X79" s="65">
        <v>46248</v>
      </c>
    </row>
    <row r="80" spans="1:24" ht="19.8" thickBot="1" x14ac:dyDescent="0.3">
      <c r="A80" s="4" t="s">
        <v>366</v>
      </c>
      <c r="B80" s="63"/>
      <c r="C80" s="63"/>
      <c r="D80" s="63"/>
      <c r="E80" s="63"/>
      <c r="F80" s="63"/>
      <c r="G80" s="63"/>
      <c r="H80" s="63"/>
      <c r="I80" s="64"/>
      <c r="J80" s="14" t="s">
        <v>10</v>
      </c>
      <c r="K80" s="5" t="s">
        <v>515</v>
      </c>
      <c r="L80" s="6">
        <v>0.625</v>
      </c>
      <c r="M80" s="7" t="s">
        <v>516</v>
      </c>
      <c r="N80" s="14" t="s">
        <v>11</v>
      </c>
      <c r="O80" s="64"/>
      <c r="P80" s="63"/>
      <c r="Q80" s="63"/>
      <c r="R80" s="63"/>
      <c r="S80" s="63"/>
      <c r="T80" s="63"/>
      <c r="U80" s="63"/>
      <c r="V80" s="63"/>
      <c r="W80" s="17"/>
      <c r="X80" s="65">
        <v>46248</v>
      </c>
    </row>
    <row r="81" spans="1:24" ht="13.8" thickBot="1" x14ac:dyDescent="0.3">
      <c r="A81" s="4" t="s">
        <v>366</v>
      </c>
      <c r="B81" s="63"/>
      <c r="C81" s="63"/>
      <c r="D81" s="63"/>
      <c r="E81" s="63"/>
      <c r="F81" s="63"/>
      <c r="G81" s="63"/>
      <c r="H81" s="63"/>
      <c r="I81" s="64"/>
      <c r="J81" s="14" t="s">
        <v>10</v>
      </c>
      <c r="K81" s="5" t="s">
        <v>517</v>
      </c>
      <c r="L81" s="6">
        <v>0.625</v>
      </c>
      <c r="M81" s="7" t="s">
        <v>518</v>
      </c>
      <c r="N81" s="14" t="s">
        <v>11</v>
      </c>
      <c r="O81" s="64"/>
      <c r="P81" s="63"/>
      <c r="Q81" s="63"/>
      <c r="R81" s="63"/>
      <c r="S81" s="63"/>
      <c r="T81" s="63"/>
      <c r="U81" s="63"/>
      <c r="V81" s="63"/>
      <c r="W81" s="17"/>
      <c r="X81" s="65">
        <v>46248</v>
      </c>
    </row>
    <row r="82" spans="1:24" ht="19.8" thickBot="1" x14ac:dyDescent="0.3">
      <c r="A82" s="4" t="s">
        <v>366</v>
      </c>
      <c r="B82" s="63"/>
      <c r="C82" s="63"/>
      <c r="D82" s="63"/>
      <c r="E82" s="63"/>
      <c r="F82" s="63"/>
      <c r="G82" s="63"/>
      <c r="H82" s="63"/>
      <c r="I82" s="64"/>
      <c r="J82" s="14" t="s">
        <v>10</v>
      </c>
      <c r="K82" s="5" t="s">
        <v>519</v>
      </c>
      <c r="L82" s="6">
        <v>0.625</v>
      </c>
      <c r="M82" s="7" t="s">
        <v>520</v>
      </c>
      <c r="N82" s="14" t="s">
        <v>11</v>
      </c>
      <c r="O82" s="64"/>
      <c r="P82" s="63"/>
      <c r="Q82" s="63"/>
      <c r="R82" s="63"/>
      <c r="S82" s="63"/>
      <c r="T82" s="63"/>
      <c r="U82" s="63"/>
      <c r="V82" s="63"/>
      <c r="W82" s="17"/>
      <c r="X82" s="65">
        <v>46248</v>
      </c>
    </row>
    <row r="83" spans="1:24" ht="13.8" thickBot="1" x14ac:dyDescent="0.3">
      <c r="A83" s="4" t="s">
        <v>366</v>
      </c>
      <c r="B83" s="63"/>
      <c r="C83" s="63"/>
      <c r="D83" s="63"/>
      <c r="E83" s="63"/>
      <c r="F83" s="63"/>
      <c r="G83" s="63"/>
      <c r="H83" s="63"/>
      <c r="I83" s="64"/>
      <c r="J83" s="14" t="s">
        <v>10</v>
      </c>
      <c r="K83" s="5" t="s">
        <v>521</v>
      </c>
      <c r="L83" s="6">
        <v>0.625</v>
      </c>
      <c r="M83" s="7" t="s">
        <v>522</v>
      </c>
      <c r="N83" s="14" t="s">
        <v>11</v>
      </c>
      <c r="O83" s="64"/>
      <c r="P83" s="63"/>
      <c r="Q83" s="63"/>
      <c r="R83" s="63"/>
      <c r="S83" s="63"/>
      <c r="T83" s="63"/>
      <c r="U83" s="63"/>
      <c r="V83" s="63"/>
      <c r="W83" s="17"/>
      <c r="X83" s="65">
        <v>46248</v>
      </c>
    </row>
    <row r="84" spans="1:24" ht="19.8" thickBot="1" x14ac:dyDescent="0.3">
      <c r="A84" s="4" t="s">
        <v>366</v>
      </c>
      <c r="B84" s="63"/>
      <c r="C84" s="63"/>
      <c r="D84" s="63"/>
      <c r="E84" s="63"/>
      <c r="F84" s="63"/>
      <c r="G84" s="63"/>
      <c r="H84" s="63"/>
      <c r="I84" s="64"/>
      <c r="J84" s="14" t="s">
        <v>10</v>
      </c>
      <c r="K84" s="5" t="s">
        <v>523</v>
      </c>
      <c r="L84" s="6">
        <v>0.625</v>
      </c>
      <c r="M84" s="7" t="s">
        <v>524</v>
      </c>
      <c r="N84" s="14" t="s">
        <v>11</v>
      </c>
      <c r="O84" s="64"/>
      <c r="P84" s="63"/>
      <c r="Q84" s="63"/>
      <c r="R84" s="63"/>
      <c r="S84" s="63"/>
      <c r="T84" s="63"/>
      <c r="U84" s="63"/>
      <c r="V84" s="63"/>
      <c r="W84" s="17"/>
      <c r="X84" s="65">
        <v>46248</v>
      </c>
    </row>
    <row r="85" spans="1:24" ht="13.8" thickBot="1" x14ac:dyDescent="0.3">
      <c r="A85" s="4" t="s">
        <v>366</v>
      </c>
      <c r="B85" s="63"/>
      <c r="C85" s="63"/>
      <c r="D85" s="63"/>
      <c r="E85" s="63"/>
      <c r="F85" s="63"/>
      <c r="G85" s="63"/>
      <c r="H85" s="63"/>
      <c r="I85" s="64"/>
      <c r="J85" s="14" t="s">
        <v>10</v>
      </c>
      <c r="K85" s="5" t="s">
        <v>525</v>
      </c>
      <c r="L85" s="6">
        <v>0.625</v>
      </c>
      <c r="M85" s="7" t="s">
        <v>526</v>
      </c>
      <c r="N85" s="14" t="s">
        <v>11</v>
      </c>
      <c r="O85" s="14">
        <v>1</v>
      </c>
      <c r="P85" s="13" t="s">
        <v>218</v>
      </c>
      <c r="Q85" s="12" t="s">
        <v>216</v>
      </c>
      <c r="R85" s="11" t="s">
        <v>216</v>
      </c>
      <c r="S85" s="10" t="s">
        <v>219</v>
      </c>
      <c r="T85" s="8">
        <v>1</v>
      </c>
      <c r="U85" s="9">
        <v>0</v>
      </c>
      <c r="V85" s="8">
        <v>0</v>
      </c>
      <c r="W85" s="17"/>
      <c r="X85" s="65">
        <v>46248</v>
      </c>
    </row>
    <row r="86" spans="1:24" ht="13.8" thickBot="1" x14ac:dyDescent="0.3">
      <c r="A86" s="4" t="s">
        <v>366</v>
      </c>
      <c r="B86" s="63"/>
      <c r="C86" s="63"/>
      <c r="D86" s="63"/>
      <c r="E86" s="63"/>
      <c r="F86" s="63"/>
      <c r="G86" s="63"/>
      <c r="H86" s="63"/>
      <c r="I86" s="64"/>
      <c r="J86" s="14" t="s">
        <v>10</v>
      </c>
      <c r="K86" s="5" t="s">
        <v>527</v>
      </c>
      <c r="L86" s="6">
        <v>0.625</v>
      </c>
      <c r="M86" s="7" t="s">
        <v>528</v>
      </c>
      <c r="N86" s="14" t="s">
        <v>11</v>
      </c>
      <c r="O86" s="64"/>
      <c r="P86" s="63"/>
      <c r="Q86" s="63"/>
      <c r="R86" s="63"/>
      <c r="S86" s="63"/>
      <c r="T86" s="63"/>
      <c r="U86" s="63"/>
      <c r="V86" s="63"/>
      <c r="W86" s="17"/>
      <c r="X86" s="65">
        <v>46248</v>
      </c>
    </row>
    <row r="87" spans="1:24" ht="19.8" thickBot="1" x14ac:dyDescent="0.3">
      <c r="A87" s="4" t="s">
        <v>215</v>
      </c>
      <c r="B87" s="63"/>
      <c r="C87" s="63"/>
      <c r="D87" s="63"/>
      <c r="E87" s="63"/>
      <c r="F87" s="63"/>
      <c r="G87" s="63"/>
      <c r="H87" s="63"/>
      <c r="I87" s="64"/>
      <c r="J87" s="14" t="s">
        <v>10</v>
      </c>
      <c r="K87" s="5" t="s">
        <v>529</v>
      </c>
      <c r="L87" s="6">
        <v>0.625</v>
      </c>
      <c r="M87" s="7" t="s">
        <v>530</v>
      </c>
      <c r="N87" s="14" t="s">
        <v>11</v>
      </c>
      <c r="O87" s="64"/>
      <c r="P87" s="63"/>
      <c r="Q87" s="63"/>
      <c r="R87" s="63"/>
      <c r="S87" s="63"/>
      <c r="T87" s="63"/>
      <c r="U87" s="63"/>
      <c r="V87" s="63"/>
      <c r="W87" s="17"/>
      <c r="X87" s="65">
        <v>46248</v>
      </c>
    </row>
    <row r="88" spans="1:24" ht="13.8" thickBot="1" x14ac:dyDescent="0.3">
      <c r="A88" s="4" t="s">
        <v>215</v>
      </c>
      <c r="B88" s="8">
        <v>0.5</v>
      </c>
      <c r="C88" s="9">
        <v>0.5</v>
      </c>
      <c r="D88" s="8">
        <v>0.5</v>
      </c>
      <c r="E88" s="10" t="s">
        <v>220</v>
      </c>
      <c r="F88" s="11" t="s">
        <v>217</v>
      </c>
      <c r="G88" s="12" t="s">
        <v>221</v>
      </c>
      <c r="H88" s="13" t="s">
        <v>247</v>
      </c>
      <c r="I88" s="14">
        <v>2</v>
      </c>
      <c r="J88" s="14" t="s">
        <v>10</v>
      </c>
      <c r="K88" s="5" t="s">
        <v>531</v>
      </c>
      <c r="L88" s="6">
        <v>0.625</v>
      </c>
      <c r="M88" s="7" t="s">
        <v>532</v>
      </c>
      <c r="N88" s="14" t="s">
        <v>11</v>
      </c>
      <c r="O88" s="14">
        <v>2</v>
      </c>
      <c r="P88" s="13" t="s">
        <v>247</v>
      </c>
      <c r="Q88" s="12" t="s">
        <v>218</v>
      </c>
      <c r="R88" s="11" t="s">
        <v>247</v>
      </c>
      <c r="S88" s="10" t="s">
        <v>221</v>
      </c>
      <c r="T88" s="8">
        <v>1</v>
      </c>
      <c r="U88" s="9">
        <v>0.5</v>
      </c>
      <c r="V88" s="8">
        <v>0.5</v>
      </c>
      <c r="W88" s="17"/>
      <c r="X88" s="65">
        <v>46248</v>
      </c>
    </row>
    <row r="89" spans="1:24" ht="19.8" thickBot="1" x14ac:dyDescent="0.3">
      <c r="A89" s="4" t="s">
        <v>215</v>
      </c>
      <c r="B89" s="8">
        <v>0</v>
      </c>
      <c r="C89" s="9">
        <v>0</v>
      </c>
      <c r="D89" s="8">
        <v>0.5</v>
      </c>
      <c r="E89" s="10" t="s">
        <v>220</v>
      </c>
      <c r="F89" s="11" t="s">
        <v>219</v>
      </c>
      <c r="G89" s="12" t="s">
        <v>220</v>
      </c>
      <c r="H89" s="13" t="s">
        <v>219</v>
      </c>
      <c r="I89" s="14">
        <v>2</v>
      </c>
      <c r="J89" s="14" t="s">
        <v>10</v>
      </c>
      <c r="K89" s="5" t="s">
        <v>533</v>
      </c>
      <c r="L89" s="6">
        <v>0.625</v>
      </c>
      <c r="M89" s="7" t="s">
        <v>534</v>
      </c>
      <c r="N89" s="14" t="s">
        <v>11</v>
      </c>
      <c r="O89" s="14">
        <v>1</v>
      </c>
      <c r="P89" s="13" t="s">
        <v>218</v>
      </c>
      <c r="Q89" s="12" t="s">
        <v>217</v>
      </c>
      <c r="R89" s="11" t="s">
        <v>217</v>
      </c>
      <c r="S89" s="10" t="s">
        <v>219</v>
      </c>
      <c r="T89" s="8">
        <v>0</v>
      </c>
      <c r="U89" s="9">
        <v>0</v>
      </c>
      <c r="V89" s="8">
        <v>0</v>
      </c>
      <c r="W89" s="17"/>
      <c r="X89" s="65">
        <v>46248</v>
      </c>
    </row>
    <row r="90" spans="1:24" ht="19.8" thickBot="1" x14ac:dyDescent="0.3">
      <c r="A90" s="4" t="s">
        <v>215</v>
      </c>
      <c r="B90" s="8">
        <v>1</v>
      </c>
      <c r="C90" s="15">
        <v>1</v>
      </c>
      <c r="D90" s="8">
        <v>1</v>
      </c>
      <c r="E90" s="10" t="s">
        <v>226</v>
      </c>
      <c r="F90" s="11" t="s">
        <v>247</v>
      </c>
      <c r="G90" s="12" t="s">
        <v>327</v>
      </c>
      <c r="H90" s="13" t="s">
        <v>219</v>
      </c>
      <c r="I90" s="14">
        <v>2</v>
      </c>
      <c r="J90" s="14" t="s">
        <v>10</v>
      </c>
      <c r="K90" s="5" t="s">
        <v>535</v>
      </c>
      <c r="L90" s="6">
        <v>0.625</v>
      </c>
      <c r="M90" s="7" t="s">
        <v>536</v>
      </c>
      <c r="N90" s="14" t="s">
        <v>11</v>
      </c>
      <c r="O90" s="14">
        <v>2</v>
      </c>
      <c r="P90" s="13" t="s">
        <v>219</v>
      </c>
      <c r="Q90" s="12" t="s">
        <v>278</v>
      </c>
      <c r="R90" s="11" t="s">
        <v>220</v>
      </c>
      <c r="S90" s="10" t="s">
        <v>246</v>
      </c>
      <c r="T90" s="8">
        <v>1</v>
      </c>
      <c r="U90" s="15">
        <v>1</v>
      </c>
      <c r="V90" s="8">
        <v>1</v>
      </c>
      <c r="W90" s="17"/>
      <c r="X90" s="65">
        <v>46248</v>
      </c>
    </row>
    <row r="91" spans="1:24" ht="13.8" thickBot="1" x14ac:dyDescent="0.3">
      <c r="A91" s="4" t="s">
        <v>215</v>
      </c>
      <c r="B91" s="8">
        <v>0</v>
      </c>
      <c r="C91" s="15">
        <v>1</v>
      </c>
      <c r="D91" s="8">
        <v>1</v>
      </c>
      <c r="E91" s="10" t="s">
        <v>218</v>
      </c>
      <c r="F91" s="11" t="s">
        <v>219</v>
      </c>
      <c r="G91" s="12" t="s">
        <v>218</v>
      </c>
      <c r="H91" s="13" t="s">
        <v>219</v>
      </c>
      <c r="I91" s="14">
        <v>1</v>
      </c>
      <c r="J91" s="14" t="s">
        <v>10</v>
      </c>
      <c r="K91" s="5" t="s">
        <v>537</v>
      </c>
      <c r="L91" s="6">
        <v>0.625</v>
      </c>
      <c r="M91" s="7" t="s">
        <v>538</v>
      </c>
      <c r="N91" s="14" t="s">
        <v>11</v>
      </c>
      <c r="O91" s="14">
        <v>2</v>
      </c>
      <c r="P91" s="13" t="s">
        <v>220</v>
      </c>
      <c r="Q91" s="12" t="s">
        <v>216</v>
      </c>
      <c r="R91" s="11" t="s">
        <v>247</v>
      </c>
      <c r="S91" s="10" t="s">
        <v>220</v>
      </c>
      <c r="T91" s="8">
        <v>0.5</v>
      </c>
      <c r="U91" s="9">
        <v>0.5</v>
      </c>
      <c r="V91" s="8">
        <v>0</v>
      </c>
      <c r="W91" s="17"/>
      <c r="X91" s="65">
        <v>46248</v>
      </c>
    </row>
    <row r="92" spans="1:24" ht="13.8" thickBot="1" x14ac:dyDescent="0.3">
      <c r="A92" s="4" t="s">
        <v>215</v>
      </c>
      <c r="B92" s="8">
        <v>0</v>
      </c>
      <c r="C92" s="9">
        <v>0</v>
      </c>
      <c r="D92" s="8">
        <v>1</v>
      </c>
      <c r="E92" s="10" t="s">
        <v>217</v>
      </c>
      <c r="F92" s="11" t="s">
        <v>217</v>
      </c>
      <c r="G92" s="12" t="s">
        <v>216</v>
      </c>
      <c r="H92" s="13" t="s">
        <v>217</v>
      </c>
      <c r="I92" s="14">
        <v>1</v>
      </c>
      <c r="J92" s="14" t="s">
        <v>10</v>
      </c>
      <c r="K92" s="5" t="s">
        <v>539</v>
      </c>
      <c r="L92" s="6">
        <v>0.64583333333333337</v>
      </c>
      <c r="M92" s="7" t="s">
        <v>540</v>
      </c>
      <c r="N92" s="14" t="s">
        <v>11</v>
      </c>
      <c r="O92" s="14">
        <v>1</v>
      </c>
      <c r="P92" s="13" t="s">
        <v>217</v>
      </c>
      <c r="Q92" s="12" t="s">
        <v>216</v>
      </c>
      <c r="R92" s="11" t="s">
        <v>217</v>
      </c>
      <c r="S92" s="10" t="s">
        <v>217</v>
      </c>
      <c r="T92" s="8">
        <v>1</v>
      </c>
      <c r="U92" s="9">
        <v>0</v>
      </c>
      <c r="V92" s="8">
        <v>0</v>
      </c>
      <c r="W92" s="17"/>
      <c r="X92" s="65">
        <v>46248</v>
      </c>
    </row>
    <row r="93" spans="1:24" ht="13.8" thickBot="1" x14ac:dyDescent="0.3">
      <c r="A93" s="4" t="s">
        <v>215</v>
      </c>
      <c r="B93" s="8">
        <v>0</v>
      </c>
      <c r="C93" s="15">
        <v>1</v>
      </c>
      <c r="D93" s="8">
        <v>1</v>
      </c>
      <c r="E93" s="10" t="s">
        <v>216</v>
      </c>
      <c r="F93" s="11" t="s">
        <v>217</v>
      </c>
      <c r="G93" s="12" t="s">
        <v>218</v>
      </c>
      <c r="H93" s="13" t="s">
        <v>219</v>
      </c>
      <c r="I93" s="14">
        <v>1</v>
      </c>
      <c r="J93" s="14" t="s">
        <v>10</v>
      </c>
      <c r="K93" s="5" t="s">
        <v>541</v>
      </c>
      <c r="L93" s="6">
        <v>0.64583333333333337</v>
      </c>
      <c r="M93" s="7" t="s">
        <v>542</v>
      </c>
      <c r="N93" s="14" t="s">
        <v>11</v>
      </c>
      <c r="O93" s="14">
        <v>1</v>
      </c>
      <c r="P93" s="13" t="s">
        <v>217</v>
      </c>
      <c r="Q93" s="12" t="s">
        <v>219</v>
      </c>
      <c r="R93" s="11" t="s">
        <v>219</v>
      </c>
      <c r="S93" s="10" t="s">
        <v>219</v>
      </c>
      <c r="T93" s="8">
        <v>0</v>
      </c>
      <c r="U93" s="9">
        <v>0</v>
      </c>
      <c r="V93" s="8">
        <v>0</v>
      </c>
      <c r="W93" s="17"/>
      <c r="X93" s="65">
        <v>46248</v>
      </c>
    </row>
    <row r="94" spans="1:24" ht="13.8" thickBot="1" x14ac:dyDescent="0.3">
      <c r="A94" s="4" t="s">
        <v>215</v>
      </c>
      <c r="B94" s="8">
        <v>1</v>
      </c>
      <c r="C94" s="15">
        <v>1</v>
      </c>
      <c r="D94" s="8">
        <v>1</v>
      </c>
      <c r="E94" s="10" t="s">
        <v>218</v>
      </c>
      <c r="F94" s="11" t="s">
        <v>216</v>
      </c>
      <c r="G94" s="12" t="s">
        <v>278</v>
      </c>
      <c r="H94" s="13" t="s">
        <v>219</v>
      </c>
      <c r="I94" s="14">
        <v>1</v>
      </c>
      <c r="J94" s="14" t="s">
        <v>10</v>
      </c>
      <c r="K94" s="5" t="s">
        <v>543</v>
      </c>
      <c r="L94" s="6">
        <v>0.64583333333333337</v>
      </c>
      <c r="M94" s="7" t="s">
        <v>544</v>
      </c>
      <c r="N94" s="14" t="s">
        <v>11</v>
      </c>
      <c r="O94" s="14">
        <v>1</v>
      </c>
      <c r="P94" s="13" t="s">
        <v>219</v>
      </c>
      <c r="Q94" s="12" t="s">
        <v>278</v>
      </c>
      <c r="R94" s="11" t="s">
        <v>216</v>
      </c>
      <c r="S94" s="10" t="s">
        <v>218</v>
      </c>
      <c r="T94" s="8">
        <v>1</v>
      </c>
      <c r="U94" s="15">
        <v>1</v>
      </c>
      <c r="V94" s="8">
        <v>1</v>
      </c>
      <c r="W94" s="17"/>
      <c r="X94" s="65">
        <v>46248</v>
      </c>
    </row>
    <row r="95" spans="1:24" ht="13.8" thickBot="1" x14ac:dyDescent="0.3">
      <c r="A95" s="4" t="s">
        <v>215</v>
      </c>
      <c r="B95" s="8">
        <v>1</v>
      </c>
      <c r="C95" s="15">
        <v>1</v>
      </c>
      <c r="D95" s="8">
        <v>1</v>
      </c>
      <c r="E95" s="10" t="s">
        <v>216</v>
      </c>
      <c r="F95" s="11" t="s">
        <v>218</v>
      </c>
      <c r="G95" s="12" t="s">
        <v>278</v>
      </c>
      <c r="H95" s="13" t="s">
        <v>218</v>
      </c>
      <c r="I95" s="14">
        <v>1</v>
      </c>
      <c r="J95" s="14" t="s">
        <v>10</v>
      </c>
      <c r="K95" s="5" t="s">
        <v>545</v>
      </c>
      <c r="L95" s="6">
        <v>0.64583333333333337</v>
      </c>
      <c r="M95" s="7" t="s">
        <v>546</v>
      </c>
      <c r="N95" s="14" t="s">
        <v>11</v>
      </c>
      <c r="O95" s="14">
        <v>1</v>
      </c>
      <c r="P95" s="13" t="s">
        <v>219</v>
      </c>
      <c r="Q95" s="12" t="s">
        <v>218</v>
      </c>
      <c r="R95" s="11" t="s">
        <v>217</v>
      </c>
      <c r="S95" s="10" t="s">
        <v>216</v>
      </c>
      <c r="T95" s="8">
        <v>1</v>
      </c>
      <c r="U95" s="15">
        <v>1</v>
      </c>
      <c r="V95" s="8">
        <v>0</v>
      </c>
      <c r="W95" s="17"/>
      <c r="X95" s="65">
        <v>46248</v>
      </c>
    </row>
    <row r="96" spans="1:24" ht="19.8" thickBot="1" x14ac:dyDescent="0.3">
      <c r="A96" s="4" t="s">
        <v>215</v>
      </c>
      <c r="B96" s="63"/>
      <c r="C96" s="63"/>
      <c r="D96" s="63"/>
      <c r="E96" s="63"/>
      <c r="F96" s="63"/>
      <c r="G96" s="63"/>
      <c r="H96" s="63"/>
      <c r="I96" s="64"/>
      <c r="J96" s="14" t="s">
        <v>10</v>
      </c>
      <c r="K96" s="5" t="s">
        <v>547</v>
      </c>
      <c r="L96" s="6">
        <v>0.625</v>
      </c>
      <c r="M96" s="7" t="s">
        <v>548</v>
      </c>
      <c r="N96" s="14" t="s">
        <v>11</v>
      </c>
      <c r="O96" s="64"/>
      <c r="P96" s="63"/>
      <c r="Q96" s="63"/>
      <c r="R96" s="63"/>
      <c r="S96" s="63"/>
      <c r="T96" s="63"/>
      <c r="U96" s="63"/>
      <c r="V96" s="63"/>
      <c r="W96" s="17"/>
      <c r="X96" s="65">
        <v>46248</v>
      </c>
    </row>
    <row r="97" spans="1:24" ht="13.8" thickBot="1" x14ac:dyDescent="0.3">
      <c r="A97" s="4" t="s">
        <v>215</v>
      </c>
      <c r="B97" s="8">
        <v>1</v>
      </c>
      <c r="C97" s="15">
        <v>1</v>
      </c>
      <c r="D97" s="8">
        <v>1</v>
      </c>
      <c r="E97" s="10" t="s">
        <v>216</v>
      </c>
      <c r="F97" s="11" t="s">
        <v>218</v>
      </c>
      <c r="G97" s="12" t="s">
        <v>278</v>
      </c>
      <c r="H97" s="13" t="s">
        <v>218</v>
      </c>
      <c r="I97" s="14">
        <v>1</v>
      </c>
      <c r="J97" s="14" t="s">
        <v>10</v>
      </c>
      <c r="K97" s="5" t="s">
        <v>549</v>
      </c>
      <c r="L97" s="6">
        <v>0.58333333333333337</v>
      </c>
      <c r="M97" s="7" t="s">
        <v>550</v>
      </c>
      <c r="N97" s="14" t="s">
        <v>11</v>
      </c>
      <c r="O97" s="14">
        <v>1</v>
      </c>
      <c r="P97" s="13" t="s">
        <v>218</v>
      </c>
      <c r="Q97" s="12" t="s">
        <v>217</v>
      </c>
      <c r="R97" s="11" t="s">
        <v>217</v>
      </c>
      <c r="S97" s="10" t="s">
        <v>219</v>
      </c>
      <c r="T97" s="8">
        <v>0</v>
      </c>
      <c r="U97" s="9">
        <v>0</v>
      </c>
      <c r="V97" s="8">
        <v>0</v>
      </c>
      <c r="W97" s="17"/>
      <c r="X97" s="65">
        <v>46248</v>
      </c>
    </row>
    <row r="98" spans="1:24" ht="13.8" thickBot="1" x14ac:dyDescent="0.3">
      <c r="A98" s="4" t="s">
        <v>215</v>
      </c>
      <c r="B98" s="8">
        <v>0</v>
      </c>
      <c r="C98" s="15">
        <v>1</v>
      </c>
      <c r="D98" s="8">
        <v>1</v>
      </c>
      <c r="E98" s="10" t="s">
        <v>218</v>
      </c>
      <c r="F98" s="11" t="s">
        <v>219</v>
      </c>
      <c r="G98" s="12" t="s">
        <v>218</v>
      </c>
      <c r="H98" s="13" t="s">
        <v>219</v>
      </c>
      <c r="I98" s="14">
        <v>1</v>
      </c>
      <c r="J98" s="14" t="s">
        <v>10</v>
      </c>
      <c r="K98" s="5" t="s">
        <v>551</v>
      </c>
      <c r="L98" s="6">
        <v>0.58333333333333337</v>
      </c>
      <c r="M98" s="7" t="s">
        <v>552</v>
      </c>
      <c r="N98" s="14" t="s">
        <v>11</v>
      </c>
      <c r="O98" s="14">
        <v>1</v>
      </c>
      <c r="P98" s="13" t="s">
        <v>219</v>
      </c>
      <c r="Q98" s="12" t="s">
        <v>278</v>
      </c>
      <c r="R98" s="11" t="s">
        <v>217</v>
      </c>
      <c r="S98" s="10" t="s">
        <v>226</v>
      </c>
      <c r="T98" s="8">
        <v>1</v>
      </c>
      <c r="U98" s="15">
        <v>1</v>
      </c>
      <c r="V98" s="8">
        <v>1</v>
      </c>
      <c r="W98" s="17"/>
      <c r="X98" s="65">
        <v>46248</v>
      </c>
    </row>
    <row r="99" spans="1:24" ht="13.8" thickBot="1" x14ac:dyDescent="0.3">
      <c r="A99" s="4" t="s">
        <v>215</v>
      </c>
      <c r="B99" s="8">
        <v>0</v>
      </c>
      <c r="C99" s="9">
        <v>0</v>
      </c>
      <c r="D99" s="8">
        <v>1</v>
      </c>
      <c r="E99" s="10" t="s">
        <v>216</v>
      </c>
      <c r="F99" s="11" t="s">
        <v>219</v>
      </c>
      <c r="G99" s="12" t="s">
        <v>216</v>
      </c>
      <c r="H99" s="13" t="s">
        <v>219</v>
      </c>
      <c r="I99" s="14">
        <v>1</v>
      </c>
      <c r="J99" s="14" t="s">
        <v>10</v>
      </c>
      <c r="K99" s="5" t="s">
        <v>553</v>
      </c>
      <c r="L99" s="6">
        <v>0.58333333333333337</v>
      </c>
      <c r="M99" s="7" t="s">
        <v>554</v>
      </c>
      <c r="N99" s="14" t="s">
        <v>11</v>
      </c>
      <c r="O99" s="14">
        <v>1</v>
      </c>
      <c r="P99" s="13" t="s">
        <v>219</v>
      </c>
      <c r="Q99" s="12" t="s">
        <v>278</v>
      </c>
      <c r="R99" s="11" t="s">
        <v>216</v>
      </c>
      <c r="S99" s="10" t="s">
        <v>218</v>
      </c>
      <c r="T99" s="8">
        <v>1</v>
      </c>
      <c r="U99" s="15">
        <v>1</v>
      </c>
      <c r="V99" s="8">
        <v>1</v>
      </c>
      <c r="W99" s="17"/>
      <c r="X99" s="65">
        <v>46248</v>
      </c>
    </row>
    <row r="100" spans="1:24" ht="13.8" thickBot="1" x14ac:dyDescent="0.3">
      <c r="A100" s="4" t="s">
        <v>215</v>
      </c>
      <c r="B100" s="8">
        <v>1</v>
      </c>
      <c r="C100" s="15">
        <v>1</v>
      </c>
      <c r="D100" s="8">
        <v>1</v>
      </c>
      <c r="E100" s="10" t="s">
        <v>217</v>
      </c>
      <c r="F100" s="11" t="s">
        <v>278</v>
      </c>
      <c r="G100" s="12" t="s">
        <v>238</v>
      </c>
      <c r="H100" s="13" t="s">
        <v>218</v>
      </c>
      <c r="I100" s="14">
        <v>1</v>
      </c>
      <c r="J100" s="14" t="s">
        <v>10</v>
      </c>
      <c r="K100" s="5" t="s">
        <v>555</v>
      </c>
      <c r="L100" s="6">
        <v>0.625</v>
      </c>
      <c r="M100" s="7" t="s">
        <v>556</v>
      </c>
      <c r="N100" s="14" t="s">
        <v>11</v>
      </c>
      <c r="O100" s="64"/>
      <c r="P100" s="63"/>
      <c r="Q100" s="63"/>
      <c r="R100" s="63"/>
      <c r="S100" s="63"/>
      <c r="T100" s="63"/>
      <c r="U100" s="63"/>
      <c r="V100" s="63"/>
      <c r="W100" s="17"/>
      <c r="X100" s="65">
        <v>46248</v>
      </c>
    </row>
    <row r="101" spans="1:24" ht="13.8" thickBot="1" x14ac:dyDescent="0.3">
      <c r="A101" s="4" t="s">
        <v>215</v>
      </c>
      <c r="B101" s="8">
        <v>0</v>
      </c>
      <c r="C101" s="9">
        <v>0</v>
      </c>
      <c r="D101" s="8">
        <v>0</v>
      </c>
      <c r="E101" s="10" t="s">
        <v>217</v>
      </c>
      <c r="F101" s="11" t="s">
        <v>219</v>
      </c>
      <c r="G101" s="12" t="s">
        <v>217</v>
      </c>
      <c r="H101" s="13" t="s">
        <v>219</v>
      </c>
      <c r="I101" s="14">
        <v>1</v>
      </c>
      <c r="J101" s="14" t="s">
        <v>10</v>
      </c>
      <c r="K101" s="5" t="s">
        <v>557</v>
      </c>
      <c r="L101" s="6">
        <v>0.625</v>
      </c>
      <c r="M101" s="7" t="s">
        <v>558</v>
      </c>
      <c r="N101" s="14" t="s">
        <v>11</v>
      </c>
      <c r="O101" s="14">
        <v>1</v>
      </c>
      <c r="P101" s="13" t="s">
        <v>219</v>
      </c>
      <c r="Q101" s="12" t="s">
        <v>226</v>
      </c>
      <c r="R101" s="11" t="s">
        <v>217</v>
      </c>
      <c r="S101" s="10" t="s">
        <v>218</v>
      </c>
      <c r="T101" s="8">
        <v>1</v>
      </c>
      <c r="U101" s="15">
        <v>1</v>
      </c>
      <c r="V101" s="8">
        <v>1</v>
      </c>
      <c r="W101" s="17"/>
      <c r="X101" s="65">
        <v>46248</v>
      </c>
    </row>
    <row r="102" spans="1:24" ht="13.8" thickBot="1" x14ac:dyDescent="0.3">
      <c r="A102" s="4" t="s">
        <v>215</v>
      </c>
      <c r="B102" s="8">
        <v>0</v>
      </c>
      <c r="C102" s="9">
        <v>0</v>
      </c>
      <c r="D102" s="8">
        <v>1</v>
      </c>
      <c r="E102" s="10" t="s">
        <v>219</v>
      </c>
      <c r="F102" s="11" t="s">
        <v>216</v>
      </c>
      <c r="G102" s="12" t="s">
        <v>216</v>
      </c>
      <c r="H102" s="13" t="s">
        <v>218</v>
      </c>
      <c r="I102" s="14">
        <v>1</v>
      </c>
      <c r="J102" s="14" t="s">
        <v>10</v>
      </c>
      <c r="K102" s="5" t="s">
        <v>559</v>
      </c>
      <c r="L102" s="6">
        <v>0.625</v>
      </c>
      <c r="M102" s="7" t="s">
        <v>560</v>
      </c>
      <c r="N102" s="14" t="s">
        <v>11</v>
      </c>
      <c r="O102" s="14">
        <v>1</v>
      </c>
      <c r="P102" s="13" t="s">
        <v>218</v>
      </c>
      <c r="Q102" s="12" t="s">
        <v>218</v>
      </c>
      <c r="R102" s="11" t="s">
        <v>216</v>
      </c>
      <c r="S102" s="10" t="s">
        <v>217</v>
      </c>
      <c r="T102" s="8">
        <v>1</v>
      </c>
      <c r="U102" s="15">
        <v>1</v>
      </c>
      <c r="V102" s="8">
        <v>0</v>
      </c>
      <c r="W102" s="17"/>
      <c r="X102" s="65">
        <v>46248</v>
      </c>
    </row>
    <row r="103" spans="1:24" ht="19.8" thickBot="1" x14ac:dyDescent="0.3">
      <c r="A103" s="4" t="s">
        <v>215</v>
      </c>
      <c r="B103" s="8">
        <v>1</v>
      </c>
      <c r="C103" s="15">
        <v>1</v>
      </c>
      <c r="D103" s="8">
        <v>1</v>
      </c>
      <c r="E103" s="10" t="s">
        <v>217</v>
      </c>
      <c r="F103" s="11" t="s">
        <v>226</v>
      </c>
      <c r="G103" s="12" t="s">
        <v>278</v>
      </c>
      <c r="H103" s="13" t="s">
        <v>218</v>
      </c>
      <c r="I103" s="14">
        <v>1</v>
      </c>
      <c r="J103" s="14" t="s">
        <v>10</v>
      </c>
      <c r="K103" s="5" t="s">
        <v>561</v>
      </c>
      <c r="L103" s="6">
        <v>0.625</v>
      </c>
      <c r="M103" s="7" t="s">
        <v>562</v>
      </c>
      <c r="N103" s="14" t="s">
        <v>11</v>
      </c>
      <c r="O103" s="14">
        <v>1</v>
      </c>
      <c r="P103" s="13" t="s">
        <v>217</v>
      </c>
      <c r="Q103" s="12" t="s">
        <v>226</v>
      </c>
      <c r="R103" s="11" t="s">
        <v>216</v>
      </c>
      <c r="S103" s="10" t="s">
        <v>216</v>
      </c>
      <c r="T103" s="8">
        <v>1</v>
      </c>
      <c r="U103" s="15">
        <v>1</v>
      </c>
      <c r="V103" s="8">
        <v>1</v>
      </c>
      <c r="W103" s="17"/>
      <c r="X103" s="65">
        <v>46248</v>
      </c>
    </row>
    <row r="104" spans="1:24" ht="13.8" thickBot="1" x14ac:dyDescent="0.3">
      <c r="A104" s="4" t="s">
        <v>215</v>
      </c>
      <c r="B104" s="8">
        <v>1</v>
      </c>
      <c r="C104" s="15">
        <v>1</v>
      </c>
      <c r="D104" s="8">
        <v>1</v>
      </c>
      <c r="E104" s="10" t="s">
        <v>216</v>
      </c>
      <c r="F104" s="11" t="s">
        <v>216</v>
      </c>
      <c r="G104" s="12" t="s">
        <v>226</v>
      </c>
      <c r="H104" s="13" t="s">
        <v>217</v>
      </c>
      <c r="I104" s="14">
        <v>1</v>
      </c>
      <c r="J104" s="14" t="s">
        <v>10</v>
      </c>
      <c r="K104" s="5" t="s">
        <v>563</v>
      </c>
      <c r="L104" s="6">
        <v>0.625</v>
      </c>
      <c r="M104" s="7" t="s">
        <v>564</v>
      </c>
      <c r="N104" s="14" t="s">
        <v>11</v>
      </c>
      <c r="O104" s="14">
        <v>1</v>
      </c>
      <c r="P104" s="13" t="s">
        <v>218</v>
      </c>
      <c r="Q104" s="12" t="s">
        <v>216</v>
      </c>
      <c r="R104" s="11" t="s">
        <v>216</v>
      </c>
      <c r="S104" s="10" t="s">
        <v>219</v>
      </c>
      <c r="T104" s="8">
        <v>1</v>
      </c>
      <c r="U104" s="9">
        <v>0</v>
      </c>
      <c r="V104" s="8">
        <v>0</v>
      </c>
      <c r="W104" s="17"/>
      <c r="X104" s="65">
        <v>46248</v>
      </c>
    </row>
    <row r="105" spans="1:24" ht="19.8" thickBot="1" x14ac:dyDescent="0.3">
      <c r="A105" s="4" t="s">
        <v>215</v>
      </c>
      <c r="B105" s="8">
        <v>0</v>
      </c>
      <c r="C105" s="9">
        <v>0</v>
      </c>
      <c r="D105" s="8">
        <v>1</v>
      </c>
      <c r="E105" s="10" t="s">
        <v>219</v>
      </c>
      <c r="F105" s="11" t="s">
        <v>216</v>
      </c>
      <c r="G105" s="12" t="s">
        <v>216</v>
      </c>
      <c r="H105" s="13" t="s">
        <v>218</v>
      </c>
      <c r="I105" s="14">
        <v>1</v>
      </c>
      <c r="J105" s="14" t="s">
        <v>10</v>
      </c>
      <c r="K105" s="5" t="s">
        <v>565</v>
      </c>
      <c r="L105" s="6">
        <v>0.625</v>
      </c>
      <c r="M105" s="7" t="s">
        <v>566</v>
      </c>
      <c r="N105" s="14" t="s">
        <v>11</v>
      </c>
      <c r="O105" s="14">
        <v>1</v>
      </c>
      <c r="P105" s="13" t="s">
        <v>219</v>
      </c>
      <c r="Q105" s="12" t="s">
        <v>216</v>
      </c>
      <c r="R105" s="11" t="s">
        <v>219</v>
      </c>
      <c r="S105" s="10" t="s">
        <v>216</v>
      </c>
      <c r="T105" s="8">
        <v>1</v>
      </c>
      <c r="U105" s="9">
        <v>0</v>
      </c>
      <c r="V105" s="8">
        <v>0</v>
      </c>
      <c r="W105" s="17"/>
      <c r="X105" s="65">
        <v>46248</v>
      </c>
    </row>
    <row r="106" spans="1:24" ht="13.8" thickBot="1" x14ac:dyDescent="0.3">
      <c r="A106" s="4" t="s">
        <v>328</v>
      </c>
      <c r="B106" s="8">
        <v>1</v>
      </c>
      <c r="C106" s="15">
        <v>1</v>
      </c>
      <c r="D106" s="8">
        <v>1</v>
      </c>
      <c r="E106" s="10" t="s">
        <v>218</v>
      </c>
      <c r="F106" s="11" t="s">
        <v>218</v>
      </c>
      <c r="G106" s="12" t="s">
        <v>238</v>
      </c>
      <c r="H106" s="13" t="s">
        <v>217</v>
      </c>
      <c r="I106" s="14">
        <v>1</v>
      </c>
      <c r="J106" s="14" t="s">
        <v>10</v>
      </c>
      <c r="K106" s="5" t="s">
        <v>567</v>
      </c>
      <c r="L106" s="6">
        <v>0.5625</v>
      </c>
      <c r="M106" s="7" t="s">
        <v>568</v>
      </c>
      <c r="N106" s="14" t="s">
        <v>11</v>
      </c>
      <c r="O106" s="14">
        <v>1</v>
      </c>
      <c r="P106" s="13" t="s">
        <v>217</v>
      </c>
      <c r="Q106" s="12" t="s">
        <v>219</v>
      </c>
      <c r="R106" s="11" t="s">
        <v>219</v>
      </c>
      <c r="S106" s="10" t="s">
        <v>219</v>
      </c>
      <c r="T106" s="8">
        <v>0</v>
      </c>
      <c r="U106" s="9">
        <v>0</v>
      </c>
      <c r="V106" s="8">
        <v>0</v>
      </c>
      <c r="W106" s="17"/>
      <c r="X106" s="65">
        <v>46248</v>
      </c>
    </row>
    <row r="107" spans="1:24" ht="19.8" thickBot="1" x14ac:dyDescent="0.3">
      <c r="A107" s="4" t="s">
        <v>86</v>
      </c>
      <c r="B107" s="8">
        <v>0.62</v>
      </c>
      <c r="C107" s="15">
        <v>0.88</v>
      </c>
      <c r="D107" s="8">
        <v>0.88</v>
      </c>
      <c r="E107" s="10" t="s">
        <v>294</v>
      </c>
      <c r="F107" s="11" t="s">
        <v>329</v>
      </c>
      <c r="G107" s="12" t="s">
        <v>226</v>
      </c>
      <c r="H107" s="13" t="s">
        <v>330</v>
      </c>
      <c r="I107" s="14">
        <v>8</v>
      </c>
      <c r="J107" s="14" t="s">
        <v>10</v>
      </c>
      <c r="K107" s="5" t="s">
        <v>188</v>
      </c>
      <c r="L107" s="6">
        <v>0.66666666666666663</v>
      </c>
      <c r="M107" s="7" t="s">
        <v>192</v>
      </c>
      <c r="N107" s="14" t="s">
        <v>11</v>
      </c>
      <c r="O107" s="14">
        <v>8</v>
      </c>
      <c r="P107" s="13" t="s">
        <v>237</v>
      </c>
      <c r="Q107" s="12" t="s">
        <v>329</v>
      </c>
      <c r="R107" s="11" t="s">
        <v>217</v>
      </c>
      <c r="S107" s="10" t="s">
        <v>236</v>
      </c>
      <c r="T107" s="8">
        <v>0.75</v>
      </c>
      <c r="U107" s="9">
        <v>0.5</v>
      </c>
      <c r="V107" s="8">
        <v>0.5</v>
      </c>
      <c r="W107" s="17"/>
      <c r="X107" s="65">
        <v>46248</v>
      </c>
    </row>
    <row r="108" spans="1:24" ht="19.8" thickBot="1" x14ac:dyDescent="0.3">
      <c r="A108" s="4" t="s">
        <v>331</v>
      </c>
      <c r="B108" s="8">
        <v>0</v>
      </c>
      <c r="C108" s="9">
        <v>0</v>
      </c>
      <c r="D108" s="8">
        <v>1</v>
      </c>
      <c r="E108" s="10" t="s">
        <v>217</v>
      </c>
      <c r="F108" s="11" t="s">
        <v>217</v>
      </c>
      <c r="G108" s="12" t="s">
        <v>216</v>
      </c>
      <c r="H108" s="13" t="s">
        <v>217</v>
      </c>
      <c r="I108" s="14">
        <v>1</v>
      </c>
      <c r="J108" s="14" t="s">
        <v>10</v>
      </c>
      <c r="K108" s="5" t="s">
        <v>569</v>
      </c>
      <c r="L108" s="6">
        <v>0.33333333333333331</v>
      </c>
      <c r="M108" s="7" t="s">
        <v>570</v>
      </c>
      <c r="N108" s="14" t="s">
        <v>11</v>
      </c>
      <c r="O108" s="64"/>
      <c r="P108" s="63"/>
      <c r="Q108" s="63"/>
      <c r="R108" s="63"/>
      <c r="S108" s="63"/>
      <c r="T108" s="63"/>
      <c r="U108" s="63"/>
      <c r="V108" s="63"/>
      <c r="W108" s="17"/>
      <c r="X108" s="65">
        <v>46248</v>
      </c>
    </row>
    <row r="109" spans="1:24" ht="13.8" thickBot="1" x14ac:dyDescent="0.3">
      <c r="A109" s="4" t="s">
        <v>92</v>
      </c>
      <c r="B109" s="8">
        <v>0.38</v>
      </c>
      <c r="C109" s="15">
        <v>0.62</v>
      </c>
      <c r="D109" s="8">
        <v>1</v>
      </c>
      <c r="E109" s="10" t="s">
        <v>294</v>
      </c>
      <c r="F109" s="11" t="s">
        <v>216</v>
      </c>
      <c r="G109" s="12" t="s">
        <v>332</v>
      </c>
      <c r="H109" s="13" t="s">
        <v>223</v>
      </c>
      <c r="I109" s="14">
        <v>8</v>
      </c>
      <c r="J109" s="14" t="s">
        <v>10</v>
      </c>
      <c r="K109" s="5" t="s">
        <v>571</v>
      </c>
      <c r="L109" s="6">
        <v>0.625</v>
      </c>
      <c r="M109" s="7" t="s">
        <v>572</v>
      </c>
      <c r="N109" s="14" t="s">
        <v>11</v>
      </c>
      <c r="O109" s="14">
        <v>9</v>
      </c>
      <c r="P109" s="13" t="s">
        <v>333</v>
      </c>
      <c r="Q109" s="12" t="s">
        <v>334</v>
      </c>
      <c r="R109" s="11" t="s">
        <v>229</v>
      </c>
      <c r="S109" s="10" t="s">
        <v>324</v>
      </c>
      <c r="T109" s="8">
        <v>0.78</v>
      </c>
      <c r="U109" s="15">
        <v>0.56000000000000005</v>
      </c>
      <c r="V109" s="8">
        <v>0</v>
      </c>
      <c r="W109" s="17"/>
      <c r="X109" s="65">
        <v>46248</v>
      </c>
    </row>
    <row r="110" spans="1:24" ht="19.8" thickBot="1" x14ac:dyDescent="0.3">
      <c r="A110" s="4" t="s">
        <v>92</v>
      </c>
      <c r="B110" s="8">
        <v>0.6</v>
      </c>
      <c r="C110" s="15">
        <v>0.8</v>
      </c>
      <c r="D110" s="8">
        <v>0.8</v>
      </c>
      <c r="E110" s="10" t="s">
        <v>277</v>
      </c>
      <c r="F110" s="11" t="s">
        <v>266</v>
      </c>
      <c r="G110" s="12" t="s">
        <v>283</v>
      </c>
      <c r="H110" s="13" t="s">
        <v>335</v>
      </c>
      <c r="I110" s="14">
        <v>5</v>
      </c>
      <c r="J110" s="14" t="s">
        <v>10</v>
      </c>
      <c r="K110" s="5" t="s">
        <v>573</v>
      </c>
      <c r="L110" s="6">
        <v>0.58333333333333337</v>
      </c>
      <c r="M110" s="7" t="s">
        <v>574</v>
      </c>
      <c r="N110" s="14" t="s">
        <v>11</v>
      </c>
      <c r="O110" s="14">
        <v>5</v>
      </c>
      <c r="P110" s="13" t="s">
        <v>227</v>
      </c>
      <c r="Q110" s="12" t="s">
        <v>277</v>
      </c>
      <c r="R110" s="11" t="s">
        <v>234</v>
      </c>
      <c r="S110" s="10" t="s">
        <v>227</v>
      </c>
      <c r="T110" s="8">
        <v>0.8</v>
      </c>
      <c r="U110" s="15">
        <v>0.6</v>
      </c>
      <c r="V110" s="8">
        <v>0.4</v>
      </c>
      <c r="W110" s="17"/>
      <c r="X110" s="65">
        <v>46248</v>
      </c>
    </row>
    <row r="111" spans="1:24" ht="13.8" thickBot="1" x14ac:dyDescent="0.3">
      <c r="A111" s="4" t="s">
        <v>336</v>
      </c>
      <c r="B111" s="8">
        <v>0.5</v>
      </c>
      <c r="C111" s="9">
        <v>0.5</v>
      </c>
      <c r="D111" s="8">
        <v>1</v>
      </c>
      <c r="E111" s="10" t="s">
        <v>220</v>
      </c>
      <c r="F111" s="11" t="s">
        <v>216</v>
      </c>
      <c r="G111" s="12" t="s">
        <v>246</v>
      </c>
      <c r="H111" s="13" t="s">
        <v>216</v>
      </c>
      <c r="I111" s="14">
        <v>2</v>
      </c>
      <c r="J111" s="14" t="s">
        <v>10</v>
      </c>
      <c r="K111" s="5" t="s">
        <v>575</v>
      </c>
      <c r="L111" s="6">
        <v>0.8125</v>
      </c>
      <c r="M111" s="7" t="s">
        <v>576</v>
      </c>
      <c r="N111" s="14" t="s">
        <v>11</v>
      </c>
      <c r="O111" s="14">
        <v>1</v>
      </c>
      <c r="P111" s="13" t="s">
        <v>217</v>
      </c>
      <c r="Q111" s="12" t="s">
        <v>216</v>
      </c>
      <c r="R111" s="11" t="s">
        <v>217</v>
      </c>
      <c r="S111" s="10" t="s">
        <v>217</v>
      </c>
      <c r="T111" s="8">
        <v>1</v>
      </c>
      <c r="U111" s="9">
        <v>0</v>
      </c>
      <c r="V111" s="8">
        <v>0</v>
      </c>
      <c r="W111" s="17"/>
      <c r="X111" s="65">
        <v>46248</v>
      </c>
    </row>
    <row r="112" spans="1:24" ht="19.8" thickBot="1" x14ac:dyDescent="0.3">
      <c r="A112" s="4" t="s">
        <v>337</v>
      </c>
      <c r="B112" s="8">
        <v>1</v>
      </c>
      <c r="C112" s="15">
        <v>1</v>
      </c>
      <c r="D112" s="8">
        <v>1</v>
      </c>
      <c r="E112" s="10" t="s">
        <v>217</v>
      </c>
      <c r="F112" s="11" t="s">
        <v>218</v>
      </c>
      <c r="G112" s="12" t="s">
        <v>226</v>
      </c>
      <c r="H112" s="13" t="s">
        <v>218</v>
      </c>
      <c r="I112" s="14">
        <v>1</v>
      </c>
      <c r="J112" s="14" t="s">
        <v>10</v>
      </c>
      <c r="K112" s="5" t="s">
        <v>577</v>
      </c>
      <c r="L112" s="6">
        <v>0.6875</v>
      </c>
      <c r="M112" s="7" t="s">
        <v>578</v>
      </c>
      <c r="N112" s="14" t="s">
        <v>11</v>
      </c>
      <c r="O112" s="14">
        <v>1</v>
      </c>
      <c r="P112" s="13" t="s">
        <v>219</v>
      </c>
      <c r="Q112" s="12" t="s">
        <v>226</v>
      </c>
      <c r="R112" s="11" t="s">
        <v>217</v>
      </c>
      <c r="S112" s="10" t="s">
        <v>218</v>
      </c>
      <c r="T112" s="8">
        <v>1</v>
      </c>
      <c r="U112" s="15">
        <v>1</v>
      </c>
      <c r="V112" s="8">
        <v>1</v>
      </c>
      <c r="W112" s="17"/>
      <c r="X112" s="65">
        <v>46248</v>
      </c>
    </row>
    <row r="113" spans="1:24" ht="13.8" thickBot="1" x14ac:dyDescent="0.3">
      <c r="A113" s="4" t="s">
        <v>337</v>
      </c>
      <c r="B113" s="8">
        <v>0</v>
      </c>
      <c r="C113" s="9">
        <v>0</v>
      </c>
      <c r="D113" s="8">
        <v>0</v>
      </c>
      <c r="E113" s="10" t="s">
        <v>219</v>
      </c>
      <c r="F113" s="11" t="s">
        <v>217</v>
      </c>
      <c r="G113" s="12" t="s">
        <v>217</v>
      </c>
      <c r="H113" s="13" t="s">
        <v>218</v>
      </c>
      <c r="I113" s="14">
        <v>1</v>
      </c>
      <c r="J113" s="14" t="s">
        <v>10</v>
      </c>
      <c r="K113" s="5" t="s">
        <v>579</v>
      </c>
      <c r="L113" s="6">
        <v>0.58333333333333337</v>
      </c>
      <c r="M113" s="7" t="s">
        <v>580</v>
      </c>
      <c r="N113" s="14" t="s">
        <v>11</v>
      </c>
      <c r="O113" s="14">
        <v>2</v>
      </c>
      <c r="P113" s="13" t="s">
        <v>247</v>
      </c>
      <c r="Q113" s="12" t="s">
        <v>218</v>
      </c>
      <c r="R113" s="11" t="s">
        <v>247</v>
      </c>
      <c r="S113" s="10" t="s">
        <v>221</v>
      </c>
      <c r="T113" s="8">
        <v>1</v>
      </c>
      <c r="U113" s="9">
        <v>0.5</v>
      </c>
      <c r="V113" s="8">
        <v>0.5</v>
      </c>
      <c r="W113" s="17"/>
      <c r="X113" s="65">
        <v>46248</v>
      </c>
    </row>
    <row r="114" spans="1:24" ht="19.8" thickBot="1" x14ac:dyDescent="0.3">
      <c r="A114" s="4" t="s">
        <v>337</v>
      </c>
      <c r="B114" s="8">
        <v>0</v>
      </c>
      <c r="C114" s="9">
        <v>0</v>
      </c>
      <c r="D114" s="8">
        <v>1</v>
      </c>
      <c r="E114" s="10" t="s">
        <v>216</v>
      </c>
      <c r="F114" s="11" t="s">
        <v>219</v>
      </c>
      <c r="G114" s="12" t="s">
        <v>216</v>
      </c>
      <c r="H114" s="13" t="s">
        <v>219</v>
      </c>
      <c r="I114" s="14">
        <v>1</v>
      </c>
      <c r="J114" s="14" t="s">
        <v>10</v>
      </c>
      <c r="K114" s="5" t="s">
        <v>581</v>
      </c>
      <c r="L114" s="6">
        <v>0.70833333333333337</v>
      </c>
      <c r="M114" s="7" t="s">
        <v>582</v>
      </c>
      <c r="N114" s="14" t="s">
        <v>11</v>
      </c>
      <c r="O114" s="14">
        <v>1</v>
      </c>
      <c r="P114" s="13" t="s">
        <v>217</v>
      </c>
      <c r="Q114" s="12" t="s">
        <v>226</v>
      </c>
      <c r="R114" s="11" t="s">
        <v>216</v>
      </c>
      <c r="S114" s="10" t="s">
        <v>216</v>
      </c>
      <c r="T114" s="8">
        <v>1</v>
      </c>
      <c r="U114" s="15">
        <v>1</v>
      </c>
      <c r="V114" s="8">
        <v>1</v>
      </c>
      <c r="W114" s="17"/>
      <c r="X114" s="65">
        <v>46248</v>
      </c>
    </row>
    <row r="115" spans="1:24" ht="19.8" thickBot="1" x14ac:dyDescent="0.3">
      <c r="A115" s="4" t="s">
        <v>337</v>
      </c>
      <c r="B115" s="8">
        <v>0</v>
      </c>
      <c r="C115" s="9">
        <v>0</v>
      </c>
      <c r="D115" s="8">
        <v>0</v>
      </c>
      <c r="E115" s="10" t="s">
        <v>217</v>
      </c>
      <c r="F115" s="11" t="s">
        <v>219</v>
      </c>
      <c r="G115" s="12" t="s">
        <v>217</v>
      </c>
      <c r="H115" s="13" t="s">
        <v>219</v>
      </c>
      <c r="I115" s="14">
        <v>1</v>
      </c>
      <c r="J115" s="14" t="s">
        <v>10</v>
      </c>
      <c r="K115" s="5" t="s">
        <v>583</v>
      </c>
      <c r="L115" s="6">
        <v>0.58333333333333337</v>
      </c>
      <c r="M115" s="7" t="s">
        <v>584</v>
      </c>
      <c r="N115" s="14" t="s">
        <v>11</v>
      </c>
      <c r="O115" s="14">
        <v>1</v>
      </c>
      <c r="P115" s="13" t="s">
        <v>217</v>
      </c>
      <c r="Q115" s="12" t="s">
        <v>219</v>
      </c>
      <c r="R115" s="11" t="s">
        <v>219</v>
      </c>
      <c r="S115" s="10" t="s">
        <v>219</v>
      </c>
      <c r="T115" s="8">
        <v>0</v>
      </c>
      <c r="U115" s="9">
        <v>0</v>
      </c>
      <c r="V115" s="8">
        <v>0</v>
      </c>
      <c r="W115" s="17"/>
      <c r="X115" s="65">
        <v>46248</v>
      </c>
    </row>
    <row r="116" spans="1:24" ht="13.8" thickBot="1" x14ac:dyDescent="0.3">
      <c r="A116" s="4" t="s">
        <v>243</v>
      </c>
      <c r="B116" s="63"/>
      <c r="C116" s="63"/>
      <c r="D116" s="63"/>
      <c r="E116" s="63"/>
      <c r="F116" s="63"/>
      <c r="G116" s="63"/>
      <c r="H116" s="63"/>
      <c r="I116" s="64"/>
      <c r="J116" s="14" t="s">
        <v>10</v>
      </c>
      <c r="K116" s="5" t="s">
        <v>585</v>
      </c>
      <c r="L116" s="6">
        <v>0.625</v>
      </c>
      <c r="M116" s="7" t="s">
        <v>586</v>
      </c>
      <c r="N116" s="14" t="s">
        <v>11</v>
      </c>
      <c r="O116" s="64"/>
      <c r="P116" s="63"/>
      <c r="Q116" s="63"/>
      <c r="R116" s="63"/>
      <c r="S116" s="63"/>
      <c r="T116" s="63"/>
      <c r="U116" s="63"/>
      <c r="V116" s="63"/>
      <c r="W116" s="17"/>
      <c r="X116" s="65">
        <v>46248</v>
      </c>
    </row>
    <row r="117" spans="1:24" ht="13.8" thickBot="1" x14ac:dyDescent="0.3">
      <c r="A117" s="4" t="s">
        <v>338</v>
      </c>
      <c r="B117" s="8">
        <v>0.5</v>
      </c>
      <c r="C117" s="9">
        <v>0.5</v>
      </c>
      <c r="D117" s="8">
        <v>0.5</v>
      </c>
      <c r="E117" s="10" t="s">
        <v>217</v>
      </c>
      <c r="F117" s="11" t="s">
        <v>220</v>
      </c>
      <c r="G117" s="12" t="s">
        <v>221</v>
      </c>
      <c r="H117" s="13" t="s">
        <v>216</v>
      </c>
      <c r="I117" s="14">
        <v>2</v>
      </c>
      <c r="J117" s="14" t="s">
        <v>10</v>
      </c>
      <c r="K117" s="5" t="s">
        <v>587</v>
      </c>
      <c r="L117" s="6">
        <v>0.5625</v>
      </c>
      <c r="M117" s="7" t="s">
        <v>588</v>
      </c>
      <c r="N117" s="14" t="s">
        <v>11</v>
      </c>
      <c r="O117" s="14">
        <v>2</v>
      </c>
      <c r="P117" s="13" t="s">
        <v>219</v>
      </c>
      <c r="Q117" s="12" t="s">
        <v>221</v>
      </c>
      <c r="R117" s="11" t="s">
        <v>219</v>
      </c>
      <c r="S117" s="10" t="s">
        <v>221</v>
      </c>
      <c r="T117" s="8">
        <v>0.5</v>
      </c>
      <c r="U117" s="9">
        <v>0.5</v>
      </c>
      <c r="V117" s="8">
        <v>0.5</v>
      </c>
      <c r="W117" s="17"/>
      <c r="X117" s="65">
        <v>46248</v>
      </c>
    </row>
    <row r="118" spans="1:24" ht="19.8" thickBot="1" x14ac:dyDescent="0.3">
      <c r="A118" s="4" t="s">
        <v>338</v>
      </c>
      <c r="B118" s="8">
        <v>0</v>
      </c>
      <c r="C118" s="9">
        <v>0</v>
      </c>
      <c r="D118" s="8">
        <v>0</v>
      </c>
      <c r="E118" s="10" t="s">
        <v>219</v>
      </c>
      <c r="F118" s="11" t="s">
        <v>217</v>
      </c>
      <c r="G118" s="12" t="s">
        <v>217</v>
      </c>
      <c r="H118" s="13" t="s">
        <v>218</v>
      </c>
      <c r="I118" s="14">
        <v>2</v>
      </c>
      <c r="J118" s="14" t="s">
        <v>10</v>
      </c>
      <c r="K118" s="5" t="s">
        <v>589</v>
      </c>
      <c r="L118" s="6">
        <v>0.6875</v>
      </c>
      <c r="M118" s="7" t="s">
        <v>590</v>
      </c>
      <c r="N118" s="14" t="s">
        <v>11</v>
      </c>
      <c r="O118" s="14">
        <v>2</v>
      </c>
      <c r="P118" s="13" t="s">
        <v>247</v>
      </c>
      <c r="Q118" s="12" t="s">
        <v>246</v>
      </c>
      <c r="R118" s="11" t="s">
        <v>220</v>
      </c>
      <c r="S118" s="10" t="s">
        <v>216</v>
      </c>
      <c r="T118" s="8">
        <v>1</v>
      </c>
      <c r="U118" s="15">
        <v>1</v>
      </c>
      <c r="V118" s="8">
        <v>0.5</v>
      </c>
      <c r="W118" s="17"/>
      <c r="X118" s="65">
        <v>46248</v>
      </c>
    </row>
    <row r="119" spans="1:24" ht="19.8" thickBot="1" x14ac:dyDescent="0.3">
      <c r="A119" s="4" t="s">
        <v>339</v>
      </c>
      <c r="B119" s="8">
        <v>0</v>
      </c>
      <c r="C119" s="15">
        <v>1</v>
      </c>
      <c r="D119" s="8">
        <v>1</v>
      </c>
      <c r="E119" s="10" t="s">
        <v>216</v>
      </c>
      <c r="F119" s="11" t="s">
        <v>217</v>
      </c>
      <c r="G119" s="12" t="s">
        <v>218</v>
      </c>
      <c r="H119" s="13" t="s">
        <v>220</v>
      </c>
      <c r="I119" s="14">
        <v>2</v>
      </c>
      <c r="J119" s="14" t="s">
        <v>10</v>
      </c>
      <c r="K119" s="5" t="s">
        <v>591</v>
      </c>
      <c r="L119" s="6">
        <v>0.5</v>
      </c>
      <c r="M119" s="7" t="s">
        <v>592</v>
      </c>
      <c r="N119" s="14" t="s">
        <v>11</v>
      </c>
      <c r="O119" s="14">
        <v>1</v>
      </c>
      <c r="P119" s="13" t="s">
        <v>219</v>
      </c>
      <c r="Q119" s="12" t="s">
        <v>218</v>
      </c>
      <c r="R119" s="11" t="s">
        <v>217</v>
      </c>
      <c r="S119" s="10" t="s">
        <v>216</v>
      </c>
      <c r="T119" s="8">
        <v>1</v>
      </c>
      <c r="U119" s="15">
        <v>1</v>
      </c>
      <c r="V119" s="8">
        <v>0</v>
      </c>
      <c r="W119" s="17"/>
      <c r="X119" s="65">
        <v>46248</v>
      </c>
    </row>
    <row r="120" spans="1:24" ht="13.8" thickBot="1" x14ac:dyDescent="0.3">
      <c r="A120" s="4" t="s">
        <v>593</v>
      </c>
      <c r="B120" s="63"/>
      <c r="C120" s="63"/>
      <c r="D120" s="63"/>
      <c r="E120" s="63"/>
      <c r="F120" s="63"/>
      <c r="G120" s="63"/>
      <c r="H120" s="63"/>
      <c r="I120" s="64"/>
      <c r="J120" s="14" t="s">
        <v>10</v>
      </c>
      <c r="K120" s="5" t="s">
        <v>594</v>
      </c>
      <c r="L120" s="6">
        <v>0.61805555555555558</v>
      </c>
      <c r="M120" s="7" t="s">
        <v>595</v>
      </c>
      <c r="N120" s="14" t="s">
        <v>11</v>
      </c>
      <c r="O120" s="64"/>
      <c r="P120" s="63"/>
      <c r="Q120" s="63"/>
      <c r="R120" s="63"/>
      <c r="S120" s="63"/>
      <c r="T120" s="63"/>
      <c r="U120" s="63"/>
      <c r="V120" s="63"/>
      <c r="W120" s="17"/>
      <c r="X120" s="65">
        <v>46248</v>
      </c>
    </row>
    <row r="121" spans="1:24" ht="13.8" thickBot="1" x14ac:dyDescent="0.3">
      <c r="A121" s="4" t="s">
        <v>593</v>
      </c>
      <c r="B121" s="63"/>
      <c r="C121" s="63"/>
      <c r="D121" s="63"/>
      <c r="E121" s="63"/>
      <c r="F121" s="63"/>
      <c r="G121" s="63"/>
      <c r="H121" s="63"/>
      <c r="I121" s="64"/>
      <c r="J121" s="14" t="s">
        <v>10</v>
      </c>
      <c r="K121" s="5" t="s">
        <v>596</v>
      </c>
      <c r="L121" s="6">
        <v>0.66666666666666663</v>
      </c>
      <c r="M121" s="7" t="s">
        <v>597</v>
      </c>
      <c r="N121" s="14" t="s">
        <v>11</v>
      </c>
      <c r="O121" s="64"/>
      <c r="P121" s="63"/>
      <c r="Q121" s="63"/>
      <c r="R121" s="63"/>
      <c r="S121" s="63"/>
      <c r="T121" s="63"/>
      <c r="U121" s="63"/>
      <c r="V121" s="63"/>
      <c r="W121" s="17"/>
      <c r="X121" s="65">
        <v>46248</v>
      </c>
    </row>
    <row r="122" spans="1:24" ht="13.8" thickBot="1" x14ac:dyDescent="0.3">
      <c r="A122" s="4" t="s">
        <v>593</v>
      </c>
      <c r="B122" s="63"/>
      <c r="C122" s="63"/>
      <c r="D122" s="63"/>
      <c r="E122" s="63"/>
      <c r="F122" s="63"/>
      <c r="G122" s="63"/>
      <c r="H122" s="63"/>
      <c r="I122" s="64"/>
      <c r="J122" s="14" t="s">
        <v>10</v>
      </c>
      <c r="K122" s="5" t="s">
        <v>598</v>
      </c>
      <c r="L122" s="6">
        <v>0.66666666666666663</v>
      </c>
      <c r="M122" s="7" t="s">
        <v>599</v>
      </c>
      <c r="N122" s="14" t="s">
        <v>11</v>
      </c>
      <c r="O122" s="64"/>
      <c r="P122" s="63"/>
      <c r="Q122" s="63"/>
      <c r="R122" s="63"/>
      <c r="S122" s="63"/>
      <c r="T122" s="63"/>
      <c r="U122" s="63"/>
      <c r="V122" s="63"/>
      <c r="W122" s="17"/>
      <c r="X122" s="65">
        <v>46248</v>
      </c>
    </row>
    <row r="123" spans="1:24" ht="13.8" thickBot="1" x14ac:dyDescent="0.3">
      <c r="A123" s="4" t="s">
        <v>196</v>
      </c>
      <c r="B123" s="8">
        <v>0</v>
      </c>
      <c r="C123" s="9">
        <v>0</v>
      </c>
      <c r="D123" s="8">
        <v>0</v>
      </c>
      <c r="E123" s="10" t="s">
        <v>217</v>
      </c>
      <c r="F123" s="11" t="s">
        <v>219</v>
      </c>
      <c r="G123" s="12" t="s">
        <v>217</v>
      </c>
      <c r="H123" s="13" t="s">
        <v>219</v>
      </c>
      <c r="I123" s="14">
        <v>1</v>
      </c>
      <c r="J123" s="14" t="s">
        <v>10</v>
      </c>
      <c r="K123" s="5" t="s">
        <v>600</v>
      </c>
      <c r="L123" s="6">
        <v>0.64583333333333337</v>
      </c>
      <c r="M123" s="7" t="s">
        <v>601</v>
      </c>
      <c r="N123" s="14" t="s">
        <v>11</v>
      </c>
      <c r="O123" s="64"/>
      <c r="P123" s="63"/>
      <c r="Q123" s="63"/>
      <c r="R123" s="63"/>
      <c r="S123" s="63"/>
      <c r="T123" s="63"/>
      <c r="U123" s="63"/>
      <c r="V123" s="63"/>
      <c r="W123" s="17"/>
      <c r="X123" s="65">
        <v>46248</v>
      </c>
    </row>
    <row r="124" spans="1:24" ht="13.8" thickBot="1" x14ac:dyDescent="0.3">
      <c r="A124" s="4" t="s">
        <v>196</v>
      </c>
      <c r="B124" s="8">
        <v>0.22</v>
      </c>
      <c r="C124" s="15">
        <v>0.89</v>
      </c>
      <c r="D124" s="8">
        <v>1</v>
      </c>
      <c r="E124" s="10" t="s">
        <v>216</v>
      </c>
      <c r="F124" s="11" t="s">
        <v>228</v>
      </c>
      <c r="G124" s="12" t="s">
        <v>340</v>
      </c>
      <c r="H124" s="13" t="s">
        <v>224</v>
      </c>
      <c r="I124" s="14">
        <v>9</v>
      </c>
      <c r="J124" s="14" t="s">
        <v>10</v>
      </c>
      <c r="K124" s="5" t="s">
        <v>602</v>
      </c>
      <c r="L124" s="6">
        <v>0.33333333333333331</v>
      </c>
      <c r="M124" s="7" t="s">
        <v>603</v>
      </c>
      <c r="N124" s="14" t="s">
        <v>11</v>
      </c>
      <c r="O124" s="14">
        <v>9</v>
      </c>
      <c r="P124" s="13" t="s">
        <v>231</v>
      </c>
      <c r="Q124" s="12" t="s">
        <v>340</v>
      </c>
      <c r="R124" s="11" t="s">
        <v>231</v>
      </c>
      <c r="S124" s="10" t="s">
        <v>284</v>
      </c>
      <c r="T124" s="8">
        <v>0.89</v>
      </c>
      <c r="U124" s="15">
        <v>0.56000000000000005</v>
      </c>
      <c r="V124" s="8">
        <v>0.33</v>
      </c>
      <c r="W124" s="17"/>
      <c r="X124" s="65">
        <v>46248</v>
      </c>
    </row>
    <row r="125" spans="1:24" ht="19.8" thickBot="1" x14ac:dyDescent="0.3">
      <c r="A125" s="4" t="s">
        <v>196</v>
      </c>
      <c r="B125" s="8">
        <v>0.33</v>
      </c>
      <c r="C125" s="15">
        <v>0.67</v>
      </c>
      <c r="D125" s="8">
        <v>0.67</v>
      </c>
      <c r="E125" s="10" t="s">
        <v>310</v>
      </c>
      <c r="F125" s="11" t="s">
        <v>333</v>
      </c>
      <c r="G125" s="12" t="s">
        <v>341</v>
      </c>
      <c r="H125" s="13" t="s">
        <v>231</v>
      </c>
      <c r="I125" s="14">
        <v>9</v>
      </c>
      <c r="J125" s="14" t="s">
        <v>10</v>
      </c>
      <c r="K125" s="5" t="s">
        <v>197</v>
      </c>
      <c r="L125" s="6">
        <v>0.33333333333333331</v>
      </c>
      <c r="M125" s="7" t="s">
        <v>604</v>
      </c>
      <c r="N125" s="14" t="s">
        <v>11</v>
      </c>
      <c r="O125" s="14">
        <v>8</v>
      </c>
      <c r="P125" s="13" t="s">
        <v>236</v>
      </c>
      <c r="Q125" s="12" t="s">
        <v>240</v>
      </c>
      <c r="R125" s="11" t="s">
        <v>294</v>
      </c>
      <c r="S125" s="10" t="s">
        <v>217</v>
      </c>
      <c r="T125" s="8">
        <v>0.5</v>
      </c>
      <c r="U125" s="9">
        <v>0.38</v>
      </c>
      <c r="V125" s="8">
        <v>0.12</v>
      </c>
      <c r="W125" s="17"/>
      <c r="X125" s="65">
        <v>46248</v>
      </c>
    </row>
    <row r="126" spans="1:24" ht="13.8" thickBot="1" x14ac:dyDescent="0.3">
      <c r="A126" s="4" t="s">
        <v>199</v>
      </c>
      <c r="B126" s="8">
        <v>0.12</v>
      </c>
      <c r="C126" s="9">
        <v>0.38</v>
      </c>
      <c r="D126" s="8">
        <v>1</v>
      </c>
      <c r="E126" s="10" t="s">
        <v>294</v>
      </c>
      <c r="F126" s="11" t="s">
        <v>286</v>
      </c>
      <c r="G126" s="12" t="s">
        <v>221</v>
      </c>
      <c r="H126" s="13" t="s">
        <v>220</v>
      </c>
      <c r="I126" s="14">
        <v>8</v>
      </c>
      <c r="J126" s="14" t="s">
        <v>10</v>
      </c>
      <c r="K126" s="5" t="s">
        <v>605</v>
      </c>
      <c r="L126" s="6">
        <v>0.625</v>
      </c>
      <c r="M126" s="7" t="s">
        <v>203</v>
      </c>
      <c r="N126" s="14" t="s">
        <v>11</v>
      </c>
      <c r="O126" s="14">
        <v>8</v>
      </c>
      <c r="P126" s="13" t="s">
        <v>239</v>
      </c>
      <c r="Q126" s="12" t="s">
        <v>342</v>
      </c>
      <c r="R126" s="11" t="s">
        <v>293</v>
      </c>
      <c r="S126" s="10" t="s">
        <v>240</v>
      </c>
      <c r="T126" s="8">
        <v>0.75</v>
      </c>
      <c r="U126" s="15">
        <v>0.75</v>
      </c>
      <c r="V126" s="8">
        <v>0.5</v>
      </c>
      <c r="W126" s="17"/>
      <c r="X126" s="65">
        <v>46248</v>
      </c>
    </row>
    <row r="127" spans="1:24" ht="13.8" thickBot="1" x14ac:dyDescent="0.3">
      <c r="A127" s="4" t="s">
        <v>199</v>
      </c>
      <c r="B127" s="8">
        <v>0.75</v>
      </c>
      <c r="C127" s="15">
        <v>0.88</v>
      </c>
      <c r="D127" s="8">
        <v>0.88</v>
      </c>
      <c r="E127" s="10" t="s">
        <v>225</v>
      </c>
      <c r="F127" s="11" t="s">
        <v>225</v>
      </c>
      <c r="G127" s="12" t="s">
        <v>327</v>
      </c>
      <c r="H127" s="13" t="s">
        <v>294</v>
      </c>
      <c r="I127" s="14">
        <v>8</v>
      </c>
      <c r="J127" s="14" t="s">
        <v>10</v>
      </c>
      <c r="K127" s="5" t="s">
        <v>606</v>
      </c>
      <c r="L127" s="6">
        <v>0.625</v>
      </c>
      <c r="M127" s="7" t="s">
        <v>607</v>
      </c>
      <c r="N127" s="14" t="s">
        <v>11</v>
      </c>
      <c r="O127" s="14">
        <v>9</v>
      </c>
      <c r="P127" s="13" t="s">
        <v>310</v>
      </c>
      <c r="Q127" s="12" t="s">
        <v>325</v>
      </c>
      <c r="R127" s="11" t="s">
        <v>306</v>
      </c>
      <c r="S127" s="10" t="s">
        <v>343</v>
      </c>
      <c r="T127" s="8">
        <v>0.67</v>
      </c>
      <c r="U127" s="9">
        <v>0.44</v>
      </c>
      <c r="V127" s="8">
        <v>0.44</v>
      </c>
      <c r="W127" s="17"/>
      <c r="X127" s="65">
        <v>46248</v>
      </c>
    </row>
    <row r="128" spans="1:24" ht="13.8" thickBot="1" x14ac:dyDescent="0.3">
      <c r="A128" s="4" t="s">
        <v>199</v>
      </c>
      <c r="B128" s="8">
        <v>0.25</v>
      </c>
      <c r="C128" s="9">
        <v>0.38</v>
      </c>
      <c r="D128" s="8">
        <v>0.62</v>
      </c>
      <c r="E128" s="10" t="s">
        <v>217</v>
      </c>
      <c r="F128" s="11" t="s">
        <v>293</v>
      </c>
      <c r="G128" s="12" t="s">
        <v>225</v>
      </c>
      <c r="H128" s="13" t="s">
        <v>220</v>
      </c>
      <c r="I128" s="14">
        <v>8</v>
      </c>
      <c r="J128" s="14" t="s">
        <v>10</v>
      </c>
      <c r="K128" s="5" t="s">
        <v>608</v>
      </c>
      <c r="L128" s="6">
        <v>0.625</v>
      </c>
      <c r="M128" s="7" t="s">
        <v>609</v>
      </c>
      <c r="N128" s="14" t="s">
        <v>11</v>
      </c>
      <c r="O128" s="14">
        <v>9</v>
      </c>
      <c r="P128" s="13" t="s">
        <v>344</v>
      </c>
      <c r="Q128" s="12" t="s">
        <v>241</v>
      </c>
      <c r="R128" s="11" t="s">
        <v>231</v>
      </c>
      <c r="S128" s="10" t="s">
        <v>229</v>
      </c>
      <c r="T128" s="8">
        <v>0.78</v>
      </c>
      <c r="U128" s="15">
        <v>0.67</v>
      </c>
      <c r="V128" s="8">
        <v>0.56000000000000005</v>
      </c>
      <c r="W128" s="17"/>
      <c r="X128" s="65">
        <v>46248</v>
      </c>
    </row>
    <row r="129" spans="1:24" ht="19.8" thickBot="1" x14ac:dyDescent="0.3">
      <c r="A129" s="4" t="s">
        <v>199</v>
      </c>
      <c r="B129" s="8">
        <v>0.12</v>
      </c>
      <c r="C129" s="9">
        <v>0.25</v>
      </c>
      <c r="D129" s="8">
        <v>0.62</v>
      </c>
      <c r="E129" s="10" t="s">
        <v>293</v>
      </c>
      <c r="F129" s="11" t="s">
        <v>222</v>
      </c>
      <c r="G129" s="12" t="s">
        <v>216</v>
      </c>
      <c r="H129" s="13" t="s">
        <v>286</v>
      </c>
      <c r="I129" s="14">
        <v>8</v>
      </c>
      <c r="J129" s="14" t="s">
        <v>10</v>
      </c>
      <c r="K129" s="5" t="s">
        <v>610</v>
      </c>
      <c r="L129" s="6">
        <v>0.625</v>
      </c>
      <c r="M129" s="7" t="s">
        <v>611</v>
      </c>
      <c r="N129" s="14" t="s">
        <v>11</v>
      </c>
      <c r="O129" s="14">
        <v>8</v>
      </c>
      <c r="P129" s="13" t="s">
        <v>218</v>
      </c>
      <c r="Q129" s="12" t="s">
        <v>345</v>
      </c>
      <c r="R129" s="11" t="s">
        <v>346</v>
      </c>
      <c r="S129" s="10" t="s">
        <v>347</v>
      </c>
      <c r="T129" s="8">
        <v>0.88</v>
      </c>
      <c r="U129" s="9">
        <v>0.5</v>
      </c>
      <c r="V129" s="8">
        <v>0.5</v>
      </c>
      <c r="W129" s="17"/>
      <c r="X129" s="65">
        <v>46248</v>
      </c>
    </row>
    <row r="130" spans="1:24" ht="19.8" thickBot="1" x14ac:dyDescent="0.3">
      <c r="A130" s="4" t="s">
        <v>199</v>
      </c>
      <c r="B130" s="8">
        <v>0.5</v>
      </c>
      <c r="C130" s="15">
        <v>0.67</v>
      </c>
      <c r="D130" s="8">
        <v>0.83</v>
      </c>
      <c r="E130" s="10" t="s">
        <v>348</v>
      </c>
      <c r="F130" s="11" t="s">
        <v>221</v>
      </c>
      <c r="G130" s="12" t="s">
        <v>349</v>
      </c>
      <c r="H130" s="13" t="s">
        <v>221</v>
      </c>
      <c r="I130" s="14">
        <v>6</v>
      </c>
      <c r="J130" s="14" t="s">
        <v>10</v>
      </c>
      <c r="K130" s="5" t="s">
        <v>612</v>
      </c>
      <c r="L130" s="6">
        <v>0.625</v>
      </c>
      <c r="M130" s="7" t="s">
        <v>613</v>
      </c>
      <c r="N130" s="14" t="s">
        <v>11</v>
      </c>
      <c r="O130" s="14">
        <v>8</v>
      </c>
      <c r="P130" s="13" t="s">
        <v>223</v>
      </c>
      <c r="Q130" s="12" t="s">
        <v>345</v>
      </c>
      <c r="R130" s="11" t="s">
        <v>216</v>
      </c>
      <c r="S130" s="10" t="s">
        <v>239</v>
      </c>
      <c r="T130" s="8">
        <v>1</v>
      </c>
      <c r="U130" s="15">
        <v>0.62</v>
      </c>
      <c r="V130" s="8">
        <v>0.5</v>
      </c>
      <c r="W130" s="17"/>
      <c r="X130" s="65">
        <v>46248</v>
      </c>
    </row>
    <row r="131" spans="1:24" ht="13.8" thickBot="1" x14ac:dyDescent="0.3">
      <c r="A131" s="4" t="s">
        <v>199</v>
      </c>
      <c r="B131" s="8">
        <v>0.28999999999999998</v>
      </c>
      <c r="C131" s="15">
        <v>0.71</v>
      </c>
      <c r="D131" s="8">
        <v>1</v>
      </c>
      <c r="E131" s="10" t="s">
        <v>350</v>
      </c>
      <c r="F131" s="11" t="s">
        <v>291</v>
      </c>
      <c r="G131" s="12" t="s">
        <v>351</v>
      </c>
      <c r="H131" s="13" t="s">
        <v>352</v>
      </c>
      <c r="I131" s="14">
        <v>7</v>
      </c>
      <c r="J131" s="14" t="s">
        <v>10</v>
      </c>
      <c r="K131" s="5" t="s">
        <v>614</v>
      </c>
      <c r="L131" s="6">
        <v>0.625</v>
      </c>
      <c r="M131" s="7" t="s">
        <v>615</v>
      </c>
      <c r="N131" s="14" t="s">
        <v>11</v>
      </c>
      <c r="O131" s="14">
        <v>7</v>
      </c>
      <c r="P131" s="13" t="s">
        <v>447</v>
      </c>
      <c r="Q131" s="12" t="s">
        <v>218</v>
      </c>
      <c r="R131" s="11" t="s">
        <v>353</v>
      </c>
      <c r="S131" s="10" t="s">
        <v>354</v>
      </c>
      <c r="T131" s="8">
        <v>0.71</v>
      </c>
      <c r="U131" s="15">
        <v>0.71</v>
      </c>
      <c r="V131" s="8">
        <v>0.28999999999999998</v>
      </c>
      <c r="W131" s="17"/>
      <c r="X131" s="65">
        <v>46248</v>
      </c>
    </row>
    <row r="132" spans="1:24" ht="13.8" thickBot="1" x14ac:dyDescent="0.3">
      <c r="A132" s="4" t="s">
        <v>355</v>
      </c>
      <c r="B132" s="63"/>
      <c r="C132" s="63"/>
      <c r="D132" s="63"/>
      <c r="E132" s="63"/>
      <c r="F132" s="63"/>
      <c r="G132" s="63"/>
      <c r="H132" s="63"/>
      <c r="I132" s="64"/>
      <c r="J132" s="14" t="s">
        <v>10</v>
      </c>
      <c r="K132" s="5" t="s">
        <v>616</v>
      </c>
      <c r="L132" s="6">
        <v>0.6875</v>
      </c>
      <c r="M132" s="7" t="s">
        <v>617</v>
      </c>
      <c r="N132" s="14" t="s">
        <v>11</v>
      </c>
      <c r="O132" s="64"/>
      <c r="P132" s="63"/>
      <c r="Q132" s="63"/>
      <c r="R132" s="63"/>
      <c r="S132" s="63"/>
      <c r="T132" s="63"/>
      <c r="U132" s="63"/>
      <c r="V132" s="63"/>
      <c r="W132" s="17"/>
      <c r="X132" s="65">
        <v>46248</v>
      </c>
    </row>
    <row r="133" spans="1:24" ht="13.8" thickBot="1" x14ac:dyDescent="0.3">
      <c r="A133" s="4" t="s">
        <v>355</v>
      </c>
      <c r="B133" s="63"/>
      <c r="C133" s="63"/>
      <c r="D133" s="63"/>
      <c r="E133" s="63"/>
      <c r="F133" s="63"/>
      <c r="G133" s="63"/>
      <c r="H133" s="63"/>
      <c r="I133" s="64"/>
      <c r="J133" s="14" t="s">
        <v>10</v>
      </c>
      <c r="K133" s="5" t="s">
        <v>618</v>
      </c>
      <c r="L133" s="6">
        <v>0.6875</v>
      </c>
      <c r="M133" s="7" t="s">
        <v>619</v>
      </c>
      <c r="N133" s="14" t="s">
        <v>11</v>
      </c>
      <c r="O133" s="64"/>
      <c r="P133" s="63"/>
      <c r="Q133" s="63"/>
      <c r="R133" s="63"/>
      <c r="S133" s="63"/>
      <c r="T133" s="63"/>
      <c r="U133" s="63"/>
      <c r="V133" s="63"/>
      <c r="W133" s="17"/>
      <c r="X133" s="65">
        <v>46248</v>
      </c>
    </row>
    <row r="134" spans="1:24" ht="13.8" thickBot="1" x14ac:dyDescent="0.3">
      <c r="A134" s="4" t="s">
        <v>356</v>
      </c>
      <c r="B134" s="8">
        <v>0</v>
      </c>
      <c r="C134" s="9">
        <v>0.5</v>
      </c>
      <c r="D134" s="8">
        <v>1</v>
      </c>
      <c r="E134" s="10" t="s">
        <v>217</v>
      </c>
      <c r="F134" s="11" t="s">
        <v>220</v>
      </c>
      <c r="G134" s="12" t="s">
        <v>221</v>
      </c>
      <c r="H134" s="13" t="s">
        <v>220</v>
      </c>
      <c r="I134" s="14">
        <v>2</v>
      </c>
      <c r="J134" s="14" t="s">
        <v>10</v>
      </c>
      <c r="K134" s="5" t="s">
        <v>620</v>
      </c>
      <c r="L134" s="6">
        <v>0.54166666666666663</v>
      </c>
      <c r="M134" s="7" t="s">
        <v>621</v>
      </c>
      <c r="N134" s="14" t="s">
        <v>11</v>
      </c>
      <c r="O134" s="14">
        <v>1</v>
      </c>
      <c r="P134" s="13" t="s">
        <v>219</v>
      </c>
      <c r="Q134" s="12" t="s">
        <v>217</v>
      </c>
      <c r="R134" s="11" t="s">
        <v>219</v>
      </c>
      <c r="S134" s="10" t="s">
        <v>217</v>
      </c>
      <c r="T134" s="8">
        <v>0</v>
      </c>
      <c r="U134" s="9">
        <v>0</v>
      </c>
      <c r="V134" s="8">
        <v>0</v>
      </c>
      <c r="W134" s="17"/>
      <c r="X134" s="65">
        <v>46248</v>
      </c>
    </row>
    <row r="135" spans="1:24" ht="13.8" thickBot="1" x14ac:dyDescent="0.3">
      <c r="A135" s="4" t="s">
        <v>204</v>
      </c>
      <c r="B135" s="63"/>
      <c r="C135" s="63"/>
      <c r="D135" s="63"/>
      <c r="E135" s="63"/>
      <c r="F135" s="63"/>
      <c r="G135" s="63"/>
      <c r="H135" s="63"/>
      <c r="I135" s="64"/>
      <c r="J135" s="14" t="s">
        <v>10</v>
      </c>
      <c r="K135" s="5" t="s">
        <v>622</v>
      </c>
      <c r="L135" s="6">
        <v>0.83333333333333337</v>
      </c>
      <c r="M135" s="7" t="s">
        <v>623</v>
      </c>
      <c r="N135" s="14" t="s">
        <v>11</v>
      </c>
      <c r="O135" s="64"/>
      <c r="P135" s="63"/>
      <c r="Q135" s="63"/>
      <c r="R135" s="63"/>
      <c r="S135" s="63"/>
      <c r="T135" s="63"/>
      <c r="U135" s="63"/>
      <c r="V135" s="63"/>
      <c r="W135" s="17"/>
      <c r="X135" s="65">
        <v>46248</v>
      </c>
    </row>
    <row r="136" spans="1:24" ht="13.8" thickBot="1" x14ac:dyDescent="0.3">
      <c r="A136" s="4" t="s">
        <v>624</v>
      </c>
      <c r="B136" s="8">
        <v>0</v>
      </c>
      <c r="C136" s="9">
        <v>0</v>
      </c>
      <c r="D136" s="8">
        <v>1</v>
      </c>
      <c r="E136" s="10" t="s">
        <v>216</v>
      </c>
      <c r="F136" s="11" t="s">
        <v>219</v>
      </c>
      <c r="G136" s="12" t="s">
        <v>216</v>
      </c>
      <c r="H136" s="13" t="s">
        <v>219</v>
      </c>
      <c r="I136" s="14">
        <v>1</v>
      </c>
      <c r="J136" s="14" t="s">
        <v>10</v>
      </c>
      <c r="K136" s="5" t="s">
        <v>625</v>
      </c>
      <c r="L136" s="6">
        <v>0.69791666666666663</v>
      </c>
      <c r="M136" s="7" t="s">
        <v>626</v>
      </c>
      <c r="N136" s="14" t="s">
        <v>11</v>
      </c>
      <c r="O136" s="14">
        <v>1</v>
      </c>
      <c r="P136" s="13" t="s">
        <v>219</v>
      </c>
      <c r="Q136" s="12" t="s">
        <v>218</v>
      </c>
      <c r="R136" s="11" t="s">
        <v>217</v>
      </c>
      <c r="S136" s="10" t="s">
        <v>216</v>
      </c>
      <c r="T136" s="8">
        <v>1</v>
      </c>
      <c r="U136" s="15">
        <v>1</v>
      </c>
      <c r="V136" s="8">
        <v>0</v>
      </c>
      <c r="W136" s="17"/>
      <c r="X136" s="65">
        <v>46248</v>
      </c>
    </row>
    <row r="137" spans="1:24" ht="19.8" thickBot="1" x14ac:dyDescent="0.3">
      <c r="A137" s="4" t="s">
        <v>624</v>
      </c>
      <c r="B137" s="8">
        <v>0</v>
      </c>
      <c r="C137" s="9">
        <v>0</v>
      </c>
      <c r="D137" s="8">
        <v>1</v>
      </c>
      <c r="E137" s="10" t="s">
        <v>217</v>
      </c>
      <c r="F137" s="11" t="s">
        <v>217</v>
      </c>
      <c r="G137" s="12" t="s">
        <v>216</v>
      </c>
      <c r="H137" s="13" t="s">
        <v>217</v>
      </c>
      <c r="I137" s="14">
        <v>1</v>
      </c>
      <c r="J137" s="14" t="s">
        <v>10</v>
      </c>
      <c r="K137" s="5" t="s">
        <v>627</v>
      </c>
      <c r="L137" s="6">
        <v>0.69791666666666663</v>
      </c>
      <c r="M137" s="7" t="s">
        <v>628</v>
      </c>
      <c r="N137" s="14" t="s">
        <v>11</v>
      </c>
      <c r="O137" s="14">
        <v>1</v>
      </c>
      <c r="P137" s="13" t="s">
        <v>219</v>
      </c>
      <c r="Q137" s="12" t="s">
        <v>278</v>
      </c>
      <c r="R137" s="11" t="s">
        <v>216</v>
      </c>
      <c r="S137" s="10" t="s">
        <v>218</v>
      </c>
      <c r="T137" s="8">
        <v>1</v>
      </c>
      <c r="U137" s="15">
        <v>1</v>
      </c>
      <c r="V137" s="8">
        <v>1</v>
      </c>
      <c r="W137" s="17"/>
      <c r="X137" s="65">
        <v>46248</v>
      </c>
    </row>
    <row r="138" spans="1:24" ht="19.8" thickBot="1" x14ac:dyDescent="0.3">
      <c r="A138" s="4" t="s">
        <v>624</v>
      </c>
      <c r="B138" s="8">
        <v>0</v>
      </c>
      <c r="C138" s="15">
        <v>1</v>
      </c>
      <c r="D138" s="8">
        <v>1</v>
      </c>
      <c r="E138" s="10" t="s">
        <v>216</v>
      </c>
      <c r="F138" s="11" t="s">
        <v>217</v>
      </c>
      <c r="G138" s="12" t="s">
        <v>218</v>
      </c>
      <c r="H138" s="13" t="s">
        <v>219</v>
      </c>
      <c r="I138" s="14">
        <v>1</v>
      </c>
      <c r="J138" s="14" t="s">
        <v>10</v>
      </c>
      <c r="K138" s="5" t="s">
        <v>629</v>
      </c>
      <c r="L138" s="6">
        <v>0.69791666666666663</v>
      </c>
      <c r="M138" s="7" t="s">
        <v>630</v>
      </c>
      <c r="N138" s="14" t="s">
        <v>11</v>
      </c>
      <c r="O138" s="14">
        <v>1</v>
      </c>
      <c r="P138" s="13" t="s">
        <v>219</v>
      </c>
      <c r="Q138" s="12" t="s">
        <v>216</v>
      </c>
      <c r="R138" s="11" t="s">
        <v>219</v>
      </c>
      <c r="S138" s="10" t="s">
        <v>216</v>
      </c>
      <c r="T138" s="8">
        <v>1</v>
      </c>
      <c r="U138" s="9">
        <v>0</v>
      </c>
      <c r="V138" s="8">
        <v>0</v>
      </c>
      <c r="W138" s="17"/>
      <c r="X138" s="65">
        <v>46248</v>
      </c>
    </row>
    <row r="139" spans="1:24" ht="19.8" thickBot="1" x14ac:dyDescent="0.3">
      <c r="A139" s="4" t="s">
        <v>624</v>
      </c>
      <c r="B139" s="8">
        <v>0</v>
      </c>
      <c r="C139" s="9">
        <v>0</v>
      </c>
      <c r="D139" s="8">
        <v>0</v>
      </c>
      <c r="E139" s="10" t="s">
        <v>217</v>
      </c>
      <c r="F139" s="11" t="s">
        <v>219</v>
      </c>
      <c r="G139" s="12" t="s">
        <v>217</v>
      </c>
      <c r="H139" s="13" t="s">
        <v>219</v>
      </c>
      <c r="I139" s="14">
        <v>1</v>
      </c>
      <c r="J139" s="14" t="s">
        <v>10</v>
      </c>
      <c r="K139" s="5" t="s">
        <v>631</v>
      </c>
      <c r="L139" s="6">
        <v>0.69791666666666663</v>
      </c>
      <c r="M139" s="7" t="s">
        <v>632</v>
      </c>
      <c r="N139" s="14" t="s">
        <v>11</v>
      </c>
      <c r="O139" s="14">
        <v>1</v>
      </c>
      <c r="P139" s="13" t="s">
        <v>218</v>
      </c>
      <c r="Q139" s="12" t="s">
        <v>218</v>
      </c>
      <c r="R139" s="11" t="s">
        <v>216</v>
      </c>
      <c r="S139" s="10" t="s">
        <v>217</v>
      </c>
      <c r="T139" s="8">
        <v>1</v>
      </c>
      <c r="U139" s="15">
        <v>1</v>
      </c>
      <c r="V139" s="8">
        <v>0</v>
      </c>
      <c r="W139" s="17"/>
      <c r="X139" s="65">
        <v>46248</v>
      </c>
    </row>
    <row r="140" spans="1:24" ht="13.8" thickBot="1" x14ac:dyDescent="0.3">
      <c r="A140" s="4" t="s">
        <v>624</v>
      </c>
      <c r="B140" s="8">
        <v>1</v>
      </c>
      <c r="C140" s="15">
        <v>1</v>
      </c>
      <c r="D140" s="8">
        <v>1</v>
      </c>
      <c r="E140" s="10" t="s">
        <v>216</v>
      </c>
      <c r="F140" s="11" t="s">
        <v>218</v>
      </c>
      <c r="G140" s="12" t="s">
        <v>278</v>
      </c>
      <c r="H140" s="13" t="s">
        <v>218</v>
      </c>
      <c r="I140" s="14">
        <v>1</v>
      </c>
      <c r="J140" s="14" t="s">
        <v>10</v>
      </c>
      <c r="K140" s="5" t="s">
        <v>633</v>
      </c>
      <c r="L140" s="6">
        <v>0.69791666666666663</v>
      </c>
      <c r="M140" s="7" t="s">
        <v>634</v>
      </c>
      <c r="N140" s="14" t="s">
        <v>11</v>
      </c>
      <c r="O140" s="14">
        <v>1</v>
      </c>
      <c r="P140" s="13" t="s">
        <v>219</v>
      </c>
      <c r="Q140" s="12" t="s">
        <v>357</v>
      </c>
      <c r="R140" s="11" t="s">
        <v>217</v>
      </c>
      <c r="S140" s="10" t="s">
        <v>238</v>
      </c>
      <c r="T140" s="8">
        <v>1</v>
      </c>
      <c r="U140" s="15">
        <v>1</v>
      </c>
      <c r="V140" s="8">
        <v>1</v>
      </c>
      <c r="W140" s="17"/>
      <c r="X140" s="65">
        <v>46248</v>
      </c>
    </row>
    <row r="141" spans="1:24" ht="19.8" thickBot="1" x14ac:dyDescent="0.3">
      <c r="A141" s="4" t="s">
        <v>624</v>
      </c>
      <c r="B141" s="8">
        <v>0</v>
      </c>
      <c r="C141" s="9">
        <v>0</v>
      </c>
      <c r="D141" s="8">
        <v>1</v>
      </c>
      <c r="E141" s="10" t="s">
        <v>219</v>
      </c>
      <c r="F141" s="11" t="s">
        <v>216</v>
      </c>
      <c r="G141" s="12" t="s">
        <v>216</v>
      </c>
      <c r="H141" s="13" t="s">
        <v>218</v>
      </c>
      <c r="I141" s="14">
        <v>1</v>
      </c>
      <c r="J141" s="14" t="s">
        <v>10</v>
      </c>
      <c r="K141" s="5" t="s">
        <v>635</v>
      </c>
      <c r="L141" s="6">
        <v>0.69791666666666663</v>
      </c>
      <c r="M141" s="7" t="s">
        <v>636</v>
      </c>
      <c r="N141" s="14" t="s">
        <v>11</v>
      </c>
      <c r="O141" s="14">
        <v>1</v>
      </c>
      <c r="P141" s="13" t="s">
        <v>217</v>
      </c>
      <c r="Q141" s="12" t="s">
        <v>216</v>
      </c>
      <c r="R141" s="11" t="s">
        <v>217</v>
      </c>
      <c r="S141" s="10" t="s">
        <v>217</v>
      </c>
      <c r="T141" s="8">
        <v>1</v>
      </c>
      <c r="U141" s="9">
        <v>0</v>
      </c>
      <c r="V141" s="8">
        <v>0</v>
      </c>
      <c r="W141" s="17"/>
      <c r="X141" s="65">
        <v>46248</v>
      </c>
    </row>
    <row r="142" spans="1:24" ht="13.8" thickBot="1" x14ac:dyDescent="0.3">
      <c r="A142" s="4" t="s">
        <v>637</v>
      </c>
      <c r="B142" s="63"/>
      <c r="C142" s="63"/>
      <c r="D142" s="63"/>
      <c r="E142" s="63"/>
      <c r="F142" s="63"/>
      <c r="G142" s="63"/>
      <c r="H142" s="63"/>
      <c r="I142" s="64"/>
      <c r="J142" s="14" t="s">
        <v>10</v>
      </c>
      <c r="K142" s="5" t="s">
        <v>638</v>
      </c>
      <c r="L142" s="6">
        <v>0.64583333333333337</v>
      </c>
      <c r="M142" s="7" t="s">
        <v>639</v>
      </c>
      <c r="N142" s="14" t="s">
        <v>11</v>
      </c>
      <c r="O142" s="64"/>
      <c r="P142" s="63"/>
      <c r="Q142" s="63"/>
      <c r="R142" s="63"/>
      <c r="S142" s="63"/>
      <c r="T142" s="63"/>
      <c r="U142" s="63"/>
      <c r="V142" s="63"/>
      <c r="W142" s="17"/>
      <c r="X142" s="65">
        <v>46249</v>
      </c>
    </row>
    <row r="143" spans="1:24" ht="19.8" thickBot="1" x14ac:dyDescent="0.3">
      <c r="A143" s="4" t="s">
        <v>245</v>
      </c>
      <c r="B143" s="63"/>
      <c r="C143" s="63"/>
      <c r="D143" s="63"/>
      <c r="E143" s="63"/>
      <c r="F143" s="63"/>
      <c r="G143" s="63"/>
      <c r="H143" s="63"/>
      <c r="I143" s="64"/>
      <c r="J143" s="14" t="s">
        <v>10</v>
      </c>
      <c r="K143" s="5" t="s">
        <v>640</v>
      </c>
      <c r="L143" s="6">
        <v>0.72916666666666663</v>
      </c>
      <c r="M143" s="7" t="s">
        <v>641</v>
      </c>
      <c r="N143" s="14" t="s">
        <v>11</v>
      </c>
      <c r="O143" s="64"/>
      <c r="P143" s="63"/>
      <c r="Q143" s="63"/>
      <c r="R143" s="63"/>
      <c r="S143" s="63"/>
      <c r="T143" s="63"/>
      <c r="U143" s="63"/>
      <c r="V143" s="63"/>
      <c r="W143" s="17"/>
      <c r="X143" s="65">
        <v>46249</v>
      </c>
    </row>
    <row r="144" spans="1:24" ht="19.8" thickBot="1" x14ac:dyDescent="0.3">
      <c r="A144" s="4" t="s">
        <v>242</v>
      </c>
      <c r="B144" s="63"/>
      <c r="C144" s="63"/>
      <c r="D144" s="63"/>
      <c r="E144" s="63"/>
      <c r="F144" s="63"/>
      <c r="G144" s="63"/>
      <c r="H144" s="63"/>
      <c r="I144" s="64"/>
      <c r="J144" s="14" t="s">
        <v>10</v>
      </c>
      <c r="K144" s="5" t="s">
        <v>642</v>
      </c>
      <c r="L144" s="6">
        <v>0.52083333333333337</v>
      </c>
      <c r="M144" s="7" t="s">
        <v>643</v>
      </c>
      <c r="N144" s="14" t="s">
        <v>11</v>
      </c>
      <c r="O144" s="64"/>
      <c r="P144" s="63"/>
      <c r="Q144" s="63"/>
      <c r="R144" s="63"/>
      <c r="S144" s="63"/>
      <c r="T144" s="63"/>
      <c r="U144" s="63"/>
      <c r="V144" s="63"/>
      <c r="W144" s="17"/>
      <c r="X144" s="65">
        <v>46249</v>
      </c>
    </row>
    <row r="145" spans="1:24" ht="13.8" thickBot="1" x14ac:dyDescent="0.3">
      <c r="A145" s="4" t="s">
        <v>242</v>
      </c>
      <c r="B145" s="63"/>
      <c r="C145" s="63"/>
      <c r="D145" s="63"/>
      <c r="E145" s="63"/>
      <c r="F145" s="63"/>
      <c r="G145" s="63"/>
      <c r="H145" s="63"/>
      <c r="I145" s="64"/>
      <c r="J145" s="14" t="s">
        <v>10</v>
      </c>
      <c r="K145" s="5" t="s">
        <v>644</v>
      </c>
      <c r="L145" s="6">
        <v>0.61458333333333337</v>
      </c>
      <c r="M145" s="7" t="s">
        <v>645</v>
      </c>
      <c r="N145" s="14" t="s">
        <v>11</v>
      </c>
      <c r="O145" s="64"/>
      <c r="P145" s="63"/>
      <c r="Q145" s="63"/>
      <c r="R145" s="63"/>
      <c r="S145" s="63"/>
      <c r="T145" s="63"/>
      <c r="U145" s="63"/>
      <c r="V145" s="63"/>
      <c r="W145" s="17"/>
      <c r="X145" s="65">
        <v>46249</v>
      </c>
    </row>
    <row r="146" spans="1:24" ht="19.8" thickBot="1" x14ac:dyDescent="0.3">
      <c r="A146" s="4" t="s">
        <v>242</v>
      </c>
      <c r="B146" s="63"/>
      <c r="C146" s="63"/>
      <c r="D146" s="63"/>
      <c r="E146" s="63"/>
      <c r="F146" s="63"/>
      <c r="G146" s="63"/>
      <c r="H146" s="63"/>
      <c r="I146" s="64"/>
      <c r="J146" s="14" t="s">
        <v>10</v>
      </c>
      <c r="K146" s="5" t="s">
        <v>646</v>
      </c>
      <c r="L146" s="6">
        <v>0.66666666666666663</v>
      </c>
      <c r="M146" s="7" t="s">
        <v>647</v>
      </c>
      <c r="N146" s="14" t="s">
        <v>11</v>
      </c>
      <c r="O146" s="64"/>
      <c r="P146" s="63"/>
      <c r="Q146" s="63"/>
      <c r="R146" s="63"/>
      <c r="S146" s="63"/>
      <c r="T146" s="63"/>
      <c r="U146" s="63"/>
      <c r="V146" s="63"/>
      <c r="W146" s="17"/>
      <c r="X146" s="65">
        <v>46249</v>
      </c>
    </row>
    <row r="147" spans="1:24" ht="19.8" thickBot="1" x14ac:dyDescent="0.3">
      <c r="A147" s="4" t="s">
        <v>242</v>
      </c>
      <c r="B147" s="63"/>
      <c r="C147" s="63"/>
      <c r="D147" s="63"/>
      <c r="E147" s="63"/>
      <c r="F147" s="63"/>
      <c r="G147" s="63"/>
      <c r="H147" s="63"/>
      <c r="I147" s="64"/>
      <c r="J147" s="14" t="s">
        <v>10</v>
      </c>
      <c r="K147" s="5" t="s">
        <v>648</v>
      </c>
      <c r="L147" s="6">
        <v>0.70833333333333337</v>
      </c>
      <c r="M147" s="7" t="s">
        <v>649</v>
      </c>
      <c r="N147" s="14" t="s">
        <v>11</v>
      </c>
      <c r="O147" s="64"/>
      <c r="P147" s="63"/>
      <c r="Q147" s="63"/>
      <c r="R147" s="63"/>
      <c r="S147" s="63"/>
      <c r="T147" s="63"/>
      <c r="U147" s="63"/>
      <c r="V147" s="63"/>
      <c r="W147" s="17"/>
      <c r="X147" s="65">
        <v>46249</v>
      </c>
    </row>
    <row r="148" spans="1:24" ht="19.8" thickBot="1" x14ac:dyDescent="0.3">
      <c r="A148" s="4" t="s">
        <v>243</v>
      </c>
      <c r="B148" s="63"/>
      <c r="C148" s="63"/>
      <c r="D148" s="63"/>
      <c r="E148" s="63"/>
      <c r="F148" s="63"/>
      <c r="G148" s="63"/>
      <c r="H148" s="63"/>
      <c r="I148" s="64"/>
      <c r="J148" s="14" t="s">
        <v>10</v>
      </c>
      <c r="K148" s="5" t="s">
        <v>650</v>
      </c>
      <c r="L148" s="6">
        <v>0.52083333333333337</v>
      </c>
      <c r="M148" s="7" t="s">
        <v>651</v>
      </c>
      <c r="N148" s="14" t="s">
        <v>11</v>
      </c>
      <c r="O148" s="64"/>
      <c r="P148" s="63"/>
      <c r="Q148" s="63"/>
      <c r="R148" s="63"/>
      <c r="S148" s="63"/>
      <c r="T148" s="63"/>
      <c r="U148" s="63"/>
      <c r="V148" s="63"/>
      <c r="W148" s="17"/>
      <c r="X148" s="65">
        <v>46249</v>
      </c>
    </row>
    <row r="149" spans="1:24" ht="19.8" thickBot="1" x14ac:dyDescent="0.3">
      <c r="A149" s="4" t="s">
        <v>243</v>
      </c>
      <c r="B149" s="63"/>
      <c r="C149" s="63"/>
      <c r="D149" s="63"/>
      <c r="E149" s="63"/>
      <c r="F149" s="63"/>
      <c r="G149" s="63"/>
      <c r="H149" s="63"/>
      <c r="I149" s="64"/>
      <c r="J149" s="14" t="s">
        <v>10</v>
      </c>
      <c r="K149" s="5" t="s">
        <v>652</v>
      </c>
      <c r="L149" s="6">
        <v>0.625</v>
      </c>
      <c r="M149" s="7" t="s">
        <v>653</v>
      </c>
      <c r="N149" s="14" t="s">
        <v>11</v>
      </c>
      <c r="O149" s="64"/>
      <c r="P149" s="63"/>
      <c r="Q149" s="63"/>
      <c r="R149" s="63"/>
      <c r="S149" s="63"/>
      <c r="T149" s="63"/>
      <c r="U149" s="63"/>
      <c r="V149" s="63"/>
      <c r="W149" s="17"/>
      <c r="X149" s="65">
        <v>46249</v>
      </c>
    </row>
    <row r="150" spans="1:24" ht="13.8" thickBot="1" x14ac:dyDescent="0.3">
      <c r="A150" s="4" t="s">
        <v>243</v>
      </c>
      <c r="B150" s="63"/>
      <c r="C150" s="63"/>
      <c r="D150" s="63"/>
      <c r="E150" s="63"/>
      <c r="F150" s="63"/>
      <c r="G150" s="63"/>
      <c r="H150" s="63"/>
      <c r="I150" s="64"/>
      <c r="J150" s="14" t="s">
        <v>10</v>
      </c>
      <c r="K150" s="5" t="s">
        <v>654</v>
      </c>
      <c r="L150" s="6">
        <v>0.72916666666666663</v>
      </c>
      <c r="M150" s="7" t="s">
        <v>655</v>
      </c>
      <c r="N150" s="14" t="s">
        <v>11</v>
      </c>
      <c r="O150" s="64"/>
      <c r="P150" s="63"/>
      <c r="Q150" s="63"/>
      <c r="R150" s="63"/>
      <c r="S150" s="63"/>
      <c r="T150" s="63"/>
      <c r="U150" s="63"/>
      <c r="V150" s="63"/>
      <c r="W150" s="17"/>
      <c r="X150" s="65">
        <v>46249</v>
      </c>
    </row>
    <row r="151" spans="1:24" ht="13.8" thickBot="1" x14ac:dyDescent="0.3">
      <c r="A151" s="4" t="s">
        <v>244</v>
      </c>
      <c r="B151" s="63"/>
      <c r="C151" s="63"/>
      <c r="D151" s="63"/>
      <c r="E151" s="63"/>
      <c r="F151" s="63"/>
      <c r="G151" s="63"/>
      <c r="H151" s="63"/>
      <c r="I151" s="64"/>
      <c r="J151" s="14" t="s">
        <v>10</v>
      </c>
      <c r="K151" s="5" t="s">
        <v>656</v>
      </c>
      <c r="L151" s="6">
        <v>0.39583333333333331</v>
      </c>
      <c r="M151" s="7" t="s">
        <v>657</v>
      </c>
      <c r="N151" s="14" t="s">
        <v>11</v>
      </c>
      <c r="O151" s="64"/>
      <c r="P151" s="63"/>
      <c r="Q151" s="63"/>
      <c r="R151" s="63"/>
      <c r="S151" s="63"/>
      <c r="T151" s="63"/>
      <c r="U151" s="63"/>
      <c r="V151" s="63"/>
      <c r="W151" s="17"/>
      <c r="X151" s="65">
        <v>46249</v>
      </c>
    </row>
    <row r="152" spans="1:24" ht="13.8" thickBot="1" x14ac:dyDescent="0.3">
      <c r="A152" s="4" t="s">
        <v>244</v>
      </c>
      <c r="B152" s="63"/>
      <c r="C152" s="63"/>
      <c r="D152" s="63"/>
      <c r="E152" s="63"/>
      <c r="F152" s="63"/>
      <c r="G152" s="63"/>
      <c r="H152" s="63"/>
      <c r="I152" s="64"/>
      <c r="J152" s="14" t="s">
        <v>10</v>
      </c>
      <c r="K152" s="5" t="s">
        <v>658</v>
      </c>
      <c r="L152" s="6">
        <v>0.5</v>
      </c>
      <c r="M152" s="7" t="s">
        <v>659</v>
      </c>
      <c r="N152" s="14" t="s">
        <v>11</v>
      </c>
      <c r="O152" s="64"/>
      <c r="P152" s="63"/>
      <c r="Q152" s="63"/>
      <c r="R152" s="63"/>
      <c r="S152" s="63"/>
      <c r="T152" s="63"/>
      <c r="U152" s="63"/>
      <c r="V152" s="63"/>
      <c r="W152" s="17"/>
      <c r="X152" s="65">
        <v>46249</v>
      </c>
    </row>
    <row r="153" spans="1:24" ht="13.8" thickBot="1" x14ac:dyDescent="0.3">
      <c r="A153" s="4" t="s">
        <v>244</v>
      </c>
      <c r="B153" s="63"/>
      <c r="C153" s="63"/>
      <c r="D153" s="63"/>
      <c r="E153" s="63"/>
      <c r="F153" s="63"/>
      <c r="G153" s="63"/>
      <c r="H153" s="63"/>
      <c r="I153" s="64"/>
      <c r="J153" s="14" t="s">
        <v>10</v>
      </c>
      <c r="K153" s="5" t="s">
        <v>660</v>
      </c>
      <c r="L153" s="6">
        <v>0.5</v>
      </c>
      <c r="M153" s="7" t="s">
        <v>661</v>
      </c>
      <c r="N153" s="14" t="s">
        <v>11</v>
      </c>
      <c r="O153" s="64"/>
      <c r="P153" s="63"/>
      <c r="Q153" s="63"/>
      <c r="R153" s="63"/>
      <c r="S153" s="63"/>
      <c r="T153" s="63"/>
      <c r="U153" s="63"/>
      <c r="V153" s="63"/>
      <c r="W153" s="17"/>
      <c r="X153" s="65">
        <v>46249</v>
      </c>
    </row>
    <row r="154" spans="1:24" ht="19.8" thickBot="1" x14ac:dyDescent="0.3">
      <c r="A154" s="4" t="s">
        <v>244</v>
      </c>
      <c r="B154" s="63"/>
      <c r="C154" s="63"/>
      <c r="D154" s="63"/>
      <c r="E154" s="63"/>
      <c r="F154" s="63"/>
      <c r="G154" s="63"/>
      <c r="H154" s="63"/>
      <c r="I154" s="64"/>
      <c r="J154" s="14" t="s">
        <v>10</v>
      </c>
      <c r="K154" s="5" t="s">
        <v>662</v>
      </c>
      <c r="L154" s="6">
        <v>0.5</v>
      </c>
      <c r="M154" s="7" t="s">
        <v>663</v>
      </c>
      <c r="N154" s="14" t="s">
        <v>11</v>
      </c>
      <c r="O154" s="64"/>
      <c r="P154" s="63"/>
      <c r="Q154" s="63"/>
      <c r="R154" s="63"/>
      <c r="S154" s="63"/>
      <c r="T154" s="63"/>
      <c r="U154" s="63"/>
      <c r="V154" s="63"/>
      <c r="W154" s="17"/>
      <c r="X154" s="65">
        <v>46249</v>
      </c>
    </row>
    <row r="155" spans="1:24" ht="13.8" thickBot="1" x14ac:dyDescent="0.3">
      <c r="A155" s="4" t="s">
        <v>244</v>
      </c>
      <c r="B155" s="63"/>
      <c r="C155" s="63"/>
      <c r="D155" s="63"/>
      <c r="E155" s="63"/>
      <c r="F155" s="63"/>
      <c r="G155" s="63"/>
      <c r="H155" s="63"/>
      <c r="I155" s="64"/>
      <c r="J155" s="14" t="s">
        <v>10</v>
      </c>
      <c r="K155" s="5" t="s">
        <v>664</v>
      </c>
      <c r="L155" s="6">
        <v>0.5</v>
      </c>
      <c r="M155" s="7" t="s">
        <v>665</v>
      </c>
      <c r="N155" s="14" t="s">
        <v>11</v>
      </c>
      <c r="O155" s="64"/>
      <c r="P155" s="63"/>
      <c r="Q155" s="63"/>
      <c r="R155" s="63"/>
      <c r="S155" s="63"/>
      <c r="T155" s="63"/>
      <c r="U155" s="63"/>
      <c r="V155" s="63"/>
      <c r="W155" s="17"/>
      <c r="X155" s="65">
        <v>46249</v>
      </c>
    </row>
    <row r="156" spans="1:24" ht="13.8" thickBot="1" x14ac:dyDescent="0.3">
      <c r="A156" s="4" t="s">
        <v>244</v>
      </c>
      <c r="B156" s="63"/>
      <c r="C156" s="63"/>
      <c r="D156" s="63"/>
      <c r="E156" s="63"/>
      <c r="F156" s="63"/>
      <c r="G156" s="63"/>
      <c r="H156" s="63"/>
      <c r="I156" s="64"/>
      <c r="J156" s="14" t="s">
        <v>10</v>
      </c>
      <c r="K156" s="5" t="s">
        <v>666</v>
      </c>
      <c r="L156" s="6">
        <v>0.5</v>
      </c>
      <c r="M156" s="7" t="s">
        <v>667</v>
      </c>
      <c r="N156" s="14" t="s">
        <v>11</v>
      </c>
      <c r="O156" s="64"/>
      <c r="P156" s="63"/>
      <c r="Q156" s="63"/>
      <c r="R156" s="63"/>
      <c r="S156" s="63"/>
      <c r="T156" s="63"/>
      <c r="U156" s="63"/>
      <c r="V156" s="63"/>
      <c r="W156" s="17"/>
      <c r="X156" s="65">
        <v>46249</v>
      </c>
    </row>
    <row r="157" spans="1:24" ht="13.8" thickBot="1" x14ac:dyDescent="0.3">
      <c r="A157" s="4" t="s">
        <v>244</v>
      </c>
      <c r="B157" s="63"/>
      <c r="C157" s="63"/>
      <c r="D157" s="63"/>
      <c r="E157" s="63"/>
      <c r="F157" s="63"/>
      <c r="G157" s="63"/>
      <c r="H157" s="63"/>
      <c r="I157" s="64"/>
      <c r="J157" s="14" t="s">
        <v>10</v>
      </c>
      <c r="K157" s="5" t="s">
        <v>668</v>
      </c>
      <c r="L157" s="6">
        <v>0.5</v>
      </c>
      <c r="M157" s="7" t="s">
        <v>669</v>
      </c>
      <c r="N157" s="14" t="s">
        <v>11</v>
      </c>
      <c r="O157" s="64"/>
      <c r="P157" s="63"/>
      <c r="Q157" s="63"/>
      <c r="R157" s="63"/>
      <c r="S157" s="63"/>
      <c r="T157" s="63"/>
      <c r="U157" s="63"/>
      <c r="V157" s="63"/>
      <c r="W157" s="17"/>
      <c r="X157" s="65">
        <v>46249</v>
      </c>
    </row>
    <row r="158" spans="1:24" ht="19.8" thickBot="1" x14ac:dyDescent="0.3">
      <c r="A158" s="4" t="s">
        <v>244</v>
      </c>
      <c r="B158" s="63"/>
      <c r="C158" s="63"/>
      <c r="D158" s="63"/>
      <c r="E158" s="63"/>
      <c r="F158" s="63"/>
      <c r="G158" s="63"/>
      <c r="H158" s="63"/>
      <c r="I158" s="64"/>
      <c r="J158" s="14" t="s">
        <v>10</v>
      </c>
      <c r="K158" s="5" t="s">
        <v>670</v>
      </c>
      <c r="L158" s="6">
        <v>0.60416666666666663</v>
      </c>
      <c r="M158" s="7" t="s">
        <v>671</v>
      </c>
      <c r="N158" s="14" t="s">
        <v>11</v>
      </c>
      <c r="O158" s="64"/>
      <c r="P158" s="63"/>
      <c r="Q158" s="63"/>
      <c r="R158" s="63"/>
      <c r="S158" s="63"/>
      <c r="T158" s="63"/>
      <c r="U158" s="63"/>
      <c r="V158" s="63"/>
      <c r="W158" s="17"/>
      <c r="X158" s="65">
        <v>46249</v>
      </c>
    </row>
    <row r="159" spans="1:24" ht="13.8" thickBot="1" x14ac:dyDescent="0.3">
      <c r="A159" s="4" t="s">
        <v>244</v>
      </c>
      <c r="B159" s="63"/>
      <c r="C159" s="63"/>
      <c r="D159" s="63"/>
      <c r="E159" s="63"/>
      <c r="F159" s="63"/>
      <c r="G159" s="63"/>
      <c r="H159" s="63"/>
      <c r="I159" s="64"/>
      <c r="J159" s="14" t="s">
        <v>10</v>
      </c>
      <c r="K159" s="5" t="s">
        <v>672</v>
      </c>
      <c r="L159" s="6">
        <v>0.39583333333333331</v>
      </c>
      <c r="M159" s="7" t="s">
        <v>673</v>
      </c>
      <c r="N159" s="14" t="s">
        <v>11</v>
      </c>
      <c r="O159" s="64"/>
      <c r="P159" s="63"/>
      <c r="Q159" s="63"/>
      <c r="R159" s="63"/>
      <c r="S159" s="63"/>
      <c r="T159" s="63"/>
      <c r="U159" s="63"/>
      <c r="V159" s="63"/>
      <c r="W159" s="17"/>
      <c r="X159" s="65">
        <v>46249</v>
      </c>
    </row>
    <row r="160" spans="1:24" ht="19.8" thickBot="1" x14ac:dyDescent="0.3">
      <c r="A160" s="4" t="s">
        <v>244</v>
      </c>
      <c r="B160" s="63"/>
      <c r="C160" s="63"/>
      <c r="D160" s="63"/>
      <c r="E160" s="63"/>
      <c r="F160" s="63"/>
      <c r="G160" s="63"/>
      <c r="H160" s="63"/>
      <c r="I160" s="64"/>
      <c r="J160" s="14" t="s">
        <v>10</v>
      </c>
      <c r="K160" s="5" t="s">
        <v>674</v>
      </c>
      <c r="L160" s="6">
        <v>0.39583333333333331</v>
      </c>
      <c r="M160" s="7" t="s">
        <v>675</v>
      </c>
      <c r="N160" s="14" t="s">
        <v>11</v>
      </c>
      <c r="O160" s="64"/>
      <c r="P160" s="63"/>
      <c r="Q160" s="63"/>
      <c r="R160" s="63"/>
      <c r="S160" s="63"/>
      <c r="T160" s="63"/>
      <c r="U160" s="63"/>
      <c r="V160" s="63"/>
      <c r="W160" s="17"/>
      <c r="X160" s="65">
        <v>46249</v>
      </c>
    </row>
    <row r="161" spans="1:24" ht="13.8" thickBot="1" x14ac:dyDescent="0.3">
      <c r="A161" s="4" t="s">
        <v>244</v>
      </c>
      <c r="B161" s="63"/>
      <c r="C161" s="63"/>
      <c r="D161" s="63"/>
      <c r="E161" s="63"/>
      <c r="F161" s="63"/>
      <c r="G161" s="63"/>
      <c r="H161" s="63"/>
      <c r="I161" s="64"/>
      <c r="J161" s="14" t="s">
        <v>10</v>
      </c>
      <c r="K161" s="5" t="s">
        <v>676</v>
      </c>
      <c r="L161" s="6">
        <v>0.39583333333333331</v>
      </c>
      <c r="M161" s="7" t="s">
        <v>677</v>
      </c>
      <c r="N161" s="14" t="s">
        <v>11</v>
      </c>
      <c r="O161" s="64"/>
      <c r="P161" s="63"/>
      <c r="Q161" s="63"/>
      <c r="R161" s="63"/>
      <c r="S161" s="63"/>
      <c r="T161" s="63"/>
      <c r="U161" s="63"/>
      <c r="V161" s="63"/>
      <c r="W161" s="17"/>
      <c r="X161" s="65">
        <v>46249</v>
      </c>
    </row>
    <row r="162" spans="1:24" ht="13.8" thickBot="1" x14ac:dyDescent="0.3">
      <c r="A162" s="4" t="s">
        <v>244</v>
      </c>
      <c r="B162" s="63"/>
      <c r="C162" s="63"/>
      <c r="D162" s="63"/>
      <c r="E162" s="63"/>
      <c r="F162" s="63"/>
      <c r="G162" s="63"/>
      <c r="H162" s="63"/>
      <c r="I162" s="64"/>
      <c r="J162" s="14" t="s">
        <v>10</v>
      </c>
      <c r="K162" s="5" t="s">
        <v>678</v>
      </c>
      <c r="L162" s="6">
        <v>0.5</v>
      </c>
      <c r="M162" s="7" t="s">
        <v>679</v>
      </c>
      <c r="N162" s="14" t="s">
        <v>11</v>
      </c>
      <c r="O162" s="64"/>
      <c r="P162" s="63"/>
      <c r="Q162" s="63"/>
      <c r="R162" s="63"/>
      <c r="S162" s="63"/>
      <c r="T162" s="63"/>
      <c r="U162" s="63"/>
      <c r="V162" s="63"/>
      <c r="W162" s="17"/>
      <c r="X162" s="65">
        <v>46249</v>
      </c>
    </row>
    <row r="163" spans="1:24" ht="13.8" thickBot="1" x14ac:dyDescent="0.3">
      <c r="A163" s="4" t="s">
        <v>244</v>
      </c>
      <c r="B163" s="63"/>
      <c r="C163" s="63"/>
      <c r="D163" s="63"/>
      <c r="E163" s="63"/>
      <c r="F163" s="63"/>
      <c r="G163" s="63"/>
      <c r="H163" s="63"/>
      <c r="I163" s="64"/>
      <c r="J163" s="14" t="s">
        <v>10</v>
      </c>
      <c r="K163" s="5" t="s">
        <v>680</v>
      </c>
      <c r="L163" s="6">
        <v>0.5</v>
      </c>
      <c r="M163" s="7" t="s">
        <v>681</v>
      </c>
      <c r="N163" s="14" t="s">
        <v>11</v>
      </c>
      <c r="O163" s="64"/>
      <c r="P163" s="63"/>
      <c r="Q163" s="63"/>
      <c r="R163" s="63"/>
      <c r="S163" s="63"/>
      <c r="T163" s="63"/>
      <c r="U163" s="63"/>
      <c r="V163" s="63"/>
      <c r="W163" s="17"/>
      <c r="X163" s="65">
        <v>46249</v>
      </c>
    </row>
    <row r="164" spans="1:24" ht="13.8" thickBot="1" x14ac:dyDescent="0.3">
      <c r="A164" s="4" t="s">
        <v>244</v>
      </c>
      <c r="B164" s="63"/>
      <c r="C164" s="63"/>
      <c r="D164" s="63"/>
      <c r="E164" s="63"/>
      <c r="F164" s="63"/>
      <c r="G164" s="63"/>
      <c r="H164" s="63"/>
      <c r="I164" s="64"/>
      <c r="J164" s="14" t="s">
        <v>10</v>
      </c>
      <c r="K164" s="5" t="s">
        <v>682</v>
      </c>
      <c r="L164" s="6">
        <v>0.5</v>
      </c>
      <c r="M164" s="7" t="s">
        <v>683</v>
      </c>
      <c r="N164" s="14" t="s">
        <v>11</v>
      </c>
      <c r="O164" s="64"/>
      <c r="P164" s="63"/>
      <c r="Q164" s="63"/>
      <c r="R164" s="63"/>
      <c r="S164" s="63"/>
      <c r="T164" s="63"/>
      <c r="U164" s="63"/>
      <c r="V164" s="63"/>
      <c r="W164" s="17"/>
      <c r="X164" s="65">
        <v>46249</v>
      </c>
    </row>
    <row r="165" spans="1:24" ht="19.8" thickBot="1" x14ac:dyDescent="0.3">
      <c r="A165" s="4" t="s">
        <v>244</v>
      </c>
      <c r="B165" s="63"/>
      <c r="C165" s="63"/>
      <c r="D165" s="63"/>
      <c r="E165" s="63"/>
      <c r="F165" s="63"/>
      <c r="G165" s="63"/>
      <c r="H165" s="63"/>
      <c r="I165" s="64"/>
      <c r="J165" s="14" t="s">
        <v>10</v>
      </c>
      <c r="K165" s="5" t="s">
        <v>684</v>
      </c>
      <c r="L165" s="6">
        <v>0.5</v>
      </c>
      <c r="M165" s="7" t="s">
        <v>685</v>
      </c>
      <c r="N165" s="14" t="s">
        <v>11</v>
      </c>
      <c r="O165" s="64"/>
      <c r="P165" s="63"/>
      <c r="Q165" s="63"/>
      <c r="R165" s="63"/>
      <c r="S165" s="63"/>
      <c r="T165" s="63"/>
      <c r="U165" s="63"/>
      <c r="V165" s="63"/>
      <c r="W165" s="17"/>
      <c r="X165" s="65">
        <v>46249</v>
      </c>
    </row>
    <row r="166" spans="1:24" ht="19.8" thickBot="1" x14ac:dyDescent="0.3">
      <c r="A166" s="4" t="s">
        <v>244</v>
      </c>
      <c r="B166" s="63"/>
      <c r="C166" s="63"/>
      <c r="D166" s="63"/>
      <c r="E166" s="63"/>
      <c r="F166" s="63"/>
      <c r="G166" s="63"/>
      <c r="H166" s="63"/>
      <c r="I166" s="64"/>
      <c r="J166" s="14" t="s">
        <v>10</v>
      </c>
      <c r="K166" s="5" t="s">
        <v>686</v>
      </c>
      <c r="L166" s="6">
        <v>0.5</v>
      </c>
      <c r="M166" s="7" t="s">
        <v>687</v>
      </c>
      <c r="N166" s="14" t="s">
        <v>11</v>
      </c>
      <c r="O166" s="64"/>
      <c r="P166" s="63"/>
      <c r="Q166" s="63"/>
      <c r="R166" s="63"/>
      <c r="S166" s="63"/>
      <c r="T166" s="63"/>
      <c r="U166" s="63"/>
      <c r="V166" s="63"/>
      <c r="W166" s="17"/>
      <c r="X166" s="65">
        <v>46249</v>
      </c>
    </row>
    <row r="167" spans="1:24" ht="19.8" thickBot="1" x14ac:dyDescent="0.3">
      <c r="A167" s="4" t="s">
        <v>244</v>
      </c>
      <c r="B167" s="63"/>
      <c r="C167" s="63"/>
      <c r="D167" s="63"/>
      <c r="E167" s="63"/>
      <c r="F167" s="63"/>
      <c r="G167" s="63"/>
      <c r="H167" s="63"/>
      <c r="I167" s="64"/>
      <c r="J167" s="14" t="s">
        <v>10</v>
      </c>
      <c r="K167" s="5" t="s">
        <v>688</v>
      </c>
      <c r="L167" s="6">
        <v>0.5</v>
      </c>
      <c r="M167" s="7" t="s">
        <v>689</v>
      </c>
      <c r="N167" s="14" t="s">
        <v>11</v>
      </c>
      <c r="O167" s="64"/>
      <c r="P167" s="63"/>
      <c r="Q167" s="63"/>
      <c r="R167" s="63"/>
      <c r="S167" s="63"/>
      <c r="T167" s="63"/>
      <c r="U167" s="63"/>
      <c r="V167" s="63"/>
      <c r="W167" s="17"/>
      <c r="X167" s="65">
        <v>46249</v>
      </c>
    </row>
    <row r="168" spans="1:24" ht="13.8" thickBot="1" x14ac:dyDescent="0.3">
      <c r="A168" s="4" t="s">
        <v>244</v>
      </c>
      <c r="B168" s="63"/>
      <c r="C168" s="63"/>
      <c r="D168" s="63"/>
      <c r="E168" s="63"/>
      <c r="F168" s="63"/>
      <c r="G168" s="63"/>
      <c r="H168" s="63"/>
      <c r="I168" s="64"/>
      <c r="J168" s="14" t="s">
        <v>10</v>
      </c>
      <c r="K168" s="5" t="s">
        <v>690</v>
      </c>
      <c r="L168" s="6">
        <v>0.5</v>
      </c>
      <c r="M168" s="7" t="s">
        <v>691</v>
      </c>
      <c r="N168" s="14" t="s">
        <v>11</v>
      </c>
      <c r="O168" s="64"/>
      <c r="P168" s="63"/>
      <c r="Q168" s="63"/>
      <c r="R168" s="63"/>
      <c r="S168" s="63"/>
      <c r="T168" s="63"/>
      <c r="U168" s="63"/>
      <c r="V168" s="63"/>
      <c r="W168" s="17"/>
      <c r="X168" s="65">
        <v>46249</v>
      </c>
    </row>
    <row r="169" spans="1:24" ht="13.8" thickBot="1" x14ac:dyDescent="0.3">
      <c r="A169" s="4" t="s">
        <v>244</v>
      </c>
      <c r="B169" s="63"/>
      <c r="C169" s="63"/>
      <c r="D169" s="63"/>
      <c r="E169" s="63"/>
      <c r="F169" s="63"/>
      <c r="G169" s="63"/>
      <c r="H169" s="63"/>
      <c r="I169" s="64"/>
      <c r="J169" s="14" t="s">
        <v>10</v>
      </c>
      <c r="K169" s="5" t="s">
        <v>692</v>
      </c>
      <c r="L169" s="6">
        <v>0.5</v>
      </c>
      <c r="M169" s="7" t="s">
        <v>693</v>
      </c>
      <c r="N169" s="14" t="s">
        <v>11</v>
      </c>
      <c r="O169" s="64"/>
      <c r="P169" s="63"/>
      <c r="Q169" s="63"/>
      <c r="R169" s="63"/>
      <c r="S169" s="63"/>
      <c r="T169" s="63"/>
      <c r="U169" s="63"/>
      <c r="V169" s="63"/>
      <c r="W169" s="17"/>
      <c r="X169" s="65">
        <v>46249</v>
      </c>
    </row>
    <row r="170" spans="1:24" ht="13.8" thickBot="1" x14ac:dyDescent="0.3">
      <c r="A170" s="4" t="s">
        <v>244</v>
      </c>
      <c r="B170" s="63"/>
      <c r="C170" s="63"/>
      <c r="D170" s="63"/>
      <c r="E170" s="63"/>
      <c r="F170" s="63"/>
      <c r="G170" s="63"/>
      <c r="H170" s="63"/>
      <c r="I170" s="64"/>
      <c r="J170" s="14" t="s">
        <v>10</v>
      </c>
      <c r="K170" s="5" t="s">
        <v>694</v>
      </c>
      <c r="L170" s="6">
        <v>0.5</v>
      </c>
      <c r="M170" s="7" t="s">
        <v>695</v>
      </c>
      <c r="N170" s="14" t="s">
        <v>11</v>
      </c>
      <c r="O170" s="64"/>
      <c r="P170" s="63"/>
      <c r="Q170" s="63"/>
      <c r="R170" s="63"/>
      <c r="S170" s="63"/>
      <c r="T170" s="63"/>
      <c r="U170" s="63"/>
      <c r="V170" s="63"/>
      <c r="W170" s="17"/>
      <c r="X170" s="65">
        <v>46249</v>
      </c>
    </row>
    <row r="171" spans="1:24" ht="13.8" thickBot="1" x14ac:dyDescent="0.3">
      <c r="A171" s="4" t="s">
        <v>244</v>
      </c>
      <c r="B171" s="63"/>
      <c r="C171" s="63"/>
      <c r="D171" s="63"/>
      <c r="E171" s="63"/>
      <c r="F171" s="63"/>
      <c r="G171" s="63"/>
      <c r="H171" s="63"/>
      <c r="I171" s="64"/>
      <c r="J171" s="14" t="s">
        <v>10</v>
      </c>
      <c r="K171" s="5" t="s">
        <v>696</v>
      </c>
      <c r="L171" s="6">
        <v>0.39583333333333331</v>
      </c>
      <c r="M171" s="7" t="s">
        <v>697</v>
      </c>
      <c r="N171" s="14" t="s">
        <v>11</v>
      </c>
      <c r="O171" s="64"/>
      <c r="P171" s="63"/>
      <c r="Q171" s="63"/>
      <c r="R171" s="63"/>
      <c r="S171" s="63"/>
      <c r="T171" s="63"/>
      <c r="U171" s="63"/>
      <c r="V171" s="63"/>
      <c r="W171" s="17"/>
      <c r="X171" s="65">
        <v>46249</v>
      </c>
    </row>
    <row r="172" spans="1:24" ht="13.8" thickBot="1" x14ac:dyDescent="0.3">
      <c r="A172" s="4" t="s">
        <v>244</v>
      </c>
      <c r="B172" s="63"/>
      <c r="C172" s="63"/>
      <c r="D172" s="63"/>
      <c r="E172" s="63"/>
      <c r="F172" s="63"/>
      <c r="G172" s="63"/>
      <c r="H172" s="63"/>
      <c r="I172" s="64"/>
      <c r="J172" s="14" t="s">
        <v>10</v>
      </c>
      <c r="K172" s="5" t="s">
        <v>698</v>
      </c>
      <c r="L172" s="6">
        <v>0.39583333333333331</v>
      </c>
      <c r="M172" s="7" t="s">
        <v>699</v>
      </c>
      <c r="N172" s="14" t="s">
        <v>11</v>
      </c>
      <c r="O172" s="64"/>
      <c r="P172" s="63"/>
      <c r="Q172" s="63"/>
      <c r="R172" s="63"/>
      <c r="S172" s="63"/>
      <c r="T172" s="63"/>
      <c r="U172" s="63"/>
      <c r="V172" s="63"/>
      <c r="W172" s="17"/>
      <c r="X172" s="65">
        <v>46249</v>
      </c>
    </row>
    <row r="173" spans="1:24" ht="19.8" thickBot="1" x14ac:dyDescent="0.3">
      <c r="A173" s="4" t="s">
        <v>244</v>
      </c>
      <c r="B173" s="63"/>
      <c r="C173" s="63"/>
      <c r="D173" s="63"/>
      <c r="E173" s="63"/>
      <c r="F173" s="63"/>
      <c r="G173" s="63"/>
      <c r="H173" s="63"/>
      <c r="I173" s="64"/>
      <c r="J173" s="14" t="s">
        <v>10</v>
      </c>
      <c r="K173" s="5" t="s">
        <v>700</v>
      </c>
      <c r="L173" s="6">
        <v>0.5</v>
      </c>
      <c r="M173" s="7" t="s">
        <v>701</v>
      </c>
      <c r="N173" s="14" t="s">
        <v>11</v>
      </c>
      <c r="O173" s="64"/>
      <c r="P173" s="63"/>
      <c r="Q173" s="63"/>
      <c r="R173" s="63"/>
      <c r="S173" s="63"/>
      <c r="T173" s="63"/>
      <c r="U173" s="63"/>
      <c r="V173" s="63"/>
      <c r="W173" s="17"/>
      <c r="X173" s="65">
        <v>46249</v>
      </c>
    </row>
    <row r="174" spans="1:24" ht="13.8" thickBot="1" x14ac:dyDescent="0.3">
      <c r="A174" s="4" t="s">
        <v>244</v>
      </c>
      <c r="B174" s="63"/>
      <c r="C174" s="63"/>
      <c r="D174" s="63"/>
      <c r="E174" s="63"/>
      <c r="F174" s="63"/>
      <c r="G174" s="63"/>
      <c r="H174" s="63"/>
      <c r="I174" s="64"/>
      <c r="J174" s="14" t="s">
        <v>10</v>
      </c>
      <c r="K174" s="5" t="s">
        <v>702</v>
      </c>
      <c r="L174" s="6">
        <v>0.5</v>
      </c>
      <c r="M174" s="7" t="s">
        <v>703</v>
      </c>
      <c r="N174" s="14" t="s">
        <v>11</v>
      </c>
      <c r="O174" s="64"/>
      <c r="P174" s="63"/>
      <c r="Q174" s="63"/>
      <c r="R174" s="63"/>
      <c r="S174" s="63"/>
      <c r="T174" s="63"/>
      <c r="U174" s="63"/>
      <c r="V174" s="63"/>
      <c r="W174" s="17"/>
      <c r="X174" s="65">
        <v>46249</v>
      </c>
    </row>
    <row r="175" spans="1:24" ht="13.8" thickBot="1" x14ac:dyDescent="0.3">
      <c r="A175" s="4" t="s">
        <v>244</v>
      </c>
      <c r="B175" s="63"/>
      <c r="C175" s="63"/>
      <c r="D175" s="63"/>
      <c r="E175" s="63"/>
      <c r="F175" s="63"/>
      <c r="G175" s="63"/>
      <c r="H175" s="63"/>
      <c r="I175" s="64"/>
      <c r="J175" s="14" t="s">
        <v>10</v>
      </c>
      <c r="K175" s="5" t="s">
        <v>704</v>
      </c>
      <c r="L175" s="6">
        <v>0.5</v>
      </c>
      <c r="M175" s="7" t="s">
        <v>705</v>
      </c>
      <c r="N175" s="14" t="s">
        <v>11</v>
      </c>
      <c r="O175" s="64"/>
      <c r="P175" s="63"/>
      <c r="Q175" s="63"/>
      <c r="R175" s="63"/>
      <c r="S175" s="63"/>
      <c r="T175" s="63"/>
      <c r="U175" s="63"/>
      <c r="V175" s="63"/>
      <c r="W175" s="17"/>
      <c r="X175" s="65">
        <v>46249</v>
      </c>
    </row>
    <row r="176" spans="1:24" ht="13.8" thickBot="1" x14ac:dyDescent="0.3">
      <c r="A176" s="4" t="s">
        <v>244</v>
      </c>
      <c r="B176" s="63"/>
      <c r="C176" s="63"/>
      <c r="D176" s="63"/>
      <c r="E176" s="63"/>
      <c r="F176" s="63"/>
      <c r="G176" s="63"/>
      <c r="H176" s="63"/>
      <c r="I176" s="64"/>
      <c r="J176" s="14" t="s">
        <v>10</v>
      </c>
      <c r="K176" s="5" t="s">
        <v>706</v>
      </c>
      <c r="L176" s="6">
        <v>0.5</v>
      </c>
      <c r="M176" s="7" t="s">
        <v>707</v>
      </c>
      <c r="N176" s="14" t="s">
        <v>11</v>
      </c>
      <c r="O176" s="64"/>
      <c r="P176" s="63"/>
      <c r="Q176" s="63"/>
      <c r="R176" s="63"/>
      <c r="S176" s="63"/>
      <c r="T176" s="63"/>
      <c r="U176" s="63"/>
      <c r="V176" s="63"/>
      <c r="W176" s="17"/>
      <c r="X176" s="65">
        <v>46249</v>
      </c>
    </row>
    <row r="177" spans="1:24" ht="19.8" thickBot="1" x14ac:dyDescent="0.3">
      <c r="A177" s="4" t="s">
        <v>244</v>
      </c>
      <c r="B177" s="63"/>
      <c r="C177" s="63"/>
      <c r="D177" s="63"/>
      <c r="E177" s="63"/>
      <c r="F177" s="63"/>
      <c r="G177" s="63"/>
      <c r="H177" s="63"/>
      <c r="I177" s="64"/>
      <c r="J177" s="14" t="s">
        <v>10</v>
      </c>
      <c r="K177" s="5" t="s">
        <v>708</v>
      </c>
      <c r="L177" s="6">
        <v>0.5</v>
      </c>
      <c r="M177" s="7" t="s">
        <v>709</v>
      </c>
      <c r="N177" s="14" t="s">
        <v>11</v>
      </c>
      <c r="O177" s="64"/>
      <c r="P177" s="63"/>
      <c r="Q177" s="63"/>
      <c r="R177" s="63"/>
      <c r="S177" s="63"/>
      <c r="T177" s="63"/>
      <c r="U177" s="63"/>
      <c r="V177" s="63"/>
      <c r="W177" s="17"/>
      <c r="X177" s="65">
        <v>46249</v>
      </c>
    </row>
    <row r="178" spans="1:24" ht="13.8" thickBot="1" x14ac:dyDescent="0.3">
      <c r="A178" s="4" t="s">
        <v>244</v>
      </c>
      <c r="B178" s="63"/>
      <c r="C178" s="63"/>
      <c r="D178" s="63"/>
      <c r="E178" s="63"/>
      <c r="F178" s="63"/>
      <c r="G178" s="63"/>
      <c r="H178" s="63"/>
      <c r="I178" s="64"/>
      <c r="J178" s="14" t="s">
        <v>10</v>
      </c>
      <c r="K178" s="5" t="s">
        <v>710</v>
      </c>
      <c r="L178" s="6">
        <v>0.5</v>
      </c>
      <c r="M178" s="7" t="s">
        <v>711</v>
      </c>
      <c r="N178" s="14" t="s">
        <v>11</v>
      </c>
      <c r="O178" s="64"/>
      <c r="P178" s="63"/>
      <c r="Q178" s="63"/>
      <c r="R178" s="63"/>
      <c r="S178" s="63"/>
      <c r="T178" s="63"/>
      <c r="U178" s="63"/>
      <c r="V178" s="63"/>
      <c r="W178" s="17"/>
      <c r="X178" s="65">
        <v>46249</v>
      </c>
    </row>
    <row r="179" spans="1:24" ht="13.8" thickBot="1" x14ac:dyDescent="0.3">
      <c r="A179" s="4" t="s">
        <v>244</v>
      </c>
      <c r="B179" s="63"/>
      <c r="C179" s="63"/>
      <c r="D179" s="63"/>
      <c r="E179" s="63"/>
      <c r="F179" s="63"/>
      <c r="G179" s="63"/>
      <c r="H179" s="63"/>
      <c r="I179" s="64"/>
      <c r="J179" s="14" t="s">
        <v>10</v>
      </c>
      <c r="K179" s="5" t="s">
        <v>712</v>
      </c>
      <c r="L179" s="6">
        <v>0.5</v>
      </c>
      <c r="M179" s="7" t="s">
        <v>713</v>
      </c>
      <c r="N179" s="14" t="s">
        <v>11</v>
      </c>
      <c r="O179" s="64"/>
      <c r="P179" s="63"/>
      <c r="Q179" s="63"/>
      <c r="R179" s="63"/>
      <c r="S179" s="63"/>
      <c r="T179" s="63"/>
      <c r="U179" s="63"/>
      <c r="V179" s="63"/>
      <c r="W179" s="17"/>
      <c r="X179" s="65">
        <v>46249</v>
      </c>
    </row>
    <row r="180" spans="1:24" ht="19.8" thickBot="1" x14ac:dyDescent="0.3">
      <c r="A180" s="4" t="s">
        <v>244</v>
      </c>
      <c r="B180" s="63"/>
      <c r="C180" s="63"/>
      <c r="D180" s="63"/>
      <c r="E180" s="63"/>
      <c r="F180" s="63"/>
      <c r="G180" s="63"/>
      <c r="H180" s="63"/>
      <c r="I180" s="64"/>
      <c r="J180" s="14" t="s">
        <v>10</v>
      </c>
      <c r="K180" s="5" t="s">
        <v>714</v>
      </c>
      <c r="L180" s="6">
        <v>0.5</v>
      </c>
      <c r="M180" s="7" t="s">
        <v>715</v>
      </c>
      <c r="N180" s="14" t="s">
        <v>11</v>
      </c>
      <c r="O180" s="64"/>
      <c r="P180" s="63"/>
      <c r="Q180" s="63"/>
      <c r="R180" s="63"/>
      <c r="S180" s="63"/>
      <c r="T180" s="63"/>
      <c r="U180" s="63"/>
      <c r="V180" s="63"/>
      <c r="W180" s="17"/>
      <c r="X180" s="65">
        <v>46249</v>
      </c>
    </row>
    <row r="181" spans="1:24" ht="13.8" thickBot="1" x14ac:dyDescent="0.3">
      <c r="A181" s="4" t="s">
        <v>244</v>
      </c>
      <c r="B181" s="63"/>
      <c r="C181" s="63"/>
      <c r="D181" s="63"/>
      <c r="E181" s="63"/>
      <c r="F181" s="63"/>
      <c r="G181" s="63"/>
      <c r="H181" s="63"/>
      <c r="I181" s="64"/>
      <c r="J181" s="14" t="s">
        <v>10</v>
      </c>
      <c r="K181" s="5" t="s">
        <v>716</v>
      </c>
      <c r="L181" s="6">
        <v>0.5</v>
      </c>
      <c r="M181" s="7" t="s">
        <v>717</v>
      </c>
      <c r="N181" s="14" t="s">
        <v>11</v>
      </c>
      <c r="O181" s="64"/>
      <c r="P181" s="63"/>
      <c r="Q181" s="63"/>
      <c r="R181" s="63"/>
      <c r="S181" s="63"/>
      <c r="T181" s="63"/>
      <c r="U181" s="63"/>
      <c r="V181" s="63"/>
      <c r="W181" s="17"/>
      <c r="X181" s="65">
        <v>46249</v>
      </c>
    </row>
    <row r="182" spans="1:24" ht="13.8" thickBot="1" x14ac:dyDescent="0.3">
      <c r="A182" s="4" t="s">
        <v>244</v>
      </c>
      <c r="B182" s="63"/>
      <c r="C182" s="63"/>
      <c r="D182" s="63"/>
      <c r="E182" s="63"/>
      <c r="F182" s="63"/>
      <c r="G182" s="63"/>
      <c r="H182" s="63"/>
      <c r="I182" s="64"/>
      <c r="J182" s="14" t="s">
        <v>10</v>
      </c>
      <c r="K182" s="5" t="s">
        <v>718</v>
      </c>
      <c r="L182" s="6">
        <v>0.5</v>
      </c>
      <c r="M182" s="7" t="s">
        <v>719</v>
      </c>
      <c r="N182" s="14" t="s">
        <v>11</v>
      </c>
      <c r="O182" s="64"/>
      <c r="P182" s="63"/>
      <c r="Q182" s="63"/>
      <c r="R182" s="63"/>
      <c r="S182" s="63"/>
      <c r="T182" s="63"/>
      <c r="U182" s="63"/>
      <c r="V182" s="63"/>
      <c r="W182" s="17"/>
      <c r="X182" s="65">
        <v>46249</v>
      </c>
    </row>
    <row r="183" spans="1:24" ht="19.8" thickBot="1" x14ac:dyDescent="0.3">
      <c r="A183" s="4" t="s">
        <v>244</v>
      </c>
      <c r="B183" s="63"/>
      <c r="C183" s="63"/>
      <c r="D183" s="63"/>
      <c r="E183" s="63"/>
      <c r="F183" s="63"/>
      <c r="G183" s="63"/>
      <c r="H183" s="63"/>
      <c r="I183" s="64"/>
      <c r="J183" s="14" t="s">
        <v>10</v>
      </c>
      <c r="K183" s="5" t="s">
        <v>720</v>
      </c>
      <c r="L183" s="6">
        <v>0.5</v>
      </c>
      <c r="M183" s="7" t="s">
        <v>721</v>
      </c>
      <c r="N183" s="14" t="s">
        <v>11</v>
      </c>
      <c r="O183" s="64"/>
      <c r="P183" s="63"/>
      <c r="Q183" s="63"/>
      <c r="R183" s="63"/>
      <c r="S183" s="63"/>
      <c r="T183" s="63"/>
      <c r="U183" s="63"/>
      <c r="V183" s="63"/>
      <c r="W183" s="17"/>
      <c r="X183" s="65">
        <v>46249</v>
      </c>
    </row>
    <row r="184" spans="1:24" ht="13.8" thickBot="1" x14ac:dyDescent="0.3">
      <c r="A184" s="4" t="s">
        <v>244</v>
      </c>
      <c r="B184" s="63"/>
      <c r="C184" s="63"/>
      <c r="D184" s="63"/>
      <c r="E184" s="63"/>
      <c r="F184" s="63"/>
      <c r="G184" s="63"/>
      <c r="H184" s="63"/>
      <c r="I184" s="64"/>
      <c r="J184" s="14" t="s">
        <v>10</v>
      </c>
      <c r="K184" s="5" t="s">
        <v>722</v>
      </c>
      <c r="L184" s="6">
        <v>0.5</v>
      </c>
      <c r="M184" s="7" t="s">
        <v>723</v>
      </c>
      <c r="N184" s="14" t="s">
        <v>11</v>
      </c>
      <c r="O184" s="64"/>
      <c r="P184" s="63"/>
      <c r="Q184" s="63"/>
      <c r="R184" s="63"/>
      <c r="S184" s="63"/>
      <c r="T184" s="63"/>
      <c r="U184" s="63"/>
      <c r="V184" s="63"/>
      <c r="W184" s="17"/>
      <c r="X184" s="65">
        <v>46249</v>
      </c>
    </row>
    <row r="185" spans="1:24" ht="13.8" thickBot="1" x14ac:dyDescent="0.3">
      <c r="A185" s="4" t="s">
        <v>244</v>
      </c>
      <c r="B185" s="63"/>
      <c r="C185" s="63"/>
      <c r="D185" s="63"/>
      <c r="E185" s="63"/>
      <c r="F185" s="63"/>
      <c r="G185" s="63"/>
      <c r="H185" s="63"/>
      <c r="I185" s="64"/>
      <c r="J185" s="14" t="s">
        <v>10</v>
      </c>
      <c r="K185" s="5" t="s">
        <v>724</v>
      </c>
      <c r="L185" s="6">
        <v>0.5</v>
      </c>
      <c r="M185" s="7" t="s">
        <v>725</v>
      </c>
      <c r="N185" s="14" t="s">
        <v>11</v>
      </c>
      <c r="O185" s="64"/>
      <c r="P185" s="63"/>
      <c r="Q185" s="63"/>
      <c r="R185" s="63"/>
      <c r="S185" s="63"/>
      <c r="T185" s="63"/>
      <c r="U185" s="63"/>
      <c r="V185" s="63"/>
      <c r="W185" s="17"/>
      <c r="X185" s="65">
        <v>46249</v>
      </c>
    </row>
    <row r="186" spans="1:24" ht="19.8" thickBot="1" x14ac:dyDescent="0.3">
      <c r="A186" s="4" t="s">
        <v>244</v>
      </c>
      <c r="B186" s="63"/>
      <c r="C186" s="63"/>
      <c r="D186" s="63"/>
      <c r="E186" s="63"/>
      <c r="F186" s="63"/>
      <c r="G186" s="63"/>
      <c r="H186" s="63"/>
      <c r="I186" s="64"/>
      <c r="J186" s="14" t="s">
        <v>10</v>
      </c>
      <c r="K186" s="5" t="s">
        <v>726</v>
      </c>
      <c r="L186" s="6">
        <v>0.5</v>
      </c>
      <c r="M186" s="7" t="s">
        <v>727</v>
      </c>
      <c r="N186" s="14" t="s">
        <v>11</v>
      </c>
      <c r="O186" s="64"/>
      <c r="P186" s="63"/>
      <c r="Q186" s="63"/>
      <c r="R186" s="63"/>
      <c r="S186" s="63"/>
      <c r="T186" s="63"/>
      <c r="U186" s="63"/>
      <c r="V186" s="63"/>
      <c r="W186" s="17"/>
      <c r="X186" s="65">
        <v>46249</v>
      </c>
    </row>
    <row r="187" spans="1:24" ht="19.8" thickBot="1" x14ac:dyDescent="0.3">
      <c r="A187" s="4" t="s">
        <v>244</v>
      </c>
      <c r="B187" s="63"/>
      <c r="C187" s="63"/>
      <c r="D187" s="63"/>
      <c r="E187" s="63"/>
      <c r="F187" s="63"/>
      <c r="G187" s="63"/>
      <c r="H187" s="63"/>
      <c r="I187" s="64"/>
      <c r="J187" s="14" t="s">
        <v>10</v>
      </c>
      <c r="K187" s="5" t="s">
        <v>728</v>
      </c>
      <c r="L187" s="6">
        <v>0.5</v>
      </c>
      <c r="M187" s="7" t="s">
        <v>729</v>
      </c>
      <c r="N187" s="14" t="s">
        <v>11</v>
      </c>
      <c r="O187" s="64"/>
      <c r="P187" s="63"/>
      <c r="Q187" s="63"/>
      <c r="R187" s="63"/>
      <c r="S187" s="63"/>
      <c r="T187" s="63"/>
      <c r="U187" s="63"/>
      <c r="V187" s="63"/>
      <c r="W187" s="17"/>
      <c r="X187" s="65">
        <v>46249</v>
      </c>
    </row>
    <row r="188" spans="1:24" ht="19.8" thickBot="1" x14ac:dyDescent="0.3">
      <c r="A188" s="4" t="s">
        <v>244</v>
      </c>
      <c r="B188" s="63"/>
      <c r="C188" s="63"/>
      <c r="D188" s="63"/>
      <c r="E188" s="63"/>
      <c r="F188" s="63"/>
      <c r="G188" s="63"/>
      <c r="H188" s="63"/>
      <c r="I188" s="64"/>
      <c r="J188" s="14" t="s">
        <v>10</v>
      </c>
      <c r="K188" s="5" t="s">
        <v>730</v>
      </c>
      <c r="L188" s="6">
        <v>0.5</v>
      </c>
      <c r="M188" s="7" t="s">
        <v>731</v>
      </c>
      <c r="N188" s="14" t="s">
        <v>11</v>
      </c>
      <c r="O188" s="64"/>
      <c r="P188" s="63"/>
      <c r="Q188" s="63"/>
      <c r="R188" s="63"/>
      <c r="S188" s="63"/>
      <c r="T188" s="63"/>
      <c r="U188" s="63"/>
      <c r="V188" s="63"/>
      <c r="W188" s="17"/>
      <c r="X188" s="65">
        <v>46249</v>
      </c>
    </row>
    <row r="189" spans="1:24" ht="13.8" thickBot="1" x14ac:dyDescent="0.3">
      <c r="A189" s="4" t="s">
        <v>244</v>
      </c>
      <c r="B189" s="63"/>
      <c r="C189" s="63"/>
      <c r="D189" s="63"/>
      <c r="E189" s="63"/>
      <c r="F189" s="63"/>
      <c r="G189" s="63"/>
      <c r="H189" s="63"/>
      <c r="I189" s="64"/>
      <c r="J189" s="14" t="s">
        <v>10</v>
      </c>
      <c r="K189" s="5" t="s">
        <v>732</v>
      </c>
      <c r="L189" s="6">
        <v>0.5</v>
      </c>
      <c r="M189" s="7" t="s">
        <v>733</v>
      </c>
      <c r="N189" s="14" t="s">
        <v>11</v>
      </c>
      <c r="O189" s="64"/>
      <c r="P189" s="63"/>
      <c r="Q189" s="63"/>
      <c r="R189" s="63"/>
      <c r="S189" s="63"/>
      <c r="T189" s="63"/>
      <c r="U189" s="63"/>
      <c r="V189" s="63"/>
      <c r="W189" s="17"/>
      <c r="X189" s="65">
        <v>46249</v>
      </c>
    </row>
    <row r="190" spans="1:24" ht="13.8" thickBot="1" x14ac:dyDescent="0.3">
      <c r="A190" s="4" t="s">
        <v>244</v>
      </c>
      <c r="B190" s="63"/>
      <c r="C190" s="63"/>
      <c r="D190" s="63"/>
      <c r="E190" s="63"/>
      <c r="F190" s="63"/>
      <c r="G190" s="63"/>
      <c r="H190" s="63"/>
      <c r="I190" s="64"/>
      <c r="J190" s="14" t="s">
        <v>10</v>
      </c>
      <c r="K190" s="5" t="s">
        <v>734</v>
      </c>
      <c r="L190" s="6">
        <v>0.5</v>
      </c>
      <c r="M190" s="7" t="s">
        <v>735</v>
      </c>
      <c r="N190" s="14" t="s">
        <v>11</v>
      </c>
      <c r="O190" s="64"/>
      <c r="P190" s="63"/>
      <c r="Q190" s="63"/>
      <c r="R190" s="63"/>
      <c r="S190" s="63"/>
      <c r="T190" s="63"/>
      <c r="U190" s="63"/>
      <c r="V190" s="63"/>
      <c r="W190" s="17"/>
      <c r="X190" s="65">
        <v>46249</v>
      </c>
    </row>
    <row r="191" spans="1:24" ht="13.8" thickBot="1" x14ac:dyDescent="0.3">
      <c r="A191" s="4" t="s">
        <v>244</v>
      </c>
      <c r="B191" s="63"/>
      <c r="C191" s="63"/>
      <c r="D191" s="63"/>
      <c r="E191" s="63"/>
      <c r="F191" s="63"/>
      <c r="G191" s="63"/>
      <c r="H191" s="63"/>
      <c r="I191" s="64"/>
      <c r="J191" s="14" t="s">
        <v>10</v>
      </c>
      <c r="K191" s="5" t="s">
        <v>736</v>
      </c>
      <c r="L191" s="6">
        <v>0.5</v>
      </c>
      <c r="M191" s="7" t="s">
        <v>737</v>
      </c>
      <c r="N191" s="14" t="s">
        <v>11</v>
      </c>
      <c r="O191" s="64"/>
      <c r="P191" s="63"/>
      <c r="Q191" s="63"/>
      <c r="R191" s="63"/>
      <c r="S191" s="63"/>
      <c r="T191" s="63"/>
      <c r="U191" s="63"/>
      <c r="V191" s="63"/>
      <c r="W191" s="17"/>
      <c r="X191" s="65">
        <v>46249</v>
      </c>
    </row>
    <row r="192" spans="1:24" ht="13.8" thickBot="1" x14ac:dyDescent="0.3">
      <c r="A192" s="4" t="s">
        <v>244</v>
      </c>
      <c r="B192" s="63"/>
      <c r="C192" s="63"/>
      <c r="D192" s="63"/>
      <c r="E192" s="63"/>
      <c r="F192" s="63"/>
      <c r="G192" s="63"/>
      <c r="H192" s="63"/>
      <c r="I192" s="64"/>
      <c r="J192" s="14" t="s">
        <v>10</v>
      </c>
      <c r="K192" s="5" t="s">
        <v>738</v>
      </c>
      <c r="L192" s="6">
        <v>0.5</v>
      </c>
      <c r="M192" s="7" t="s">
        <v>739</v>
      </c>
      <c r="N192" s="14" t="s">
        <v>11</v>
      </c>
      <c r="O192" s="64"/>
      <c r="P192" s="63"/>
      <c r="Q192" s="63"/>
      <c r="R192" s="63"/>
      <c r="S192" s="63"/>
      <c r="T192" s="63"/>
      <c r="U192" s="63"/>
      <c r="V192" s="63"/>
      <c r="W192" s="17"/>
      <c r="X192" s="65">
        <v>46249</v>
      </c>
    </row>
    <row r="193" spans="1:24" ht="13.8" thickBot="1" x14ac:dyDescent="0.3">
      <c r="A193" s="4" t="s">
        <v>244</v>
      </c>
      <c r="B193" s="63"/>
      <c r="C193" s="63"/>
      <c r="D193" s="63"/>
      <c r="E193" s="63"/>
      <c r="F193" s="63"/>
      <c r="G193" s="63"/>
      <c r="H193" s="63"/>
      <c r="I193" s="64"/>
      <c r="J193" s="14" t="s">
        <v>10</v>
      </c>
      <c r="K193" s="5" t="s">
        <v>740</v>
      </c>
      <c r="L193" s="6">
        <v>0.5</v>
      </c>
      <c r="M193" s="7" t="s">
        <v>741</v>
      </c>
      <c r="N193" s="14" t="s">
        <v>11</v>
      </c>
      <c r="O193" s="64"/>
      <c r="P193" s="63"/>
      <c r="Q193" s="63"/>
      <c r="R193" s="63"/>
      <c r="S193" s="63"/>
      <c r="T193" s="63"/>
      <c r="U193" s="63"/>
      <c r="V193" s="63"/>
      <c r="W193" s="17"/>
      <c r="X193" s="65">
        <v>46249</v>
      </c>
    </row>
    <row r="194" spans="1:24" ht="13.8" thickBot="1" x14ac:dyDescent="0.3">
      <c r="A194" s="4" t="s">
        <v>244</v>
      </c>
      <c r="B194" s="63"/>
      <c r="C194" s="63"/>
      <c r="D194" s="63"/>
      <c r="E194" s="63"/>
      <c r="F194" s="63"/>
      <c r="G194" s="63"/>
      <c r="H194" s="63"/>
      <c r="I194" s="64"/>
      <c r="J194" s="14" t="s">
        <v>10</v>
      </c>
      <c r="K194" s="5" t="s">
        <v>742</v>
      </c>
      <c r="L194" s="6">
        <v>0.5</v>
      </c>
      <c r="M194" s="7" t="s">
        <v>743</v>
      </c>
      <c r="N194" s="14" t="s">
        <v>11</v>
      </c>
      <c r="O194" s="64"/>
      <c r="P194" s="63"/>
      <c r="Q194" s="63"/>
      <c r="R194" s="63"/>
      <c r="S194" s="63"/>
      <c r="T194" s="63"/>
      <c r="U194" s="63"/>
      <c r="V194" s="63"/>
      <c r="W194" s="17"/>
      <c r="X194" s="65">
        <v>46249</v>
      </c>
    </row>
    <row r="195" spans="1:24" ht="13.8" thickBot="1" x14ac:dyDescent="0.3">
      <c r="A195" s="4" t="s">
        <v>245</v>
      </c>
      <c r="B195" s="63"/>
      <c r="C195" s="63"/>
      <c r="D195" s="63"/>
      <c r="E195" s="63"/>
      <c r="F195" s="63"/>
      <c r="G195" s="63"/>
      <c r="H195" s="63"/>
      <c r="I195" s="64"/>
      <c r="J195" s="14" t="s">
        <v>10</v>
      </c>
      <c r="K195" s="5" t="s">
        <v>744</v>
      </c>
      <c r="L195" s="6">
        <v>0.54166666666666663</v>
      </c>
      <c r="M195" s="7" t="s">
        <v>745</v>
      </c>
      <c r="N195" s="14" t="s">
        <v>11</v>
      </c>
      <c r="O195" s="64"/>
      <c r="P195" s="63"/>
      <c r="Q195" s="63"/>
      <c r="R195" s="63"/>
      <c r="S195" s="63"/>
      <c r="T195" s="63"/>
      <c r="U195" s="63"/>
      <c r="V195" s="63"/>
      <c r="W195" s="17"/>
      <c r="X195" s="65">
        <v>46249</v>
      </c>
    </row>
    <row r="196" spans="1:24" ht="13.8" thickBot="1" x14ac:dyDescent="0.3">
      <c r="A196" s="4" t="s">
        <v>245</v>
      </c>
      <c r="B196" s="63"/>
      <c r="C196" s="63"/>
      <c r="D196" s="63"/>
      <c r="E196" s="63"/>
      <c r="F196" s="63"/>
      <c r="G196" s="63"/>
      <c r="H196" s="63"/>
      <c r="I196" s="64"/>
      <c r="J196" s="14" t="s">
        <v>10</v>
      </c>
      <c r="K196" s="5" t="s">
        <v>746</v>
      </c>
      <c r="L196" s="6">
        <v>0.625</v>
      </c>
      <c r="M196" s="7" t="s">
        <v>747</v>
      </c>
      <c r="N196" s="14" t="s">
        <v>11</v>
      </c>
      <c r="O196" s="64"/>
      <c r="P196" s="63"/>
      <c r="Q196" s="63"/>
      <c r="R196" s="63"/>
      <c r="S196" s="63"/>
      <c r="T196" s="63"/>
      <c r="U196" s="63"/>
      <c r="V196" s="63"/>
      <c r="W196" s="17"/>
      <c r="X196" s="65">
        <v>46249</v>
      </c>
    </row>
    <row r="197" spans="1:24" ht="13.8" thickBot="1" x14ac:dyDescent="0.3">
      <c r="A197" s="4" t="s">
        <v>245</v>
      </c>
      <c r="B197" s="63"/>
      <c r="C197" s="63"/>
      <c r="D197" s="63"/>
      <c r="E197" s="63"/>
      <c r="F197" s="63"/>
      <c r="G197" s="63"/>
      <c r="H197" s="63"/>
      <c r="I197" s="64"/>
      <c r="J197" s="14" t="s">
        <v>10</v>
      </c>
      <c r="K197" s="5" t="s">
        <v>748</v>
      </c>
      <c r="L197" s="6">
        <v>0.625</v>
      </c>
      <c r="M197" s="7" t="s">
        <v>749</v>
      </c>
      <c r="N197" s="14" t="s">
        <v>11</v>
      </c>
      <c r="O197" s="64"/>
      <c r="P197" s="63"/>
      <c r="Q197" s="63"/>
      <c r="R197" s="63"/>
      <c r="S197" s="63"/>
      <c r="T197" s="63"/>
      <c r="U197" s="63"/>
      <c r="V197" s="63"/>
      <c r="W197" s="17"/>
      <c r="X197" s="65">
        <v>46249</v>
      </c>
    </row>
    <row r="198" spans="1:24" ht="13.8" thickBot="1" x14ac:dyDescent="0.3">
      <c r="A198" s="4" t="s">
        <v>245</v>
      </c>
      <c r="B198" s="63"/>
      <c r="C198" s="63"/>
      <c r="D198" s="63"/>
      <c r="E198" s="63"/>
      <c r="F198" s="63"/>
      <c r="G198" s="63"/>
      <c r="H198" s="63"/>
      <c r="I198" s="64"/>
      <c r="J198" s="14" t="s">
        <v>10</v>
      </c>
      <c r="K198" s="5" t="s">
        <v>750</v>
      </c>
      <c r="L198" s="6">
        <v>0.72916666666666663</v>
      </c>
      <c r="M198" s="7" t="s">
        <v>751</v>
      </c>
      <c r="N198" s="14" t="s">
        <v>11</v>
      </c>
      <c r="O198" s="64"/>
      <c r="P198" s="63"/>
      <c r="Q198" s="63"/>
      <c r="R198" s="63"/>
      <c r="S198" s="63"/>
      <c r="T198" s="63"/>
      <c r="U198" s="63"/>
      <c r="V198" s="63"/>
      <c r="W198" s="17"/>
      <c r="X198" s="65">
        <v>46249</v>
      </c>
    </row>
    <row r="199" spans="1:24" ht="19.8" thickBot="1" x14ac:dyDescent="0.3">
      <c r="A199" s="4" t="s">
        <v>215</v>
      </c>
      <c r="B199" s="63"/>
      <c r="C199" s="63"/>
      <c r="D199" s="63"/>
      <c r="E199" s="63"/>
      <c r="F199" s="63"/>
      <c r="G199" s="63"/>
      <c r="H199" s="63"/>
      <c r="I199" s="64"/>
      <c r="J199" s="14" t="s">
        <v>10</v>
      </c>
      <c r="K199" s="5" t="s">
        <v>752</v>
      </c>
      <c r="L199" s="6">
        <v>0.375</v>
      </c>
      <c r="M199" s="7" t="s">
        <v>753</v>
      </c>
      <c r="N199" s="14" t="s">
        <v>11</v>
      </c>
      <c r="O199" s="64"/>
      <c r="P199" s="63"/>
      <c r="Q199" s="63"/>
      <c r="R199" s="63"/>
      <c r="S199" s="63"/>
      <c r="T199" s="63"/>
      <c r="U199" s="63"/>
      <c r="V199" s="63"/>
      <c r="W199" s="17"/>
      <c r="X199" s="65">
        <v>46249</v>
      </c>
    </row>
    <row r="200" spans="1:24" ht="13.8" thickBot="1" x14ac:dyDescent="0.3">
      <c r="A200" s="4" t="s">
        <v>215</v>
      </c>
      <c r="B200" s="63"/>
      <c r="C200" s="63"/>
      <c r="D200" s="63"/>
      <c r="E200" s="63"/>
      <c r="F200" s="63"/>
      <c r="G200" s="63"/>
      <c r="H200" s="63"/>
      <c r="I200" s="64"/>
      <c r="J200" s="14" t="s">
        <v>10</v>
      </c>
      <c r="K200" s="5" t="s">
        <v>754</v>
      </c>
      <c r="L200" s="6">
        <v>0.375</v>
      </c>
      <c r="M200" s="7" t="s">
        <v>755</v>
      </c>
      <c r="N200" s="14" t="s">
        <v>11</v>
      </c>
      <c r="O200" s="64"/>
      <c r="P200" s="63"/>
      <c r="Q200" s="63"/>
      <c r="R200" s="63"/>
      <c r="S200" s="63"/>
      <c r="T200" s="63"/>
      <c r="U200" s="63"/>
      <c r="V200" s="63"/>
      <c r="W200" s="17"/>
      <c r="X200" s="65">
        <v>46249</v>
      </c>
    </row>
    <row r="201" spans="1:24" ht="13.8" thickBot="1" x14ac:dyDescent="0.3">
      <c r="A201" s="4" t="s">
        <v>215</v>
      </c>
      <c r="B201" s="63"/>
      <c r="C201" s="63"/>
      <c r="D201" s="63"/>
      <c r="E201" s="63"/>
      <c r="F201" s="63"/>
      <c r="G201" s="63"/>
      <c r="H201" s="63"/>
      <c r="I201" s="64"/>
      <c r="J201" s="14" t="s">
        <v>10</v>
      </c>
      <c r="K201" s="5" t="s">
        <v>756</v>
      </c>
      <c r="L201" s="6">
        <v>0.375</v>
      </c>
      <c r="M201" s="7" t="s">
        <v>757</v>
      </c>
      <c r="N201" s="14" t="s">
        <v>11</v>
      </c>
      <c r="O201" s="64"/>
      <c r="P201" s="63"/>
      <c r="Q201" s="63"/>
      <c r="R201" s="63"/>
      <c r="S201" s="63"/>
      <c r="T201" s="63"/>
      <c r="U201" s="63"/>
      <c r="V201" s="63"/>
      <c r="W201" s="17"/>
      <c r="X201" s="65">
        <v>46249</v>
      </c>
    </row>
    <row r="202" spans="1:24" ht="13.8" thickBot="1" x14ac:dyDescent="0.3">
      <c r="A202" s="4" t="s">
        <v>215</v>
      </c>
      <c r="B202" s="63"/>
      <c r="C202" s="63"/>
      <c r="D202" s="63"/>
      <c r="E202" s="63"/>
      <c r="F202" s="63"/>
      <c r="G202" s="63"/>
      <c r="H202" s="63"/>
      <c r="I202" s="64"/>
      <c r="J202" s="14" t="s">
        <v>10</v>
      </c>
      <c r="K202" s="5" t="s">
        <v>758</v>
      </c>
      <c r="L202" s="6">
        <v>0.6875</v>
      </c>
      <c r="M202" s="7" t="s">
        <v>759</v>
      </c>
      <c r="N202" s="14" t="s">
        <v>11</v>
      </c>
      <c r="O202" s="64"/>
      <c r="P202" s="63"/>
      <c r="Q202" s="63"/>
      <c r="R202" s="63"/>
      <c r="S202" s="63"/>
      <c r="T202" s="63"/>
      <c r="U202" s="63"/>
      <c r="V202" s="63"/>
      <c r="W202" s="17"/>
      <c r="X202" s="65">
        <v>46249</v>
      </c>
    </row>
    <row r="203" spans="1:24" ht="13.8" thickBot="1" x14ac:dyDescent="0.3">
      <c r="A203" s="4" t="s">
        <v>242</v>
      </c>
      <c r="B203" s="63"/>
      <c r="C203" s="63"/>
      <c r="D203" s="63"/>
      <c r="E203" s="63"/>
      <c r="F203" s="63"/>
      <c r="G203" s="63"/>
      <c r="H203" s="63"/>
      <c r="I203" s="64"/>
      <c r="J203" s="14" t="s">
        <v>10</v>
      </c>
      <c r="K203" s="5" t="s">
        <v>760</v>
      </c>
      <c r="L203" s="6">
        <v>0.52083333333333337</v>
      </c>
      <c r="M203" s="7" t="s">
        <v>761</v>
      </c>
      <c r="N203" s="14" t="s">
        <v>11</v>
      </c>
      <c r="O203" s="64"/>
      <c r="P203" s="63"/>
      <c r="Q203" s="63"/>
      <c r="R203" s="63"/>
      <c r="S203" s="63"/>
      <c r="T203" s="63"/>
      <c r="U203" s="63"/>
      <c r="V203" s="63"/>
      <c r="W203" s="17"/>
      <c r="X203" s="65">
        <v>46249</v>
      </c>
    </row>
    <row r="204" spans="1:24" ht="13.8" thickBot="1" x14ac:dyDescent="0.3">
      <c r="A204" s="4" t="s">
        <v>117</v>
      </c>
      <c r="B204" s="8">
        <v>0</v>
      </c>
      <c r="C204" s="15">
        <v>1</v>
      </c>
      <c r="D204" s="8">
        <v>1</v>
      </c>
      <c r="E204" s="10" t="s">
        <v>216</v>
      </c>
      <c r="F204" s="11" t="s">
        <v>217</v>
      </c>
      <c r="G204" s="12" t="s">
        <v>218</v>
      </c>
      <c r="H204" s="13" t="s">
        <v>219</v>
      </c>
      <c r="I204" s="14">
        <v>1</v>
      </c>
      <c r="J204" s="14" t="s">
        <v>10</v>
      </c>
      <c r="K204" s="5" t="s">
        <v>762</v>
      </c>
      <c r="L204" s="6">
        <v>0.64583333333333337</v>
      </c>
      <c r="M204" s="7" t="s">
        <v>763</v>
      </c>
      <c r="N204" s="14" t="s">
        <v>11</v>
      </c>
      <c r="O204" s="14">
        <v>2</v>
      </c>
      <c r="P204" s="13" t="s">
        <v>220</v>
      </c>
      <c r="Q204" s="12" t="s">
        <v>221</v>
      </c>
      <c r="R204" s="11" t="s">
        <v>220</v>
      </c>
      <c r="S204" s="10" t="s">
        <v>217</v>
      </c>
      <c r="T204" s="8">
        <v>0.5</v>
      </c>
      <c r="U204" s="9">
        <v>0.5</v>
      </c>
      <c r="V204" s="8">
        <v>0.5</v>
      </c>
      <c r="W204" s="17"/>
      <c r="X204" s="65">
        <v>46249</v>
      </c>
    </row>
    <row r="205" spans="1:24" ht="19.8" thickBot="1" x14ac:dyDescent="0.3">
      <c r="A205" s="4" t="s">
        <v>117</v>
      </c>
      <c r="B205" s="8">
        <v>0</v>
      </c>
      <c r="C205" s="9">
        <v>0</v>
      </c>
      <c r="D205" s="8">
        <v>0.5</v>
      </c>
      <c r="E205" s="10" t="s">
        <v>217</v>
      </c>
      <c r="F205" s="11" t="s">
        <v>247</v>
      </c>
      <c r="G205" s="12" t="s">
        <v>220</v>
      </c>
      <c r="H205" s="13" t="s">
        <v>220</v>
      </c>
      <c r="I205" s="14">
        <v>2</v>
      </c>
      <c r="J205" s="14" t="s">
        <v>10</v>
      </c>
      <c r="K205" s="5" t="s">
        <v>764</v>
      </c>
      <c r="L205" s="6">
        <v>0.64583333333333337</v>
      </c>
      <c r="M205" s="7" t="s">
        <v>765</v>
      </c>
      <c r="N205" s="14" t="s">
        <v>11</v>
      </c>
      <c r="O205" s="14">
        <v>2</v>
      </c>
      <c r="P205" s="13" t="s">
        <v>247</v>
      </c>
      <c r="Q205" s="12" t="s">
        <v>218</v>
      </c>
      <c r="R205" s="11" t="s">
        <v>217</v>
      </c>
      <c r="S205" s="10" t="s">
        <v>216</v>
      </c>
      <c r="T205" s="8">
        <v>1</v>
      </c>
      <c r="U205" s="9">
        <v>0.5</v>
      </c>
      <c r="V205" s="8">
        <v>0.5</v>
      </c>
      <c r="W205" s="17"/>
      <c r="X205" s="65">
        <v>46249</v>
      </c>
    </row>
    <row r="206" spans="1:24" ht="13.8" thickBot="1" x14ac:dyDescent="0.3">
      <c r="A206" s="4" t="s">
        <v>117</v>
      </c>
      <c r="B206" s="8">
        <v>0</v>
      </c>
      <c r="C206" s="9">
        <v>0.5</v>
      </c>
      <c r="D206" s="8">
        <v>1</v>
      </c>
      <c r="E206" s="10" t="s">
        <v>217</v>
      </c>
      <c r="F206" s="11" t="s">
        <v>220</v>
      </c>
      <c r="G206" s="12" t="s">
        <v>221</v>
      </c>
      <c r="H206" s="13" t="s">
        <v>220</v>
      </c>
      <c r="I206" s="14">
        <v>2</v>
      </c>
      <c r="J206" s="14" t="s">
        <v>10</v>
      </c>
      <c r="K206" s="5" t="s">
        <v>766</v>
      </c>
      <c r="L206" s="6">
        <v>0.73958333333333337</v>
      </c>
      <c r="M206" s="7" t="s">
        <v>767</v>
      </c>
      <c r="N206" s="14" t="s">
        <v>11</v>
      </c>
      <c r="O206" s="14">
        <v>2</v>
      </c>
      <c r="P206" s="13" t="s">
        <v>220</v>
      </c>
      <c r="Q206" s="12" t="s">
        <v>218</v>
      </c>
      <c r="R206" s="11" t="s">
        <v>220</v>
      </c>
      <c r="S206" s="10" t="s">
        <v>220</v>
      </c>
      <c r="T206" s="8">
        <v>1</v>
      </c>
      <c r="U206" s="15">
        <v>1</v>
      </c>
      <c r="V206" s="8">
        <v>0</v>
      </c>
      <c r="W206" s="17"/>
      <c r="X206" s="65">
        <v>46249</v>
      </c>
    </row>
    <row r="207" spans="1:24" ht="13.8" thickBot="1" x14ac:dyDescent="0.3">
      <c r="A207" s="4" t="s">
        <v>117</v>
      </c>
      <c r="B207" s="8">
        <v>0</v>
      </c>
      <c r="C207" s="9">
        <v>0.5</v>
      </c>
      <c r="D207" s="8">
        <v>0.5</v>
      </c>
      <c r="E207" s="10" t="s">
        <v>217</v>
      </c>
      <c r="F207" s="11" t="s">
        <v>217</v>
      </c>
      <c r="G207" s="12" t="s">
        <v>216</v>
      </c>
      <c r="H207" s="13" t="s">
        <v>220</v>
      </c>
      <c r="I207" s="14">
        <v>2</v>
      </c>
      <c r="J207" s="14" t="s">
        <v>10</v>
      </c>
      <c r="K207" s="5" t="s">
        <v>768</v>
      </c>
      <c r="L207" s="6">
        <v>0.83333333333333337</v>
      </c>
      <c r="M207" s="7" t="s">
        <v>769</v>
      </c>
      <c r="N207" s="14" t="s">
        <v>11</v>
      </c>
      <c r="O207" s="14">
        <v>2</v>
      </c>
      <c r="P207" s="13" t="s">
        <v>247</v>
      </c>
      <c r="Q207" s="12" t="s">
        <v>220</v>
      </c>
      <c r="R207" s="11" t="s">
        <v>247</v>
      </c>
      <c r="S207" s="10" t="s">
        <v>217</v>
      </c>
      <c r="T207" s="8">
        <v>0.5</v>
      </c>
      <c r="U207" s="9">
        <v>0.5</v>
      </c>
      <c r="V207" s="8">
        <v>0</v>
      </c>
      <c r="W207" s="17"/>
      <c r="X207" s="65">
        <v>46249</v>
      </c>
    </row>
    <row r="208" spans="1:24" ht="13.8" thickBot="1" x14ac:dyDescent="0.3">
      <c r="A208" s="4" t="s">
        <v>117</v>
      </c>
      <c r="B208" s="8">
        <v>0.5</v>
      </c>
      <c r="C208" s="9">
        <v>0.5</v>
      </c>
      <c r="D208" s="8">
        <v>0.5</v>
      </c>
      <c r="E208" s="10" t="s">
        <v>217</v>
      </c>
      <c r="F208" s="11" t="s">
        <v>220</v>
      </c>
      <c r="G208" s="12" t="s">
        <v>221</v>
      </c>
      <c r="H208" s="13" t="s">
        <v>216</v>
      </c>
      <c r="I208" s="14">
        <v>2</v>
      </c>
      <c r="J208" s="14" t="s">
        <v>10</v>
      </c>
      <c r="K208" s="5" t="s">
        <v>770</v>
      </c>
      <c r="L208" s="6">
        <v>0.83333333333333337</v>
      </c>
      <c r="M208" s="7" t="s">
        <v>771</v>
      </c>
      <c r="N208" s="14" t="s">
        <v>11</v>
      </c>
      <c r="O208" s="14">
        <v>1</v>
      </c>
      <c r="P208" s="13" t="s">
        <v>219</v>
      </c>
      <c r="Q208" s="12" t="s">
        <v>218</v>
      </c>
      <c r="R208" s="11" t="s">
        <v>217</v>
      </c>
      <c r="S208" s="10" t="s">
        <v>216</v>
      </c>
      <c r="T208" s="8">
        <v>1</v>
      </c>
      <c r="U208" s="15">
        <v>1</v>
      </c>
      <c r="V208" s="8">
        <v>0</v>
      </c>
      <c r="W208" s="17"/>
      <c r="X208" s="65">
        <v>46249</v>
      </c>
    </row>
    <row r="209" spans="1:24" ht="19.8" thickBot="1" x14ac:dyDescent="0.3">
      <c r="A209" s="4" t="s">
        <v>117</v>
      </c>
      <c r="B209" s="8">
        <v>0</v>
      </c>
      <c r="C209" s="9">
        <v>0.33</v>
      </c>
      <c r="D209" s="8">
        <v>0.75</v>
      </c>
      <c r="E209" s="10" t="s">
        <v>222</v>
      </c>
      <c r="F209" s="11" t="s">
        <v>250</v>
      </c>
      <c r="G209" s="12" t="s">
        <v>772</v>
      </c>
      <c r="H209" s="13" t="s">
        <v>251</v>
      </c>
      <c r="I209" s="14">
        <v>12</v>
      </c>
      <c r="J209" s="14" t="s">
        <v>10</v>
      </c>
      <c r="K209" s="5" t="s">
        <v>119</v>
      </c>
      <c r="L209" s="6">
        <v>0.66666666666666663</v>
      </c>
      <c r="M209" s="7" t="s">
        <v>122</v>
      </c>
      <c r="N209" s="14" t="s">
        <v>11</v>
      </c>
      <c r="O209" s="14">
        <v>12</v>
      </c>
      <c r="P209" s="13" t="s">
        <v>344</v>
      </c>
      <c r="Q209" s="12" t="s">
        <v>220</v>
      </c>
      <c r="R209" s="11" t="s">
        <v>288</v>
      </c>
      <c r="S209" s="10" t="s">
        <v>310</v>
      </c>
      <c r="T209" s="8">
        <v>0.5</v>
      </c>
      <c r="U209" s="9">
        <v>0.17</v>
      </c>
      <c r="V209" s="8">
        <v>0.08</v>
      </c>
      <c r="W209" s="17"/>
      <c r="X209" s="65">
        <v>46249</v>
      </c>
    </row>
    <row r="210" spans="1:24" ht="19.8" thickBot="1" x14ac:dyDescent="0.3">
      <c r="A210" s="4" t="s">
        <v>117</v>
      </c>
      <c r="B210" s="8">
        <v>0</v>
      </c>
      <c r="C210" s="9">
        <v>0.25</v>
      </c>
      <c r="D210" s="8">
        <v>0.57999999999999996</v>
      </c>
      <c r="E210" s="10" t="s">
        <v>288</v>
      </c>
      <c r="F210" s="11" t="s">
        <v>773</v>
      </c>
      <c r="G210" s="12" t="s">
        <v>223</v>
      </c>
      <c r="H210" s="13" t="s">
        <v>224</v>
      </c>
      <c r="I210" s="14">
        <v>12</v>
      </c>
      <c r="J210" s="14" t="s">
        <v>10</v>
      </c>
      <c r="K210" s="5" t="s">
        <v>774</v>
      </c>
      <c r="L210" s="6">
        <v>0.66666666666666663</v>
      </c>
      <c r="M210" s="7" t="s">
        <v>775</v>
      </c>
      <c r="N210" s="14" t="s">
        <v>11</v>
      </c>
      <c r="O210" s="14">
        <v>12</v>
      </c>
      <c r="P210" s="13" t="s">
        <v>247</v>
      </c>
      <c r="Q210" s="12" t="s">
        <v>772</v>
      </c>
      <c r="R210" s="11" t="s">
        <v>247</v>
      </c>
      <c r="S210" s="10" t="s">
        <v>224</v>
      </c>
      <c r="T210" s="8">
        <v>0.57999999999999996</v>
      </c>
      <c r="U210" s="9">
        <v>0.17</v>
      </c>
      <c r="V210" s="8">
        <v>0.08</v>
      </c>
      <c r="W210" s="17"/>
      <c r="X210" s="65">
        <v>46249</v>
      </c>
    </row>
    <row r="211" spans="1:24" ht="19.8" thickBot="1" x14ac:dyDescent="0.3">
      <c r="A211" s="4" t="s">
        <v>117</v>
      </c>
      <c r="B211" s="8">
        <v>0.33</v>
      </c>
      <c r="C211" s="9">
        <v>0.42</v>
      </c>
      <c r="D211" s="8">
        <v>0.75</v>
      </c>
      <c r="E211" s="10" t="s">
        <v>776</v>
      </c>
      <c r="F211" s="11" t="s">
        <v>216</v>
      </c>
      <c r="G211" s="12" t="s">
        <v>777</v>
      </c>
      <c r="H211" s="13" t="s">
        <v>221</v>
      </c>
      <c r="I211" s="14">
        <v>12</v>
      </c>
      <c r="J211" s="14" t="s">
        <v>10</v>
      </c>
      <c r="K211" s="5" t="s">
        <v>778</v>
      </c>
      <c r="L211" s="6">
        <v>0.66666666666666663</v>
      </c>
      <c r="M211" s="7" t="s">
        <v>779</v>
      </c>
      <c r="N211" s="14" t="s">
        <v>11</v>
      </c>
      <c r="O211" s="14">
        <v>12</v>
      </c>
      <c r="P211" s="13" t="s">
        <v>288</v>
      </c>
      <c r="Q211" s="12" t="s">
        <v>252</v>
      </c>
      <c r="R211" s="11" t="s">
        <v>310</v>
      </c>
      <c r="S211" s="10" t="s">
        <v>220</v>
      </c>
      <c r="T211" s="8">
        <v>0.57999999999999996</v>
      </c>
      <c r="U211" s="9">
        <v>0.33</v>
      </c>
      <c r="V211" s="8">
        <v>0.17</v>
      </c>
      <c r="W211" s="17"/>
      <c r="X211" s="65">
        <v>46249</v>
      </c>
    </row>
    <row r="212" spans="1:24" ht="13.8" thickBot="1" x14ac:dyDescent="0.3">
      <c r="A212" s="4" t="s">
        <v>117</v>
      </c>
      <c r="B212" s="8">
        <v>0.09</v>
      </c>
      <c r="C212" s="9">
        <v>0.36</v>
      </c>
      <c r="D212" s="8">
        <v>0.64</v>
      </c>
      <c r="E212" s="10" t="s">
        <v>217</v>
      </c>
      <c r="F212" s="11" t="s">
        <v>301</v>
      </c>
      <c r="G212" s="12" t="s">
        <v>315</v>
      </c>
      <c r="H212" s="13" t="s">
        <v>259</v>
      </c>
      <c r="I212" s="14">
        <v>11</v>
      </c>
      <c r="J212" s="14" t="s">
        <v>10</v>
      </c>
      <c r="K212" s="5" t="s">
        <v>120</v>
      </c>
      <c r="L212" s="6">
        <v>0.66666666666666663</v>
      </c>
      <c r="M212" s="7" t="s">
        <v>780</v>
      </c>
      <c r="N212" s="14" t="s">
        <v>11</v>
      </c>
      <c r="O212" s="14">
        <v>10</v>
      </c>
      <c r="P212" s="13" t="s">
        <v>271</v>
      </c>
      <c r="Q212" s="12" t="s">
        <v>781</v>
      </c>
      <c r="R212" s="11" t="s">
        <v>274</v>
      </c>
      <c r="S212" s="10" t="s">
        <v>271</v>
      </c>
      <c r="T212" s="8">
        <v>0.7</v>
      </c>
      <c r="U212" s="9">
        <v>0.5</v>
      </c>
      <c r="V212" s="8">
        <v>0.1</v>
      </c>
      <c r="W212" s="17"/>
      <c r="X212" s="65">
        <v>46249</v>
      </c>
    </row>
    <row r="213" spans="1:24" ht="13.8" thickBot="1" x14ac:dyDescent="0.3">
      <c r="A213" s="4" t="s">
        <v>117</v>
      </c>
      <c r="B213" s="8">
        <v>0</v>
      </c>
      <c r="C213" s="9">
        <v>0.18</v>
      </c>
      <c r="D213" s="8">
        <v>0.55000000000000004</v>
      </c>
      <c r="E213" s="10" t="s">
        <v>298</v>
      </c>
      <c r="F213" s="11" t="s">
        <v>313</v>
      </c>
      <c r="G213" s="12" t="s">
        <v>303</v>
      </c>
      <c r="H213" s="13" t="s">
        <v>302</v>
      </c>
      <c r="I213" s="14">
        <v>11</v>
      </c>
      <c r="J213" s="14" t="s">
        <v>10</v>
      </c>
      <c r="K213" s="5" t="s">
        <v>782</v>
      </c>
      <c r="L213" s="6">
        <v>0.66666666666666663</v>
      </c>
      <c r="M213" s="7" t="s">
        <v>783</v>
      </c>
      <c r="N213" s="14" t="s">
        <v>11</v>
      </c>
      <c r="O213" s="14">
        <v>11</v>
      </c>
      <c r="P213" s="13" t="s">
        <v>784</v>
      </c>
      <c r="Q213" s="12" t="s">
        <v>259</v>
      </c>
      <c r="R213" s="11" t="s">
        <v>474</v>
      </c>
      <c r="S213" s="10" t="s">
        <v>260</v>
      </c>
      <c r="T213" s="8">
        <v>0.55000000000000004</v>
      </c>
      <c r="U213" s="9">
        <v>0.27</v>
      </c>
      <c r="V213" s="8">
        <v>0.09</v>
      </c>
      <c r="W213" s="17"/>
      <c r="X213" s="65">
        <v>46249</v>
      </c>
    </row>
    <row r="214" spans="1:24" ht="13.8" thickBot="1" x14ac:dyDescent="0.3">
      <c r="A214" s="4" t="s">
        <v>117</v>
      </c>
      <c r="B214" s="8">
        <v>0.25</v>
      </c>
      <c r="C214" s="9">
        <v>0.42</v>
      </c>
      <c r="D214" s="8">
        <v>0.67</v>
      </c>
      <c r="E214" s="10" t="s">
        <v>250</v>
      </c>
      <c r="F214" s="11" t="s">
        <v>348</v>
      </c>
      <c r="G214" s="12" t="s">
        <v>225</v>
      </c>
      <c r="H214" s="13" t="s">
        <v>220</v>
      </c>
      <c r="I214" s="14">
        <v>12</v>
      </c>
      <c r="J214" s="14" t="s">
        <v>10</v>
      </c>
      <c r="K214" s="5" t="s">
        <v>785</v>
      </c>
      <c r="L214" s="6">
        <v>0.70833333333333337</v>
      </c>
      <c r="M214" s="7" t="s">
        <v>786</v>
      </c>
      <c r="N214" s="14" t="s">
        <v>11</v>
      </c>
      <c r="O214" s="14">
        <v>11</v>
      </c>
      <c r="P214" s="13" t="s">
        <v>784</v>
      </c>
      <c r="Q214" s="12" t="s">
        <v>218</v>
      </c>
      <c r="R214" s="11" t="s">
        <v>313</v>
      </c>
      <c r="S214" s="10" t="s">
        <v>314</v>
      </c>
      <c r="T214" s="8">
        <v>1</v>
      </c>
      <c r="U214" s="15">
        <v>0.64</v>
      </c>
      <c r="V214" s="8">
        <v>0.18</v>
      </c>
      <c r="W214" s="17"/>
      <c r="X214" s="65">
        <v>46249</v>
      </c>
    </row>
    <row r="215" spans="1:24" ht="19.8" thickBot="1" x14ac:dyDescent="0.3">
      <c r="A215" s="4" t="s">
        <v>117</v>
      </c>
      <c r="B215" s="8">
        <v>0.17</v>
      </c>
      <c r="C215" s="15">
        <v>0.57999999999999996</v>
      </c>
      <c r="D215" s="8">
        <v>0.75</v>
      </c>
      <c r="E215" s="10" t="s">
        <v>310</v>
      </c>
      <c r="F215" s="11" t="s">
        <v>344</v>
      </c>
      <c r="G215" s="12" t="s">
        <v>334</v>
      </c>
      <c r="H215" s="13" t="s">
        <v>334</v>
      </c>
      <c r="I215" s="14">
        <v>12</v>
      </c>
      <c r="J215" s="14" t="s">
        <v>10</v>
      </c>
      <c r="K215" s="5" t="s">
        <v>787</v>
      </c>
      <c r="L215" s="6">
        <v>0.79166666666666663</v>
      </c>
      <c r="M215" s="7" t="s">
        <v>115</v>
      </c>
      <c r="N215" s="14" t="s">
        <v>11</v>
      </c>
      <c r="O215" s="14">
        <v>12</v>
      </c>
      <c r="P215" s="13" t="s">
        <v>222</v>
      </c>
      <c r="Q215" s="12" t="s">
        <v>325</v>
      </c>
      <c r="R215" s="11" t="s">
        <v>293</v>
      </c>
      <c r="S215" s="10" t="s">
        <v>788</v>
      </c>
      <c r="T215" s="8">
        <v>0.75</v>
      </c>
      <c r="U215" s="15">
        <v>0.57999999999999996</v>
      </c>
      <c r="V215" s="8">
        <v>0.33</v>
      </c>
      <c r="W215" s="17"/>
      <c r="X215" s="65">
        <v>46249</v>
      </c>
    </row>
    <row r="216" spans="1:24" ht="13.8" thickBot="1" x14ac:dyDescent="0.3">
      <c r="A216" s="4" t="s">
        <v>117</v>
      </c>
      <c r="B216" s="8">
        <v>0</v>
      </c>
      <c r="C216" s="9">
        <v>0.25</v>
      </c>
      <c r="D216" s="8">
        <v>0.5</v>
      </c>
      <c r="E216" s="10" t="s">
        <v>789</v>
      </c>
      <c r="F216" s="11" t="s">
        <v>250</v>
      </c>
      <c r="G216" s="12" t="s">
        <v>220</v>
      </c>
      <c r="H216" s="13" t="s">
        <v>772</v>
      </c>
      <c r="I216" s="14">
        <v>12</v>
      </c>
      <c r="J216" s="14" t="s">
        <v>10</v>
      </c>
      <c r="K216" s="5" t="s">
        <v>790</v>
      </c>
      <c r="L216" s="6">
        <v>0.83333333333333337</v>
      </c>
      <c r="M216" s="7" t="s">
        <v>791</v>
      </c>
      <c r="N216" s="14" t="s">
        <v>11</v>
      </c>
      <c r="O216" s="14">
        <v>11</v>
      </c>
      <c r="P216" s="13" t="s">
        <v>300</v>
      </c>
      <c r="Q216" s="12" t="s">
        <v>303</v>
      </c>
      <c r="R216" s="11" t="s">
        <v>300</v>
      </c>
      <c r="S216" s="10" t="s">
        <v>217</v>
      </c>
      <c r="T216" s="8">
        <v>0.45</v>
      </c>
      <c r="U216" s="9">
        <v>0.27</v>
      </c>
      <c r="V216" s="8">
        <v>0.09</v>
      </c>
      <c r="W216" s="17"/>
      <c r="X216" s="65">
        <v>46249</v>
      </c>
    </row>
    <row r="217" spans="1:24" ht="19.8" thickBot="1" x14ac:dyDescent="0.3">
      <c r="A217" s="4" t="s">
        <v>253</v>
      </c>
      <c r="B217" s="8">
        <v>1</v>
      </c>
      <c r="C217" s="15">
        <v>1</v>
      </c>
      <c r="D217" s="8">
        <v>1</v>
      </c>
      <c r="E217" s="10" t="s">
        <v>226</v>
      </c>
      <c r="F217" s="11" t="s">
        <v>217</v>
      </c>
      <c r="G217" s="12" t="s">
        <v>278</v>
      </c>
      <c r="H217" s="13" t="s">
        <v>219</v>
      </c>
      <c r="I217" s="14">
        <v>1</v>
      </c>
      <c r="J217" s="14" t="s">
        <v>10</v>
      </c>
      <c r="K217" s="5" t="s">
        <v>792</v>
      </c>
      <c r="L217" s="6">
        <v>0.41666666666666669</v>
      </c>
      <c r="M217" s="7" t="s">
        <v>793</v>
      </c>
      <c r="N217" s="14" t="s">
        <v>11</v>
      </c>
      <c r="O217" s="14">
        <v>1</v>
      </c>
      <c r="P217" s="13" t="s">
        <v>218</v>
      </c>
      <c r="Q217" s="12" t="s">
        <v>357</v>
      </c>
      <c r="R217" s="11" t="s">
        <v>226</v>
      </c>
      <c r="S217" s="10" t="s">
        <v>218</v>
      </c>
      <c r="T217" s="8">
        <v>1</v>
      </c>
      <c r="U217" s="15">
        <v>1</v>
      </c>
      <c r="V217" s="8">
        <v>1</v>
      </c>
      <c r="W217" s="17"/>
      <c r="X217" s="65">
        <v>46249</v>
      </c>
    </row>
    <row r="218" spans="1:24" ht="19.8" thickBot="1" x14ac:dyDescent="0.3">
      <c r="A218" s="4" t="s">
        <v>253</v>
      </c>
      <c r="B218" s="8">
        <v>0</v>
      </c>
      <c r="C218" s="9">
        <v>0</v>
      </c>
      <c r="D218" s="8">
        <v>0</v>
      </c>
      <c r="E218" s="10" t="s">
        <v>219</v>
      </c>
      <c r="F218" s="11" t="s">
        <v>219</v>
      </c>
      <c r="G218" s="12" t="s">
        <v>219</v>
      </c>
      <c r="H218" s="13" t="s">
        <v>217</v>
      </c>
      <c r="I218" s="14">
        <v>1</v>
      </c>
      <c r="J218" s="14" t="s">
        <v>10</v>
      </c>
      <c r="K218" s="5" t="s">
        <v>794</v>
      </c>
      <c r="L218" s="6">
        <v>0.5625</v>
      </c>
      <c r="M218" s="7" t="s">
        <v>795</v>
      </c>
      <c r="N218" s="14" t="s">
        <v>11</v>
      </c>
      <c r="O218" s="14">
        <v>1</v>
      </c>
      <c r="P218" s="13" t="s">
        <v>219</v>
      </c>
      <c r="Q218" s="12" t="s">
        <v>218</v>
      </c>
      <c r="R218" s="11" t="s">
        <v>219</v>
      </c>
      <c r="S218" s="10" t="s">
        <v>218</v>
      </c>
      <c r="T218" s="8">
        <v>1</v>
      </c>
      <c r="U218" s="15">
        <v>1</v>
      </c>
      <c r="V218" s="8">
        <v>0</v>
      </c>
      <c r="W218" s="17"/>
      <c r="X218" s="65">
        <v>46249</v>
      </c>
    </row>
    <row r="219" spans="1:24" ht="19.8" thickBot="1" x14ac:dyDescent="0.3">
      <c r="A219" s="4" t="s">
        <v>126</v>
      </c>
      <c r="B219" s="8">
        <v>0.27</v>
      </c>
      <c r="C219" s="15">
        <v>0.55000000000000004</v>
      </c>
      <c r="D219" s="8">
        <v>0.73</v>
      </c>
      <c r="E219" s="10" t="s">
        <v>301</v>
      </c>
      <c r="F219" s="11" t="s">
        <v>303</v>
      </c>
      <c r="G219" s="12" t="s">
        <v>796</v>
      </c>
      <c r="H219" s="13" t="s">
        <v>302</v>
      </c>
      <c r="I219" s="14">
        <v>11</v>
      </c>
      <c r="J219" s="14" t="s">
        <v>10</v>
      </c>
      <c r="K219" s="5" t="s">
        <v>797</v>
      </c>
      <c r="L219" s="6">
        <v>0.125</v>
      </c>
      <c r="M219" s="7" t="s">
        <v>798</v>
      </c>
      <c r="N219" s="14" t="s">
        <v>11</v>
      </c>
      <c r="O219" s="14">
        <v>11</v>
      </c>
      <c r="P219" s="13" t="s">
        <v>799</v>
      </c>
      <c r="Q219" s="12" t="s">
        <v>472</v>
      </c>
      <c r="R219" s="11" t="s">
        <v>261</v>
      </c>
      <c r="S219" s="10" t="s">
        <v>302</v>
      </c>
      <c r="T219" s="8">
        <v>0.91</v>
      </c>
      <c r="U219" s="15">
        <v>0.73</v>
      </c>
      <c r="V219" s="8">
        <v>0.55000000000000004</v>
      </c>
      <c r="W219" s="17"/>
      <c r="X219" s="65">
        <v>46249</v>
      </c>
    </row>
    <row r="220" spans="1:24" ht="19.8" thickBot="1" x14ac:dyDescent="0.3">
      <c r="A220" s="4" t="s">
        <v>126</v>
      </c>
      <c r="B220" s="8">
        <v>0.3</v>
      </c>
      <c r="C220" s="9">
        <v>0.4</v>
      </c>
      <c r="D220" s="8">
        <v>0.8</v>
      </c>
      <c r="E220" s="10" t="s">
        <v>271</v>
      </c>
      <c r="F220" s="11" t="s">
        <v>227</v>
      </c>
      <c r="G220" s="12" t="s">
        <v>800</v>
      </c>
      <c r="H220" s="13" t="s">
        <v>217</v>
      </c>
      <c r="I220" s="14">
        <v>10</v>
      </c>
      <c r="J220" s="14" t="s">
        <v>10</v>
      </c>
      <c r="K220" s="5" t="s">
        <v>801</v>
      </c>
      <c r="L220" s="6">
        <v>0.125</v>
      </c>
      <c r="M220" s="7" t="s">
        <v>802</v>
      </c>
      <c r="N220" s="14" t="s">
        <v>11</v>
      </c>
      <c r="O220" s="14">
        <v>11</v>
      </c>
      <c r="P220" s="13" t="s">
        <v>261</v>
      </c>
      <c r="Q220" s="12" t="s">
        <v>218</v>
      </c>
      <c r="R220" s="11" t="s">
        <v>216</v>
      </c>
      <c r="S220" s="10" t="s">
        <v>217</v>
      </c>
      <c r="T220" s="8">
        <v>0.91</v>
      </c>
      <c r="U220" s="15">
        <v>0.64</v>
      </c>
      <c r="V220" s="8">
        <v>0.27</v>
      </c>
      <c r="W220" s="17"/>
      <c r="X220" s="65">
        <v>46249</v>
      </c>
    </row>
    <row r="221" spans="1:24" ht="13.8" thickBot="1" x14ac:dyDescent="0.3">
      <c r="A221" s="4" t="s">
        <v>126</v>
      </c>
      <c r="B221" s="8">
        <v>0.18</v>
      </c>
      <c r="C221" s="9">
        <v>0.45</v>
      </c>
      <c r="D221" s="8">
        <v>0.73</v>
      </c>
      <c r="E221" s="10" t="s">
        <v>260</v>
      </c>
      <c r="F221" s="11" t="s">
        <v>301</v>
      </c>
      <c r="G221" s="12" t="s">
        <v>312</v>
      </c>
      <c r="H221" s="13" t="s">
        <v>302</v>
      </c>
      <c r="I221" s="14">
        <v>11</v>
      </c>
      <c r="J221" s="14" t="s">
        <v>10</v>
      </c>
      <c r="K221" s="5" t="s">
        <v>803</v>
      </c>
      <c r="L221" s="6">
        <v>0.25</v>
      </c>
      <c r="M221" s="7" t="s">
        <v>804</v>
      </c>
      <c r="N221" s="14" t="s">
        <v>11</v>
      </c>
      <c r="O221" s="14">
        <v>11</v>
      </c>
      <c r="P221" s="13" t="s">
        <v>260</v>
      </c>
      <c r="Q221" s="12" t="s">
        <v>805</v>
      </c>
      <c r="R221" s="11" t="s">
        <v>302</v>
      </c>
      <c r="S221" s="10" t="s">
        <v>256</v>
      </c>
      <c r="T221" s="8">
        <v>0.91</v>
      </c>
      <c r="U221" s="15">
        <v>0.64</v>
      </c>
      <c r="V221" s="8">
        <v>0.36</v>
      </c>
      <c r="W221" s="17"/>
      <c r="X221" s="65">
        <v>46249</v>
      </c>
    </row>
    <row r="222" spans="1:24" ht="13.8" thickBot="1" x14ac:dyDescent="0.3">
      <c r="A222" s="4" t="s">
        <v>126</v>
      </c>
      <c r="B222" s="8">
        <v>0.78</v>
      </c>
      <c r="C222" s="15">
        <v>0.89</v>
      </c>
      <c r="D222" s="8">
        <v>1</v>
      </c>
      <c r="E222" s="10" t="s">
        <v>218</v>
      </c>
      <c r="F222" s="11" t="s">
        <v>343</v>
      </c>
      <c r="G222" s="12" t="s">
        <v>427</v>
      </c>
      <c r="H222" s="13" t="s">
        <v>228</v>
      </c>
      <c r="I222" s="14">
        <v>9</v>
      </c>
      <c r="J222" s="14" t="s">
        <v>10</v>
      </c>
      <c r="K222" s="5" t="s">
        <v>806</v>
      </c>
      <c r="L222" s="6">
        <v>0.20833333333333334</v>
      </c>
      <c r="M222" s="7" t="s">
        <v>807</v>
      </c>
      <c r="N222" s="14" t="s">
        <v>11</v>
      </c>
      <c r="O222" s="14">
        <v>9</v>
      </c>
      <c r="P222" s="13" t="s">
        <v>324</v>
      </c>
      <c r="Q222" s="12" t="s">
        <v>808</v>
      </c>
      <c r="R222" s="11" t="s">
        <v>229</v>
      </c>
      <c r="S222" s="10" t="s">
        <v>230</v>
      </c>
      <c r="T222" s="8">
        <v>0.89</v>
      </c>
      <c r="U222" s="15">
        <v>0.67</v>
      </c>
      <c r="V222" s="8">
        <v>0.67</v>
      </c>
      <c r="W222" s="17"/>
      <c r="X222" s="65">
        <v>46249</v>
      </c>
    </row>
    <row r="223" spans="1:24" ht="13.8" thickBot="1" x14ac:dyDescent="0.3">
      <c r="A223" s="4" t="s">
        <v>126</v>
      </c>
      <c r="B223" s="8">
        <v>0.33</v>
      </c>
      <c r="C223" s="15">
        <v>0.78</v>
      </c>
      <c r="D223" s="8">
        <v>0.89</v>
      </c>
      <c r="E223" s="10" t="s">
        <v>343</v>
      </c>
      <c r="F223" s="11" t="s">
        <v>231</v>
      </c>
      <c r="G223" s="12" t="s">
        <v>349</v>
      </c>
      <c r="H223" s="13" t="s">
        <v>229</v>
      </c>
      <c r="I223" s="14">
        <v>9</v>
      </c>
      <c r="J223" s="14" t="s">
        <v>10</v>
      </c>
      <c r="K223" s="5" t="s">
        <v>809</v>
      </c>
      <c r="L223" s="6">
        <v>0.20833333333333334</v>
      </c>
      <c r="M223" s="7" t="s">
        <v>132</v>
      </c>
      <c r="N223" s="14" t="s">
        <v>11</v>
      </c>
      <c r="O223" s="14">
        <v>9</v>
      </c>
      <c r="P223" s="13" t="s">
        <v>232</v>
      </c>
      <c r="Q223" s="12" t="s">
        <v>309</v>
      </c>
      <c r="R223" s="11" t="s">
        <v>228</v>
      </c>
      <c r="S223" s="10" t="s">
        <v>343</v>
      </c>
      <c r="T223" s="8">
        <v>0.67</v>
      </c>
      <c r="U223" s="9">
        <v>0.44</v>
      </c>
      <c r="V223" s="8">
        <v>0.22</v>
      </c>
      <c r="W223" s="17"/>
      <c r="X223" s="65">
        <v>46249</v>
      </c>
    </row>
    <row r="224" spans="1:24" ht="19.8" thickBot="1" x14ac:dyDescent="0.3">
      <c r="A224" s="4" t="s">
        <v>126</v>
      </c>
      <c r="B224" s="8">
        <v>0.5</v>
      </c>
      <c r="C224" s="15">
        <v>0.7</v>
      </c>
      <c r="D224" s="8">
        <v>0.8</v>
      </c>
      <c r="E224" s="10" t="s">
        <v>268</v>
      </c>
      <c r="F224" s="11" t="s">
        <v>268</v>
      </c>
      <c r="G224" s="12" t="s">
        <v>277</v>
      </c>
      <c r="H224" s="13" t="s">
        <v>274</v>
      </c>
      <c r="I224" s="14">
        <v>10</v>
      </c>
      <c r="J224" s="14" t="s">
        <v>10</v>
      </c>
      <c r="K224" s="5" t="s">
        <v>810</v>
      </c>
      <c r="L224" s="6">
        <v>0.20833333333333334</v>
      </c>
      <c r="M224" s="7" t="s">
        <v>811</v>
      </c>
      <c r="N224" s="14" t="s">
        <v>11</v>
      </c>
      <c r="O224" s="14">
        <v>9</v>
      </c>
      <c r="P224" s="13" t="s">
        <v>232</v>
      </c>
      <c r="Q224" s="12" t="s">
        <v>285</v>
      </c>
      <c r="R224" s="11" t="s">
        <v>216</v>
      </c>
      <c r="S224" s="10" t="s">
        <v>229</v>
      </c>
      <c r="T224" s="8">
        <v>1</v>
      </c>
      <c r="U224" s="15">
        <v>0.56000000000000005</v>
      </c>
      <c r="V224" s="8">
        <v>0.33</v>
      </c>
      <c r="W224" s="17"/>
      <c r="X224" s="65">
        <v>46249</v>
      </c>
    </row>
    <row r="225" spans="1:24" ht="13.8" thickBot="1" x14ac:dyDescent="0.3">
      <c r="A225" s="4" t="s">
        <v>126</v>
      </c>
      <c r="B225" s="8">
        <v>0.44</v>
      </c>
      <c r="C225" s="15">
        <v>0.56000000000000005</v>
      </c>
      <c r="D225" s="8">
        <v>1</v>
      </c>
      <c r="E225" s="10" t="s">
        <v>216</v>
      </c>
      <c r="F225" s="11" t="s">
        <v>307</v>
      </c>
      <c r="G225" s="12" t="s">
        <v>812</v>
      </c>
      <c r="H225" s="13" t="s">
        <v>232</v>
      </c>
      <c r="I225" s="14">
        <v>9</v>
      </c>
      <c r="J225" s="14" t="s">
        <v>10</v>
      </c>
      <c r="K225" s="5" t="s">
        <v>133</v>
      </c>
      <c r="L225" s="6">
        <v>0.20833333333333334</v>
      </c>
      <c r="M225" s="7" t="s">
        <v>813</v>
      </c>
      <c r="N225" s="14" t="s">
        <v>11</v>
      </c>
      <c r="O225" s="14">
        <v>9</v>
      </c>
      <c r="P225" s="13" t="s">
        <v>343</v>
      </c>
      <c r="Q225" s="12" t="s">
        <v>340</v>
      </c>
      <c r="R225" s="11" t="s">
        <v>229</v>
      </c>
      <c r="S225" s="10" t="s">
        <v>229</v>
      </c>
      <c r="T225" s="8">
        <v>0.67</v>
      </c>
      <c r="U225" s="15">
        <v>0.67</v>
      </c>
      <c r="V225" s="8">
        <v>0.33</v>
      </c>
      <c r="W225" s="17"/>
      <c r="X225" s="65">
        <v>46249</v>
      </c>
    </row>
    <row r="226" spans="1:24" ht="19.8" thickBot="1" x14ac:dyDescent="0.3">
      <c r="A226" s="4" t="s">
        <v>126</v>
      </c>
      <c r="B226" s="8">
        <v>0.6</v>
      </c>
      <c r="C226" s="15">
        <v>0.8</v>
      </c>
      <c r="D226" s="8">
        <v>1</v>
      </c>
      <c r="E226" s="10" t="s">
        <v>233</v>
      </c>
      <c r="F226" s="11" t="s">
        <v>800</v>
      </c>
      <c r="G226" s="12" t="s">
        <v>814</v>
      </c>
      <c r="H226" s="13" t="s">
        <v>234</v>
      </c>
      <c r="I226" s="14">
        <v>10</v>
      </c>
      <c r="J226" s="14" t="s">
        <v>10</v>
      </c>
      <c r="K226" s="5" t="s">
        <v>134</v>
      </c>
      <c r="L226" s="6">
        <v>0.20833333333333334</v>
      </c>
      <c r="M226" s="7" t="s">
        <v>815</v>
      </c>
      <c r="N226" s="14" t="s">
        <v>11</v>
      </c>
      <c r="O226" s="14">
        <v>10</v>
      </c>
      <c r="P226" s="13" t="s">
        <v>816</v>
      </c>
      <c r="Q226" s="12" t="s">
        <v>424</v>
      </c>
      <c r="R226" s="11" t="s">
        <v>227</v>
      </c>
      <c r="S226" s="10" t="s">
        <v>277</v>
      </c>
      <c r="T226" s="8">
        <v>0.9</v>
      </c>
      <c r="U226" s="15">
        <v>0.8</v>
      </c>
      <c r="V226" s="8">
        <v>0.7</v>
      </c>
      <c r="W226" s="17"/>
      <c r="X226" s="65">
        <v>46249</v>
      </c>
    </row>
    <row r="227" spans="1:24" ht="13.8" thickBot="1" x14ac:dyDescent="0.3">
      <c r="A227" s="4" t="s">
        <v>126</v>
      </c>
      <c r="B227" s="8">
        <v>0.6</v>
      </c>
      <c r="C227" s="15">
        <v>0.7</v>
      </c>
      <c r="D227" s="8">
        <v>0.9</v>
      </c>
      <c r="E227" s="10" t="s">
        <v>227</v>
      </c>
      <c r="F227" s="11" t="s">
        <v>267</v>
      </c>
      <c r="G227" s="12" t="s">
        <v>283</v>
      </c>
      <c r="H227" s="13" t="s">
        <v>249</v>
      </c>
      <c r="I227" s="14">
        <v>10</v>
      </c>
      <c r="J227" s="14" t="s">
        <v>10</v>
      </c>
      <c r="K227" s="5" t="s">
        <v>817</v>
      </c>
      <c r="L227" s="6">
        <v>0.3125</v>
      </c>
      <c r="M227" s="7" t="s">
        <v>818</v>
      </c>
      <c r="N227" s="14" t="s">
        <v>11</v>
      </c>
      <c r="O227" s="14">
        <v>10</v>
      </c>
      <c r="P227" s="13" t="s">
        <v>234</v>
      </c>
      <c r="Q227" s="12" t="s">
        <v>267</v>
      </c>
      <c r="R227" s="11" t="s">
        <v>268</v>
      </c>
      <c r="S227" s="10" t="s">
        <v>819</v>
      </c>
      <c r="T227" s="8">
        <v>0.5</v>
      </c>
      <c r="U227" s="9">
        <v>0.5</v>
      </c>
      <c r="V227" s="8">
        <v>0.4</v>
      </c>
      <c r="W227" s="17"/>
      <c r="X227" s="65">
        <v>46249</v>
      </c>
    </row>
    <row r="228" spans="1:24" ht="19.8" thickBot="1" x14ac:dyDescent="0.3">
      <c r="A228" s="4" t="s">
        <v>126</v>
      </c>
      <c r="B228" s="8">
        <v>0.6</v>
      </c>
      <c r="C228" s="15">
        <v>0.7</v>
      </c>
      <c r="D228" s="8">
        <v>0.8</v>
      </c>
      <c r="E228" s="10" t="s">
        <v>217</v>
      </c>
      <c r="F228" s="11" t="s">
        <v>279</v>
      </c>
      <c r="G228" s="12" t="s">
        <v>820</v>
      </c>
      <c r="H228" s="13" t="s">
        <v>234</v>
      </c>
      <c r="I228" s="14">
        <v>10</v>
      </c>
      <c r="J228" s="14" t="s">
        <v>10</v>
      </c>
      <c r="K228" s="5" t="s">
        <v>821</v>
      </c>
      <c r="L228" s="6">
        <v>0.3125</v>
      </c>
      <c r="M228" s="7" t="s">
        <v>822</v>
      </c>
      <c r="N228" s="14" t="s">
        <v>11</v>
      </c>
      <c r="O228" s="14">
        <v>10</v>
      </c>
      <c r="P228" s="13" t="s">
        <v>220</v>
      </c>
      <c r="Q228" s="12" t="s">
        <v>823</v>
      </c>
      <c r="R228" s="11" t="s">
        <v>781</v>
      </c>
      <c r="S228" s="10" t="s">
        <v>234</v>
      </c>
      <c r="T228" s="8">
        <v>0.9</v>
      </c>
      <c r="U228" s="15">
        <v>0.6</v>
      </c>
      <c r="V228" s="8">
        <v>0.5</v>
      </c>
      <c r="W228" s="17"/>
      <c r="X228" s="65">
        <v>46249</v>
      </c>
    </row>
    <row r="229" spans="1:24" ht="19.8" thickBot="1" x14ac:dyDescent="0.3">
      <c r="A229" s="4" t="s">
        <v>126</v>
      </c>
      <c r="B229" s="8">
        <v>0.8</v>
      </c>
      <c r="C229" s="15">
        <v>0.8</v>
      </c>
      <c r="D229" s="8">
        <v>1</v>
      </c>
      <c r="E229" s="10" t="s">
        <v>419</v>
      </c>
      <c r="F229" s="11" t="s">
        <v>824</v>
      </c>
      <c r="G229" s="12" t="s">
        <v>825</v>
      </c>
      <c r="H229" s="13" t="s">
        <v>335</v>
      </c>
      <c r="I229" s="14">
        <v>10</v>
      </c>
      <c r="J229" s="14" t="s">
        <v>10</v>
      </c>
      <c r="K229" s="5" t="s">
        <v>138</v>
      </c>
      <c r="L229" s="6">
        <v>0.3125</v>
      </c>
      <c r="M229" s="7" t="s">
        <v>136</v>
      </c>
      <c r="N229" s="14" t="s">
        <v>11</v>
      </c>
      <c r="O229" s="14">
        <v>9</v>
      </c>
      <c r="P229" s="13" t="s">
        <v>326</v>
      </c>
      <c r="Q229" s="12" t="s">
        <v>340</v>
      </c>
      <c r="R229" s="11" t="s">
        <v>306</v>
      </c>
      <c r="S229" s="10" t="s">
        <v>307</v>
      </c>
      <c r="T229" s="8">
        <v>0.78</v>
      </c>
      <c r="U229" s="15">
        <v>0.67</v>
      </c>
      <c r="V229" s="8">
        <v>0.56000000000000005</v>
      </c>
      <c r="W229" s="17"/>
      <c r="X229" s="65">
        <v>46249</v>
      </c>
    </row>
    <row r="230" spans="1:24" ht="19.8" thickBot="1" x14ac:dyDescent="0.3">
      <c r="A230" s="4" t="s">
        <v>126</v>
      </c>
      <c r="B230" s="8">
        <v>0.44</v>
      </c>
      <c r="C230" s="15">
        <v>0.56000000000000005</v>
      </c>
      <c r="D230" s="8">
        <v>0.67</v>
      </c>
      <c r="E230" s="10" t="s">
        <v>229</v>
      </c>
      <c r="F230" s="11" t="s">
        <v>216</v>
      </c>
      <c r="G230" s="12" t="s">
        <v>285</v>
      </c>
      <c r="H230" s="13" t="s">
        <v>344</v>
      </c>
      <c r="I230" s="14">
        <v>9</v>
      </c>
      <c r="J230" s="14" t="s">
        <v>10</v>
      </c>
      <c r="K230" s="5" t="s">
        <v>826</v>
      </c>
      <c r="L230" s="6">
        <v>0.3125</v>
      </c>
      <c r="M230" s="7" t="s">
        <v>135</v>
      </c>
      <c r="N230" s="14" t="s">
        <v>11</v>
      </c>
      <c r="O230" s="14">
        <v>10</v>
      </c>
      <c r="P230" s="13" t="s">
        <v>248</v>
      </c>
      <c r="Q230" s="12" t="s">
        <v>235</v>
      </c>
      <c r="R230" s="11" t="s">
        <v>273</v>
      </c>
      <c r="S230" s="10" t="s">
        <v>267</v>
      </c>
      <c r="T230" s="8">
        <v>0.8</v>
      </c>
      <c r="U230" s="15">
        <v>0.8</v>
      </c>
      <c r="V230" s="8">
        <v>0.7</v>
      </c>
      <c r="W230" s="17"/>
      <c r="X230" s="65">
        <v>46249</v>
      </c>
    </row>
    <row r="231" spans="1:24" ht="19.8" thickBot="1" x14ac:dyDescent="0.3">
      <c r="A231" s="4" t="s">
        <v>126</v>
      </c>
      <c r="B231" s="8">
        <v>0.4</v>
      </c>
      <c r="C231" s="15">
        <v>0.8</v>
      </c>
      <c r="D231" s="8">
        <v>0.8</v>
      </c>
      <c r="E231" s="10" t="s">
        <v>234</v>
      </c>
      <c r="F231" s="11" t="s">
        <v>267</v>
      </c>
      <c r="G231" s="12" t="s">
        <v>226</v>
      </c>
      <c r="H231" s="13" t="s">
        <v>227</v>
      </c>
      <c r="I231" s="14">
        <v>10</v>
      </c>
      <c r="J231" s="14" t="s">
        <v>10</v>
      </c>
      <c r="K231" s="5" t="s">
        <v>827</v>
      </c>
      <c r="L231" s="6">
        <v>0.3125</v>
      </c>
      <c r="M231" s="7" t="s">
        <v>828</v>
      </c>
      <c r="N231" s="14" t="s">
        <v>11</v>
      </c>
      <c r="O231" s="14">
        <v>10</v>
      </c>
      <c r="P231" s="13" t="s">
        <v>270</v>
      </c>
      <c r="Q231" s="12" t="s">
        <v>820</v>
      </c>
      <c r="R231" s="11" t="s">
        <v>268</v>
      </c>
      <c r="S231" s="10" t="s">
        <v>273</v>
      </c>
      <c r="T231" s="8">
        <v>0.7</v>
      </c>
      <c r="U231" s="15">
        <v>0.7</v>
      </c>
      <c r="V231" s="8">
        <v>0.5</v>
      </c>
      <c r="W231" s="17"/>
      <c r="X231" s="65">
        <v>46249</v>
      </c>
    </row>
    <row r="232" spans="1:24" ht="19.8" thickBot="1" x14ac:dyDescent="0.3">
      <c r="A232" s="4" t="s">
        <v>126</v>
      </c>
      <c r="B232" s="8">
        <v>0.6</v>
      </c>
      <c r="C232" s="15">
        <v>0.7</v>
      </c>
      <c r="D232" s="8">
        <v>0.7</v>
      </c>
      <c r="E232" s="10" t="s">
        <v>248</v>
      </c>
      <c r="F232" s="11" t="s">
        <v>246</v>
      </c>
      <c r="G232" s="12" t="s">
        <v>829</v>
      </c>
      <c r="H232" s="13" t="s">
        <v>282</v>
      </c>
      <c r="I232" s="14">
        <v>10</v>
      </c>
      <c r="J232" s="14" t="s">
        <v>10</v>
      </c>
      <c r="K232" s="5" t="s">
        <v>137</v>
      </c>
      <c r="L232" s="6">
        <v>0.3125</v>
      </c>
      <c r="M232" s="7" t="s">
        <v>830</v>
      </c>
      <c r="N232" s="14" t="s">
        <v>11</v>
      </c>
      <c r="O232" s="14">
        <v>10</v>
      </c>
      <c r="P232" s="13" t="s">
        <v>220</v>
      </c>
      <c r="Q232" s="12" t="s">
        <v>280</v>
      </c>
      <c r="R232" s="11" t="s">
        <v>220</v>
      </c>
      <c r="S232" s="10" t="s">
        <v>268</v>
      </c>
      <c r="T232" s="8">
        <v>0.9</v>
      </c>
      <c r="U232" s="9">
        <v>0.5</v>
      </c>
      <c r="V232" s="8">
        <v>0.4</v>
      </c>
      <c r="W232" s="17"/>
      <c r="X232" s="65">
        <v>46249</v>
      </c>
    </row>
    <row r="233" spans="1:24" ht="13.8" thickBot="1" x14ac:dyDescent="0.3">
      <c r="A233" s="4" t="s">
        <v>126</v>
      </c>
      <c r="B233" s="8">
        <v>0.22</v>
      </c>
      <c r="C233" s="15">
        <v>0.56000000000000005</v>
      </c>
      <c r="D233" s="8">
        <v>0.78</v>
      </c>
      <c r="E233" s="10" t="s">
        <v>334</v>
      </c>
      <c r="F233" s="11" t="s">
        <v>308</v>
      </c>
      <c r="G233" s="12" t="s">
        <v>309</v>
      </c>
      <c r="H233" s="13" t="s">
        <v>310</v>
      </c>
      <c r="I233" s="14">
        <v>9</v>
      </c>
      <c r="J233" s="14" t="s">
        <v>10</v>
      </c>
      <c r="K233" s="5" t="s">
        <v>831</v>
      </c>
      <c r="L233" s="6">
        <v>0.125</v>
      </c>
      <c r="M233" s="7" t="s">
        <v>832</v>
      </c>
      <c r="N233" s="14" t="s">
        <v>11</v>
      </c>
      <c r="O233" s="14">
        <v>9</v>
      </c>
      <c r="P233" s="13" t="s">
        <v>216</v>
      </c>
      <c r="Q233" s="12" t="s">
        <v>218</v>
      </c>
      <c r="R233" s="11" t="s">
        <v>216</v>
      </c>
      <c r="S233" s="10" t="s">
        <v>217</v>
      </c>
      <c r="T233" s="8">
        <v>0.78</v>
      </c>
      <c r="U233" s="9">
        <v>0.44</v>
      </c>
      <c r="V233" s="8">
        <v>0.22</v>
      </c>
      <c r="W233" s="17"/>
      <c r="X233" s="65">
        <v>46249</v>
      </c>
    </row>
    <row r="234" spans="1:24" ht="19.8" thickBot="1" x14ac:dyDescent="0.3">
      <c r="A234" s="4" t="s">
        <v>126</v>
      </c>
      <c r="B234" s="8">
        <v>0.33</v>
      </c>
      <c r="C234" s="15">
        <v>0.78</v>
      </c>
      <c r="D234" s="8">
        <v>0.78</v>
      </c>
      <c r="E234" s="10" t="s">
        <v>333</v>
      </c>
      <c r="F234" s="11" t="s">
        <v>228</v>
      </c>
      <c r="G234" s="12" t="s">
        <v>833</v>
      </c>
      <c r="H234" s="13" t="s">
        <v>224</v>
      </c>
      <c r="I234" s="14">
        <v>9</v>
      </c>
      <c r="J234" s="14" t="s">
        <v>10</v>
      </c>
      <c r="K234" s="5" t="s">
        <v>834</v>
      </c>
      <c r="L234" s="6">
        <v>0.125</v>
      </c>
      <c r="M234" s="7" t="s">
        <v>835</v>
      </c>
      <c r="N234" s="14" t="s">
        <v>11</v>
      </c>
      <c r="O234" s="14">
        <v>9</v>
      </c>
      <c r="P234" s="13" t="s">
        <v>310</v>
      </c>
      <c r="Q234" s="12" t="s">
        <v>226</v>
      </c>
      <c r="R234" s="11" t="s">
        <v>228</v>
      </c>
      <c r="S234" s="10" t="s">
        <v>309</v>
      </c>
      <c r="T234" s="8">
        <v>1</v>
      </c>
      <c r="U234" s="15">
        <v>1</v>
      </c>
      <c r="V234" s="8">
        <v>0.33</v>
      </c>
      <c r="W234" s="17"/>
      <c r="X234" s="65">
        <v>46249</v>
      </c>
    </row>
    <row r="235" spans="1:24" ht="19.8" thickBot="1" x14ac:dyDescent="0.3">
      <c r="A235" s="4" t="s">
        <v>126</v>
      </c>
      <c r="B235" s="8">
        <v>0.44</v>
      </c>
      <c r="C235" s="15">
        <v>0.78</v>
      </c>
      <c r="D235" s="8">
        <v>1</v>
      </c>
      <c r="E235" s="10" t="s">
        <v>306</v>
      </c>
      <c r="F235" s="11" t="s">
        <v>226</v>
      </c>
      <c r="G235" s="12" t="s">
        <v>836</v>
      </c>
      <c r="H235" s="13" t="s">
        <v>341</v>
      </c>
      <c r="I235" s="14">
        <v>9</v>
      </c>
      <c r="J235" s="14" t="s">
        <v>10</v>
      </c>
      <c r="K235" s="5" t="s">
        <v>837</v>
      </c>
      <c r="L235" s="6">
        <v>0.23958333333333334</v>
      </c>
      <c r="M235" s="7" t="s">
        <v>838</v>
      </c>
      <c r="N235" s="14" t="s">
        <v>11</v>
      </c>
      <c r="O235" s="14">
        <v>9</v>
      </c>
      <c r="P235" s="13" t="s">
        <v>839</v>
      </c>
      <c r="Q235" s="12" t="s">
        <v>840</v>
      </c>
      <c r="R235" s="11" t="s">
        <v>218</v>
      </c>
      <c r="S235" s="10" t="s">
        <v>224</v>
      </c>
      <c r="T235" s="8">
        <v>1</v>
      </c>
      <c r="U235" s="15">
        <v>0.78</v>
      </c>
      <c r="V235" s="8">
        <v>0.56000000000000005</v>
      </c>
      <c r="W235" s="17"/>
      <c r="X235" s="65">
        <v>46249</v>
      </c>
    </row>
    <row r="236" spans="1:24" ht="19.8" thickBot="1" x14ac:dyDescent="0.3">
      <c r="A236" s="4" t="s">
        <v>126</v>
      </c>
      <c r="B236" s="8">
        <v>0.28999999999999998</v>
      </c>
      <c r="C236" s="15">
        <v>0.56999999999999995</v>
      </c>
      <c r="D236" s="8">
        <v>0.86</v>
      </c>
      <c r="E236" s="10" t="s">
        <v>841</v>
      </c>
      <c r="F236" s="11" t="s">
        <v>842</v>
      </c>
      <c r="G236" s="12" t="s">
        <v>843</v>
      </c>
      <c r="H236" s="13" t="s">
        <v>217</v>
      </c>
      <c r="I236" s="14">
        <v>14</v>
      </c>
      <c r="J236" s="14" t="s">
        <v>10</v>
      </c>
      <c r="K236" s="5" t="s">
        <v>844</v>
      </c>
      <c r="L236" s="6">
        <v>0.125</v>
      </c>
      <c r="M236" s="7" t="s">
        <v>845</v>
      </c>
      <c r="N236" s="14" t="s">
        <v>11</v>
      </c>
      <c r="O236" s="14">
        <v>13</v>
      </c>
      <c r="P236" s="13" t="s">
        <v>846</v>
      </c>
      <c r="Q236" s="12" t="s">
        <v>847</v>
      </c>
      <c r="R236" s="11" t="s">
        <v>773</v>
      </c>
      <c r="S236" s="10" t="s">
        <v>848</v>
      </c>
      <c r="T236" s="8">
        <v>0.77</v>
      </c>
      <c r="U236" s="9">
        <v>0.46</v>
      </c>
      <c r="V236" s="8">
        <v>0.23</v>
      </c>
      <c r="W236" s="17"/>
      <c r="X236" s="65">
        <v>46249</v>
      </c>
    </row>
    <row r="237" spans="1:24" ht="13.8" thickBot="1" x14ac:dyDescent="0.3">
      <c r="A237" s="4" t="s">
        <v>126</v>
      </c>
      <c r="B237" s="8">
        <v>0.28999999999999998</v>
      </c>
      <c r="C237" s="9">
        <v>0.36</v>
      </c>
      <c r="D237" s="8">
        <v>0.64</v>
      </c>
      <c r="E237" s="10" t="s">
        <v>262</v>
      </c>
      <c r="F237" s="11" t="s">
        <v>256</v>
      </c>
      <c r="G237" s="12" t="s">
        <v>849</v>
      </c>
      <c r="H237" s="13" t="s">
        <v>216</v>
      </c>
      <c r="I237" s="14">
        <v>14</v>
      </c>
      <c r="J237" s="14" t="s">
        <v>10</v>
      </c>
      <c r="K237" s="5" t="s">
        <v>140</v>
      </c>
      <c r="L237" s="6">
        <v>0.20833333333333334</v>
      </c>
      <c r="M237" s="7" t="s">
        <v>850</v>
      </c>
      <c r="N237" s="14" t="s">
        <v>11</v>
      </c>
      <c r="O237" s="14">
        <v>13</v>
      </c>
      <c r="P237" s="13" t="s">
        <v>846</v>
      </c>
      <c r="Q237" s="12" t="s">
        <v>851</v>
      </c>
      <c r="R237" s="11" t="s">
        <v>846</v>
      </c>
      <c r="S237" s="10" t="s">
        <v>429</v>
      </c>
      <c r="T237" s="8">
        <v>0.54</v>
      </c>
      <c r="U237" s="9">
        <v>0.31</v>
      </c>
      <c r="V237" s="8">
        <v>0.15</v>
      </c>
      <c r="W237" s="17"/>
      <c r="X237" s="65">
        <v>46249</v>
      </c>
    </row>
    <row r="238" spans="1:24" ht="19.8" thickBot="1" x14ac:dyDescent="0.3">
      <c r="A238" s="4" t="s">
        <v>126</v>
      </c>
      <c r="B238" s="8">
        <v>0.5</v>
      </c>
      <c r="C238" s="15">
        <v>0.75</v>
      </c>
      <c r="D238" s="8">
        <v>0.92</v>
      </c>
      <c r="E238" s="10" t="s">
        <v>225</v>
      </c>
      <c r="F238" s="11" t="s">
        <v>217</v>
      </c>
      <c r="G238" s="12" t="s">
        <v>346</v>
      </c>
      <c r="H238" s="13" t="s">
        <v>310</v>
      </c>
      <c r="I238" s="14">
        <v>12</v>
      </c>
      <c r="J238" s="14" t="s">
        <v>10</v>
      </c>
      <c r="K238" s="5" t="s">
        <v>852</v>
      </c>
      <c r="L238" s="6">
        <v>0.20833333333333334</v>
      </c>
      <c r="M238" s="7" t="s">
        <v>853</v>
      </c>
      <c r="N238" s="14" t="s">
        <v>11</v>
      </c>
      <c r="O238" s="14">
        <v>14</v>
      </c>
      <c r="P238" s="13" t="s">
        <v>352</v>
      </c>
      <c r="Q238" s="12" t="s">
        <v>854</v>
      </c>
      <c r="R238" s="11" t="s">
        <v>290</v>
      </c>
      <c r="S238" s="10" t="s">
        <v>855</v>
      </c>
      <c r="T238" s="8">
        <v>0.64</v>
      </c>
      <c r="U238" s="9">
        <v>0.43</v>
      </c>
      <c r="V238" s="8">
        <v>0.14000000000000001</v>
      </c>
      <c r="W238" s="17"/>
      <c r="X238" s="65">
        <v>46249</v>
      </c>
    </row>
    <row r="239" spans="1:24" ht="19.8" thickBot="1" x14ac:dyDescent="0.3">
      <c r="A239" s="4" t="s">
        <v>126</v>
      </c>
      <c r="B239" s="8">
        <v>0.38</v>
      </c>
      <c r="C239" s="15">
        <v>0.69</v>
      </c>
      <c r="D239" s="8">
        <v>1</v>
      </c>
      <c r="E239" s="10" t="s">
        <v>250</v>
      </c>
      <c r="F239" s="11" t="s">
        <v>295</v>
      </c>
      <c r="G239" s="12" t="s">
        <v>856</v>
      </c>
      <c r="H239" s="13" t="s">
        <v>847</v>
      </c>
      <c r="I239" s="14">
        <v>13</v>
      </c>
      <c r="J239" s="14" t="s">
        <v>10</v>
      </c>
      <c r="K239" s="5" t="s">
        <v>857</v>
      </c>
      <c r="L239" s="6">
        <v>0.25</v>
      </c>
      <c r="M239" s="7" t="s">
        <v>858</v>
      </c>
      <c r="N239" s="14" t="s">
        <v>11</v>
      </c>
      <c r="O239" s="14">
        <v>12</v>
      </c>
      <c r="P239" s="13" t="s">
        <v>788</v>
      </c>
      <c r="Q239" s="12" t="s">
        <v>246</v>
      </c>
      <c r="R239" s="11" t="s">
        <v>251</v>
      </c>
      <c r="S239" s="10" t="s">
        <v>851</v>
      </c>
      <c r="T239" s="8">
        <v>0.75</v>
      </c>
      <c r="U239" s="15">
        <v>0.57999999999999996</v>
      </c>
      <c r="V239" s="8">
        <v>0.42</v>
      </c>
      <c r="W239" s="17"/>
      <c r="X239" s="65">
        <v>46249</v>
      </c>
    </row>
    <row r="240" spans="1:24" ht="19.8" thickBot="1" x14ac:dyDescent="0.3">
      <c r="A240" s="4" t="s">
        <v>126</v>
      </c>
      <c r="B240" s="8">
        <v>0</v>
      </c>
      <c r="C240" s="9">
        <v>0</v>
      </c>
      <c r="D240" s="8">
        <v>1</v>
      </c>
      <c r="E240" s="10" t="s">
        <v>217</v>
      </c>
      <c r="F240" s="11" t="s">
        <v>217</v>
      </c>
      <c r="G240" s="12" t="s">
        <v>216</v>
      </c>
      <c r="H240" s="13" t="s">
        <v>217</v>
      </c>
      <c r="I240" s="14">
        <v>1</v>
      </c>
      <c r="J240" s="14" t="s">
        <v>10</v>
      </c>
      <c r="K240" s="5" t="s">
        <v>859</v>
      </c>
      <c r="L240" s="6">
        <v>0.54166666666666663</v>
      </c>
      <c r="M240" s="7" t="s">
        <v>860</v>
      </c>
      <c r="N240" s="14" t="s">
        <v>11</v>
      </c>
      <c r="O240" s="64"/>
      <c r="P240" s="63"/>
      <c r="Q240" s="63"/>
      <c r="R240" s="63"/>
      <c r="S240" s="63"/>
      <c r="T240" s="63"/>
      <c r="U240" s="63"/>
      <c r="V240" s="63"/>
      <c r="W240" s="17"/>
      <c r="X240" s="65">
        <v>46249</v>
      </c>
    </row>
    <row r="241" spans="1:24" ht="13.8" thickBot="1" x14ac:dyDescent="0.3">
      <c r="A241" s="4" t="s">
        <v>126</v>
      </c>
      <c r="B241" s="63"/>
      <c r="C241" s="63"/>
      <c r="D241" s="63"/>
      <c r="E241" s="63"/>
      <c r="F241" s="63"/>
      <c r="G241" s="63"/>
      <c r="H241" s="63"/>
      <c r="I241" s="64"/>
      <c r="J241" s="14" t="s">
        <v>10</v>
      </c>
      <c r="K241" s="5" t="s">
        <v>861</v>
      </c>
      <c r="L241" s="6">
        <v>0.64583333333333337</v>
      </c>
      <c r="M241" s="7" t="s">
        <v>862</v>
      </c>
      <c r="N241" s="14" t="s">
        <v>11</v>
      </c>
      <c r="O241" s="14">
        <v>1</v>
      </c>
      <c r="P241" s="13" t="s">
        <v>219</v>
      </c>
      <c r="Q241" s="12" t="s">
        <v>217</v>
      </c>
      <c r="R241" s="11" t="s">
        <v>219</v>
      </c>
      <c r="S241" s="10" t="s">
        <v>217</v>
      </c>
      <c r="T241" s="8">
        <v>0</v>
      </c>
      <c r="U241" s="9">
        <v>0</v>
      </c>
      <c r="V241" s="8">
        <v>0</v>
      </c>
      <c r="W241" s="17"/>
      <c r="X241" s="65">
        <v>46249</v>
      </c>
    </row>
    <row r="242" spans="1:24" ht="13.8" thickBot="1" x14ac:dyDescent="0.3">
      <c r="A242" s="4" t="s">
        <v>126</v>
      </c>
      <c r="B242" s="8">
        <v>0</v>
      </c>
      <c r="C242" s="9">
        <v>0</v>
      </c>
      <c r="D242" s="8">
        <v>0</v>
      </c>
      <c r="E242" s="10" t="s">
        <v>219</v>
      </c>
      <c r="F242" s="11" t="s">
        <v>217</v>
      </c>
      <c r="G242" s="12" t="s">
        <v>217</v>
      </c>
      <c r="H242" s="13" t="s">
        <v>218</v>
      </c>
      <c r="I242" s="14">
        <v>1</v>
      </c>
      <c r="J242" s="14" t="s">
        <v>10</v>
      </c>
      <c r="K242" s="5" t="s">
        <v>863</v>
      </c>
      <c r="L242" s="6">
        <v>0.5625</v>
      </c>
      <c r="M242" s="7" t="s">
        <v>864</v>
      </c>
      <c r="N242" s="14" t="s">
        <v>11</v>
      </c>
      <c r="O242" s="14">
        <v>1</v>
      </c>
      <c r="P242" s="13" t="s">
        <v>217</v>
      </c>
      <c r="Q242" s="12" t="s">
        <v>216</v>
      </c>
      <c r="R242" s="11" t="s">
        <v>217</v>
      </c>
      <c r="S242" s="10" t="s">
        <v>217</v>
      </c>
      <c r="T242" s="8">
        <v>1</v>
      </c>
      <c r="U242" s="9">
        <v>0</v>
      </c>
      <c r="V242" s="8">
        <v>0</v>
      </c>
      <c r="W242" s="17"/>
      <c r="X242" s="65">
        <v>46249</v>
      </c>
    </row>
    <row r="243" spans="1:24" ht="19.8" thickBot="1" x14ac:dyDescent="0.3">
      <c r="A243" s="4" t="s">
        <v>126</v>
      </c>
      <c r="B243" s="8">
        <v>1</v>
      </c>
      <c r="C243" s="15">
        <v>1</v>
      </c>
      <c r="D243" s="8">
        <v>1</v>
      </c>
      <c r="E243" s="10" t="s">
        <v>216</v>
      </c>
      <c r="F243" s="11" t="s">
        <v>226</v>
      </c>
      <c r="G243" s="12" t="s">
        <v>238</v>
      </c>
      <c r="H243" s="13" t="s">
        <v>218</v>
      </c>
      <c r="I243" s="14">
        <v>1</v>
      </c>
      <c r="J243" s="14" t="s">
        <v>10</v>
      </c>
      <c r="K243" s="5" t="s">
        <v>865</v>
      </c>
      <c r="L243" s="6">
        <v>0.5625</v>
      </c>
      <c r="M243" s="7" t="s">
        <v>866</v>
      </c>
      <c r="N243" s="14" t="s">
        <v>11</v>
      </c>
      <c r="O243" s="14">
        <v>1</v>
      </c>
      <c r="P243" s="13" t="s">
        <v>219</v>
      </c>
      <c r="Q243" s="12" t="s">
        <v>218</v>
      </c>
      <c r="R243" s="11" t="s">
        <v>217</v>
      </c>
      <c r="S243" s="10" t="s">
        <v>216</v>
      </c>
      <c r="T243" s="8">
        <v>1</v>
      </c>
      <c r="U243" s="15">
        <v>1</v>
      </c>
      <c r="V243" s="8">
        <v>0</v>
      </c>
      <c r="W243" s="17"/>
      <c r="X243" s="65">
        <v>46249</v>
      </c>
    </row>
    <row r="244" spans="1:24" ht="19.8" thickBot="1" x14ac:dyDescent="0.3">
      <c r="A244" s="4" t="s">
        <v>126</v>
      </c>
      <c r="B244" s="8">
        <v>0</v>
      </c>
      <c r="C244" s="15">
        <v>1</v>
      </c>
      <c r="D244" s="8">
        <v>1</v>
      </c>
      <c r="E244" s="10" t="s">
        <v>218</v>
      </c>
      <c r="F244" s="11" t="s">
        <v>219</v>
      </c>
      <c r="G244" s="12" t="s">
        <v>218</v>
      </c>
      <c r="H244" s="13" t="s">
        <v>219</v>
      </c>
      <c r="I244" s="14">
        <v>1</v>
      </c>
      <c r="J244" s="14" t="s">
        <v>10</v>
      </c>
      <c r="K244" s="5" t="s">
        <v>867</v>
      </c>
      <c r="L244" s="6">
        <v>0.60416666666666663</v>
      </c>
      <c r="M244" s="7" t="s">
        <v>868</v>
      </c>
      <c r="N244" s="14" t="s">
        <v>11</v>
      </c>
      <c r="O244" s="14">
        <v>1</v>
      </c>
      <c r="P244" s="13" t="s">
        <v>218</v>
      </c>
      <c r="Q244" s="12" t="s">
        <v>216</v>
      </c>
      <c r="R244" s="11" t="s">
        <v>216</v>
      </c>
      <c r="S244" s="10" t="s">
        <v>219</v>
      </c>
      <c r="T244" s="8">
        <v>1</v>
      </c>
      <c r="U244" s="9">
        <v>0</v>
      </c>
      <c r="V244" s="8">
        <v>0</v>
      </c>
      <c r="W244" s="17"/>
      <c r="X244" s="65">
        <v>46249</v>
      </c>
    </row>
    <row r="245" spans="1:24" ht="13.8" thickBot="1" x14ac:dyDescent="0.3">
      <c r="A245" s="4" t="s">
        <v>126</v>
      </c>
      <c r="B245" s="8">
        <v>1</v>
      </c>
      <c r="C245" s="15">
        <v>1</v>
      </c>
      <c r="D245" s="8">
        <v>1</v>
      </c>
      <c r="E245" s="10" t="s">
        <v>226</v>
      </c>
      <c r="F245" s="11" t="s">
        <v>219</v>
      </c>
      <c r="G245" s="12" t="s">
        <v>226</v>
      </c>
      <c r="H245" s="13" t="s">
        <v>219</v>
      </c>
      <c r="I245" s="14">
        <v>1</v>
      </c>
      <c r="J245" s="14" t="s">
        <v>10</v>
      </c>
      <c r="K245" s="5" t="s">
        <v>869</v>
      </c>
      <c r="L245" s="6">
        <v>0.60416666666666663</v>
      </c>
      <c r="M245" s="7" t="s">
        <v>870</v>
      </c>
      <c r="N245" s="14" t="s">
        <v>11</v>
      </c>
      <c r="O245" s="14">
        <v>1</v>
      </c>
      <c r="P245" s="13" t="s">
        <v>219</v>
      </c>
      <c r="Q245" s="12" t="s">
        <v>218</v>
      </c>
      <c r="R245" s="11" t="s">
        <v>219</v>
      </c>
      <c r="S245" s="10" t="s">
        <v>218</v>
      </c>
      <c r="T245" s="8">
        <v>1</v>
      </c>
      <c r="U245" s="15">
        <v>1</v>
      </c>
      <c r="V245" s="8">
        <v>0</v>
      </c>
      <c r="W245" s="17"/>
      <c r="X245" s="65">
        <v>46249</v>
      </c>
    </row>
    <row r="246" spans="1:24" ht="13.8" thickBot="1" x14ac:dyDescent="0.3">
      <c r="A246" s="4" t="s">
        <v>126</v>
      </c>
      <c r="B246" s="8">
        <v>0</v>
      </c>
      <c r="C246" s="9">
        <v>0</v>
      </c>
      <c r="D246" s="8">
        <v>1</v>
      </c>
      <c r="E246" s="10" t="s">
        <v>217</v>
      </c>
      <c r="F246" s="11" t="s">
        <v>217</v>
      </c>
      <c r="G246" s="12" t="s">
        <v>216</v>
      </c>
      <c r="H246" s="13" t="s">
        <v>217</v>
      </c>
      <c r="I246" s="14">
        <v>1</v>
      </c>
      <c r="J246" s="14" t="s">
        <v>10</v>
      </c>
      <c r="K246" s="5" t="s">
        <v>871</v>
      </c>
      <c r="L246" s="6">
        <v>0.60416666666666663</v>
      </c>
      <c r="M246" s="7" t="s">
        <v>872</v>
      </c>
      <c r="N246" s="14" t="s">
        <v>11</v>
      </c>
      <c r="O246" s="14">
        <v>1</v>
      </c>
      <c r="P246" s="13" t="s">
        <v>219</v>
      </c>
      <c r="Q246" s="12" t="s">
        <v>278</v>
      </c>
      <c r="R246" s="11" t="s">
        <v>219</v>
      </c>
      <c r="S246" s="10" t="s">
        <v>278</v>
      </c>
      <c r="T246" s="8">
        <v>1</v>
      </c>
      <c r="U246" s="15">
        <v>1</v>
      </c>
      <c r="V246" s="8">
        <v>1</v>
      </c>
      <c r="W246" s="17"/>
      <c r="X246" s="65">
        <v>46249</v>
      </c>
    </row>
    <row r="247" spans="1:24" ht="13.8" thickBot="1" x14ac:dyDescent="0.3">
      <c r="A247" s="4" t="s">
        <v>438</v>
      </c>
      <c r="B247" s="63"/>
      <c r="C247" s="63"/>
      <c r="D247" s="63"/>
      <c r="E247" s="63"/>
      <c r="F247" s="63"/>
      <c r="G247" s="63"/>
      <c r="H247" s="63"/>
      <c r="I247" s="64"/>
      <c r="J247" s="14" t="s">
        <v>10</v>
      </c>
      <c r="K247" s="5" t="s">
        <v>873</v>
      </c>
      <c r="L247" s="6">
        <v>0.52083333333333337</v>
      </c>
      <c r="M247" s="7" t="s">
        <v>874</v>
      </c>
      <c r="N247" s="14" t="s">
        <v>11</v>
      </c>
      <c r="O247" s="64"/>
      <c r="P247" s="63"/>
      <c r="Q247" s="63"/>
      <c r="R247" s="63"/>
      <c r="S247" s="63"/>
      <c r="T247" s="63"/>
      <c r="U247" s="63"/>
      <c r="V247" s="63"/>
      <c r="W247" s="17"/>
      <c r="X247" s="65">
        <v>46249</v>
      </c>
    </row>
    <row r="248" spans="1:24" ht="13.8" thickBot="1" x14ac:dyDescent="0.3">
      <c r="A248" s="4" t="s">
        <v>438</v>
      </c>
      <c r="B248" s="63"/>
      <c r="C248" s="63"/>
      <c r="D248" s="63"/>
      <c r="E248" s="63"/>
      <c r="F248" s="63"/>
      <c r="G248" s="63"/>
      <c r="H248" s="63"/>
      <c r="I248" s="64"/>
      <c r="J248" s="14" t="s">
        <v>10</v>
      </c>
      <c r="K248" s="5" t="s">
        <v>440</v>
      </c>
      <c r="L248" s="6">
        <v>0.61458333333333337</v>
      </c>
      <c r="M248" s="7" t="s">
        <v>439</v>
      </c>
      <c r="N248" s="14" t="s">
        <v>11</v>
      </c>
      <c r="O248" s="64"/>
      <c r="P248" s="63"/>
      <c r="Q248" s="63"/>
      <c r="R248" s="63"/>
      <c r="S248" s="63"/>
      <c r="T248" s="63"/>
      <c r="U248" s="63"/>
      <c r="V248" s="63"/>
      <c r="W248" s="17"/>
      <c r="X248" s="65">
        <v>46249</v>
      </c>
    </row>
    <row r="249" spans="1:24" ht="13.8" thickBot="1" x14ac:dyDescent="0.3">
      <c r="A249" s="4" t="s">
        <v>289</v>
      </c>
      <c r="B249" s="8">
        <v>0.22</v>
      </c>
      <c r="C249" s="9">
        <v>0.33</v>
      </c>
      <c r="D249" s="8">
        <v>0.78</v>
      </c>
      <c r="E249" s="10" t="s">
        <v>217</v>
      </c>
      <c r="F249" s="11" t="s">
        <v>232</v>
      </c>
      <c r="G249" s="12" t="s">
        <v>839</v>
      </c>
      <c r="H249" s="13" t="s">
        <v>229</v>
      </c>
      <c r="I249" s="14">
        <v>9</v>
      </c>
      <c r="J249" s="14" t="s">
        <v>10</v>
      </c>
      <c r="K249" s="5" t="s">
        <v>875</v>
      </c>
      <c r="L249" s="6">
        <v>0.4236111111111111</v>
      </c>
      <c r="M249" s="7" t="s">
        <v>876</v>
      </c>
      <c r="N249" s="14" t="s">
        <v>11</v>
      </c>
      <c r="O249" s="14">
        <v>7</v>
      </c>
      <c r="P249" s="13" t="s">
        <v>877</v>
      </c>
      <c r="Q249" s="12" t="s">
        <v>878</v>
      </c>
      <c r="R249" s="11" t="s">
        <v>290</v>
      </c>
      <c r="S249" s="10" t="s">
        <v>879</v>
      </c>
      <c r="T249" s="8">
        <v>1</v>
      </c>
      <c r="U249" s="15">
        <v>0.86</v>
      </c>
      <c r="V249" s="8">
        <v>0.71</v>
      </c>
      <c r="W249" s="17"/>
      <c r="X249" s="65">
        <v>46249</v>
      </c>
    </row>
    <row r="250" spans="1:24" ht="19.8" thickBot="1" x14ac:dyDescent="0.3">
      <c r="A250" s="4" t="s">
        <v>289</v>
      </c>
      <c r="B250" s="8">
        <v>0.25</v>
      </c>
      <c r="C250" s="9">
        <v>0.5</v>
      </c>
      <c r="D250" s="8">
        <v>0.62</v>
      </c>
      <c r="E250" s="10" t="s">
        <v>294</v>
      </c>
      <c r="F250" s="11" t="s">
        <v>294</v>
      </c>
      <c r="G250" s="12" t="s">
        <v>225</v>
      </c>
      <c r="H250" s="13" t="s">
        <v>293</v>
      </c>
      <c r="I250" s="14">
        <v>8</v>
      </c>
      <c r="J250" s="14" t="s">
        <v>10</v>
      </c>
      <c r="K250" s="5" t="s">
        <v>880</v>
      </c>
      <c r="L250" s="6">
        <v>0.54166666666666663</v>
      </c>
      <c r="M250" s="7" t="s">
        <v>881</v>
      </c>
      <c r="N250" s="14" t="s">
        <v>11</v>
      </c>
      <c r="O250" s="14">
        <v>8</v>
      </c>
      <c r="P250" s="13" t="s">
        <v>239</v>
      </c>
      <c r="Q250" s="12" t="s">
        <v>225</v>
      </c>
      <c r="R250" s="11" t="s">
        <v>217</v>
      </c>
      <c r="S250" s="10" t="s">
        <v>293</v>
      </c>
      <c r="T250" s="8">
        <v>0.75</v>
      </c>
      <c r="U250" s="15">
        <v>0.62</v>
      </c>
      <c r="V250" s="8">
        <v>0</v>
      </c>
      <c r="W250" s="17"/>
      <c r="X250" s="65">
        <v>46249</v>
      </c>
    </row>
    <row r="251" spans="1:24" ht="13.8" thickBot="1" x14ac:dyDescent="0.3">
      <c r="A251" s="4" t="s">
        <v>289</v>
      </c>
      <c r="B251" s="8">
        <v>0.14000000000000001</v>
      </c>
      <c r="C251" s="15">
        <v>0.56999999999999995</v>
      </c>
      <c r="D251" s="8">
        <v>0.71</v>
      </c>
      <c r="E251" s="10" t="s">
        <v>842</v>
      </c>
      <c r="F251" s="11" t="s">
        <v>217</v>
      </c>
      <c r="G251" s="12" t="s">
        <v>354</v>
      </c>
      <c r="H251" s="13" t="s">
        <v>882</v>
      </c>
      <c r="I251" s="14">
        <v>7</v>
      </c>
      <c r="J251" s="14" t="s">
        <v>10</v>
      </c>
      <c r="K251" s="5" t="s">
        <v>883</v>
      </c>
      <c r="L251" s="6">
        <v>0.625</v>
      </c>
      <c r="M251" s="7" t="s">
        <v>884</v>
      </c>
      <c r="N251" s="14" t="s">
        <v>11</v>
      </c>
      <c r="O251" s="14">
        <v>9</v>
      </c>
      <c r="P251" s="13" t="s">
        <v>224</v>
      </c>
      <c r="Q251" s="12" t="s">
        <v>333</v>
      </c>
      <c r="R251" s="11" t="s">
        <v>217</v>
      </c>
      <c r="S251" s="10" t="s">
        <v>228</v>
      </c>
      <c r="T251" s="8">
        <v>0.78</v>
      </c>
      <c r="U251" s="9">
        <v>0.33</v>
      </c>
      <c r="V251" s="8">
        <v>0</v>
      </c>
      <c r="W251" s="17"/>
      <c r="X251" s="65">
        <v>46249</v>
      </c>
    </row>
    <row r="252" spans="1:24" ht="19.8" thickBot="1" x14ac:dyDescent="0.3">
      <c r="A252" s="4" t="s">
        <v>289</v>
      </c>
      <c r="B252" s="63"/>
      <c r="C252" s="63"/>
      <c r="D252" s="63"/>
      <c r="E252" s="63"/>
      <c r="F252" s="63"/>
      <c r="G252" s="63"/>
      <c r="H252" s="63"/>
      <c r="I252" s="64"/>
      <c r="J252" s="14" t="s">
        <v>10</v>
      </c>
      <c r="K252" s="5" t="s">
        <v>885</v>
      </c>
      <c r="L252" s="6">
        <v>0.5</v>
      </c>
      <c r="M252" s="7" t="s">
        <v>886</v>
      </c>
      <c r="N252" s="14" t="s">
        <v>11</v>
      </c>
      <c r="O252" s="64"/>
      <c r="P252" s="63"/>
      <c r="Q252" s="63"/>
      <c r="R252" s="63"/>
      <c r="S252" s="63"/>
      <c r="T252" s="63"/>
      <c r="U252" s="63"/>
      <c r="V252" s="63"/>
      <c r="W252" s="17"/>
      <c r="X252" s="65">
        <v>46249</v>
      </c>
    </row>
    <row r="253" spans="1:24" ht="13.8" thickBot="1" x14ac:dyDescent="0.3">
      <c r="A253" s="4" t="s">
        <v>289</v>
      </c>
      <c r="B253" s="63"/>
      <c r="C253" s="63"/>
      <c r="D253" s="63"/>
      <c r="E253" s="63"/>
      <c r="F253" s="63"/>
      <c r="G253" s="63"/>
      <c r="H253" s="63"/>
      <c r="I253" s="64"/>
      <c r="J253" s="14" t="s">
        <v>10</v>
      </c>
      <c r="K253" s="5" t="s">
        <v>887</v>
      </c>
      <c r="L253" s="6">
        <v>0.59375</v>
      </c>
      <c r="M253" s="7" t="s">
        <v>888</v>
      </c>
      <c r="N253" s="14" t="s">
        <v>11</v>
      </c>
      <c r="O253" s="64"/>
      <c r="P253" s="63"/>
      <c r="Q253" s="63"/>
      <c r="R253" s="63"/>
      <c r="S253" s="63"/>
      <c r="T253" s="63"/>
      <c r="U253" s="63"/>
      <c r="V253" s="63"/>
      <c r="W253" s="17"/>
      <c r="X253" s="65">
        <v>46249</v>
      </c>
    </row>
    <row r="254" spans="1:24" ht="13.8" thickBot="1" x14ac:dyDescent="0.3">
      <c r="A254" s="4" t="s">
        <v>289</v>
      </c>
      <c r="B254" s="63"/>
      <c r="C254" s="63"/>
      <c r="D254" s="63"/>
      <c r="E254" s="63"/>
      <c r="F254" s="63"/>
      <c r="G254" s="63"/>
      <c r="H254" s="63"/>
      <c r="I254" s="64"/>
      <c r="J254" s="14" t="s">
        <v>10</v>
      </c>
      <c r="K254" s="5" t="s">
        <v>889</v>
      </c>
      <c r="L254" s="6">
        <v>0.69791666666666663</v>
      </c>
      <c r="M254" s="7" t="s">
        <v>890</v>
      </c>
      <c r="N254" s="14" t="s">
        <v>11</v>
      </c>
      <c r="O254" s="64"/>
      <c r="P254" s="63"/>
      <c r="Q254" s="63"/>
      <c r="R254" s="63"/>
      <c r="S254" s="63"/>
      <c r="T254" s="63"/>
      <c r="U254" s="63"/>
      <c r="V254" s="63"/>
      <c r="W254" s="17"/>
      <c r="X254" s="65">
        <v>46249</v>
      </c>
    </row>
    <row r="255" spans="1:24" ht="13.8" thickBot="1" x14ac:dyDescent="0.3">
      <c r="A255" s="4" t="s">
        <v>289</v>
      </c>
      <c r="B255" s="63"/>
      <c r="C255" s="63"/>
      <c r="D255" s="63"/>
      <c r="E255" s="63"/>
      <c r="F255" s="63"/>
      <c r="G255" s="63"/>
      <c r="H255" s="63"/>
      <c r="I255" s="64"/>
      <c r="J255" s="14" t="s">
        <v>10</v>
      </c>
      <c r="K255" s="5" t="s">
        <v>891</v>
      </c>
      <c r="L255" s="6">
        <v>0.69791666666666663</v>
      </c>
      <c r="M255" s="7" t="s">
        <v>892</v>
      </c>
      <c r="N255" s="14" t="s">
        <v>11</v>
      </c>
      <c r="O255" s="64"/>
      <c r="P255" s="63"/>
      <c r="Q255" s="63"/>
      <c r="R255" s="63"/>
      <c r="S255" s="63"/>
      <c r="T255" s="63"/>
      <c r="U255" s="63"/>
      <c r="V255" s="63"/>
      <c r="W255" s="17"/>
      <c r="X255" s="65">
        <v>46249</v>
      </c>
    </row>
    <row r="256" spans="1:24" ht="13.8" thickBot="1" x14ac:dyDescent="0.3">
      <c r="A256" s="4" t="s">
        <v>289</v>
      </c>
      <c r="B256" s="63"/>
      <c r="C256" s="63"/>
      <c r="D256" s="63"/>
      <c r="E256" s="63"/>
      <c r="F256" s="63"/>
      <c r="G256" s="63"/>
      <c r="H256" s="63"/>
      <c r="I256" s="64"/>
      <c r="J256" s="14" t="s">
        <v>10</v>
      </c>
      <c r="K256" s="5" t="s">
        <v>893</v>
      </c>
      <c r="L256" s="6">
        <v>0.5</v>
      </c>
      <c r="M256" s="7" t="s">
        <v>894</v>
      </c>
      <c r="N256" s="14" t="s">
        <v>11</v>
      </c>
      <c r="O256" s="64"/>
      <c r="P256" s="63"/>
      <c r="Q256" s="63"/>
      <c r="R256" s="63"/>
      <c r="S256" s="63"/>
      <c r="T256" s="63"/>
      <c r="U256" s="63"/>
      <c r="V256" s="63"/>
      <c r="W256" s="17"/>
      <c r="X256" s="65">
        <v>46249</v>
      </c>
    </row>
    <row r="257" spans="1:24" ht="13.8" thickBot="1" x14ac:dyDescent="0.3">
      <c r="A257" s="4" t="s">
        <v>289</v>
      </c>
      <c r="B257" s="63"/>
      <c r="C257" s="63"/>
      <c r="D257" s="63"/>
      <c r="E257" s="63"/>
      <c r="F257" s="63"/>
      <c r="G257" s="63"/>
      <c r="H257" s="63"/>
      <c r="I257" s="64"/>
      <c r="J257" s="14" t="s">
        <v>10</v>
      </c>
      <c r="K257" s="5" t="s">
        <v>895</v>
      </c>
      <c r="L257" s="6">
        <v>0.5</v>
      </c>
      <c r="M257" s="7" t="s">
        <v>896</v>
      </c>
      <c r="N257" s="14" t="s">
        <v>11</v>
      </c>
      <c r="O257" s="64"/>
      <c r="P257" s="63"/>
      <c r="Q257" s="63"/>
      <c r="R257" s="63"/>
      <c r="S257" s="63"/>
      <c r="T257" s="63"/>
      <c r="U257" s="63"/>
      <c r="V257" s="63"/>
      <c r="W257" s="17"/>
      <c r="X257" s="65">
        <v>46249</v>
      </c>
    </row>
    <row r="258" spans="1:24" ht="13.8" thickBot="1" x14ac:dyDescent="0.3">
      <c r="A258" s="4" t="s">
        <v>289</v>
      </c>
      <c r="B258" s="63"/>
      <c r="C258" s="63"/>
      <c r="D258" s="63"/>
      <c r="E258" s="63"/>
      <c r="F258" s="63"/>
      <c r="G258" s="63"/>
      <c r="H258" s="63"/>
      <c r="I258" s="64"/>
      <c r="J258" s="14" t="s">
        <v>10</v>
      </c>
      <c r="K258" s="5" t="s">
        <v>897</v>
      </c>
      <c r="L258" s="6">
        <v>0.66666666666666663</v>
      </c>
      <c r="M258" s="7" t="s">
        <v>898</v>
      </c>
      <c r="N258" s="14" t="s">
        <v>11</v>
      </c>
      <c r="O258" s="64"/>
      <c r="P258" s="63"/>
      <c r="Q258" s="63"/>
      <c r="R258" s="63"/>
      <c r="S258" s="63"/>
      <c r="T258" s="63"/>
      <c r="U258" s="63"/>
      <c r="V258" s="63"/>
      <c r="W258" s="17"/>
      <c r="X258" s="65">
        <v>46249</v>
      </c>
    </row>
    <row r="259" spans="1:24" ht="13.8" thickBot="1" x14ac:dyDescent="0.3">
      <c r="A259" s="4" t="s">
        <v>90</v>
      </c>
      <c r="B259" s="8">
        <v>0.27</v>
      </c>
      <c r="C259" s="15">
        <v>0.64</v>
      </c>
      <c r="D259" s="8">
        <v>0.73</v>
      </c>
      <c r="E259" s="10" t="s">
        <v>217</v>
      </c>
      <c r="F259" s="11" t="s">
        <v>256</v>
      </c>
      <c r="G259" s="12" t="s">
        <v>796</v>
      </c>
      <c r="H259" s="13" t="s">
        <v>314</v>
      </c>
      <c r="I259" s="14">
        <v>11</v>
      </c>
      <c r="J259" s="14" t="s">
        <v>10</v>
      </c>
      <c r="K259" s="5" t="s">
        <v>143</v>
      </c>
      <c r="L259" s="6">
        <v>0.72916666666666663</v>
      </c>
      <c r="M259" s="7" t="s">
        <v>899</v>
      </c>
      <c r="N259" s="14" t="s">
        <v>11</v>
      </c>
      <c r="O259" s="14">
        <v>11</v>
      </c>
      <c r="P259" s="13" t="s">
        <v>314</v>
      </c>
      <c r="Q259" s="12" t="s">
        <v>796</v>
      </c>
      <c r="R259" s="11" t="s">
        <v>311</v>
      </c>
      <c r="S259" s="10" t="s">
        <v>298</v>
      </c>
      <c r="T259" s="8">
        <v>0.73</v>
      </c>
      <c r="U259" s="15">
        <v>0.64</v>
      </c>
      <c r="V259" s="8">
        <v>0.36</v>
      </c>
      <c r="W259" s="17"/>
      <c r="X259" s="65">
        <v>46249</v>
      </c>
    </row>
    <row r="260" spans="1:24" ht="13.8" thickBot="1" x14ac:dyDescent="0.3">
      <c r="A260" s="4" t="s">
        <v>90</v>
      </c>
      <c r="B260" s="8">
        <v>0.18</v>
      </c>
      <c r="C260" s="9">
        <v>0.36</v>
      </c>
      <c r="D260" s="8">
        <v>0.73</v>
      </c>
      <c r="E260" s="10" t="s">
        <v>300</v>
      </c>
      <c r="F260" s="11" t="s">
        <v>259</v>
      </c>
      <c r="G260" s="12" t="s">
        <v>261</v>
      </c>
      <c r="H260" s="13" t="s">
        <v>299</v>
      </c>
      <c r="I260" s="14">
        <v>11</v>
      </c>
      <c r="J260" s="14" t="s">
        <v>10</v>
      </c>
      <c r="K260" s="5" t="s">
        <v>900</v>
      </c>
      <c r="L260" s="6">
        <v>0.8125</v>
      </c>
      <c r="M260" s="7" t="s">
        <v>144</v>
      </c>
      <c r="N260" s="14" t="s">
        <v>11</v>
      </c>
      <c r="O260" s="14">
        <v>10</v>
      </c>
      <c r="P260" s="13" t="s">
        <v>227</v>
      </c>
      <c r="Q260" s="12" t="s">
        <v>233</v>
      </c>
      <c r="R260" s="11" t="s">
        <v>217</v>
      </c>
      <c r="S260" s="10" t="s">
        <v>274</v>
      </c>
      <c r="T260" s="8">
        <v>0.8</v>
      </c>
      <c r="U260" s="9">
        <v>0.3</v>
      </c>
      <c r="V260" s="8">
        <v>0</v>
      </c>
      <c r="W260" s="17"/>
      <c r="X260" s="65">
        <v>46249</v>
      </c>
    </row>
    <row r="261" spans="1:24" ht="13.8" thickBot="1" x14ac:dyDescent="0.3">
      <c r="A261" s="4" t="s">
        <v>90</v>
      </c>
      <c r="B261" s="8">
        <v>0.18</v>
      </c>
      <c r="C261" s="9">
        <v>0.45</v>
      </c>
      <c r="D261" s="8">
        <v>0.64</v>
      </c>
      <c r="E261" s="10" t="s">
        <v>264</v>
      </c>
      <c r="F261" s="11" t="s">
        <v>260</v>
      </c>
      <c r="G261" s="12" t="s">
        <v>261</v>
      </c>
      <c r="H261" s="13" t="s">
        <v>259</v>
      </c>
      <c r="I261" s="14">
        <v>11</v>
      </c>
      <c r="J261" s="14" t="s">
        <v>10</v>
      </c>
      <c r="K261" s="5" t="s">
        <v>901</v>
      </c>
      <c r="L261" s="6">
        <v>0.70833333333333337</v>
      </c>
      <c r="M261" s="7" t="s">
        <v>902</v>
      </c>
      <c r="N261" s="14" t="s">
        <v>11</v>
      </c>
      <c r="O261" s="14">
        <v>11</v>
      </c>
      <c r="P261" s="13" t="s">
        <v>217</v>
      </c>
      <c r="Q261" s="12" t="s">
        <v>315</v>
      </c>
      <c r="R261" s="11" t="s">
        <v>313</v>
      </c>
      <c r="S261" s="10" t="s">
        <v>265</v>
      </c>
      <c r="T261" s="8">
        <v>0.55000000000000004</v>
      </c>
      <c r="U261" s="9">
        <v>0.27</v>
      </c>
      <c r="V261" s="8">
        <v>0.09</v>
      </c>
      <c r="W261" s="17"/>
      <c r="X261" s="65">
        <v>46249</v>
      </c>
    </row>
    <row r="262" spans="1:24" ht="13.8" thickBot="1" x14ac:dyDescent="0.3">
      <c r="A262" s="4" t="s">
        <v>90</v>
      </c>
      <c r="B262" s="8">
        <v>0.1</v>
      </c>
      <c r="C262" s="9">
        <v>0.1</v>
      </c>
      <c r="D262" s="8">
        <v>0.5</v>
      </c>
      <c r="E262" s="10" t="s">
        <v>266</v>
      </c>
      <c r="F262" s="11" t="s">
        <v>270</v>
      </c>
      <c r="G262" s="12" t="s">
        <v>268</v>
      </c>
      <c r="H262" s="13" t="s">
        <v>267</v>
      </c>
      <c r="I262" s="14">
        <v>10</v>
      </c>
      <c r="J262" s="14" t="s">
        <v>10</v>
      </c>
      <c r="K262" s="5" t="s">
        <v>903</v>
      </c>
      <c r="L262" s="6">
        <v>0.70833333333333337</v>
      </c>
      <c r="M262" s="7" t="s">
        <v>904</v>
      </c>
      <c r="N262" s="14" t="s">
        <v>11</v>
      </c>
      <c r="O262" s="14">
        <v>11</v>
      </c>
      <c r="P262" s="13" t="s">
        <v>255</v>
      </c>
      <c r="Q262" s="12" t="s">
        <v>312</v>
      </c>
      <c r="R262" s="11" t="s">
        <v>301</v>
      </c>
      <c r="S262" s="10" t="s">
        <v>260</v>
      </c>
      <c r="T262" s="8">
        <v>0.73</v>
      </c>
      <c r="U262" s="9">
        <v>0.36</v>
      </c>
      <c r="V262" s="8">
        <v>0.27</v>
      </c>
      <c r="W262" s="17"/>
      <c r="X262" s="65">
        <v>46249</v>
      </c>
    </row>
    <row r="263" spans="1:24" ht="13.8" thickBot="1" x14ac:dyDescent="0.3">
      <c r="A263" s="4" t="s">
        <v>90</v>
      </c>
      <c r="B263" s="8">
        <v>0.09</v>
      </c>
      <c r="C263" s="9">
        <v>0.36</v>
      </c>
      <c r="D263" s="8">
        <v>0.55000000000000004</v>
      </c>
      <c r="E263" s="10" t="s">
        <v>217</v>
      </c>
      <c r="F263" s="11" t="s">
        <v>301</v>
      </c>
      <c r="G263" s="12" t="s">
        <v>315</v>
      </c>
      <c r="H263" s="13" t="s">
        <v>260</v>
      </c>
      <c r="I263" s="14">
        <v>11</v>
      </c>
      <c r="J263" s="14" t="s">
        <v>10</v>
      </c>
      <c r="K263" s="5" t="s">
        <v>148</v>
      </c>
      <c r="L263" s="6">
        <v>0.8125</v>
      </c>
      <c r="M263" s="7" t="s">
        <v>150</v>
      </c>
      <c r="N263" s="14" t="s">
        <v>11</v>
      </c>
      <c r="O263" s="14">
        <v>10</v>
      </c>
      <c r="P263" s="13" t="s">
        <v>274</v>
      </c>
      <c r="Q263" s="12" t="s">
        <v>220</v>
      </c>
      <c r="R263" s="11" t="s">
        <v>816</v>
      </c>
      <c r="S263" s="10" t="s">
        <v>824</v>
      </c>
      <c r="T263" s="8">
        <v>0.5</v>
      </c>
      <c r="U263" s="9">
        <v>0.2</v>
      </c>
      <c r="V263" s="8">
        <v>0.1</v>
      </c>
      <c r="W263" s="17"/>
      <c r="X263" s="65">
        <v>46249</v>
      </c>
    </row>
    <row r="264" spans="1:24" ht="13.8" thickBot="1" x14ac:dyDescent="0.3">
      <c r="A264" s="4" t="s">
        <v>90</v>
      </c>
      <c r="B264" s="8">
        <v>0</v>
      </c>
      <c r="C264" s="9">
        <v>0.18</v>
      </c>
      <c r="D264" s="8">
        <v>0.45</v>
      </c>
      <c r="E264" s="10" t="s">
        <v>905</v>
      </c>
      <c r="F264" s="11" t="s">
        <v>260</v>
      </c>
      <c r="G264" s="12" t="s">
        <v>302</v>
      </c>
      <c r="H264" s="13" t="s">
        <v>299</v>
      </c>
      <c r="I264" s="14">
        <v>11</v>
      </c>
      <c r="J264" s="14" t="s">
        <v>10</v>
      </c>
      <c r="K264" s="5" t="s">
        <v>149</v>
      </c>
      <c r="L264" s="6">
        <v>0.8125</v>
      </c>
      <c r="M264" s="7" t="s">
        <v>906</v>
      </c>
      <c r="N264" s="14" t="s">
        <v>11</v>
      </c>
      <c r="O264" s="14">
        <v>11</v>
      </c>
      <c r="P264" s="13" t="s">
        <v>264</v>
      </c>
      <c r="Q264" s="12" t="s">
        <v>256</v>
      </c>
      <c r="R264" s="11" t="s">
        <v>300</v>
      </c>
      <c r="S264" s="10" t="s">
        <v>301</v>
      </c>
      <c r="T264" s="8">
        <v>0.45</v>
      </c>
      <c r="U264" s="9">
        <v>0.27</v>
      </c>
      <c r="V264" s="8">
        <v>0.09</v>
      </c>
      <c r="W264" s="17"/>
      <c r="X264" s="65">
        <v>46249</v>
      </c>
    </row>
    <row r="265" spans="1:24" ht="13.8" thickBot="1" x14ac:dyDescent="0.3">
      <c r="A265" s="4" t="s">
        <v>90</v>
      </c>
      <c r="B265" s="8">
        <v>0</v>
      </c>
      <c r="C265" s="9">
        <v>0.38</v>
      </c>
      <c r="D265" s="8">
        <v>0.75</v>
      </c>
      <c r="E265" s="10" t="s">
        <v>296</v>
      </c>
      <c r="F265" s="11" t="s">
        <v>293</v>
      </c>
      <c r="G265" s="12" t="s">
        <v>240</v>
      </c>
      <c r="H265" s="13" t="s">
        <v>239</v>
      </c>
      <c r="I265" s="14">
        <v>8</v>
      </c>
      <c r="J265" s="14" t="s">
        <v>10</v>
      </c>
      <c r="K265" s="5" t="s">
        <v>907</v>
      </c>
      <c r="L265" s="6">
        <v>0.75</v>
      </c>
      <c r="M265" s="7" t="s">
        <v>908</v>
      </c>
      <c r="N265" s="14" t="s">
        <v>11</v>
      </c>
      <c r="O265" s="14">
        <v>8</v>
      </c>
      <c r="P265" s="13" t="s">
        <v>293</v>
      </c>
      <c r="Q265" s="12" t="s">
        <v>329</v>
      </c>
      <c r="R265" s="11" t="s">
        <v>286</v>
      </c>
      <c r="S265" s="10" t="s">
        <v>220</v>
      </c>
      <c r="T265" s="8">
        <v>0.88</v>
      </c>
      <c r="U265" s="9">
        <v>0.5</v>
      </c>
      <c r="V265" s="8">
        <v>0.25</v>
      </c>
      <c r="W265" s="17"/>
      <c r="X265" s="65">
        <v>46249</v>
      </c>
    </row>
    <row r="266" spans="1:24" ht="19.8" thickBot="1" x14ac:dyDescent="0.3">
      <c r="A266" s="4" t="s">
        <v>90</v>
      </c>
      <c r="B266" s="8">
        <v>0.12</v>
      </c>
      <c r="C266" s="9">
        <v>0.38</v>
      </c>
      <c r="D266" s="8">
        <v>0.5</v>
      </c>
      <c r="E266" s="10" t="s">
        <v>296</v>
      </c>
      <c r="F266" s="11" t="s">
        <v>294</v>
      </c>
      <c r="G266" s="12" t="s">
        <v>216</v>
      </c>
      <c r="H266" s="13" t="s">
        <v>223</v>
      </c>
      <c r="I266" s="14">
        <v>8</v>
      </c>
      <c r="J266" s="14" t="s">
        <v>10</v>
      </c>
      <c r="K266" s="5" t="s">
        <v>909</v>
      </c>
      <c r="L266" s="6">
        <v>0.75</v>
      </c>
      <c r="M266" s="7" t="s">
        <v>910</v>
      </c>
      <c r="N266" s="14" t="s">
        <v>11</v>
      </c>
      <c r="O266" s="14">
        <v>8</v>
      </c>
      <c r="P266" s="13" t="s">
        <v>237</v>
      </c>
      <c r="Q266" s="12" t="s">
        <v>221</v>
      </c>
      <c r="R266" s="11" t="s">
        <v>296</v>
      </c>
      <c r="S266" s="10" t="s">
        <v>239</v>
      </c>
      <c r="T266" s="8">
        <v>0.75</v>
      </c>
      <c r="U266" s="9">
        <v>0.5</v>
      </c>
      <c r="V266" s="8">
        <v>0.25</v>
      </c>
      <c r="W266" s="17"/>
      <c r="X266" s="65">
        <v>46249</v>
      </c>
    </row>
    <row r="267" spans="1:24" ht="13.8" thickBot="1" x14ac:dyDescent="0.3">
      <c r="A267" s="4" t="s">
        <v>90</v>
      </c>
      <c r="B267" s="8">
        <v>0.12</v>
      </c>
      <c r="C267" s="15">
        <v>0.62</v>
      </c>
      <c r="D267" s="8">
        <v>0.62</v>
      </c>
      <c r="E267" s="10" t="s">
        <v>237</v>
      </c>
      <c r="F267" s="11" t="s">
        <v>223</v>
      </c>
      <c r="G267" s="12" t="s">
        <v>295</v>
      </c>
      <c r="H267" s="13" t="s">
        <v>911</v>
      </c>
      <c r="I267" s="14">
        <v>8</v>
      </c>
      <c r="J267" s="14" t="s">
        <v>10</v>
      </c>
      <c r="K267" s="5" t="s">
        <v>912</v>
      </c>
      <c r="L267" s="6">
        <v>0.85416666666666663</v>
      </c>
      <c r="M267" s="7" t="s">
        <v>913</v>
      </c>
      <c r="N267" s="14" t="s">
        <v>11</v>
      </c>
      <c r="O267" s="14">
        <v>8</v>
      </c>
      <c r="P267" s="13" t="s">
        <v>216</v>
      </c>
      <c r="Q267" s="12" t="s">
        <v>295</v>
      </c>
      <c r="R267" s="11" t="s">
        <v>293</v>
      </c>
      <c r="S267" s="10" t="s">
        <v>294</v>
      </c>
      <c r="T267" s="8">
        <v>0.62</v>
      </c>
      <c r="U267" s="9">
        <v>0.5</v>
      </c>
      <c r="V267" s="8">
        <v>0.25</v>
      </c>
      <c r="W267" s="17"/>
      <c r="X267" s="65">
        <v>46249</v>
      </c>
    </row>
    <row r="268" spans="1:24" ht="13.8" thickBot="1" x14ac:dyDescent="0.3">
      <c r="A268" s="4" t="s">
        <v>90</v>
      </c>
      <c r="B268" s="8">
        <v>0</v>
      </c>
      <c r="C268" s="9">
        <v>0</v>
      </c>
      <c r="D268" s="8">
        <v>0.28999999999999998</v>
      </c>
      <c r="E268" s="10" t="s">
        <v>353</v>
      </c>
      <c r="F268" s="11" t="s">
        <v>882</v>
      </c>
      <c r="G268" s="12" t="s">
        <v>290</v>
      </c>
      <c r="H268" s="13" t="s">
        <v>842</v>
      </c>
      <c r="I268" s="14">
        <v>7</v>
      </c>
      <c r="J268" s="14" t="s">
        <v>10</v>
      </c>
      <c r="K268" s="5" t="s">
        <v>914</v>
      </c>
      <c r="L268" s="6">
        <v>0.85416666666666663</v>
      </c>
      <c r="M268" s="7" t="s">
        <v>915</v>
      </c>
      <c r="N268" s="14" t="s">
        <v>11</v>
      </c>
      <c r="O268" s="14">
        <v>8</v>
      </c>
      <c r="P268" s="13" t="s">
        <v>296</v>
      </c>
      <c r="Q268" s="12" t="s">
        <v>286</v>
      </c>
      <c r="R268" s="11" t="s">
        <v>347</v>
      </c>
      <c r="S268" s="10" t="s">
        <v>217</v>
      </c>
      <c r="T268" s="8">
        <v>0.5</v>
      </c>
      <c r="U268" s="9">
        <v>0.38</v>
      </c>
      <c r="V268" s="8">
        <v>0</v>
      </c>
      <c r="W268" s="17"/>
      <c r="X268" s="65">
        <v>46249</v>
      </c>
    </row>
    <row r="269" spans="1:24" ht="19.8" thickBot="1" x14ac:dyDescent="0.3">
      <c r="A269" s="4" t="s">
        <v>90</v>
      </c>
      <c r="B269" s="8">
        <v>0.14000000000000001</v>
      </c>
      <c r="C269" s="9">
        <v>0.43</v>
      </c>
      <c r="D269" s="8">
        <v>0.71</v>
      </c>
      <c r="E269" s="10" t="s">
        <v>916</v>
      </c>
      <c r="F269" s="11" t="s">
        <v>292</v>
      </c>
      <c r="G269" s="12" t="s">
        <v>354</v>
      </c>
      <c r="H269" s="13" t="s">
        <v>353</v>
      </c>
      <c r="I269" s="14">
        <v>7</v>
      </c>
      <c r="J269" s="14" t="s">
        <v>10</v>
      </c>
      <c r="K269" s="5" t="s">
        <v>917</v>
      </c>
      <c r="L269" s="6">
        <v>0.91666666666666663</v>
      </c>
      <c r="M269" s="7" t="s">
        <v>918</v>
      </c>
      <c r="N269" s="14" t="s">
        <v>11</v>
      </c>
      <c r="O269" s="14">
        <v>8</v>
      </c>
      <c r="P269" s="13" t="s">
        <v>220</v>
      </c>
      <c r="Q269" s="12" t="s">
        <v>911</v>
      </c>
      <c r="R269" s="11" t="s">
        <v>220</v>
      </c>
      <c r="S269" s="10" t="s">
        <v>294</v>
      </c>
      <c r="T269" s="8">
        <v>0.88</v>
      </c>
      <c r="U269" s="15">
        <v>0.62</v>
      </c>
      <c r="V269" s="8">
        <v>0.25</v>
      </c>
      <c r="W269" s="17"/>
      <c r="X269" s="65">
        <v>46249</v>
      </c>
    </row>
    <row r="270" spans="1:24" ht="19.8" thickBot="1" x14ac:dyDescent="0.3">
      <c r="A270" s="4" t="s">
        <v>90</v>
      </c>
      <c r="B270" s="8">
        <v>0.14000000000000001</v>
      </c>
      <c r="C270" s="9">
        <v>0.43</v>
      </c>
      <c r="D270" s="8">
        <v>0.56999999999999995</v>
      </c>
      <c r="E270" s="10" t="s">
        <v>350</v>
      </c>
      <c r="F270" s="11" t="s">
        <v>350</v>
      </c>
      <c r="G270" s="12" t="s">
        <v>849</v>
      </c>
      <c r="H270" s="13" t="s">
        <v>916</v>
      </c>
      <c r="I270" s="14">
        <v>7</v>
      </c>
      <c r="J270" s="14" t="s">
        <v>10</v>
      </c>
      <c r="K270" s="5" t="s">
        <v>919</v>
      </c>
      <c r="L270" s="6">
        <v>0.66666666666666663</v>
      </c>
      <c r="M270" s="7" t="s">
        <v>920</v>
      </c>
      <c r="N270" s="14" t="s">
        <v>11</v>
      </c>
      <c r="O270" s="14">
        <v>7</v>
      </c>
      <c r="P270" s="13" t="s">
        <v>447</v>
      </c>
      <c r="Q270" s="12" t="s">
        <v>921</v>
      </c>
      <c r="R270" s="11" t="s">
        <v>882</v>
      </c>
      <c r="S270" s="10" t="s">
        <v>922</v>
      </c>
      <c r="T270" s="8">
        <v>0.86</v>
      </c>
      <c r="U270" s="15">
        <v>0.86</v>
      </c>
      <c r="V270" s="8">
        <v>0.71</v>
      </c>
      <c r="W270" s="17"/>
      <c r="X270" s="65">
        <v>46249</v>
      </c>
    </row>
    <row r="271" spans="1:24" ht="19.8" thickBot="1" x14ac:dyDescent="0.3">
      <c r="A271" s="4" t="s">
        <v>90</v>
      </c>
      <c r="B271" s="8">
        <v>0.25</v>
      </c>
      <c r="C271" s="15">
        <v>0.62</v>
      </c>
      <c r="D271" s="8">
        <v>1</v>
      </c>
      <c r="E271" s="10" t="s">
        <v>293</v>
      </c>
      <c r="F271" s="11" t="s">
        <v>239</v>
      </c>
      <c r="G271" s="12" t="s">
        <v>329</v>
      </c>
      <c r="H271" s="13" t="s">
        <v>239</v>
      </c>
      <c r="I271" s="14">
        <v>8</v>
      </c>
      <c r="J271" s="14" t="s">
        <v>10</v>
      </c>
      <c r="K271" s="5" t="s">
        <v>923</v>
      </c>
      <c r="L271" s="6">
        <v>0.75</v>
      </c>
      <c r="M271" s="7" t="s">
        <v>924</v>
      </c>
      <c r="N271" s="14" t="s">
        <v>11</v>
      </c>
      <c r="O271" s="14">
        <v>8</v>
      </c>
      <c r="P271" s="13" t="s">
        <v>925</v>
      </c>
      <c r="Q271" s="12" t="s">
        <v>332</v>
      </c>
      <c r="R271" s="11" t="s">
        <v>347</v>
      </c>
      <c r="S271" s="10" t="s">
        <v>330</v>
      </c>
      <c r="T271" s="8">
        <v>0.75</v>
      </c>
      <c r="U271" s="15">
        <v>0.62</v>
      </c>
      <c r="V271" s="8">
        <v>0.5</v>
      </c>
      <c r="W271" s="17"/>
      <c r="X271" s="65">
        <v>46249</v>
      </c>
    </row>
    <row r="272" spans="1:24" ht="19.8" thickBot="1" x14ac:dyDescent="0.3">
      <c r="A272" s="4" t="s">
        <v>90</v>
      </c>
      <c r="B272" s="8">
        <v>0.38</v>
      </c>
      <c r="C272" s="15">
        <v>0.62</v>
      </c>
      <c r="D272" s="8">
        <v>0.88</v>
      </c>
      <c r="E272" s="10" t="s">
        <v>294</v>
      </c>
      <c r="F272" s="11" t="s">
        <v>223</v>
      </c>
      <c r="G272" s="12" t="s">
        <v>329</v>
      </c>
      <c r="H272" s="13" t="s">
        <v>216</v>
      </c>
      <c r="I272" s="14">
        <v>8</v>
      </c>
      <c r="J272" s="14" t="s">
        <v>10</v>
      </c>
      <c r="K272" s="5" t="s">
        <v>926</v>
      </c>
      <c r="L272" s="6">
        <v>0.77083333333333337</v>
      </c>
      <c r="M272" s="7" t="s">
        <v>927</v>
      </c>
      <c r="N272" s="14" t="s">
        <v>11</v>
      </c>
      <c r="O272" s="14">
        <v>7</v>
      </c>
      <c r="P272" s="13" t="s">
        <v>291</v>
      </c>
      <c r="Q272" s="12" t="s">
        <v>928</v>
      </c>
      <c r="R272" s="11" t="s">
        <v>929</v>
      </c>
      <c r="S272" s="10" t="s">
        <v>217</v>
      </c>
      <c r="T272" s="8">
        <v>0.56999999999999995</v>
      </c>
      <c r="U272" s="9">
        <v>0.43</v>
      </c>
      <c r="V272" s="8">
        <v>0.43</v>
      </c>
      <c r="W272" s="17"/>
      <c r="X272" s="65">
        <v>46249</v>
      </c>
    </row>
    <row r="273" spans="1:24" ht="13.8" thickBot="1" x14ac:dyDescent="0.3">
      <c r="A273" s="4" t="s">
        <v>90</v>
      </c>
      <c r="B273" s="8">
        <v>0</v>
      </c>
      <c r="C273" s="9">
        <v>0.14000000000000001</v>
      </c>
      <c r="D273" s="8">
        <v>0.43</v>
      </c>
      <c r="E273" s="10" t="s">
        <v>882</v>
      </c>
      <c r="F273" s="11" t="s">
        <v>447</v>
      </c>
      <c r="G273" s="12" t="s">
        <v>350</v>
      </c>
      <c r="H273" s="13" t="s">
        <v>217</v>
      </c>
      <c r="I273" s="14">
        <v>7</v>
      </c>
      <c r="J273" s="14" t="s">
        <v>10</v>
      </c>
      <c r="K273" s="5" t="s">
        <v>930</v>
      </c>
      <c r="L273" s="6">
        <v>0.79166666666666663</v>
      </c>
      <c r="M273" s="7" t="s">
        <v>931</v>
      </c>
      <c r="N273" s="14" t="s">
        <v>11</v>
      </c>
      <c r="O273" s="14">
        <v>7</v>
      </c>
      <c r="P273" s="13" t="s">
        <v>350</v>
      </c>
      <c r="Q273" s="12" t="s">
        <v>849</v>
      </c>
      <c r="R273" s="11" t="s">
        <v>350</v>
      </c>
      <c r="S273" s="10" t="s">
        <v>350</v>
      </c>
      <c r="T273" s="8">
        <v>0.86</v>
      </c>
      <c r="U273" s="9">
        <v>0.28999999999999998</v>
      </c>
      <c r="V273" s="8">
        <v>0.28999999999999998</v>
      </c>
      <c r="W273" s="17"/>
      <c r="X273" s="65">
        <v>46249</v>
      </c>
    </row>
    <row r="274" spans="1:24" ht="19.8" thickBot="1" x14ac:dyDescent="0.3">
      <c r="A274" s="4" t="s">
        <v>90</v>
      </c>
      <c r="B274" s="8">
        <v>0</v>
      </c>
      <c r="C274" s="9">
        <v>0.28999999999999998</v>
      </c>
      <c r="D274" s="8">
        <v>0.43</v>
      </c>
      <c r="E274" s="10" t="s">
        <v>292</v>
      </c>
      <c r="F274" s="11" t="s">
        <v>292</v>
      </c>
      <c r="G274" s="12" t="s">
        <v>929</v>
      </c>
      <c r="H274" s="13" t="s">
        <v>842</v>
      </c>
      <c r="I274" s="14">
        <v>7</v>
      </c>
      <c r="J274" s="14" t="s">
        <v>10</v>
      </c>
      <c r="K274" s="5" t="s">
        <v>932</v>
      </c>
      <c r="L274" s="6">
        <v>0.83333333333333337</v>
      </c>
      <c r="M274" s="7" t="s">
        <v>933</v>
      </c>
      <c r="N274" s="14" t="s">
        <v>11</v>
      </c>
      <c r="O274" s="14">
        <v>7</v>
      </c>
      <c r="P274" s="13" t="s">
        <v>290</v>
      </c>
      <c r="Q274" s="12" t="s">
        <v>849</v>
      </c>
      <c r="R274" s="11" t="s">
        <v>217</v>
      </c>
      <c r="S274" s="10" t="s">
        <v>290</v>
      </c>
      <c r="T274" s="8">
        <v>0.71</v>
      </c>
      <c r="U274" s="9">
        <v>0.28999999999999998</v>
      </c>
      <c r="V274" s="8">
        <v>0.28999999999999998</v>
      </c>
      <c r="W274" s="17"/>
      <c r="X274" s="65">
        <v>46249</v>
      </c>
    </row>
    <row r="275" spans="1:24" ht="13.8" thickBot="1" x14ac:dyDescent="0.3">
      <c r="A275" s="4" t="s">
        <v>305</v>
      </c>
      <c r="B275" s="8">
        <v>0</v>
      </c>
      <c r="C275" s="9">
        <v>0</v>
      </c>
      <c r="D275" s="8">
        <v>0.5</v>
      </c>
      <c r="E275" s="10" t="s">
        <v>247</v>
      </c>
      <c r="F275" s="11" t="s">
        <v>247</v>
      </c>
      <c r="G275" s="12" t="s">
        <v>217</v>
      </c>
      <c r="H275" s="13" t="s">
        <v>217</v>
      </c>
      <c r="I275" s="14">
        <v>2</v>
      </c>
      <c r="J275" s="14" t="s">
        <v>10</v>
      </c>
      <c r="K275" s="5" t="s">
        <v>934</v>
      </c>
      <c r="L275" s="6">
        <v>0.58333333333333337</v>
      </c>
      <c r="M275" s="7" t="s">
        <v>935</v>
      </c>
      <c r="N275" s="14" t="s">
        <v>11</v>
      </c>
      <c r="O275" s="14">
        <v>1</v>
      </c>
      <c r="P275" s="13" t="s">
        <v>218</v>
      </c>
      <c r="Q275" s="12" t="s">
        <v>218</v>
      </c>
      <c r="R275" s="11" t="s">
        <v>216</v>
      </c>
      <c r="S275" s="10" t="s">
        <v>217</v>
      </c>
      <c r="T275" s="8">
        <v>1</v>
      </c>
      <c r="U275" s="15">
        <v>1</v>
      </c>
      <c r="V275" s="8">
        <v>0</v>
      </c>
      <c r="W275" s="17"/>
      <c r="X275" s="65">
        <v>46249</v>
      </c>
    </row>
    <row r="276" spans="1:24" ht="13.8" thickBot="1" x14ac:dyDescent="0.3">
      <c r="A276" s="4" t="s">
        <v>305</v>
      </c>
      <c r="B276" s="8">
        <v>0</v>
      </c>
      <c r="C276" s="9">
        <v>0.5</v>
      </c>
      <c r="D276" s="8">
        <v>0.5</v>
      </c>
      <c r="E276" s="10" t="s">
        <v>247</v>
      </c>
      <c r="F276" s="11" t="s">
        <v>220</v>
      </c>
      <c r="G276" s="12" t="s">
        <v>216</v>
      </c>
      <c r="H276" s="13" t="s">
        <v>218</v>
      </c>
      <c r="I276" s="14">
        <v>2</v>
      </c>
      <c r="J276" s="14" t="s">
        <v>10</v>
      </c>
      <c r="K276" s="5" t="s">
        <v>936</v>
      </c>
      <c r="L276" s="6">
        <v>0.67708333333333337</v>
      </c>
      <c r="M276" s="7" t="s">
        <v>937</v>
      </c>
      <c r="N276" s="14" t="s">
        <v>11</v>
      </c>
      <c r="O276" s="14">
        <v>1</v>
      </c>
      <c r="P276" s="13" t="s">
        <v>219</v>
      </c>
      <c r="Q276" s="12" t="s">
        <v>278</v>
      </c>
      <c r="R276" s="11" t="s">
        <v>216</v>
      </c>
      <c r="S276" s="10" t="s">
        <v>218</v>
      </c>
      <c r="T276" s="8">
        <v>1</v>
      </c>
      <c r="U276" s="15">
        <v>1</v>
      </c>
      <c r="V276" s="8">
        <v>1</v>
      </c>
      <c r="W276" s="17"/>
      <c r="X276" s="65">
        <v>46249</v>
      </c>
    </row>
    <row r="277" spans="1:24" ht="13.8" thickBot="1" x14ac:dyDescent="0.3">
      <c r="A277" s="4" t="s">
        <v>91</v>
      </c>
      <c r="B277" s="8">
        <v>0.22</v>
      </c>
      <c r="C277" s="9">
        <v>0.44</v>
      </c>
      <c r="D277" s="8">
        <v>0.67</v>
      </c>
      <c r="E277" s="10" t="s">
        <v>306</v>
      </c>
      <c r="F277" s="11" t="s">
        <v>232</v>
      </c>
      <c r="G277" s="12" t="s">
        <v>334</v>
      </c>
      <c r="H277" s="13" t="s">
        <v>343</v>
      </c>
      <c r="I277" s="14">
        <v>9</v>
      </c>
      <c r="J277" s="14" t="s">
        <v>10</v>
      </c>
      <c r="K277" s="5" t="s">
        <v>156</v>
      </c>
      <c r="L277" s="6">
        <v>0.95833333333333337</v>
      </c>
      <c r="M277" s="7" t="s">
        <v>938</v>
      </c>
      <c r="N277" s="14" t="s">
        <v>11</v>
      </c>
      <c r="O277" s="14">
        <v>6</v>
      </c>
      <c r="P277" s="13" t="s">
        <v>939</v>
      </c>
      <c r="Q277" s="12" t="s">
        <v>226</v>
      </c>
      <c r="R277" s="11" t="s">
        <v>224</v>
      </c>
      <c r="S277" s="10" t="s">
        <v>325</v>
      </c>
      <c r="T277" s="8">
        <v>1</v>
      </c>
      <c r="U277" s="15">
        <v>0.83</v>
      </c>
      <c r="V277" s="8">
        <v>0.5</v>
      </c>
      <c r="W277" s="17"/>
      <c r="X277" s="65">
        <v>46249</v>
      </c>
    </row>
    <row r="278" spans="1:24" ht="13.8" thickBot="1" x14ac:dyDescent="0.3">
      <c r="A278" s="4" t="s">
        <v>91</v>
      </c>
      <c r="B278" s="8">
        <v>0.28999999999999998</v>
      </c>
      <c r="C278" s="15">
        <v>0.56999999999999995</v>
      </c>
      <c r="D278" s="8">
        <v>1</v>
      </c>
      <c r="E278" s="10" t="s">
        <v>353</v>
      </c>
      <c r="F278" s="11" t="s">
        <v>354</v>
      </c>
      <c r="G278" s="12" t="s">
        <v>218</v>
      </c>
      <c r="H278" s="13" t="s">
        <v>354</v>
      </c>
      <c r="I278" s="14">
        <v>7</v>
      </c>
      <c r="J278" s="14" t="s">
        <v>10</v>
      </c>
      <c r="K278" s="5" t="s">
        <v>940</v>
      </c>
      <c r="L278" s="6">
        <v>0.79166666666666663</v>
      </c>
      <c r="M278" s="7" t="s">
        <v>941</v>
      </c>
      <c r="N278" s="14" t="s">
        <v>11</v>
      </c>
      <c r="O278" s="14">
        <v>8</v>
      </c>
      <c r="P278" s="13" t="s">
        <v>295</v>
      </c>
      <c r="Q278" s="12" t="s">
        <v>911</v>
      </c>
      <c r="R278" s="11" t="s">
        <v>236</v>
      </c>
      <c r="S278" s="10" t="s">
        <v>222</v>
      </c>
      <c r="T278" s="8">
        <v>0.62</v>
      </c>
      <c r="U278" s="15">
        <v>0.62</v>
      </c>
      <c r="V278" s="8">
        <v>0.38</v>
      </c>
      <c r="W278" s="17"/>
      <c r="X278" s="65">
        <v>46249</v>
      </c>
    </row>
    <row r="279" spans="1:24" ht="13.8" thickBot="1" x14ac:dyDescent="0.3">
      <c r="A279" s="4" t="s">
        <v>157</v>
      </c>
      <c r="B279" s="8">
        <v>0.43</v>
      </c>
      <c r="C279" s="15">
        <v>0.86</v>
      </c>
      <c r="D279" s="8">
        <v>1</v>
      </c>
      <c r="E279" s="10" t="s">
        <v>217</v>
      </c>
      <c r="F279" s="11" t="s">
        <v>354</v>
      </c>
      <c r="G279" s="12" t="s">
        <v>297</v>
      </c>
      <c r="H279" s="13" t="s">
        <v>291</v>
      </c>
      <c r="I279" s="14">
        <v>7</v>
      </c>
      <c r="J279" s="14" t="s">
        <v>10</v>
      </c>
      <c r="K279" s="5" t="s">
        <v>942</v>
      </c>
      <c r="L279" s="6">
        <v>0.8125</v>
      </c>
      <c r="M279" s="7" t="s">
        <v>943</v>
      </c>
      <c r="N279" s="14" t="s">
        <v>11</v>
      </c>
      <c r="O279" s="14">
        <v>9</v>
      </c>
      <c r="P279" s="13" t="s">
        <v>224</v>
      </c>
      <c r="Q279" s="12" t="s">
        <v>229</v>
      </c>
      <c r="R279" s="11" t="s">
        <v>324</v>
      </c>
      <c r="S279" s="10" t="s">
        <v>324</v>
      </c>
      <c r="T279" s="8">
        <v>0.33</v>
      </c>
      <c r="U279" s="9">
        <v>0.33</v>
      </c>
      <c r="V279" s="8">
        <v>0.11</v>
      </c>
      <c r="W279" s="17"/>
      <c r="X279" s="65">
        <v>46249</v>
      </c>
    </row>
    <row r="280" spans="1:24" ht="13.8" thickBot="1" x14ac:dyDescent="0.3">
      <c r="A280" s="4" t="s">
        <v>157</v>
      </c>
      <c r="B280" s="8">
        <v>0.2</v>
      </c>
      <c r="C280" s="9">
        <v>0.2</v>
      </c>
      <c r="D280" s="8">
        <v>0.6</v>
      </c>
      <c r="E280" s="10" t="s">
        <v>220</v>
      </c>
      <c r="F280" s="11" t="s">
        <v>819</v>
      </c>
      <c r="G280" s="12" t="s">
        <v>233</v>
      </c>
      <c r="H280" s="13" t="s">
        <v>266</v>
      </c>
      <c r="I280" s="14">
        <v>10</v>
      </c>
      <c r="J280" s="14" t="s">
        <v>10</v>
      </c>
      <c r="K280" s="5" t="s">
        <v>944</v>
      </c>
      <c r="L280" s="6">
        <v>0.70833333333333337</v>
      </c>
      <c r="M280" s="7" t="s">
        <v>945</v>
      </c>
      <c r="N280" s="14" t="s">
        <v>11</v>
      </c>
      <c r="O280" s="14">
        <v>10</v>
      </c>
      <c r="P280" s="13" t="s">
        <v>220</v>
      </c>
      <c r="Q280" s="12" t="s">
        <v>800</v>
      </c>
      <c r="R280" s="11" t="s">
        <v>271</v>
      </c>
      <c r="S280" s="10" t="s">
        <v>227</v>
      </c>
      <c r="T280" s="8">
        <v>0.8</v>
      </c>
      <c r="U280" s="9">
        <v>0.5</v>
      </c>
      <c r="V280" s="8">
        <v>0.2</v>
      </c>
      <c r="W280" s="17"/>
      <c r="X280" s="65">
        <v>46249</v>
      </c>
    </row>
    <row r="281" spans="1:24" ht="19.8" thickBot="1" x14ac:dyDescent="0.3">
      <c r="A281" s="4" t="s">
        <v>157</v>
      </c>
      <c r="B281" s="8">
        <v>0.36</v>
      </c>
      <c r="C281" s="15">
        <v>0.73</v>
      </c>
      <c r="D281" s="8">
        <v>0.73</v>
      </c>
      <c r="E281" s="10" t="s">
        <v>302</v>
      </c>
      <c r="F281" s="11" t="s">
        <v>256</v>
      </c>
      <c r="G281" s="12" t="s">
        <v>805</v>
      </c>
      <c r="H281" s="13" t="s">
        <v>256</v>
      </c>
      <c r="I281" s="14">
        <v>11</v>
      </c>
      <c r="J281" s="14" t="s">
        <v>10</v>
      </c>
      <c r="K281" s="5" t="s">
        <v>160</v>
      </c>
      <c r="L281" s="6">
        <v>0.375</v>
      </c>
      <c r="M281" s="7" t="s">
        <v>946</v>
      </c>
      <c r="N281" s="14" t="s">
        <v>11</v>
      </c>
      <c r="O281" s="14">
        <v>11</v>
      </c>
      <c r="P281" s="13" t="s">
        <v>474</v>
      </c>
      <c r="Q281" s="12" t="s">
        <v>805</v>
      </c>
      <c r="R281" s="11" t="s">
        <v>298</v>
      </c>
      <c r="S281" s="10" t="s">
        <v>299</v>
      </c>
      <c r="T281" s="8">
        <v>0.82</v>
      </c>
      <c r="U281" s="15">
        <v>0.55000000000000004</v>
      </c>
      <c r="V281" s="8">
        <v>0.27</v>
      </c>
      <c r="W281" s="17"/>
      <c r="X281" s="65">
        <v>46249</v>
      </c>
    </row>
    <row r="282" spans="1:24" ht="19.8" thickBot="1" x14ac:dyDescent="0.3">
      <c r="A282" s="4" t="s">
        <v>157</v>
      </c>
      <c r="B282" s="8">
        <v>0.3</v>
      </c>
      <c r="C282" s="15">
        <v>0.7</v>
      </c>
      <c r="D282" s="8">
        <v>0.8</v>
      </c>
      <c r="E282" s="10" t="s">
        <v>227</v>
      </c>
      <c r="F282" s="11" t="s">
        <v>220</v>
      </c>
      <c r="G282" s="12" t="s">
        <v>276</v>
      </c>
      <c r="H282" s="13" t="s">
        <v>270</v>
      </c>
      <c r="I282" s="14">
        <v>10</v>
      </c>
      <c r="J282" s="14" t="s">
        <v>10</v>
      </c>
      <c r="K282" s="5" t="s">
        <v>947</v>
      </c>
      <c r="L282" s="6">
        <v>0.39930555555555558</v>
      </c>
      <c r="M282" s="7" t="s">
        <v>159</v>
      </c>
      <c r="N282" s="14" t="s">
        <v>11</v>
      </c>
      <c r="O282" s="14">
        <v>9</v>
      </c>
      <c r="P282" s="13" t="s">
        <v>232</v>
      </c>
      <c r="Q282" s="12" t="s">
        <v>309</v>
      </c>
      <c r="R282" s="11" t="s">
        <v>229</v>
      </c>
      <c r="S282" s="10" t="s">
        <v>224</v>
      </c>
      <c r="T282" s="8">
        <v>0.78</v>
      </c>
      <c r="U282" s="15">
        <v>0.56000000000000005</v>
      </c>
      <c r="V282" s="8">
        <v>0.33</v>
      </c>
      <c r="W282" s="17"/>
      <c r="X282" s="65">
        <v>46249</v>
      </c>
    </row>
    <row r="283" spans="1:24" ht="13.8" thickBot="1" x14ac:dyDescent="0.3">
      <c r="A283" s="4" t="s">
        <v>157</v>
      </c>
      <c r="B283" s="8">
        <v>0.4</v>
      </c>
      <c r="C283" s="9">
        <v>0.5</v>
      </c>
      <c r="D283" s="8">
        <v>0.8</v>
      </c>
      <c r="E283" s="10" t="s">
        <v>227</v>
      </c>
      <c r="F283" s="11" t="s">
        <v>268</v>
      </c>
      <c r="G283" s="12" t="s">
        <v>218</v>
      </c>
      <c r="H283" s="13" t="s">
        <v>234</v>
      </c>
      <c r="I283" s="14">
        <v>10</v>
      </c>
      <c r="J283" s="14" t="s">
        <v>10</v>
      </c>
      <c r="K283" s="5" t="s">
        <v>948</v>
      </c>
      <c r="L283" s="6">
        <v>0.39930555555555558</v>
      </c>
      <c r="M283" s="7" t="s">
        <v>111</v>
      </c>
      <c r="N283" s="14" t="s">
        <v>11</v>
      </c>
      <c r="O283" s="14">
        <v>11</v>
      </c>
      <c r="P283" s="13" t="s">
        <v>311</v>
      </c>
      <c r="Q283" s="12" t="s">
        <v>257</v>
      </c>
      <c r="R283" s="11" t="s">
        <v>303</v>
      </c>
      <c r="S283" s="10" t="s">
        <v>265</v>
      </c>
      <c r="T283" s="8">
        <v>0.73</v>
      </c>
      <c r="U283" s="9">
        <v>0.45</v>
      </c>
      <c r="V283" s="8">
        <v>0.27</v>
      </c>
      <c r="W283" s="17"/>
      <c r="X283" s="65">
        <v>46249</v>
      </c>
    </row>
    <row r="284" spans="1:24" ht="13.8" thickBot="1" x14ac:dyDescent="0.3">
      <c r="A284" s="4" t="s">
        <v>157</v>
      </c>
      <c r="B284" s="8">
        <v>0.6</v>
      </c>
      <c r="C284" s="15">
        <v>0.7</v>
      </c>
      <c r="D284" s="8">
        <v>0.9</v>
      </c>
      <c r="E284" s="10" t="s">
        <v>273</v>
      </c>
      <c r="F284" s="11" t="s">
        <v>233</v>
      </c>
      <c r="G284" s="12" t="s">
        <v>272</v>
      </c>
      <c r="H284" s="13" t="s">
        <v>273</v>
      </c>
      <c r="I284" s="14">
        <v>10</v>
      </c>
      <c r="J284" s="14" t="s">
        <v>10</v>
      </c>
      <c r="K284" s="5" t="s">
        <v>949</v>
      </c>
      <c r="L284" s="6">
        <v>0.41666666666666669</v>
      </c>
      <c r="M284" s="7" t="s">
        <v>161</v>
      </c>
      <c r="N284" s="14" t="s">
        <v>11</v>
      </c>
      <c r="O284" s="14">
        <v>10</v>
      </c>
      <c r="P284" s="13" t="s">
        <v>227</v>
      </c>
      <c r="Q284" s="12" t="s">
        <v>781</v>
      </c>
      <c r="R284" s="11" t="s">
        <v>274</v>
      </c>
      <c r="S284" s="10" t="s">
        <v>271</v>
      </c>
      <c r="T284" s="8">
        <v>0.8</v>
      </c>
      <c r="U284" s="15">
        <v>0.7</v>
      </c>
      <c r="V284" s="8">
        <v>0</v>
      </c>
      <c r="W284" s="17"/>
      <c r="X284" s="65">
        <v>46249</v>
      </c>
    </row>
    <row r="285" spans="1:24" ht="19.8" thickBot="1" x14ac:dyDescent="0.3">
      <c r="A285" s="4" t="s">
        <v>157</v>
      </c>
      <c r="B285" s="8">
        <v>0.55000000000000004</v>
      </c>
      <c r="C285" s="15">
        <v>0.82</v>
      </c>
      <c r="D285" s="8">
        <v>0.82</v>
      </c>
      <c r="E285" s="10" t="s">
        <v>256</v>
      </c>
      <c r="F285" s="11" t="s">
        <v>315</v>
      </c>
      <c r="G285" s="12" t="s">
        <v>472</v>
      </c>
      <c r="H285" s="13" t="s">
        <v>799</v>
      </c>
      <c r="I285" s="14">
        <v>11</v>
      </c>
      <c r="J285" s="14" t="s">
        <v>10</v>
      </c>
      <c r="K285" s="5" t="s">
        <v>163</v>
      </c>
      <c r="L285" s="6">
        <v>0.41666666666666669</v>
      </c>
      <c r="M285" s="7" t="s">
        <v>950</v>
      </c>
      <c r="N285" s="14" t="s">
        <v>11</v>
      </c>
      <c r="O285" s="14">
        <v>10</v>
      </c>
      <c r="P285" s="13" t="s">
        <v>824</v>
      </c>
      <c r="Q285" s="12" t="s">
        <v>281</v>
      </c>
      <c r="R285" s="11" t="s">
        <v>270</v>
      </c>
      <c r="S285" s="10" t="s">
        <v>267</v>
      </c>
      <c r="T285" s="8">
        <v>0.8</v>
      </c>
      <c r="U285" s="15">
        <v>0.6</v>
      </c>
      <c r="V285" s="8">
        <v>0.4</v>
      </c>
      <c r="W285" s="17"/>
      <c r="X285" s="65">
        <v>46249</v>
      </c>
    </row>
    <row r="286" spans="1:24" ht="19.8" thickBot="1" x14ac:dyDescent="0.3">
      <c r="A286" s="4" t="s">
        <v>157</v>
      </c>
      <c r="B286" s="8">
        <v>0.2</v>
      </c>
      <c r="C286" s="9">
        <v>0.4</v>
      </c>
      <c r="D286" s="8">
        <v>0.7</v>
      </c>
      <c r="E286" s="10" t="s">
        <v>824</v>
      </c>
      <c r="F286" s="11" t="s">
        <v>271</v>
      </c>
      <c r="G286" s="12" t="s">
        <v>233</v>
      </c>
      <c r="H286" s="13" t="s">
        <v>220</v>
      </c>
      <c r="I286" s="14">
        <v>10</v>
      </c>
      <c r="J286" s="14" t="s">
        <v>10</v>
      </c>
      <c r="K286" s="5" t="s">
        <v>172</v>
      </c>
      <c r="L286" s="6">
        <v>0.33333333333333331</v>
      </c>
      <c r="M286" s="7" t="s">
        <v>951</v>
      </c>
      <c r="N286" s="14" t="s">
        <v>11</v>
      </c>
      <c r="O286" s="14">
        <v>8</v>
      </c>
      <c r="P286" s="13" t="s">
        <v>222</v>
      </c>
      <c r="Q286" s="12" t="s">
        <v>330</v>
      </c>
      <c r="R286" s="11" t="s">
        <v>217</v>
      </c>
      <c r="S286" s="10" t="s">
        <v>223</v>
      </c>
      <c r="T286" s="8">
        <v>0.75</v>
      </c>
      <c r="U286" s="15">
        <v>0.62</v>
      </c>
      <c r="V286" s="8">
        <v>0.25</v>
      </c>
      <c r="W286" s="17"/>
      <c r="X286" s="65">
        <v>46249</v>
      </c>
    </row>
    <row r="287" spans="1:24" ht="19.8" thickBot="1" x14ac:dyDescent="0.3">
      <c r="A287" s="4" t="s">
        <v>157</v>
      </c>
      <c r="B287" s="8">
        <v>0.33</v>
      </c>
      <c r="C287" s="9">
        <v>0.33</v>
      </c>
      <c r="D287" s="8">
        <v>0.83</v>
      </c>
      <c r="E287" s="10" t="s">
        <v>288</v>
      </c>
      <c r="F287" s="11" t="s">
        <v>344</v>
      </c>
      <c r="G287" s="12" t="s">
        <v>221</v>
      </c>
      <c r="H287" s="13" t="s">
        <v>220</v>
      </c>
      <c r="I287" s="14">
        <v>6</v>
      </c>
      <c r="J287" s="14" t="s">
        <v>10</v>
      </c>
      <c r="K287" s="5" t="s">
        <v>166</v>
      </c>
      <c r="L287" s="6">
        <v>0.375</v>
      </c>
      <c r="M287" s="7" t="s">
        <v>952</v>
      </c>
      <c r="N287" s="14" t="s">
        <v>11</v>
      </c>
      <c r="O287" s="14">
        <v>8</v>
      </c>
      <c r="P287" s="13" t="s">
        <v>240</v>
      </c>
      <c r="Q287" s="12" t="s">
        <v>329</v>
      </c>
      <c r="R287" s="11" t="s">
        <v>223</v>
      </c>
      <c r="S287" s="10" t="s">
        <v>294</v>
      </c>
      <c r="T287" s="8">
        <v>0.75</v>
      </c>
      <c r="U287" s="15">
        <v>0.62</v>
      </c>
      <c r="V287" s="8">
        <v>0.38</v>
      </c>
      <c r="W287" s="17"/>
      <c r="X287" s="65">
        <v>46249</v>
      </c>
    </row>
    <row r="288" spans="1:24" ht="19.8" thickBot="1" x14ac:dyDescent="0.3">
      <c r="A288" s="4" t="s">
        <v>157</v>
      </c>
      <c r="B288" s="8">
        <v>0.38</v>
      </c>
      <c r="C288" s="15">
        <v>0.62</v>
      </c>
      <c r="D288" s="8">
        <v>0.62</v>
      </c>
      <c r="E288" s="10" t="s">
        <v>294</v>
      </c>
      <c r="F288" s="11" t="s">
        <v>240</v>
      </c>
      <c r="G288" s="12" t="s">
        <v>346</v>
      </c>
      <c r="H288" s="13" t="s">
        <v>225</v>
      </c>
      <c r="I288" s="14">
        <v>8</v>
      </c>
      <c r="J288" s="14" t="s">
        <v>10</v>
      </c>
      <c r="K288" s="5" t="s">
        <v>953</v>
      </c>
      <c r="L288" s="6">
        <v>0.39583333333333331</v>
      </c>
      <c r="M288" s="7" t="s">
        <v>954</v>
      </c>
      <c r="N288" s="14" t="s">
        <v>11</v>
      </c>
      <c r="O288" s="14">
        <v>9</v>
      </c>
      <c r="P288" s="13" t="s">
        <v>228</v>
      </c>
      <c r="Q288" s="12" t="s">
        <v>334</v>
      </c>
      <c r="R288" s="11" t="s">
        <v>324</v>
      </c>
      <c r="S288" s="10" t="s">
        <v>229</v>
      </c>
      <c r="T288" s="8">
        <v>0.67</v>
      </c>
      <c r="U288" s="9">
        <v>0.44</v>
      </c>
      <c r="V288" s="8">
        <v>0.22</v>
      </c>
      <c r="W288" s="17"/>
      <c r="X288" s="65">
        <v>46249</v>
      </c>
    </row>
    <row r="289" spans="1:24" ht="13.8" thickBot="1" x14ac:dyDescent="0.3">
      <c r="A289" s="4" t="s">
        <v>316</v>
      </c>
      <c r="B289" s="63"/>
      <c r="C289" s="63"/>
      <c r="D289" s="63"/>
      <c r="E289" s="63"/>
      <c r="F289" s="63"/>
      <c r="G289" s="63"/>
      <c r="H289" s="63"/>
      <c r="I289" s="64"/>
      <c r="J289" s="14" t="s">
        <v>10</v>
      </c>
      <c r="K289" s="5" t="s">
        <v>955</v>
      </c>
      <c r="L289" s="6">
        <v>0.87847222222222221</v>
      </c>
      <c r="M289" s="7" t="s">
        <v>956</v>
      </c>
      <c r="N289" s="14" t="s">
        <v>11</v>
      </c>
      <c r="O289" s="14">
        <v>1</v>
      </c>
      <c r="P289" s="13" t="s">
        <v>218</v>
      </c>
      <c r="Q289" s="12" t="s">
        <v>218</v>
      </c>
      <c r="R289" s="11" t="s">
        <v>216</v>
      </c>
      <c r="S289" s="10" t="s">
        <v>217</v>
      </c>
      <c r="T289" s="8">
        <v>1</v>
      </c>
      <c r="U289" s="15">
        <v>1</v>
      </c>
      <c r="V289" s="8">
        <v>0</v>
      </c>
      <c r="W289" s="17"/>
      <c r="X289" s="65">
        <v>46249</v>
      </c>
    </row>
    <row r="290" spans="1:24" ht="13.8" thickBot="1" x14ac:dyDescent="0.3">
      <c r="A290" s="4" t="s">
        <v>957</v>
      </c>
      <c r="B290" s="8">
        <v>0</v>
      </c>
      <c r="C290" s="15">
        <v>1</v>
      </c>
      <c r="D290" s="8">
        <v>1</v>
      </c>
      <c r="E290" s="10" t="s">
        <v>218</v>
      </c>
      <c r="F290" s="11" t="s">
        <v>219</v>
      </c>
      <c r="G290" s="12" t="s">
        <v>218</v>
      </c>
      <c r="H290" s="13" t="s">
        <v>219</v>
      </c>
      <c r="I290" s="14">
        <v>1</v>
      </c>
      <c r="J290" s="14" t="s">
        <v>10</v>
      </c>
      <c r="K290" s="5" t="s">
        <v>958</v>
      </c>
      <c r="L290" s="6">
        <v>0</v>
      </c>
      <c r="M290" s="7" t="s">
        <v>959</v>
      </c>
      <c r="N290" s="14" t="s">
        <v>11</v>
      </c>
      <c r="O290" s="14">
        <v>1</v>
      </c>
      <c r="P290" s="13" t="s">
        <v>217</v>
      </c>
      <c r="Q290" s="12" t="s">
        <v>216</v>
      </c>
      <c r="R290" s="11" t="s">
        <v>217</v>
      </c>
      <c r="S290" s="10" t="s">
        <v>217</v>
      </c>
      <c r="T290" s="8">
        <v>1</v>
      </c>
      <c r="U290" s="9">
        <v>0</v>
      </c>
      <c r="V290" s="8">
        <v>0</v>
      </c>
      <c r="W290" s="17"/>
      <c r="X290" s="65">
        <v>46249</v>
      </c>
    </row>
    <row r="291" spans="1:24" ht="13.8" thickBot="1" x14ac:dyDescent="0.3">
      <c r="A291" s="4" t="s">
        <v>957</v>
      </c>
      <c r="B291" s="8">
        <v>0</v>
      </c>
      <c r="C291" s="15">
        <v>1</v>
      </c>
      <c r="D291" s="8">
        <v>1</v>
      </c>
      <c r="E291" s="10" t="s">
        <v>217</v>
      </c>
      <c r="F291" s="11" t="s">
        <v>216</v>
      </c>
      <c r="G291" s="12" t="s">
        <v>218</v>
      </c>
      <c r="H291" s="13" t="s">
        <v>218</v>
      </c>
      <c r="I291" s="14">
        <v>1</v>
      </c>
      <c r="J291" s="14" t="s">
        <v>10</v>
      </c>
      <c r="K291" s="5" t="s">
        <v>960</v>
      </c>
      <c r="L291" s="6">
        <v>0.83333333333333337</v>
      </c>
      <c r="M291" s="7" t="s">
        <v>961</v>
      </c>
      <c r="N291" s="14" t="s">
        <v>11</v>
      </c>
      <c r="O291" s="14">
        <v>1</v>
      </c>
      <c r="P291" s="13" t="s">
        <v>217</v>
      </c>
      <c r="Q291" s="12" t="s">
        <v>216</v>
      </c>
      <c r="R291" s="11" t="s">
        <v>217</v>
      </c>
      <c r="S291" s="10" t="s">
        <v>217</v>
      </c>
      <c r="T291" s="8">
        <v>1</v>
      </c>
      <c r="U291" s="9">
        <v>0</v>
      </c>
      <c r="V291" s="8">
        <v>0</v>
      </c>
      <c r="W291" s="17"/>
      <c r="X291" s="65">
        <v>46249</v>
      </c>
    </row>
    <row r="292" spans="1:24" ht="19.8" thickBot="1" x14ac:dyDescent="0.3">
      <c r="A292" s="4" t="s">
        <v>320</v>
      </c>
      <c r="B292" s="8">
        <v>1</v>
      </c>
      <c r="C292" s="15">
        <v>1</v>
      </c>
      <c r="D292" s="8">
        <v>1</v>
      </c>
      <c r="E292" s="10" t="s">
        <v>218</v>
      </c>
      <c r="F292" s="11" t="s">
        <v>216</v>
      </c>
      <c r="G292" s="12" t="s">
        <v>278</v>
      </c>
      <c r="H292" s="13" t="s">
        <v>219</v>
      </c>
      <c r="I292" s="14">
        <v>1</v>
      </c>
      <c r="J292" s="14" t="s">
        <v>10</v>
      </c>
      <c r="K292" s="5" t="s">
        <v>962</v>
      </c>
      <c r="L292" s="6">
        <v>0.60416666666666663</v>
      </c>
      <c r="M292" s="7" t="s">
        <v>963</v>
      </c>
      <c r="N292" s="14" t="s">
        <v>11</v>
      </c>
      <c r="O292" s="14">
        <v>1</v>
      </c>
      <c r="P292" s="13" t="s">
        <v>219</v>
      </c>
      <c r="Q292" s="12" t="s">
        <v>216</v>
      </c>
      <c r="R292" s="11" t="s">
        <v>219</v>
      </c>
      <c r="S292" s="10" t="s">
        <v>216</v>
      </c>
      <c r="T292" s="8">
        <v>1</v>
      </c>
      <c r="U292" s="9">
        <v>0</v>
      </c>
      <c r="V292" s="8">
        <v>0</v>
      </c>
      <c r="W292" s="17"/>
      <c r="X292" s="65">
        <v>46249</v>
      </c>
    </row>
    <row r="293" spans="1:24" ht="13.8" thickBot="1" x14ac:dyDescent="0.3">
      <c r="A293" s="4" t="s">
        <v>320</v>
      </c>
      <c r="B293" s="63"/>
      <c r="C293" s="63"/>
      <c r="D293" s="63"/>
      <c r="E293" s="63"/>
      <c r="F293" s="63"/>
      <c r="G293" s="63"/>
      <c r="H293" s="63"/>
      <c r="I293" s="64"/>
      <c r="J293" s="14" t="s">
        <v>10</v>
      </c>
      <c r="K293" s="5" t="s">
        <v>964</v>
      </c>
      <c r="L293" s="6">
        <v>0.70833333333333337</v>
      </c>
      <c r="M293" s="7" t="s">
        <v>965</v>
      </c>
      <c r="N293" s="14" t="s">
        <v>11</v>
      </c>
      <c r="O293" s="14">
        <v>1</v>
      </c>
      <c r="P293" s="13" t="s">
        <v>218</v>
      </c>
      <c r="Q293" s="12" t="s">
        <v>278</v>
      </c>
      <c r="R293" s="11" t="s">
        <v>218</v>
      </c>
      <c r="S293" s="10" t="s">
        <v>216</v>
      </c>
      <c r="T293" s="8">
        <v>1</v>
      </c>
      <c r="U293" s="15">
        <v>1</v>
      </c>
      <c r="V293" s="8">
        <v>1</v>
      </c>
      <c r="W293" s="17"/>
      <c r="X293" s="65">
        <v>46249</v>
      </c>
    </row>
    <row r="294" spans="1:24" ht="13.8" thickBot="1" x14ac:dyDescent="0.3">
      <c r="A294" s="4" t="s">
        <v>321</v>
      </c>
      <c r="B294" s="8">
        <v>1</v>
      </c>
      <c r="C294" s="15">
        <v>1</v>
      </c>
      <c r="D294" s="8">
        <v>1</v>
      </c>
      <c r="E294" s="10" t="s">
        <v>226</v>
      </c>
      <c r="F294" s="11" t="s">
        <v>219</v>
      </c>
      <c r="G294" s="12" t="s">
        <v>226</v>
      </c>
      <c r="H294" s="13" t="s">
        <v>219</v>
      </c>
      <c r="I294" s="14">
        <v>1</v>
      </c>
      <c r="J294" s="14" t="s">
        <v>10</v>
      </c>
      <c r="K294" s="5" t="s">
        <v>966</v>
      </c>
      <c r="L294" s="6">
        <v>0.54166666666666663</v>
      </c>
      <c r="M294" s="7" t="s">
        <v>967</v>
      </c>
      <c r="N294" s="14" t="s">
        <v>11</v>
      </c>
      <c r="O294" s="14">
        <v>1</v>
      </c>
      <c r="P294" s="13" t="s">
        <v>217</v>
      </c>
      <c r="Q294" s="12" t="s">
        <v>216</v>
      </c>
      <c r="R294" s="11" t="s">
        <v>217</v>
      </c>
      <c r="S294" s="10" t="s">
        <v>217</v>
      </c>
      <c r="T294" s="8">
        <v>1</v>
      </c>
      <c r="U294" s="9">
        <v>0</v>
      </c>
      <c r="V294" s="8">
        <v>0</v>
      </c>
      <c r="W294" s="17"/>
      <c r="X294" s="65">
        <v>46249</v>
      </c>
    </row>
    <row r="295" spans="1:24" ht="13.8" thickBot="1" x14ac:dyDescent="0.3">
      <c r="A295" s="4" t="s">
        <v>321</v>
      </c>
      <c r="B295" s="8">
        <v>0</v>
      </c>
      <c r="C295" s="9">
        <v>0</v>
      </c>
      <c r="D295" s="8">
        <v>0</v>
      </c>
      <c r="E295" s="10" t="s">
        <v>219</v>
      </c>
      <c r="F295" s="11" t="s">
        <v>219</v>
      </c>
      <c r="G295" s="12" t="s">
        <v>219</v>
      </c>
      <c r="H295" s="13" t="s">
        <v>217</v>
      </c>
      <c r="I295" s="14">
        <v>1</v>
      </c>
      <c r="J295" s="14" t="s">
        <v>10</v>
      </c>
      <c r="K295" s="5" t="s">
        <v>968</v>
      </c>
      <c r="L295" s="6">
        <v>0.54166666666666663</v>
      </c>
      <c r="M295" s="7" t="s">
        <v>969</v>
      </c>
      <c r="N295" s="14" t="s">
        <v>11</v>
      </c>
      <c r="O295" s="14">
        <v>1</v>
      </c>
      <c r="P295" s="13" t="s">
        <v>218</v>
      </c>
      <c r="Q295" s="12" t="s">
        <v>216</v>
      </c>
      <c r="R295" s="11" t="s">
        <v>216</v>
      </c>
      <c r="S295" s="10" t="s">
        <v>219</v>
      </c>
      <c r="T295" s="8">
        <v>1</v>
      </c>
      <c r="U295" s="9">
        <v>0</v>
      </c>
      <c r="V295" s="8">
        <v>0</v>
      </c>
      <c r="W295" s="17"/>
      <c r="X295" s="65">
        <v>46249</v>
      </c>
    </row>
    <row r="296" spans="1:24" ht="19.8" thickBot="1" x14ac:dyDescent="0.3">
      <c r="A296" s="4" t="s">
        <v>321</v>
      </c>
      <c r="B296" s="8">
        <v>0</v>
      </c>
      <c r="C296" s="9">
        <v>0</v>
      </c>
      <c r="D296" s="8">
        <v>1</v>
      </c>
      <c r="E296" s="10" t="s">
        <v>216</v>
      </c>
      <c r="F296" s="11" t="s">
        <v>219</v>
      </c>
      <c r="G296" s="12" t="s">
        <v>216</v>
      </c>
      <c r="H296" s="13" t="s">
        <v>219</v>
      </c>
      <c r="I296" s="14">
        <v>1</v>
      </c>
      <c r="J296" s="14" t="s">
        <v>10</v>
      </c>
      <c r="K296" s="5" t="s">
        <v>970</v>
      </c>
      <c r="L296" s="6">
        <v>0.54166666666666663</v>
      </c>
      <c r="M296" s="7" t="s">
        <v>971</v>
      </c>
      <c r="N296" s="14" t="s">
        <v>11</v>
      </c>
      <c r="O296" s="14">
        <v>2</v>
      </c>
      <c r="P296" s="13" t="s">
        <v>216</v>
      </c>
      <c r="Q296" s="12" t="s">
        <v>278</v>
      </c>
      <c r="R296" s="11" t="s">
        <v>218</v>
      </c>
      <c r="S296" s="10" t="s">
        <v>216</v>
      </c>
      <c r="T296" s="8">
        <v>1</v>
      </c>
      <c r="U296" s="15">
        <v>1</v>
      </c>
      <c r="V296" s="8">
        <v>1</v>
      </c>
      <c r="W296" s="17"/>
      <c r="X296" s="65">
        <v>46249</v>
      </c>
    </row>
    <row r="297" spans="1:24" ht="19.8" thickBot="1" x14ac:dyDescent="0.3">
      <c r="A297" s="4" t="s">
        <v>321</v>
      </c>
      <c r="B297" s="8">
        <v>0</v>
      </c>
      <c r="C297" s="9">
        <v>0</v>
      </c>
      <c r="D297" s="8">
        <v>1</v>
      </c>
      <c r="E297" s="10" t="s">
        <v>217</v>
      </c>
      <c r="F297" s="11" t="s">
        <v>217</v>
      </c>
      <c r="G297" s="12" t="s">
        <v>216</v>
      </c>
      <c r="H297" s="13" t="s">
        <v>217</v>
      </c>
      <c r="I297" s="14">
        <v>1</v>
      </c>
      <c r="J297" s="14" t="s">
        <v>10</v>
      </c>
      <c r="K297" s="5" t="s">
        <v>972</v>
      </c>
      <c r="L297" s="6">
        <v>0.54166666666666663</v>
      </c>
      <c r="M297" s="7" t="s">
        <v>973</v>
      </c>
      <c r="N297" s="14" t="s">
        <v>11</v>
      </c>
      <c r="O297" s="14">
        <v>2</v>
      </c>
      <c r="P297" s="13" t="s">
        <v>220</v>
      </c>
      <c r="Q297" s="12" t="s">
        <v>218</v>
      </c>
      <c r="R297" s="11" t="s">
        <v>220</v>
      </c>
      <c r="S297" s="10" t="s">
        <v>220</v>
      </c>
      <c r="T297" s="8">
        <v>1</v>
      </c>
      <c r="U297" s="15">
        <v>1</v>
      </c>
      <c r="V297" s="8">
        <v>0</v>
      </c>
      <c r="W297" s="17"/>
      <c r="X297" s="65">
        <v>46249</v>
      </c>
    </row>
    <row r="298" spans="1:24" ht="19.8" thickBot="1" x14ac:dyDescent="0.3">
      <c r="A298" s="4" t="s">
        <v>321</v>
      </c>
      <c r="B298" s="8">
        <v>0</v>
      </c>
      <c r="C298" s="9">
        <v>0</v>
      </c>
      <c r="D298" s="8">
        <v>0</v>
      </c>
      <c r="E298" s="10" t="s">
        <v>217</v>
      </c>
      <c r="F298" s="11" t="s">
        <v>219</v>
      </c>
      <c r="G298" s="12" t="s">
        <v>217</v>
      </c>
      <c r="H298" s="13" t="s">
        <v>219</v>
      </c>
      <c r="I298" s="14">
        <v>1</v>
      </c>
      <c r="J298" s="14" t="s">
        <v>10</v>
      </c>
      <c r="K298" s="5" t="s">
        <v>974</v>
      </c>
      <c r="L298" s="6">
        <v>0.54166666666666663</v>
      </c>
      <c r="M298" s="7" t="s">
        <v>975</v>
      </c>
      <c r="N298" s="14" t="s">
        <v>11</v>
      </c>
      <c r="O298" s="14">
        <v>1</v>
      </c>
      <c r="P298" s="13" t="s">
        <v>218</v>
      </c>
      <c r="Q298" s="12" t="s">
        <v>226</v>
      </c>
      <c r="R298" s="11" t="s">
        <v>226</v>
      </c>
      <c r="S298" s="10" t="s">
        <v>219</v>
      </c>
      <c r="T298" s="8">
        <v>1</v>
      </c>
      <c r="U298" s="15">
        <v>1</v>
      </c>
      <c r="V298" s="8">
        <v>1</v>
      </c>
      <c r="W298" s="17"/>
      <c r="X298" s="65">
        <v>46249</v>
      </c>
    </row>
    <row r="299" spans="1:24" ht="13.8" thickBot="1" x14ac:dyDescent="0.3">
      <c r="A299" s="4" t="s">
        <v>321</v>
      </c>
      <c r="B299" s="8">
        <v>1</v>
      </c>
      <c r="C299" s="15">
        <v>1</v>
      </c>
      <c r="D299" s="8">
        <v>1</v>
      </c>
      <c r="E299" s="10" t="s">
        <v>217</v>
      </c>
      <c r="F299" s="11" t="s">
        <v>218</v>
      </c>
      <c r="G299" s="12" t="s">
        <v>226</v>
      </c>
      <c r="H299" s="13" t="s">
        <v>218</v>
      </c>
      <c r="I299" s="14">
        <v>1</v>
      </c>
      <c r="J299" s="14" t="s">
        <v>10</v>
      </c>
      <c r="K299" s="5" t="s">
        <v>976</v>
      </c>
      <c r="L299" s="6">
        <v>0.54166666666666663</v>
      </c>
      <c r="M299" s="7" t="s">
        <v>977</v>
      </c>
      <c r="N299" s="14" t="s">
        <v>11</v>
      </c>
      <c r="O299" s="14">
        <v>1</v>
      </c>
      <c r="P299" s="13" t="s">
        <v>218</v>
      </c>
      <c r="Q299" s="12" t="s">
        <v>217</v>
      </c>
      <c r="R299" s="11" t="s">
        <v>217</v>
      </c>
      <c r="S299" s="10" t="s">
        <v>219</v>
      </c>
      <c r="T299" s="8">
        <v>0</v>
      </c>
      <c r="U299" s="9">
        <v>0</v>
      </c>
      <c r="V299" s="8">
        <v>0</v>
      </c>
      <c r="W299" s="17"/>
      <c r="X299" s="65">
        <v>46249</v>
      </c>
    </row>
    <row r="300" spans="1:24" ht="13.8" thickBot="1" x14ac:dyDescent="0.3">
      <c r="A300" s="4" t="s">
        <v>321</v>
      </c>
      <c r="B300" s="8">
        <v>0.5</v>
      </c>
      <c r="C300" s="9">
        <v>0.5</v>
      </c>
      <c r="D300" s="8">
        <v>1</v>
      </c>
      <c r="E300" s="10" t="s">
        <v>216</v>
      </c>
      <c r="F300" s="11" t="s">
        <v>217</v>
      </c>
      <c r="G300" s="12" t="s">
        <v>218</v>
      </c>
      <c r="H300" s="13" t="s">
        <v>247</v>
      </c>
      <c r="I300" s="14">
        <v>2</v>
      </c>
      <c r="J300" s="14" t="s">
        <v>10</v>
      </c>
      <c r="K300" s="5" t="s">
        <v>978</v>
      </c>
      <c r="L300" s="6">
        <v>0.54166666666666663</v>
      </c>
      <c r="M300" s="7" t="s">
        <v>979</v>
      </c>
      <c r="N300" s="14" t="s">
        <v>11</v>
      </c>
      <c r="O300" s="14">
        <v>1</v>
      </c>
      <c r="P300" s="13" t="s">
        <v>219</v>
      </c>
      <c r="Q300" s="12" t="s">
        <v>226</v>
      </c>
      <c r="R300" s="11" t="s">
        <v>217</v>
      </c>
      <c r="S300" s="10" t="s">
        <v>218</v>
      </c>
      <c r="T300" s="8">
        <v>1</v>
      </c>
      <c r="U300" s="15">
        <v>1</v>
      </c>
      <c r="V300" s="8">
        <v>1</v>
      </c>
      <c r="W300" s="17"/>
      <c r="X300" s="65">
        <v>46249</v>
      </c>
    </row>
    <row r="301" spans="1:24" ht="19.8" thickBot="1" x14ac:dyDescent="0.3">
      <c r="A301" s="4" t="s">
        <v>321</v>
      </c>
      <c r="B301" s="8">
        <v>0.5</v>
      </c>
      <c r="C301" s="9">
        <v>0.5</v>
      </c>
      <c r="D301" s="8">
        <v>0.5</v>
      </c>
      <c r="E301" s="10" t="s">
        <v>217</v>
      </c>
      <c r="F301" s="11" t="s">
        <v>220</v>
      </c>
      <c r="G301" s="12" t="s">
        <v>221</v>
      </c>
      <c r="H301" s="13" t="s">
        <v>220</v>
      </c>
      <c r="I301" s="14">
        <v>2</v>
      </c>
      <c r="J301" s="14" t="s">
        <v>10</v>
      </c>
      <c r="K301" s="5" t="s">
        <v>980</v>
      </c>
      <c r="L301" s="6">
        <v>0.54166666666666663</v>
      </c>
      <c r="M301" s="7" t="s">
        <v>981</v>
      </c>
      <c r="N301" s="14" t="s">
        <v>11</v>
      </c>
      <c r="O301" s="14">
        <v>1</v>
      </c>
      <c r="P301" s="13" t="s">
        <v>217</v>
      </c>
      <c r="Q301" s="12" t="s">
        <v>219</v>
      </c>
      <c r="R301" s="11" t="s">
        <v>219</v>
      </c>
      <c r="S301" s="10" t="s">
        <v>219</v>
      </c>
      <c r="T301" s="8">
        <v>0</v>
      </c>
      <c r="U301" s="9">
        <v>0</v>
      </c>
      <c r="V301" s="8">
        <v>0</v>
      </c>
      <c r="W301" s="17"/>
      <c r="X301" s="65">
        <v>46249</v>
      </c>
    </row>
    <row r="302" spans="1:24" ht="19.8" thickBot="1" x14ac:dyDescent="0.3">
      <c r="A302" s="4" t="s">
        <v>321</v>
      </c>
      <c r="B302" s="8">
        <v>0</v>
      </c>
      <c r="C302" s="9">
        <v>0</v>
      </c>
      <c r="D302" s="8">
        <v>1</v>
      </c>
      <c r="E302" s="10" t="s">
        <v>217</v>
      </c>
      <c r="F302" s="11" t="s">
        <v>217</v>
      </c>
      <c r="G302" s="12" t="s">
        <v>216</v>
      </c>
      <c r="H302" s="13" t="s">
        <v>217</v>
      </c>
      <c r="I302" s="14">
        <v>1</v>
      </c>
      <c r="J302" s="14" t="s">
        <v>10</v>
      </c>
      <c r="K302" s="5" t="s">
        <v>982</v>
      </c>
      <c r="L302" s="6">
        <v>0.5</v>
      </c>
      <c r="M302" s="7" t="s">
        <v>983</v>
      </c>
      <c r="N302" s="14" t="s">
        <v>11</v>
      </c>
      <c r="O302" s="14">
        <v>2</v>
      </c>
      <c r="P302" s="13" t="s">
        <v>220</v>
      </c>
      <c r="Q302" s="12" t="s">
        <v>221</v>
      </c>
      <c r="R302" s="11" t="s">
        <v>217</v>
      </c>
      <c r="S302" s="10" t="s">
        <v>220</v>
      </c>
      <c r="T302" s="8">
        <v>1</v>
      </c>
      <c r="U302" s="9">
        <v>0.5</v>
      </c>
      <c r="V302" s="8">
        <v>0</v>
      </c>
      <c r="W302" s="17"/>
      <c r="X302" s="65">
        <v>46249</v>
      </c>
    </row>
    <row r="303" spans="1:24" ht="13.8" thickBot="1" x14ac:dyDescent="0.3">
      <c r="A303" s="4" t="s">
        <v>321</v>
      </c>
      <c r="B303" s="8">
        <v>0</v>
      </c>
      <c r="C303" s="9">
        <v>0</v>
      </c>
      <c r="D303" s="8">
        <v>0</v>
      </c>
      <c r="E303" s="10" t="s">
        <v>219</v>
      </c>
      <c r="F303" s="11" t="s">
        <v>217</v>
      </c>
      <c r="G303" s="12" t="s">
        <v>217</v>
      </c>
      <c r="H303" s="13" t="s">
        <v>218</v>
      </c>
      <c r="I303" s="14">
        <v>1</v>
      </c>
      <c r="J303" s="14" t="s">
        <v>10</v>
      </c>
      <c r="K303" s="5" t="s">
        <v>984</v>
      </c>
      <c r="L303" s="6">
        <v>0.54166666666666663</v>
      </c>
      <c r="M303" s="7" t="s">
        <v>985</v>
      </c>
      <c r="N303" s="14" t="s">
        <v>11</v>
      </c>
      <c r="O303" s="14">
        <v>1</v>
      </c>
      <c r="P303" s="13" t="s">
        <v>219</v>
      </c>
      <c r="Q303" s="12" t="s">
        <v>217</v>
      </c>
      <c r="R303" s="11" t="s">
        <v>219</v>
      </c>
      <c r="S303" s="10" t="s">
        <v>217</v>
      </c>
      <c r="T303" s="8">
        <v>0</v>
      </c>
      <c r="U303" s="9">
        <v>0</v>
      </c>
      <c r="V303" s="8">
        <v>0</v>
      </c>
      <c r="W303" s="17"/>
      <c r="X303" s="65">
        <v>46249</v>
      </c>
    </row>
    <row r="304" spans="1:24" ht="19.8" thickBot="1" x14ac:dyDescent="0.3">
      <c r="A304" s="4" t="s">
        <v>321</v>
      </c>
      <c r="B304" s="8">
        <v>0</v>
      </c>
      <c r="C304" s="9">
        <v>0</v>
      </c>
      <c r="D304" s="8">
        <v>0.5</v>
      </c>
      <c r="E304" s="10" t="s">
        <v>217</v>
      </c>
      <c r="F304" s="11" t="s">
        <v>219</v>
      </c>
      <c r="G304" s="12" t="s">
        <v>217</v>
      </c>
      <c r="H304" s="13" t="s">
        <v>247</v>
      </c>
      <c r="I304" s="14">
        <v>2</v>
      </c>
      <c r="J304" s="14" t="s">
        <v>10</v>
      </c>
      <c r="K304" s="5" t="s">
        <v>986</v>
      </c>
      <c r="L304" s="6">
        <v>0.58333333333333337</v>
      </c>
      <c r="M304" s="7" t="s">
        <v>987</v>
      </c>
      <c r="N304" s="14" t="s">
        <v>11</v>
      </c>
      <c r="O304" s="14">
        <v>1</v>
      </c>
      <c r="P304" s="13" t="s">
        <v>217</v>
      </c>
      <c r="Q304" s="12" t="s">
        <v>219</v>
      </c>
      <c r="R304" s="11" t="s">
        <v>219</v>
      </c>
      <c r="S304" s="10" t="s">
        <v>219</v>
      </c>
      <c r="T304" s="8">
        <v>0</v>
      </c>
      <c r="U304" s="9">
        <v>0</v>
      </c>
      <c r="V304" s="8">
        <v>0</v>
      </c>
      <c r="W304" s="17"/>
      <c r="X304" s="65">
        <v>46249</v>
      </c>
    </row>
    <row r="305" spans="1:24" ht="13.8" thickBot="1" x14ac:dyDescent="0.3">
      <c r="A305" s="4" t="s">
        <v>321</v>
      </c>
      <c r="B305" s="8">
        <v>1</v>
      </c>
      <c r="C305" s="15">
        <v>1</v>
      </c>
      <c r="D305" s="8">
        <v>1</v>
      </c>
      <c r="E305" s="10" t="s">
        <v>216</v>
      </c>
      <c r="F305" s="11" t="s">
        <v>216</v>
      </c>
      <c r="G305" s="12" t="s">
        <v>226</v>
      </c>
      <c r="H305" s="13" t="s">
        <v>217</v>
      </c>
      <c r="I305" s="14">
        <v>1</v>
      </c>
      <c r="J305" s="14" t="s">
        <v>10</v>
      </c>
      <c r="K305" s="5" t="s">
        <v>988</v>
      </c>
      <c r="L305" s="6">
        <v>0.58333333333333337</v>
      </c>
      <c r="M305" s="7" t="s">
        <v>989</v>
      </c>
      <c r="N305" s="14" t="s">
        <v>11</v>
      </c>
      <c r="O305" s="14">
        <v>1</v>
      </c>
      <c r="P305" s="13" t="s">
        <v>219</v>
      </c>
      <c r="Q305" s="12" t="s">
        <v>217</v>
      </c>
      <c r="R305" s="11" t="s">
        <v>219</v>
      </c>
      <c r="S305" s="10" t="s">
        <v>217</v>
      </c>
      <c r="T305" s="8">
        <v>0</v>
      </c>
      <c r="U305" s="9">
        <v>0</v>
      </c>
      <c r="V305" s="8">
        <v>0</v>
      </c>
      <c r="W305" s="17"/>
      <c r="X305" s="65">
        <v>46249</v>
      </c>
    </row>
    <row r="306" spans="1:24" ht="19.8" thickBot="1" x14ac:dyDescent="0.3">
      <c r="A306" s="4" t="s">
        <v>322</v>
      </c>
      <c r="B306" s="8">
        <v>1</v>
      </c>
      <c r="C306" s="15">
        <v>1</v>
      </c>
      <c r="D306" s="8">
        <v>1</v>
      </c>
      <c r="E306" s="10" t="s">
        <v>218</v>
      </c>
      <c r="F306" s="11" t="s">
        <v>216</v>
      </c>
      <c r="G306" s="12" t="s">
        <v>278</v>
      </c>
      <c r="H306" s="13" t="s">
        <v>219</v>
      </c>
      <c r="I306" s="14">
        <v>1</v>
      </c>
      <c r="J306" s="14" t="s">
        <v>10</v>
      </c>
      <c r="K306" s="5" t="s">
        <v>990</v>
      </c>
      <c r="L306" s="6">
        <v>0.375</v>
      </c>
      <c r="M306" s="7" t="s">
        <v>991</v>
      </c>
      <c r="N306" s="14" t="s">
        <v>11</v>
      </c>
      <c r="O306" s="14">
        <v>1</v>
      </c>
      <c r="P306" s="13" t="s">
        <v>218</v>
      </c>
      <c r="Q306" s="12" t="s">
        <v>218</v>
      </c>
      <c r="R306" s="11" t="s">
        <v>216</v>
      </c>
      <c r="S306" s="10" t="s">
        <v>217</v>
      </c>
      <c r="T306" s="8">
        <v>1</v>
      </c>
      <c r="U306" s="15">
        <v>1</v>
      </c>
      <c r="V306" s="8">
        <v>0</v>
      </c>
      <c r="W306" s="17"/>
      <c r="X306" s="65">
        <v>46249</v>
      </c>
    </row>
    <row r="307" spans="1:24" ht="13.8" thickBot="1" x14ac:dyDescent="0.3">
      <c r="A307" s="4" t="s">
        <v>322</v>
      </c>
      <c r="B307" s="8">
        <v>0</v>
      </c>
      <c r="C307" s="9">
        <v>0</v>
      </c>
      <c r="D307" s="8">
        <v>1</v>
      </c>
      <c r="E307" s="10" t="s">
        <v>217</v>
      </c>
      <c r="F307" s="11" t="s">
        <v>217</v>
      </c>
      <c r="G307" s="12" t="s">
        <v>216</v>
      </c>
      <c r="H307" s="13" t="s">
        <v>217</v>
      </c>
      <c r="I307" s="14">
        <v>1</v>
      </c>
      <c r="J307" s="14" t="s">
        <v>10</v>
      </c>
      <c r="K307" s="5" t="s">
        <v>992</v>
      </c>
      <c r="L307" s="6">
        <v>0.41666666666666669</v>
      </c>
      <c r="M307" s="7" t="s">
        <v>993</v>
      </c>
      <c r="N307" s="14" t="s">
        <v>11</v>
      </c>
      <c r="O307" s="14">
        <v>1</v>
      </c>
      <c r="P307" s="13" t="s">
        <v>218</v>
      </c>
      <c r="Q307" s="12" t="s">
        <v>218</v>
      </c>
      <c r="R307" s="11" t="s">
        <v>216</v>
      </c>
      <c r="S307" s="10" t="s">
        <v>217</v>
      </c>
      <c r="T307" s="8">
        <v>1</v>
      </c>
      <c r="U307" s="15">
        <v>1</v>
      </c>
      <c r="V307" s="8">
        <v>0</v>
      </c>
      <c r="W307" s="17"/>
      <c r="X307" s="65">
        <v>46249</v>
      </c>
    </row>
    <row r="308" spans="1:24" ht="13.8" thickBot="1" x14ac:dyDescent="0.3">
      <c r="A308" s="4" t="s">
        <v>322</v>
      </c>
      <c r="B308" s="8">
        <v>0</v>
      </c>
      <c r="C308" s="9">
        <v>0</v>
      </c>
      <c r="D308" s="8">
        <v>1</v>
      </c>
      <c r="E308" s="10" t="s">
        <v>216</v>
      </c>
      <c r="F308" s="11" t="s">
        <v>219</v>
      </c>
      <c r="G308" s="12" t="s">
        <v>216</v>
      </c>
      <c r="H308" s="13" t="s">
        <v>219</v>
      </c>
      <c r="I308" s="14">
        <v>1</v>
      </c>
      <c r="J308" s="14" t="s">
        <v>10</v>
      </c>
      <c r="K308" s="5" t="s">
        <v>994</v>
      </c>
      <c r="L308" s="6">
        <v>0.5</v>
      </c>
      <c r="M308" s="7" t="s">
        <v>995</v>
      </c>
      <c r="N308" s="14" t="s">
        <v>11</v>
      </c>
      <c r="O308" s="14">
        <v>1</v>
      </c>
      <c r="P308" s="13" t="s">
        <v>218</v>
      </c>
      <c r="Q308" s="12" t="s">
        <v>217</v>
      </c>
      <c r="R308" s="11" t="s">
        <v>217</v>
      </c>
      <c r="S308" s="10" t="s">
        <v>219</v>
      </c>
      <c r="T308" s="8">
        <v>0</v>
      </c>
      <c r="U308" s="9">
        <v>0</v>
      </c>
      <c r="V308" s="8">
        <v>0</v>
      </c>
      <c r="W308" s="17"/>
      <c r="X308" s="65">
        <v>46249</v>
      </c>
    </row>
    <row r="309" spans="1:24" ht="13.8" thickBot="1" x14ac:dyDescent="0.3">
      <c r="A309" s="4" t="s">
        <v>322</v>
      </c>
      <c r="B309" s="8">
        <v>0</v>
      </c>
      <c r="C309" s="15">
        <v>1</v>
      </c>
      <c r="D309" s="8">
        <v>1</v>
      </c>
      <c r="E309" s="10" t="s">
        <v>219</v>
      </c>
      <c r="F309" s="11" t="s">
        <v>218</v>
      </c>
      <c r="G309" s="12" t="s">
        <v>218</v>
      </c>
      <c r="H309" s="13" t="s">
        <v>218</v>
      </c>
      <c r="I309" s="14">
        <v>1</v>
      </c>
      <c r="J309" s="14" t="s">
        <v>10</v>
      </c>
      <c r="K309" s="5" t="s">
        <v>996</v>
      </c>
      <c r="L309" s="6">
        <v>0.39583333333333331</v>
      </c>
      <c r="M309" s="7" t="s">
        <v>997</v>
      </c>
      <c r="N309" s="14" t="s">
        <v>11</v>
      </c>
      <c r="O309" s="14">
        <v>1</v>
      </c>
      <c r="P309" s="13" t="s">
        <v>219</v>
      </c>
      <c r="Q309" s="12" t="s">
        <v>278</v>
      </c>
      <c r="R309" s="11" t="s">
        <v>217</v>
      </c>
      <c r="S309" s="10" t="s">
        <v>226</v>
      </c>
      <c r="T309" s="8">
        <v>1</v>
      </c>
      <c r="U309" s="15">
        <v>1</v>
      </c>
      <c r="V309" s="8">
        <v>1</v>
      </c>
      <c r="W309" s="17"/>
      <c r="X309" s="65">
        <v>46249</v>
      </c>
    </row>
    <row r="310" spans="1:24" ht="13.8" thickBot="1" x14ac:dyDescent="0.3">
      <c r="A310" s="4" t="s">
        <v>322</v>
      </c>
      <c r="B310" s="8">
        <v>1</v>
      </c>
      <c r="C310" s="15">
        <v>1</v>
      </c>
      <c r="D310" s="8">
        <v>1</v>
      </c>
      <c r="E310" s="10" t="s">
        <v>216</v>
      </c>
      <c r="F310" s="11" t="s">
        <v>216</v>
      </c>
      <c r="G310" s="12" t="s">
        <v>226</v>
      </c>
      <c r="H310" s="13" t="s">
        <v>217</v>
      </c>
      <c r="I310" s="14">
        <v>1</v>
      </c>
      <c r="J310" s="14" t="s">
        <v>10</v>
      </c>
      <c r="K310" s="5" t="s">
        <v>998</v>
      </c>
      <c r="L310" s="6">
        <v>0.41666666666666669</v>
      </c>
      <c r="M310" s="7" t="s">
        <v>999</v>
      </c>
      <c r="N310" s="14" t="s">
        <v>11</v>
      </c>
      <c r="O310" s="64"/>
      <c r="P310" s="63"/>
      <c r="Q310" s="63"/>
      <c r="R310" s="63"/>
      <c r="S310" s="63"/>
      <c r="T310" s="63"/>
      <c r="U310" s="63"/>
      <c r="V310" s="63"/>
      <c r="W310" s="17"/>
      <c r="X310" s="65">
        <v>46249</v>
      </c>
    </row>
    <row r="311" spans="1:24" ht="13.8" thickBot="1" x14ac:dyDescent="0.3">
      <c r="A311" s="4" t="s">
        <v>88</v>
      </c>
      <c r="B311" s="8">
        <v>0.42</v>
      </c>
      <c r="C311" s="15">
        <v>0.57999999999999996</v>
      </c>
      <c r="D311" s="8">
        <v>0.83</v>
      </c>
      <c r="E311" s="10" t="s">
        <v>288</v>
      </c>
      <c r="F311" s="11" t="s">
        <v>334</v>
      </c>
      <c r="G311" s="12" t="s">
        <v>1000</v>
      </c>
      <c r="H311" s="13" t="s">
        <v>334</v>
      </c>
      <c r="I311" s="14">
        <v>12</v>
      </c>
      <c r="J311" s="14" t="s">
        <v>10</v>
      </c>
      <c r="K311" s="5" t="s">
        <v>1001</v>
      </c>
      <c r="L311" s="6">
        <v>0.91666666666666663</v>
      </c>
      <c r="M311" s="7" t="s">
        <v>1002</v>
      </c>
      <c r="N311" s="14" t="s">
        <v>11</v>
      </c>
      <c r="O311" s="14">
        <v>12</v>
      </c>
      <c r="P311" s="13" t="s">
        <v>247</v>
      </c>
      <c r="Q311" s="12" t="s">
        <v>772</v>
      </c>
      <c r="R311" s="11" t="s">
        <v>247</v>
      </c>
      <c r="S311" s="10" t="s">
        <v>224</v>
      </c>
      <c r="T311" s="8">
        <v>0.42</v>
      </c>
      <c r="U311" s="9">
        <v>0.33</v>
      </c>
      <c r="V311" s="8">
        <v>0.17</v>
      </c>
      <c r="W311" s="17"/>
      <c r="X311" s="65">
        <v>46249</v>
      </c>
    </row>
    <row r="312" spans="1:24" ht="13.8" thickBot="1" x14ac:dyDescent="0.3">
      <c r="A312" s="4" t="s">
        <v>88</v>
      </c>
      <c r="B312" s="8">
        <v>0</v>
      </c>
      <c r="C312" s="9">
        <v>0.17</v>
      </c>
      <c r="D312" s="8">
        <v>0.42</v>
      </c>
      <c r="E312" s="10" t="s">
        <v>217</v>
      </c>
      <c r="F312" s="11" t="s">
        <v>789</v>
      </c>
      <c r="G312" s="12" t="s">
        <v>788</v>
      </c>
      <c r="H312" s="13" t="s">
        <v>222</v>
      </c>
      <c r="I312" s="14">
        <v>12</v>
      </c>
      <c r="J312" s="14" t="s">
        <v>10</v>
      </c>
      <c r="K312" s="5" t="s">
        <v>1003</v>
      </c>
      <c r="L312" s="6">
        <v>0.70833333333333337</v>
      </c>
      <c r="M312" s="7" t="s">
        <v>1004</v>
      </c>
      <c r="N312" s="14" t="s">
        <v>11</v>
      </c>
      <c r="O312" s="14">
        <v>12</v>
      </c>
      <c r="P312" s="13" t="s">
        <v>217</v>
      </c>
      <c r="Q312" s="12" t="s">
        <v>1005</v>
      </c>
      <c r="R312" s="11" t="s">
        <v>222</v>
      </c>
      <c r="S312" s="10" t="s">
        <v>224</v>
      </c>
      <c r="T312" s="8">
        <v>0.67</v>
      </c>
      <c r="U312" s="9">
        <v>0.5</v>
      </c>
      <c r="V312" s="8">
        <v>0.08</v>
      </c>
      <c r="W312" s="17"/>
      <c r="X312" s="65">
        <v>46249</v>
      </c>
    </row>
    <row r="313" spans="1:24" ht="19.8" thickBot="1" x14ac:dyDescent="0.3">
      <c r="A313" s="4" t="s">
        <v>88</v>
      </c>
      <c r="B313" s="8">
        <v>0.08</v>
      </c>
      <c r="C313" s="9">
        <v>0.25</v>
      </c>
      <c r="D313" s="8">
        <v>0.33</v>
      </c>
      <c r="E313" s="10" t="s">
        <v>222</v>
      </c>
      <c r="F313" s="11" t="s">
        <v>222</v>
      </c>
      <c r="G313" s="12" t="s">
        <v>220</v>
      </c>
      <c r="H313" s="13" t="s">
        <v>788</v>
      </c>
      <c r="I313" s="14">
        <v>12</v>
      </c>
      <c r="J313" s="14" t="s">
        <v>10</v>
      </c>
      <c r="K313" s="5" t="s">
        <v>1006</v>
      </c>
      <c r="L313" s="6">
        <v>0.8125</v>
      </c>
      <c r="M313" s="7" t="s">
        <v>1007</v>
      </c>
      <c r="N313" s="14" t="s">
        <v>11</v>
      </c>
      <c r="O313" s="14">
        <v>12</v>
      </c>
      <c r="P313" s="13" t="s">
        <v>288</v>
      </c>
      <c r="Q313" s="12" t="s">
        <v>252</v>
      </c>
      <c r="R313" s="11" t="s">
        <v>288</v>
      </c>
      <c r="S313" s="10" t="s">
        <v>224</v>
      </c>
      <c r="T313" s="8">
        <v>0.75</v>
      </c>
      <c r="U313" s="9">
        <v>0.42</v>
      </c>
      <c r="V313" s="8">
        <v>0.08</v>
      </c>
      <c r="W313" s="17"/>
      <c r="X313" s="65">
        <v>46249</v>
      </c>
    </row>
    <row r="314" spans="1:24" ht="19.8" thickBot="1" x14ac:dyDescent="0.3">
      <c r="A314" s="4" t="s">
        <v>244</v>
      </c>
      <c r="B314" s="63"/>
      <c r="C314" s="63"/>
      <c r="D314" s="63"/>
      <c r="E314" s="63"/>
      <c r="F314" s="63"/>
      <c r="G314" s="63"/>
      <c r="H314" s="63"/>
      <c r="I314" s="64"/>
      <c r="J314" s="14" t="s">
        <v>10</v>
      </c>
      <c r="K314" s="5" t="s">
        <v>1008</v>
      </c>
      <c r="L314" s="6">
        <v>0.5</v>
      </c>
      <c r="M314" s="7" t="s">
        <v>1009</v>
      </c>
      <c r="N314" s="14" t="s">
        <v>11</v>
      </c>
      <c r="O314" s="64"/>
      <c r="P314" s="63"/>
      <c r="Q314" s="63"/>
      <c r="R314" s="63"/>
      <c r="S314" s="63"/>
      <c r="T314" s="63"/>
      <c r="U314" s="63"/>
      <c r="V314" s="63"/>
      <c r="W314" s="17"/>
      <c r="X314" s="65">
        <v>46249</v>
      </c>
    </row>
    <row r="315" spans="1:24" ht="19.8" thickBot="1" x14ac:dyDescent="0.3">
      <c r="A315" s="4" t="s">
        <v>244</v>
      </c>
      <c r="B315" s="63"/>
      <c r="C315" s="63"/>
      <c r="D315" s="63"/>
      <c r="E315" s="63"/>
      <c r="F315" s="63"/>
      <c r="G315" s="63"/>
      <c r="H315" s="63"/>
      <c r="I315" s="64"/>
      <c r="J315" s="14" t="s">
        <v>10</v>
      </c>
      <c r="K315" s="5" t="s">
        <v>1010</v>
      </c>
      <c r="L315" s="6">
        <v>0.5</v>
      </c>
      <c r="M315" s="7" t="s">
        <v>1011</v>
      </c>
      <c r="N315" s="14" t="s">
        <v>11</v>
      </c>
      <c r="O315" s="64"/>
      <c r="P315" s="63"/>
      <c r="Q315" s="63"/>
      <c r="R315" s="63"/>
      <c r="S315" s="63"/>
      <c r="T315" s="63"/>
      <c r="U315" s="63"/>
      <c r="V315" s="63"/>
      <c r="W315" s="17"/>
      <c r="X315" s="65">
        <v>46249</v>
      </c>
    </row>
    <row r="316" spans="1:24" ht="13.8" thickBot="1" x14ac:dyDescent="0.3">
      <c r="A316" s="4" t="s">
        <v>244</v>
      </c>
      <c r="B316" s="63"/>
      <c r="C316" s="63"/>
      <c r="D316" s="63"/>
      <c r="E316" s="63"/>
      <c r="F316" s="63"/>
      <c r="G316" s="63"/>
      <c r="H316" s="63"/>
      <c r="I316" s="64"/>
      <c r="J316" s="14" t="s">
        <v>10</v>
      </c>
      <c r="K316" s="5" t="s">
        <v>1012</v>
      </c>
      <c r="L316" s="6">
        <v>0.5</v>
      </c>
      <c r="M316" s="7" t="s">
        <v>1013</v>
      </c>
      <c r="N316" s="14" t="s">
        <v>11</v>
      </c>
      <c r="O316" s="64"/>
      <c r="P316" s="63"/>
      <c r="Q316" s="63"/>
      <c r="R316" s="63"/>
      <c r="S316" s="63"/>
      <c r="T316" s="63"/>
      <c r="U316" s="63"/>
      <c r="V316" s="63"/>
      <c r="W316" s="17"/>
      <c r="X316" s="65">
        <v>46249</v>
      </c>
    </row>
    <row r="317" spans="1:24" ht="19.8" thickBot="1" x14ac:dyDescent="0.3">
      <c r="A317" s="4" t="s">
        <v>244</v>
      </c>
      <c r="B317" s="63"/>
      <c r="C317" s="63"/>
      <c r="D317" s="63"/>
      <c r="E317" s="63"/>
      <c r="F317" s="63"/>
      <c r="G317" s="63"/>
      <c r="H317" s="63"/>
      <c r="I317" s="64"/>
      <c r="J317" s="14" t="s">
        <v>10</v>
      </c>
      <c r="K317" s="5" t="s">
        <v>1014</v>
      </c>
      <c r="L317" s="6">
        <v>0.5</v>
      </c>
      <c r="M317" s="7" t="s">
        <v>1015</v>
      </c>
      <c r="N317" s="14" t="s">
        <v>11</v>
      </c>
      <c r="O317" s="64"/>
      <c r="P317" s="63"/>
      <c r="Q317" s="63"/>
      <c r="R317" s="63"/>
      <c r="S317" s="63"/>
      <c r="T317" s="63"/>
      <c r="U317" s="63"/>
      <c r="V317" s="63"/>
      <c r="W317" s="17"/>
      <c r="X317" s="65">
        <v>46249</v>
      </c>
    </row>
    <row r="318" spans="1:24" ht="13.8" thickBot="1" x14ac:dyDescent="0.3">
      <c r="A318" s="4" t="s">
        <v>244</v>
      </c>
      <c r="B318" s="63"/>
      <c r="C318" s="63"/>
      <c r="D318" s="63"/>
      <c r="E318" s="63"/>
      <c r="F318" s="63"/>
      <c r="G318" s="63"/>
      <c r="H318" s="63"/>
      <c r="I318" s="64"/>
      <c r="J318" s="14" t="s">
        <v>10</v>
      </c>
      <c r="K318" s="5" t="s">
        <v>1016</v>
      </c>
      <c r="L318" s="6">
        <v>0.5</v>
      </c>
      <c r="M318" s="7" t="s">
        <v>1017</v>
      </c>
      <c r="N318" s="14" t="s">
        <v>11</v>
      </c>
      <c r="O318" s="64"/>
      <c r="P318" s="63"/>
      <c r="Q318" s="63"/>
      <c r="R318" s="63"/>
      <c r="S318" s="63"/>
      <c r="T318" s="63"/>
      <c r="U318" s="63"/>
      <c r="V318" s="63"/>
      <c r="W318" s="17"/>
      <c r="X318" s="65">
        <v>46249</v>
      </c>
    </row>
    <row r="319" spans="1:24" ht="13.8" thickBot="1" x14ac:dyDescent="0.3">
      <c r="A319" s="4" t="s">
        <v>244</v>
      </c>
      <c r="B319" s="63"/>
      <c r="C319" s="63"/>
      <c r="D319" s="63"/>
      <c r="E319" s="63"/>
      <c r="F319" s="63"/>
      <c r="G319" s="63"/>
      <c r="H319" s="63"/>
      <c r="I319" s="64"/>
      <c r="J319" s="14" t="s">
        <v>10</v>
      </c>
      <c r="K319" s="5" t="s">
        <v>1018</v>
      </c>
      <c r="L319" s="6">
        <v>0.5</v>
      </c>
      <c r="M319" s="7" t="s">
        <v>1019</v>
      </c>
      <c r="N319" s="14" t="s">
        <v>11</v>
      </c>
      <c r="O319" s="64"/>
      <c r="P319" s="63"/>
      <c r="Q319" s="63"/>
      <c r="R319" s="63"/>
      <c r="S319" s="63"/>
      <c r="T319" s="63"/>
      <c r="U319" s="63"/>
      <c r="V319" s="63"/>
      <c r="W319" s="17"/>
      <c r="X319" s="65">
        <v>46249</v>
      </c>
    </row>
    <row r="320" spans="1:24" ht="13.8" thickBot="1" x14ac:dyDescent="0.3">
      <c r="A320" s="4" t="s">
        <v>244</v>
      </c>
      <c r="B320" s="63"/>
      <c r="C320" s="63"/>
      <c r="D320" s="63"/>
      <c r="E320" s="63"/>
      <c r="F320" s="63"/>
      <c r="G320" s="63"/>
      <c r="H320" s="63"/>
      <c r="I320" s="64"/>
      <c r="J320" s="14" t="s">
        <v>10</v>
      </c>
      <c r="K320" s="5" t="s">
        <v>1020</v>
      </c>
      <c r="L320" s="6">
        <v>0.5</v>
      </c>
      <c r="M320" s="7" t="s">
        <v>1021</v>
      </c>
      <c r="N320" s="14" t="s">
        <v>11</v>
      </c>
      <c r="O320" s="64"/>
      <c r="P320" s="63"/>
      <c r="Q320" s="63"/>
      <c r="R320" s="63"/>
      <c r="S320" s="63"/>
      <c r="T320" s="63"/>
      <c r="U320" s="63"/>
      <c r="V320" s="63"/>
      <c r="W320" s="17"/>
      <c r="X320" s="65">
        <v>46249</v>
      </c>
    </row>
    <row r="321" spans="1:24" ht="13.8" thickBot="1" x14ac:dyDescent="0.3">
      <c r="A321" s="4" t="s">
        <v>244</v>
      </c>
      <c r="B321" s="63"/>
      <c r="C321" s="63"/>
      <c r="D321" s="63"/>
      <c r="E321" s="63"/>
      <c r="F321" s="63"/>
      <c r="G321" s="63"/>
      <c r="H321" s="63"/>
      <c r="I321" s="64"/>
      <c r="J321" s="14" t="s">
        <v>10</v>
      </c>
      <c r="K321" s="5" t="s">
        <v>1022</v>
      </c>
      <c r="L321" s="6">
        <v>0.5</v>
      </c>
      <c r="M321" s="7" t="s">
        <v>1023</v>
      </c>
      <c r="N321" s="14" t="s">
        <v>11</v>
      </c>
      <c r="O321" s="64"/>
      <c r="P321" s="63"/>
      <c r="Q321" s="63"/>
      <c r="R321" s="63"/>
      <c r="S321" s="63"/>
      <c r="T321" s="63"/>
      <c r="U321" s="63"/>
      <c r="V321" s="63"/>
      <c r="W321" s="17"/>
      <c r="X321" s="65">
        <v>46249</v>
      </c>
    </row>
    <row r="322" spans="1:24" ht="13.8" thickBot="1" x14ac:dyDescent="0.3">
      <c r="A322" s="4" t="s">
        <v>244</v>
      </c>
      <c r="B322" s="63"/>
      <c r="C322" s="63"/>
      <c r="D322" s="63"/>
      <c r="E322" s="63"/>
      <c r="F322" s="63"/>
      <c r="G322" s="63"/>
      <c r="H322" s="63"/>
      <c r="I322" s="64"/>
      <c r="J322" s="14" t="s">
        <v>10</v>
      </c>
      <c r="K322" s="5" t="s">
        <v>1024</v>
      </c>
      <c r="L322" s="6">
        <v>0.5</v>
      </c>
      <c r="M322" s="7" t="s">
        <v>1025</v>
      </c>
      <c r="N322" s="14" t="s">
        <v>11</v>
      </c>
      <c r="O322" s="64"/>
      <c r="P322" s="63"/>
      <c r="Q322" s="63"/>
      <c r="R322" s="63"/>
      <c r="S322" s="63"/>
      <c r="T322" s="63"/>
      <c r="U322" s="63"/>
      <c r="V322" s="63"/>
      <c r="W322" s="17"/>
      <c r="X322" s="65">
        <v>46249</v>
      </c>
    </row>
    <row r="323" spans="1:24" ht="13.8" thickBot="1" x14ac:dyDescent="0.3">
      <c r="A323" s="4" t="s">
        <v>244</v>
      </c>
      <c r="B323" s="63"/>
      <c r="C323" s="63"/>
      <c r="D323" s="63"/>
      <c r="E323" s="63"/>
      <c r="F323" s="63"/>
      <c r="G323" s="63"/>
      <c r="H323" s="63"/>
      <c r="I323" s="64"/>
      <c r="J323" s="14" t="s">
        <v>10</v>
      </c>
      <c r="K323" s="5" t="s">
        <v>1026</v>
      </c>
      <c r="L323" s="6">
        <v>0.5</v>
      </c>
      <c r="M323" s="7" t="s">
        <v>1027</v>
      </c>
      <c r="N323" s="14" t="s">
        <v>11</v>
      </c>
      <c r="O323" s="64"/>
      <c r="P323" s="63"/>
      <c r="Q323" s="63"/>
      <c r="R323" s="63"/>
      <c r="S323" s="63"/>
      <c r="T323" s="63"/>
      <c r="U323" s="63"/>
      <c r="V323" s="63"/>
      <c r="W323" s="17"/>
      <c r="X323" s="65">
        <v>46249</v>
      </c>
    </row>
    <row r="324" spans="1:24" ht="19.8" thickBot="1" x14ac:dyDescent="0.3">
      <c r="A324" s="4" t="s">
        <v>244</v>
      </c>
      <c r="B324" s="63"/>
      <c r="C324" s="63"/>
      <c r="D324" s="63"/>
      <c r="E324" s="63"/>
      <c r="F324" s="63"/>
      <c r="G324" s="63"/>
      <c r="H324" s="63"/>
      <c r="I324" s="64"/>
      <c r="J324" s="14" t="s">
        <v>10</v>
      </c>
      <c r="K324" s="5" t="s">
        <v>1028</v>
      </c>
      <c r="L324" s="6">
        <v>0.5</v>
      </c>
      <c r="M324" s="7" t="s">
        <v>1029</v>
      </c>
      <c r="N324" s="14" t="s">
        <v>11</v>
      </c>
      <c r="O324" s="64"/>
      <c r="P324" s="63"/>
      <c r="Q324" s="63"/>
      <c r="R324" s="63"/>
      <c r="S324" s="63"/>
      <c r="T324" s="63"/>
      <c r="U324" s="63"/>
      <c r="V324" s="63"/>
      <c r="W324" s="17"/>
      <c r="X324" s="65">
        <v>46249</v>
      </c>
    </row>
    <row r="325" spans="1:24" ht="19.8" thickBot="1" x14ac:dyDescent="0.3">
      <c r="A325" s="4" t="s">
        <v>244</v>
      </c>
      <c r="B325" s="63"/>
      <c r="C325" s="63"/>
      <c r="D325" s="63"/>
      <c r="E325" s="63"/>
      <c r="F325" s="63"/>
      <c r="G325" s="63"/>
      <c r="H325" s="63"/>
      <c r="I325" s="64"/>
      <c r="J325" s="14" t="s">
        <v>10</v>
      </c>
      <c r="K325" s="5" t="s">
        <v>1030</v>
      </c>
      <c r="L325" s="6">
        <v>0.5</v>
      </c>
      <c r="M325" s="7" t="s">
        <v>1031</v>
      </c>
      <c r="N325" s="14" t="s">
        <v>11</v>
      </c>
      <c r="O325" s="64"/>
      <c r="P325" s="63"/>
      <c r="Q325" s="63"/>
      <c r="R325" s="63"/>
      <c r="S325" s="63"/>
      <c r="T325" s="63"/>
      <c r="U325" s="63"/>
      <c r="V325" s="63"/>
      <c r="W325" s="17"/>
      <c r="X325" s="65">
        <v>46249</v>
      </c>
    </row>
    <row r="326" spans="1:24" ht="19.8" thickBot="1" x14ac:dyDescent="0.3">
      <c r="A326" s="4" t="s">
        <v>244</v>
      </c>
      <c r="B326" s="63"/>
      <c r="C326" s="63"/>
      <c r="D326" s="63"/>
      <c r="E326" s="63"/>
      <c r="F326" s="63"/>
      <c r="G326" s="63"/>
      <c r="H326" s="63"/>
      <c r="I326" s="64"/>
      <c r="J326" s="14" t="s">
        <v>10</v>
      </c>
      <c r="K326" s="5" t="s">
        <v>1032</v>
      </c>
      <c r="L326" s="6">
        <v>0.5</v>
      </c>
      <c r="M326" s="7" t="s">
        <v>1033</v>
      </c>
      <c r="N326" s="14" t="s">
        <v>11</v>
      </c>
      <c r="O326" s="64"/>
      <c r="P326" s="63"/>
      <c r="Q326" s="63"/>
      <c r="R326" s="63"/>
      <c r="S326" s="63"/>
      <c r="T326" s="63"/>
      <c r="U326" s="63"/>
      <c r="V326" s="63"/>
      <c r="W326" s="17"/>
      <c r="X326" s="65">
        <v>46249</v>
      </c>
    </row>
    <row r="327" spans="1:24" ht="19.8" thickBot="1" x14ac:dyDescent="0.3">
      <c r="A327" s="4" t="s">
        <v>244</v>
      </c>
      <c r="B327" s="8">
        <v>1</v>
      </c>
      <c r="C327" s="15">
        <v>1</v>
      </c>
      <c r="D327" s="8">
        <v>1</v>
      </c>
      <c r="E327" s="10" t="s">
        <v>226</v>
      </c>
      <c r="F327" s="11" t="s">
        <v>219</v>
      </c>
      <c r="G327" s="12" t="s">
        <v>226</v>
      </c>
      <c r="H327" s="13" t="s">
        <v>219</v>
      </c>
      <c r="I327" s="14">
        <v>1</v>
      </c>
      <c r="J327" s="14" t="s">
        <v>10</v>
      </c>
      <c r="K327" s="5" t="s">
        <v>1034</v>
      </c>
      <c r="L327" s="6">
        <v>0.5</v>
      </c>
      <c r="M327" s="7" t="s">
        <v>1035</v>
      </c>
      <c r="N327" s="14" t="s">
        <v>11</v>
      </c>
      <c r="O327" s="14">
        <v>1</v>
      </c>
      <c r="P327" s="13" t="s">
        <v>219</v>
      </c>
      <c r="Q327" s="12" t="s">
        <v>218</v>
      </c>
      <c r="R327" s="11" t="s">
        <v>219</v>
      </c>
      <c r="S327" s="10" t="s">
        <v>218</v>
      </c>
      <c r="T327" s="8">
        <v>1</v>
      </c>
      <c r="U327" s="15">
        <v>1</v>
      </c>
      <c r="V327" s="8">
        <v>0</v>
      </c>
      <c r="W327" s="17"/>
      <c r="X327" s="65">
        <v>46249</v>
      </c>
    </row>
    <row r="328" spans="1:24" ht="19.8" thickBot="1" x14ac:dyDescent="0.3">
      <c r="A328" s="4" t="s">
        <v>244</v>
      </c>
      <c r="B328" s="63"/>
      <c r="C328" s="63"/>
      <c r="D328" s="63"/>
      <c r="E328" s="63"/>
      <c r="F328" s="63"/>
      <c r="G328" s="63"/>
      <c r="H328" s="63"/>
      <c r="I328" s="64"/>
      <c r="J328" s="14" t="s">
        <v>10</v>
      </c>
      <c r="K328" s="5" t="s">
        <v>1036</v>
      </c>
      <c r="L328" s="6">
        <v>0.5</v>
      </c>
      <c r="M328" s="7" t="s">
        <v>1037</v>
      </c>
      <c r="N328" s="14" t="s">
        <v>11</v>
      </c>
      <c r="O328" s="64"/>
      <c r="P328" s="63"/>
      <c r="Q328" s="63"/>
      <c r="R328" s="63"/>
      <c r="S328" s="63"/>
      <c r="T328" s="63"/>
      <c r="U328" s="63"/>
      <c r="V328" s="63"/>
      <c r="W328" s="17"/>
      <c r="X328" s="65">
        <v>46249</v>
      </c>
    </row>
    <row r="329" spans="1:24" ht="19.8" thickBot="1" x14ac:dyDescent="0.3">
      <c r="A329" s="4" t="s">
        <v>244</v>
      </c>
      <c r="B329" s="63"/>
      <c r="C329" s="63"/>
      <c r="D329" s="63"/>
      <c r="E329" s="63"/>
      <c r="F329" s="63"/>
      <c r="G329" s="63"/>
      <c r="H329" s="63"/>
      <c r="I329" s="64"/>
      <c r="J329" s="14" t="s">
        <v>10</v>
      </c>
      <c r="K329" s="5" t="s">
        <v>1038</v>
      </c>
      <c r="L329" s="6">
        <v>0.5</v>
      </c>
      <c r="M329" s="7" t="s">
        <v>1039</v>
      </c>
      <c r="N329" s="14" t="s">
        <v>11</v>
      </c>
      <c r="O329" s="64"/>
      <c r="P329" s="63"/>
      <c r="Q329" s="63"/>
      <c r="R329" s="63"/>
      <c r="S329" s="63"/>
      <c r="T329" s="63"/>
      <c r="U329" s="63"/>
      <c r="V329" s="63"/>
      <c r="W329" s="17"/>
      <c r="X329" s="65">
        <v>46249</v>
      </c>
    </row>
    <row r="330" spans="1:24" ht="13.8" thickBot="1" x14ac:dyDescent="0.3">
      <c r="A330" s="4" t="s">
        <v>244</v>
      </c>
      <c r="B330" s="63"/>
      <c r="C330" s="63"/>
      <c r="D330" s="63"/>
      <c r="E330" s="63"/>
      <c r="F330" s="63"/>
      <c r="G330" s="63"/>
      <c r="H330" s="63"/>
      <c r="I330" s="64"/>
      <c r="J330" s="14" t="s">
        <v>10</v>
      </c>
      <c r="K330" s="5" t="s">
        <v>1040</v>
      </c>
      <c r="L330" s="6">
        <v>0.5</v>
      </c>
      <c r="M330" s="7" t="s">
        <v>1041</v>
      </c>
      <c r="N330" s="14" t="s">
        <v>11</v>
      </c>
      <c r="O330" s="64"/>
      <c r="P330" s="63"/>
      <c r="Q330" s="63"/>
      <c r="R330" s="63"/>
      <c r="S330" s="63"/>
      <c r="T330" s="63"/>
      <c r="U330" s="63"/>
      <c r="V330" s="63"/>
      <c r="W330" s="17"/>
      <c r="X330" s="65">
        <v>46249</v>
      </c>
    </row>
    <row r="331" spans="1:24" ht="19.8" thickBot="1" x14ac:dyDescent="0.3">
      <c r="A331" s="4" t="s">
        <v>244</v>
      </c>
      <c r="B331" s="63"/>
      <c r="C331" s="63"/>
      <c r="D331" s="63"/>
      <c r="E331" s="63"/>
      <c r="F331" s="63"/>
      <c r="G331" s="63"/>
      <c r="H331" s="63"/>
      <c r="I331" s="64"/>
      <c r="J331" s="14" t="s">
        <v>10</v>
      </c>
      <c r="K331" s="5" t="s">
        <v>1042</v>
      </c>
      <c r="L331" s="6">
        <v>0.5</v>
      </c>
      <c r="M331" s="7" t="s">
        <v>1043</v>
      </c>
      <c r="N331" s="14" t="s">
        <v>11</v>
      </c>
      <c r="O331" s="64"/>
      <c r="P331" s="63"/>
      <c r="Q331" s="63"/>
      <c r="R331" s="63"/>
      <c r="S331" s="63"/>
      <c r="T331" s="63"/>
      <c r="U331" s="63"/>
      <c r="V331" s="63"/>
      <c r="W331" s="17"/>
      <c r="X331" s="65">
        <v>46249</v>
      </c>
    </row>
    <row r="332" spans="1:24" ht="13.8" thickBot="1" x14ac:dyDescent="0.3">
      <c r="A332" s="4" t="s">
        <v>244</v>
      </c>
      <c r="B332" s="63"/>
      <c r="C332" s="63"/>
      <c r="D332" s="63"/>
      <c r="E332" s="63"/>
      <c r="F332" s="63"/>
      <c r="G332" s="63"/>
      <c r="H332" s="63"/>
      <c r="I332" s="64"/>
      <c r="J332" s="14" t="s">
        <v>10</v>
      </c>
      <c r="K332" s="5" t="s">
        <v>1044</v>
      </c>
      <c r="L332" s="6">
        <v>0.5</v>
      </c>
      <c r="M332" s="7" t="s">
        <v>1045</v>
      </c>
      <c r="N332" s="14" t="s">
        <v>11</v>
      </c>
      <c r="O332" s="64"/>
      <c r="P332" s="63"/>
      <c r="Q332" s="63"/>
      <c r="R332" s="63"/>
      <c r="S332" s="63"/>
      <c r="T332" s="63"/>
      <c r="U332" s="63"/>
      <c r="V332" s="63"/>
      <c r="W332" s="17"/>
      <c r="X332" s="65">
        <v>46249</v>
      </c>
    </row>
    <row r="333" spans="1:24" ht="19.8" thickBot="1" x14ac:dyDescent="0.3">
      <c r="A333" s="4" t="s">
        <v>244</v>
      </c>
      <c r="B333" s="63"/>
      <c r="C333" s="63"/>
      <c r="D333" s="63"/>
      <c r="E333" s="63"/>
      <c r="F333" s="63"/>
      <c r="G333" s="63"/>
      <c r="H333" s="63"/>
      <c r="I333" s="64"/>
      <c r="J333" s="14" t="s">
        <v>10</v>
      </c>
      <c r="K333" s="5" t="s">
        <v>1046</v>
      </c>
      <c r="L333" s="6">
        <v>0.5</v>
      </c>
      <c r="M333" s="7" t="s">
        <v>1047</v>
      </c>
      <c r="N333" s="14" t="s">
        <v>11</v>
      </c>
      <c r="O333" s="64"/>
      <c r="P333" s="63"/>
      <c r="Q333" s="63"/>
      <c r="R333" s="63"/>
      <c r="S333" s="63"/>
      <c r="T333" s="63"/>
      <c r="U333" s="63"/>
      <c r="V333" s="63"/>
      <c r="W333" s="17"/>
      <c r="X333" s="65">
        <v>46249</v>
      </c>
    </row>
    <row r="334" spans="1:24" ht="13.8" thickBot="1" x14ac:dyDescent="0.3">
      <c r="A334" s="4" t="s">
        <v>244</v>
      </c>
      <c r="B334" s="63"/>
      <c r="C334" s="63"/>
      <c r="D334" s="63"/>
      <c r="E334" s="63"/>
      <c r="F334" s="63"/>
      <c r="G334" s="63"/>
      <c r="H334" s="63"/>
      <c r="I334" s="64"/>
      <c r="J334" s="14" t="s">
        <v>10</v>
      </c>
      <c r="K334" s="5" t="s">
        <v>1048</v>
      </c>
      <c r="L334" s="6">
        <v>0.5</v>
      </c>
      <c r="M334" s="7" t="s">
        <v>1049</v>
      </c>
      <c r="N334" s="14" t="s">
        <v>11</v>
      </c>
      <c r="O334" s="64"/>
      <c r="P334" s="63"/>
      <c r="Q334" s="63"/>
      <c r="R334" s="63"/>
      <c r="S334" s="63"/>
      <c r="T334" s="63"/>
      <c r="U334" s="63"/>
      <c r="V334" s="63"/>
      <c r="W334" s="17"/>
      <c r="X334" s="65">
        <v>46249</v>
      </c>
    </row>
    <row r="335" spans="1:24" ht="19.8" thickBot="1" x14ac:dyDescent="0.3">
      <c r="A335" s="4" t="s">
        <v>244</v>
      </c>
      <c r="B335" s="63"/>
      <c r="C335" s="63"/>
      <c r="D335" s="63"/>
      <c r="E335" s="63"/>
      <c r="F335" s="63"/>
      <c r="G335" s="63"/>
      <c r="H335" s="63"/>
      <c r="I335" s="64"/>
      <c r="J335" s="14" t="s">
        <v>10</v>
      </c>
      <c r="K335" s="5" t="s">
        <v>1050</v>
      </c>
      <c r="L335" s="6">
        <v>0.5</v>
      </c>
      <c r="M335" s="7" t="s">
        <v>1051</v>
      </c>
      <c r="N335" s="14" t="s">
        <v>11</v>
      </c>
      <c r="O335" s="64"/>
      <c r="P335" s="63"/>
      <c r="Q335" s="63"/>
      <c r="R335" s="63"/>
      <c r="S335" s="63"/>
      <c r="T335" s="63"/>
      <c r="U335" s="63"/>
      <c r="V335" s="63"/>
      <c r="W335" s="17"/>
      <c r="X335" s="65">
        <v>46249</v>
      </c>
    </row>
    <row r="336" spans="1:24" ht="19.8" thickBot="1" x14ac:dyDescent="0.3">
      <c r="A336" s="4" t="s">
        <v>244</v>
      </c>
      <c r="B336" s="8">
        <v>0</v>
      </c>
      <c r="C336" s="15">
        <v>1</v>
      </c>
      <c r="D336" s="8">
        <v>1</v>
      </c>
      <c r="E336" s="10" t="s">
        <v>219</v>
      </c>
      <c r="F336" s="11" t="s">
        <v>218</v>
      </c>
      <c r="G336" s="12" t="s">
        <v>218</v>
      </c>
      <c r="H336" s="13" t="s">
        <v>218</v>
      </c>
      <c r="I336" s="14">
        <v>1</v>
      </c>
      <c r="J336" s="14" t="s">
        <v>10</v>
      </c>
      <c r="K336" s="5" t="s">
        <v>1052</v>
      </c>
      <c r="L336" s="6">
        <v>0.5</v>
      </c>
      <c r="M336" s="7" t="s">
        <v>1053</v>
      </c>
      <c r="N336" s="14" t="s">
        <v>11</v>
      </c>
      <c r="O336" s="14">
        <v>1</v>
      </c>
      <c r="P336" s="13" t="s">
        <v>219</v>
      </c>
      <c r="Q336" s="12" t="s">
        <v>278</v>
      </c>
      <c r="R336" s="11" t="s">
        <v>219</v>
      </c>
      <c r="S336" s="10" t="s">
        <v>278</v>
      </c>
      <c r="T336" s="8">
        <v>1</v>
      </c>
      <c r="U336" s="15">
        <v>1</v>
      </c>
      <c r="V336" s="8">
        <v>1</v>
      </c>
      <c r="W336" s="17"/>
      <c r="X336" s="65">
        <v>46249</v>
      </c>
    </row>
    <row r="337" spans="1:24" ht="13.8" thickBot="1" x14ac:dyDescent="0.3">
      <c r="A337" s="4" t="s">
        <v>244</v>
      </c>
      <c r="B337" s="8">
        <v>1</v>
      </c>
      <c r="C337" s="15">
        <v>1</v>
      </c>
      <c r="D337" s="8">
        <v>1</v>
      </c>
      <c r="E337" s="10" t="s">
        <v>216</v>
      </c>
      <c r="F337" s="11" t="s">
        <v>216</v>
      </c>
      <c r="G337" s="12" t="s">
        <v>226</v>
      </c>
      <c r="H337" s="13" t="s">
        <v>217</v>
      </c>
      <c r="I337" s="14">
        <v>1</v>
      </c>
      <c r="J337" s="14" t="s">
        <v>10</v>
      </c>
      <c r="K337" s="5" t="s">
        <v>1054</v>
      </c>
      <c r="L337" s="6">
        <v>0.5</v>
      </c>
      <c r="M337" s="7" t="s">
        <v>1055</v>
      </c>
      <c r="N337" s="14" t="s">
        <v>11</v>
      </c>
      <c r="O337" s="14">
        <v>1</v>
      </c>
      <c r="P337" s="13" t="s">
        <v>219</v>
      </c>
      <c r="Q337" s="12" t="s">
        <v>216</v>
      </c>
      <c r="R337" s="11" t="s">
        <v>219</v>
      </c>
      <c r="S337" s="10" t="s">
        <v>216</v>
      </c>
      <c r="T337" s="8">
        <v>1</v>
      </c>
      <c r="U337" s="9">
        <v>0</v>
      </c>
      <c r="V337" s="8">
        <v>0</v>
      </c>
      <c r="W337" s="17"/>
      <c r="X337" s="65">
        <v>46249</v>
      </c>
    </row>
    <row r="338" spans="1:24" ht="13.8" thickBot="1" x14ac:dyDescent="0.3">
      <c r="A338" s="4" t="s">
        <v>244</v>
      </c>
      <c r="B338" s="8">
        <v>0</v>
      </c>
      <c r="C338" s="15">
        <v>1</v>
      </c>
      <c r="D338" s="8">
        <v>1</v>
      </c>
      <c r="E338" s="10" t="s">
        <v>219</v>
      </c>
      <c r="F338" s="11" t="s">
        <v>218</v>
      </c>
      <c r="G338" s="12" t="s">
        <v>218</v>
      </c>
      <c r="H338" s="13" t="s">
        <v>218</v>
      </c>
      <c r="I338" s="14">
        <v>1</v>
      </c>
      <c r="J338" s="14" t="s">
        <v>10</v>
      </c>
      <c r="K338" s="5" t="s">
        <v>1056</v>
      </c>
      <c r="L338" s="6">
        <v>0.5</v>
      </c>
      <c r="M338" s="7" t="s">
        <v>1057</v>
      </c>
      <c r="N338" s="14" t="s">
        <v>11</v>
      </c>
      <c r="O338" s="14">
        <v>1</v>
      </c>
      <c r="P338" s="13" t="s">
        <v>218</v>
      </c>
      <c r="Q338" s="12" t="s">
        <v>218</v>
      </c>
      <c r="R338" s="11" t="s">
        <v>216</v>
      </c>
      <c r="S338" s="10" t="s">
        <v>217</v>
      </c>
      <c r="T338" s="8">
        <v>1</v>
      </c>
      <c r="U338" s="15">
        <v>1</v>
      </c>
      <c r="V338" s="8">
        <v>0</v>
      </c>
      <c r="W338" s="17"/>
      <c r="X338" s="65">
        <v>46249</v>
      </c>
    </row>
    <row r="339" spans="1:24" ht="19.8" thickBot="1" x14ac:dyDescent="0.3">
      <c r="A339" s="4" t="s">
        <v>244</v>
      </c>
      <c r="B339" s="8">
        <v>0</v>
      </c>
      <c r="C339" s="9">
        <v>0</v>
      </c>
      <c r="D339" s="8">
        <v>1</v>
      </c>
      <c r="E339" s="10" t="s">
        <v>219</v>
      </c>
      <c r="F339" s="11" t="s">
        <v>216</v>
      </c>
      <c r="G339" s="12" t="s">
        <v>216</v>
      </c>
      <c r="H339" s="13" t="s">
        <v>218</v>
      </c>
      <c r="I339" s="14">
        <v>1</v>
      </c>
      <c r="J339" s="14" t="s">
        <v>10</v>
      </c>
      <c r="K339" s="5" t="s">
        <v>1058</v>
      </c>
      <c r="L339" s="6">
        <v>0.5</v>
      </c>
      <c r="M339" s="7" t="s">
        <v>1059</v>
      </c>
      <c r="N339" s="14" t="s">
        <v>11</v>
      </c>
      <c r="O339" s="14">
        <v>1</v>
      </c>
      <c r="P339" s="13" t="s">
        <v>217</v>
      </c>
      <c r="Q339" s="12" t="s">
        <v>216</v>
      </c>
      <c r="R339" s="11" t="s">
        <v>217</v>
      </c>
      <c r="S339" s="10" t="s">
        <v>217</v>
      </c>
      <c r="T339" s="8">
        <v>1</v>
      </c>
      <c r="U339" s="9">
        <v>0</v>
      </c>
      <c r="V339" s="8">
        <v>0</v>
      </c>
      <c r="W339" s="17"/>
      <c r="X339" s="65">
        <v>46249</v>
      </c>
    </row>
    <row r="340" spans="1:24" ht="19.8" thickBot="1" x14ac:dyDescent="0.3">
      <c r="A340" s="4" t="s">
        <v>244</v>
      </c>
      <c r="B340" s="8">
        <v>1</v>
      </c>
      <c r="C340" s="15">
        <v>1</v>
      </c>
      <c r="D340" s="8">
        <v>1</v>
      </c>
      <c r="E340" s="10" t="s">
        <v>217</v>
      </c>
      <c r="F340" s="11" t="s">
        <v>218</v>
      </c>
      <c r="G340" s="12" t="s">
        <v>226</v>
      </c>
      <c r="H340" s="13" t="s">
        <v>218</v>
      </c>
      <c r="I340" s="14">
        <v>1</v>
      </c>
      <c r="J340" s="14" t="s">
        <v>10</v>
      </c>
      <c r="K340" s="5" t="s">
        <v>1060</v>
      </c>
      <c r="L340" s="6">
        <v>0.5</v>
      </c>
      <c r="M340" s="7" t="s">
        <v>1061</v>
      </c>
      <c r="N340" s="14" t="s">
        <v>11</v>
      </c>
      <c r="O340" s="14">
        <v>1</v>
      </c>
      <c r="P340" s="13" t="s">
        <v>219</v>
      </c>
      <c r="Q340" s="12" t="s">
        <v>278</v>
      </c>
      <c r="R340" s="11" t="s">
        <v>216</v>
      </c>
      <c r="S340" s="10" t="s">
        <v>218</v>
      </c>
      <c r="T340" s="8">
        <v>1</v>
      </c>
      <c r="U340" s="15">
        <v>1</v>
      </c>
      <c r="V340" s="8">
        <v>1</v>
      </c>
      <c r="W340" s="17"/>
      <c r="X340" s="65">
        <v>46249</v>
      </c>
    </row>
    <row r="341" spans="1:24" ht="19.8" thickBot="1" x14ac:dyDescent="0.3">
      <c r="A341" s="4" t="s">
        <v>244</v>
      </c>
      <c r="B341" s="8">
        <v>1</v>
      </c>
      <c r="C341" s="15">
        <v>1</v>
      </c>
      <c r="D341" s="8">
        <v>1</v>
      </c>
      <c r="E341" s="10" t="s">
        <v>219</v>
      </c>
      <c r="F341" s="11" t="s">
        <v>238</v>
      </c>
      <c r="G341" s="12" t="s">
        <v>238</v>
      </c>
      <c r="H341" s="13" t="s">
        <v>218</v>
      </c>
      <c r="I341" s="14">
        <v>1</v>
      </c>
      <c r="J341" s="14" t="s">
        <v>10</v>
      </c>
      <c r="K341" s="5" t="s">
        <v>1062</v>
      </c>
      <c r="L341" s="6">
        <v>0.5</v>
      </c>
      <c r="M341" s="7" t="s">
        <v>1063</v>
      </c>
      <c r="N341" s="14" t="s">
        <v>11</v>
      </c>
      <c r="O341" s="14">
        <v>1</v>
      </c>
      <c r="P341" s="13" t="s">
        <v>217</v>
      </c>
      <c r="Q341" s="12" t="s">
        <v>219</v>
      </c>
      <c r="R341" s="11" t="s">
        <v>219</v>
      </c>
      <c r="S341" s="10" t="s">
        <v>219</v>
      </c>
      <c r="T341" s="8">
        <v>0</v>
      </c>
      <c r="U341" s="9">
        <v>0</v>
      </c>
      <c r="V341" s="8">
        <v>0</v>
      </c>
      <c r="W341" s="17"/>
      <c r="X341" s="65">
        <v>46249</v>
      </c>
    </row>
    <row r="342" spans="1:24" ht="19.8" thickBot="1" x14ac:dyDescent="0.3">
      <c r="A342" s="4" t="s">
        <v>244</v>
      </c>
      <c r="B342" s="8">
        <v>1</v>
      </c>
      <c r="C342" s="15">
        <v>1</v>
      </c>
      <c r="D342" s="8">
        <v>1</v>
      </c>
      <c r="E342" s="10" t="s">
        <v>216</v>
      </c>
      <c r="F342" s="11" t="s">
        <v>218</v>
      </c>
      <c r="G342" s="12" t="s">
        <v>278</v>
      </c>
      <c r="H342" s="13" t="s">
        <v>218</v>
      </c>
      <c r="I342" s="14">
        <v>1</v>
      </c>
      <c r="J342" s="14" t="s">
        <v>10</v>
      </c>
      <c r="K342" s="5" t="s">
        <v>1064</v>
      </c>
      <c r="L342" s="6">
        <v>0.5</v>
      </c>
      <c r="M342" s="7" t="s">
        <v>1065</v>
      </c>
      <c r="N342" s="14" t="s">
        <v>11</v>
      </c>
      <c r="O342" s="14">
        <v>1</v>
      </c>
      <c r="P342" s="13" t="s">
        <v>219</v>
      </c>
      <c r="Q342" s="12" t="s">
        <v>217</v>
      </c>
      <c r="R342" s="11" t="s">
        <v>219</v>
      </c>
      <c r="S342" s="10" t="s">
        <v>217</v>
      </c>
      <c r="T342" s="8">
        <v>0</v>
      </c>
      <c r="U342" s="9">
        <v>0</v>
      </c>
      <c r="V342" s="8">
        <v>0</v>
      </c>
      <c r="W342" s="17"/>
      <c r="X342" s="65">
        <v>46249</v>
      </c>
    </row>
    <row r="343" spans="1:24" ht="13.8" thickBot="1" x14ac:dyDescent="0.3">
      <c r="A343" s="4" t="s">
        <v>244</v>
      </c>
      <c r="B343" s="8">
        <v>0</v>
      </c>
      <c r="C343" s="15">
        <v>1</v>
      </c>
      <c r="D343" s="8">
        <v>1</v>
      </c>
      <c r="E343" s="10" t="s">
        <v>216</v>
      </c>
      <c r="F343" s="11" t="s">
        <v>217</v>
      </c>
      <c r="G343" s="12" t="s">
        <v>218</v>
      </c>
      <c r="H343" s="13" t="s">
        <v>219</v>
      </c>
      <c r="I343" s="14">
        <v>1</v>
      </c>
      <c r="J343" s="14" t="s">
        <v>10</v>
      </c>
      <c r="K343" s="5" t="s">
        <v>1066</v>
      </c>
      <c r="L343" s="6">
        <v>0.5</v>
      </c>
      <c r="M343" s="7" t="s">
        <v>1067</v>
      </c>
      <c r="N343" s="14" t="s">
        <v>11</v>
      </c>
      <c r="O343" s="14">
        <v>1</v>
      </c>
      <c r="P343" s="13" t="s">
        <v>218</v>
      </c>
      <c r="Q343" s="12" t="s">
        <v>226</v>
      </c>
      <c r="R343" s="11" t="s">
        <v>218</v>
      </c>
      <c r="S343" s="10" t="s">
        <v>217</v>
      </c>
      <c r="T343" s="8">
        <v>1</v>
      </c>
      <c r="U343" s="15">
        <v>1</v>
      </c>
      <c r="V343" s="8">
        <v>1</v>
      </c>
      <c r="W343" s="17"/>
      <c r="X343" s="65">
        <v>46249</v>
      </c>
    </row>
    <row r="344" spans="1:24" ht="13.8" thickBot="1" x14ac:dyDescent="0.3">
      <c r="A344" s="4" t="s">
        <v>244</v>
      </c>
      <c r="B344" s="8">
        <v>0</v>
      </c>
      <c r="C344" s="9">
        <v>0</v>
      </c>
      <c r="D344" s="8">
        <v>0</v>
      </c>
      <c r="E344" s="10" t="s">
        <v>219</v>
      </c>
      <c r="F344" s="11" t="s">
        <v>217</v>
      </c>
      <c r="G344" s="12" t="s">
        <v>217</v>
      </c>
      <c r="H344" s="13" t="s">
        <v>218</v>
      </c>
      <c r="I344" s="14">
        <v>1</v>
      </c>
      <c r="J344" s="14" t="s">
        <v>10</v>
      </c>
      <c r="K344" s="5" t="s">
        <v>1068</v>
      </c>
      <c r="L344" s="6">
        <v>0.5</v>
      </c>
      <c r="M344" s="7" t="s">
        <v>1069</v>
      </c>
      <c r="N344" s="14" t="s">
        <v>11</v>
      </c>
      <c r="O344" s="14">
        <v>1</v>
      </c>
      <c r="P344" s="13" t="s">
        <v>218</v>
      </c>
      <c r="Q344" s="12" t="s">
        <v>278</v>
      </c>
      <c r="R344" s="11" t="s">
        <v>218</v>
      </c>
      <c r="S344" s="10" t="s">
        <v>216</v>
      </c>
      <c r="T344" s="8">
        <v>1</v>
      </c>
      <c r="U344" s="15">
        <v>1</v>
      </c>
      <c r="V344" s="8">
        <v>1</v>
      </c>
      <c r="W344" s="17"/>
      <c r="X344" s="65">
        <v>46249</v>
      </c>
    </row>
    <row r="345" spans="1:24" ht="13.8" thickBot="1" x14ac:dyDescent="0.3">
      <c r="A345" s="4" t="s">
        <v>244</v>
      </c>
      <c r="B345" s="8">
        <v>1</v>
      </c>
      <c r="C345" s="15">
        <v>1</v>
      </c>
      <c r="D345" s="8">
        <v>1</v>
      </c>
      <c r="E345" s="10" t="s">
        <v>217</v>
      </c>
      <c r="F345" s="11" t="s">
        <v>218</v>
      </c>
      <c r="G345" s="12" t="s">
        <v>226</v>
      </c>
      <c r="H345" s="13" t="s">
        <v>218</v>
      </c>
      <c r="I345" s="14">
        <v>1</v>
      </c>
      <c r="J345" s="14" t="s">
        <v>10</v>
      </c>
      <c r="K345" s="5" t="s">
        <v>1070</v>
      </c>
      <c r="L345" s="6">
        <v>0.5</v>
      </c>
      <c r="M345" s="7" t="s">
        <v>1071</v>
      </c>
      <c r="N345" s="14" t="s">
        <v>11</v>
      </c>
      <c r="O345" s="14">
        <v>1</v>
      </c>
      <c r="P345" s="13" t="s">
        <v>217</v>
      </c>
      <c r="Q345" s="12" t="s">
        <v>219</v>
      </c>
      <c r="R345" s="11" t="s">
        <v>219</v>
      </c>
      <c r="S345" s="10" t="s">
        <v>219</v>
      </c>
      <c r="T345" s="8">
        <v>0</v>
      </c>
      <c r="U345" s="9">
        <v>0</v>
      </c>
      <c r="V345" s="8">
        <v>0</v>
      </c>
      <c r="W345" s="17"/>
      <c r="X345" s="65">
        <v>46249</v>
      </c>
    </row>
    <row r="346" spans="1:24" ht="19.8" thickBot="1" x14ac:dyDescent="0.3">
      <c r="A346" s="4" t="s">
        <v>244</v>
      </c>
      <c r="B346" s="8">
        <v>0</v>
      </c>
      <c r="C346" s="9">
        <v>0</v>
      </c>
      <c r="D346" s="8">
        <v>1</v>
      </c>
      <c r="E346" s="10" t="s">
        <v>219</v>
      </c>
      <c r="F346" s="11" t="s">
        <v>216</v>
      </c>
      <c r="G346" s="12" t="s">
        <v>216</v>
      </c>
      <c r="H346" s="13" t="s">
        <v>218</v>
      </c>
      <c r="I346" s="14">
        <v>1</v>
      </c>
      <c r="J346" s="14" t="s">
        <v>10</v>
      </c>
      <c r="K346" s="5" t="s">
        <v>1072</v>
      </c>
      <c r="L346" s="6">
        <v>0.5</v>
      </c>
      <c r="M346" s="7" t="s">
        <v>1073</v>
      </c>
      <c r="N346" s="14" t="s">
        <v>11</v>
      </c>
      <c r="O346" s="14">
        <v>1</v>
      </c>
      <c r="P346" s="13" t="s">
        <v>217</v>
      </c>
      <c r="Q346" s="12" t="s">
        <v>219</v>
      </c>
      <c r="R346" s="11" t="s">
        <v>219</v>
      </c>
      <c r="S346" s="10" t="s">
        <v>219</v>
      </c>
      <c r="T346" s="8">
        <v>0</v>
      </c>
      <c r="U346" s="9">
        <v>0</v>
      </c>
      <c r="V346" s="8">
        <v>0</v>
      </c>
      <c r="W346" s="17"/>
      <c r="X346" s="65">
        <v>46249</v>
      </c>
    </row>
    <row r="347" spans="1:24" ht="13.8" thickBot="1" x14ac:dyDescent="0.3">
      <c r="A347" s="4" t="s">
        <v>244</v>
      </c>
      <c r="B347" s="8">
        <v>0</v>
      </c>
      <c r="C347" s="9">
        <v>0</v>
      </c>
      <c r="D347" s="8">
        <v>1</v>
      </c>
      <c r="E347" s="10" t="s">
        <v>216</v>
      </c>
      <c r="F347" s="11" t="s">
        <v>219</v>
      </c>
      <c r="G347" s="12" t="s">
        <v>216</v>
      </c>
      <c r="H347" s="13" t="s">
        <v>219</v>
      </c>
      <c r="I347" s="14">
        <v>1</v>
      </c>
      <c r="J347" s="14" t="s">
        <v>10</v>
      </c>
      <c r="K347" s="5" t="s">
        <v>1074</v>
      </c>
      <c r="L347" s="6">
        <v>0.5</v>
      </c>
      <c r="M347" s="7" t="s">
        <v>1075</v>
      </c>
      <c r="N347" s="14" t="s">
        <v>11</v>
      </c>
      <c r="O347" s="14">
        <v>1</v>
      </c>
      <c r="P347" s="13" t="s">
        <v>219</v>
      </c>
      <c r="Q347" s="12" t="s">
        <v>216</v>
      </c>
      <c r="R347" s="11" t="s">
        <v>219</v>
      </c>
      <c r="S347" s="10" t="s">
        <v>216</v>
      </c>
      <c r="T347" s="8">
        <v>1</v>
      </c>
      <c r="U347" s="9">
        <v>0</v>
      </c>
      <c r="V347" s="8">
        <v>0</v>
      </c>
      <c r="W347" s="17"/>
      <c r="X347" s="65">
        <v>46249</v>
      </c>
    </row>
    <row r="348" spans="1:24" ht="19.8" thickBot="1" x14ac:dyDescent="0.3">
      <c r="A348" s="4" t="s">
        <v>244</v>
      </c>
      <c r="B348" s="8">
        <v>0</v>
      </c>
      <c r="C348" s="15">
        <v>1</v>
      </c>
      <c r="D348" s="8">
        <v>1</v>
      </c>
      <c r="E348" s="10" t="s">
        <v>217</v>
      </c>
      <c r="F348" s="11" t="s">
        <v>216</v>
      </c>
      <c r="G348" s="12" t="s">
        <v>218</v>
      </c>
      <c r="H348" s="13" t="s">
        <v>218</v>
      </c>
      <c r="I348" s="14">
        <v>1</v>
      </c>
      <c r="J348" s="14" t="s">
        <v>10</v>
      </c>
      <c r="K348" s="5" t="s">
        <v>1076</v>
      </c>
      <c r="L348" s="6">
        <v>0.5</v>
      </c>
      <c r="M348" s="7" t="s">
        <v>1077</v>
      </c>
      <c r="N348" s="14" t="s">
        <v>11</v>
      </c>
      <c r="O348" s="14">
        <v>1</v>
      </c>
      <c r="P348" s="13" t="s">
        <v>218</v>
      </c>
      <c r="Q348" s="12" t="s">
        <v>357</v>
      </c>
      <c r="R348" s="11" t="s">
        <v>238</v>
      </c>
      <c r="S348" s="10" t="s">
        <v>217</v>
      </c>
      <c r="T348" s="8">
        <v>1</v>
      </c>
      <c r="U348" s="15">
        <v>1</v>
      </c>
      <c r="V348" s="8">
        <v>1</v>
      </c>
      <c r="W348" s="17"/>
      <c r="X348" s="65">
        <v>46249</v>
      </c>
    </row>
    <row r="349" spans="1:24" ht="19.8" thickBot="1" x14ac:dyDescent="0.3">
      <c r="A349" s="4" t="s">
        <v>244</v>
      </c>
      <c r="B349" s="8">
        <v>1</v>
      </c>
      <c r="C349" s="15">
        <v>1</v>
      </c>
      <c r="D349" s="8">
        <v>1</v>
      </c>
      <c r="E349" s="10" t="s">
        <v>238</v>
      </c>
      <c r="F349" s="11" t="s">
        <v>217</v>
      </c>
      <c r="G349" s="12" t="s">
        <v>357</v>
      </c>
      <c r="H349" s="13" t="s">
        <v>219</v>
      </c>
      <c r="I349" s="14">
        <v>1</v>
      </c>
      <c r="J349" s="14" t="s">
        <v>10</v>
      </c>
      <c r="K349" s="5" t="s">
        <v>1078</v>
      </c>
      <c r="L349" s="6">
        <v>0.5</v>
      </c>
      <c r="M349" s="7" t="s">
        <v>1079</v>
      </c>
      <c r="N349" s="14" t="s">
        <v>11</v>
      </c>
      <c r="O349" s="14">
        <v>1</v>
      </c>
      <c r="P349" s="13" t="s">
        <v>218</v>
      </c>
      <c r="Q349" s="12" t="s">
        <v>217</v>
      </c>
      <c r="R349" s="11" t="s">
        <v>217</v>
      </c>
      <c r="S349" s="10" t="s">
        <v>219</v>
      </c>
      <c r="T349" s="8">
        <v>0</v>
      </c>
      <c r="U349" s="9">
        <v>0</v>
      </c>
      <c r="V349" s="8">
        <v>0</v>
      </c>
      <c r="W349" s="17"/>
      <c r="X349" s="65">
        <v>46249</v>
      </c>
    </row>
    <row r="350" spans="1:24" ht="13.8" thickBot="1" x14ac:dyDescent="0.3">
      <c r="A350" s="4" t="s">
        <v>244</v>
      </c>
      <c r="B350" s="8">
        <v>1</v>
      </c>
      <c r="C350" s="15">
        <v>1</v>
      </c>
      <c r="D350" s="8">
        <v>1</v>
      </c>
      <c r="E350" s="10" t="s">
        <v>216</v>
      </c>
      <c r="F350" s="11" t="s">
        <v>218</v>
      </c>
      <c r="G350" s="12" t="s">
        <v>278</v>
      </c>
      <c r="H350" s="13" t="s">
        <v>218</v>
      </c>
      <c r="I350" s="14">
        <v>1</v>
      </c>
      <c r="J350" s="14" t="s">
        <v>10</v>
      </c>
      <c r="K350" s="5" t="s">
        <v>1080</v>
      </c>
      <c r="L350" s="6">
        <v>0.5</v>
      </c>
      <c r="M350" s="7" t="s">
        <v>1081</v>
      </c>
      <c r="N350" s="14" t="s">
        <v>11</v>
      </c>
      <c r="O350" s="14">
        <v>1</v>
      </c>
      <c r="P350" s="13" t="s">
        <v>219</v>
      </c>
      <c r="Q350" s="12" t="s">
        <v>217</v>
      </c>
      <c r="R350" s="11" t="s">
        <v>219</v>
      </c>
      <c r="S350" s="10" t="s">
        <v>217</v>
      </c>
      <c r="T350" s="8">
        <v>0</v>
      </c>
      <c r="U350" s="9">
        <v>0</v>
      </c>
      <c r="V350" s="8">
        <v>0</v>
      </c>
      <c r="W350" s="17"/>
      <c r="X350" s="65">
        <v>46249</v>
      </c>
    </row>
    <row r="351" spans="1:24" ht="19.8" thickBot="1" x14ac:dyDescent="0.3">
      <c r="A351" s="4" t="s">
        <v>244</v>
      </c>
      <c r="B351" s="8">
        <v>0</v>
      </c>
      <c r="C351" s="9">
        <v>0</v>
      </c>
      <c r="D351" s="8">
        <v>1</v>
      </c>
      <c r="E351" s="10" t="s">
        <v>217</v>
      </c>
      <c r="F351" s="11" t="s">
        <v>217</v>
      </c>
      <c r="G351" s="12" t="s">
        <v>216</v>
      </c>
      <c r="H351" s="13" t="s">
        <v>217</v>
      </c>
      <c r="I351" s="14">
        <v>1</v>
      </c>
      <c r="J351" s="14" t="s">
        <v>10</v>
      </c>
      <c r="K351" s="5" t="s">
        <v>1082</v>
      </c>
      <c r="L351" s="6">
        <v>0.5</v>
      </c>
      <c r="M351" s="7" t="s">
        <v>1083</v>
      </c>
      <c r="N351" s="14" t="s">
        <v>11</v>
      </c>
      <c r="O351" s="14">
        <v>1</v>
      </c>
      <c r="P351" s="13" t="s">
        <v>219</v>
      </c>
      <c r="Q351" s="12" t="s">
        <v>218</v>
      </c>
      <c r="R351" s="11" t="s">
        <v>217</v>
      </c>
      <c r="S351" s="10" t="s">
        <v>216</v>
      </c>
      <c r="T351" s="8">
        <v>1</v>
      </c>
      <c r="U351" s="15">
        <v>1</v>
      </c>
      <c r="V351" s="8">
        <v>0</v>
      </c>
      <c r="W351" s="17"/>
      <c r="X351" s="65">
        <v>46249</v>
      </c>
    </row>
    <row r="352" spans="1:24" ht="19.8" thickBot="1" x14ac:dyDescent="0.3">
      <c r="A352" s="4" t="s">
        <v>244</v>
      </c>
      <c r="B352" s="8">
        <v>0</v>
      </c>
      <c r="C352" s="9">
        <v>0</v>
      </c>
      <c r="D352" s="8">
        <v>0</v>
      </c>
      <c r="E352" s="10" t="s">
        <v>219</v>
      </c>
      <c r="F352" s="11" t="s">
        <v>217</v>
      </c>
      <c r="G352" s="12" t="s">
        <v>217</v>
      </c>
      <c r="H352" s="13" t="s">
        <v>218</v>
      </c>
      <c r="I352" s="14">
        <v>1</v>
      </c>
      <c r="J352" s="14" t="s">
        <v>10</v>
      </c>
      <c r="K352" s="5" t="s">
        <v>1084</v>
      </c>
      <c r="L352" s="6">
        <v>0.5</v>
      </c>
      <c r="M352" s="7" t="s">
        <v>1085</v>
      </c>
      <c r="N352" s="14" t="s">
        <v>11</v>
      </c>
      <c r="O352" s="14">
        <v>1</v>
      </c>
      <c r="P352" s="13" t="s">
        <v>219</v>
      </c>
      <c r="Q352" s="12" t="s">
        <v>218</v>
      </c>
      <c r="R352" s="11" t="s">
        <v>219</v>
      </c>
      <c r="S352" s="10" t="s">
        <v>218</v>
      </c>
      <c r="T352" s="8">
        <v>1</v>
      </c>
      <c r="U352" s="15">
        <v>1</v>
      </c>
      <c r="V352" s="8">
        <v>0</v>
      </c>
      <c r="W352" s="17"/>
      <c r="X352" s="65">
        <v>46249</v>
      </c>
    </row>
    <row r="353" spans="1:24" ht="19.8" thickBot="1" x14ac:dyDescent="0.3">
      <c r="A353" s="4" t="s">
        <v>244</v>
      </c>
      <c r="B353" s="8">
        <v>1</v>
      </c>
      <c r="C353" s="15">
        <v>1</v>
      </c>
      <c r="D353" s="8">
        <v>1</v>
      </c>
      <c r="E353" s="10" t="s">
        <v>278</v>
      </c>
      <c r="F353" s="11" t="s">
        <v>219</v>
      </c>
      <c r="G353" s="12" t="s">
        <v>278</v>
      </c>
      <c r="H353" s="13" t="s">
        <v>219</v>
      </c>
      <c r="I353" s="14">
        <v>1</v>
      </c>
      <c r="J353" s="14" t="s">
        <v>10</v>
      </c>
      <c r="K353" s="5" t="s">
        <v>1086</v>
      </c>
      <c r="L353" s="6">
        <v>0.5</v>
      </c>
      <c r="M353" s="7" t="s">
        <v>1087</v>
      </c>
      <c r="N353" s="14" t="s">
        <v>11</v>
      </c>
      <c r="O353" s="14">
        <v>1</v>
      </c>
      <c r="P353" s="13" t="s">
        <v>218</v>
      </c>
      <c r="Q353" s="12" t="s">
        <v>217</v>
      </c>
      <c r="R353" s="11" t="s">
        <v>217</v>
      </c>
      <c r="S353" s="10" t="s">
        <v>219</v>
      </c>
      <c r="T353" s="8">
        <v>0</v>
      </c>
      <c r="U353" s="9">
        <v>0</v>
      </c>
      <c r="V353" s="8">
        <v>0</v>
      </c>
      <c r="W353" s="17"/>
      <c r="X353" s="65">
        <v>46249</v>
      </c>
    </row>
    <row r="354" spans="1:24" ht="19.8" thickBot="1" x14ac:dyDescent="0.3">
      <c r="A354" s="4" t="s">
        <v>244</v>
      </c>
      <c r="B354" s="8">
        <v>0</v>
      </c>
      <c r="C354" s="9">
        <v>0</v>
      </c>
      <c r="D354" s="8">
        <v>0</v>
      </c>
      <c r="E354" s="10" t="s">
        <v>217</v>
      </c>
      <c r="F354" s="11" t="s">
        <v>219</v>
      </c>
      <c r="G354" s="12" t="s">
        <v>217</v>
      </c>
      <c r="H354" s="13" t="s">
        <v>219</v>
      </c>
      <c r="I354" s="14">
        <v>1</v>
      </c>
      <c r="J354" s="14" t="s">
        <v>10</v>
      </c>
      <c r="K354" s="5" t="s">
        <v>1088</v>
      </c>
      <c r="L354" s="6">
        <v>0.5</v>
      </c>
      <c r="M354" s="7" t="s">
        <v>1089</v>
      </c>
      <c r="N354" s="14" t="s">
        <v>11</v>
      </c>
      <c r="O354" s="14">
        <v>1</v>
      </c>
      <c r="P354" s="13" t="s">
        <v>217</v>
      </c>
      <c r="Q354" s="12" t="s">
        <v>216</v>
      </c>
      <c r="R354" s="11" t="s">
        <v>217</v>
      </c>
      <c r="S354" s="10" t="s">
        <v>217</v>
      </c>
      <c r="T354" s="8">
        <v>1</v>
      </c>
      <c r="U354" s="9">
        <v>0</v>
      </c>
      <c r="V354" s="8">
        <v>0</v>
      </c>
      <c r="W354" s="17"/>
      <c r="X354" s="65">
        <v>46249</v>
      </c>
    </row>
    <row r="355" spans="1:24" ht="13.8" thickBot="1" x14ac:dyDescent="0.3">
      <c r="A355" s="4" t="s">
        <v>244</v>
      </c>
      <c r="B355" s="8">
        <v>0</v>
      </c>
      <c r="C355" s="15">
        <v>1</v>
      </c>
      <c r="D355" s="8">
        <v>1</v>
      </c>
      <c r="E355" s="10" t="s">
        <v>219</v>
      </c>
      <c r="F355" s="11" t="s">
        <v>218</v>
      </c>
      <c r="G355" s="12" t="s">
        <v>218</v>
      </c>
      <c r="H355" s="13" t="s">
        <v>218</v>
      </c>
      <c r="I355" s="14">
        <v>1</v>
      </c>
      <c r="J355" s="14" t="s">
        <v>10</v>
      </c>
      <c r="K355" s="5" t="s">
        <v>1090</v>
      </c>
      <c r="L355" s="6">
        <v>0.5</v>
      </c>
      <c r="M355" s="7" t="s">
        <v>1091</v>
      </c>
      <c r="N355" s="14" t="s">
        <v>11</v>
      </c>
      <c r="O355" s="14">
        <v>1</v>
      </c>
      <c r="P355" s="13" t="s">
        <v>218</v>
      </c>
      <c r="Q355" s="12" t="s">
        <v>278</v>
      </c>
      <c r="R355" s="11" t="s">
        <v>278</v>
      </c>
      <c r="S355" s="10" t="s">
        <v>219</v>
      </c>
      <c r="T355" s="8">
        <v>1</v>
      </c>
      <c r="U355" s="15">
        <v>1</v>
      </c>
      <c r="V355" s="8">
        <v>1</v>
      </c>
      <c r="W355" s="17"/>
      <c r="X355" s="65">
        <v>46249</v>
      </c>
    </row>
    <row r="356" spans="1:24" ht="19.8" thickBot="1" x14ac:dyDescent="0.3">
      <c r="A356" s="4" t="s">
        <v>244</v>
      </c>
      <c r="B356" s="8">
        <v>0</v>
      </c>
      <c r="C356" s="9">
        <v>0</v>
      </c>
      <c r="D356" s="8">
        <v>1</v>
      </c>
      <c r="E356" s="10" t="s">
        <v>216</v>
      </c>
      <c r="F356" s="11" t="s">
        <v>219</v>
      </c>
      <c r="G356" s="12" t="s">
        <v>216</v>
      </c>
      <c r="H356" s="13" t="s">
        <v>219</v>
      </c>
      <c r="I356" s="14">
        <v>1</v>
      </c>
      <c r="J356" s="14" t="s">
        <v>10</v>
      </c>
      <c r="K356" s="5" t="s">
        <v>1092</v>
      </c>
      <c r="L356" s="6">
        <v>0.5</v>
      </c>
      <c r="M356" s="7" t="s">
        <v>1093</v>
      </c>
      <c r="N356" s="14" t="s">
        <v>11</v>
      </c>
      <c r="O356" s="14">
        <v>1</v>
      </c>
      <c r="P356" s="13" t="s">
        <v>218</v>
      </c>
      <c r="Q356" s="12" t="s">
        <v>218</v>
      </c>
      <c r="R356" s="11" t="s">
        <v>216</v>
      </c>
      <c r="S356" s="10" t="s">
        <v>217</v>
      </c>
      <c r="T356" s="8">
        <v>1</v>
      </c>
      <c r="U356" s="15">
        <v>1</v>
      </c>
      <c r="V356" s="8">
        <v>0</v>
      </c>
      <c r="W356" s="17"/>
      <c r="X356" s="65">
        <v>46249</v>
      </c>
    </row>
    <row r="357" spans="1:24" ht="13.8" thickBot="1" x14ac:dyDescent="0.3">
      <c r="A357" s="4" t="s">
        <v>244</v>
      </c>
      <c r="B357" s="8">
        <v>0</v>
      </c>
      <c r="C357" s="9">
        <v>0</v>
      </c>
      <c r="D357" s="8">
        <v>0</v>
      </c>
      <c r="E357" s="10" t="s">
        <v>217</v>
      </c>
      <c r="F357" s="11" t="s">
        <v>219</v>
      </c>
      <c r="G357" s="12" t="s">
        <v>217</v>
      </c>
      <c r="H357" s="13" t="s">
        <v>219</v>
      </c>
      <c r="I357" s="14">
        <v>1</v>
      </c>
      <c r="J357" s="14" t="s">
        <v>10</v>
      </c>
      <c r="K357" s="5" t="s">
        <v>1094</v>
      </c>
      <c r="L357" s="6">
        <v>0.5</v>
      </c>
      <c r="M357" s="7" t="s">
        <v>1095</v>
      </c>
      <c r="N357" s="14" t="s">
        <v>11</v>
      </c>
      <c r="O357" s="14">
        <v>1</v>
      </c>
      <c r="P357" s="13" t="s">
        <v>218</v>
      </c>
      <c r="Q357" s="12" t="s">
        <v>216</v>
      </c>
      <c r="R357" s="11" t="s">
        <v>216</v>
      </c>
      <c r="S357" s="10" t="s">
        <v>219</v>
      </c>
      <c r="T357" s="8">
        <v>1</v>
      </c>
      <c r="U357" s="9">
        <v>0</v>
      </c>
      <c r="V357" s="8">
        <v>0</v>
      </c>
      <c r="W357" s="17"/>
      <c r="X357" s="65">
        <v>46249</v>
      </c>
    </row>
    <row r="358" spans="1:24" ht="19.8" thickBot="1" x14ac:dyDescent="0.3">
      <c r="A358" s="4" t="s">
        <v>244</v>
      </c>
      <c r="B358" s="8">
        <v>1</v>
      </c>
      <c r="C358" s="15">
        <v>1</v>
      </c>
      <c r="D358" s="8">
        <v>1</v>
      </c>
      <c r="E358" s="10" t="s">
        <v>217</v>
      </c>
      <c r="F358" s="11" t="s">
        <v>218</v>
      </c>
      <c r="G358" s="12" t="s">
        <v>226</v>
      </c>
      <c r="H358" s="13" t="s">
        <v>218</v>
      </c>
      <c r="I358" s="14">
        <v>1</v>
      </c>
      <c r="J358" s="14" t="s">
        <v>10</v>
      </c>
      <c r="K358" s="5" t="s">
        <v>1096</v>
      </c>
      <c r="L358" s="6">
        <v>0.5</v>
      </c>
      <c r="M358" s="7" t="s">
        <v>1097</v>
      </c>
      <c r="N358" s="14" t="s">
        <v>11</v>
      </c>
      <c r="O358" s="14">
        <v>1</v>
      </c>
      <c r="P358" s="13" t="s">
        <v>218</v>
      </c>
      <c r="Q358" s="12" t="s">
        <v>226</v>
      </c>
      <c r="R358" s="11" t="s">
        <v>218</v>
      </c>
      <c r="S358" s="10" t="s">
        <v>217</v>
      </c>
      <c r="T358" s="8">
        <v>1</v>
      </c>
      <c r="U358" s="15">
        <v>1</v>
      </c>
      <c r="V358" s="8">
        <v>1</v>
      </c>
      <c r="W358" s="17"/>
      <c r="X358" s="65">
        <v>46249</v>
      </c>
    </row>
    <row r="359" spans="1:24" ht="13.8" thickBot="1" x14ac:dyDescent="0.3">
      <c r="A359" s="4" t="s">
        <v>244</v>
      </c>
      <c r="B359" s="8">
        <v>0</v>
      </c>
      <c r="C359" s="15">
        <v>1</v>
      </c>
      <c r="D359" s="8">
        <v>1</v>
      </c>
      <c r="E359" s="10" t="s">
        <v>217</v>
      </c>
      <c r="F359" s="11" t="s">
        <v>216</v>
      </c>
      <c r="G359" s="12" t="s">
        <v>218</v>
      </c>
      <c r="H359" s="13" t="s">
        <v>218</v>
      </c>
      <c r="I359" s="14">
        <v>1</v>
      </c>
      <c r="J359" s="14" t="s">
        <v>10</v>
      </c>
      <c r="K359" s="5" t="s">
        <v>1098</v>
      </c>
      <c r="L359" s="6">
        <v>0.5</v>
      </c>
      <c r="M359" s="7" t="s">
        <v>1099</v>
      </c>
      <c r="N359" s="14" t="s">
        <v>11</v>
      </c>
      <c r="O359" s="14">
        <v>1</v>
      </c>
      <c r="P359" s="13" t="s">
        <v>218</v>
      </c>
      <c r="Q359" s="12" t="s">
        <v>216</v>
      </c>
      <c r="R359" s="11" t="s">
        <v>216</v>
      </c>
      <c r="S359" s="10" t="s">
        <v>219</v>
      </c>
      <c r="T359" s="8">
        <v>1</v>
      </c>
      <c r="U359" s="9">
        <v>0</v>
      </c>
      <c r="V359" s="8">
        <v>0</v>
      </c>
      <c r="W359" s="17"/>
      <c r="X359" s="65">
        <v>46249</v>
      </c>
    </row>
    <row r="360" spans="1:24" ht="19.8" thickBot="1" x14ac:dyDescent="0.3">
      <c r="A360" s="4" t="s">
        <v>244</v>
      </c>
      <c r="B360" s="8">
        <v>0</v>
      </c>
      <c r="C360" s="15">
        <v>1</v>
      </c>
      <c r="D360" s="8">
        <v>1</v>
      </c>
      <c r="E360" s="10" t="s">
        <v>217</v>
      </c>
      <c r="F360" s="11" t="s">
        <v>216</v>
      </c>
      <c r="G360" s="12" t="s">
        <v>218</v>
      </c>
      <c r="H360" s="13" t="s">
        <v>218</v>
      </c>
      <c r="I360" s="14">
        <v>1</v>
      </c>
      <c r="J360" s="14" t="s">
        <v>10</v>
      </c>
      <c r="K360" s="5" t="s">
        <v>1100</v>
      </c>
      <c r="L360" s="6">
        <v>0.5</v>
      </c>
      <c r="M360" s="7" t="s">
        <v>1101</v>
      </c>
      <c r="N360" s="14" t="s">
        <v>11</v>
      </c>
      <c r="O360" s="14">
        <v>1</v>
      </c>
      <c r="P360" s="13" t="s">
        <v>217</v>
      </c>
      <c r="Q360" s="12" t="s">
        <v>216</v>
      </c>
      <c r="R360" s="11" t="s">
        <v>217</v>
      </c>
      <c r="S360" s="10" t="s">
        <v>217</v>
      </c>
      <c r="T360" s="8">
        <v>1</v>
      </c>
      <c r="U360" s="9">
        <v>0</v>
      </c>
      <c r="V360" s="8">
        <v>0</v>
      </c>
      <c r="W360" s="17"/>
      <c r="X360" s="65">
        <v>46249</v>
      </c>
    </row>
    <row r="361" spans="1:24" ht="19.8" thickBot="1" x14ac:dyDescent="0.3">
      <c r="A361" s="4" t="s">
        <v>244</v>
      </c>
      <c r="B361" s="63"/>
      <c r="C361" s="63"/>
      <c r="D361" s="63"/>
      <c r="E361" s="63"/>
      <c r="F361" s="63"/>
      <c r="G361" s="63"/>
      <c r="H361" s="63"/>
      <c r="I361" s="64"/>
      <c r="J361" s="14" t="s">
        <v>10</v>
      </c>
      <c r="K361" s="5" t="s">
        <v>1102</v>
      </c>
      <c r="L361" s="6">
        <v>0.5</v>
      </c>
      <c r="M361" s="7" t="s">
        <v>1103</v>
      </c>
      <c r="N361" s="14" t="s">
        <v>11</v>
      </c>
      <c r="O361" s="14">
        <v>1</v>
      </c>
      <c r="P361" s="13" t="s">
        <v>219</v>
      </c>
      <c r="Q361" s="12" t="s">
        <v>226</v>
      </c>
      <c r="R361" s="11" t="s">
        <v>217</v>
      </c>
      <c r="S361" s="10" t="s">
        <v>218</v>
      </c>
      <c r="T361" s="8">
        <v>1</v>
      </c>
      <c r="U361" s="15">
        <v>1</v>
      </c>
      <c r="V361" s="8">
        <v>1</v>
      </c>
      <c r="W361" s="17"/>
      <c r="X361" s="65">
        <v>46249</v>
      </c>
    </row>
    <row r="362" spans="1:24" ht="13.8" thickBot="1" x14ac:dyDescent="0.3">
      <c r="A362" s="4" t="s">
        <v>244</v>
      </c>
      <c r="B362" s="8">
        <v>1</v>
      </c>
      <c r="C362" s="15">
        <v>1</v>
      </c>
      <c r="D362" s="8">
        <v>1</v>
      </c>
      <c r="E362" s="10" t="s">
        <v>218</v>
      </c>
      <c r="F362" s="11" t="s">
        <v>217</v>
      </c>
      <c r="G362" s="12" t="s">
        <v>226</v>
      </c>
      <c r="H362" s="13" t="s">
        <v>219</v>
      </c>
      <c r="I362" s="14">
        <v>1</v>
      </c>
      <c r="J362" s="14" t="s">
        <v>10</v>
      </c>
      <c r="K362" s="5" t="s">
        <v>1104</v>
      </c>
      <c r="L362" s="6">
        <v>0.5</v>
      </c>
      <c r="M362" s="7" t="s">
        <v>1105</v>
      </c>
      <c r="N362" s="14" t="s">
        <v>11</v>
      </c>
      <c r="O362" s="14">
        <v>1</v>
      </c>
      <c r="P362" s="13" t="s">
        <v>217</v>
      </c>
      <c r="Q362" s="12" t="s">
        <v>219</v>
      </c>
      <c r="R362" s="11" t="s">
        <v>219</v>
      </c>
      <c r="S362" s="10" t="s">
        <v>219</v>
      </c>
      <c r="T362" s="8">
        <v>0</v>
      </c>
      <c r="U362" s="9">
        <v>0</v>
      </c>
      <c r="V362" s="8">
        <v>0</v>
      </c>
      <c r="W362" s="17"/>
      <c r="X362" s="65">
        <v>46249</v>
      </c>
    </row>
    <row r="363" spans="1:24" ht="19.8" thickBot="1" x14ac:dyDescent="0.3">
      <c r="A363" s="4" t="s">
        <v>244</v>
      </c>
      <c r="B363" s="8">
        <v>0</v>
      </c>
      <c r="C363" s="9">
        <v>0</v>
      </c>
      <c r="D363" s="8">
        <v>1</v>
      </c>
      <c r="E363" s="10" t="s">
        <v>217</v>
      </c>
      <c r="F363" s="11" t="s">
        <v>217</v>
      </c>
      <c r="G363" s="12" t="s">
        <v>216</v>
      </c>
      <c r="H363" s="13" t="s">
        <v>217</v>
      </c>
      <c r="I363" s="14">
        <v>1</v>
      </c>
      <c r="J363" s="14" t="s">
        <v>10</v>
      </c>
      <c r="K363" s="5" t="s">
        <v>1106</v>
      </c>
      <c r="L363" s="6">
        <v>0.5</v>
      </c>
      <c r="M363" s="7" t="s">
        <v>1107</v>
      </c>
      <c r="N363" s="14" t="s">
        <v>11</v>
      </c>
      <c r="O363" s="14">
        <v>1</v>
      </c>
      <c r="P363" s="13" t="s">
        <v>217</v>
      </c>
      <c r="Q363" s="12" t="s">
        <v>216</v>
      </c>
      <c r="R363" s="11" t="s">
        <v>217</v>
      </c>
      <c r="S363" s="10" t="s">
        <v>217</v>
      </c>
      <c r="T363" s="8">
        <v>1</v>
      </c>
      <c r="U363" s="9">
        <v>0</v>
      </c>
      <c r="V363" s="8">
        <v>0</v>
      </c>
      <c r="W363" s="17"/>
      <c r="X363" s="65">
        <v>46249</v>
      </c>
    </row>
    <row r="364" spans="1:24" ht="19.8" thickBot="1" x14ac:dyDescent="0.3">
      <c r="A364" s="4" t="s">
        <v>244</v>
      </c>
      <c r="B364" s="8">
        <v>0</v>
      </c>
      <c r="C364" s="9">
        <v>0</v>
      </c>
      <c r="D364" s="8">
        <v>1</v>
      </c>
      <c r="E364" s="10" t="s">
        <v>217</v>
      </c>
      <c r="F364" s="11" t="s">
        <v>217</v>
      </c>
      <c r="G364" s="12" t="s">
        <v>216</v>
      </c>
      <c r="H364" s="13" t="s">
        <v>217</v>
      </c>
      <c r="I364" s="14">
        <v>1</v>
      </c>
      <c r="J364" s="14" t="s">
        <v>10</v>
      </c>
      <c r="K364" s="5" t="s">
        <v>1108</v>
      </c>
      <c r="L364" s="6">
        <v>0.5</v>
      </c>
      <c r="M364" s="7" t="s">
        <v>1109</v>
      </c>
      <c r="N364" s="14" t="s">
        <v>11</v>
      </c>
      <c r="O364" s="14">
        <v>2</v>
      </c>
      <c r="P364" s="13" t="s">
        <v>247</v>
      </c>
      <c r="Q364" s="12" t="s">
        <v>218</v>
      </c>
      <c r="R364" s="11" t="s">
        <v>217</v>
      </c>
      <c r="S364" s="10" t="s">
        <v>216</v>
      </c>
      <c r="T364" s="8">
        <v>1</v>
      </c>
      <c r="U364" s="9">
        <v>0.5</v>
      </c>
      <c r="V364" s="8">
        <v>0.5</v>
      </c>
      <c r="W364" s="17"/>
      <c r="X364" s="65">
        <v>46249</v>
      </c>
    </row>
    <row r="365" spans="1:24" ht="13.8" thickBot="1" x14ac:dyDescent="0.3">
      <c r="A365" s="4" t="s">
        <v>244</v>
      </c>
      <c r="B365" s="8">
        <v>1</v>
      </c>
      <c r="C365" s="15">
        <v>1</v>
      </c>
      <c r="D365" s="8">
        <v>1</v>
      </c>
      <c r="E365" s="10" t="s">
        <v>217</v>
      </c>
      <c r="F365" s="11" t="s">
        <v>218</v>
      </c>
      <c r="G365" s="12" t="s">
        <v>226</v>
      </c>
      <c r="H365" s="13" t="s">
        <v>218</v>
      </c>
      <c r="I365" s="14">
        <v>1</v>
      </c>
      <c r="J365" s="14" t="s">
        <v>10</v>
      </c>
      <c r="K365" s="5" t="s">
        <v>1110</v>
      </c>
      <c r="L365" s="6">
        <v>0.5</v>
      </c>
      <c r="M365" s="7" t="s">
        <v>1111</v>
      </c>
      <c r="N365" s="14" t="s">
        <v>11</v>
      </c>
      <c r="O365" s="14">
        <v>1</v>
      </c>
      <c r="P365" s="13" t="s">
        <v>219</v>
      </c>
      <c r="Q365" s="12" t="s">
        <v>218</v>
      </c>
      <c r="R365" s="11" t="s">
        <v>217</v>
      </c>
      <c r="S365" s="10" t="s">
        <v>216</v>
      </c>
      <c r="T365" s="8">
        <v>1</v>
      </c>
      <c r="U365" s="15">
        <v>1</v>
      </c>
      <c r="V365" s="8">
        <v>0</v>
      </c>
      <c r="W365" s="17"/>
      <c r="X365" s="65">
        <v>46249</v>
      </c>
    </row>
    <row r="366" spans="1:24" ht="19.8" thickBot="1" x14ac:dyDescent="0.3">
      <c r="A366" s="4" t="s">
        <v>244</v>
      </c>
      <c r="B366" s="8">
        <v>0</v>
      </c>
      <c r="C366" s="9">
        <v>0</v>
      </c>
      <c r="D366" s="8">
        <v>1</v>
      </c>
      <c r="E366" s="10" t="s">
        <v>216</v>
      </c>
      <c r="F366" s="11" t="s">
        <v>219</v>
      </c>
      <c r="G366" s="12" t="s">
        <v>216</v>
      </c>
      <c r="H366" s="13" t="s">
        <v>219</v>
      </c>
      <c r="I366" s="14">
        <v>1</v>
      </c>
      <c r="J366" s="14" t="s">
        <v>10</v>
      </c>
      <c r="K366" s="5" t="s">
        <v>1112</v>
      </c>
      <c r="L366" s="6">
        <v>0.5</v>
      </c>
      <c r="M366" s="7" t="s">
        <v>1113</v>
      </c>
      <c r="N366" s="14" t="s">
        <v>11</v>
      </c>
      <c r="O366" s="64"/>
      <c r="P366" s="63"/>
      <c r="Q366" s="63"/>
      <c r="R366" s="63"/>
      <c r="S366" s="63"/>
      <c r="T366" s="63"/>
      <c r="U366" s="63"/>
      <c r="V366" s="63"/>
      <c r="W366" s="17"/>
      <c r="X366" s="65">
        <v>46249</v>
      </c>
    </row>
    <row r="367" spans="1:24" ht="19.8" thickBot="1" x14ac:dyDescent="0.3">
      <c r="A367" s="4" t="s">
        <v>244</v>
      </c>
      <c r="B367" s="8">
        <v>0</v>
      </c>
      <c r="C367" s="9">
        <v>0</v>
      </c>
      <c r="D367" s="8">
        <v>0</v>
      </c>
      <c r="E367" s="10" t="s">
        <v>217</v>
      </c>
      <c r="F367" s="11" t="s">
        <v>219</v>
      </c>
      <c r="G367" s="12" t="s">
        <v>217</v>
      </c>
      <c r="H367" s="13" t="s">
        <v>219</v>
      </c>
      <c r="I367" s="14">
        <v>1</v>
      </c>
      <c r="J367" s="14" t="s">
        <v>10</v>
      </c>
      <c r="K367" s="5" t="s">
        <v>1114</v>
      </c>
      <c r="L367" s="6">
        <v>0.5</v>
      </c>
      <c r="M367" s="7" t="s">
        <v>1115</v>
      </c>
      <c r="N367" s="14" t="s">
        <v>11</v>
      </c>
      <c r="O367" s="14">
        <v>1</v>
      </c>
      <c r="P367" s="13" t="s">
        <v>219</v>
      </c>
      <c r="Q367" s="12" t="s">
        <v>218</v>
      </c>
      <c r="R367" s="11" t="s">
        <v>217</v>
      </c>
      <c r="S367" s="10" t="s">
        <v>216</v>
      </c>
      <c r="T367" s="8">
        <v>1</v>
      </c>
      <c r="U367" s="15">
        <v>1</v>
      </c>
      <c r="V367" s="8">
        <v>0</v>
      </c>
      <c r="W367" s="17"/>
      <c r="X367" s="65">
        <v>46249</v>
      </c>
    </row>
    <row r="368" spans="1:24" ht="19.8" thickBot="1" x14ac:dyDescent="0.3">
      <c r="A368" s="4" t="s">
        <v>244</v>
      </c>
      <c r="B368" s="8">
        <v>0</v>
      </c>
      <c r="C368" s="9">
        <v>0</v>
      </c>
      <c r="D368" s="8">
        <v>0.5</v>
      </c>
      <c r="E368" s="10" t="s">
        <v>247</v>
      </c>
      <c r="F368" s="11" t="s">
        <v>247</v>
      </c>
      <c r="G368" s="12" t="s">
        <v>217</v>
      </c>
      <c r="H368" s="13" t="s">
        <v>217</v>
      </c>
      <c r="I368" s="14">
        <v>2</v>
      </c>
      <c r="J368" s="14" t="s">
        <v>10</v>
      </c>
      <c r="K368" s="5" t="s">
        <v>1116</v>
      </c>
      <c r="L368" s="6">
        <v>0.5</v>
      </c>
      <c r="M368" s="7" t="s">
        <v>1117</v>
      </c>
      <c r="N368" s="14" t="s">
        <v>11</v>
      </c>
      <c r="O368" s="14">
        <v>1</v>
      </c>
      <c r="P368" s="13" t="s">
        <v>218</v>
      </c>
      <c r="Q368" s="12" t="s">
        <v>217</v>
      </c>
      <c r="R368" s="11" t="s">
        <v>217</v>
      </c>
      <c r="S368" s="10" t="s">
        <v>219</v>
      </c>
      <c r="T368" s="8">
        <v>0</v>
      </c>
      <c r="U368" s="9">
        <v>0</v>
      </c>
      <c r="V368" s="8">
        <v>0</v>
      </c>
      <c r="W368" s="17"/>
      <c r="X368" s="65">
        <v>46249</v>
      </c>
    </row>
    <row r="369" spans="1:24" ht="13.8" thickBot="1" x14ac:dyDescent="0.3">
      <c r="A369" s="4" t="s">
        <v>175</v>
      </c>
      <c r="B369" s="8">
        <v>0.27</v>
      </c>
      <c r="C369" s="15">
        <v>0.64</v>
      </c>
      <c r="D369" s="8">
        <v>0.82</v>
      </c>
      <c r="E369" s="10" t="s">
        <v>216</v>
      </c>
      <c r="F369" s="11" t="s">
        <v>260</v>
      </c>
      <c r="G369" s="12" t="s">
        <v>258</v>
      </c>
      <c r="H369" s="13" t="s">
        <v>303</v>
      </c>
      <c r="I369" s="14">
        <v>11</v>
      </c>
      <c r="J369" s="14" t="s">
        <v>10</v>
      </c>
      <c r="K369" s="5" t="s">
        <v>1118</v>
      </c>
      <c r="L369" s="6">
        <v>0.5</v>
      </c>
      <c r="M369" s="7" t="s">
        <v>1119</v>
      </c>
      <c r="N369" s="14" t="s">
        <v>11</v>
      </c>
      <c r="O369" s="14">
        <v>11</v>
      </c>
      <c r="P369" s="13" t="s">
        <v>313</v>
      </c>
      <c r="Q369" s="12" t="s">
        <v>472</v>
      </c>
      <c r="R369" s="11" t="s">
        <v>217</v>
      </c>
      <c r="S369" s="10" t="s">
        <v>304</v>
      </c>
      <c r="T369" s="8">
        <v>1</v>
      </c>
      <c r="U369" s="15">
        <v>0.64</v>
      </c>
      <c r="V369" s="8">
        <v>0.64</v>
      </c>
      <c r="W369" s="17"/>
      <c r="X369" s="65">
        <v>46249</v>
      </c>
    </row>
    <row r="370" spans="1:24" ht="13.8" thickBot="1" x14ac:dyDescent="0.3">
      <c r="A370" s="4" t="s">
        <v>175</v>
      </c>
      <c r="B370" s="8">
        <v>0.55000000000000004</v>
      </c>
      <c r="C370" s="15">
        <v>0.82</v>
      </c>
      <c r="D370" s="8">
        <v>1</v>
      </c>
      <c r="E370" s="10" t="s">
        <v>311</v>
      </c>
      <c r="F370" s="11" t="s">
        <v>312</v>
      </c>
      <c r="G370" s="12" t="s">
        <v>1120</v>
      </c>
      <c r="H370" s="13" t="s">
        <v>256</v>
      </c>
      <c r="I370" s="14">
        <v>11</v>
      </c>
      <c r="J370" s="14" t="s">
        <v>10</v>
      </c>
      <c r="K370" s="5" t="s">
        <v>1121</v>
      </c>
      <c r="L370" s="6">
        <v>0.58333333333333337</v>
      </c>
      <c r="M370" s="7" t="s">
        <v>1122</v>
      </c>
      <c r="N370" s="14" t="s">
        <v>11</v>
      </c>
      <c r="O370" s="14">
        <v>11</v>
      </c>
      <c r="P370" s="13" t="s">
        <v>302</v>
      </c>
      <c r="Q370" s="12" t="s">
        <v>1123</v>
      </c>
      <c r="R370" s="11" t="s">
        <v>315</v>
      </c>
      <c r="S370" s="10" t="s">
        <v>302</v>
      </c>
      <c r="T370" s="8">
        <v>0.91</v>
      </c>
      <c r="U370" s="15">
        <v>0.82</v>
      </c>
      <c r="V370" s="8">
        <v>0.55000000000000004</v>
      </c>
      <c r="W370" s="17"/>
      <c r="X370" s="65">
        <v>46249</v>
      </c>
    </row>
    <row r="371" spans="1:24" ht="13.8" thickBot="1" x14ac:dyDescent="0.3">
      <c r="A371" s="4" t="s">
        <v>175</v>
      </c>
      <c r="B371" s="8">
        <v>0.8</v>
      </c>
      <c r="C371" s="15">
        <v>0.9</v>
      </c>
      <c r="D371" s="8">
        <v>1</v>
      </c>
      <c r="E371" s="10" t="s">
        <v>273</v>
      </c>
      <c r="F371" s="11" t="s">
        <v>277</v>
      </c>
      <c r="G371" s="12" t="s">
        <v>825</v>
      </c>
      <c r="H371" s="13" t="s">
        <v>233</v>
      </c>
      <c r="I371" s="14">
        <v>10</v>
      </c>
      <c r="J371" s="14" t="s">
        <v>10</v>
      </c>
      <c r="K371" s="5" t="s">
        <v>1124</v>
      </c>
      <c r="L371" s="6">
        <v>0.58333333333333337</v>
      </c>
      <c r="M371" s="7" t="s">
        <v>1125</v>
      </c>
      <c r="N371" s="14" t="s">
        <v>11</v>
      </c>
      <c r="O371" s="14">
        <v>11</v>
      </c>
      <c r="P371" s="13" t="s">
        <v>256</v>
      </c>
      <c r="Q371" s="12" t="s">
        <v>226</v>
      </c>
      <c r="R371" s="11" t="s">
        <v>1126</v>
      </c>
      <c r="S371" s="10" t="s">
        <v>302</v>
      </c>
      <c r="T371" s="8">
        <v>0.91</v>
      </c>
      <c r="U371" s="15">
        <v>0.82</v>
      </c>
      <c r="V371" s="8">
        <v>0.64</v>
      </c>
      <c r="W371" s="17"/>
      <c r="X371" s="65">
        <v>46249</v>
      </c>
    </row>
    <row r="372" spans="1:24" ht="13.8" thickBot="1" x14ac:dyDescent="0.3">
      <c r="A372" s="4" t="s">
        <v>175</v>
      </c>
      <c r="B372" s="8">
        <v>0.44</v>
      </c>
      <c r="C372" s="15">
        <v>0.67</v>
      </c>
      <c r="D372" s="8">
        <v>1</v>
      </c>
      <c r="E372" s="10" t="s">
        <v>232</v>
      </c>
      <c r="F372" s="11" t="s">
        <v>231</v>
      </c>
      <c r="G372" s="12" t="s">
        <v>323</v>
      </c>
      <c r="H372" s="13" t="s">
        <v>229</v>
      </c>
      <c r="I372" s="14">
        <v>9</v>
      </c>
      <c r="J372" s="14" t="s">
        <v>10</v>
      </c>
      <c r="K372" s="5" t="s">
        <v>1127</v>
      </c>
      <c r="L372" s="6">
        <v>0.58333333333333337</v>
      </c>
      <c r="M372" s="7" t="s">
        <v>1128</v>
      </c>
      <c r="N372" s="14" t="s">
        <v>11</v>
      </c>
      <c r="O372" s="14">
        <v>9</v>
      </c>
      <c r="P372" s="13" t="s">
        <v>224</v>
      </c>
      <c r="Q372" s="12" t="s">
        <v>1129</v>
      </c>
      <c r="R372" s="11" t="s">
        <v>216</v>
      </c>
      <c r="S372" s="10" t="s">
        <v>343</v>
      </c>
      <c r="T372" s="8">
        <v>0.89</v>
      </c>
      <c r="U372" s="15">
        <v>0.78</v>
      </c>
      <c r="V372" s="8">
        <v>0.56000000000000005</v>
      </c>
      <c r="W372" s="17"/>
      <c r="X372" s="65">
        <v>46249</v>
      </c>
    </row>
    <row r="373" spans="1:24" ht="13.8" thickBot="1" x14ac:dyDescent="0.3">
      <c r="A373" s="4" t="s">
        <v>87</v>
      </c>
      <c r="B373" s="8">
        <v>0.22</v>
      </c>
      <c r="C373" s="9">
        <v>0.33</v>
      </c>
      <c r="D373" s="8">
        <v>0.89</v>
      </c>
      <c r="E373" s="10" t="s">
        <v>231</v>
      </c>
      <c r="F373" s="11" t="s">
        <v>308</v>
      </c>
      <c r="G373" s="12" t="s">
        <v>839</v>
      </c>
      <c r="H373" s="13" t="s">
        <v>326</v>
      </c>
      <c r="I373" s="14">
        <v>9</v>
      </c>
      <c r="J373" s="14" t="s">
        <v>10</v>
      </c>
      <c r="K373" s="5" t="s">
        <v>1130</v>
      </c>
      <c r="L373" s="6">
        <v>0.58333333333333337</v>
      </c>
      <c r="M373" s="7" t="s">
        <v>1131</v>
      </c>
      <c r="N373" s="14" t="s">
        <v>11</v>
      </c>
      <c r="O373" s="14">
        <v>9</v>
      </c>
      <c r="P373" s="13" t="s">
        <v>310</v>
      </c>
      <c r="Q373" s="12" t="s">
        <v>341</v>
      </c>
      <c r="R373" s="11" t="s">
        <v>217</v>
      </c>
      <c r="S373" s="10" t="s">
        <v>343</v>
      </c>
      <c r="T373" s="8">
        <v>0.78</v>
      </c>
      <c r="U373" s="15">
        <v>0.56000000000000005</v>
      </c>
      <c r="V373" s="8">
        <v>0.33</v>
      </c>
      <c r="W373" s="17"/>
      <c r="X373" s="65">
        <v>46249</v>
      </c>
    </row>
    <row r="374" spans="1:24" ht="13.8" thickBot="1" x14ac:dyDescent="0.3">
      <c r="A374" s="4" t="s">
        <v>87</v>
      </c>
      <c r="B374" s="8">
        <v>0.11</v>
      </c>
      <c r="C374" s="9">
        <v>0.22</v>
      </c>
      <c r="D374" s="8">
        <v>0.44</v>
      </c>
      <c r="E374" s="10" t="s">
        <v>326</v>
      </c>
      <c r="F374" s="11" t="s">
        <v>228</v>
      </c>
      <c r="G374" s="12" t="s">
        <v>229</v>
      </c>
      <c r="H374" s="13" t="s">
        <v>343</v>
      </c>
      <c r="I374" s="14">
        <v>9</v>
      </c>
      <c r="J374" s="14" t="s">
        <v>10</v>
      </c>
      <c r="K374" s="5" t="s">
        <v>1132</v>
      </c>
      <c r="L374" s="6">
        <v>0.45833333333333331</v>
      </c>
      <c r="M374" s="7" t="s">
        <v>179</v>
      </c>
      <c r="N374" s="14" t="s">
        <v>11</v>
      </c>
      <c r="O374" s="14">
        <v>9</v>
      </c>
      <c r="P374" s="13" t="s">
        <v>939</v>
      </c>
      <c r="Q374" s="12" t="s">
        <v>334</v>
      </c>
      <c r="R374" s="11" t="s">
        <v>310</v>
      </c>
      <c r="S374" s="10" t="s">
        <v>344</v>
      </c>
      <c r="T374" s="8">
        <v>0.67</v>
      </c>
      <c r="U374" s="9">
        <v>0.44</v>
      </c>
      <c r="V374" s="8">
        <v>0.22</v>
      </c>
      <c r="W374" s="17"/>
      <c r="X374" s="65">
        <v>46249</v>
      </c>
    </row>
    <row r="375" spans="1:24" ht="13.8" thickBot="1" x14ac:dyDescent="0.3">
      <c r="A375" s="4" t="s">
        <v>87</v>
      </c>
      <c r="B375" s="8">
        <v>0.44</v>
      </c>
      <c r="C375" s="15">
        <v>0.56000000000000005</v>
      </c>
      <c r="D375" s="8">
        <v>0.78</v>
      </c>
      <c r="E375" s="10" t="s">
        <v>224</v>
      </c>
      <c r="F375" s="11" t="s">
        <v>344</v>
      </c>
      <c r="G375" s="12" t="s">
        <v>218</v>
      </c>
      <c r="H375" s="13" t="s">
        <v>344</v>
      </c>
      <c r="I375" s="14">
        <v>9</v>
      </c>
      <c r="J375" s="14" t="s">
        <v>10</v>
      </c>
      <c r="K375" s="5" t="s">
        <v>1133</v>
      </c>
      <c r="L375" s="6">
        <v>0.54166666666666663</v>
      </c>
      <c r="M375" s="7" t="s">
        <v>180</v>
      </c>
      <c r="N375" s="14" t="s">
        <v>11</v>
      </c>
      <c r="O375" s="14">
        <v>9</v>
      </c>
      <c r="P375" s="13" t="s">
        <v>324</v>
      </c>
      <c r="Q375" s="12" t="s">
        <v>307</v>
      </c>
      <c r="R375" s="11" t="s">
        <v>306</v>
      </c>
      <c r="S375" s="10" t="s">
        <v>224</v>
      </c>
      <c r="T375" s="8">
        <v>0.89</v>
      </c>
      <c r="U375" s="9">
        <v>0.22</v>
      </c>
      <c r="V375" s="8">
        <v>0.11</v>
      </c>
      <c r="W375" s="17"/>
      <c r="X375" s="65">
        <v>46249</v>
      </c>
    </row>
    <row r="376" spans="1:24" ht="13.8" thickBot="1" x14ac:dyDescent="0.3">
      <c r="A376" s="4" t="s">
        <v>87</v>
      </c>
      <c r="B376" s="8">
        <v>0.33</v>
      </c>
      <c r="C376" s="15">
        <v>0.56000000000000005</v>
      </c>
      <c r="D376" s="8">
        <v>0.67</v>
      </c>
      <c r="E376" s="10" t="s">
        <v>228</v>
      </c>
      <c r="F376" s="11" t="s">
        <v>216</v>
      </c>
      <c r="G376" s="12" t="s">
        <v>340</v>
      </c>
      <c r="H376" s="13" t="s">
        <v>333</v>
      </c>
      <c r="I376" s="14">
        <v>9</v>
      </c>
      <c r="J376" s="14" t="s">
        <v>10</v>
      </c>
      <c r="K376" s="5" t="s">
        <v>1134</v>
      </c>
      <c r="L376" s="6">
        <v>0.625</v>
      </c>
      <c r="M376" s="7" t="s">
        <v>178</v>
      </c>
      <c r="N376" s="14" t="s">
        <v>11</v>
      </c>
      <c r="O376" s="14">
        <v>9</v>
      </c>
      <c r="P376" s="13" t="s">
        <v>324</v>
      </c>
      <c r="Q376" s="12" t="s">
        <v>309</v>
      </c>
      <c r="R376" s="11" t="s">
        <v>217</v>
      </c>
      <c r="S376" s="10" t="s">
        <v>231</v>
      </c>
      <c r="T376" s="8">
        <v>0.78</v>
      </c>
      <c r="U376" s="15">
        <v>0.78</v>
      </c>
      <c r="V376" s="8">
        <v>0.33</v>
      </c>
      <c r="W376" s="17"/>
      <c r="X376" s="65">
        <v>46249</v>
      </c>
    </row>
    <row r="377" spans="1:24" ht="13.8" thickBot="1" x14ac:dyDescent="0.3">
      <c r="A377" s="4" t="s">
        <v>87</v>
      </c>
      <c r="B377" s="8">
        <v>0.56000000000000005</v>
      </c>
      <c r="C377" s="15">
        <v>0.67</v>
      </c>
      <c r="D377" s="8">
        <v>0.89</v>
      </c>
      <c r="E377" s="10" t="s">
        <v>232</v>
      </c>
      <c r="F377" s="11" t="s">
        <v>230</v>
      </c>
      <c r="G377" s="12" t="s">
        <v>226</v>
      </c>
      <c r="H377" s="13" t="s">
        <v>231</v>
      </c>
      <c r="I377" s="14">
        <v>9</v>
      </c>
      <c r="J377" s="14" t="s">
        <v>10</v>
      </c>
      <c r="K377" s="5" t="s">
        <v>1135</v>
      </c>
      <c r="L377" s="6">
        <v>0.45833333333333331</v>
      </c>
      <c r="M377" s="7" t="s">
        <v>1136</v>
      </c>
      <c r="N377" s="14" t="s">
        <v>11</v>
      </c>
      <c r="O377" s="14">
        <v>9</v>
      </c>
      <c r="P377" s="13" t="s">
        <v>231</v>
      </c>
      <c r="Q377" s="12" t="s">
        <v>218</v>
      </c>
      <c r="R377" s="11" t="s">
        <v>344</v>
      </c>
      <c r="S377" s="10" t="s">
        <v>224</v>
      </c>
      <c r="T377" s="8">
        <v>1</v>
      </c>
      <c r="U377" s="15">
        <v>0.67</v>
      </c>
      <c r="V377" s="8">
        <v>0.33</v>
      </c>
      <c r="W377" s="17"/>
      <c r="X377" s="65">
        <v>46249</v>
      </c>
    </row>
    <row r="378" spans="1:24" ht="13.8" thickBot="1" x14ac:dyDescent="0.3">
      <c r="A378" s="4" t="s">
        <v>87</v>
      </c>
      <c r="B378" s="8">
        <v>0.44</v>
      </c>
      <c r="C378" s="15">
        <v>0.78</v>
      </c>
      <c r="D378" s="8">
        <v>0.89</v>
      </c>
      <c r="E378" s="10" t="s">
        <v>284</v>
      </c>
      <c r="F378" s="11" t="s">
        <v>307</v>
      </c>
      <c r="G378" s="12" t="s">
        <v>241</v>
      </c>
      <c r="H378" s="13" t="s">
        <v>333</v>
      </c>
      <c r="I378" s="14">
        <v>9</v>
      </c>
      <c r="J378" s="14" t="s">
        <v>10</v>
      </c>
      <c r="K378" s="5" t="s">
        <v>1137</v>
      </c>
      <c r="L378" s="6">
        <v>0.5</v>
      </c>
      <c r="M378" s="7" t="s">
        <v>1138</v>
      </c>
      <c r="N378" s="14" t="s">
        <v>11</v>
      </c>
      <c r="O378" s="14">
        <v>9</v>
      </c>
      <c r="P378" s="13" t="s">
        <v>344</v>
      </c>
      <c r="Q378" s="12" t="s">
        <v>833</v>
      </c>
      <c r="R378" s="11" t="s">
        <v>343</v>
      </c>
      <c r="S378" s="10" t="s">
        <v>232</v>
      </c>
      <c r="T378" s="8">
        <v>0.89</v>
      </c>
      <c r="U378" s="9">
        <v>0.33</v>
      </c>
      <c r="V378" s="8">
        <v>0.22</v>
      </c>
      <c r="W378" s="17"/>
      <c r="X378" s="65">
        <v>46249</v>
      </c>
    </row>
    <row r="379" spans="1:24" ht="13.8" thickBot="1" x14ac:dyDescent="0.3">
      <c r="A379" s="4" t="s">
        <v>87</v>
      </c>
      <c r="B379" s="8">
        <v>0.56000000000000005</v>
      </c>
      <c r="C379" s="15">
        <v>0.67</v>
      </c>
      <c r="D379" s="8">
        <v>0.67</v>
      </c>
      <c r="E379" s="10" t="s">
        <v>324</v>
      </c>
      <c r="F379" s="11" t="s">
        <v>307</v>
      </c>
      <c r="G379" s="12" t="s">
        <v>218</v>
      </c>
      <c r="H379" s="13" t="s">
        <v>231</v>
      </c>
      <c r="I379" s="14">
        <v>9</v>
      </c>
      <c r="J379" s="14" t="s">
        <v>10</v>
      </c>
      <c r="K379" s="5" t="s">
        <v>1139</v>
      </c>
      <c r="L379" s="6">
        <v>0.5</v>
      </c>
      <c r="M379" s="7" t="s">
        <v>1140</v>
      </c>
      <c r="N379" s="14" t="s">
        <v>11</v>
      </c>
      <c r="O379" s="14">
        <v>9</v>
      </c>
      <c r="P379" s="13" t="s">
        <v>326</v>
      </c>
      <c r="Q379" s="12" t="s">
        <v>1129</v>
      </c>
      <c r="R379" s="11" t="s">
        <v>284</v>
      </c>
      <c r="S379" s="10" t="s">
        <v>230</v>
      </c>
      <c r="T379" s="8">
        <v>0.89</v>
      </c>
      <c r="U379" s="15">
        <v>0.89</v>
      </c>
      <c r="V379" s="8">
        <v>0.56000000000000005</v>
      </c>
      <c r="W379" s="17"/>
      <c r="X379" s="65">
        <v>46249</v>
      </c>
    </row>
    <row r="380" spans="1:24" ht="13.8" thickBot="1" x14ac:dyDescent="0.3">
      <c r="A380" s="4" t="s">
        <v>87</v>
      </c>
      <c r="B380" s="8">
        <v>0.5</v>
      </c>
      <c r="C380" s="15">
        <v>0.88</v>
      </c>
      <c r="D380" s="8">
        <v>1</v>
      </c>
      <c r="E380" s="10" t="s">
        <v>220</v>
      </c>
      <c r="F380" s="11" t="s">
        <v>295</v>
      </c>
      <c r="G380" s="12" t="s">
        <v>1141</v>
      </c>
      <c r="H380" s="13" t="s">
        <v>223</v>
      </c>
      <c r="I380" s="14">
        <v>8</v>
      </c>
      <c r="J380" s="14" t="s">
        <v>10</v>
      </c>
      <c r="K380" s="5" t="s">
        <v>1142</v>
      </c>
      <c r="L380" s="6">
        <v>0.41666666666666669</v>
      </c>
      <c r="M380" s="7" t="s">
        <v>1143</v>
      </c>
      <c r="N380" s="14" t="s">
        <v>11</v>
      </c>
      <c r="O380" s="14">
        <v>8</v>
      </c>
      <c r="P380" s="13" t="s">
        <v>217</v>
      </c>
      <c r="Q380" s="12" t="s">
        <v>278</v>
      </c>
      <c r="R380" s="11" t="s">
        <v>225</v>
      </c>
      <c r="S380" s="10" t="s">
        <v>330</v>
      </c>
      <c r="T380" s="8">
        <v>0.88</v>
      </c>
      <c r="U380" s="15">
        <v>0.88</v>
      </c>
      <c r="V380" s="8">
        <v>0.75</v>
      </c>
      <c r="W380" s="17"/>
      <c r="X380" s="65">
        <v>46249</v>
      </c>
    </row>
    <row r="381" spans="1:24" ht="13.8" thickBot="1" x14ac:dyDescent="0.3">
      <c r="A381" s="4" t="s">
        <v>87</v>
      </c>
      <c r="B381" s="8">
        <v>0.75</v>
      </c>
      <c r="C381" s="15">
        <v>1</v>
      </c>
      <c r="D381" s="8">
        <v>1</v>
      </c>
      <c r="E381" s="10" t="s">
        <v>911</v>
      </c>
      <c r="F381" s="11" t="s">
        <v>330</v>
      </c>
      <c r="G381" s="12" t="s">
        <v>1144</v>
      </c>
      <c r="H381" s="13" t="s">
        <v>286</v>
      </c>
      <c r="I381" s="14">
        <v>8</v>
      </c>
      <c r="J381" s="14" t="s">
        <v>10</v>
      </c>
      <c r="K381" s="5" t="s">
        <v>1145</v>
      </c>
      <c r="L381" s="6">
        <v>0.5</v>
      </c>
      <c r="M381" s="7" t="s">
        <v>1146</v>
      </c>
      <c r="N381" s="14" t="s">
        <v>11</v>
      </c>
      <c r="O381" s="14">
        <v>8</v>
      </c>
      <c r="P381" s="13" t="s">
        <v>247</v>
      </c>
      <c r="Q381" s="12" t="s">
        <v>246</v>
      </c>
      <c r="R381" s="11" t="s">
        <v>296</v>
      </c>
      <c r="S381" s="10" t="s">
        <v>911</v>
      </c>
      <c r="T381" s="8">
        <v>0.75</v>
      </c>
      <c r="U381" s="9">
        <v>0.5</v>
      </c>
      <c r="V381" s="8">
        <v>0.5</v>
      </c>
      <c r="W381" s="17"/>
      <c r="X381" s="65">
        <v>46249</v>
      </c>
    </row>
    <row r="382" spans="1:24" ht="13.8" thickBot="1" x14ac:dyDescent="0.3">
      <c r="A382" s="4" t="s">
        <v>87</v>
      </c>
      <c r="B382" s="8">
        <v>0.5</v>
      </c>
      <c r="C382" s="15">
        <v>0.62</v>
      </c>
      <c r="D382" s="8">
        <v>1</v>
      </c>
      <c r="E382" s="10" t="s">
        <v>220</v>
      </c>
      <c r="F382" s="11" t="s">
        <v>236</v>
      </c>
      <c r="G382" s="12" t="s">
        <v>342</v>
      </c>
      <c r="H382" s="13" t="s">
        <v>286</v>
      </c>
      <c r="I382" s="14">
        <v>8</v>
      </c>
      <c r="J382" s="14" t="s">
        <v>10</v>
      </c>
      <c r="K382" s="5" t="s">
        <v>1147</v>
      </c>
      <c r="L382" s="6">
        <v>0.5</v>
      </c>
      <c r="M382" s="7" t="s">
        <v>1148</v>
      </c>
      <c r="N382" s="14" t="s">
        <v>11</v>
      </c>
      <c r="O382" s="14">
        <v>8</v>
      </c>
      <c r="P382" s="13" t="s">
        <v>223</v>
      </c>
      <c r="Q382" s="12" t="s">
        <v>1149</v>
      </c>
      <c r="R382" s="11" t="s">
        <v>240</v>
      </c>
      <c r="S382" s="10" t="s">
        <v>239</v>
      </c>
      <c r="T382" s="8">
        <v>0.88</v>
      </c>
      <c r="U382" s="15">
        <v>0.75</v>
      </c>
      <c r="V382" s="8">
        <v>0.38</v>
      </c>
      <c r="W382" s="17"/>
      <c r="X382" s="65">
        <v>46249</v>
      </c>
    </row>
    <row r="383" spans="1:24" ht="13.8" thickBot="1" x14ac:dyDescent="0.3">
      <c r="A383" s="4" t="s">
        <v>87</v>
      </c>
      <c r="B383" s="8">
        <v>0.38</v>
      </c>
      <c r="C383" s="9">
        <v>0.5</v>
      </c>
      <c r="D383" s="8">
        <v>0.75</v>
      </c>
      <c r="E383" s="10" t="s">
        <v>296</v>
      </c>
      <c r="F383" s="11" t="s">
        <v>240</v>
      </c>
      <c r="G383" s="12" t="s">
        <v>218</v>
      </c>
      <c r="H383" s="13" t="s">
        <v>216</v>
      </c>
      <c r="I383" s="14">
        <v>8</v>
      </c>
      <c r="J383" s="14" t="s">
        <v>10</v>
      </c>
      <c r="K383" s="5" t="s">
        <v>183</v>
      </c>
      <c r="L383" s="6">
        <v>0.41666666666666669</v>
      </c>
      <c r="M383" s="7" t="s">
        <v>1150</v>
      </c>
      <c r="N383" s="14" t="s">
        <v>11</v>
      </c>
      <c r="O383" s="14">
        <v>8</v>
      </c>
      <c r="P383" s="13" t="s">
        <v>220</v>
      </c>
      <c r="Q383" s="12" t="s">
        <v>246</v>
      </c>
      <c r="R383" s="11" t="s">
        <v>216</v>
      </c>
      <c r="S383" s="10" t="s">
        <v>220</v>
      </c>
      <c r="T383" s="8">
        <v>0.88</v>
      </c>
      <c r="U383" s="15">
        <v>0.75</v>
      </c>
      <c r="V383" s="8">
        <v>0.38</v>
      </c>
      <c r="W383" s="17"/>
      <c r="X383" s="65">
        <v>46249</v>
      </c>
    </row>
    <row r="384" spans="1:24" ht="13.8" thickBot="1" x14ac:dyDescent="0.3">
      <c r="A384" s="4" t="s">
        <v>87</v>
      </c>
      <c r="B384" s="8">
        <v>0.5</v>
      </c>
      <c r="C384" s="15">
        <v>0.75</v>
      </c>
      <c r="D384" s="8">
        <v>1</v>
      </c>
      <c r="E384" s="10" t="s">
        <v>217</v>
      </c>
      <c r="F384" s="11" t="s">
        <v>346</v>
      </c>
      <c r="G384" s="12" t="s">
        <v>1151</v>
      </c>
      <c r="H384" s="13" t="s">
        <v>225</v>
      </c>
      <c r="I384" s="14">
        <v>8</v>
      </c>
      <c r="J384" s="14" t="s">
        <v>10</v>
      </c>
      <c r="K384" s="5" t="s">
        <v>1152</v>
      </c>
      <c r="L384" s="6">
        <v>0.45833333333333331</v>
      </c>
      <c r="M384" s="7" t="s">
        <v>1153</v>
      </c>
      <c r="N384" s="14" t="s">
        <v>11</v>
      </c>
      <c r="O384" s="14">
        <v>8</v>
      </c>
      <c r="P384" s="13" t="s">
        <v>222</v>
      </c>
      <c r="Q384" s="12" t="s">
        <v>221</v>
      </c>
      <c r="R384" s="11" t="s">
        <v>296</v>
      </c>
      <c r="S384" s="10" t="s">
        <v>239</v>
      </c>
      <c r="T384" s="8">
        <v>0.88</v>
      </c>
      <c r="U384" s="9">
        <v>0.25</v>
      </c>
      <c r="V384" s="8">
        <v>0.25</v>
      </c>
      <c r="W384" s="17"/>
      <c r="X384" s="65">
        <v>46249</v>
      </c>
    </row>
    <row r="385" spans="1:24" ht="13.8" thickBot="1" x14ac:dyDescent="0.3">
      <c r="A385" s="4" t="s">
        <v>87</v>
      </c>
      <c r="B385" s="8">
        <v>0.5</v>
      </c>
      <c r="C385" s="15">
        <v>0.62</v>
      </c>
      <c r="D385" s="8">
        <v>0.88</v>
      </c>
      <c r="E385" s="10" t="s">
        <v>295</v>
      </c>
      <c r="F385" s="11" t="s">
        <v>294</v>
      </c>
      <c r="G385" s="12" t="s">
        <v>246</v>
      </c>
      <c r="H385" s="13" t="s">
        <v>237</v>
      </c>
      <c r="I385" s="14">
        <v>8</v>
      </c>
      <c r="J385" s="14" t="s">
        <v>10</v>
      </c>
      <c r="K385" s="5" t="s">
        <v>1154</v>
      </c>
      <c r="L385" s="6">
        <v>0.45833333333333331</v>
      </c>
      <c r="M385" s="7" t="s">
        <v>1155</v>
      </c>
      <c r="N385" s="14" t="s">
        <v>11</v>
      </c>
      <c r="O385" s="14">
        <v>8</v>
      </c>
      <c r="P385" s="13" t="s">
        <v>247</v>
      </c>
      <c r="Q385" s="12" t="s">
        <v>1156</v>
      </c>
      <c r="R385" s="11" t="s">
        <v>220</v>
      </c>
      <c r="S385" s="10" t="s">
        <v>911</v>
      </c>
      <c r="T385" s="8">
        <v>0.88</v>
      </c>
      <c r="U385" s="15">
        <v>0.88</v>
      </c>
      <c r="V385" s="8">
        <v>0.62</v>
      </c>
      <c r="W385" s="17"/>
      <c r="X385" s="65">
        <v>46249</v>
      </c>
    </row>
    <row r="386" spans="1:24" ht="13.8" thickBot="1" x14ac:dyDescent="0.3">
      <c r="A386" s="4" t="s">
        <v>87</v>
      </c>
      <c r="B386" s="8">
        <v>0.38</v>
      </c>
      <c r="C386" s="15">
        <v>0.62</v>
      </c>
      <c r="D386" s="8">
        <v>1</v>
      </c>
      <c r="E386" s="10" t="s">
        <v>286</v>
      </c>
      <c r="F386" s="11" t="s">
        <v>240</v>
      </c>
      <c r="G386" s="12" t="s">
        <v>246</v>
      </c>
      <c r="H386" s="13" t="s">
        <v>216</v>
      </c>
      <c r="I386" s="14">
        <v>8</v>
      </c>
      <c r="J386" s="14" t="s">
        <v>10</v>
      </c>
      <c r="K386" s="5" t="s">
        <v>1157</v>
      </c>
      <c r="L386" s="6">
        <v>0.5</v>
      </c>
      <c r="M386" s="7" t="s">
        <v>182</v>
      </c>
      <c r="N386" s="14" t="s">
        <v>11</v>
      </c>
      <c r="O386" s="14">
        <v>8</v>
      </c>
      <c r="P386" s="13" t="s">
        <v>222</v>
      </c>
      <c r="Q386" s="12" t="s">
        <v>342</v>
      </c>
      <c r="R386" s="11" t="s">
        <v>294</v>
      </c>
      <c r="S386" s="10" t="s">
        <v>225</v>
      </c>
      <c r="T386" s="8">
        <v>0.75</v>
      </c>
      <c r="U386" s="15">
        <v>0.62</v>
      </c>
      <c r="V386" s="8">
        <v>0.5</v>
      </c>
      <c r="W386" s="17"/>
      <c r="X386" s="65">
        <v>46249</v>
      </c>
    </row>
    <row r="387" spans="1:24" ht="13.8" thickBot="1" x14ac:dyDescent="0.3">
      <c r="A387" s="4" t="s">
        <v>87</v>
      </c>
      <c r="B387" s="8">
        <v>0.75</v>
      </c>
      <c r="C387" s="15">
        <v>0.88</v>
      </c>
      <c r="D387" s="8">
        <v>0.88</v>
      </c>
      <c r="E387" s="10" t="s">
        <v>220</v>
      </c>
      <c r="F387" s="11" t="s">
        <v>346</v>
      </c>
      <c r="G387" s="12" t="s">
        <v>1158</v>
      </c>
      <c r="H387" s="13" t="s">
        <v>240</v>
      </c>
      <c r="I387" s="14">
        <v>8</v>
      </c>
      <c r="J387" s="14" t="s">
        <v>10</v>
      </c>
      <c r="K387" s="5" t="s">
        <v>1159</v>
      </c>
      <c r="L387" s="6">
        <v>0.58333333333333337</v>
      </c>
      <c r="M387" s="7" t="s">
        <v>1160</v>
      </c>
      <c r="N387" s="14" t="s">
        <v>11</v>
      </c>
      <c r="O387" s="14">
        <v>8</v>
      </c>
      <c r="P387" s="13" t="s">
        <v>925</v>
      </c>
      <c r="Q387" s="12" t="s">
        <v>345</v>
      </c>
      <c r="R387" s="11" t="s">
        <v>347</v>
      </c>
      <c r="S387" s="10" t="s">
        <v>346</v>
      </c>
      <c r="T387" s="8">
        <v>0.88</v>
      </c>
      <c r="U387" s="15">
        <v>0.75</v>
      </c>
      <c r="V387" s="8">
        <v>0.5</v>
      </c>
      <c r="W387" s="17"/>
      <c r="X387" s="65">
        <v>46249</v>
      </c>
    </row>
    <row r="388" spans="1:24" ht="13.8" thickBot="1" x14ac:dyDescent="0.3">
      <c r="A388" s="4" t="s">
        <v>87</v>
      </c>
      <c r="B388" s="8">
        <v>0.75</v>
      </c>
      <c r="C388" s="15">
        <v>0.88</v>
      </c>
      <c r="D388" s="8">
        <v>1</v>
      </c>
      <c r="E388" s="10" t="s">
        <v>239</v>
      </c>
      <c r="F388" s="11" t="s">
        <v>218</v>
      </c>
      <c r="G388" s="12" t="s">
        <v>1161</v>
      </c>
      <c r="H388" s="13" t="s">
        <v>236</v>
      </c>
      <c r="I388" s="14">
        <v>8</v>
      </c>
      <c r="J388" s="14" t="s">
        <v>10</v>
      </c>
      <c r="K388" s="5" t="s">
        <v>1162</v>
      </c>
      <c r="L388" s="6">
        <v>0.47916666666666669</v>
      </c>
      <c r="M388" s="7" t="s">
        <v>1163</v>
      </c>
      <c r="N388" s="14" t="s">
        <v>11</v>
      </c>
      <c r="O388" s="14">
        <v>8</v>
      </c>
      <c r="P388" s="13" t="s">
        <v>296</v>
      </c>
      <c r="Q388" s="12" t="s">
        <v>1149</v>
      </c>
      <c r="R388" s="11" t="s">
        <v>294</v>
      </c>
      <c r="S388" s="10" t="s">
        <v>911</v>
      </c>
      <c r="T388" s="8">
        <v>0.75</v>
      </c>
      <c r="U388" s="15">
        <v>0.75</v>
      </c>
      <c r="V388" s="8">
        <v>0.38</v>
      </c>
      <c r="W388" s="17"/>
      <c r="X388" s="65">
        <v>46249</v>
      </c>
    </row>
    <row r="389" spans="1:24" ht="13.8" thickBot="1" x14ac:dyDescent="0.3">
      <c r="A389" s="4" t="s">
        <v>87</v>
      </c>
      <c r="B389" s="8">
        <v>0.38</v>
      </c>
      <c r="C389" s="15">
        <v>0.62</v>
      </c>
      <c r="D389" s="8">
        <v>0.88</v>
      </c>
      <c r="E389" s="10" t="s">
        <v>223</v>
      </c>
      <c r="F389" s="11" t="s">
        <v>240</v>
      </c>
      <c r="G389" s="12" t="s">
        <v>1141</v>
      </c>
      <c r="H389" s="13" t="s">
        <v>216</v>
      </c>
      <c r="I389" s="14">
        <v>8</v>
      </c>
      <c r="J389" s="14" t="s">
        <v>10</v>
      </c>
      <c r="K389" s="5" t="s">
        <v>1164</v>
      </c>
      <c r="L389" s="6">
        <v>0.5</v>
      </c>
      <c r="M389" s="7" t="s">
        <v>185</v>
      </c>
      <c r="N389" s="14" t="s">
        <v>11</v>
      </c>
      <c r="O389" s="14">
        <v>8</v>
      </c>
      <c r="P389" s="13" t="s">
        <v>239</v>
      </c>
      <c r="Q389" s="12" t="s">
        <v>346</v>
      </c>
      <c r="R389" s="11" t="s">
        <v>223</v>
      </c>
      <c r="S389" s="10" t="s">
        <v>220</v>
      </c>
      <c r="T389" s="8">
        <v>0.75</v>
      </c>
      <c r="U389" s="15">
        <v>0.62</v>
      </c>
      <c r="V389" s="8">
        <v>0.38</v>
      </c>
      <c r="W389" s="17"/>
      <c r="X389" s="65">
        <v>46249</v>
      </c>
    </row>
    <row r="390" spans="1:24" ht="13.8" thickBot="1" x14ac:dyDescent="0.3">
      <c r="A390" s="4" t="s">
        <v>87</v>
      </c>
      <c r="B390" s="8">
        <v>0.75</v>
      </c>
      <c r="C390" s="15">
        <v>0.75</v>
      </c>
      <c r="D390" s="8">
        <v>0.88</v>
      </c>
      <c r="E390" s="10" t="s">
        <v>911</v>
      </c>
      <c r="F390" s="11" t="s">
        <v>911</v>
      </c>
      <c r="G390" s="12" t="s">
        <v>1165</v>
      </c>
      <c r="H390" s="13" t="s">
        <v>220</v>
      </c>
      <c r="I390" s="14">
        <v>8</v>
      </c>
      <c r="J390" s="14" t="s">
        <v>10</v>
      </c>
      <c r="K390" s="5" t="s">
        <v>184</v>
      </c>
      <c r="L390" s="6">
        <v>0.54166666666666663</v>
      </c>
      <c r="M390" s="7" t="s">
        <v>1166</v>
      </c>
      <c r="N390" s="14" t="s">
        <v>11</v>
      </c>
      <c r="O390" s="14">
        <v>8</v>
      </c>
      <c r="P390" s="13" t="s">
        <v>216</v>
      </c>
      <c r="Q390" s="12" t="s">
        <v>278</v>
      </c>
      <c r="R390" s="11" t="s">
        <v>295</v>
      </c>
      <c r="S390" s="10" t="s">
        <v>911</v>
      </c>
      <c r="T390" s="8">
        <v>1</v>
      </c>
      <c r="U390" s="15">
        <v>0.88</v>
      </c>
      <c r="V390" s="8">
        <v>0.62</v>
      </c>
      <c r="W390" s="17"/>
      <c r="X390" s="65">
        <v>46249</v>
      </c>
    </row>
    <row r="391" spans="1:24" ht="19.8" thickBot="1" x14ac:dyDescent="0.3">
      <c r="A391" s="4" t="s">
        <v>1167</v>
      </c>
      <c r="B391" s="8">
        <v>0.2</v>
      </c>
      <c r="C391" s="9">
        <v>0.5</v>
      </c>
      <c r="D391" s="8">
        <v>0.7</v>
      </c>
      <c r="E391" s="10" t="s">
        <v>270</v>
      </c>
      <c r="F391" s="11" t="s">
        <v>220</v>
      </c>
      <c r="G391" s="12" t="s">
        <v>800</v>
      </c>
      <c r="H391" s="13" t="s">
        <v>220</v>
      </c>
      <c r="I391" s="14">
        <v>10</v>
      </c>
      <c r="J391" s="14" t="s">
        <v>10</v>
      </c>
      <c r="K391" s="5" t="s">
        <v>1168</v>
      </c>
      <c r="L391" s="6">
        <v>0.54166666666666663</v>
      </c>
      <c r="M391" s="7" t="s">
        <v>1169</v>
      </c>
      <c r="N391" s="14" t="s">
        <v>11</v>
      </c>
      <c r="O391" s="14">
        <v>10</v>
      </c>
      <c r="P391" s="13" t="s">
        <v>274</v>
      </c>
      <c r="Q391" s="12" t="s">
        <v>249</v>
      </c>
      <c r="R391" s="11" t="s">
        <v>824</v>
      </c>
      <c r="S391" s="10" t="s">
        <v>274</v>
      </c>
      <c r="T391" s="8">
        <v>0.7</v>
      </c>
      <c r="U391" s="9">
        <v>0.4</v>
      </c>
      <c r="V391" s="8">
        <v>0</v>
      </c>
      <c r="W391" s="17"/>
      <c r="X391" s="65">
        <v>46249</v>
      </c>
    </row>
    <row r="392" spans="1:24" ht="19.8" thickBot="1" x14ac:dyDescent="0.3">
      <c r="A392" s="4" t="s">
        <v>1167</v>
      </c>
      <c r="B392" s="8">
        <v>0.2</v>
      </c>
      <c r="C392" s="15">
        <v>0.6</v>
      </c>
      <c r="D392" s="8">
        <v>0.7</v>
      </c>
      <c r="E392" s="10" t="s">
        <v>217</v>
      </c>
      <c r="F392" s="11" t="s">
        <v>273</v>
      </c>
      <c r="G392" s="12" t="s">
        <v>800</v>
      </c>
      <c r="H392" s="13" t="s">
        <v>220</v>
      </c>
      <c r="I392" s="14">
        <v>10</v>
      </c>
      <c r="J392" s="14" t="s">
        <v>10</v>
      </c>
      <c r="K392" s="5" t="s">
        <v>1170</v>
      </c>
      <c r="L392" s="6">
        <v>0.625</v>
      </c>
      <c r="M392" s="7" t="s">
        <v>1171</v>
      </c>
      <c r="N392" s="14" t="s">
        <v>11</v>
      </c>
      <c r="O392" s="14">
        <v>9</v>
      </c>
      <c r="P392" s="13" t="s">
        <v>344</v>
      </c>
      <c r="Q392" s="12" t="s">
        <v>341</v>
      </c>
      <c r="R392" s="11" t="s">
        <v>344</v>
      </c>
      <c r="S392" s="10" t="s">
        <v>228</v>
      </c>
      <c r="T392" s="8">
        <v>0.78</v>
      </c>
      <c r="U392" s="15">
        <v>0.56000000000000005</v>
      </c>
      <c r="V392" s="8">
        <v>0.22</v>
      </c>
      <c r="W392" s="17"/>
      <c r="X392" s="65">
        <v>46249</v>
      </c>
    </row>
    <row r="393" spans="1:24" ht="19.8" thickBot="1" x14ac:dyDescent="0.3">
      <c r="A393" s="4" t="s">
        <v>215</v>
      </c>
      <c r="B393" s="63"/>
      <c r="C393" s="63"/>
      <c r="D393" s="63"/>
      <c r="E393" s="63"/>
      <c r="F393" s="63"/>
      <c r="G393" s="63"/>
      <c r="H393" s="63"/>
      <c r="I393" s="64"/>
      <c r="J393" s="14" t="s">
        <v>10</v>
      </c>
      <c r="K393" s="5" t="s">
        <v>1172</v>
      </c>
      <c r="L393" s="6">
        <v>0.41666666666666669</v>
      </c>
      <c r="M393" s="7" t="s">
        <v>1173</v>
      </c>
      <c r="N393" s="14" t="s">
        <v>11</v>
      </c>
      <c r="O393" s="64"/>
      <c r="P393" s="63"/>
      <c r="Q393" s="63"/>
      <c r="R393" s="63"/>
      <c r="S393" s="63"/>
      <c r="T393" s="63"/>
      <c r="U393" s="63"/>
      <c r="V393" s="63"/>
      <c r="W393" s="17"/>
      <c r="X393" s="65">
        <v>46249</v>
      </c>
    </row>
    <row r="394" spans="1:24" ht="13.8" thickBot="1" x14ac:dyDescent="0.3">
      <c r="A394" s="4" t="s">
        <v>215</v>
      </c>
      <c r="B394" s="63"/>
      <c r="C394" s="63"/>
      <c r="D394" s="63"/>
      <c r="E394" s="63"/>
      <c r="F394" s="63"/>
      <c r="G394" s="63"/>
      <c r="H394" s="63"/>
      <c r="I394" s="64"/>
      <c r="J394" s="14" t="s">
        <v>10</v>
      </c>
      <c r="K394" s="5" t="s">
        <v>1174</v>
      </c>
      <c r="L394" s="6">
        <v>0.41666666666666669</v>
      </c>
      <c r="M394" s="7" t="s">
        <v>1175</v>
      </c>
      <c r="N394" s="14" t="s">
        <v>11</v>
      </c>
      <c r="O394" s="64"/>
      <c r="P394" s="63"/>
      <c r="Q394" s="63"/>
      <c r="R394" s="63"/>
      <c r="S394" s="63"/>
      <c r="T394" s="63"/>
      <c r="U394" s="63"/>
      <c r="V394" s="63"/>
      <c r="W394" s="17"/>
      <c r="X394" s="65">
        <v>46249</v>
      </c>
    </row>
    <row r="395" spans="1:24" ht="13.8" thickBot="1" x14ac:dyDescent="0.3">
      <c r="A395" s="4" t="s">
        <v>215</v>
      </c>
      <c r="B395" s="63"/>
      <c r="C395" s="63"/>
      <c r="D395" s="63"/>
      <c r="E395" s="63"/>
      <c r="F395" s="63"/>
      <c r="G395" s="63"/>
      <c r="H395" s="63"/>
      <c r="I395" s="64"/>
      <c r="J395" s="14" t="s">
        <v>10</v>
      </c>
      <c r="K395" s="5" t="s">
        <v>1176</v>
      </c>
      <c r="L395" s="6">
        <v>0.41666666666666669</v>
      </c>
      <c r="M395" s="7" t="s">
        <v>1177</v>
      </c>
      <c r="N395" s="14" t="s">
        <v>11</v>
      </c>
      <c r="O395" s="64"/>
      <c r="P395" s="63"/>
      <c r="Q395" s="63"/>
      <c r="R395" s="63"/>
      <c r="S395" s="63"/>
      <c r="T395" s="63"/>
      <c r="U395" s="63"/>
      <c r="V395" s="63"/>
      <c r="W395" s="17"/>
      <c r="X395" s="65">
        <v>46249</v>
      </c>
    </row>
    <row r="396" spans="1:24" ht="19.8" thickBot="1" x14ac:dyDescent="0.3">
      <c r="A396" s="4" t="s">
        <v>215</v>
      </c>
      <c r="B396" s="63"/>
      <c r="C396" s="63"/>
      <c r="D396" s="63"/>
      <c r="E396" s="63"/>
      <c r="F396" s="63"/>
      <c r="G396" s="63"/>
      <c r="H396" s="63"/>
      <c r="I396" s="64"/>
      <c r="J396" s="14" t="s">
        <v>10</v>
      </c>
      <c r="K396" s="5" t="s">
        <v>1178</v>
      </c>
      <c r="L396" s="6">
        <v>0.41666666666666669</v>
      </c>
      <c r="M396" s="7" t="s">
        <v>1179</v>
      </c>
      <c r="N396" s="14" t="s">
        <v>11</v>
      </c>
      <c r="O396" s="64"/>
      <c r="P396" s="63"/>
      <c r="Q396" s="63"/>
      <c r="R396" s="63"/>
      <c r="S396" s="63"/>
      <c r="T396" s="63"/>
      <c r="U396" s="63"/>
      <c r="V396" s="63"/>
      <c r="W396" s="17"/>
      <c r="X396" s="65">
        <v>46249</v>
      </c>
    </row>
    <row r="397" spans="1:24" ht="13.8" thickBot="1" x14ac:dyDescent="0.3">
      <c r="A397" s="4" t="s">
        <v>215</v>
      </c>
      <c r="B397" s="63"/>
      <c r="C397" s="63"/>
      <c r="D397" s="63"/>
      <c r="E397" s="63"/>
      <c r="F397" s="63"/>
      <c r="G397" s="63"/>
      <c r="H397" s="63"/>
      <c r="I397" s="64"/>
      <c r="J397" s="14" t="s">
        <v>10</v>
      </c>
      <c r="K397" s="5" t="s">
        <v>1180</v>
      </c>
      <c r="L397" s="6">
        <v>0.41666666666666669</v>
      </c>
      <c r="M397" s="7" t="s">
        <v>1181</v>
      </c>
      <c r="N397" s="14" t="s">
        <v>11</v>
      </c>
      <c r="O397" s="64"/>
      <c r="P397" s="63"/>
      <c r="Q397" s="63"/>
      <c r="R397" s="63"/>
      <c r="S397" s="63"/>
      <c r="T397" s="63"/>
      <c r="U397" s="63"/>
      <c r="V397" s="63"/>
      <c r="W397" s="17"/>
      <c r="X397" s="65">
        <v>46249</v>
      </c>
    </row>
    <row r="398" spans="1:24" ht="19.8" thickBot="1" x14ac:dyDescent="0.3">
      <c r="A398" s="4" t="s">
        <v>215</v>
      </c>
      <c r="B398" s="63"/>
      <c r="C398" s="63"/>
      <c r="D398" s="63"/>
      <c r="E398" s="63"/>
      <c r="F398" s="63"/>
      <c r="G398" s="63"/>
      <c r="H398" s="63"/>
      <c r="I398" s="64"/>
      <c r="J398" s="14" t="s">
        <v>10</v>
      </c>
      <c r="K398" s="5" t="s">
        <v>1182</v>
      </c>
      <c r="L398" s="6">
        <v>0.52083333333333337</v>
      </c>
      <c r="M398" s="7" t="s">
        <v>1183</v>
      </c>
      <c r="N398" s="14" t="s">
        <v>11</v>
      </c>
      <c r="O398" s="64"/>
      <c r="P398" s="63"/>
      <c r="Q398" s="63"/>
      <c r="R398" s="63"/>
      <c r="S398" s="63"/>
      <c r="T398" s="63"/>
      <c r="U398" s="63"/>
      <c r="V398" s="63"/>
      <c r="W398" s="17"/>
      <c r="X398" s="65">
        <v>46249</v>
      </c>
    </row>
    <row r="399" spans="1:24" ht="13.8" thickBot="1" x14ac:dyDescent="0.3">
      <c r="A399" s="4" t="s">
        <v>215</v>
      </c>
      <c r="B399" s="8">
        <v>1</v>
      </c>
      <c r="C399" s="15">
        <v>1</v>
      </c>
      <c r="D399" s="8">
        <v>1</v>
      </c>
      <c r="E399" s="10" t="s">
        <v>216</v>
      </c>
      <c r="F399" s="11" t="s">
        <v>278</v>
      </c>
      <c r="G399" s="12" t="s">
        <v>357</v>
      </c>
      <c r="H399" s="13" t="s">
        <v>218</v>
      </c>
      <c r="I399" s="14">
        <v>1</v>
      </c>
      <c r="J399" s="14" t="s">
        <v>10</v>
      </c>
      <c r="K399" s="5" t="s">
        <v>1184</v>
      </c>
      <c r="L399" s="6">
        <v>0.41666666666666669</v>
      </c>
      <c r="M399" s="7" t="s">
        <v>1185</v>
      </c>
      <c r="N399" s="14" t="s">
        <v>11</v>
      </c>
      <c r="O399" s="14">
        <v>1</v>
      </c>
      <c r="P399" s="13" t="s">
        <v>219</v>
      </c>
      <c r="Q399" s="12" t="s">
        <v>216</v>
      </c>
      <c r="R399" s="11" t="s">
        <v>219</v>
      </c>
      <c r="S399" s="10" t="s">
        <v>216</v>
      </c>
      <c r="T399" s="8">
        <v>1</v>
      </c>
      <c r="U399" s="9">
        <v>0</v>
      </c>
      <c r="V399" s="8">
        <v>0</v>
      </c>
      <c r="W399" s="17"/>
      <c r="X399" s="65">
        <v>46249</v>
      </c>
    </row>
    <row r="400" spans="1:24" ht="19.8" thickBot="1" x14ac:dyDescent="0.3">
      <c r="A400" s="4" t="s">
        <v>215</v>
      </c>
      <c r="B400" s="8">
        <v>1</v>
      </c>
      <c r="C400" s="15">
        <v>1</v>
      </c>
      <c r="D400" s="8">
        <v>1</v>
      </c>
      <c r="E400" s="10" t="s">
        <v>216</v>
      </c>
      <c r="F400" s="11" t="s">
        <v>218</v>
      </c>
      <c r="G400" s="12" t="s">
        <v>278</v>
      </c>
      <c r="H400" s="13" t="s">
        <v>218</v>
      </c>
      <c r="I400" s="14">
        <v>1</v>
      </c>
      <c r="J400" s="14" t="s">
        <v>10</v>
      </c>
      <c r="K400" s="5" t="s">
        <v>1186</v>
      </c>
      <c r="L400" s="6">
        <v>0.58333333333333337</v>
      </c>
      <c r="M400" s="7" t="s">
        <v>1187</v>
      </c>
      <c r="N400" s="14" t="s">
        <v>11</v>
      </c>
      <c r="O400" s="14">
        <v>1</v>
      </c>
      <c r="P400" s="13" t="s">
        <v>219</v>
      </c>
      <c r="Q400" s="12" t="s">
        <v>357</v>
      </c>
      <c r="R400" s="11" t="s">
        <v>216</v>
      </c>
      <c r="S400" s="10" t="s">
        <v>278</v>
      </c>
      <c r="T400" s="8">
        <v>1</v>
      </c>
      <c r="U400" s="15">
        <v>1</v>
      </c>
      <c r="V400" s="8">
        <v>1</v>
      </c>
      <c r="W400" s="17"/>
      <c r="X400" s="65">
        <v>46249</v>
      </c>
    </row>
    <row r="401" spans="1:24" ht="13.8" thickBot="1" x14ac:dyDescent="0.3">
      <c r="A401" s="4" t="s">
        <v>215</v>
      </c>
      <c r="B401" s="8">
        <v>1</v>
      </c>
      <c r="C401" s="15">
        <v>1</v>
      </c>
      <c r="D401" s="8">
        <v>1</v>
      </c>
      <c r="E401" s="10" t="s">
        <v>217</v>
      </c>
      <c r="F401" s="11" t="s">
        <v>218</v>
      </c>
      <c r="G401" s="12" t="s">
        <v>226</v>
      </c>
      <c r="H401" s="13" t="s">
        <v>218</v>
      </c>
      <c r="I401" s="14">
        <v>1</v>
      </c>
      <c r="J401" s="14" t="s">
        <v>10</v>
      </c>
      <c r="K401" s="5" t="s">
        <v>1188</v>
      </c>
      <c r="L401" s="6">
        <v>0.58333333333333337</v>
      </c>
      <c r="M401" s="7" t="s">
        <v>1189</v>
      </c>
      <c r="N401" s="14" t="s">
        <v>11</v>
      </c>
      <c r="O401" s="14">
        <v>1</v>
      </c>
      <c r="P401" s="13" t="s">
        <v>217</v>
      </c>
      <c r="Q401" s="12" t="s">
        <v>216</v>
      </c>
      <c r="R401" s="11" t="s">
        <v>217</v>
      </c>
      <c r="S401" s="10" t="s">
        <v>217</v>
      </c>
      <c r="T401" s="8">
        <v>1</v>
      </c>
      <c r="U401" s="9">
        <v>0</v>
      </c>
      <c r="V401" s="8">
        <v>0</v>
      </c>
      <c r="W401" s="17"/>
      <c r="X401" s="65">
        <v>46249</v>
      </c>
    </row>
    <row r="402" spans="1:24" ht="19.8" thickBot="1" x14ac:dyDescent="0.3">
      <c r="A402" s="4" t="s">
        <v>215</v>
      </c>
      <c r="B402" s="8">
        <v>0</v>
      </c>
      <c r="C402" s="9">
        <v>0</v>
      </c>
      <c r="D402" s="8">
        <v>1</v>
      </c>
      <c r="E402" s="10" t="s">
        <v>219</v>
      </c>
      <c r="F402" s="11" t="s">
        <v>216</v>
      </c>
      <c r="G402" s="12" t="s">
        <v>216</v>
      </c>
      <c r="H402" s="13" t="s">
        <v>218</v>
      </c>
      <c r="I402" s="14">
        <v>1</v>
      </c>
      <c r="J402" s="14" t="s">
        <v>10</v>
      </c>
      <c r="K402" s="5" t="s">
        <v>1190</v>
      </c>
      <c r="L402" s="6">
        <v>0.625</v>
      </c>
      <c r="M402" s="7" t="s">
        <v>1191</v>
      </c>
      <c r="N402" s="14" t="s">
        <v>11</v>
      </c>
      <c r="O402" s="14">
        <v>1</v>
      </c>
      <c r="P402" s="13" t="s">
        <v>219</v>
      </c>
      <c r="Q402" s="12" t="s">
        <v>216</v>
      </c>
      <c r="R402" s="11" t="s">
        <v>219</v>
      </c>
      <c r="S402" s="10" t="s">
        <v>216</v>
      </c>
      <c r="T402" s="8">
        <v>1</v>
      </c>
      <c r="U402" s="9">
        <v>0</v>
      </c>
      <c r="V402" s="8">
        <v>0</v>
      </c>
      <c r="W402" s="17"/>
      <c r="X402" s="65">
        <v>46249</v>
      </c>
    </row>
    <row r="403" spans="1:24" ht="13.8" thickBot="1" x14ac:dyDescent="0.3">
      <c r="A403" s="4" t="s">
        <v>215</v>
      </c>
      <c r="B403" s="8">
        <v>0</v>
      </c>
      <c r="C403" s="9">
        <v>0.5</v>
      </c>
      <c r="D403" s="8">
        <v>1</v>
      </c>
      <c r="E403" s="10" t="s">
        <v>220</v>
      </c>
      <c r="F403" s="11" t="s">
        <v>217</v>
      </c>
      <c r="G403" s="12" t="s">
        <v>221</v>
      </c>
      <c r="H403" s="13" t="s">
        <v>247</v>
      </c>
      <c r="I403" s="14">
        <v>2</v>
      </c>
      <c r="J403" s="14" t="s">
        <v>10</v>
      </c>
      <c r="K403" s="5" t="s">
        <v>1192</v>
      </c>
      <c r="L403" s="6">
        <v>0.41666666666666669</v>
      </c>
      <c r="M403" s="7" t="s">
        <v>1193</v>
      </c>
      <c r="N403" s="14" t="s">
        <v>11</v>
      </c>
      <c r="O403" s="14">
        <v>2</v>
      </c>
      <c r="P403" s="13" t="s">
        <v>218</v>
      </c>
      <c r="Q403" s="12" t="s">
        <v>226</v>
      </c>
      <c r="R403" s="11" t="s">
        <v>246</v>
      </c>
      <c r="S403" s="10" t="s">
        <v>247</v>
      </c>
      <c r="T403" s="8">
        <v>1</v>
      </c>
      <c r="U403" s="15">
        <v>1</v>
      </c>
      <c r="V403" s="8">
        <v>0.5</v>
      </c>
      <c r="W403" s="17"/>
      <c r="X403" s="65">
        <v>46249</v>
      </c>
    </row>
    <row r="404" spans="1:24" ht="13.8" thickBot="1" x14ac:dyDescent="0.3">
      <c r="A404" s="4" t="s">
        <v>215</v>
      </c>
      <c r="B404" s="8">
        <v>1</v>
      </c>
      <c r="C404" s="15">
        <v>1</v>
      </c>
      <c r="D404" s="8">
        <v>1</v>
      </c>
      <c r="E404" s="10" t="s">
        <v>247</v>
      </c>
      <c r="F404" s="11" t="s">
        <v>278</v>
      </c>
      <c r="G404" s="12" t="s">
        <v>254</v>
      </c>
      <c r="H404" s="13" t="s">
        <v>218</v>
      </c>
      <c r="I404" s="14">
        <v>2</v>
      </c>
      <c r="J404" s="14" t="s">
        <v>10</v>
      </c>
      <c r="K404" s="5" t="s">
        <v>1194</v>
      </c>
      <c r="L404" s="6">
        <v>0.41666666666666669</v>
      </c>
      <c r="M404" s="7" t="s">
        <v>1195</v>
      </c>
      <c r="N404" s="14" t="s">
        <v>11</v>
      </c>
      <c r="O404" s="14">
        <v>1</v>
      </c>
      <c r="P404" s="13" t="s">
        <v>217</v>
      </c>
      <c r="Q404" s="12" t="s">
        <v>238</v>
      </c>
      <c r="R404" s="11" t="s">
        <v>218</v>
      </c>
      <c r="S404" s="10" t="s">
        <v>218</v>
      </c>
      <c r="T404" s="8">
        <v>1</v>
      </c>
      <c r="U404" s="15">
        <v>1</v>
      </c>
      <c r="V404" s="8">
        <v>1</v>
      </c>
      <c r="W404" s="17"/>
      <c r="X404" s="65">
        <v>46249</v>
      </c>
    </row>
    <row r="405" spans="1:24" ht="19.8" thickBot="1" x14ac:dyDescent="0.3">
      <c r="A405" s="4" t="s">
        <v>215</v>
      </c>
      <c r="B405" s="8">
        <v>0.5</v>
      </c>
      <c r="C405" s="15">
        <v>1</v>
      </c>
      <c r="D405" s="8">
        <v>1</v>
      </c>
      <c r="E405" s="10" t="s">
        <v>247</v>
      </c>
      <c r="F405" s="11" t="s">
        <v>218</v>
      </c>
      <c r="G405" s="12" t="s">
        <v>246</v>
      </c>
      <c r="H405" s="13" t="s">
        <v>218</v>
      </c>
      <c r="I405" s="14">
        <v>2</v>
      </c>
      <c r="J405" s="14" t="s">
        <v>10</v>
      </c>
      <c r="K405" s="5" t="s">
        <v>1196</v>
      </c>
      <c r="L405" s="6">
        <v>0.5</v>
      </c>
      <c r="M405" s="7" t="s">
        <v>1197</v>
      </c>
      <c r="N405" s="14" t="s">
        <v>11</v>
      </c>
      <c r="O405" s="14">
        <v>1</v>
      </c>
      <c r="P405" s="13" t="s">
        <v>218</v>
      </c>
      <c r="Q405" s="12" t="s">
        <v>216</v>
      </c>
      <c r="R405" s="11" t="s">
        <v>216</v>
      </c>
      <c r="S405" s="10" t="s">
        <v>219</v>
      </c>
      <c r="T405" s="8">
        <v>1</v>
      </c>
      <c r="U405" s="9">
        <v>0</v>
      </c>
      <c r="V405" s="8">
        <v>0</v>
      </c>
      <c r="W405" s="17"/>
      <c r="X405" s="65">
        <v>46249</v>
      </c>
    </row>
    <row r="406" spans="1:24" ht="13.8" thickBot="1" x14ac:dyDescent="0.3">
      <c r="A406" s="4" t="s">
        <v>215</v>
      </c>
      <c r="B406" s="8">
        <v>0</v>
      </c>
      <c r="C406" s="9">
        <v>0</v>
      </c>
      <c r="D406" s="8">
        <v>1</v>
      </c>
      <c r="E406" s="10" t="s">
        <v>217</v>
      </c>
      <c r="F406" s="11" t="s">
        <v>217</v>
      </c>
      <c r="G406" s="12" t="s">
        <v>216</v>
      </c>
      <c r="H406" s="13" t="s">
        <v>217</v>
      </c>
      <c r="I406" s="14">
        <v>1</v>
      </c>
      <c r="J406" s="14" t="s">
        <v>10</v>
      </c>
      <c r="K406" s="5" t="s">
        <v>1198</v>
      </c>
      <c r="L406" s="6">
        <v>0.41666666666666669</v>
      </c>
      <c r="M406" s="7" t="s">
        <v>1199</v>
      </c>
      <c r="N406" s="14" t="s">
        <v>11</v>
      </c>
      <c r="O406" s="14">
        <v>1</v>
      </c>
      <c r="P406" s="13" t="s">
        <v>218</v>
      </c>
      <c r="Q406" s="12" t="s">
        <v>218</v>
      </c>
      <c r="R406" s="11" t="s">
        <v>216</v>
      </c>
      <c r="S406" s="10" t="s">
        <v>217</v>
      </c>
      <c r="T406" s="8">
        <v>1</v>
      </c>
      <c r="U406" s="15">
        <v>1</v>
      </c>
      <c r="V406" s="8">
        <v>0</v>
      </c>
      <c r="W406" s="17"/>
      <c r="X406" s="65">
        <v>46249</v>
      </c>
    </row>
    <row r="407" spans="1:24" ht="13.8" thickBot="1" x14ac:dyDescent="0.3">
      <c r="A407" s="4" t="s">
        <v>215</v>
      </c>
      <c r="B407" s="8">
        <v>0</v>
      </c>
      <c r="C407" s="9">
        <v>0</v>
      </c>
      <c r="D407" s="8">
        <v>1</v>
      </c>
      <c r="E407" s="10" t="s">
        <v>219</v>
      </c>
      <c r="F407" s="11" t="s">
        <v>216</v>
      </c>
      <c r="G407" s="12" t="s">
        <v>216</v>
      </c>
      <c r="H407" s="13" t="s">
        <v>218</v>
      </c>
      <c r="I407" s="14">
        <v>1</v>
      </c>
      <c r="J407" s="14" t="s">
        <v>10</v>
      </c>
      <c r="K407" s="5" t="s">
        <v>1200</v>
      </c>
      <c r="L407" s="6">
        <v>0.41666666666666669</v>
      </c>
      <c r="M407" s="7" t="s">
        <v>1201</v>
      </c>
      <c r="N407" s="14" t="s">
        <v>11</v>
      </c>
      <c r="O407" s="14">
        <v>1</v>
      </c>
      <c r="P407" s="13" t="s">
        <v>217</v>
      </c>
      <c r="Q407" s="12" t="s">
        <v>219</v>
      </c>
      <c r="R407" s="11" t="s">
        <v>219</v>
      </c>
      <c r="S407" s="10" t="s">
        <v>219</v>
      </c>
      <c r="T407" s="8">
        <v>0</v>
      </c>
      <c r="U407" s="9">
        <v>0</v>
      </c>
      <c r="V407" s="8">
        <v>0</v>
      </c>
      <c r="W407" s="17"/>
      <c r="X407" s="65">
        <v>46249</v>
      </c>
    </row>
    <row r="408" spans="1:24" ht="19.8" thickBot="1" x14ac:dyDescent="0.3">
      <c r="A408" s="4" t="s">
        <v>215</v>
      </c>
      <c r="B408" s="8">
        <v>0</v>
      </c>
      <c r="C408" s="15">
        <v>1</v>
      </c>
      <c r="D408" s="8">
        <v>1</v>
      </c>
      <c r="E408" s="10" t="s">
        <v>217</v>
      </c>
      <c r="F408" s="11" t="s">
        <v>216</v>
      </c>
      <c r="G408" s="12" t="s">
        <v>218</v>
      </c>
      <c r="H408" s="13" t="s">
        <v>218</v>
      </c>
      <c r="I408" s="14">
        <v>1</v>
      </c>
      <c r="J408" s="14" t="s">
        <v>10</v>
      </c>
      <c r="K408" s="5" t="s">
        <v>1202</v>
      </c>
      <c r="L408" s="6">
        <v>0.41666666666666669</v>
      </c>
      <c r="M408" s="7" t="s">
        <v>1203</v>
      </c>
      <c r="N408" s="14" t="s">
        <v>11</v>
      </c>
      <c r="O408" s="14">
        <v>1</v>
      </c>
      <c r="P408" s="13" t="s">
        <v>218</v>
      </c>
      <c r="Q408" s="12" t="s">
        <v>278</v>
      </c>
      <c r="R408" s="11" t="s">
        <v>218</v>
      </c>
      <c r="S408" s="10" t="s">
        <v>216</v>
      </c>
      <c r="T408" s="8">
        <v>1</v>
      </c>
      <c r="U408" s="15">
        <v>1</v>
      </c>
      <c r="V408" s="8">
        <v>1</v>
      </c>
      <c r="W408" s="17"/>
      <c r="X408" s="65">
        <v>46249</v>
      </c>
    </row>
    <row r="409" spans="1:24" ht="19.8" thickBot="1" x14ac:dyDescent="0.3">
      <c r="A409" s="4" t="s">
        <v>215</v>
      </c>
      <c r="B409" s="8">
        <v>0</v>
      </c>
      <c r="C409" s="9">
        <v>0</v>
      </c>
      <c r="D409" s="8">
        <v>0</v>
      </c>
      <c r="E409" s="10" t="s">
        <v>219</v>
      </c>
      <c r="F409" s="11" t="s">
        <v>219</v>
      </c>
      <c r="G409" s="12" t="s">
        <v>219</v>
      </c>
      <c r="H409" s="13" t="s">
        <v>217</v>
      </c>
      <c r="I409" s="14">
        <v>1</v>
      </c>
      <c r="J409" s="14" t="s">
        <v>10</v>
      </c>
      <c r="K409" s="5" t="s">
        <v>1204</v>
      </c>
      <c r="L409" s="6">
        <v>0.5</v>
      </c>
      <c r="M409" s="7" t="s">
        <v>1205</v>
      </c>
      <c r="N409" s="14" t="s">
        <v>11</v>
      </c>
      <c r="O409" s="14">
        <v>1</v>
      </c>
      <c r="P409" s="13" t="s">
        <v>217</v>
      </c>
      <c r="Q409" s="12" t="s">
        <v>216</v>
      </c>
      <c r="R409" s="11" t="s">
        <v>217</v>
      </c>
      <c r="S409" s="10" t="s">
        <v>217</v>
      </c>
      <c r="T409" s="8">
        <v>1</v>
      </c>
      <c r="U409" s="9">
        <v>0</v>
      </c>
      <c r="V409" s="8">
        <v>0</v>
      </c>
      <c r="W409" s="17"/>
      <c r="X409" s="65">
        <v>46249</v>
      </c>
    </row>
    <row r="410" spans="1:24" ht="13.8" thickBot="1" x14ac:dyDescent="0.3">
      <c r="A410" s="4" t="s">
        <v>215</v>
      </c>
      <c r="B410" s="63"/>
      <c r="C410" s="63"/>
      <c r="D410" s="63"/>
      <c r="E410" s="63"/>
      <c r="F410" s="63"/>
      <c r="G410" s="63"/>
      <c r="H410" s="63"/>
      <c r="I410" s="64"/>
      <c r="J410" s="14" t="s">
        <v>10</v>
      </c>
      <c r="K410" s="5" t="s">
        <v>1206</v>
      </c>
      <c r="L410" s="6">
        <v>0.41666666666666669</v>
      </c>
      <c r="M410" s="7" t="s">
        <v>1207</v>
      </c>
      <c r="N410" s="14" t="s">
        <v>11</v>
      </c>
      <c r="O410" s="64"/>
      <c r="P410" s="63"/>
      <c r="Q410" s="63"/>
      <c r="R410" s="63"/>
      <c r="S410" s="63"/>
      <c r="T410" s="63"/>
      <c r="U410" s="63"/>
      <c r="V410" s="63"/>
      <c r="W410" s="17"/>
      <c r="X410" s="65">
        <v>46249</v>
      </c>
    </row>
    <row r="411" spans="1:24" ht="13.8" thickBot="1" x14ac:dyDescent="0.3">
      <c r="A411" s="4" t="s">
        <v>215</v>
      </c>
      <c r="B411" s="63"/>
      <c r="C411" s="63"/>
      <c r="D411" s="63"/>
      <c r="E411" s="63"/>
      <c r="F411" s="63"/>
      <c r="G411" s="63"/>
      <c r="H411" s="63"/>
      <c r="I411" s="64"/>
      <c r="J411" s="14" t="s">
        <v>10</v>
      </c>
      <c r="K411" s="5" t="s">
        <v>1208</v>
      </c>
      <c r="L411" s="6">
        <v>0.41666666666666669</v>
      </c>
      <c r="M411" s="7" t="s">
        <v>1209</v>
      </c>
      <c r="N411" s="14" t="s">
        <v>11</v>
      </c>
      <c r="O411" s="64"/>
      <c r="P411" s="63"/>
      <c r="Q411" s="63"/>
      <c r="R411" s="63"/>
      <c r="S411" s="63"/>
      <c r="T411" s="63"/>
      <c r="U411" s="63"/>
      <c r="V411" s="63"/>
      <c r="W411" s="17"/>
      <c r="X411" s="65">
        <v>46249</v>
      </c>
    </row>
    <row r="412" spans="1:24" ht="19.8" thickBot="1" x14ac:dyDescent="0.3">
      <c r="A412" s="4" t="s">
        <v>215</v>
      </c>
      <c r="B412" s="63"/>
      <c r="C412" s="63"/>
      <c r="D412" s="63"/>
      <c r="E412" s="63"/>
      <c r="F412" s="63"/>
      <c r="G412" s="63"/>
      <c r="H412" s="63"/>
      <c r="I412" s="64"/>
      <c r="J412" s="14" t="s">
        <v>10</v>
      </c>
      <c r="K412" s="5" t="s">
        <v>1210</v>
      </c>
      <c r="L412" s="6">
        <v>0.41666666666666669</v>
      </c>
      <c r="M412" s="7" t="s">
        <v>1211</v>
      </c>
      <c r="N412" s="14" t="s">
        <v>11</v>
      </c>
      <c r="O412" s="64"/>
      <c r="P412" s="63"/>
      <c r="Q412" s="63"/>
      <c r="R412" s="63"/>
      <c r="S412" s="63"/>
      <c r="T412" s="63"/>
      <c r="U412" s="63"/>
      <c r="V412" s="63"/>
      <c r="W412" s="17"/>
      <c r="X412" s="65">
        <v>46249</v>
      </c>
    </row>
    <row r="413" spans="1:24" ht="13.8" thickBot="1" x14ac:dyDescent="0.3">
      <c r="A413" s="4" t="s">
        <v>215</v>
      </c>
      <c r="B413" s="63"/>
      <c r="C413" s="63"/>
      <c r="D413" s="63"/>
      <c r="E413" s="63"/>
      <c r="F413" s="63"/>
      <c r="G413" s="63"/>
      <c r="H413" s="63"/>
      <c r="I413" s="64"/>
      <c r="J413" s="14" t="s">
        <v>10</v>
      </c>
      <c r="K413" s="5" t="s">
        <v>1212</v>
      </c>
      <c r="L413" s="6">
        <v>0.41666666666666669</v>
      </c>
      <c r="M413" s="7" t="s">
        <v>1213</v>
      </c>
      <c r="N413" s="14" t="s">
        <v>11</v>
      </c>
      <c r="O413" s="64"/>
      <c r="P413" s="63"/>
      <c r="Q413" s="63"/>
      <c r="R413" s="63"/>
      <c r="S413" s="63"/>
      <c r="T413" s="63"/>
      <c r="U413" s="63"/>
      <c r="V413" s="63"/>
      <c r="W413" s="17"/>
      <c r="X413" s="65">
        <v>46249</v>
      </c>
    </row>
    <row r="414" spans="1:24" ht="13.8" thickBot="1" x14ac:dyDescent="0.3">
      <c r="A414" s="4" t="s">
        <v>215</v>
      </c>
      <c r="B414" s="63"/>
      <c r="C414" s="63"/>
      <c r="D414" s="63"/>
      <c r="E414" s="63"/>
      <c r="F414" s="63"/>
      <c r="G414" s="63"/>
      <c r="H414" s="63"/>
      <c r="I414" s="64"/>
      <c r="J414" s="14" t="s">
        <v>10</v>
      </c>
      <c r="K414" s="5" t="s">
        <v>1214</v>
      </c>
      <c r="L414" s="6">
        <v>0.41666666666666669</v>
      </c>
      <c r="M414" s="7" t="s">
        <v>1215</v>
      </c>
      <c r="N414" s="14" t="s">
        <v>11</v>
      </c>
      <c r="O414" s="64"/>
      <c r="P414" s="63"/>
      <c r="Q414" s="63"/>
      <c r="R414" s="63"/>
      <c r="S414" s="63"/>
      <c r="T414" s="63"/>
      <c r="U414" s="63"/>
      <c r="V414" s="63"/>
      <c r="W414" s="17"/>
      <c r="X414" s="65">
        <v>46249</v>
      </c>
    </row>
    <row r="415" spans="1:24" ht="19.8" thickBot="1" x14ac:dyDescent="0.3">
      <c r="A415" s="4" t="s">
        <v>1216</v>
      </c>
      <c r="B415" s="63"/>
      <c r="C415" s="63"/>
      <c r="D415" s="63"/>
      <c r="E415" s="63"/>
      <c r="F415" s="63"/>
      <c r="G415" s="63"/>
      <c r="H415" s="63"/>
      <c r="I415" s="64"/>
      <c r="J415" s="14" t="s">
        <v>10</v>
      </c>
      <c r="K415" s="5" t="s">
        <v>1217</v>
      </c>
      <c r="L415" s="6">
        <v>0.70833333333333337</v>
      </c>
      <c r="M415" s="7" t="s">
        <v>1218</v>
      </c>
      <c r="N415" s="14" t="s">
        <v>11</v>
      </c>
      <c r="O415" s="14">
        <v>1</v>
      </c>
      <c r="P415" s="13" t="s">
        <v>219</v>
      </c>
      <c r="Q415" s="12" t="s">
        <v>216</v>
      </c>
      <c r="R415" s="11" t="s">
        <v>219</v>
      </c>
      <c r="S415" s="10" t="s">
        <v>216</v>
      </c>
      <c r="T415" s="8">
        <v>1</v>
      </c>
      <c r="U415" s="9">
        <v>0</v>
      </c>
      <c r="V415" s="8">
        <v>0</v>
      </c>
      <c r="W415" s="17"/>
      <c r="X415" s="65">
        <v>46249</v>
      </c>
    </row>
    <row r="416" spans="1:24" ht="13.8" thickBot="1" x14ac:dyDescent="0.3">
      <c r="A416" s="4" t="s">
        <v>1216</v>
      </c>
      <c r="B416" s="8">
        <v>1</v>
      </c>
      <c r="C416" s="15">
        <v>1</v>
      </c>
      <c r="D416" s="8">
        <v>1</v>
      </c>
      <c r="E416" s="10" t="s">
        <v>219</v>
      </c>
      <c r="F416" s="11" t="s">
        <v>226</v>
      </c>
      <c r="G416" s="12" t="s">
        <v>226</v>
      </c>
      <c r="H416" s="13" t="s">
        <v>218</v>
      </c>
      <c r="I416" s="14">
        <v>1</v>
      </c>
      <c r="J416" s="14" t="s">
        <v>10</v>
      </c>
      <c r="K416" s="5" t="s">
        <v>1219</v>
      </c>
      <c r="L416" s="6">
        <v>0.875</v>
      </c>
      <c r="M416" s="7" t="s">
        <v>1220</v>
      </c>
      <c r="N416" s="14" t="s">
        <v>11</v>
      </c>
      <c r="O416" s="14">
        <v>1</v>
      </c>
      <c r="P416" s="13" t="s">
        <v>218</v>
      </c>
      <c r="Q416" s="12" t="s">
        <v>218</v>
      </c>
      <c r="R416" s="11" t="s">
        <v>216</v>
      </c>
      <c r="S416" s="10" t="s">
        <v>217</v>
      </c>
      <c r="T416" s="8">
        <v>1</v>
      </c>
      <c r="U416" s="15">
        <v>1</v>
      </c>
      <c r="V416" s="8">
        <v>0</v>
      </c>
      <c r="W416" s="17"/>
      <c r="X416" s="65">
        <v>46249</v>
      </c>
    </row>
    <row r="417" spans="1:24" ht="19.8" thickBot="1" x14ac:dyDescent="0.3">
      <c r="A417" s="4" t="s">
        <v>328</v>
      </c>
      <c r="B417" s="8">
        <v>1</v>
      </c>
      <c r="C417" s="15">
        <v>1</v>
      </c>
      <c r="D417" s="8">
        <v>1</v>
      </c>
      <c r="E417" s="10" t="s">
        <v>216</v>
      </c>
      <c r="F417" s="11" t="s">
        <v>226</v>
      </c>
      <c r="G417" s="12" t="s">
        <v>238</v>
      </c>
      <c r="H417" s="13" t="s">
        <v>218</v>
      </c>
      <c r="I417" s="14">
        <v>1</v>
      </c>
      <c r="J417" s="14" t="s">
        <v>10</v>
      </c>
      <c r="K417" s="5" t="s">
        <v>1221</v>
      </c>
      <c r="L417" s="6">
        <v>0.52083333333333337</v>
      </c>
      <c r="M417" s="7" t="s">
        <v>1222</v>
      </c>
      <c r="N417" s="14" t="s">
        <v>11</v>
      </c>
      <c r="O417" s="14">
        <v>1</v>
      </c>
      <c r="P417" s="13" t="s">
        <v>217</v>
      </c>
      <c r="Q417" s="12" t="s">
        <v>238</v>
      </c>
      <c r="R417" s="11" t="s">
        <v>218</v>
      </c>
      <c r="S417" s="10" t="s">
        <v>218</v>
      </c>
      <c r="T417" s="8">
        <v>1</v>
      </c>
      <c r="U417" s="15">
        <v>1</v>
      </c>
      <c r="V417" s="8">
        <v>1</v>
      </c>
      <c r="W417" s="17"/>
      <c r="X417" s="65">
        <v>46249</v>
      </c>
    </row>
    <row r="418" spans="1:24" ht="13.8" thickBot="1" x14ac:dyDescent="0.3">
      <c r="A418" s="4" t="s">
        <v>328</v>
      </c>
      <c r="B418" s="8">
        <v>0</v>
      </c>
      <c r="C418" s="15">
        <v>1</v>
      </c>
      <c r="D418" s="8">
        <v>1</v>
      </c>
      <c r="E418" s="10" t="s">
        <v>217</v>
      </c>
      <c r="F418" s="11" t="s">
        <v>216</v>
      </c>
      <c r="G418" s="12" t="s">
        <v>218</v>
      </c>
      <c r="H418" s="13" t="s">
        <v>218</v>
      </c>
      <c r="I418" s="14">
        <v>1</v>
      </c>
      <c r="J418" s="14" t="s">
        <v>10</v>
      </c>
      <c r="K418" s="5" t="s">
        <v>1223</v>
      </c>
      <c r="L418" s="6">
        <v>0.5625</v>
      </c>
      <c r="M418" s="7" t="s">
        <v>1224</v>
      </c>
      <c r="N418" s="14" t="s">
        <v>11</v>
      </c>
      <c r="O418" s="14">
        <v>1</v>
      </c>
      <c r="P418" s="13" t="s">
        <v>218</v>
      </c>
      <c r="Q418" s="12" t="s">
        <v>216</v>
      </c>
      <c r="R418" s="11" t="s">
        <v>216</v>
      </c>
      <c r="S418" s="10" t="s">
        <v>219</v>
      </c>
      <c r="T418" s="8">
        <v>1</v>
      </c>
      <c r="U418" s="9">
        <v>0</v>
      </c>
      <c r="V418" s="8">
        <v>0</v>
      </c>
      <c r="W418" s="17"/>
      <c r="X418" s="65">
        <v>46249</v>
      </c>
    </row>
    <row r="419" spans="1:24" ht="13.8" thickBot="1" x14ac:dyDescent="0.3">
      <c r="A419" s="4" t="s">
        <v>328</v>
      </c>
      <c r="B419" s="63"/>
      <c r="C419" s="63"/>
      <c r="D419" s="63"/>
      <c r="E419" s="63"/>
      <c r="F419" s="63"/>
      <c r="G419" s="63"/>
      <c r="H419" s="63"/>
      <c r="I419" s="64"/>
      <c r="J419" s="14" t="s">
        <v>10</v>
      </c>
      <c r="K419" s="5" t="s">
        <v>1225</v>
      </c>
      <c r="L419" s="6">
        <v>0.5625</v>
      </c>
      <c r="M419" s="7" t="s">
        <v>1226</v>
      </c>
      <c r="N419" s="14" t="s">
        <v>11</v>
      </c>
      <c r="O419" s="64"/>
      <c r="P419" s="63"/>
      <c r="Q419" s="63"/>
      <c r="R419" s="63"/>
      <c r="S419" s="63"/>
      <c r="T419" s="63"/>
      <c r="U419" s="63"/>
      <c r="V419" s="63"/>
      <c r="W419" s="17"/>
      <c r="X419" s="65">
        <v>46249</v>
      </c>
    </row>
    <row r="420" spans="1:24" ht="13.8" thickBot="1" x14ac:dyDescent="0.3">
      <c r="A420" s="4" t="s">
        <v>328</v>
      </c>
      <c r="B420" s="8">
        <v>1</v>
      </c>
      <c r="C420" s="15">
        <v>1</v>
      </c>
      <c r="D420" s="8">
        <v>1</v>
      </c>
      <c r="E420" s="10" t="s">
        <v>217</v>
      </c>
      <c r="F420" s="11" t="s">
        <v>218</v>
      </c>
      <c r="G420" s="12" t="s">
        <v>226</v>
      </c>
      <c r="H420" s="13" t="s">
        <v>218</v>
      </c>
      <c r="I420" s="14">
        <v>1</v>
      </c>
      <c r="J420" s="14" t="s">
        <v>10</v>
      </c>
      <c r="K420" s="5" t="s">
        <v>1227</v>
      </c>
      <c r="L420" s="6">
        <v>0.5625</v>
      </c>
      <c r="M420" s="7" t="s">
        <v>1228</v>
      </c>
      <c r="N420" s="14" t="s">
        <v>11</v>
      </c>
      <c r="O420" s="14">
        <v>3</v>
      </c>
      <c r="P420" s="13" t="s">
        <v>219</v>
      </c>
      <c r="Q420" s="12" t="s">
        <v>218</v>
      </c>
      <c r="R420" s="11" t="s">
        <v>939</v>
      </c>
      <c r="S420" s="10" t="s">
        <v>325</v>
      </c>
      <c r="T420" s="8">
        <v>1</v>
      </c>
      <c r="U420" s="15">
        <v>0.67</v>
      </c>
      <c r="V420" s="8">
        <v>0.33</v>
      </c>
      <c r="W420" s="17"/>
      <c r="X420" s="65">
        <v>46249</v>
      </c>
    </row>
    <row r="421" spans="1:24" ht="19.8" thickBot="1" x14ac:dyDescent="0.3">
      <c r="A421" s="4" t="s">
        <v>328</v>
      </c>
      <c r="B421" s="8">
        <v>0</v>
      </c>
      <c r="C421" s="9">
        <v>0</v>
      </c>
      <c r="D421" s="8">
        <v>1</v>
      </c>
      <c r="E421" s="10" t="s">
        <v>217</v>
      </c>
      <c r="F421" s="11" t="s">
        <v>217</v>
      </c>
      <c r="G421" s="12" t="s">
        <v>216</v>
      </c>
      <c r="H421" s="13" t="s">
        <v>217</v>
      </c>
      <c r="I421" s="14">
        <v>1</v>
      </c>
      <c r="J421" s="14" t="s">
        <v>10</v>
      </c>
      <c r="K421" s="5" t="s">
        <v>1229</v>
      </c>
      <c r="L421" s="6">
        <v>0.5625</v>
      </c>
      <c r="M421" s="7" t="s">
        <v>1230</v>
      </c>
      <c r="N421" s="14" t="s">
        <v>11</v>
      </c>
      <c r="O421" s="14">
        <v>1</v>
      </c>
      <c r="P421" s="13" t="s">
        <v>219</v>
      </c>
      <c r="Q421" s="12" t="s">
        <v>226</v>
      </c>
      <c r="R421" s="11" t="s">
        <v>217</v>
      </c>
      <c r="S421" s="10" t="s">
        <v>218</v>
      </c>
      <c r="T421" s="8">
        <v>1</v>
      </c>
      <c r="U421" s="15">
        <v>1</v>
      </c>
      <c r="V421" s="8">
        <v>1</v>
      </c>
      <c r="W421" s="17"/>
      <c r="X421" s="65">
        <v>46249</v>
      </c>
    </row>
    <row r="422" spans="1:24" ht="13.8" thickBot="1" x14ac:dyDescent="0.3">
      <c r="A422" s="4" t="s">
        <v>328</v>
      </c>
      <c r="B422" s="63"/>
      <c r="C422" s="63"/>
      <c r="D422" s="63"/>
      <c r="E422" s="63"/>
      <c r="F422" s="63"/>
      <c r="G422" s="63"/>
      <c r="H422" s="63"/>
      <c r="I422" s="64"/>
      <c r="J422" s="14" t="s">
        <v>10</v>
      </c>
      <c r="K422" s="5" t="s">
        <v>1231</v>
      </c>
      <c r="L422" s="6">
        <v>0.5625</v>
      </c>
      <c r="M422" s="7" t="s">
        <v>1232</v>
      </c>
      <c r="N422" s="14" t="s">
        <v>11</v>
      </c>
      <c r="O422" s="64"/>
      <c r="P422" s="63"/>
      <c r="Q422" s="63"/>
      <c r="R422" s="63"/>
      <c r="S422" s="63"/>
      <c r="T422" s="63"/>
      <c r="U422" s="63"/>
      <c r="V422" s="63"/>
      <c r="W422" s="17"/>
      <c r="X422" s="65">
        <v>46249</v>
      </c>
    </row>
    <row r="423" spans="1:24" ht="19.8" thickBot="1" x14ac:dyDescent="0.3">
      <c r="A423" s="4" t="s">
        <v>328</v>
      </c>
      <c r="B423" s="8">
        <v>1</v>
      </c>
      <c r="C423" s="15">
        <v>1</v>
      </c>
      <c r="D423" s="8">
        <v>1</v>
      </c>
      <c r="E423" s="10" t="s">
        <v>218</v>
      </c>
      <c r="F423" s="11" t="s">
        <v>216</v>
      </c>
      <c r="G423" s="12" t="s">
        <v>278</v>
      </c>
      <c r="H423" s="13" t="s">
        <v>219</v>
      </c>
      <c r="I423" s="14">
        <v>1</v>
      </c>
      <c r="J423" s="14" t="s">
        <v>10</v>
      </c>
      <c r="K423" s="5" t="s">
        <v>1233</v>
      </c>
      <c r="L423" s="6">
        <v>0.5625</v>
      </c>
      <c r="M423" s="7" t="s">
        <v>1234</v>
      </c>
      <c r="N423" s="14" t="s">
        <v>11</v>
      </c>
      <c r="O423" s="14">
        <v>1</v>
      </c>
      <c r="P423" s="13" t="s">
        <v>217</v>
      </c>
      <c r="Q423" s="12" t="s">
        <v>226</v>
      </c>
      <c r="R423" s="11" t="s">
        <v>216</v>
      </c>
      <c r="S423" s="10" t="s">
        <v>216</v>
      </c>
      <c r="T423" s="8">
        <v>1</v>
      </c>
      <c r="U423" s="15">
        <v>1</v>
      </c>
      <c r="V423" s="8">
        <v>1</v>
      </c>
      <c r="W423" s="17"/>
      <c r="X423" s="65">
        <v>46249</v>
      </c>
    </row>
    <row r="424" spans="1:24" ht="13.8" thickBot="1" x14ac:dyDescent="0.3">
      <c r="A424" s="4" t="s">
        <v>328</v>
      </c>
      <c r="B424" s="63"/>
      <c r="C424" s="63"/>
      <c r="D424" s="63"/>
      <c r="E424" s="63"/>
      <c r="F424" s="63"/>
      <c r="G424" s="63"/>
      <c r="H424" s="63"/>
      <c r="I424" s="64"/>
      <c r="J424" s="14" t="s">
        <v>10</v>
      </c>
      <c r="K424" s="5" t="s">
        <v>1235</v>
      </c>
      <c r="L424" s="6">
        <v>0.5625</v>
      </c>
      <c r="M424" s="7" t="s">
        <v>1236</v>
      </c>
      <c r="N424" s="14" t="s">
        <v>11</v>
      </c>
      <c r="O424" s="64"/>
      <c r="P424" s="63"/>
      <c r="Q424" s="63"/>
      <c r="R424" s="63"/>
      <c r="S424" s="63"/>
      <c r="T424" s="63"/>
      <c r="U424" s="63"/>
      <c r="V424" s="63"/>
      <c r="W424" s="17"/>
      <c r="X424" s="65">
        <v>46249</v>
      </c>
    </row>
    <row r="425" spans="1:24" ht="13.8" thickBot="1" x14ac:dyDescent="0.3">
      <c r="A425" s="4" t="s">
        <v>86</v>
      </c>
      <c r="B425" s="8">
        <v>0.44</v>
      </c>
      <c r="C425" s="15">
        <v>0.67</v>
      </c>
      <c r="D425" s="8">
        <v>0.67</v>
      </c>
      <c r="E425" s="10" t="s">
        <v>216</v>
      </c>
      <c r="F425" s="11" t="s">
        <v>224</v>
      </c>
      <c r="G425" s="12" t="s">
        <v>323</v>
      </c>
      <c r="H425" s="13" t="s">
        <v>228</v>
      </c>
      <c r="I425" s="14">
        <v>9</v>
      </c>
      <c r="J425" s="14" t="s">
        <v>10</v>
      </c>
      <c r="K425" s="5" t="s">
        <v>1237</v>
      </c>
      <c r="L425" s="6">
        <v>0.625</v>
      </c>
      <c r="M425" s="7" t="s">
        <v>1238</v>
      </c>
      <c r="N425" s="14" t="s">
        <v>11</v>
      </c>
      <c r="O425" s="14">
        <v>9</v>
      </c>
      <c r="P425" s="13" t="s">
        <v>324</v>
      </c>
      <c r="Q425" s="12" t="s">
        <v>1239</v>
      </c>
      <c r="R425" s="11" t="s">
        <v>224</v>
      </c>
      <c r="S425" s="10" t="s">
        <v>230</v>
      </c>
      <c r="T425" s="8">
        <v>0.89</v>
      </c>
      <c r="U425" s="15">
        <v>0.78</v>
      </c>
      <c r="V425" s="8">
        <v>0.56000000000000005</v>
      </c>
      <c r="W425" s="17"/>
      <c r="X425" s="65">
        <v>46249</v>
      </c>
    </row>
    <row r="426" spans="1:24" ht="13.8" thickBot="1" x14ac:dyDescent="0.3">
      <c r="A426" s="4" t="s">
        <v>86</v>
      </c>
      <c r="B426" s="8">
        <v>0.56999999999999995</v>
      </c>
      <c r="C426" s="15">
        <v>0.56999999999999995</v>
      </c>
      <c r="D426" s="8">
        <v>0.86</v>
      </c>
      <c r="E426" s="10" t="s">
        <v>217</v>
      </c>
      <c r="F426" s="11" t="s">
        <v>354</v>
      </c>
      <c r="G426" s="12" t="s">
        <v>297</v>
      </c>
      <c r="H426" s="13" t="s">
        <v>916</v>
      </c>
      <c r="I426" s="14">
        <v>7</v>
      </c>
      <c r="J426" s="14" t="s">
        <v>10</v>
      </c>
      <c r="K426" s="5" t="s">
        <v>191</v>
      </c>
      <c r="L426" s="6">
        <v>0.5</v>
      </c>
      <c r="M426" s="7" t="s">
        <v>193</v>
      </c>
      <c r="N426" s="14" t="s">
        <v>11</v>
      </c>
      <c r="O426" s="14">
        <v>8</v>
      </c>
      <c r="P426" s="13" t="s">
        <v>293</v>
      </c>
      <c r="Q426" s="12" t="s">
        <v>221</v>
      </c>
      <c r="R426" s="11" t="s">
        <v>296</v>
      </c>
      <c r="S426" s="10" t="s">
        <v>239</v>
      </c>
      <c r="T426" s="8">
        <v>0.62</v>
      </c>
      <c r="U426" s="9">
        <v>0.5</v>
      </c>
      <c r="V426" s="8">
        <v>0.25</v>
      </c>
      <c r="W426" s="17"/>
      <c r="X426" s="65">
        <v>46249</v>
      </c>
    </row>
    <row r="427" spans="1:24" ht="13.8" thickBot="1" x14ac:dyDescent="0.3">
      <c r="A427" s="4" t="s">
        <v>86</v>
      </c>
      <c r="B427" s="8">
        <v>0.75</v>
      </c>
      <c r="C427" s="15">
        <v>0.88</v>
      </c>
      <c r="D427" s="8">
        <v>0.88</v>
      </c>
      <c r="E427" s="10" t="s">
        <v>218</v>
      </c>
      <c r="F427" s="11" t="s">
        <v>220</v>
      </c>
      <c r="G427" s="12" t="s">
        <v>327</v>
      </c>
      <c r="H427" s="13" t="s">
        <v>294</v>
      </c>
      <c r="I427" s="14">
        <v>8</v>
      </c>
      <c r="J427" s="14" t="s">
        <v>10</v>
      </c>
      <c r="K427" s="5" t="s">
        <v>190</v>
      </c>
      <c r="L427" s="6">
        <v>0.5</v>
      </c>
      <c r="M427" s="7" t="s">
        <v>1240</v>
      </c>
      <c r="N427" s="14" t="s">
        <v>11</v>
      </c>
      <c r="O427" s="14">
        <v>7</v>
      </c>
      <c r="P427" s="13" t="s">
        <v>353</v>
      </c>
      <c r="Q427" s="12" t="s">
        <v>226</v>
      </c>
      <c r="R427" s="11" t="s">
        <v>916</v>
      </c>
      <c r="S427" s="10" t="s">
        <v>354</v>
      </c>
      <c r="T427" s="8">
        <v>0.86</v>
      </c>
      <c r="U427" s="15">
        <v>0.71</v>
      </c>
      <c r="V427" s="8">
        <v>0.56999999999999995</v>
      </c>
      <c r="W427" s="17"/>
      <c r="X427" s="65">
        <v>46249</v>
      </c>
    </row>
    <row r="428" spans="1:24" ht="19.8" thickBot="1" x14ac:dyDescent="0.3">
      <c r="A428" s="4" t="s">
        <v>86</v>
      </c>
      <c r="B428" s="8">
        <v>0.5</v>
      </c>
      <c r="C428" s="15">
        <v>0.62</v>
      </c>
      <c r="D428" s="8">
        <v>1</v>
      </c>
      <c r="E428" s="10" t="s">
        <v>236</v>
      </c>
      <c r="F428" s="11" t="s">
        <v>221</v>
      </c>
      <c r="G428" s="12" t="s">
        <v>1241</v>
      </c>
      <c r="H428" s="13" t="s">
        <v>223</v>
      </c>
      <c r="I428" s="14">
        <v>8</v>
      </c>
      <c r="J428" s="14" t="s">
        <v>10</v>
      </c>
      <c r="K428" s="5" t="s">
        <v>1242</v>
      </c>
      <c r="L428" s="6">
        <v>0.5</v>
      </c>
      <c r="M428" s="7" t="s">
        <v>1243</v>
      </c>
      <c r="N428" s="14" t="s">
        <v>11</v>
      </c>
      <c r="O428" s="14">
        <v>8</v>
      </c>
      <c r="P428" s="13" t="s">
        <v>217</v>
      </c>
      <c r="Q428" s="12" t="s">
        <v>221</v>
      </c>
      <c r="R428" s="11" t="s">
        <v>293</v>
      </c>
      <c r="S428" s="10" t="s">
        <v>293</v>
      </c>
      <c r="T428" s="8">
        <v>0.88</v>
      </c>
      <c r="U428" s="9">
        <v>0.38</v>
      </c>
      <c r="V428" s="8">
        <v>0.25</v>
      </c>
      <c r="W428" s="17"/>
      <c r="X428" s="65">
        <v>46249</v>
      </c>
    </row>
    <row r="429" spans="1:24" ht="13.8" thickBot="1" x14ac:dyDescent="0.3">
      <c r="A429" s="4" t="s">
        <v>86</v>
      </c>
      <c r="B429" s="8">
        <v>0.71</v>
      </c>
      <c r="C429" s="15">
        <v>1</v>
      </c>
      <c r="D429" s="8">
        <v>1</v>
      </c>
      <c r="E429" s="10" t="s">
        <v>929</v>
      </c>
      <c r="F429" s="11" t="s">
        <v>849</v>
      </c>
      <c r="G429" s="12" t="s">
        <v>226</v>
      </c>
      <c r="H429" s="13" t="s">
        <v>216</v>
      </c>
      <c r="I429" s="14">
        <v>7</v>
      </c>
      <c r="J429" s="14" t="s">
        <v>10</v>
      </c>
      <c r="K429" s="5" t="s">
        <v>1244</v>
      </c>
      <c r="L429" s="6">
        <v>0.5</v>
      </c>
      <c r="M429" s="7" t="s">
        <v>1245</v>
      </c>
      <c r="N429" s="14" t="s">
        <v>11</v>
      </c>
      <c r="O429" s="14">
        <v>7</v>
      </c>
      <c r="P429" s="13" t="s">
        <v>217</v>
      </c>
      <c r="Q429" s="12" t="s">
        <v>1246</v>
      </c>
      <c r="R429" s="11" t="s">
        <v>354</v>
      </c>
      <c r="S429" s="10" t="s">
        <v>922</v>
      </c>
      <c r="T429" s="8">
        <v>1</v>
      </c>
      <c r="U429" s="15">
        <v>1</v>
      </c>
      <c r="V429" s="8">
        <v>1</v>
      </c>
      <c r="W429" s="17"/>
      <c r="X429" s="65">
        <v>46249</v>
      </c>
    </row>
    <row r="430" spans="1:24" ht="19.8" thickBot="1" x14ac:dyDescent="0.3">
      <c r="A430" s="4" t="s">
        <v>86</v>
      </c>
      <c r="B430" s="8">
        <v>0.5</v>
      </c>
      <c r="C430" s="15">
        <v>0.75</v>
      </c>
      <c r="D430" s="8">
        <v>1</v>
      </c>
      <c r="E430" s="10" t="s">
        <v>220</v>
      </c>
      <c r="F430" s="11" t="s">
        <v>225</v>
      </c>
      <c r="G430" s="12" t="s">
        <v>1149</v>
      </c>
      <c r="H430" s="13" t="s">
        <v>216</v>
      </c>
      <c r="I430" s="14">
        <v>8</v>
      </c>
      <c r="J430" s="14" t="s">
        <v>10</v>
      </c>
      <c r="K430" s="5" t="s">
        <v>189</v>
      </c>
      <c r="L430" s="6">
        <v>0.58333333333333337</v>
      </c>
      <c r="M430" s="7" t="s">
        <v>1247</v>
      </c>
      <c r="N430" s="14" t="s">
        <v>11</v>
      </c>
      <c r="O430" s="14">
        <v>8</v>
      </c>
      <c r="P430" s="13" t="s">
        <v>296</v>
      </c>
      <c r="Q430" s="12" t="s">
        <v>1156</v>
      </c>
      <c r="R430" s="11" t="s">
        <v>236</v>
      </c>
      <c r="S430" s="10" t="s">
        <v>225</v>
      </c>
      <c r="T430" s="8">
        <v>1</v>
      </c>
      <c r="U430" s="15">
        <v>0.88</v>
      </c>
      <c r="V430" s="8">
        <v>0.5</v>
      </c>
      <c r="W430" s="17"/>
      <c r="X430" s="65">
        <v>46249</v>
      </c>
    </row>
    <row r="431" spans="1:24" ht="13.8" thickBot="1" x14ac:dyDescent="0.3">
      <c r="A431" s="4" t="s">
        <v>1248</v>
      </c>
      <c r="B431" s="8">
        <v>0.28999999999999998</v>
      </c>
      <c r="C431" s="15">
        <v>0.71</v>
      </c>
      <c r="D431" s="8">
        <v>1</v>
      </c>
      <c r="E431" s="10" t="s">
        <v>849</v>
      </c>
      <c r="F431" s="11" t="s">
        <v>217</v>
      </c>
      <c r="G431" s="12" t="s">
        <v>351</v>
      </c>
      <c r="H431" s="13" t="s">
        <v>447</v>
      </c>
      <c r="I431" s="14">
        <v>7</v>
      </c>
      <c r="J431" s="14" t="s">
        <v>10</v>
      </c>
      <c r="K431" s="5" t="s">
        <v>1249</v>
      </c>
      <c r="L431" s="6">
        <v>0.5</v>
      </c>
      <c r="M431" s="7" t="s">
        <v>1250</v>
      </c>
      <c r="N431" s="14" t="s">
        <v>11</v>
      </c>
      <c r="O431" s="14">
        <v>7</v>
      </c>
      <c r="P431" s="13" t="s">
        <v>877</v>
      </c>
      <c r="Q431" s="12" t="s">
        <v>291</v>
      </c>
      <c r="R431" s="11" t="s">
        <v>1251</v>
      </c>
      <c r="S431" s="10" t="s">
        <v>352</v>
      </c>
      <c r="T431" s="8">
        <v>0.71</v>
      </c>
      <c r="U431" s="9">
        <v>0.28999999999999998</v>
      </c>
      <c r="V431" s="8">
        <v>0.14000000000000001</v>
      </c>
      <c r="W431" s="17"/>
      <c r="X431" s="65">
        <v>46249</v>
      </c>
    </row>
    <row r="432" spans="1:24" ht="19.8" thickBot="1" x14ac:dyDescent="0.3">
      <c r="A432" s="4" t="s">
        <v>1248</v>
      </c>
      <c r="B432" s="8">
        <v>0.43</v>
      </c>
      <c r="C432" s="15">
        <v>0.71</v>
      </c>
      <c r="D432" s="8">
        <v>0.71</v>
      </c>
      <c r="E432" s="10" t="s">
        <v>849</v>
      </c>
      <c r="F432" s="11" t="s">
        <v>350</v>
      </c>
      <c r="G432" s="12" t="s">
        <v>297</v>
      </c>
      <c r="H432" s="13" t="s">
        <v>447</v>
      </c>
      <c r="I432" s="14">
        <v>7</v>
      </c>
      <c r="J432" s="14" t="s">
        <v>10</v>
      </c>
      <c r="K432" s="5" t="s">
        <v>1252</v>
      </c>
      <c r="L432" s="6">
        <v>0.5</v>
      </c>
      <c r="M432" s="7" t="s">
        <v>1253</v>
      </c>
      <c r="N432" s="14" t="s">
        <v>11</v>
      </c>
      <c r="O432" s="14">
        <v>6</v>
      </c>
      <c r="P432" s="13" t="s">
        <v>772</v>
      </c>
      <c r="Q432" s="12" t="s">
        <v>220</v>
      </c>
      <c r="R432" s="11" t="s">
        <v>348</v>
      </c>
      <c r="S432" s="10" t="s">
        <v>939</v>
      </c>
      <c r="T432" s="8">
        <v>0.5</v>
      </c>
      <c r="U432" s="9">
        <v>0.17</v>
      </c>
      <c r="V432" s="8">
        <v>0</v>
      </c>
      <c r="W432" s="17"/>
      <c r="X432" s="65">
        <v>46249</v>
      </c>
    </row>
    <row r="433" spans="1:24" ht="19.8" thickBot="1" x14ac:dyDescent="0.3">
      <c r="A433" s="4" t="s">
        <v>1248</v>
      </c>
      <c r="B433" s="8">
        <v>0.33</v>
      </c>
      <c r="C433" s="9">
        <v>0.5</v>
      </c>
      <c r="D433" s="8">
        <v>0.83</v>
      </c>
      <c r="E433" s="10" t="s">
        <v>220</v>
      </c>
      <c r="F433" s="11" t="s">
        <v>220</v>
      </c>
      <c r="G433" s="12" t="s">
        <v>218</v>
      </c>
      <c r="H433" s="13" t="s">
        <v>224</v>
      </c>
      <c r="I433" s="14">
        <v>6</v>
      </c>
      <c r="J433" s="14" t="s">
        <v>10</v>
      </c>
      <c r="K433" s="5" t="s">
        <v>1254</v>
      </c>
      <c r="L433" s="6">
        <v>0.58333333333333337</v>
      </c>
      <c r="M433" s="7" t="s">
        <v>1255</v>
      </c>
      <c r="N433" s="14" t="s">
        <v>11</v>
      </c>
      <c r="O433" s="14">
        <v>7</v>
      </c>
      <c r="P433" s="13" t="s">
        <v>216</v>
      </c>
      <c r="Q433" s="12" t="s">
        <v>879</v>
      </c>
      <c r="R433" s="11" t="s">
        <v>849</v>
      </c>
      <c r="S433" s="10" t="s">
        <v>292</v>
      </c>
      <c r="T433" s="8">
        <v>0.86</v>
      </c>
      <c r="U433" s="15">
        <v>0.56999999999999995</v>
      </c>
      <c r="V433" s="8">
        <v>0.43</v>
      </c>
      <c r="W433" s="17"/>
      <c r="X433" s="65">
        <v>46249</v>
      </c>
    </row>
    <row r="434" spans="1:24" ht="19.8" thickBot="1" x14ac:dyDescent="0.3">
      <c r="A434" s="4" t="s">
        <v>1248</v>
      </c>
      <c r="B434" s="8">
        <v>0.14000000000000001</v>
      </c>
      <c r="C434" s="9">
        <v>0.28999999999999998</v>
      </c>
      <c r="D434" s="8">
        <v>0.71</v>
      </c>
      <c r="E434" s="10" t="s">
        <v>1251</v>
      </c>
      <c r="F434" s="11" t="s">
        <v>352</v>
      </c>
      <c r="G434" s="12" t="s">
        <v>291</v>
      </c>
      <c r="H434" s="13" t="s">
        <v>928</v>
      </c>
      <c r="I434" s="14">
        <v>7</v>
      </c>
      <c r="J434" s="14" t="s">
        <v>10</v>
      </c>
      <c r="K434" s="5" t="s">
        <v>1256</v>
      </c>
      <c r="L434" s="6">
        <v>0.625</v>
      </c>
      <c r="M434" s="7" t="s">
        <v>1257</v>
      </c>
      <c r="N434" s="14" t="s">
        <v>11</v>
      </c>
      <c r="O434" s="14">
        <v>7</v>
      </c>
      <c r="P434" s="13" t="s">
        <v>290</v>
      </c>
      <c r="Q434" s="12" t="s">
        <v>218</v>
      </c>
      <c r="R434" s="11" t="s">
        <v>842</v>
      </c>
      <c r="S434" s="10" t="s">
        <v>916</v>
      </c>
      <c r="T434" s="8">
        <v>1</v>
      </c>
      <c r="U434" s="15">
        <v>0.56999999999999995</v>
      </c>
      <c r="V434" s="8">
        <v>0.28999999999999998</v>
      </c>
      <c r="W434" s="17"/>
      <c r="X434" s="65">
        <v>46249</v>
      </c>
    </row>
    <row r="435" spans="1:24" ht="13.8" thickBot="1" x14ac:dyDescent="0.3">
      <c r="A435" s="4" t="s">
        <v>1248</v>
      </c>
      <c r="B435" s="8">
        <v>0.33</v>
      </c>
      <c r="C435" s="9">
        <v>0.5</v>
      </c>
      <c r="D435" s="8">
        <v>1</v>
      </c>
      <c r="E435" s="10" t="s">
        <v>220</v>
      </c>
      <c r="F435" s="11" t="s">
        <v>216</v>
      </c>
      <c r="G435" s="12" t="s">
        <v>246</v>
      </c>
      <c r="H435" s="13" t="s">
        <v>220</v>
      </c>
      <c r="I435" s="14">
        <v>6</v>
      </c>
      <c r="J435" s="14" t="s">
        <v>10</v>
      </c>
      <c r="K435" s="5" t="s">
        <v>1258</v>
      </c>
      <c r="L435" s="6">
        <v>0.625</v>
      </c>
      <c r="M435" s="7" t="s">
        <v>1259</v>
      </c>
      <c r="N435" s="14" t="s">
        <v>11</v>
      </c>
      <c r="O435" s="14">
        <v>7</v>
      </c>
      <c r="P435" s="13" t="s">
        <v>929</v>
      </c>
      <c r="Q435" s="12" t="s">
        <v>929</v>
      </c>
      <c r="R435" s="11" t="s">
        <v>350</v>
      </c>
      <c r="S435" s="10" t="s">
        <v>353</v>
      </c>
      <c r="T435" s="8">
        <v>0.56999999999999995</v>
      </c>
      <c r="U435" s="9">
        <v>0.14000000000000001</v>
      </c>
      <c r="V435" s="8">
        <v>0</v>
      </c>
      <c r="W435" s="17"/>
      <c r="X435" s="65">
        <v>46249</v>
      </c>
    </row>
    <row r="436" spans="1:24" ht="19.8" thickBot="1" x14ac:dyDescent="0.3">
      <c r="A436" s="4" t="s">
        <v>1248</v>
      </c>
      <c r="B436" s="8">
        <v>0.33</v>
      </c>
      <c r="C436" s="9">
        <v>0.5</v>
      </c>
      <c r="D436" s="8">
        <v>0.5</v>
      </c>
      <c r="E436" s="10" t="s">
        <v>220</v>
      </c>
      <c r="F436" s="11" t="s">
        <v>224</v>
      </c>
      <c r="G436" s="12" t="s">
        <v>1260</v>
      </c>
      <c r="H436" s="13" t="s">
        <v>348</v>
      </c>
      <c r="I436" s="14">
        <v>6</v>
      </c>
      <c r="J436" s="14" t="s">
        <v>10</v>
      </c>
      <c r="K436" s="5" t="s">
        <v>1261</v>
      </c>
      <c r="L436" s="6">
        <v>0.69097222222222221</v>
      </c>
      <c r="M436" s="7" t="s">
        <v>1262</v>
      </c>
      <c r="N436" s="14" t="s">
        <v>11</v>
      </c>
      <c r="O436" s="14">
        <v>6</v>
      </c>
      <c r="P436" s="13" t="s">
        <v>220</v>
      </c>
      <c r="Q436" s="12" t="s">
        <v>349</v>
      </c>
      <c r="R436" s="11" t="s">
        <v>216</v>
      </c>
      <c r="S436" s="10" t="s">
        <v>344</v>
      </c>
      <c r="T436" s="8">
        <v>1</v>
      </c>
      <c r="U436" s="9">
        <v>0.5</v>
      </c>
      <c r="V436" s="8">
        <v>0.33</v>
      </c>
      <c r="W436" s="17"/>
      <c r="X436" s="65">
        <v>46249</v>
      </c>
    </row>
    <row r="437" spans="1:24" ht="19.8" thickBot="1" x14ac:dyDescent="0.3">
      <c r="A437" s="4" t="s">
        <v>331</v>
      </c>
      <c r="B437" s="63"/>
      <c r="C437" s="63"/>
      <c r="D437" s="63"/>
      <c r="E437" s="63"/>
      <c r="F437" s="63"/>
      <c r="G437" s="63"/>
      <c r="H437" s="63"/>
      <c r="I437" s="64"/>
      <c r="J437" s="14" t="s">
        <v>10</v>
      </c>
      <c r="K437" s="5" t="s">
        <v>1263</v>
      </c>
      <c r="L437" s="6">
        <v>0.29166666666666669</v>
      </c>
      <c r="M437" s="7" t="s">
        <v>1264</v>
      </c>
      <c r="N437" s="14" t="s">
        <v>11</v>
      </c>
      <c r="O437" s="64"/>
      <c r="P437" s="63"/>
      <c r="Q437" s="63"/>
      <c r="R437" s="63"/>
      <c r="S437" s="63"/>
      <c r="T437" s="63"/>
      <c r="U437" s="63"/>
      <c r="V437" s="63"/>
      <c r="W437" s="17"/>
      <c r="X437" s="65">
        <v>46249</v>
      </c>
    </row>
    <row r="438" spans="1:24" ht="19.8" thickBot="1" x14ac:dyDescent="0.3">
      <c r="A438" s="4" t="s">
        <v>331</v>
      </c>
      <c r="B438" s="63"/>
      <c r="C438" s="63"/>
      <c r="D438" s="63"/>
      <c r="E438" s="63"/>
      <c r="F438" s="63"/>
      <c r="G438" s="63"/>
      <c r="H438" s="63"/>
      <c r="I438" s="64"/>
      <c r="J438" s="14" t="s">
        <v>10</v>
      </c>
      <c r="K438" s="5" t="s">
        <v>1265</v>
      </c>
      <c r="L438" s="6">
        <v>0.29166666666666669</v>
      </c>
      <c r="M438" s="7" t="s">
        <v>1266</v>
      </c>
      <c r="N438" s="14" t="s">
        <v>11</v>
      </c>
      <c r="O438" s="64"/>
      <c r="P438" s="63"/>
      <c r="Q438" s="63"/>
      <c r="R438" s="63"/>
      <c r="S438" s="63"/>
      <c r="T438" s="63"/>
      <c r="U438" s="63"/>
      <c r="V438" s="63"/>
      <c r="W438" s="17"/>
      <c r="X438" s="65">
        <v>46249</v>
      </c>
    </row>
    <row r="439" spans="1:24" ht="19.8" thickBot="1" x14ac:dyDescent="0.3">
      <c r="A439" s="4" t="s">
        <v>331</v>
      </c>
      <c r="B439" s="63"/>
      <c r="C439" s="63"/>
      <c r="D439" s="63"/>
      <c r="E439" s="63"/>
      <c r="F439" s="63"/>
      <c r="G439" s="63"/>
      <c r="H439" s="63"/>
      <c r="I439" s="64"/>
      <c r="J439" s="14" t="s">
        <v>10</v>
      </c>
      <c r="K439" s="5" t="s">
        <v>1267</v>
      </c>
      <c r="L439" s="6">
        <v>0.3125</v>
      </c>
      <c r="M439" s="7" t="s">
        <v>1268</v>
      </c>
      <c r="N439" s="14" t="s">
        <v>11</v>
      </c>
      <c r="O439" s="64"/>
      <c r="P439" s="63"/>
      <c r="Q439" s="63"/>
      <c r="R439" s="63"/>
      <c r="S439" s="63"/>
      <c r="T439" s="63"/>
      <c r="U439" s="63"/>
      <c r="V439" s="63"/>
      <c r="W439" s="17"/>
      <c r="X439" s="65">
        <v>46249</v>
      </c>
    </row>
    <row r="440" spans="1:24" ht="19.8" thickBot="1" x14ac:dyDescent="0.3">
      <c r="A440" s="4" t="s">
        <v>331</v>
      </c>
      <c r="B440" s="63"/>
      <c r="C440" s="63"/>
      <c r="D440" s="63"/>
      <c r="E440" s="63"/>
      <c r="F440" s="63"/>
      <c r="G440" s="63"/>
      <c r="H440" s="63"/>
      <c r="I440" s="64"/>
      <c r="J440" s="14" t="s">
        <v>10</v>
      </c>
      <c r="K440" s="5" t="s">
        <v>1269</v>
      </c>
      <c r="L440" s="6">
        <v>0.3298611111111111</v>
      </c>
      <c r="M440" s="7" t="s">
        <v>1270</v>
      </c>
      <c r="N440" s="14" t="s">
        <v>11</v>
      </c>
      <c r="O440" s="64"/>
      <c r="P440" s="63"/>
      <c r="Q440" s="63"/>
      <c r="R440" s="63"/>
      <c r="S440" s="63"/>
      <c r="T440" s="63"/>
      <c r="U440" s="63"/>
      <c r="V440" s="63"/>
      <c r="W440" s="17"/>
      <c r="X440" s="65">
        <v>46249</v>
      </c>
    </row>
    <row r="441" spans="1:24" ht="19.8" thickBot="1" x14ac:dyDescent="0.3">
      <c r="A441" s="4" t="s">
        <v>331</v>
      </c>
      <c r="B441" s="8">
        <v>0</v>
      </c>
      <c r="C441" s="9">
        <v>0</v>
      </c>
      <c r="D441" s="8">
        <v>0</v>
      </c>
      <c r="E441" s="10" t="s">
        <v>217</v>
      </c>
      <c r="F441" s="11" t="s">
        <v>219</v>
      </c>
      <c r="G441" s="12" t="s">
        <v>217</v>
      </c>
      <c r="H441" s="13" t="s">
        <v>219</v>
      </c>
      <c r="I441" s="14">
        <v>1</v>
      </c>
      <c r="J441" s="14" t="s">
        <v>10</v>
      </c>
      <c r="K441" s="5" t="s">
        <v>1271</v>
      </c>
      <c r="L441" s="6">
        <v>0.33333333333333331</v>
      </c>
      <c r="M441" s="7" t="s">
        <v>1272</v>
      </c>
      <c r="N441" s="14" t="s">
        <v>11</v>
      </c>
      <c r="O441" s="64"/>
      <c r="P441" s="63"/>
      <c r="Q441" s="63"/>
      <c r="R441" s="63"/>
      <c r="S441" s="63"/>
      <c r="T441" s="63"/>
      <c r="U441" s="63"/>
      <c r="V441" s="63"/>
      <c r="W441" s="17"/>
      <c r="X441" s="65">
        <v>46249</v>
      </c>
    </row>
    <row r="442" spans="1:24" ht="19.8" thickBot="1" x14ac:dyDescent="0.3">
      <c r="A442" s="4" t="s">
        <v>331</v>
      </c>
      <c r="B442" s="63"/>
      <c r="C442" s="63"/>
      <c r="D442" s="63"/>
      <c r="E442" s="63"/>
      <c r="F442" s="63"/>
      <c r="G442" s="63"/>
      <c r="H442" s="63"/>
      <c r="I442" s="64"/>
      <c r="J442" s="14" t="s">
        <v>10</v>
      </c>
      <c r="K442" s="5" t="s">
        <v>1273</v>
      </c>
      <c r="L442" s="6">
        <v>0.33333333333333331</v>
      </c>
      <c r="M442" s="7" t="s">
        <v>1274</v>
      </c>
      <c r="N442" s="14" t="s">
        <v>11</v>
      </c>
      <c r="O442" s="14">
        <v>1</v>
      </c>
      <c r="P442" s="13" t="s">
        <v>218</v>
      </c>
      <c r="Q442" s="12" t="s">
        <v>238</v>
      </c>
      <c r="R442" s="11" t="s">
        <v>278</v>
      </c>
      <c r="S442" s="10" t="s">
        <v>217</v>
      </c>
      <c r="T442" s="8">
        <v>1</v>
      </c>
      <c r="U442" s="15">
        <v>1</v>
      </c>
      <c r="V442" s="8">
        <v>1</v>
      </c>
      <c r="W442" s="17"/>
      <c r="X442" s="65">
        <v>46249</v>
      </c>
    </row>
    <row r="443" spans="1:24" ht="13.8" thickBot="1" x14ac:dyDescent="0.3">
      <c r="A443" s="4" t="s">
        <v>331</v>
      </c>
      <c r="B443" s="63"/>
      <c r="C443" s="63"/>
      <c r="D443" s="63"/>
      <c r="E443" s="63"/>
      <c r="F443" s="63"/>
      <c r="G443" s="63"/>
      <c r="H443" s="63"/>
      <c r="I443" s="64"/>
      <c r="J443" s="14" t="s">
        <v>10</v>
      </c>
      <c r="K443" s="5" t="s">
        <v>1275</v>
      </c>
      <c r="L443" s="6">
        <v>0.33333333333333331</v>
      </c>
      <c r="M443" s="7" t="s">
        <v>1276</v>
      </c>
      <c r="N443" s="14" t="s">
        <v>11</v>
      </c>
      <c r="O443" s="14">
        <v>1</v>
      </c>
      <c r="P443" s="13" t="s">
        <v>219</v>
      </c>
      <c r="Q443" s="12" t="s">
        <v>218</v>
      </c>
      <c r="R443" s="11" t="s">
        <v>217</v>
      </c>
      <c r="S443" s="10" t="s">
        <v>216</v>
      </c>
      <c r="T443" s="8">
        <v>1</v>
      </c>
      <c r="U443" s="15">
        <v>1</v>
      </c>
      <c r="V443" s="8">
        <v>0</v>
      </c>
      <c r="W443" s="17"/>
      <c r="X443" s="65">
        <v>46249</v>
      </c>
    </row>
    <row r="444" spans="1:24" ht="13.8" thickBot="1" x14ac:dyDescent="0.3">
      <c r="A444" s="4" t="s">
        <v>331</v>
      </c>
      <c r="B444" s="63"/>
      <c r="C444" s="63"/>
      <c r="D444" s="63"/>
      <c r="E444" s="63"/>
      <c r="F444" s="63"/>
      <c r="G444" s="63"/>
      <c r="H444" s="63"/>
      <c r="I444" s="64"/>
      <c r="J444" s="14" t="s">
        <v>10</v>
      </c>
      <c r="K444" s="5" t="s">
        <v>1277</v>
      </c>
      <c r="L444" s="6">
        <v>0.33333333333333331</v>
      </c>
      <c r="M444" s="7" t="s">
        <v>1278</v>
      </c>
      <c r="N444" s="14" t="s">
        <v>11</v>
      </c>
      <c r="O444" s="64"/>
      <c r="P444" s="63"/>
      <c r="Q444" s="63"/>
      <c r="R444" s="63"/>
      <c r="S444" s="63"/>
      <c r="T444" s="63"/>
      <c r="U444" s="63"/>
      <c r="V444" s="63"/>
      <c r="W444" s="17"/>
      <c r="X444" s="65">
        <v>46249</v>
      </c>
    </row>
    <row r="445" spans="1:24" ht="13.8" thickBot="1" x14ac:dyDescent="0.3">
      <c r="A445" s="4" t="s">
        <v>331</v>
      </c>
      <c r="B445" s="63"/>
      <c r="C445" s="63"/>
      <c r="D445" s="63"/>
      <c r="E445" s="63"/>
      <c r="F445" s="63"/>
      <c r="G445" s="63"/>
      <c r="H445" s="63"/>
      <c r="I445" s="64"/>
      <c r="J445" s="14" t="s">
        <v>10</v>
      </c>
      <c r="K445" s="5" t="s">
        <v>1279</v>
      </c>
      <c r="L445" s="6">
        <v>0.33333333333333331</v>
      </c>
      <c r="M445" s="7" t="s">
        <v>1280</v>
      </c>
      <c r="N445" s="14" t="s">
        <v>11</v>
      </c>
      <c r="O445" s="64"/>
      <c r="P445" s="63"/>
      <c r="Q445" s="63"/>
      <c r="R445" s="63"/>
      <c r="S445" s="63"/>
      <c r="T445" s="63"/>
      <c r="U445" s="63"/>
      <c r="V445" s="63"/>
      <c r="W445" s="17"/>
      <c r="X445" s="65">
        <v>46249</v>
      </c>
    </row>
    <row r="446" spans="1:24" ht="19.8" thickBot="1" x14ac:dyDescent="0.3">
      <c r="A446" s="4" t="s">
        <v>331</v>
      </c>
      <c r="B446" s="63"/>
      <c r="C446" s="63"/>
      <c r="D446" s="63"/>
      <c r="E446" s="63"/>
      <c r="F446" s="63"/>
      <c r="G446" s="63"/>
      <c r="H446" s="63"/>
      <c r="I446" s="64"/>
      <c r="J446" s="14" t="s">
        <v>10</v>
      </c>
      <c r="K446" s="5" t="s">
        <v>1281</v>
      </c>
      <c r="L446" s="6">
        <v>0.29166666666666669</v>
      </c>
      <c r="M446" s="7" t="s">
        <v>1282</v>
      </c>
      <c r="N446" s="14" t="s">
        <v>11</v>
      </c>
      <c r="O446" s="14">
        <v>1</v>
      </c>
      <c r="P446" s="13" t="s">
        <v>219</v>
      </c>
      <c r="Q446" s="12" t="s">
        <v>216</v>
      </c>
      <c r="R446" s="11" t="s">
        <v>219</v>
      </c>
      <c r="S446" s="10" t="s">
        <v>216</v>
      </c>
      <c r="T446" s="8">
        <v>1</v>
      </c>
      <c r="U446" s="9">
        <v>0</v>
      </c>
      <c r="V446" s="8">
        <v>0</v>
      </c>
      <c r="W446" s="17"/>
      <c r="X446" s="65">
        <v>46249</v>
      </c>
    </row>
    <row r="447" spans="1:24" ht="13.8" thickBot="1" x14ac:dyDescent="0.3">
      <c r="A447" s="4" t="s">
        <v>331</v>
      </c>
      <c r="B447" s="63"/>
      <c r="C447" s="63"/>
      <c r="D447" s="63"/>
      <c r="E447" s="63"/>
      <c r="F447" s="63"/>
      <c r="G447" s="63"/>
      <c r="H447" s="63"/>
      <c r="I447" s="64"/>
      <c r="J447" s="14" t="s">
        <v>10</v>
      </c>
      <c r="K447" s="5" t="s">
        <v>1283</v>
      </c>
      <c r="L447" s="6">
        <v>0.29166666666666669</v>
      </c>
      <c r="M447" s="7" t="s">
        <v>1284</v>
      </c>
      <c r="N447" s="14" t="s">
        <v>11</v>
      </c>
      <c r="O447" s="64"/>
      <c r="P447" s="63"/>
      <c r="Q447" s="63"/>
      <c r="R447" s="63"/>
      <c r="S447" s="63"/>
      <c r="T447" s="63"/>
      <c r="U447" s="63"/>
      <c r="V447" s="63"/>
      <c r="W447" s="17"/>
      <c r="X447" s="65">
        <v>46249</v>
      </c>
    </row>
    <row r="448" spans="1:24" ht="13.8" thickBot="1" x14ac:dyDescent="0.3">
      <c r="A448" s="4" t="s">
        <v>331</v>
      </c>
      <c r="B448" s="8">
        <v>0</v>
      </c>
      <c r="C448" s="9">
        <v>0</v>
      </c>
      <c r="D448" s="8">
        <v>1</v>
      </c>
      <c r="E448" s="10" t="s">
        <v>219</v>
      </c>
      <c r="F448" s="11" t="s">
        <v>216</v>
      </c>
      <c r="G448" s="12" t="s">
        <v>216</v>
      </c>
      <c r="H448" s="13" t="s">
        <v>218</v>
      </c>
      <c r="I448" s="14">
        <v>1</v>
      </c>
      <c r="J448" s="14" t="s">
        <v>10</v>
      </c>
      <c r="K448" s="5" t="s">
        <v>1285</v>
      </c>
      <c r="L448" s="6">
        <v>0.3125</v>
      </c>
      <c r="M448" s="7" t="s">
        <v>1286</v>
      </c>
      <c r="N448" s="14" t="s">
        <v>11</v>
      </c>
      <c r="O448" s="64"/>
      <c r="P448" s="63"/>
      <c r="Q448" s="63"/>
      <c r="R448" s="63"/>
      <c r="S448" s="63"/>
      <c r="T448" s="63"/>
      <c r="U448" s="63"/>
      <c r="V448" s="63"/>
      <c r="W448" s="17"/>
      <c r="X448" s="65">
        <v>46249</v>
      </c>
    </row>
    <row r="449" spans="1:24" ht="19.8" thickBot="1" x14ac:dyDescent="0.3">
      <c r="A449" s="4" t="s">
        <v>331</v>
      </c>
      <c r="B449" s="63"/>
      <c r="C449" s="63"/>
      <c r="D449" s="63"/>
      <c r="E449" s="63"/>
      <c r="F449" s="63"/>
      <c r="G449" s="63"/>
      <c r="H449" s="63"/>
      <c r="I449" s="64"/>
      <c r="J449" s="14" t="s">
        <v>10</v>
      </c>
      <c r="K449" s="5" t="s">
        <v>1287</v>
      </c>
      <c r="L449" s="6">
        <v>0.33333333333333331</v>
      </c>
      <c r="M449" s="7" t="s">
        <v>1288</v>
      </c>
      <c r="N449" s="14" t="s">
        <v>11</v>
      </c>
      <c r="O449" s="64"/>
      <c r="P449" s="63"/>
      <c r="Q449" s="63"/>
      <c r="R449" s="63"/>
      <c r="S449" s="63"/>
      <c r="T449" s="63"/>
      <c r="U449" s="63"/>
      <c r="V449" s="63"/>
      <c r="W449" s="17"/>
      <c r="X449" s="65">
        <v>46249</v>
      </c>
    </row>
    <row r="450" spans="1:24" ht="13.8" thickBot="1" x14ac:dyDescent="0.3">
      <c r="A450" s="4" t="s">
        <v>331</v>
      </c>
      <c r="B450" s="63"/>
      <c r="C450" s="63"/>
      <c r="D450" s="63"/>
      <c r="E450" s="63"/>
      <c r="F450" s="63"/>
      <c r="G450" s="63"/>
      <c r="H450" s="63"/>
      <c r="I450" s="64"/>
      <c r="J450" s="14" t="s">
        <v>10</v>
      </c>
      <c r="K450" s="5" t="s">
        <v>1289</v>
      </c>
      <c r="L450" s="6">
        <v>0.33333333333333331</v>
      </c>
      <c r="M450" s="7" t="s">
        <v>1290</v>
      </c>
      <c r="N450" s="14" t="s">
        <v>11</v>
      </c>
      <c r="O450" s="64"/>
      <c r="P450" s="63"/>
      <c r="Q450" s="63"/>
      <c r="R450" s="63"/>
      <c r="S450" s="63"/>
      <c r="T450" s="63"/>
      <c r="U450" s="63"/>
      <c r="V450" s="63"/>
      <c r="W450" s="17"/>
      <c r="X450" s="65">
        <v>46249</v>
      </c>
    </row>
    <row r="451" spans="1:24" ht="19.8" thickBot="1" x14ac:dyDescent="0.3">
      <c r="A451" s="4" t="s">
        <v>331</v>
      </c>
      <c r="B451" s="63"/>
      <c r="C451" s="63"/>
      <c r="D451" s="63"/>
      <c r="E451" s="63"/>
      <c r="F451" s="63"/>
      <c r="G451" s="63"/>
      <c r="H451" s="63"/>
      <c r="I451" s="64"/>
      <c r="J451" s="14" t="s">
        <v>10</v>
      </c>
      <c r="K451" s="5" t="s">
        <v>1291</v>
      </c>
      <c r="L451" s="6">
        <v>0.33333333333333331</v>
      </c>
      <c r="M451" s="7" t="s">
        <v>1292</v>
      </c>
      <c r="N451" s="14" t="s">
        <v>11</v>
      </c>
      <c r="O451" s="64"/>
      <c r="P451" s="63"/>
      <c r="Q451" s="63"/>
      <c r="R451" s="63"/>
      <c r="S451" s="63"/>
      <c r="T451" s="63"/>
      <c r="U451" s="63"/>
      <c r="V451" s="63"/>
      <c r="W451" s="17"/>
      <c r="X451" s="65">
        <v>46249</v>
      </c>
    </row>
    <row r="452" spans="1:24" ht="19.8" thickBot="1" x14ac:dyDescent="0.3">
      <c r="A452" s="4" t="s">
        <v>331</v>
      </c>
      <c r="B452" s="63"/>
      <c r="C452" s="63"/>
      <c r="D452" s="63"/>
      <c r="E452" s="63"/>
      <c r="F452" s="63"/>
      <c r="G452" s="63"/>
      <c r="H452" s="63"/>
      <c r="I452" s="64"/>
      <c r="J452" s="14" t="s">
        <v>10</v>
      </c>
      <c r="K452" s="5" t="s">
        <v>1293</v>
      </c>
      <c r="L452" s="6">
        <v>0.33333333333333331</v>
      </c>
      <c r="M452" s="7" t="s">
        <v>1294</v>
      </c>
      <c r="N452" s="14" t="s">
        <v>11</v>
      </c>
      <c r="O452" s="64"/>
      <c r="P452" s="63"/>
      <c r="Q452" s="63"/>
      <c r="R452" s="63"/>
      <c r="S452" s="63"/>
      <c r="T452" s="63"/>
      <c r="U452" s="63"/>
      <c r="V452" s="63"/>
      <c r="W452" s="17"/>
      <c r="X452" s="65">
        <v>46249</v>
      </c>
    </row>
    <row r="453" spans="1:24" ht="19.8" thickBot="1" x14ac:dyDescent="0.3">
      <c r="A453" s="4" t="s">
        <v>331</v>
      </c>
      <c r="B453" s="63"/>
      <c r="C453" s="63"/>
      <c r="D453" s="63"/>
      <c r="E453" s="63"/>
      <c r="F453" s="63"/>
      <c r="G453" s="63"/>
      <c r="H453" s="63"/>
      <c r="I453" s="64"/>
      <c r="J453" s="14" t="s">
        <v>10</v>
      </c>
      <c r="K453" s="5" t="s">
        <v>1295</v>
      </c>
      <c r="L453" s="6">
        <v>0.33333333333333331</v>
      </c>
      <c r="M453" s="7" t="s">
        <v>1296</v>
      </c>
      <c r="N453" s="14" t="s">
        <v>11</v>
      </c>
      <c r="O453" s="64"/>
      <c r="P453" s="63"/>
      <c r="Q453" s="63"/>
      <c r="R453" s="63"/>
      <c r="S453" s="63"/>
      <c r="T453" s="63"/>
      <c r="U453" s="63"/>
      <c r="V453" s="63"/>
      <c r="W453" s="17"/>
      <c r="X453" s="65">
        <v>46249</v>
      </c>
    </row>
    <row r="454" spans="1:24" ht="19.8" thickBot="1" x14ac:dyDescent="0.3">
      <c r="A454" s="4" t="s">
        <v>331</v>
      </c>
      <c r="B454" s="63"/>
      <c r="C454" s="63"/>
      <c r="D454" s="63"/>
      <c r="E454" s="63"/>
      <c r="F454" s="63"/>
      <c r="G454" s="63"/>
      <c r="H454" s="63"/>
      <c r="I454" s="64"/>
      <c r="J454" s="14" t="s">
        <v>10</v>
      </c>
      <c r="K454" s="5" t="s">
        <v>1297</v>
      </c>
      <c r="L454" s="6">
        <v>0.29166666666666669</v>
      </c>
      <c r="M454" s="7" t="s">
        <v>1298</v>
      </c>
      <c r="N454" s="14" t="s">
        <v>11</v>
      </c>
      <c r="O454" s="14">
        <v>1</v>
      </c>
      <c r="P454" s="13" t="s">
        <v>218</v>
      </c>
      <c r="Q454" s="12" t="s">
        <v>218</v>
      </c>
      <c r="R454" s="11" t="s">
        <v>216</v>
      </c>
      <c r="S454" s="10" t="s">
        <v>217</v>
      </c>
      <c r="T454" s="8">
        <v>1</v>
      </c>
      <c r="U454" s="15">
        <v>1</v>
      </c>
      <c r="V454" s="8">
        <v>0</v>
      </c>
      <c r="W454" s="17"/>
      <c r="X454" s="65">
        <v>46249</v>
      </c>
    </row>
    <row r="455" spans="1:24" ht="13.8" thickBot="1" x14ac:dyDescent="0.3">
      <c r="A455" s="4" t="s">
        <v>331</v>
      </c>
      <c r="B455" s="63"/>
      <c r="C455" s="63"/>
      <c r="D455" s="63"/>
      <c r="E455" s="63"/>
      <c r="F455" s="63"/>
      <c r="G455" s="63"/>
      <c r="H455" s="63"/>
      <c r="I455" s="64"/>
      <c r="J455" s="14" t="s">
        <v>10</v>
      </c>
      <c r="K455" s="5" t="s">
        <v>1299</v>
      </c>
      <c r="L455" s="6">
        <v>0.29166666666666669</v>
      </c>
      <c r="M455" s="7" t="s">
        <v>1300</v>
      </c>
      <c r="N455" s="14" t="s">
        <v>11</v>
      </c>
      <c r="O455" s="64"/>
      <c r="P455" s="63"/>
      <c r="Q455" s="63"/>
      <c r="R455" s="63"/>
      <c r="S455" s="63"/>
      <c r="T455" s="63"/>
      <c r="U455" s="63"/>
      <c r="V455" s="63"/>
      <c r="W455" s="17"/>
      <c r="X455" s="65">
        <v>46249</v>
      </c>
    </row>
    <row r="456" spans="1:24" ht="19.8" thickBot="1" x14ac:dyDescent="0.3">
      <c r="A456" s="4" t="s">
        <v>331</v>
      </c>
      <c r="B456" s="63"/>
      <c r="C456" s="63"/>
      <c r="D456" s="63"/>
      <c r="E456" s="63"/>
      <c r="F456" s="63"/>
      <c r="G456" s="63"/>
      <c r="H456" s="63"/>
      <c r="I456" s="64"/>
      <c r="J456" s="14" t="s">
        <v>10</v>
      </c>
      <c r="K456" s="5" t="s">
        <v>1301</v>
      </c>
      <c r="L456" s="6">
        <v>0.33333333333333331</v>
      </c>
      <c r="M456" s="7" t="s">
        <v>1302</v>
      </c>
      <c r="N456" s="14" t="s">
        <v>11</v>
      </c>
      <c r="O456" s="64"/>
      <c r="P456" s="63"/>
      <c r="Q456" s="63"/>
      <c r="R456" s="63"/>
      <c r="S456" s="63"/>
      <c r="T456" s="63"/>
      <c r="U456" s="63"/>
      <c r="V456" s="63"/>
      <c r="W456" s="17"/>
      <c r="X456" s="65">
        <v>46249</v>
      </c>
    </row>
    <row r="457" spans="1:24" ht="13.8" thickBot="1" x14ac:dyDescent="0.3">
      <c r="A457" s="4" t="s">
        <v>331</v>
      </c>
      <c r="B457" s="63"/>
      <c r="C457" s="63"/>
      <c r="D457" s="63"/>
      <c r="E457" s="63"/>
      <c r="F457" s="63"/>
      <c r="G457" s="63"/>
      <c r="H457" s="63"/>
      <c r="I457" s="64"/>
      <c r="J457" s="14" t="s">
        <v>10</v>
      </c>
      <c r="K457" s="5" t="s">
        <v>1303</v>
      </c>
      <c r="L457" s="6">
        <v>0.33333333333333331</v>
      </c>
      <c r="M457" s="7" t="s">
        <v>1304</v>
      </c>
      <c r="N457" s="14" t="s">
        <v>11</v>
      </c>
      <c r="O457" s="64"/>
      <c r="P457" s="63"/>
      <c r="Q457" s="63"/>
      <c r="R457" s="63"/>
      <c r="S457" s="63"/>
      <c r="T457" s="63"/>
      <c r="U457" s="63"/>
      <c r="V457" s="63"/>
      <c r="W457" s="17"/>
      <c r="X457" s="65">
        <v>46249</v>
      </c>
    </row>
    <row r="458" spans="1:24" ht="13.8" thickBot="1" x14ac:dyDescent="0.3">
      <c r="A458" s="4" t="s">
        <v>331</v>
      </c>
      <c r="B458" s="63"/>
      <c r="C458" s="63"/>
      <c r="D458" s="63"/>
      <c r="E458" s="63"/>
      <c r="F458" s="63"/>
      <c r="G458" s="63"/>
      <c r="H458" s="63"/>
      <c r="I458" s="64"/>
      <c r="J458" s="14" t="s">
        <v>10</v>
      </c>
      <c r="K458" s="5" t="s">
        <v>1305</v>
      </c>
      <c r="L458" s="6">
        <v>0.33333333333333331</v>
      </c>
      <c r="M458" s="7" t="s">
        <v>1306</v>
      </c>
      <c r="N458" s="14" t="s">
        <v>11</v>
      </c>
      <c r="O458" s="64"/>
      <c r="P458" s="63"/>
      <c r="Q458" s="63"/>
      <c r="R458" s="63"/>
      <c r="S458" s="63"/>
      <c r="T458" s="63"/>
      <c r="U458" s="63"/>
      <c r="V458" s="63"/>
      <c r="W458" s="17"/>
      <c r="X458" s="65">
        <v>46249</v>
      </c>
    </row>
    <row r="459" spans="1:24" ht="19.8" thickBot="1" x14ac:dyDescent="0.3">
      <c r="A459" s="4" t="s">
        <v>331</v>
      </c>
      <c r="B459" s="63"/>
      <c r="C459" s="63"/>
      <c r="D459" s="63"/>
      <c r="E459" s="63"/>
      <c r="F459" s="63"/>
      <c r="G459" s="63"/>
      <c r="H459" s="63"/>
      <c r="I459" s="64"/>
      <c r="J459" s="14" t="s">
        <v>10</v>
      </c>
      <c r="K459" s="5" t="s">
        <v>1307</v>
      </c>
      <c r="L459" s="6">
        <v>0.33333333333333331</v>
      </c>
      <c r="M459" s="7" t="s">
        <v>1308</v>
      </c>
      <c r="N459" s="14" t="s">
        <v>11</v>
      </c>
      <c r="O459" s="64"/>
      <c r="P459" s="63"/>
      <c r="Q459" s="63"/>
      <c r="R459" s="63"/>
      <c r="S459" s="63"/>
      <c r="T459" s="63"/>
      <c r="U459" s="63"/>
      <c r="V459" s="63"/>
      <c r="W459" s="17"/>
      <c r="X459" s="65">
        <v>46249</v>
      </c>
    </row>
    <row r="460" spans="1:24" ht="13.8" thickBot="1" x14ac:dyDescent="0.3">
      <c r="A460" s="4" t="s">
        <v>1309</v>
      </c>
      <c r="B460" s="8">
        <v>0.1</v>
      </c>
      <c r="C460" s="9">
        <v>0.2</v>
      </c>
      <c r="D460" s="8">
        <v>0.5</v>
      </c>
      <c r="E460" s="10" t="s">
        <v>824</v>
      </c>
      <c r="F460" s="11" t="s">
        <v>824</v>
      </c>
      <c r="G460" s="12" t="s">
        <v>268</v>
      </c>
      <c r="H460" s="13" t="s">
        <v>227</v>
      </c>
      <c r="I460" s="14">
        <v>10</v>
      </c>
      <c r="J460" s="14" t="s">
        <v>10</v>
      </c>
      <c r="K460" s="5" t="s">
        <v>1310</v>
      </c>
      <c r="L460" s="6">
        <v>0.45833333333333331</v>
      </c>
      <c r="M460" s="7" t="s">
        <v>1311</v>
      </c>
      <c r="N460" s="14" t="s">
        <v>11</v>
      </c>
      <c r="O460" s="14">
        <v>11</v>
      </c>
      <c r="P460" s="13" t="s">
        <v>264</v>
      </c>
      <c r="Q460" s="12" t="s">
        <v>1312</v>
      </c>
      <c r="R460" s="11" t="s">
        <v>260</v>
      </c>
      <c r="S460" s="10" t="s">
        <v>311</v>
      </c>
      <c r="T460" s="8">
        <v>0.91</v>
      </c>
      <c r="U460" s="15">
        <v>0.64</v>
      </c>
      <c r="V460" s="8">
        <v>0.36</v>
      </c>
      <c r="W460" s="17"/>
      <c r="X460" s="65">
        <v>46249</v>
      </c>
    </row>
    <row r="461" spans="1:24" ht="13.8" thickBot="1" x14ac:dyDescent="0.3">
      <c r="A461" s="4" t="s">
        <v>1309</v>
      </c>
      <c r="B461" s="8">
        <v>0.33</v>
      </c>
      <c r="C461" s="15">
        <v>0.56000000000000005</v>
      </c>
      <c r="D461" s="8">
        <v>0.78</v>
      </c>
      <c r="E461" s="10" t="s">
        <v>326</v>
      </c>
      <c r="F461" s="11" t="s">
        <v>307</v>
      </c>
      <c r="G461" s="12" t="s">
        <v>325</v>
      </c>
      <c r="H461" s="13" t="s">
        <v>334</v>
      </c>
      <c r="I461" s="14">
        <v>9</v>
      </c>
      <c r="J461" s="14" t="s">
        <v>10</v>
      </c>
      <c r="K461" s="5" t="s">
        <v>1313</v>
      </c>
      <c r="L461" s="6">
        <v>0.5</v>
      </c>
      <c r="M461" s="7" t="s">
        <v>1314</v>
      </c>
      <c r="N461" s="14" t="s">
        <v>11</v>
      </c>
      <c r="O461" s="14">
        <v>10</v>
      </c>
      <c r="P461" s="13" t="s">
        <v>824</v>
      </c>
      <c r="Q461" s="12" t="s">
        <v>234</v>
      </c>
      <c r="R461" s="11" t="s">
        <v>819</v>
      </c>
      <c r="S461" s="10" t="s">
        <v>270</v>
      </c>
      <c r="T461" s="8">
        <v>0.7</v>
      </c>
      <c r="U461" s="9">
        <v>0.3</v>
      </c>
      <c r="V461" s="8">
        <v>0</v>
      </c>
      <c r="W461" s="17"/>
      <c r="X461" s="65">
        <v>46249</v>
      </c>
    </row>
    <row r="462" spans="1:24" ht="13.8" thickBot="1" x14ac:dyDescent="0.3">
      <c r="A462" s="4" t="s">
        <v>1309</v>
      </c>
      <c r="B462" s="8">
        <v>0.09</v>
      </c>
      <c r="C462" s="9">
        <v>0.27</v>
      </c>
      <c r="D462" s="8">
        <v>0.64</v>
      </c>
      <c r="E462" s="10" t="s">
        <v>264</v>
      </c>
      <c r="F462" s="11" t="s">
        <v>313</v>
      </c>
      <c r="G462" s="12" t="s">
        <v>259</v>
      </c>
      <c r="H462" s="13" t="s">
        <v>217</v>
      </c>
      <c r="I462" s="14">
        <v>11</v>
      </c>
      <c r="J462" s="14" t="s">
        <v>10</v>
      </c>
      <c r="K462" s="5" t="s">
        <v>1315</v>
      </c>
      <c r="L462" s="6">
        <v>0.54166666666666663</v>
      </c>
      <c r="M462" s="7" t="s">
        <v>1316</v>
      </c>
      <c r="N462" s="14" t="s">
        <v>11</v>
      </c>
      <c r="O462" s="14">
        <v>10</v>
      </c>
      <c r="P462" s="13" t="s">
        <v>819</v>
      </c>
      <c r="Q462" s="12" t="s">
        <v>275</v>
      </c>
      <c r="R462" s="11" t="s">
        <v>274</v>
      </c>
      <c r="S462" s="10" t="s">
        <v>273</v>
      </c>
      <c r="T462" s="8">
        <v>0.7</v>
      </c>
      <c r="U462" s="9">
        <v>0.4</v>
      </c>
      <c r="V462" s="8">
        <v>0.4</v>
      </c>
      <c r="W462" s="17"/>
      <c r="X462" s="65">
        <v>46249</v>
      </c>
    </row>
    <row r="463" spans="1:24" ht="13.8" thickBot="1" x14ac:dyDescent="0.3">
      <c r="A463" s="4" t="s">
        <v>1309</v>
      </c>
      <c r="B463" s="8">
        <v>0.18</v>
      </c>
      <c r="C463" s="9">
        <v>0.45</v>
      </c>
      <c r="D463" s="8">
        <v>0.91</v>
      </c>
      <c r="E463" s="10" t="s">
        <v>262</v>
      </c>
      <c r="F463" s="11" t="s">
        <v>311</v>
      </c>
      <c r="G463" s="12" t="s">
        <v>1126</v>
      </c>
      <c r="H463" s="13" t="s">
        <v>796</v>
      </c>
      <c r="I463" s="14">
        <v>11</v>
      </c>
      <c r="J463" s="14" t="s">
        <v>10</v>
      </c>
      <c r="K463" s="5" t="s">
        <v>1317</v>
      </c>
      <c r="L463" s="6">
        <v>0.54166666666666663</v>
      </c>
      <c r="M463" s="7" t="s">
        <v>1318</v>
      </c>
      <c r="N463" s="14" t="s">
        <v>11</v>
      </c>
      <c r="O463" s="14">
        <v>10</v>
      </c>
      <c r="P463" s="13" t="s">
        <v>824</v>
      </c>
      <c r="Q463" s="12" t="s">
        <v>282</v>
      </c>
      <c r="R463" s="11" t="s">
        <v>824</v>
      </c>
      <c r="S463" s="10" t="s">
        <v>234</v>
      </c>
      <c r="T463" s="8">
        <v>0.7</v>
      </c>
      <c r="U463" s="9">
        <v>0.4</v>
      </c>
      <c r="V463" s="8">
        <v>0.3</v>
      </c>
      <c r="W463" s="17"/>
      <c r="X463" s="65">
        <v>46249</v>
      </c>
    </row>
    <row r="464" spans="1:24" ht="13.8" thickBot="1" x14ac:dyDescent="0.3">
      <c r="A464" s="4" t="s">
        <v>1319</v>
      </c>
      <c r="B464" s="8">
        <v>0</v>
      </c>
      <c r="C464" s="9">
        <v>0</v>
      </c>
      <c r="D464" s="8">
        <v>1</v>
      </c>
      <c r="E464" s="10" t="s">
        <v>217</v>
      </c>
      <c r="F464" s="11" t="s">
        <v>217</v>
      </c>
      <c r="G464" s="12" t="s">
        <v>216</v>
      </c>
      <c r="H464" s="13" t="s">
        <v>217</v>
      </c>
      <c r="I464" s="14">
        <v>1</v>
      </c>
      <c r="J464" s="14" t="s">
        <v>10</v>
      </c>
      <c r="K464" s="5" t="s">
        <v>1320</v>
      </c>
      <c r="L464" s="6">
        <v>0.875</v>
      </c>
      <c r="M464" s="7" t="s">
        <v>1321</v>
      </c>
      <c r="N464" s="14" t="s">
        <v>11</v>
      </c>
      <c r="O464" s="14">
        <v>1</v>
      </c>
      <c r="P464" s="13" t="s">
        <v>218</v>
      </c>
      <c r="Q464" s="12" t="s">
        <v>216</v>
      </c>
      <c r="R464" s="11" t="s">
        <v>216</v>
      </c>
      <c r="S464" s="10" t="s">
        <v>219</v>
      </c>
      <c r="T464" s="8">
        <v>1</v>
      </c>
      <c r="U464" s="9">
        <v>0</v>
      </c>
      <c r="V464" s="8">
        <v>0</v>
      </c>
      <c r="W464" s="17"/>
      <c r="X464" s="65">
        <v>46249</v>
      </c>
    </row>
    <row r="465" spans="1:24" ht="19.8" thickBot="1" x14ac:dyDescent="0.3">
      <c r="A465" s="4" t="s">
        <v>1322</v>
      </c>
      <c r="B465" s="8">
        <v>0</v>
      </c>
      <c r="C465" s="9">
        <v>0</v>
      </c>
      <c r="D465" s="8">
        <v>0.67</v>
      </c>
      <c r="E465" s="10" t="s">
        <v>217</v>
      </c>
      <c r="F465" s="11" t="s">
        <v>939</v>
      </c>
      <c r="G465" s="12" t="s">
        <v>224</v>
      </c>
      <c r="H465" s="13" t="s">
        <v>310</v>
      </c>
      <c r="I465" s="14">
        <v>3</v>
      </c>
      <c r="J465" s="14" t="s">
        <v>10</v>
      </c>
      <c r="K465" s="5" t="s">
        <v>1323</v>
      </c>
      <c r="L465" s="6">
        <v>0.54166666666666663</v>
      </c>
      <c r="M465" s="7" t="s">
        <v>1324</v>
      </c>
      <c r="N465" s="14" t="s">
        <v>11</v>
      </c>
      <c r="O465" s="14">
        <v>3</v>
      </c>
      <c r="P465" s="13" t="s">
        <v>939</v>
      </c>
      <c r="Q465" s="12" t="s">
        <v>325</v>
      </c>
      <c r="R465" s="11" t="s">
        <v>310</v>
      </c>
      <c r="S465" s="10" t="s">
        <v>216</v>
      </c>
      <c r="T465" s="8">
        <v>1</v>
      </c>
      <c r="U465" s="15">
        <v>0.67</v>
      </c>
      <c r="V465" s="8">
        <v>0</v>
      </c>
      <c r="W465" s="17"/>
      <c r="X465" s="65">
        <v>46249</v>
      </c>
    </row>
    <row r="466" spans="1:24" ht="19.8" thickBot="1" x14ac:dyDescent="0.3">
      <c r="A466" s="4" t="s">
        <v>1322</v>
      </c>
      <c r="B466" s="8">
        <v>0.67</v>
      </c>
      <c r="C466" s="15">
        <v>1</v>
      </c>
      <c r="D466" s="8">
        <v>1</v>
      </c>
      <c r="E466" s="10" t="s">
        <v>218</v>
      </c>
      <c r="F466" s="11" t="s">
        <v>224</v>
      </c>
      <c r="G466" s="12" t="s">
        <v>840</v>
      </c>
      <c r="H466" s="13" t="s">
        <v>217</v>
      </c>
      <c r="I466" s="14">
        <v>3</v>
      </c>
      <c r="J466" s="14" t="s">
        <v>10</v>
      </c>
      <c r="K466" s="5" t="s">
        <v>1325</v>
      </c>
      <c r="L466" s="6">
        <v>0.625</v>
      </c>
      <c r="M466" s="7" t="s">
        <v>1326</v>
      </c>
      <c r="N466" s="14" t="s">
        <v>11</v>
      </c>
      <c r="O466" s="14">
        <v>3</v>
      </c>
      <c r="P466" s="13" t="s">
        <v>344</v>
      </c>
      <c r="Q466" s="12" t="s">
        <v>344</v>
      </c>
      <c r="R466" s="11" t="s">
        <v>217</v>
      </c>
      <c r="S466" s="10" t="s">
        <v>310</v>
      </c>
      <c r="T466" s="8">
        <v>0.67</v>
      </c>
      <c r="U466" s="9">
        <v>0.33</v>
      </c>
      <c r="V466" s="8">
        <v>0</v>
      </c>
      <c r="W466" s="17"/>
      <c r="X466" s="65">
        <v>46249</v>
      </c>
    </row>
    <row r="467" spans="1:24" ht="13.8" thickBot="1" x14ac:dyDescent="0.3">
      <c r="A467" s="4" t="s">
        <v>1327</v>
      </c>
      <c r="B467" s="8">
        <v>0</v>
      </c>
      <c r="C467" s="9">
        <v>0</v>
      </c>
      <c r="D467" s="8">
        <v>0</v>
      </c>
      <c r="E467" s="10" t="s">
        <v>217</v>
      </c>
      <c r="F467" s="11" t="s">
        <v>219</v>
      </c>
      <c r="G467" s="12" t="s">
        <v>217</v>
      </c>
      <c r="H467" s="13" t="s">
        <v>219</v>
      </c>
      <c r="I467" s="14">
        <v>1</v>
      </c>
      <c r="J467" s="14" t="s">
        <v>10</v>
      </c>
      <c r="K467" s="5" t="s">
        <v>1328</v>
      </c>
      <c r="L467" s="6">
        <v>0.66666666666666663</v>
      </c>
      <c r="M467" s="7" t="s">
        <v>1329</v>
      </c>
      <c r="N467" s="14" t="s">
        <v>11</v>
      </c>
      <c r="O467" s="14">
        <v>1</v>
      </c>
      <c r="P467" s="13" t="s">
        <v>219</v>
      </c>
      <c r="Q467" s="12" t="s">
        <v>218</v>
      </c>
      <c r="R467" s="11" t="s">
        <v>217</v>
      </c>
      <c r="S467" s="10" t="s">
        <v>216</v>
      </c>
      <c r="T467" s="8">
        <v>1</v>
      </c>
      <c r="U467" s="15">
        <v>1</v>
      </c>
      <c r="V467" s="8">
        <v>0</v>
      </c>
      <c r="W467" s="17"/>
      <c r="X467" s="65">
        <v>46249</v>
      </c>
    </row>
    <row r="468" spans="1:24" ht="19.8" thickBot="1" x14ac:dyDescent="0.3">
      <c r="A468" s="4" t="s">
        <v>242</v>
      </c>
      <c r="B468" s="63"/>
      <c r="C468" s="63"/>
      <c r="D468" s="63"/>
      <c r="E468" s="63"/>
      <c r="F468" s="63"/>
      <c r="G468" s="63"/>
      <c r="H468" s="63"/>
      <c r="I468" s="64"/>
      <c r="J468" s="14" t="s">
        <v>10</v>
      </c>
      <c r="K468" s="5" t="s">
        <v>1330</v>
      </c>
      <c r="L468" s="6">
        <v>0.4375</v>
      </c>
      <c r="M468" s="7" t="s">
        <v>1331</v>
      </c>
      <c r="N468" s="14" t="s">
        <v>11</v>
      </c>
      <c r="O468" s="64"/>
      <c r="P468" s="63"/>
      <c r="Q468" s="63"/>
      <c r="R468" s="63"/>
      <c r="S468" s="63"/>
      <c r="T468" s="63"/>
      <c r="U468" s="63"/>
      <c r="V468" s="63"/>
      <c r="W468" s="17"/>
      <c r="X468" s="65">
        <v>46249</v>
      </c>
    </row>
    <row r="469" spans="1:24" ht="19.8" thickBot="1" x14ac:dyDescent="0.3">
      <c r="A469" s="4" t="s">
        <v>242</v>
      </c>
      <c r="B469" s="63"/>
      <c r="C469" s="63"/>
      <c r="D469" s="63"/>
      <c r="E469" s="63"/>
      <c r="F469" s="63"/>
      <c r="G469" s="63"/>
      <c r="H469" s="63"/>
      <c r="I469" s="64"/>
      <c r="J469" s="14" t="s">
        <v>10</v>
      </c>
      <c r="K469" s="5" t="s">
        <v>1332</v>
      </c>
      <c r="L469" s="6">
        <v>0.45833333333333331</v>
      </c>
      <c r="M469" s="7" t="s">
        <v>1333</v>
      </c>
      <c r="N469" s="14" t="s">
        <v>11</v>
      </c>
      <c r="O469" s="64"/>
      <c r="P469" s="63"/>
      <c r="Q469" s="63"/>
      <c r="R469" s="63"/>
      <c r="S469" s="63"/>
      <c r="T469" s="63"/>
      <c r="U469" s="63"/>
      <c r="V469" s="63"/>
      <c r="W469" s="17"/>
      <c r="X469" s="65">
        <v>46249</v>
      </c>
    </row>
    <row r="470" spans="1:24" ht="13.8" thickBot="1" x14ac:dyDescent="0.3">
      <c r="A470" s="4" t="s">
        <v>242</v>
      </c>
      <c r="B470" s="63"/>
      <c r="C470" s="63"/>
      <c r="D470" s="63"/>
      <c r="E470" s="63"/>
      <c r="F470" s="63"/>
      <c r="G470" s="63"/>
      <c r="H470" s="63"/>
      <c r="I470" s="64"/>
      <c r="J470" s="14" t="s">
        <v>10</v>
      </c>
      <c r="K470" s="5" t="s">
        <v>1334</v>
      </c>
      <c r="L470" s="6">
        <v>0.45833333333333331</v>
      </c>
      <c r="M470" s="7" t="s">
        <v>1335</v>
      </c>
      <c r="N470" s="14" t="s">
        <v>11</v>
      </c>
      <c r="O470" s="64"/>
      <c r="P470" s="63"/>
      <c r="Q470" s="63"/>
      <c r="R470" s="63"/>
      <c r="S470" s="63"/>
      <c r="T470" s="63"/>
      <c r="U470" s="63"/>
      <c r="V470" s="63"/>
      <c r="W470" s="17"/>
      <c r="X470" s="65">
        <v>46249</v>
      </c>
    </row>
    <row r="471" spans="1:24" ht="19.8" thickBot="1" x14ac:dyDescent="0.3">
      <c r="A471" s="4" t="s">
        <v>242</v>
      </c>
      <c r="B471" s="63"/>
      <c r="C471" s="63"/>
      <c r="D471" s="63"/>
      <c r="E471" s="63"/>
      <c r="F471" s="63"/>
      <c r="G471" s="63"/>
      <c r="H471" s="63"/>
      <c r="I471" s="64"/>
      <c r="J471" s="14" t="s">
        <v>10</v>
      </c>
      <c r="K471" s="5" t="s">
        <v>1336</v>
      </c>
      <c r="L471" s="6">
        <v>0.45833333333333331</v>
      </c>
      <c r="M471" s="7" t="s">
        <v>1337</v>
      </c>
      <c r="N471" s="14" t="s">
        <v>11</v>
      </c>
      <c r="O471" s="64"/>
      <c r="P471" s="63"/>
      <c r="Q471" s="63"/>
      <c r="R471" s="63"/>
      <c r="S471" s="63"/>
      <c r="T471" s="63"/>
      <c r="U471" s="63"/>
      <c r="V471" s="63"/>
      <c r="W471" s="17"/>
      <c r="X471" s="65">
        <v>46249</v>
      </c>
    </row>
    <row r="472" spans="1:24" ht="19.8" thickBot="1" x14ac:dyDescent="0.3">
      <c r="A472" s="4" t="s">
        <v>242</v>
      </c>
      <c r="B472" s="63"/>
      <c r="C472" s="63"/>
      <c r="D472" s="63"/>
      <c r="E472" s="63"/>
      <c r="F472" s="63"/>
      <c r="G472" s="63"/>
      <c r="H472" s="63"/>
      <c r="I472" s="64"/>
      <c r="J472" s="14" t="s">
        <v>10</v>
      </c>
      <c r="K472" s="5" t="s">
        <v>1338</v>
      </c>
      <c r="L472" s="6">
        <v>0.45833333333333331</v>
      </c>
      <c r="M472" s="7" t="s">
        <v>1339</v>
      </c>
      <c r="N472" s="14" t="s">
        <v>11</v>
      </c>
      <c r="O472" s="64"/>
      <c r="P472" s="63"/>
      <c r="Q472" s="63"/>
      <c r="R472" s="63"/>
      <c r="S472" s="63"/>
      <c r="T472" s="63"/>
      <c r="U472" s="63"/>
      <c r="V472" s="63"/>
      <c r="W472" s="17"/>
      <c r="X472" s="65">
        <v>46249</v>
      </c>
    </row>
    <row r="473" spans="1:24" ht="13.8" thickBot="1" x14ac:dyDescent="0.3">
      <c r="A473" s="4" t="s">
        <v>242</v>
      </c>
      <c r="B473" s="63"/>
      <c r="C473" s="63"/>
      <c r="D473" s="63"/>
      <c r="E473" s="63"/>
      <c r="F473" s="63"/>
      <c r="G473" s="63"/>
      <c r="H473" s="63"/>
      <c r="I473" s="64"/>
      <c r="J473" s="14" t="s">
        <v>10</v>
      </c>
      <c r="K473" s="5" t="s">
        <v>1340</v>
      </c>
      <c r="L473" s="6">
        <v>0.45833333333333331</v>
      </c>
      <c r="M473" s="7" t="s">
        <v>1341</v>
      </c>
      <c r="N473" s="14" t="s">
        <v>11</v>
      </c>
      <c r="O473" s="64"/>
      <c r="P473" s="63"/>
      <c r="Q473" s="63"/>
      <c r="R473" s="63"/>
      <c r="S473" s="63"/>
      <c r="T473" s="63"/>
      <c r="U473" s="63"/>
      <c r="V473" s="63"/>
      <c r="W473" s="17"/>
      <c r="X473" s="65">
        <v>46249</v>
      </c>
    </row>
    <row r="474" spans="1:24" ht="13.8" thickBot="1" x14ac:dyDescent="0.3">
      <c r="A474" s="4" t="s">
        <v>242</v>
      </c>
      <c r="B474" s="63"/>
      <c r="C474" s="63"/>
      <c r="D474" s="63"/>
      <c r="E474" s="63"/>
      <c r="F474" s="63"/>
      <c r="G474" s="63"/>
      <c r="H474" s="63"/>
      <c r="I474" s="64"/>
      <c r="J474" s="14" t="s">
        <v>10</v>
      </c>
      <c r="K474" s="5" t="s">
        <v>1342</v>
      </c>
      <c r="L474" s="6">
        <v>0.46875</v>
      </c>
      <c r="M474" s="7" t="s">
        <v>1343</v>
      </c>
      <c r="N474" s="14" t="s">
        <v>11</v>
      </c>
      <c r="O474" s="64"/>
      <c r="P474" s="63"/>
      <c r="Q474" s="63"/>
      <c r="R474" s="63"/>
      <c r="S474" s="63"/>
      <c r="T474" s="63"/>
      <c r="U474" s="63"/>
      <c r="V474" s="63"/>
      <c r="W474" s="17"/>
      <c r="X474" s="65">
        <v>46249</v>
      </c>
    </row>
    <row r="475" spans="1:24" ht="19.8" thickBot="1" x14ac:dyDescent="0.3">
      <c r="A475" s="4" t="s">
        <v>242</v>
      </c>
      <c r="B475" s="63"/>
      <c r="C475" s="63"/>
      <c r="D475" s="63"/>
      <c r="E475" s="63"/>
      <c r="F475" s="63"/>
      <c r="G475" s="63"/>
      <c r="H475" s="63"/>
      <c r="I475" s="64"/>
      <c r="J475" s="14" t="s">
        <v>10</v>
      </c>
      <c r="K475" s="5" t="s">
        <v>1344</v>
      </c>
      <c r="L475" s="6">
        <v>0.5625</v>
      </c>
      <c r="M475" s="7" t="s">
        <v>1345</v>
      </c>
      <c r="N475" s="14" t="s">
        <v>11</v>
      </c>
      <c r="O475" s="64"/>
      <c r="P475" s="63"/>
      <c r="Q475" s="63"/>
      <c r="R475" s="63"/>
      <c r="S475" s="63"/>
      <c r="T475" s="63"/>
      <c r="U475" s="63"/>
      <c r="V475" s="63"/>
      <c r="W475" s="17"/>
      <c r="X475" s="65">
        <v>46249</v>
      </c>
    </row>
    <row r="476" spans="1:24" ht="13.8" thickBot="1" x14ac:dyDescent="0.3">
      <c r="A476" s="4" t="s">
        <v>242</v>
      </c>
      <c r="B476" s="63"/>
      <c r="C476" s="63"/>
      <c r="D476" s="63"/>
      <c r="E476" s="63"/>
      <c r="F476" s="63"/>
      <c r="G476" s="63"/>
      <c r="H476" s="63"/>
      <c r="I476" s="64"/>
      <c r="J476" s="14" t="s">
        <v>10</v>
      </c>
      <c r="K476" s="5" t="s">
        <v>1346</v>
      </c>
      <c r="L476" s="6">
        <v>0.58333333333333337</v>
      </c>
      <c r="M476" s="7" t="s">
        <v>1347</v>
      </c>
      <c r="N476" s="14" t="s">
        <v>11</v>
      </c>
      <c r="O476" s="64"/>
      <c r="P476" s="63"/>
      <c r="Q476" s="63"/>
      <c r="R476" s="63"/>
      <c r="S476" s="63"/>
      <c r="T476" s="63"/>
      <c r="U476" s="63"/>
      <c r="V476" s="63"/>
      <c r="W476" s="17"/>
      <c r="X476" s="65">
        <v>46249</v>
      </c>
    </row>
    <row r="477" spans="1:24" ht="13.8" thickBot="1" x14ac:dyDescent="0.3">
      <c r="A477" s="4" t="s">
        <v>92</v>
      </c>
      <c r="B477" s="63"/>
      <c r="C477" s="63"/>
      <c r="D477" s="63"/>
      <c r="E477" s="63"/>
      <c r="F477" s="63"/>
      <c r="G477" s="63"/>
      <c r="H477" s="63"/>
      <c r="I477" s="64"/>
      <c r="J477" s="14" t="s">
        <v>10</v>
      </c>
      <c r="K477" s="5" t="s">
        <v>1348</v>
      </c>
      <c r="L477" s="6">
        <v>0.5</v>
      </c>
      <c r="M477" s="7" t="s">
        <v>1349</v>
      </c>
      <c r="N477" s="14" t="s">
        <v>11</v>
      </c>
      <c r="O477" s="64"/>
      <c r="P477" s="63"/>
      <c r="Q477" s="63"/>
      <c r="R477" s="63"/>
      <c r="S477" s="63"/>
      <c r="T477" s="63"/>
      <c r="U477" s="63"/>
      <c r="V477" s="63"/>
      <c r="W477" s="17"/>
      <c r="X477" s="65">
        <v>46249</v>
      </c>
    </row>
    <row r="478" spans="1:24" ht="13.8" thickBot="1" x14ac:dyDescent="0.3">
      <c r="A478" s="4" t="s">
        <v>92</v>
      </c>
      <c r="B478" s="63"/>
      <c r="C478" s="63"/>
      <c r="D478" s="63"/>
      <c r="E478" s="63"/>
      <c r="F478" s="63"/>
      <c r="G478" s="63"/>
      <c r="H478" s="63"/>
      <c r="I478" s="64"/>
      <c r="J478" s="14" t="s">
        <v>10</v>
      </c>
      <c r="K478" s="5" t="s">
        <v>1350</v>
      </c>
      <c r="L478" s="6">
        <v>0.5</v>
      </c>
      <c r="M478" s="7" t="s">
        <v>1351</v>
      </c>
      <c r="N478" s="14" t="s">
        <v>11</v>
      </c>
      <c r="O478" s="64"/>
      <c r="P478" s="63"/>
      <c r="Q478" s="63"/>
      <c r="R478" s="63"/>
      <c r="S478" s="63"/>
      <c r="T478" s="63"/>
      <c r="U478" s="63"/>
      <c r="V478" s="63"/>
      <c r="W478" s="17"/>
      <c r="X478" s="65">
        <v>46249</v>
      </c>
    </row>
    <row r="479" spans="1:24" ht="19.8" thickBot="1" x14ac:dyDescent="0.3">
      <c r="A479" s="4" t="s">
        <v>92</v>
      </c>
      <c r="B479" s="63"/>
      <c r="C479" s="63"/>
      <c r="D479" s="63"/>
      <c r="E479" s="63"/>
      <c r="F479" s="63"/>
      <c r="G479" s="63"/>
      <c r="H479" s="63"/>
      <c r="I479" s="64"/>
      <c r="J479" s="14" t="s">
        <v>10</v>
      </c>
      <c r="K479" s="5" t="s">
        <v>1352</v>
      </c>
      <c r="L479" s="6">
        <v>0.5</v>
      </c>
      <c r="M479" s="7" t="s">
        <v>1353</v>
      </c>
      <c r="N479" s="14" t="s">
        <v>11</v>
      </c>
      <c r="O479" s="14">
        <v>1</v>
      </c>
      <c r="P479" s="13" t="s">
        <v>218</v>
      </c>
      <c r="Q479" s="12" t="s">
        <v>218</v>
      </c>
      <c r="R479" s="11" t="s">
        <v>218</v>
      </c>
      <c r="S479" s="10" t="s">
        <v>219</v>
      </c>
      <c r="T479" s="8">
        <v>1</v>
      </c>
      <c r="U479" s="15">
        <v>1</v>
      </c>
      <c r="V479" s="8">
        <v>0</v>
      </c>
      <c r="W479" s="17"/>
      <c r="X479" s="65">
        <v>46249</v>
      </c>
    </row>
    <row r="480" spans="1:24" ht="19.8" thickBot="1" x14ac:dyDescent="0.3">
      <c r="A480" s="4" t="s">
        <v>92</v>
      </c>
      <c r="B480" s="63"/>
      <c r="C480" s="63"/>
      <c r="D480" s="63"/>
      <c r="E480" s="63"/>
      <c r="F480" s="63"/>
      <c r="G480" s="63"/>
      <c r="H480" s="63"/>
      <c r="I480" s="64"/>
      <c r="J480" s="14" t="s">
        <v>10</v>
      </c>
      <c r="K480" s="5" t="s">
        <v>1354</v>
      </c>
      <c r="L480" s="6">
        <v>0.5</v>
      </c>
      <c r="M480" s="7" t="s">
        <v>1355</v>
      </c>
      <c r="N480" s="14" t="s">
        <v>11</v>
      </c>
      <c r="O480" s="64"/>
      <c r="P480" s="63"/>
      <c r="Q480" s="63"/>
      <c r="R480" s="63"/>
      <c r="S480" s="63"/>
      <c r="T480" s="63"/>
      <c r="U480" s="63"/>
      <c r="V480" s="63"/>
      <c r="W480" s="17"/>
      <c r="X480" s="65">
        <v>46249</v>
      </c>
    </row>
    <row r="481" spans="1:24" ht="13.8" thickBot="1" x14ac:dyDescent="0.3">
      <c r="A481" s="4" t="s">
        <v>92</v>
      </c>
      <c r="B481" s="8">
        <v>0</v>
      </c>
      <c r="C481" s="15">
        <v>1</v>
      </c>
      <c r="D481" s="8">
        <v>1</v>
      </c>
      <c r="E481" s="10" t="s">
        <v>218</v>
      </c>
      <c r="F481" s="11" t="s">
        <v>219</v>
      </c>
      <c r="G481" s="12" t="s">
        <v>218</v>
      </c>
      <c r="H481" s="13" t="s">
        <v>219</v>
      </c>
      <c r="I481" s="14">
        <v>1</v>
      </c>
      <c r="J481" s="14" t="s">
        <v>10</v>
      </c>
      <c r="K481" s="5" t="s">
        <v>1356</v>
      </c>
      <c r="L481" s="6">
        <v>0.5</v>
      </c>
      <c r="M481" s="7" t="s">
        <v>1357</v>
      </c>
      <c r="N481" s="14" t="s">
        <v>11</v>
      </c>
      <c r="O481" s="64"/>
      <c r="P481" s="63"/>
      <c r="Q481" s="63"/>
      <c r="R481" s="63"/>
      <c r="S481" s="63"/>
      <c r="T481" s="63"/>
      <c r="U481" s="63"/>
      <c r="V481" s="63"/>
      <c r="W481" s="17"/>
      <c r="X481" s="65">
        <v>46249</v>
      </c>
    </row>
    <row r="482" spans="1:24" ht="13.8" thickBot="1" x14ac:dyDescent="0.3">
      <c r="A482" s="4" t="s">
        <v>92</v>
      </c>
      <c r="B482" s="63"/>
      <c r="C482" s="63"/>
      <c r="D482" s="63"/>
      <c r="E482" s="63"/>
      <c r="F482" s="63"/>
      <c r="G482" s="63"/>
      <c r="H482" s="63"/>
      <c r="I482" s="64"/>
      <c r="J482" s="14" t="s">
        <v>10</v>
      </c>
      <c r="K482" s="5" t="s">
        <v>1358</v>
      </c>
      <c r="L482" s="6">
        <v>0.5</v>
      </c>
      <c r="M482" s="7" t="s">
        <v>1359</v>
      </c>
      <c r="N482" s="14" t="s">
        <v>11</v>
      </c>
      <c r="O482" s="64"/>
      <c r="P482" s="63"/>
      <c r="Q482" s="63"/>
      <c r="R482" s="63"/>
      <c r="S482" s="63"/>
      <c r="T482" s="63"/>
      <c r="U482" s="63"/>
      <c r="V482" s="63"/>
      <c r="W482" s="17"/>
      <c r="X482" s="65">
        <v>46249</v>
      </c>
    </row>
    <row r="483" spans="1:24" ht="13.8" thickBot="1" x14ac:dyDescent="0.3">
      <c r="A483" s="4" t="s">
        <v>92</v>
      </c>
      <c r="B483" s="63"/>
      <c r="C483" s="63"/>
      <c r="D483" s="63"/>
      <c r="E483" s="63"/>
      <c r="F483" s="63"/>
      <c r="G483" s="63"/>
      <c r="H483" s="63"/>
      <c r="I483" s="64"/>
      <c r="J483" s="14" t="s">
        <v>10</v>
      </c>
      <c r="K483" s="5" t="s">
        <v>1360</v>
      </c>
      <c r="L483" s="6">
        <v>0.91666666666666663</v>
      </c>
      <c r="M483" s="7" t="s">
        <v>1361</v>
      </c>
      <c r="N483" s="14" t="s">
        <v>11</v>
      </c>
      <c r="O483" s="14">
        <v>1</v>
      </c>
      <c r="P483" s="13" t="s">
        <v>219</v>
      </c>
      <c r="Q483" s="12" t="s">
        <v>238</v>
      </c>
      <c r="R483" s="11" t="s">
        <v>219</v>
      </c>
      <c r="S483" s="10" t="s">
        <v>238</v>
      </c>
      <c r="T483" s="8">
        <v>1</v>
      </c>
      <c r="U483" s="15">
        <v>1</v>
      </c>
      <c r="V483" s="8">
        <v>1</v>
      </c>
      <c r="W483" s="17"/>
      <c r="X483" s="65">
        <v>46249</v>
      </c>
    </row>
    <row r="484" spans="1:24" ht="19.8" thickBot="1" x14ac:dyDescent="0.3">
      <c r="A484" s="4" t="s">
        <v>92</v>
      </c>
      <c r="B484" s="8">
        <v>0</v>
      </c>
      <c r="C484" s="15">
        <v>1</v>
      </c>
      <c r="D484" s="8">
        <v>1</v>
      </c>
      <c r="E484" s="10" t="s">
        <v>219</v>
      </c>
      <c r="F484" s="11" t="s">
        <v>218</v>
      </c>
      <c r="G484" s="12" t="s">
        <v>218</v>
      </c>
      <c r="H484" s="13" t="s">
        <v>218</v>
      </c>
      <c r="I484" s="14">
        <v>1</v>
      </c>
      <c r="J484" s="14" t="s">
        <v>10</v>
      </c>
      <c r="K484" s="5" t="s">
        <v>1362</v>
      </c>
      <c r="L484" s="6">
        <v>0.91666666666666663</v>
      </c>
      <c r="M484" s="7" t="s">
        <v>1363</v>
      </c>
      <c r="N484" s="14" t="s">
        <v>11</v>
      </c>
      <c r="O484" s="14">
        <v>1</v>
      </c>
      <c r="P484" s="13" t="s">
        <v>219</v>
      </c>
      <c r="Q484" s="12" t="s">
        <v>216</v>
      </c>
      <c r="R484" s="11" t="s">
        <v>219</v>
      </c>
      <c r="S484" s="10" t="s">
        <v>216</v>
      </c>
      <c r="T484" s="8">
        <v>1</v>
      </c>
      <c r="U484" s="9">
        <v>0</v>
      </c>
      <c r="V484" s="8">
        <v>0</v>
      </c>
      <c r="W484" s="17"/>
      <c r="X484" s="65">
        <v>46249</v>
      </c>
    </row>
    <row r="485" spans="1:24" ht="13.8" thickBot="1" x14ac:dyDescent="0.3">
      <c r="A485" s="4" t="s">
        <v>92</v>
      </c>
      <c r="B485" s="8">
        <v>1</v>
      </c>
      <c r="C485" s="15">
        <v>1</v>
      </c>
      <c r="D485" s="8">
        <v>1</v>
      </c>
      <c r="E485" s="10" t="s">
        <v>219</v>
      </c>
      <c r="F485" s="11" t="s">
        <v>238</v>
      </c>
      <c r="G485" s="12" t="s">
        <v>238</v>
      </c>
      <c r="H485" s="13" t="s">
        <v>218</v>
      </c>
      <c r="I485" s="14">
        <v>1</v>
      </c>
      <c r="J485" s="14" t="s">
        <v>10</v>
      </c>
      <c r="K485" s="5" t="s">
        <v>1364</v>
      </c>
      <c r="L485" s="6">
        <v>0.91666666666666663</v>
      </c>
      <c r="M485" s="7" t="s">
        <v>1365</v>
      </c>
      <c r="N485" s="14" t="s">
        <v>11</v>
      </c>
      <c r="O485" s="14">
        <v>1</v>
      </c>
      <c r="P485" s="13" t="s">
        <v>219</v>
      </c>
      <c r="Q485" s="12" t="s">
        <v>218</v>
      </c>
      <c r="R485" s="11" t="s">
        <v>219</v>
      </c>
      <c r="S485" s="10" t="s">
        <v>218</v>
      </c>
      <c r="T485" s="8">
        <v>1</v>
      </c>
      <c r="U485" s="15">
        <v>1</v>
      </c>
      <c r="V485" s="8">
        <v>0</v>
      </c>
      <c r="W485" s="17"/>
      <c r="X485" s="65">
        <v>46249</v>
      </c>
    </row>
    <row r="486" spans="1:24" ht="13.8" thickBot="1" x14ac:dyDescent="0.3">
      <c r="A486" s="4" t="s">
        <v>92</v>
      </c>
      <c r="B486" s="8">
        <v>0</v>
      </c>
      <c r="C486" s="15">
        <v>1</v>
      </c>
      <c r="D486" s="8">
        <v>1</v>
      </c>
      <c r="E486" s="10" t="s">
        <v>219</v>
      </c>
      <c r="F486" s="11" t="s">
        <v>218</v>
      </c>
      <c r="G486" s="12" t="s">
        <v>218</v>
      </c>
      <c r="H486" s="13" t="s">
        <v>218</v>
      </c>
      <c r="I486" s="14">
        <v>1</v>
      </c>
      <c r="J486" s="14" t="s">
        <v>10</v>
      </c>
      <c r="K486" s="5" t="s">
        <v>1366</v>
      </c>
      <c r="L486" s="6">
        <v>0.91666666666666663</v>
      </c>
      <c r="M486" s="7" t="s">
        <v>1367</v>
      </c>
      <c r="N486" s="14" t="s">
        <v>11</v>
      </c>
      <c r="O486" s="64"/>
      <c r="P486" s="63"/>
      <c r="Q486" s="63"/>
      <c r="R486" s="63"/>
      <c r="S486" s="63"/>
      <c r="T486" s="63"/>
      <c r="U486" s="63"/>
      <c r="V486" s="63"/>
      <c r="W486" s="17"/>
      <c r="X486" s="65">
        <v>46249</v>
      </c>
    </row>
    <row r="487" spans="1:24" ht="19.8" thickBot="1" x14ac:dyDescent="0.3">
      <c r="A487" s="4" t="s">
        <v>92</v>
      </c>
      <c r="B487" s="8">
        <v>1</v>
      </c>
      <c r="C487" s="15">
        <v>1</v>
      </c>
      <c r="D487" s="8">
        <v>1</v>
      </c>
      <c r="E487" s="10" t="s">
        <v>217</v>
      </c>
      <c r="F487" s="11" t="s">
        <v>278</v>
      </c>
      <c r="G487" s="12" t="s">
        <v>238</v>
      </c>
      <c r="H487" s="13" t="s">
        <v>218</v>
      </c>
      <c r="I487" s="14">
        <v>1</v>
      </c>
      <c r="J487" s="14" t="s">
        <v>10</v>
      </c>
      <c r="K487" s="5" t="s">
        <v>1368</v>
      </c>
      <c r="L487" s="6">
        <v>0.91666666666666663</v>
      </c>
      <c r="M487" s="7" t="s">
        <v>1369</v>
      </c>
      <c r="N487" s="14" t="s">
        <v>11</v>
      </c>
      <c r="O487" s="14">
        <v>1</v>
      </c>
      <c r="P487" s="13" t="s">
        <v>219</v>
      </c>
      <c r="Q487" s="12" t="s">
        <v>218</v>
      </c>
      <c r="R487" s="11" t="s">
        <v>219</v>
      </c>
      <c r="S487" s="10" t="s">
        <v>218</v>
      </c>
      <c r="T487" s="8">
        <v>1</v>
      </c>
      <c r="U487" s="15">
        <v>1</v>
      </c>
      <c r="V487" s="8">
        <v>0</v>
      </c>
      <c r="W487" s="17"/>
      <c r="X487" s="65">
        <v>46249</v>
      </c>
    </row>
    <row r="488" spans="1:24" ht="13.8" thickBot="1" x14ac:dyDescent="0.3">
      <c r="A488" s="4" t="s">
        <v>92</v>
      </c>
      <c r="B488" s="8">
        <v>0.11</v>
      </c>
      <c r="C488" s="9">
        <v>0.33</v>
      </c>
      <c r="D488" s="8">
        <v>0.78</v>
      </c>
      <c r="E488" s="10" t="s">
        <v>284</v>
      </c>
      <c r="F488" s="11" t="s">
        <v>228</v>
      </c>
      <c r="G488" s="12" t="s">
        <v>334</v>
      </c>
      <c r="H488" s="13" t="s">
        <v>232</v>
      </c>
      <c r="I488" s="14">
        <v>9</v>
      </c>
      <c r="J488" s="14" t="s">
        <v>10</v>
      </c>
      <c r="K488" s="5" t="s">
        <v>1370</v>
      </c>
      <c r="L488" s="6">
        <v>0.5</v>
      </c>
      <c r="M488" s="7" t="s">
        <v>1371</v>
      </c>
      <c r="N488" s="14" t="s">
        <v>11</v>
      </c>
      <c r="O488" s="14">
        <v>8</v>
      </c>
      <c r="P488" s="13" t="s">
        <v>239</v>
      </c>
      <c r="Q488" s="12" t="s">
        <v>240</v>
      </c>
      <c r="R488" s="11" t="s">
        <v>217</v>
      </c>
      <c r="S488" s="10" t="s">
        <v>294</v>
      </c>
      <c r="T488" s="8">
        <v>0.75</v>
      </c>
      <c r="U488" s="9">
        <v>0.25</v>
      </c>
      <c r="V488" s="8">
        <v>0.25</v>
      </c>
      <c r="W488" s="17"/>
      <c r="X488" s="65">
        <v>46249</v>
      </c>
    </row>
    <row r="489" spans="1:24" ht="13.8" thickBot="1" x14ac:dyDescent="0.3">
      <c r="A489" s="4" t="s">
        <v>92</v>
      </c>
      <c r="B489" s="8">
        <v>0.38</v>
      </c>
      <c r="C489" s="9">
        <v>0.5</v>
      </c>
      <c r="D489" s="8">
        <v>0.75</v>
      </c>
      <c r="E489" s="10" t="s">
        <v>239</v>
      </c>
      <c r="F489" s="11" t="s">
        <v>239</v>
      </c>
      <c r="G489" s="12" t="s">
        <v>346</v>
      </c>
      <c r="H489" s="13" t="s">
        <v>286</v>
      </c>
      <c r="I489" s="14">
        <v>8</v>
      </c>
      <c r="J489" s="14" t="s">
        <v>10</v>
      </c>
      <c r="K489" s="5" t="s">
        <v>1372</v>
      </c>
      <c r="L489" s="6">
        <v>0.5</v>
      </c>
      <c r="M489" s="7" t="s">
        <v>1373</v>
      </c>
      <c r="N489" s="14" t="s">
        <v>11</v>
      </c>
      <c r="O489" s="14">
        <v>9</v>
      </c>
      <c r="P489" s="13" t="s">
        <v>217</v>
      </c>
      <c r="Q489" s="12" t="s">
        <v>812</v>
      </c>
      <c r="R489" s="11" t="s">
        <v>344</v>
      </c>
      <c r="S489" s="10" t="s">
        <v>230</v>
      </c>
      <c r="T489" s="8">
        <v>1</v>
      </c>
      <c r="U489" s="15">
        <v>1</v>
      </c>
      <c r="V489" s="8">
        <v>0.67</v>
      </c>
      <c r="W489" s="17"/>
      <c r="X489" s="65">
        <v>46249</v>
      </c>
    </row>
    <row r="490" spans="1:24" ht="13.8" thickBot="1" x14ac:dyDescent="0.3">
      <c r="A490" s="4" t="s">
        <v>92</v>
      </c>
      <c r="B490" s="8">
        <v>0.56000000000000005</v>
      </c>
      <c r="C490" s="15">
        <v>0.78</v>
      </c>
      <c r="D490" s="8">
        <v>0.89</v>
      </c>
      <c r="E490" s="10" t="s">
        <v>325</v>
      </c>
      <c r="F490" s="11" t="s">
        <v>232</v>
      </c>
      <c r="G490" s="12" t="s">
        <v>808</v>
      </c>
      <c r="H490" s="13" t="s">
        <v>217</v>
      </c>
      <c r="I490" s="14">
        <v>9</v>
      </c>
      <c r="J490" s="14" t="s">
        <v>10</v>
      </c>
      <c r="K490" s="5" t="s">
        <v>1374</v>
      </c>
      <c r="L490" s="6">
        <v>0.5</v>
      </c>
      <c r="M490" s="7" t="s">
        <v>1375</v>
      </c>
      <c r="N490" s="14" t="s">
        <v>11</v>
      </c>
      <c r="O490" s="14">
        <v>8</v>
      </c>
      <c r="P490" s="13" t="s">
        <v>220</v>
      </c>
      <c r="Q490" s="12" t="s">
        <v>342</v>
      </c>
      <c r="R490" s="11" t="s">
        <v>223</v>
      </c>
      <c r="S490" s="10" t="s">
        <v>239</v>
      </c>
      <c r="T490" s="8">
        <v>0.75</v>
      </c>
      <c r="U490" s="15">
        <v>0.75</v>
      </c>
      <c r="V490" s="8">
        <v>0.5</v>
      </c>
      <c r="W490" s="17"/>
      <c r="X490" s="65">
        <v>46249</v>
      </c>
    </row>
    <row r="491" spans="1:24" ht="13.8" thickBot="1" x14ac:dyDescent="0.3">
      <c r="A491" s="4" t="s">
        <v>92</v>
      </c>
      <c r="B491" s="8">
        <v>0.89</v>
      </c>
      <c r="C491" s="15">
        <v>0.89</v>
      </c>
      <c r="D491" s="8">
        <v>1</v>
      </c>
      <c r="E491" s="10" t="s">
        <v>216</v>
      </c>
      <c r="F491" s="11" t="s">
        <v>340</v>
      </c>
      <c r="G491" s="12" t="s">
        <v>1376</v>
      </c>
      <c r="H491" s="13" t="s">
        <v>231</v>
      </c>
      <c r="I491" s="14">
        <v>9</v>
      </c>
      <c r="J491" s="14" t="s">
        <v>10</v>
      </c>
      <c r="K491" s="5" t="s">
        <v>1377</v>
      </c>
      <c r="L491" s="6">
        <v>0.5</v>
      </c>
      <c r="M491" s="7" t="s">
        <v>1378</v>
      </c>
      <c r="N491" s="14" t="s">
        <v>11</v>
      </c>
      <c r="O491" s="14">
        <v>8</v>
      </c>
      <c r="P491" s="13" t="s">
        <v>220</v>
      </c>
      <c r="Q491" s="12" t="s">
        <v>1241</v>
      </c>
      <c r="R491" s="11" t="s">
        <v>911</v>
      </c>
      <c r="S491" s="10" t="s">
        <v>223</v>
      </c>
      <c r="T491" s="8">
        <v>1</v>
      </c>
      <c r="U491" s="15">
        <v>0.62</v>
      </c>
      <c r="V491" s="8">
        <v>0.5</v>
      </c>
      <c r="W491" s="17"/>
      <c r="X491" s="65">
        <v>46249</v>
      </c>
    </row>
    <row r="492" spans="1:24" ht="13.8" thickBot="1" x14ac:dyDescent="0.3">
      <c r="A492" s="4" t="s">
        <v>92</v>
      </c>
      <c r="B492" s="8">
        <v>0</v>
      </c>
      <c r="C492" s="9">
        <v>0.28999999999999998</v>
      </c>
      <c r="D492" s="8">
        <v>0.43</v>
      </c>
      <c r="E492" s="10" t="s">
        <v>292</v>
      </c>
      <c r="F492" s="11" t="s">
        <v>882</v>
      </c>
      <c r="G492" s="12" t="s">
        <v>916</v>
      </c>
      <c r="H492" s="13" t="s">
        <v>350</v>
      </c>
      <c r="I492" s="14">
        <v>7</v>
      </c>
      <c r="J492" s="14" t="s">
        <v>10</v>
      </c>
      <c r="K492" s="5" t="s">
        <v>1379</v>
      </c>
      <c r="L492" s="6">
        <v>0.375</v>
      </c>
      <c r="M492" s="7" t="s">
        <v>1380</v>
      </c>
      <c r="N492" s="14" t="s">
        <v>11</v>
      </c>
      <c r="O492" s="14">
        <v>8</v>
      </c>
      <c r="P492" s="13" t="s">
        <v>223</v>
      </c>
      <c r="Q492" s="12" t="s">
        <v>221</v>
      </c>
      <c r="R492" s="11" t="s">
        <v>239</v>
      </c>
      <c r="S492" s="10" t="s">
        <v>296</v>
      </c>
      <c r="T492" s="8">
        <v>0.75</v>
      </c>
      <c r="U492" s="9">
        <v>0.12</v>
      </c>
      <c r="V492" s="8">
        <v>0.12</v>
      </c>
      <c r="W492" s="17"/>
      <c r="X492" s="65">
        <v>46249</v>
      </c>
    </row>
    <row r="493" spans="1:24" ht="13.8" thickBot="1" x14ac:dyDescent="0.3">
      <c r="A493" s="4" t="s">
        <v>92</v>
      </c>
      <c r="B493" s="8">
        <v>0.14000000000000001</v>
      </c>
      <c r="C493" s="9">
        <v>0.43</v>
      </c>
      <c r="D493" s="8">
        <v>1</v>
      </c>
      <c r="E493" s="10" t="s">
        <v>916</v>
      </c>
      <c r="F493" s="11" t="s">
        <v>217</v>
      </c>
      <c r="G493" s="12" t="s">
        <v>1381</v>
      </c>
      <c r="H493" s="13" t="s">
        <v>292</v>
      </c>
      <c r="I493" s="14">
        <v>7</v>
      </c>
      <c r="J493" s="14" t="s">
        <v>10</v>
      </c>
      <c r="K493" s="5" t="s">
        <v>1382</v>
      </c>
      <c r="L493" s="6">
        <v>0.41666666666666669</v>
      </c>
      <c r="M493" s="7" t="s">
        <v>1383</v>
      </c>
      <c r="N493" s="14" t="s">
        <v>11</v>
      </c>
      <c r="O493" s="14">
        <v>7</v>
      </c>
      <c r="P493" s="13" t="s">
        <v>216</v>
      </c>
      <c r="Q493" s="12" t="s">
        <v>1384</v>
      </c>
      <c r="R493" s="11" t="s">
        <v>354</v>
      </c>
      <c r="S493" s="10" t="s">
        <v>352</v>
      </c>
      <c r="T493" s="8">
        <v>0.86</v>
      </c>
      <c r="U493" s="15">
        <v>0.71</v>
      </c>
      <c r="V493" s="8">
        <v>0.43</v>
      </c>
      <c r="W493" s="17"/>
      <c r="X493" s="65">
        <v>46249</v>
      </c>
    </row>
    <row r="494" spans="1:24" ht="13.8" thickBot="1" x14ac:dyDescent="0.3">
      <c r="A494" s="4" t="s">
        <v>92</v>
      </c>
      <c r="B494" s="8">
        <v>0.43</v>
      </c>
      <c r="C494" s="15">
        <v>0.56999999999999995</v>
      </c>
      <c r="D494" s="8">
        <v>0.71</v>
      </c>
      <c r="E494" s="10" t="s">
        <v>292</v>
      </c>
      <c r="F494" s="11" t="s">
        <v>849</v>
      </c>
      <c r="G494" s="12" t="s">
        <v>879</v>
      </c>
      <c r="H494" s="13" t="s">
        <v>849</v>
      </c>
      <c r="I494" s="14">
        <v>7</v>
      </c>
      <c r="J494" s="14" t="s">
        <v>10</v>
      </c>
      <c r="K494" s="5" t="s">
        <v>1385</v>
      </c>
      <c r="L494" s="6">
        <v>0.45833333333333331</v>
      </c>
      <c r="M494" s="7" t="s">
        <v>1386</v>
      </c>
      <c r="N494" s="14" t="s">
        <v>11</v>
      </c>
      <c r="O494" s="14">
        <v>7</v>
      </c>
      <c r="P494" s="13" t="s">
        <v>219</v>
      </c>
      <c r="Q494" s="12" t="s">
        <v>1387</v>
      </c>
      <c r="R494" s="11" t="s">
        <v>882</v>
      </c>
      <c r="S494" s="10" t="s">
        <v>218</v>
      </c>
      <c r="T494" s="8">
        <v>0.86</v>
      </c>
      <c r="U494" s="15">
        <v>0.56999999999999995</v>
      </c>
      <c r="V494" s="8">
        <v>0.56999999999999995</v>
      </c>
      <c r="W494" s="17"/>
      <c r="X494" s="65">
        <v>46249</v>
      </c>
    </row>
    <row r="495" spans="1:24" ht="13.8" thickBot="1" x14ac:dyDescent="0.3">
      <c r="A495" s="4" t="s">
        <v>92</v>
      </c>
      <c r="B495" s="8">
        <v>0.62</v>
      </c>
      <c r="C495" s="15">
        <v>0.62</v>
      </c>
      <c r="D495" s="8">
        <v>0.88</v>
      </c>
      <c r="E495" s="10" t="s">
        <v>911</v>
      </c>
      <c r="F495" s="11" t="s">
        <v>293</v>
      </c>
      <c r="G495" s="12" t="s">
        <v>1141</v>
      </c>
      <c r="H495" s="13" t="s">
        <v>237</v>
      </c>
      <c r="I495" s="14">
        <v>8</v>
      </c>
      <c r="J495" s="14" t="s">
        <v>10</v>
      </c>
      <c r="K495" s="5" t="s">
        <v>1388</v>
      </c>
      <c r="L495" s="6">
        <v>0.5</v>
      </c>
      <c r="M495" s="7" t="s">
        <v>1389</v>
      </c>
      <c r="N495" s="14" t="s">
        <v>11</v>
      </c>
      <c r="O495" s="14">
        <v>7</v>
      </c>
      <c r="P495" s="13" t="s">
        <v>882</v>
      </c>
      <c r="Q495" s="12" t="s">
        <v>879</v>
      </c>
      <c r="R495" s="11" t="s">
        <v>217</v>
      </c>
      <c r="S495" s="10" t="s">
        <v>291</v>
      </c>
      <c r="T495" s="8">
        <v>0.86</v>
      </c>
      <c r="U495" s="15">
        <v>0.56999999999999995</v>
      </c>
      <c r="V495" s="8">
        <v>0.43</v>
      </c>
      <c r="W495" s="17"/>
      <c r="X495" s="65">
        <v>46249</v>
      </c>
    </row>
    <row r="496" spans="1:24" ht="13.8" thickBot="1" x14ac:dyDescent="0.3">
      <c r="A496" s="4" t="s">
        <v>92</v>
      </c>
      <c r="B496" s="8">
        <v>0.43</v>
      </c>
      <c r="C496" s="15">
        <v>0.71</v>
      </c>
      <c r="D496" s="8">
        <v>0.71</v>
      </c>
      <c r="E496" s="10" t="s">
        <v>217</v>
      </c>
      <c r="F496" s="11" t="s">
        <v>354</v>
      </c>
      <c r="G496" s="12" t="s">
        <v>297</v>
      </c>
      <c r="H496" s="13" t="s">
        <v>291</v>
      </c>
      <c r="I496" s="14">
        <v>7</v>
      </c>
      <c r="J496" s="14" t="s">
        <v>10</v>
      </c>
      <c r="K496" s="5" t="s">
        <v>1390</v>
      </c>
      <c r="L496" s="6">
        <v>0.41666666666666669</v>
      </c>
      <c r="M496" s="7" t="s">
        <v>1391</v>
      </c>
      <c r="N496" s="14" t="s">
        <v>11</v>
      </c>
      <c r="O496" s="14">
        <v>7</v>
      </c>
      <c r="P496" s="13" t="s">
        <v>849</v>
      </c>
      <c r="Q496" s="12" t="s">
        <v>218</v>
      </c>
      <c r="R496" s="11" t="s">
        <v>291</v>
      </c>
      <c r="S496" s="10" t="s">
        <v>292</v>
      </c>
      <c r="T496" s="8">
        <v>0.71</v>
      </c>
      <c r="U496" s="15">
        <v>0.71</v>
      </c>
      <c r="V496" s="8">
        <v>0.28999999999999998</v>
      </c>
      <c r="W496" s="17"/>
      <c r="X496" s="65">
        <v>46249</v>
      </c>
    </row>
    <row r="497" spans="1:24" ht="13.8" thickBot="1" x14ac:dyDescent="0.3">
      <c r="A497" s="4" t="s">
        <v>92</v>
      </c>
      <c r="B497" s="8">
        <v>0.4</v>
      </c>
      <c r="C497" s="9">
        <v>0.4</v>
      </c>
      <c r="D497" s="8">
        <v>0.8</v>
      </c>
      <c r="E497" s="10" t="s">
        <v>217</v>
      </c>
      <c r="F497" s="11" t="s">
        <v>277</v>
      </c>
      <c r="G497" s="12" t="s">
        <v>823</v>
      </c>
      <c r="H497" s="13" t="s">
        <v>234</v>
      </c>
      <c r="I497" s="14">
        <v>5</v>
      </c>
      <c r="J497" s="14" t="s">
        <v>10</v>
      </c>
      <c r="K497" s="5" t="s">
        <v>1392</v>
      </c>
      <c r="L497" s="6">
        <v>0.33333333333333331</v>
      </c>
      <c r="M497" s="7" t="s">
        <v>1393</v>
      </c>
      <c r="N497" s="14" t="s">
        <v>11</v>
      </c>
      <c r="O497" s="14">
        <v>5</v>
      </c>
      <c r="P497" s="13" t="s">
        <v>781</v>
      </c>
      <c r="Q497" s="12" t="s">
        <v>272</v>
      </c>
      <c r="R497" s="11" t="s">
        <v>781</v>
      </c>
      <c r="S497" s="10" t="s">
        <v>227</v>
      </c>
      <c r="T497" s="8">
        <v>1</v>
      </c>
      <c r="U497" s="15">
        <v>0.8</v>
      </c>
      <c r="V497" s="8">
        <v>0.6</v>
      </c>
      <c r="W497" s="17"/>
      <c r="X497" s="65">
        <v>46249</v>
      </c>
    </row>
    <row r="498" spans="1:24" ht="19.8" thickBot="1" x14ac:dyDescent="0.3">
      <c r="A498" s="4" t="s">
        <v>92</v>
      </c>
      <c r="B498" s="8">
        <v>0.5</v>
      </c>
      <c r="C498" s="15">
        <v>1</v>
      </c>
      <c r="D498" s="8">
        <v>1</v>
      </c>
      <c r="E498" s="10" t="s">
        <v>1260</v>
      </c>
      <c r="F498" s="11" t="s">
        <v>220</v>
      </c>
      <c r="G498" s="12" t="s">
        <v>840</v>
      </c>
      <c r="H498" s="13" t="s">
        <v>220</v>
      </c>
      <c r="I498" s="14">
        <v>6</v>
      </c>
      <c r="J498" s="14" t="s">
        <v>10</v>
      </c>
      <c r="K498" s="5" t="s">
        <v>1394</v>
      </c>
      <c r="L498" s="6">
        <v>0.41666666666666669</v>
      </c>
      <c r="M498" s="7" t="s">
        <v>1395</v>
      </c>
      <c r="N498" s="14" t="s">
        <v>11</v>
      </c>
      <c r="O498" s="14">
        <v>6</v>
      </c>
      <c r="P498" s="13" t="s">
        <v>344</v>
      </c>
      <c r="Q498" s="12" t="s">
        <v>1000</v>
      </c>
      <c r="R498" s="11" t="s">
        <v>216</v>
      </c>
      <c r="S498" s="10" t="s">
        <v>348</v>
      </c>
      <c r="T498" s="8">
        <v>0.83</v>
      </c>
      <c r="U498" s="15">
        <v>0.83</v>
      </c>
      <c r="V498" s="8">
        <v>0.5</v>
      </c>
      <c r="W498" s="17"/>
      <c r="X498" s="65">
        <v>46249</v>
      </c>
    </row>
    <row r="499" spans="1:24" ht="19.8" thickBot="1" x14ac:dyDescent="0.3">
      <c r="A499" s="4" t="s">
        <v>92</v>
      </c>
      <c r="B499" s="8">
        <v>0.5</v>
      </c>
      <c r="C499" s="15">
        <v>1</v>
      </c>
      <c r="D499" s="8">
        <v>1</v>
      </c>
      <c r="E499" s="10" t="s">
        <v>221</v>
      </c>
      <c r="F499" s="11" t="s">
        <v>348</v>
      </c>
      <c r="G499" s="12" t="s">
        <v>349</v>
      </c>
      <c r="H499" s="13" t="s">
        <v>217</v>
      </c>
      <c r="I499" s="14">
        <v>6</v>
      </c>
      <c r="J499" s="14" t="s">
        <v>10</v>
      </c>
      <c r="K499" s="5" t="s">
        <v>1396</v>
      </c>
      <c r="L499" s="6">
        <v>0.41666666666666669</v>
      </c>
      <c r="M499" s="7" t="s">
        <v>1397</v>
      </c>
      <c r="N499" s="14" t="s">
        <v>11</v>
      </c>
      <c r="O499" s="14">
        <v>6</v>
      </c>
      <c r="P499" s="13" t="s">
        <v>772</v>
      </c>
      <c r="Q499" s="12" t="s">
        <v>323</v>
      </c>
      <c r="R499" s="11" t="s">
        <v>772</v>
      </c>
      <c r="S499" s="10" t="s">
        <v>220</v>
      </c>
      <c r="T499" s="8">
        <v>0.67</v>
      </c>
      <c r="U499" s="9">
        <v>0.5</v>
      </c>
      <c r="V499" s="8">
        <v>0.33</v>
      </c>
      <c r="W499" s="17"/>
      <c r="X499" s="65">
        <v>46249</v>
      </c>
    </row>
    <row r="500" spans="1:24" ht="13.8" thickBot="1" x14ac:dyDescent="0.3">
      <c r="A500" s="4" t="s">
        <v>92</v>
      </c>
      <c r="B500" s="8">
        <v>0.2</v>
      </c>
      <c r="C500" s="9">
        <v>0.2</v>
      </c>
      <c r="D500" s="8">
        <v>0.8</v>
      </c>
      <c r="E500" s="10" t="s">
        <v>268</v>
      </c>
      <c r="F500" s="11" t="s">
        <v>824</v>
      </c>
      <c r="G500" s="12" t="s">
        <v>781</v>
      </c>
      <c r="H500" s="13" t="s">
        <v>266</v>
      </c>
      <c r="I500" s="14">
        <v>5</v>
      </c>
      <c r="J500" s="14" t="s">
        <v>10</v>
      </c>
      <c r="K500" s="5" t="s">
        <v>1398</v>
      </c>
      <c r="L500" s="6">
        <v>0.41666666666666669</v>
      </c>
      <c r="M500" s="7" t="s">
        <v>1399</v>
      </c>
      <c r="N500" s="14" t="s">
        <v>11</v>
      </c>
      <c r="O500" s="14">
        <v>6</v>
      </c>
      <c r="P500" s="13" t="s">
        <v>220</v>
      </c>
      <c r="Q500" s="12" t="s">
        <v>218</v>
      </c>
      <c r="R500" s="11" t="s">
        <v>220</v>
      </c>
      <c r="S500" s="10" t="s">
        <v>220</v>
      </c>
      <c r="T500" s="8">
        <v>0.83</v>
      </c>
      <c r="U500" s="15">
        <v>0.83</v>
      </c>
      <c r="V500" s="8">
        <v>0.33</v>
      </c>
      <c r="W500" s="17"/>
      <c r="X500" s="65">
        <v>46249</v>
      </c>
    </row>
    <row r="501" spans="1:24" ht="13.8" thickBot="1" x14ac:dyDescent="0.3">
      <c r="A501" s="4" t="s">
        <v>92</v>
      </c>
      <c r="B501" s="8">
        <v>0.4</v>
      </c>
      <c r="C501" s="15">
        <v>0.8</v>
      </c>
      <c r="D501" s="8">
        <v>0.8</v>
      </c>
      <c r="E501" s="10" t="s">
        <v>234</v>
      </c>
      <c r="F501" s="11" t="s">
        <v>227</v>
      </c>
      <c r="G501" s="12" t="s">
        <v>277</v>
      </c>
      <c r="H501" s="13" t="s">
        <v>270</v>
      </c>
      <c r="I501" s="14">
        <v>5</v>
      </c>
      <c r="J501" s="14" t="s">
        <v>10</v>
      </c>
      <c r="K501" s="5" t="s">
        <v>1400</v>
      </c>
      <c r="L501" s="6">
        <v>0.5</v>
      </c>
      <c r="M501" s="7" t="s">
        <v>1401</v>
      </c>
      <c r="N501" s="14" t="s">
        <v>11</v>
      </c>
      <c r="O501" s="14">
        <v>6</v>
      </c>
      <c r="P501" s="13" t="s">
        <v>218</v>
      </c>
      <c r="Q501" s="12" t="s">
        <v>1402</v>
      </c>
      <c r="R501" s="11" t="s">
        <v>1403</v>
      </c>
      <c r="S501" s="10" t="s">
        <v>939</v>
      </c>
      <c r="T501" s="8">
        <v>1</v>
      </c>
      <c r="U501" s="15">
        <v>0.83</v>
      </c>
      <c r="V501" s="8">
        <v>0.5</v>
      </c>
      <c r="W501" s="17"/>
      <c r="X501" s="65">
        <v>46249</v>
      </c>
    </row>
    <row r="502" spans="1:24" ht="13.8" thickBot="1" x14ac:dyDescent="0.3">
      <c r="A502" s="4" t="s">
        <v>336</v>
      </c>
      <c r="B502" s="8">
        <v>0</v>
      </c>
      <c r="C502" s="15">
        <v>1</v>
      </c>
      <c r="D502" s="8">
        <v>1</v>
      </c>
      <c r="E502" s="10" t="s">
        <v>220</v>
      </c>
      <c r="F502" s="11" t="s">
        <v>220</v>
      </c>
      <c r="G502" s="12" t="s">
        <v>218</v>
      </c>
      <c r="H502" s="13" t="s">
        <v>220</v>
      </c>
      <c r="I502" s="14">
        <v>2</v>
      </c>
      <c r="J502" s="14" t="s">
        <v>10</v>
      </c>
      <c r="K502" s="5" t="s">
        <v>1404</v>
      </c>
      <c r="L502" s="6">
        <v>0.70833333333333337</v>
      </c>
      <c r="M502" s="7" t="s">
        <v>1405</v>
      </c>
      <c r="N502" s="14" t="s">
        <v>11</v>
      </c>
      <c r="O502" s="14">
        <v>2</v>
      </c>
      <c r="P502" s="13" t="s">
        <v>219</v>
      </c>
      <c r="Q502" s="12" t="s">
        <v>218</v>
      </c>
      <c r="R502" s="11" t="s">
        <v>219</v>
      </c>
      <c r="S502" s="10" t="s">
        <v>218</v>
      </c>
      <c r="T502" s="8">
        <v>0.5</v>
      </c>
      <c r="U502" s="9">
        <v>0.5</v>
      </c>
      <c r="V502" s="8">
        <v>0.5</v>
      </c>
      <c r="W502" s="17"/>
      <c r="X502" s="65">
        <v>46249</v>
      </c>
    </row>
    <row r="503" spans="1:24" ht="13.8" thickBot="1" x14ac:dyDescent="0.3">
      <c r="A503" s="4" t="s">
        <v>336</v>
      </c>
      <c r="B503" s="8">
        <v>0</v>
      </c>
      <c r="C503" s="15">
        <v>1</v>
      </c>
      <c r="D503" s="8">
        <v>1</v>
      </c>
      <c r="E503" s="10" t="s">
        <v>219</v>
      </c>
      <c r="F503" s="11" t="s">
        <v>218</v>
      </c>
      <c r="G503" s="12" t="s">
        <v>218</v>
      </c>
      <c r="H503" s="13" t="s">
        <v>218</v>
      </c>
      <c r="I503" s="14">
        <v>1</v>
      </c>
      <c r="J503" s="14" t="s">
        <v>10</v>
      </c>
      <c r="K503" s="5" t="s">
        <v>1406</v>
      </c>
      <c r="L503" s="6">
        <v>0.8125</v>
      </c>
      <c r="M503" s="7" t="s">
        <v>207</v>
      </c>
      <c r="N503" s="14" t="s">
        <v>11</v>
      </c>
      <c r="O503" s="14">
        <v>2</v>
      </c>
      <c r="P503" s="13" t="s">
        <v>247</v>
      </c>
      <c r="Q503" s="12" t="s">
        <v>246</v>
      </c>
      <c r="R503" s="11" t="s">
        <v>220</v>
      </c>
      <c r="S503" s="10" t="s">
        <v>216</v>
      </c>
      <c r="T503" s="8">
        <v>1</v>
      </c>
      <c r="U503" s="9">
        <v>0.5</v>
      </c>
      <c r="V503" s="8">
        <v>0.5</v>
      </c>
      <c r="W503" s="17"/>
      <c r="X503" s="65">
        <v>46249</v>
      </c>
    </row>
    <row r="504" spans="1:24" ht="13.8" thickBot="1" x14ac:dyDescent="0.3">
      <c r="A504" s="4" t="s">
        <v>1407</v>
      </c>
      <c r="B504" s="8">
        <v>0</v>
      </c>
      <c r="C504" s="9">
        <v>0.5</v>
      </c>
      <c r="D504" s="8">
        <v>0.5</v>
      </c>
      <c r="E504" s="10" t="s">
        <v>220</v>
      </c>
      <c r="F504" s="11" t="s">
        <v>247</v>
      </c>
      <c r="G504" s="12" t="s">
        <v>216</v>
      </c>
      <c r="H504" s="13" t="s">
        <v>219</v>
      </c>
      <c r="I504" s="14">
        <v>2</v>
      </c>
      <c r="J504" s="14" t="s">
        <v>10</v>
      </c>
      <c r="K504" s="5" t="s">
        <v>1408</v>
      </c>
      <c r="L504" s="6">
        <v>0.91666666666666663</v>
      </c>
      <c r="M504" s="7" t="s">
        <v>1409</v>
      </c>
      <c r="N504" s="14" t="s">
        <v>11</v>
      </c>
      <c r="O504" s="14">
        <v>2</v>
      </c>
      <c r="P504" s="13" t="s">
        <v>219</v>
      </c>
      <c r="Q504" s="12" t="s">
        <v>327</v>
      </c>
      <c r="R504" s="11" t="s">
        <v>217</v>
      </c>
      <c r="S504" s="10" t="s">
        <v>246</v>
      </c>
      <c r="T504" s="8">
        <v>1</v>
      </c>
      <c r="U504" s="15">
        <v>1</v>
      </c>
      <c r="V504" s="8">
        <v>1</v>
      </c>
      <c r="W504" s="17"/>
      <c r="X504" s="65">
        <v>46249</v>
      </c>
    </row>
    <row r="505" spans="1:24" ht="13.8" thickBot="1" x14ac:dyDescent="0.3">
      <c r="A505" s="4" t="s">
        <v>1407</v>
      </c>
      <c r="B505" s="8">
        <v>0.5</v>
      </c>
      <c r="C505" s="15">
        <v>1</v>
      </c>
      <c r="D505" s="8">
        <v>1</v>
      </c>
      <c r="E505" s="10" t="s">
        <v>217</v>
      </c>
      <c r="F505" s="11" t="s">
        <v>221</v>
      </c>
      <c r="G505" s="12" t="s">
        <v>246</v>
      </c>
      <c r="H505" s="13" t="s">
        <v>218</v>
      </c>
      <c r="I505" s="14">
        <v>2</v>
      </c>
      <c r="J505" s="14" t="s">
        <v>10</v>
      </c>
      <c r="K505" s="5" t="s">
        <v>1410</v>
      </c>
      <c r="L505" s="6">
        <v>0.91666666666666663</v>
      </c>
      <c r="M505" s="7" t="s">
        <v>1411</v>
      </c>
      <c r="N505" s="14" t="s">
        <v>11</v>
      </c>
      <c r="O505" s="14">
        <v>2</v>
      </c>
      <c r="P505" s="13" t="s">
        <v>219</v>
      </c>
      <c r="Q505" s="12" t="s">
        <v>327</v>
      </c>
      <c r="R505" s="11" t="s">
        <v>217</v>
      </c>
      <c r="S505" s="10" t="s">
        <v>246</v>
      </c>
      <c r="T505" s="8">
        <v>1</v>
      </c>
      <c r="U505" s="15">
        <v>1</v>
      </c>
      <c r="V505" s="8">
        <v>1</v>
      </c>
      <c r="W505" s="17"/>
      <c r="X505" s="65">
        <v>46249</v>
      </c>
    </row>
    <row r="506" spans="1:24" ht="19.8" thickBot="1" x14ac:dyDescent="0.3">
      <c r="A506" s="4" t="s">
        <v>1407</v>
      </c>
      <c r="B506" s="8">
        <v>0.5</v>
      </c>
      <c r="C506" s="9">
        <v>0.5</v>
      </c>
      <c r="D506" s="8">
        <v>0.5</v>
      </c>
      <c r="E506" s="10" t="s">
        <v>217</v>
      </c>
      <c r="F506" s="11" t="s">
        <v>220</v>
      </c>
      <c r="G506" s="12" t="s">
        <v>221</v>
      </c>
      <c r="H506" s="13" t="s">
        <v>220</v>
      </c>
      <c r="I506" s="14">
        <v>2</v>
      </c>
      <c r="J506" s="14" t="s">
        <v>10</v>
      </c>
      <c r="K506" s="5" t="s">
        <v>1412</v>
      </c>
      <c r="L506" s="6">
        <v>0.91666666666666663</v>
      </c>
      <c r="M506" s="7" t="s">
        <v>1413</v>
      </c>
      <c r="N506" s="14" t="s">
        <v>11</v>
      </c>
      <c r="O506" s="14">
        <v>2</v>
      </c>
      <c r="P506" s="13" t="s">
        <v>247</v>
      </c>
      <c r="Q506" s="12" t="s">
        <v>327</v>
      </c>
      <c r="R506" s="11" t="s">
        <v>216</v>
      </c>
      <c r="S506" s="10" t="s">
        <v>221</v>
      </c>
      <c r="T506" s="8">
        <v>1</v>
      </c>
      <c r="U506" s="15">
        <v>1</v>
      </c>
      <c r="V506" s="8">
        <v>1</v>
      </c>
      <c r="W506" s="17"/>
      <c r="X506" s="65">
        <v>46249</v>
      </c>
    </row>
    <row r="507" spans="1:24" ht="13.8" thickBot="1" x14ac:dyDescent="0.3">
      <c r="A507" s="4" t="s">
        <v>1407</v>
      </c>
      <c r="B507" s="8">
        <v>0.5</v>
      </c>
      <c r="C507" s="9">
        <v>0.5</v>
      </c>
      <c r="D507" s="8">
        <v>1</v>
      </c>
      <c r="E507" s="10" t="s">
        <v>220</v>
      </c>
      <c r="F507" s="11" t="s">
        <v>220</v>
      </c>
      <c r="G507" s="12" t="s">
        <v>218</v>
      </c>
      <c r="H507" s="13" t="s">
        <v>220</v>
      </c>
      <c r="I507" s="14">
        <v>2</v>
      </c>
      <c r="J507" s="14" t="s">
        <v>10</v>
      </c>
      <c r="K507" s="5" t="s">
        <v>480</v>
      </c>
      <c r="L507" s="6">
        <v>0.91666666666666663</v>
      </c>
      <c r="M507" s="7" t="s">
        <v>1414</v>
      </c>
      <c r="N507" s="14" t="s">
        <v>11</v>
      </c>
      <c r="O507" s="14">
        <v>2</v>
      </c>
      <c r="P507" s="13" t="s">
        <v>220</v>
      </c>
      <c r="Q507" s="12" t="s">
        <v>217</v>
      </c>
      <c r="R507" s="11" t="s">
        <v>247</v>
      </c>
      <c r="S507" s="10" t="s">
        <v>247</v>
      </c>
      <c r="T507" s="8">
        <v>0</v>
      </c>
      <c r="U507" s="9">
        <v>0</v>
      </c>
      <c r="V507" s="8">
        <v>0</v>
      </c>
      <c r="W507" s="17"/>
      <c r="X507" s="65">
        <v>46249</v>
      </c>
    </row>
    <row r="508" spans="1:24" ht="13.8" thickBot="1" x14ac:dyDescent="0.3">
      <c r="A508" s="4" t="s">
        <v>1407</v>
      </c>
      <c r="B508" s="8">
        <v>1</v>
      </c>
      <c r="C508" s="15">
        <v>1</v>
      </c>
      <c r="D508" s="8">
        <v>1</v>
      </c>
      <c r="E508" s="10" t="s">
        <v>217</v>
      </c>
      <c r="F508" s="11" t="s">
        <v>226</v>
      </c>
      <c r="G508" s="12" t="s">
        <v>278</v>
      </c>
      <c r="H508" s="13" t="s">
        <v>218</v>
      </c>
      <c r="I508" s="14">
        <v>2</v>
      </c>
      <c r="J508" s="14" t="s">
        <v>10</v>
      </c>
      <c r="K508" s="5" t="s">
        <v>1415</v>
      </c>
      <c r="L508" s="6">
        <v>0.91666666666666663</v>
      </c>
      <c r="M508" s="7" t="s">
        <v>1416</v>
      </c>
      <c r="N508" s="14" t="s">
        <v>11</v>
      </c>
      <c r="O508" s="14">
        <v>2</v>
      </c>
      <c r="P508" s="13" t="s">
        <v>247</v>
      </c>
      <c r="Q508" s="12" t="s">
        <v>218</v>
      </c>
      <c r="R508" s="11" t="s">
        <v>217</v>
      </c>
      <c r="S508" s="10" t="s">
        <v>216</v>
      </c>
      <c r="T508" s="8">
        <v>1</v>
      </c>
      <c r="U508" s="9">
        <v>0.5</v>
      </c>
      <c r="V508" s="8">
        <v>0.5</v>
      </c>
      <c r="W508" s="17"/>
      <c r="X508" s="65">
        <v>46249</v>
      </c>
    </row>
    <row r="509" spans="1:24" ht="13.8" thickBot="1" x14ac:dyDescent="0.3">
      <c r="A509" s="4" t="s">
        <v>1407</v>
      </c>
      <c r="B509" s="8">
        <v>0.5</v>
      </c>
      <c r="C509" s="9">
        <v>0.5</v>
      </c>
      <c r="D509" s="8">
        <v>1</v>
      </c>
      <c r="E509" s="10" t="s">
        <v>216</v>
      </c>
      <c r="F509" s="11" t="s">
        <v>217</v>
      </c>
      <c r="G509" s="12" t="s">
        <v>218</v>
      </c>
      <c r="H509" s="13" t="s">
        <v>247</v>
      </c>
      <c r="I509" s="14">
        <v>2</v>
      </c>
      <c r="J509" s="14" t="s">
        <v>10</v>
      </c>
      <c r="K509" s="5" t="s">
        <v>1417</v>
      </c>
      <c r="L509" s="6">
        <v>0.91666666666666663</v>
      </c>
      <c r="M509" s="7" t="s">
        <v>1418</v>
      </c>
      <c r="N509" s="14" t="s">
        <v>11</v>
      </c>
      <c r="O509" s="14">
        <v>2</v>
      </c>
      <c r="P509" s="13" t="s">
        <v>220</v>
      </c>
      <c r="Q509" s="12" t="s">
        <v>221</v>
      </c>
      <c r="R509" s="11" t="s">
        <v>217</v>
      </c>
      <c r="S509" s="10" t="s">
        <v>220</v>
      </c>
      <c r="T509" s="8">
        <v>1</v>
      </c>
      <c r="U509" s="9">
        <v>0.5</v>
      </c>
      <c r="V509" s="8">
        <v>0</v>
      </c>
      <c r="W509" s="17"/>
      <c r="X509" s="65">
        <v>46249</v>
      </c>
    </row>
    <row r="510" spans="1:24" ht="13.8" thickBot="1" x14ac:dyDescent="0.3">
      <c r="A510" s="4" t="s">
        <v>1407</v>
      </c>
      <c r="B510" s="8">
        <v>0.5</v>
      </c>
      <c r="C510" s="9">
        <v>0.5</v>
      </c>
      <c r="D510" s="8">
        <v>0.5</v>
      </c>
      <c r="E510" s="10" t="s">
        <v>217</v>
      </c>
      <c r="F510" s="11" t="s">
        <v>216</v>
      </c>
      <c r="G510" s="12" t="s">
        <v>218</v>
      </c>
      <c r="H510" s="13" t="s">
        <v>218</v>
      </c>
      <c r="I510" s="14">
        <v>2</v>
      </c>
      <c r="J510" s="14" t="s">
        <v>10</v>
      </c>
      <c r="K510" s="5" t="s">
        <v>1419</v>
      </c>
      <c r="L510" s="6">
        <v>0.91666666666666663</v>
      </c>
      <c r="M510" s="7" t="s">
        <v>1420</v>
      </c>
      <c r="N510" s="14" t="s">
        <v>11</v>
      </c>
      <c r="O510" s="14">
        <v>2</v>
      </c>
      <c r="P510" s="13" t="s">
        <v>216</v>
      </c>
      <c r="Q510" s="12" t="s">
        <v>216</v>
      </c>
      <c r="R510" s="11" t="s">
        <v>220</v>
      </c>
      <c r="S510" s="10" t="s">
        <v>247</v>
      </c>
      <c r="T510" s="8">
        <v>0.5</v>
      </c>
      <c r="U510" s="9">
        <v>0.5</v>
      </c>
      <c r="V510" s="8">
        <v>0.5</v>
      </c>
      <c r="W510" s="17"/>
      <c r="X510" s="65">
        <v>46249</v>
      </c>
    </row>
    <row r="511" spans="1:24" ht="19.8" thickBot="1" x14ac:dyDescent="0.3">
      <c r="A511" s="4" t="s">
        <v>1407</v>
      </c>
      <c r="B511" s="8">
        <v>0</v>
      </c>
      <c r="C511" s="9">
        <v>0</v>
      </c>
      <c r="D511" s="8">
        <v>0.5</v>
      </c>
      <c r="E511" s="10" t="s">
        <v>219</v>
      </c>
      <c r="F511" s="11" t="s">
        <v>220</v>
      </c>
      <c r="G511" s="12" t="s">
        <v>220</v>
      </c>
      <c r="H511" s="13" t="s">
        <v>218</v>
      </c>
      <c r="I511" s="14">
        <v>2</v>
      </c>
      <c r="J511" s="14" t="s">
        <v>10</v>
      </c>
      <c r="K511" s="5" t="s">
        <v>1421</v>
      </c>
      <c r="L511" s="6">
        <v>0.91666666666666663</v>
      </c>
      <c r="M511" s="7" t="s">
        <v>1422</v>
      </c>
      <c r="N511" s="14" t="s">
        <v>11</v>
      </c>
      <c r="O511" s="14">
        <v>2</v>
      </c>
      <c r="P511" s="13" t="s">
        <v>220</v>
      </c>
      <c r="Q511" s="12" t="s">
        <v>221</v>
      </c>
      <c r="R511" s="11" t="s">
        <v>220</v>
      </c>
      <c r="S511" s="10" t="s">
        <v>217</v>
      </c>
      <c r="T511" s="8">
        <v>1</v>
      </c>
      <c r="U511" s="9">
        <v>0.5</v>
      </c>
      <c r="V511" s="8">
        <v>0</v>
      </c>
      <c r="W511" s="17"/>
      <c r="X511" s="65">
        <v>46249</v>
      </c>
    </row>
    <row r="512" spans="1:24" ht="19.8" thickBot="1" x14ac:dyDescent="0.3">
      <c r="A512" s="4" t="s">
        <v>1407</v>
      </c>
      <c r="B512" s="8">
        <v>0.5</v>
      </c>
      <c r="C512" s="9">
        <v>0.5</v>
      </c>
      <c r="D512" s="8">
        <v>0.5</v>
      </c>
      <c r="E512" s="10" t="s">
        <v>217</v>
      </c>
      <c r="F512" s="11" t="s">
        <v>217</v>
      </c>
      <c r="G512" s="12" t="s">
        <v>216</v>
      </c>
      <c r="H512" s="13" t="s">
        <v>217</v>
      </c>
      <c r="I512" s="14">
        <v>2</v>
      </c>
      <c r="J512" s="14" t="s">
        <v>10</v>
      </c>
      <c r="K512" s="5" t="s">
        <v>1423</v>
      </c>
      <c r="L512" s="6">
        <v>0.91666666666666663</v>
      </c>
      <c r="M512" s="7" t="s">
        <v>1424</v>
      </c>
      <c r="N512" s="14" t="s">
        <v>11</v>
      </c>
      <c r="O512" s="14">
        <v>2</v>
      </c>
      <c r="P512" s="13" t="s">
        <v>220</v>
      </c>
      <c r="Q512" s="12" t="s">
        <v>217</v>
      </c>
      <c r="R512" s="11" t="s">
        <v>247</v>
      </c>
      <c r="S512" s="10" t="s">
        <v>247</v>
      </c>
      <c r="T512" s="8">
        <v>0</v>
      </c>
      <c r="U512" s="9">
        <v>0</v>
      </c>
      <c r="V512" s="8">
        <v>0</v>
      </c>
      <c r="W512" s="17"/>
      <c r="X512" s="65">
        <v>46249</v>
      </c>
    </row>
    <row r="513" spans="1:24" ht="19.8" thickBot="1" x14ac:dyDescent="0.3">
      <c r="A513" s="4" t="s">
        <v>337</v>
      </c>
      <c r="B513" s="8">
        <v>0</v>
      </c>
      <c r="C513" s="9">
        <v>0</v>
      </c>
      <c r="D513" s="8">
        <v>1</v>
      </c>
      <c r="E513" s="10" t="s">
        <v>219</v>
      </c>
      <c r="F513" s="11" t="s">
        <v>216</v>
      </c>
      <c r="G513" s="12" t="s">
        <v>216</v>
      </c>
      <c r="H513" s="13" t="s">
        <v>218</v>
      </c>
      <c r="I513" s="14">
        <v>1</v>
      </c>
      <c r="J513" s="14" t="s">
        <v>10</v>
      </c>
      <c r="K513" s="5" t="s">
        <v>1425</v>
      </c>
      <c r="L513" s="6">
        <v>0.44791666666666669</v>
      </c>
      <c r="M513" s="7" t="s">
        <v>1426</v>
      </c>
      <c r="N513" s="14" t="s">
        <v>11</v>
      </c>
      <c r="O513" s="14">
        <v>1</v>
      </c>
      <c r="P513" s="13" t="s">
        <v>219</v>
      </c>
      <c r="Q513" s="12" t="s">
        <v>218</v>
      </c>
      <c r="R513" s="11" t="s">
        <v>217</v>
      </c>
      <c r="S513" s="10" t="s">
        <v>216</v>
      </c>
      <c r="T513" s="8">
        <v>1</v>
      </c>
      <c r="U513" s="15">
        <v>1</v>
      </c>
      <c r="V513" s="8">
        <v>0</v>
      </c>
      <c r="W513" s="17"/>
      <c r="X513" s="65">
        <v>46249</v>
      </c>
    </row>
    <row r="514" spans="1:24" ht="13.8" thickBot="1" x14ac:dyDescent="0.3">
      <c r="A514" s="4" t="s">
        <v>337</v>
      </c>
      <c r="B514" s="8">
        <v>1</v>
      </c>
      <c r="C514" s="15">
        <v>1</v>
      </c>
      <c r="D514" s="8">
        <v>1</v>
      </c>
      <c r="E514" s="10" t="s">
        <v>218</v>
      </c>
      <c r="F514" s="11" t="s">
        <v>226</v>
      </c>
      <c r="G514" s="12" t="s">
        <v>357</v>
      </c>
      <c r="H514" s="13" t="s">
        <v>218</v>
      </c>
      <c r="I514" s="14">
        <v>1</v>
      </c>
      <c r="J514" s="14" t="s">
        <v>10</v>
      </c>
      <c r="K514" s="5" t="s">
        <v>1427</v>
      </c>
      <c r="L514" s="6">
        <v>0.5625</v>
      </c>
      <c r="M514" s="7" t="s">
        <v>1428</v>
      </c>
      <c r="N514" s="14" t="s">
        <v>11</v>
      </c>
      <c r="O514" s="14">
        <v>1</v>
      </c>
      <c r="P514" s="13" t="s">
        <v>219</v>
      </c>
      <c r="Q514" s="12" t="s">
        <v>218</v>
      </c>
      <c r="R514" s="11" t="s">
        <v>217</v>
      </c>
      <c r="S514" s="10" t="s">
        <v>216</v>
      </c>
      <c r="T514" s="8">
        <v>1</v>
      </c>
      <c r="U514" s="15">
        <v>1</v>
      </c>
      <c r="V514" s="8">
        <v>0</v>
      </c>
      <c r="W514" s="17"/>
      <c r="X514" s="65">
        <v>46249</v>
      </c>
    </row>
    <row r="515" spans="1:24" ht="13.8" thickBot="1" x14ac:dyDescent="0.3">
      <c r="A515" s="4" t="s">
        <v>337</v>
      </c>
      <c r="B515" s="8">
        <v>1</v>
      </c>
      <c r="C515" s="15">
        <v>1</v>
      </c>
      <c r="D515" s="8">
        <v>1</v>
      </c>
      <c r="E515" s="10" t="s">
        <v>216</v>
      </c>
      <c r="F515" s="11" t="s">
        <v>216</v>
      </c>
      <c r="G515" s="12" t="s">
        <v>226</v>
      </c>
      <c r="H515" s="13" t="s">
        <v>217</v>
      </c>
      <c r="I515" s="14">
        <v>1</v>
      </c>
      <c r="J515" s="14" t="s">
        <v>10</v>
      </c>
      <c r="K515" s="5" t="s">
        <v>1429</v>
      </c>
      <c r="L515" s="6">
        <v>0.67708333333333337</v>
      </c>
      <c r="M515" s="7" t="s">
        <v>1430</v>
      </c>
      <c r="N515" s="14" t="s">
        <v>11</v>
      </c>
      <c r="O515" s="14">
        <v>1</v>
      </c>
      <c r="P515" s="13" t="s">
        <v>219</v>
      </c>
      <c r="Q515" s="12" t="s">
        <v>217</v>
      </c>
      <c r="R515" s="11" t="s">
        <v>219</v>
      </c>
      <c r="S515" s="10" t="s">
        <v>217</v>
      </c>
      <c r="T515" s="8">
        <v>0</v>
      </c>
      <c r="U515" s="9">
        <v>0</v>
      </c>
      <c r="V515" s="8">
        <v>0</v>
      </c>
      <c r="W515" s="17"/>
      <c r="X515" s="65">
        <v>46249</v>
      </c>
    </row>
    <row r="516" spans="1:24" ht="19.8" thickBot="1" x14ac:dyDescent="0.3">
      <c r="A516" s="4" t="s">
        <v>337</v>
      </c>
      <c r="B516" s="8">
        <v>0</v>
      </c>
      <c r="C516" s="9">
        <v>0</v>
      </c>
      <c r="D516" s="8">
        <v>0</v>
      </c>
      <c r="E516" s="10" t="s">
        <v>217</v>
      </c>
      <c r="F516" s="11" t="s">
        <v>219</v>
      </c>
      <c r="G516" s="12" t="s">
        <v>217</v>
      </c>
      <c r="H516" s="13" t="s">
        <v>219</v>
      </c>
      <c r="I516" s="14">
        <v>1</v>
      </c>
      <c r="J516" s="14" t="s">
        <v>10</v>
      </c>
      <c r="K516" s="5" t="s">
        <v>1431</v>
      </c>
      <c r="L516" s="6">
        <v>0.47916666666666669</v>
      </c>
      <c r="M516" s="7" t="s">
        <v>1432</v>
      </c>
      <c r="N516" s="14" t="s">
        <v>11</v>
      </c>
      <c r="O516" s="14">
        <v>2</v>
      </c>
      <c r="P516" s="13" t="s">
        <v>217</v>
      </c>
      <c r="Q516" s="12" t="s">
        <v>226</v>
      </c>
      <c r="R516" s="11" t="s">
        <v>216</v>
      </c>
      <c r="S516" s="10" t="s">
        <v>216</v>
      </c>
      <c r="T516" s="8">
        <v>1</v>
      </c>
      <c r="U516" s="9">
        <v>0.5</v>
      </c>
      <c r="V516" s="8">
        <v>0.5</v>
      </c>
      <c r="W516" s="17"/>
      <c r="X516" s="65">
        <v>46249</v>
      </c>
    </row>
    <row r="517" spans="1:24" ht="13.8" thickBot="1" x14ac:dyDescent="0.3">
      <c r="A517" s="4" t="s">
        <v>337</v>
      </c>
      <c r="B517" s="8">
        <v>0</v>
      </c>
      <c r="C517" s="9">
        <v>0</v>
      </c>
      <c r="D517" s="8">
        <v>0</v>
      </c>
      <c r="E517" s="10" t="s">
        <v>217</v>
      </c>
      <c r="F517" s="11" t="s">
        <v>219</v>
      </c>
      <c r="G517" s="12" t="s">
        <v>217</v>
      </c>
      <c r="H517" s="13" t="s">
        <v>219</v>
      </c>
      <c r="I517" s="14">
        <v>1</v>
      </c>
      <c r="J517" s="14" t="s">
        <v>10</v>
      </c>
      <c r="K517" s="5" t="s">
        <v>1433</v>
      </c>
      <c r="L517" s="6">
        <v>0.47916666666666669</v>
      </c>
      <c r="M517" s="7" t="s">
        <v>1434</v>
      </c>
      <c r="N517" s="14" t="s">
        <v>11</v>
      </c>
      <c r="O517" s="14">
        <v>3</v>
      </c>
      <c r="P517" s="13" t="s">
        <v>216</v>
      </c>
      <c r="Q517" s="12" t="s">
        <v>840</v>
      </c>
      <c r="R517" s="11" t="s">
        <v>325</v>
      </c>
      <c r="S517" s="10" t="s">
        <v>344</v>
      </c>
      <c r="T517" s="8">
        <v>1</v>
      </c>
      <c r="U517" s="15">
        <v>1</v>
      </c>
      <c r="V517" s="8">
        <v>0.33</v>
      </c>
      <c r="W517" s="17"/>
      <c r="X517" s="65">
        <v>46249</v>
      </c>
    </row>
    <row r="518" spans="1:24" ht="19.8" thickBot="1" x14ac:dyDescent="0.3">
      <c r="A518" s="4" t="s">
        <v>337</v>
      </c>
      <c r="B518" s="8">
        <v>0</v>
      </c>
      <c r="C518" s="9">
        <v>0.5</v>
      </c>
      <c r="D518" s="8">
        <v>1</v>
      </c>
      <c r="E518" s="10" t="s">
        <v>220</v>
      </c>
      <c r="F518" s="11" t="s">
        <v>217</v>
      </c>
      <c r="G518" s="12" t="s">
        <v>221</v>
      </c>
      <c r="H518" s="13" t="s">
        <v>247</v>
      </c>
      <c r="I518" s="14">
        <v>2</v>
      </c>
      <c r="J518" s="14" t="s">
        <v>10</v>
      </c>
      <c r="K518" s="5" t="s">
        <v>1435</v>
      </c>
      <c r="L518" s="6">
        <v>0.47916666666666669</v>
      </c>
      <c r="M518" s="7" t="s">
        <v>1436</v>
      </c>
      <c r="N518" s="14" t="s">
        <v>11</v>
      </c>
      <c r="O518" s="14">
        <v>1</v>
      </c>
      <c r="P518" s="13" t="s">
        <v>218</v>
      </c>
      <c r="Q518" s="12" t="s">
        <v>217</v>
      </c>
      <c r="R518" s="11" t="s">
        <v>217</v>
      </c>
      <c r="S518" s="10" t="s">
        <v>219</v>
      </c>
      <c r="T518" s="8">
        <v>0</v>
      </c>
      <c r="U518" s="9">
        <v>0</v>
      </c>
      <c r="V518" s="8">
        <v>0</v>
      </c>
      <c r="W518" s="17"/>
      <c r="X518" s="65">
        <v>46249</v>
      </c>
    </row>
    <row r="519" spans="1:24" ht="19.8" thickBot="1" x14ac:dyDescent="0.3">
      <c r="A519" s="4" t="s">
        <v>337</v>
      </c>
      <c r="B519" s="63"/>
      <c r="C519" s="63"/>
      <c r="D519" s="63"/>
      <c r="E519" s="63"/>
      <c r="F519" s="63"/>
      <c r="G519" s="63"/>
      <c r="H519" s="63"/>
      <c r="I519" s="64"/>
      <c r="J519" s="14" t="s">
        <v>10</v>
      </c>
      <c r="K519" s="5" t="s">
        <v>1437</v>
      </c>
      <c r="L519" s="6">
        <v>0.91666666666666663</v>
      </c>
      <c r="M519" s="7" t="s">
        <v>1438</v>
      </c>
      <c r="N519" s="14" t="s">
        <v>11</v>
      </c>
      <c r="O519" s="14">
        <v>1</v>
      </c>
      <c r="P519" s="13" t="s">
        <v>218</v>
      </c>
      <c r="Q519" s="12" t="s">
        <v>278</v>
      </c>
      <c r="R519" s="11" t="s">
        <v>226</v>
      </c>
      <c r="S519" s="10" t="s">
        <v>217</v>
      </c>
      <c r="T519" s="8">
        <v>1</v>
      </c>
      <c r="U519" s="15">
        <v>1</v>
      </c>
      <c r="V519" s="8">
        <v>1</v>
      </c>
      <c r="W519" s="17"/>
      <c r="X519" s="65">
        <v>46249</v>
      </c>
    </row>
    <row r="520" spans="1:24" ht="19.8" thickBot="1" x14ac:dyDescent="0.3">
      <c r="A520" s="4" t="s">
        <v>337</v>
      </c>
      <c r="B520" s="8">
        <v>0</v>
      </c>
      <c r="C520" s="9">
        <v>0</v>
      </c>
      <c r="D520" s="8">
        <v>1</v>
      </c>
      <c r="E520" s="10" t="s">
        <v>219</v>
      </c>
      <c r="F520" s="11" t="s">
        <v>216</v>
      </c>
      <c r="G520" s="12" t="s">
        <v>216</v>
      </c>
      <c r="H520" s="13" t="s">
        <v>218</v>
      </c>
      <c r="I520" s="14">
        <v>1</v>
      </c>
      <c r="J520" s="14" t="s">
        <v>10</v>
      </c>
      <c r="K520" s="5" t="s">
        <v>1439</v>
      </c>
      <c r="L520" s="6">
        <v>0.375</v>
      </c>
      <c r="M520" s="7" t="s">
        <v>1440</v>
      </c>
      <c r="N520" s="14" t="s">
        <v>11</v>
      </c>
      <c r="O520" s="14">
        <v>1</v>
      </c>
      <c r="P520" s="13" t="s">
        <v>219</v>
      </c>
      <c r="Q520" s="12" t="s">
        <v>218</v>
      </c>
      <c r="R520" s="11" t="s">
        <v>219</v>
      </c>
      <c r="S520" s="10" t="s">
        <v>218</v>
      </c>
      <c r="T520" s="8">
        <v>1</v>
      </c>
      <c r="U520" s="15">
        <v>1</v>
      </c>
      <c r="V520" s="8">
        <v>0</v>
      </c>
      <c r="W520" s="17"/>
      <c r="X520" s="65">
        <v>46249</v>
      </c>
    </row>
    <row r="521" spans="1:24" ht="19.8" thickBot="1" x14ac:dyDescent="0.3">
      <c r="A521" s="4" t="s">
        <v>337</v>
      </c>
      <c r="B521" s="8">
        <v>0</v>
      </c>
      <c r="C521" s="9">
        <v>0</v>
      </c>
      <c r="D521" s="8">
        <v>0</v>
      </c>
      <c r="E521" s="10" t="s">
        <v>219</v>
      </c>
      <c r="F521" s="11" t="s">
        <v>219</v>
      </c>
      <c r="G521" s="12" t="s">
        <v>219</v>
      </c>
      <c r="H521" s="13" t="s">
        <v>217</v>
      </c>
      <c r="I521" s="14">
        <v>1</v>
      </c>
      <c r="J521" s="14" t="s">
        <v>10</v>
      </c>
      <c r="K521" s="5" t="s">
        <v>1441</v>
      </c>
      <c r="L521" s="6">
        <v>0.54166666666666663</v>
      </c>
      <c r="M521" s="7" t="s">
        <v>1442</v>
      </c>
      <c r="N521" s="14" t="s">
        <v>11</v>
      </c>
      <c r="O521" s="14">
        <v>1</v>
      </c>
      <c r="P521" s="13" t="s">
        <v>217</v>
      </c>
      <c r="Q521" s="12" t="s">
        <v>216</v>
      </c>
      <c r="R521" s="11" t="s">
        <v>217</v>
      </c>
      <c r="S521" s="10" t="s">
        <v>217</v>
      </c>
      <c r="T521" s="8">
        <v>1</v>
      </c>
      <c r="U521" s="9">
        <v>0</v>
      </c>
      <c r="V521" s="8">
        <v>0</v>
      </c>
      <c r="W521" s="17"/>
      <c r="X521" s="65">
        <v>46249</v>
      </c>
    </row>
    <row r="522" spans="1:24" ht="19.8" thickBot="1" x14ac:dyDescent="0.3">
      <c r="A522" s="4" t="s">
        <v>337</v>
      </c>
      <c r="B522" s="8">
        <v>1</v>
      </c>
      <c r="C522" s="15">
        <v>1</v>
      </c>
      <c r="D522" s="8">
        <v>1</v>
      </c>
      <c r="E522" s="10" t="s">
        <v>218</v>
      </c>
      <c r="F522" s="11" t="s">
        <v>216</v>
      </c>
      <c r="G522" s="12" t="s">
        <v>278</v>
      </c>
      <c r="H522" s="13" t="s">
        <v>219</v>
      </c>
      <c r="I522" s="14">
        <v>1</v>
      </c>
      <c r="J522" s="14" t="s">
        <v>10</v>
      </c>
      <c r="K522" s="5" t="s">
        <v>1443</v>
      </c>
      <c r="L522" s="6">
        <v>0.54166666666666663</v>
      </c>
      <c r="M522" s="7" t="s">
        <v>1444</v>
      </c>
      <c r="N522" s="14" t="s">
        <v>11</v>
      </c>
      <c r="O522" s="14">
        <v>1</v>
      </c>
      <c r="P522" s="13" t="s">
        <v>219</v>
      </c>
      <c r="Q522" s="12" t="s">
        <v>218</v>
      </c>
      <c r="R522" s="11" t="s">
        <v>219</v>
      </c>
      <c r="S522" s="10" t="s">
        <v>218</v>
      </c>
      <c r="T522" s="8">
        <v>1</v>
      </c>
      <c r="U522" s="15">
        <v>1</v>
      </c>
      <c r="V522" s="8">
        <v>0</v>
      </c>
      <c r="W522" s="17"/>
      <c r="X522" s="65">
        <v>46249</v>
      </c>
    </row>
    <row r="523" spans="1:24" ht="19.8" thickBot="1" x14ac:dyDescent="0.3">
      <c r="A523" s="4" t="s">
        <v>337</v>
      </c>
      <c r="B523" s="8">
        <v>1</v>
      </c>
      <c r="C523" s="15">
        <v>1</v>
      </c>
      <c r="D523" s="8">
        <v>1</v>
      </c>
      <c r="E523" s="10" t="s">
        <v>278</v>
      </c>
      <c r="F523" s="11" t="s">
        <v>217</v>
      </c>
      <c r="G523" s="12" t="s">
        <v>238</v>
      </c>
      <c r="H523" s="13" t="s">
        <v>219</v>
      </c>
      <c r="I523" s="14">
        <v>1</v>
      </c>
      <c r="J523" s="14" t="s">
        <v>10</v>
      </c>
      <c r="K523" s="5" t="s">
        <v>1445</v>
      </c>
      <c r="L523" s="6">
        <v>0.625</v>
      </c>
      <c r="M523" s="7" t="s">
        <v>1446</v>
      </c>
      <c r="N523" s="14" t="s">
        <v>11</v>
      </c>
      <c r="O523" s="14">
        <v>2</v>
      </c>
      <c r="P523" s="13" t="s">
        <v>218</v>
      </c>
      <c r="Q523" s="12" t="s">
        <v>216</v>
      </c>
      <c r="R523" s="11" t="s">
        <v>220</v>
      </c>
      <c r="S523" s="10" t="s">
        <v>247</v>
      </c>
      <c r="T523" s="8">
        <v>0.5</v>
      </c>
      <c r="U523" s="9">
        <v>0.5</v>
      </c>
      <c r="V523" s="8">
        <v>0</v>
      </c>
      <c r="W523" s="17"/>
      <c r="X523" s="65">
        <v>46249</v>
      </c>
    </row>
    <row r="524" spans="1:24" ht="13.8" thickBot="1" x14ac:dyDescent="0.3">
      <c r="A524" s="4" t="s">
        <v>243</v>
      </c>
      <c r="B524" s="63"/>
      <c r="C524" s="63"/>
      <c r="D524" s="63"/>
      <c r="E524" s="63"/>
      <c r="F524" s="63"/>
      <c r="G524" s="63"/>
      <c r="H524" s="63"/>
      <c r="I524" s="64"/>
      <c r="J524" s="14" t="s">
        <v>10</v>
      </c>
      <c r="K524" s="5" t="s">
        <v>1447</v>
      </c>
      <c r="L524" s="6">
        <v>0.33333333333333331</v>
      </c>
      <c r="M524" s="7" t="s">
        <v>1448</v>
      </c>
      <c r="N524" s="14" t="s">
        <v>11</v>
      </c>
      <c r="O524" s="64"/>
      <c r="P524" s="63"/>
      <c r="Q524" s="63"/>
      <c r="R524" s="63"/>
      <c r="S524" s="63"/>
      <c r="T524" s="63"/>
      <c r="U524" s="63"/>
      <c r="V524" s="63"/>
      <c r="W524" s="17"/>
      <c r="X524" s="65">
        <v>46249</v>
      </c>
    </row>
    <row r="525" spans="1:24" ht="19.8" thickBot="1" x14ac:dyDescent="0.3">
      <c r="A525" s="4" t="s">
        <v>243</v>
      </c>
      <c r="B525" s="63"/>
      <c r="C525" s="63"/>
      <c r="D525" s="63"/>
      <c r="E525" s="63"/>
      <c r="F525" s="63"/>
      <c r="G525" s="63"/>
      <c r="H525" s="63"/>
      <c r="I525" s="64"/>
      <c r="J525" s="14" t="s">
        <v>10</v>
      </c>
      <c r="K525" s="5" t="s">
        <v>1449</v>
      </c>
      <c r="L525" s="6">
        <v>0.45833333333333331</v>
      </c>
      <c r="M525" s="7" t="s">
        <v>1450</v>
      </c>
      <c r="N525" s="14" t="s">
        <v>11</v>
      </c>
      <c r="O525" s="64"/>
      <c r="P525" s="63"/>
      <c r="Q525" s="63"/>
      <c r="R525" s="63"/>
      <c r="S525" s="63"/>
      <c r="T525" s="63"/>
      <c r="U525" s="63"/>
      <c r="V525" s="63"/>
      <c r="W525" s="17"/>
      <c r="X525" s="65">
        <v>46249</v>
      </c>
    </row>
    <row r="526" spans="1:24" ht="13.8" thickBot="1" x14ac:dyDescent="0.3">
      <c r="A526" s="4" t="s">
        <v>243</v>
      </c>
      <c r="B526" s="63"/>
      <c r="C526" s="63"/>
      <c r="D526" s="63"/>
      <c r="E526" s="63"/>
      <c r="F526" s="63"/>
      <c r="G526" s="63"/>
      <c r="H526" s="63"/>
      <c r="I526" s="64"/>
      <c r="J526" s="14" t="s">
        <v>10</v>
      </c>
      <c r="K526" s="5" t="s">
        <v>1451</v>
      </c>
      <c r="L526" s="6">
        <v>0.52083333333333337</v>
      </c>
      <c r="M526" s="7" t="s">
        <v>1452</v>
      </c>
      <c r="N526" s="14" t="s">
        <v>11</v>
      </c>
      <c r="O526" s="64"/>
      <c r="P526" s="63"/>
      <c r="Q526" s="63"/>
      <c r="R526" s="63"/>
      <c r="S526" s="63"/>
      <c r="T526" s="63"/>
      <c r="U526" s="63"/>
      <c r="V526" s="63"/>
      <c r="W526" s="17"/>
      <c r="X526" s="65">
        <v>46249</v>
      </c>
    </row>
    <row r="527" spans="1:24" ht="13.8" thickBot="1" x14ac:dyDescent="0.3">
      <c r="A527" s="4" t="s">
        <v>338</v>
      </c>
      <c r="B527" s="8">
        <v>0</v>
      </c>
      <c r="C527" s="9">
        <v>0</v>
      </c>
      <c r="D527" s="8">
        <v>1</v>
      </c>
      <c r="E527" s="10" t="s">
        <v>216</v>
      </c>
      <c r="F527" s="11" t="s">
        <v>219</v>
      </c>
      <c r="G527" s="12" t="s">
        <v>216</v>
      </c>
      <c r="H527" s="13" t="s">
        <v>219</v>
      </c>
      <c r="I527" s="14">
        <v>1</v>
      </c>
      <c r="J527" s="14" t="s">
        <v>10</v>
      </c>
      <c r="K527" s="5" t="s">
        <v>1453</v>
      </c>
      <c r="L527" s="6">
        <v>0.5625</v>
      </c>
      <c r="M527" s="7" t="s">
        <v>1454</v>
      </c>
      <c r="N527" s="14" t="s">
        <v>11</v>
      </c>
      <c r="O527" s="14">
        <v>2</v>
      </c>
      <c r="P527" s="13" t="s">
        <v>247</v>
      </c>
      <c r="Q527" s="12" t="s">
        <v>220</v>
      </c>
      <c r="R527" s="11" t="s">
        <v>247</v>
      </c>
      <c r="S527" s="10" t="s">
        <v>217</v>
      </c>
      <c r="T527" s="8">
        <v>0.5</v>
      </c>
      <c r="U527" s="9">
        <v>0</v>
      </c>
      <c r="V527" s="8">
        <v>0</v>
      </c>
      <c r="W527" s="17"/>
      <c r="X527" s="65">
        <v>46249</v>
      </c>
    </row>
    <row r="528" spans="1:24" ht="19.8" thickBot="1" x14ac:dyDescent="0.3">
      <c r="A528" s="4" t="s">
        <v>338</v>
      </c>
      <c r="B528" s="8">
        <v>0.5</v>
      </c>
      <c r="C528" s="9">
        <v>0.5</v>
      </c>
      <c r="D528" s="8">
        <v>0.5</v>
      </c>
      <c r="E528" s="10" t="s">
        <v>247</v>
      </c>
      <c r="F528" s="11" t="s">
        <v>216</v>
      </c>
      <c r="G528" s="12" t="s">
        <v>221</v>
      </c>
      <c r="H528" s="13" t="s">
        <v>218</v>
      </c>
      <c r="I528" s="14">
        <v>2</v>
      </c>
      <c r="J528" s="14" t="s">
        <v>10</v>
      </c>
      <c r="K528" s="5" t="s">
        <v>1455</v>
      </c>
      <c r="L528" s="6">
        <v>0.6875</v>
      </c>
      <c r="M528" s="7" t="s">
        <v>1456</v>
      </c>
      <c r="N528" s="14" t="s">
        <v>11</v>
      </c>
      <c r="O528" s="14">
        <v>2</v>
      </c>
      <c r="P528" s="13" t="s">
        <v>247</v>
      </c>
      <c r="Q528" s="12" t="s">
        <v>220</v>
      </c>
      <c r="R528" s="11" t="s">
        <v>247</v>
      </c>
      <c r="S528" s="10" t="s">
        <v>217</v>
      </c>
      <c r="T528" s="8">
        <v>0.5</v>
      </c>
      <c r="U528" s="9">
        <v>0</v>
      </c>
      <c r="V528" s="8">
        <v>0</v>
      </c>
      <c r="W528" s="17"/>
      <c r="X528" s="65">
        <v>46249</v>
      </c>
    </row>
    <row r="529" spans="1:24" ht="19.8" thickBot="1" x14ac:dyDescent="0.3">
      <c r="A529" s="4" t="s">
        <v>339</v>
      </c>
      <c r="B529" s="8">
        <v>1</v>
      </c>
      <c r="C529" s="15">
        <v>1</v>
      </c>
      <c r="D529" s="8">
        <v>1</v>
      </c>
      <c r="E529" s="10" t="s">
        <v>226</v>
      </c>
      <c r="F529" s="11" t="s">
        <v>216</v>
      </c>
      <c r="G529" s="12" t="s">
        <v>238</v>
      </c>
      <c r="H529" s="13" t="s">
        <v>219</v>
      </c>
      <c r="I529" s="14">
        <v>1</v>
      </c>
      <c r="J529" s="14" t="s">
        <v>10</v>
      </c>
      <c r="K529" s="5" t="s">
        <v>1457</v>
      </c>
      <c r="L529" s="6">
        <v>0.375</v>
      </c>
      <c r="M529" s="7" t="s">
        <v>1458</v>
      </c>
      <c r="N529" s="14" t="s">
        <v>11</v>
      </c>
      <c r="O529" s="14">
        <v>1</v>
      </c>
      <c r="P529" s="13" t="s">
        <v>217</v>
      </c>
      <c r="Q529" s="12" t="s">
        <v>219</v>
      </c>
      <c r="R529" s="11" t="s">
        <v>219</v>
      </c>
      <c r="S529" s="10" t="s">
        <v>219</v>
      </c>
      <c r="T529" s="8">
        <v>0</v>
      </c>
      <c r="U529" s="9">
        <v>0</v>
      </c>
      <c r="V529" s="8">
        <v>0</v>
      </c>
      <c r="W529" s="17"/>
      <c r="X529" s="65">
        <v>46249</v>
      </c>
    </row>
    <row r="530" spans="1:24" ht="19.8" thickBot="1" x14ac:dyDescent="0.3">
      <c r="A530" s="4" t="s">
        <v>339</v>
      </c>
      <c r="B530" s="8">
        <v>0</v>
      </c>
      <c r="C530" s="9">
        <v>0.33</v>
      </c>
      <c r="D530" s="8">
        <v>0.67</v>
      </c>
      <c r="E530" s="10" t="s">
        <v>310</v>
      </c>
      <c r="F530" s="11" t="s">
        <v>217</v>
      </c>
      <c r="G530" s="12" t="s">
        <v>344</v>
      </c>
      <c r="H530" s="13" t="s">
        <v>344</v>
      </c>
      <c r="I530" s="14">
        <v>3</v>
      </c>
      <c r="J530" s="14" t="s">
        <v>10</v>
      </c>
      <c r="K530" s="5" t="s">
        <v>1459</v>
      </c>
      <c r="L530" s="6">
        <v>0.46875</v>
      </c>
      <c r="M530" s="7" t="s">
        <v>1460</v>
      </c>
      <c r="N530" s="14" t="s">
        <v>11</v>
      </c>
      <c r="O530" s="14">
        <v>1</v>
      </c>
      <c r="P530" s="13" t="s">
        <v>219</v>
      </c>
      <c r="Q530" s="12" t="s">
        <v>278</v>
      </c>
      <c r="R530" s="11" t="s">
        <v>216</v>
      </c>
      <c r="S530" s="10" t="s">
        <v>218</v>
      </c>
      <c r="T530" s="8">
        <v>1</v>
      </c>
      <c r="U530" s="15">
        <v>1</v>
      </c>
      <c r="V530" s="8">
        <v>1</v>
      </c>
      <c r="W530" s="17"/>
      <c r="X530" s="65">
        <v>46249</v>
      </c>
    </row>
    <row r="531" spans="1:24" ht="13.8" thickBot="1" x14ac:dyDescent="0.3">
      <c r="A531" s="4" t="s">
        <v>339</v>
      </c>
      <c r="B531" s="63"/>
      <c r="C531" s="63"/>
      <c r="D531" s="63"/>
      <c r="E531" s="63"/>
      <c r="F531" s="63"/>
      <c r="G531" s="63"/>
      <c r="H531" s="63"/>
      <c r="I531" s="64"/>
      <c r="J531" s="14" t="s">
        <v>10</v>
      </c>
      <c r="K531" s="5" t="s">
        <v>1461</v>
      </c>
      <c r="L531" s="6">
        <v>0.5625</v>
      </c>
      <c r="M531" s="7" t="s">
        <v>1462</v>
      </c>
      <c r="N531" s="14" t="s">
        <v>11</v>
      </c>
      <c r="O531" s="14">
        <v>1</v>
      </c>
      <c r="P531" s="13" t="s">
        <v>218</v>
      </c>
      <c r="Q531" s="12" t="s">
        <v>218</v>
      </c>
      <c r="R531" s="11" t="s">
        <v>216</v>
      </c>
      <c r="S531" s="10" t="s">
        <v>217</v>
      </c>
      <c r="T531" s="8">
        <v>1</v>
      </c>
      <c r="U531" s="15">
        <v>1</v>
      </c>
      <c r="V531" s="8">
        <v>0</v>
      </c>
      <c r="W531" s="17"/>
      <c r="X531" s="65">
        <v>46249</v>
      </c>
    </row>
    <row r="532" spans="1:24" ht="19.8" thickBot="1" x14ac:dyDescent="0.3">
      <c r="A532" s="4" t="s">
        <v>339</v>
      </c>
      <c r="B532" s="8">
        <v>1</v>
      </c>
      <c r="C532" s="15">
        <v>1</v>
      </c>
      <c r="D532" s="8">
        <v>1</v>
      </c>
      <c r="E532" s="10" t="s">
        <v>216</v>
      </c>
      <c r="F532" s="11" t="s">
        <v>218</v>
      </c>
      <c r="G532" s="12" t="s">
        <v>278</v>
      </c>
      <c r="H532" s="13" t="s">
        <v>218</v>
      </c>
      <c r="I532" s="14">
        <v>1</v>
      </c>
      <c r="J532" s="14" t="s">
        <v>10</v>
      </c>
      <c r="K532" s="5" t="s">
        <v>1463</v>
      </c>
      <c r="L532" s="6">
        <v>0.65625</v>
      </c>
      <c r="M532" s="7" t="s">
        <v>1464</v>
      </c>
      <c r="N532" s="14" t="s">
        <v>11</v>
      </c>
      <c r="O532" s="14">
        <v>2</v>
      </c>
      <c r="P532" s="13" t="s">
        <v>217</v>
      </c>
      <c r="Q532" s="12" t="s">
        <v>217</v>
      </c>
      <c r="R532" s="11" t="s">
        <v>247</v>
      </c>
      <c r="S532" s="10" t="s">
        <v>247</v>
      </c>
      <c r="T532" s="8">
        <v>0.5</v>
      </c>
      <c r="U532" s="9">
        <v>0</v>
      </c>
      <c r="V532" s="8">
        <v>0</v>
      </c>
      <c r="W532" s="17"/>
      <c r="X532" s="65">
        <v>46249</v>
      </c>
    </row>
    <row r="533" spans="1:24" ht="13.8" thickBot="1" x14ac:dyDescent="0.3">
      <c r="A533" s="4" t="s">
        <v>593</v>
      </c>
      <c r="B533" s="63"/>
      <c r="C533" s="63"/>
      <c r="D533" s="63"/>
      <c r="E533" s="63"/>
      <c r="F533" s="63"/>
      <c r="G533" s="63"/>
      <c r="H533" s="63"/>
      <c r="I533" s="64"/>
      <c r="J533" s="14" t="s">
        <v>10</v>
      </c>
      <c r="K533" s="5" t="s">
        <v>1465</v>
      </c>
      <c r="L533" s="6">
        <v>0.59375</v>
      </c>
      <c r="M533" s="7" t="s">
        <v>1466</v>
      </c>
      <c r="N533" s="14" t="s">
        <v>11</v>
      </c>
      <c r="O533" s="64"/>
      <c r="P533" s="63"/>
      <c r="Q533" s="63"/>
      <c r="R533" s="63"/>
      <c r="S533" s="63"/>
      <c r="T533" s="63"/>
      <c r="U533" s="63"/>
      <c r="V533" s="63"/>
      <c r="W533" s="17"/>
      <c r="X533" s="65">
        <v>46249</v>
      </c>
    </row>
    <row r="534" spans="1:24" ht="13.8" thickBot="1" x14ac:dyDescent="0.3">
      <c r="A534" s="4" t="s">
        <v>593</v>
      </c>
      <c r="B534" s="63"/>
      <c r="C534" s="63"/>
      <c r="D534" s="63"/>
      <c r="E534" s="63"/>
      <c r="F534" s="63"/>
      <c r="G534" s="63"/>
      <c r="H534" s="63"/>
      <c r="I534" s="64"/>
      <c r="J534" s="14" t="s">
        <v>10</v>
      </c>
      <c r="K534" s="5" t="s">
        <v>1467</v>
      </c>
      <c r="L534" s="6">
        <v>0.66666666666666663</v>
      </c>
      <c r="M534" s="7" t="s">
        <v>1468</v>
      </c>
      <c r="N534" s="14" t="s">
        <v>11</v>
      </c>
      <c r="O534" s="64"/>
      <c r="P534" s="63"/>
      <c r="Q534" s="63"/>
      <c r="R534" s="63"/>
      <c r="S534" s="63"/>
      <c r="T534" s="63"/>
      <c r="U534" s="63"/>
      <c r="V534" s="63"/>
      <c r="W534" s="17"/>
      <c r="X534" s="65">
        <v>46249</v>
      </c>
    </row>
    <row r="535" spans="1:24" ht="13.8" thickBot="1" x14ac:dyDescent="0.3">
      <c r="A535" s="4" t="s">
        <v>593</v>
      </c>
      <c r="B535" s="63"/>
      <c r="C535" s="63"/>
      <c r="D535" s="63"/>
      <c r="E535" s="63"/>
      <c r="F535" s="63"/>
      <c r="G535" s="63"/>
      <c r="H535" s="63"/>
      <c r="I535" s="64"/>
      <c r="J535" s="14" t="s">
        <v>10</v>
      </c>
      <c r="K535" s="5" t="s">
        <v>1469</v>
      </c>
      <c r="L535" s="6">
        <v>0.66666666666666663</v>
      </c>
      <c r="M535" s="7" t="s">
        <v>1470</v>
      </c>
      <c r="N535" s="14" t="s">
        <v>11</v>
      </c>
      <c r="O535" s="64"/>
      <c r="P535" s="63"/>
      <c r="Q535" s="63"/>
      <c r="R535" s="63"/>
      <c r="S535" s="63"/>
      <c r="T535" s="63"/>
      <c r="U535" s="63"/>
      <c r="V535" s="63"/>
      <c r="W535" s="17"/>
      <c r="X535" s="65">
        <v>46249</v>
      </c>
    </row>
    <row r="536" spans="1:24" ht="13.8" thickBot="1" x14ac:dyDescent="0.3">
      <c r="A536" s="4" t="s">
        <v>1471</v>
      </c>
      <c r="B536" s="8">
        <v>0</v>
      </c>
      <c r="C536" s="9">
        <v>0</v>
      </c>
      <c r="D536" s="8">
        <v>0</v>
      </c>
      <c r="E536" s="10" t="s">
        <v>219</v>
      </c>
      <c r="F536" s="11" t="s">
        <v>219</v>
      </c>
      <c r="G536" s="12" t="s">
        <v>219</v>
      </c>
      <c r="H536" s="13" t="s">
        <v>217</v>
      </c>
      <c r="I536" s="14">
        <v>1</v>
      </c>
      <c r="J536" s="14" t="s">
        <v>10</v>
      </c>
      <c r="K536" s="5" t="s">
        <v>1472</v>
      </c>
      <c r="L536" s="6">
        <v>0.5</v>
      </c>
      <c r="M536" s="7" t="s">
        <v>1473</v>
      </c>
      <c r="N536" s="14" t="s">
        <v>11</v>
      </c>
      <c r="O536" s="14">
        <v>1</v>
      </c>
      <c r="P536" s="13" t="s">
        <v>219</v>
      </c>
      <c r="Q536" s="12" t="s">
        <v>218</v>
      </c>
      <c r="R536" s="11" t="s">
        <v>217</v>
      </c>
      <c r="S536" s="10" t="s">
        <v>216</v>
      </c>
      <c r="T536" s="8">
        <v>1</v>
      </c>
      <c r="U536" s="15">
        <v>1</v>
      </c>
      <c r="V536" s="8">
        <v>0</v>
      </c>
      <c r="W536" s="17"/>
      <c r="X536" s="65">
        <v>46249</v>
      </c>
    </row>
    <row r="537" spans="1:24" ht="13.8" thickBot="1" x14ac:dyDescent="0.3">
      <c r="A537" s="4" t="s">
        <v>1471</v>
      </c>
      <c r="B537" s="8">
        <v>1</v>
      </c>
      <c r="C537" s="15">
        <v>1</v>
      </c>
      <c r="D537" s="8">
        <v>1</v>
      </c>
      <c r="E537" s="10" t="s">
        <v>217</v>
      </c>
      <c r="F537" s="11" t="s">
        <v>278</v>
      </c>
      <c r="G537" s="12" t="s">
        <v>238</v>
      </c>
      <c r="H537" s="13" t="s">
        <v>218</v>
      </c>
      <c r="I537" s="14">
        <v>1</v>
      </c>
      <c r="J537" s="14" t="s">
        <v>10</v>
      </c>
      <c r="K537" s="5" t="s">
        <v>1474</v>
      </c>
      <c r="L537" s="6">
        <v>0.5</v>
      </c>
      <c r="M537" s="7" t="s">
        <v>1475</v>
      </c>
      <c r="N537" s="14" t="s">
        <v>11</v>
      </c>
      <c r="O537" s="14">
        <v>1</v>
      </c>
      <c r="P537" s="13" t="s">
        <v>219</v>
      </c>
      <c r="Q537" s="12" t="s">
        <v>216</v>
      </c>
      <c r="R537" s="11" t="s">
        <v>219</v>
      </c>
      <c r="S537" s="10" t="s">
        <v>216</v>
      </c>
      <c r="T537" s="8">
        <v>1</v>
      </c>
      <c r="U537" s="9">
        <v>0</v>
      </c>
      <c r="V537" s="8">
        <v>0</v>
      </c>
      <c r="W537" s="17"/>
      <c r="X537" s="65">
        <v>46249</v>
      </c>
    </row>
    <row r="538" spans="1:24" ht="13.8" thickBot="1" x14ac:dyDescent="0.3">
      <c r="A538" s="4" t="s">
        <v>1471</v>
      </c>
      <c r="B538" s="8">
        <v>0</v>
      </c>
      <c r="C538" s="9">
        <v>0</v>
      </c>
      <c r="D538" s="8">
        <v>0</v>
      </c>
      <c r="E538" s="10" t="s">
        <v>219</v>
      </c>
      <c r="F538" s="11" t="s">
        <v>217</v>
      </c>
      <c r="G538" s="12" t="s">
        <v>217</v>
      </c>
      <c r="H538" s="13" t="s">
        <v>218</v>
      </c>
      <c r="I538" s="14">
        <v>1</v>
      </c>
      <c r="J538" s="14" t="s">
        <v>10</v>
      </c>
      <c r="K538" s="5" t="s">
        <v>1476</v>
      </c>
      <c r="L538" s="6">
        <v>0.5</v>
      </c>
      <c r="M538" s="7" t="s">
        <v>1477</v>
      </c>
      <c r="N538" s="14" t="s">
        <v>11</v>
      </c>
      <c r="O538" s="14">
        <v>1</v>
      </c>
      <c r="P538" s="13" t="s">
        <v>217</v>
      </c>
      <c r="Q538" s="12" t="s">
        <v>219</v>
      </c>
      <c r="R538" s="11" t="s">
        <v>219</v>
      </c>
      <c r="S538" s="10" t="s">
        <v>219</v>
      </c>
      <c r="T538" s="8">
        <v>0</v>
      </c>
      <c r="U538" s="9">
        <v>0</v>
      </c>
      <c r="V538" s="8">
        <v>0</v>
      </c>
      <c r="W538" s="17"/>
      <c r="X538" s="65">
        <v>46249</v>
      </c>
    </row>
    <row r="539" spans="1:24" ht="13.8" thickBot="1" x14ac:dyDescent="0.3">
      <c r="A539" s="4" t="s">
        <v>1471</v>
      </c>
      <c r="B539" s="8">
        <v>0</v>
      </c>
      <c r="C539" s="9">
        <v>0</v>
      </c>
      <c r="D539" s="8">
        <v>0</v>
      </c>
      <c r="E539" s="10" t="s">
        <v>217</v>
      </c>
      <c r="F539" s="11" t="s">
        <v>219</v>
      </c>
      <c r="G539" s="12" t="s">
        <v>217</v>
      </c>
      <c r="H539" s="13" t="s">
        <v>219</v>
      </c>
      <c r="I539" s="14">
        <v>1</v>
      </c>
      <c r="J539" s="14" t="s">
        <v>10</v>
      </c>
      <c r="K539" s="5" t="s">
        <v>1478</v>
      </c>
      <c r="L539" s="6">
        <v>0.5</v>
      </c>
      <c r="M539" s="7" t="s">
        <v>1479</v>
      </c>
      <c r="N539" s="14" t="s">
        <v>11</v>
      </c>
      <c r="O539" s="14">
        <v>1</v>
      </c>
      <c r="P539" s="13" t="s">
        <v>217</v>
      </c>
      <c r="Q539" s="12" t="s">
        <v>219</v>
      </c>
      <c r="R539" s="11" t="s">
        <v>219</v>
      </c>
      <c r="S539" s="10" t="s">
        <v>219</v>
      </c>
      <c r="T539" s="8">
        <v>0</v>
      </c>
      <c r="U539" s="9">
        <v>0</v>
      </c>
      <c r="V539" s="8">
        <v>0</v>
      </c>
      <c r="W539" s="17"/>
      <c r="X539" s="65">
        <v>46249</v>
      </c>
    </row>
    <row r="540" spans="1:24" ht="19.8" thickBot="1" x14ac:dyDescent="0.3">
      <c r="A540" s="4" t="s">
        <v>1471</v>
      </c>
      <c r="B540" s="8">
        <v>1</v>
      </c>
      <c r="C540" s="15">
        <v>1</v>
      </c>
      <c r="D540" s="8">
        <v>1</v>
      </c>
      <c r="E540" s="10" t="s">
        <v>226</v>
      </c>
      <c r="F540" s="11" t="s">
        <v>216</v>
      </c>
      <c r="G540" s="12" t="s">
        <v>238</v>
      </c>
      <c r="H540" s="13" t="s">
        <v>219</v>
      </c>
      <c r="I540" s="14">
        <v>1</v>
      </c>
      <c r="J540" s="14" t="s">
        <v>10</v>
      </c>
      <c r="K540" s="5" t="s">
        <v>1480</v>
      </c>
      <c r="L540" s="6">
        <v>0.5</v>
      </c>
      <c r="M540" s="7" t="s">
        <v>1481</v>
      </c>
      <c r="N540" s="14" t="s">
        <v>11</v>
      </c>
      <c r="O540" s="14">
        <v>1</v>
      </c>
      <c r="P540" s="13" t="s">
        <v>219</v>
      </c>
      <c r="Q540" s="12" t="s">
        <v>217</v>
      </c>
      <c r="R540" s="11" t="s">
        <v>219</v>
      </c>
      <c r="S540" s="10" t="s">
        <v>217</v>
      </c>
      <c r="T540" s="8">
        <v>0</v>
      </c>
      <c r="U540" s="9">
        <v>0</v>
      </c>
      <c r="V540" s="8">
        <v>0</v>
      </c>
      <c r="W540" s="17"/>
      <c r="X540" s="65">
        <v>46249</v>
      </c>
    </row>
    <row r="541" spans="1:24" ht="19.8" thickBot="1" x14ac:dyDescent="0.3">
      <c r="A541" s="4" t="s">
        <v>1471</v>
      </c>
      <c r="B541" s="8">
        <v>0</v>
      </c>
      <c r="C541" s="9">
        <v>0</v>
      </c>
      <c r="D541" s="8">
        <v>0</v>
      </c>
      <c r="E541" s="10" t="s">
        <v>219</v>
      </c>
      <c r="F541" s="11" t="s">
        <v>217</v>
      </c>
      <c r="G541" s="12" t="s">
        <v>217</v>
      </c>
      <c r="H541" s="13" t="s">
        <v>218</v>
      </c>
      <c r="I541" s="14">
        <v>1</v>
      </c>
      <c r="J541" s="14" t="s">
        <v>10</v>
      </c>
      <c r="K541" s="5" t="s">
        <v>1482</v>
      </c>
      <c r="L541" s="6">
        <v>0.5</v>
      </c>
      <c r="M541" s="7" t="s">
        <v>1483</v>
      </c>
      <c r="N541" s="14" t="s">
        <v>11</v>
      </c>
      <c r="O541" s="14">
        <v>1</v>
      </c>
      <c r="P541" s="13" t="s">
        <v>217</v>
      </c>
      <c r="Q541" s="12" t="s">
        <v>226</v>
      </c>
      <c r="R541" s="11" t="s">
        <v>216</v>
      </c>
      <c r="S541" s="10" t="s">
        <v>216</v>
      </c>
      <c r="T541" s="8">
        <v>1</v>
      </c>
      <c r="U541" s="15">
        <v>1</v>
      </c>
      <c r="V541" s="8">
        <v>1</v>
      </c>
      <c r="W541" s="17"/>
      <c r="X541" s="65">
        <v>46249</v>
      </c>
    </row>
    <row r="542" spans="1:24" ht="13.8" thickBot="1" x14ac:dyDescent="0.3">
      <c r="A542" s="4" t="s">
        <v>1471</v>
      </c>
      <c r="B542" s="8">
        <v>0</v>
      </c>
      <c r="C542" s="9">
        <v>0</v>
      </c>
      <c r="D542" s="8">
        <v>1</v>
      </c>
      <c r="E542" s="10" t="s">
        <v>217</v>
      </c>
      <c r="F542" s="11" t="s">
        <v>217</v>
      </c>
      <c r="G542" s="12" t="s">
        <v>216</v>
      </c>
      <c r="H542" s="13" t="s">
        <v>217</v>
      </c>
      <c r="I542" s="14">
        <v>1</v>
      </c>
      <c r="J542" s="14" t="s">
        <v>10</v>
      </c>
      <c r="K542" s="5" t="s">
        <v>1484</v>
      </c>
      <c r="L542" s="6">
        <v>0.5</v>
      </c>
      <c r="M542" s="7" t="s">
        <v>1485</v>
      </c>
      <c r="N542" s="14" t="s">
        <v>11</v>
      </c>
      <c r="O542" s="14">
        <v>1</v>
      </c>
      <c r="P542" s="13" t="s">
        <v>219</v>
      </c>
      <c r="Q542" s="12" t="s">
        <v>217</v>
      </c>
      <c r="R542" s="11" t="s">
        <v>219</v>
      </c>
      <c r="S542" s="10" t="s">
        <v>217</v>
      </c>
      <c r="T542" s="8">
        <v>0</v>
      </c>
      <c r="U542" s="9">
        <v>0</v>
      </c>
      <c r="V542" s="8">
        <v>0</v>
      </c>
      <c r="W542" s="17"/>
      <c r="X542" s="65">
        <v>46249</v>
      </c>
    </row>
    <row r="543" spans="1:24" ht="19.8" thickBot="1" x14ac:dyDescent="0.3">
      <c r="A543" s="4" t="s">
        <v>1471</v>
      </c>
      <c r="B543" s="8">
        <v>0</v>
      </c>
      <c r="C543" s="9">
        <v>0</v>
      </c>
      <c r="D543" s="8">
        <v>0</v>
      </c>
      <c r="E543" s="10" t="s">
        <v>219</v>
      </c>
      <c r="F543" s="11" t="s">
        <v>217</v>
      </c>
      <c r="G543" s="12" t="s">
        <v>217</v>
      </c>
      <c r="H543" s="13" t="s">
        <v>218</v>
      </c>
      <c r="I543" s="14">
        <v>1</v>
      </c>
      <c r="J543" s="14" t="s">
        <v>10</v>
      </c>
      <c r="K543" s="5" t="s">
        <v>1486</v>
      </c>
      <c r="L543" s="6">
        <v>0.5</v>
      </c>
      <c r="M543" s="7" t="s">
        <v>1487</v>
      </c>
      <c r="N543" s="14" t="s">
        <v>11</v>
      </c>
      <c r="O543" s="14">
        <v>1</v>
      </c>
      <c r="P543" s="13" t="s">
        <v>219</v>
      </c>
      <c r="Q543" s="12" t="s">
        <v>278</v>
      </c>
      <c r="R543" s="11" t="s">
        <v>216</v>
      </c>
      <c r="S543" s="10" t="s">
        <v>218</v>
      </c>
      <c r="T543" s="8">
        <v>1</v>
      </c>
      <c r="U543" s="15">
        <v>1</v>
      </c>
      <c r="V543" s="8">
        <v>1</v>
      </c>
      <c r="W543" s="17"/>
      <c r="X543" s="65">
        <v>46249</v>
      </c>
    </row>
    <row r="544" spans="1:24" ht="13.8" thickBot="1" x14ac:dyDescent="0.3">
      <c r="A544" s="4" t="s">
        <v>1471</v>
      </c>
      <c r="B544" s="8">
        <v>0</v>
      </c>
      <c r="C544" s="9">
        <v>0</v>
      </c>
      <c r="D544" s="8">
        <v>0</v>
      </c>
      <c r="E544" s="10" t="s">
        <v>217</v>
      </c>
      <c r="F544" s="11" t="s">
        <v>219</v>
      </c>
      <c r="G544" s="12" t="s">
        <v>217</v>
      </c>
      <c r="H544" s="13" t="s">
        <v>219</v>
      </c>
      <c r="I544" s="14">
        <v>1</v>
      </c>
      <c r="J544" s="14" t="s">
        <v>10</v>
      </c>
      <c r="K544" s="5" t="s">
        <v>1488</v>
      </c>
      <c r="L544" s="6">
        <v>0.5</v>
      </c>
      <c r="M544" s="7" t="s">
        <v>1489</v>
      </c>
      <c r="N544" s="14" t="s">
        <v>11</v>
      </c>
      <c r="O544" s="14">
        <v>1</v>
      </c>
      <c r="P544" s="13" t="s">
        <v>218</v>
      </c>
      <c r="Q544" s="12" t="s">
        <v>238</v>
      </c>
      <c r="R544" s="11" t="s">
        <v>226</v>
      </c>
      <c r="S544" s="10" t="s">
        <v>216</v>
      </c>
      <c r="T544" s="8">
        <v>1</v>
      </c>
      <c r="U544" s="15">
        <v>1</v>
      </c>
      <c r="V544" s="8">
        <v>1</v>
      </c>
      <c r="W544" s="17"/>
      <c r="X544" s="65">
        <v>46249</v>
      </c>
    </row>
    <row r="545" spans="1:24" ht="13.8" thickBot="1" x14ac:dyDescent="0.3">
      <c r="A545" s="4" t="s">
        <v>1490</v>
      </c>
      <c r="B545" s="8">
        <v>0</v>
      </c>
      <c r="C545" s="9">
        <v>0</v>
      </c>
      <c r="D545" s="8">
        <v>1</v>
      </c>
      <c r="E545" s="10" t="s">
        <v>217</v>
      </c>
      <c r="F545" s="11" t="s">
        <v>217</v>
      </c>
      <c r="G545" s="12" t="s">
        <v>216</v>
      </c>
      <c r="H545" s="13" t="s">
        <v>217</v>
      </c>
      <c r="I545" s="14">
        <v>1</v>
      </c>
      <c r="J545" s="14" t="s">
        <v>10</v>
      </c>
      <c r="K545" s="5" t="s">
        <v>1491</v>
      </c>
      <c r="L545" s="6">
        <v>0.625</v>
      </c>
      <c r="M545" s="7" t="s">
        <v>1492</v>
      </c>
      <c r="N545" s="14" t="s">
        <v>11</v>
      </c>
      <c r="O545" s="14">
        <v>2</v>
      </c>
      <c r="P545" s="13" t="s">
        <v>219</v>
      </c>
      <c r="Q545" s="12" t="s">
        <v>246</v>
      </c>
      <c r="R545" s="11" t="s">
        <v>219</v>
      </c>
      <c r="S545" s="10" t="s">
        <v>246</v>
      </c>
      <c r="T545" s="8">
        <v>1</v>
      </c>
      <c r="U545" s="9">
        <v>0.5</v>
      </c>
      <c r="V545" s="8">
        <v>0.5</v>
      </c>
      <c r="W545" s="17"/>
      <c r="X545" s="65">
        <v>46249</v>
      </c>
    </row>
    <row r="546" spans="1:24" ht="13.8" thickBot="1" x14ac:dyDescent="0.3">
      <c r="A546" s="4" t="s">
        <v>1490</v>
      </c>
      <c r="B546" s="8">
        <v>0</v>
      </c>
      <c r="C546" s="9">
        <v>0.5</v>
      </c>
      <c r="D546" s="8">
        <v>0.5</v>
      </c>
      <c r="E546" s="10" t="s">
        <v>247</v>
      </c>
      <c r="F546" s="11" t="s">
        <v>217</v>
      </c>
      <c r="G546" s="12" t="s">
        <v>220</v>
      </c>
      <c r="H546" s="13" t="s">
        <v>216</v>
      </c>
      <c r="I546" s="14">
        <v>2</v>
      </c>
      <c r="J546" s="14" t="s">
        <v>10</v>
      </c>
      <c r="K546" s="5" t="s">
        <v>1493</v>
      </c>
      <c r="L546" s="6">
        <v>0.66666666666666663</v>
      </c>
      <c r="M546" s="7" t="s">
        <v>379</v>
      </c>
      <c r="N546" s="14" t="s">
        <v>11</v>
      </c>
      <c r="O546" s="64"/>
      <c r="P546" s="63"/>
      <c r="Q546" s="63"/>
      <c r="R546" s="63"/>
      <c r="S546" s="63"/>
      <c r="T546" s="63"/>
      <c r="U546" s="63"/>
      <c r="V546" s="63"/>
      <c r="W546" s="17"/>
      <c r="X546" s="65">
        <v>46249</v>
      </c>
    </row>
    <row r="547" spans="1:24" ht="13.8" thickBot="1" x14ac:dyDescent="0.3">
      <c r="A547" s="4" t="s">
        <v>1490</v>
      </c>
      <c r="B547" s="8">
        <v>0</v>
      </c>
      <c r="C547" s="9">
        <v>0.5</v>
      </c>
      <c r="D547" s="8">
        <v>0.5</v>
      </c>
      <c r="E547" s="10" t="s">
        <v>247</v>
      </c>
      <c r="F547" s="11" t="s">
        <v>220</v>
      </c>
      <c r="G547" s="12" t="s">
        <v>216</v>
      </c>
      <c r="H547" s="13" t="s">
        <v>220</v>
      </c>
      <c r="I547" s="14">
        <v>2</v>
      </c>
      <c r="J547" s="14" t="s">
        <v>10</v>
      </c>
      <c r="K547" s="5" t="s">
        <v>1494</v>
      </c>
      <c r="L547" s="6">
        <v>0.70833333333333337</v>
      </c>
      <c r="M547" s="7" t="s">
        <v>1495</v>
      </c>
      <c r="N547" s="14" t="s">
        <v>11</v>
      </c>
      <c r="O547" s="14">
        <v>2</v>
      </c>
      <c r="P547" s="13" t="s">
        <v>220</v>
      </c>
      <c r="Q547" s="12" t="s">
        <v>327</v>
      </c>
      <c r="R547" s="11" t="s">
        <v>216</v>
      </c>
      <c r="S547" s="10" t="s">
        <v>221</v>
      </c>
      <c r="T547" s="8">
        <v>1</v>
      </c>
      <c r="U547" s="15">
        <v>1</v>
      </c>
      <c r="V547" s="8">
        <v>1</v>
      </c>
      <c r="W547" s="17"/>
      <c r="X547" s="65">
        <v>46249</v>
      </c>
    </row>
    <row r="548" spans="1:24" ht="19.8" thickBot="1" x14ac:dyDescent="0.3">
      <c r="A548" s="4" t="s">
        <v>1496</v>
      </c>
      <c r="B548" s="8">
        <v>1</v>
      </c>
      <c r="C548" s="15">
        <v>1</v>
      </c>
      <c r="D548" s="8">
        <v>1</v>
      </c>
      <c r="E548" s="10" t="s">
        <v>226</v>
      </c>
      <c r="F548" s="11" t="s">
        <v>219</v>
      </c>
      <c r="G548" s="12" t="s">
        <v>226</v>
      </c>
      <c r="H548" s="13" t="s">
        <v>219</v>
      </c>
      <c r="I548" s="14">
        <v>1</v>
      </c>
      <c r="J548" s="14" t="s">
        <v>10</v>
      </c>
      <c r="K548" s="5" t="s">
        <v>1497</v>
      </c>
      <c r="L548" s="6">
        <v>0.58333333333333337</v>
      </c>
      <c r="M548" s="7" t="s">
        <v>1498</v>
      </c>
      <c r="N548" s="14" t="s">
        <v>11</v>
      </c>
      <c r="O548" s="14">
        <v>1</v>
      </c>
      <c r="P548" s="13" t="s">
        <v>218</v>
      </c>
      <c r="Q548" s="12" t="s">
        <v>217</v>
      </c>
      <c r="R548" s="11" t="s">
        <v>217</v>
      </c>
      <c r="S548" s="10" t="s">
        <v>219</v>
      </c>
      <c r="T548" s="8">
        <v>0</v>
      </c>
      <c r="U548" s="9">
        <v>0</v>
      </c>
      <c r="V548" s="8">
        <v>0</v>
      </c>
      <c r="W548" s="17"/>
      <c r="X548" s="65">
        <v>46249</v>
      </c>
    </row>
    <row r="549" spans="1:24" ht="13.8" thickBot="1" x14ac:dyDescent="0.3">
      <c r="A549" s="4" t="s">
        <v>1496</v>
      </c>
      <c r="B549" s="8">
        <v>0</v>
      </c>
      <c r="C549" s="15">
        <v>1</v>
      </c>
      <c r="D549" s="8">
        <v>1</v>
      </c>
      <c r="E549" s="10" t="s">
        <v>219</v>
      </c>
      <c r="F549" s="11" t="s">
        <v>218</v>
      </c>
      <c r="G549" s="12" t="s">
        <v>218</v>
      </c>
      <c r="H549" s="13" t="s">
        <v>218</v>
      </c>
      <c r="I549" s="14">
        <v>1</v>
      </c>
      <c r="J549" s="14" t="s">
        <v>10</v>
      </c>
      <c r="K549" s="5" t="s">
        <v>1499</v>
      </c>
      <c r="L549" s="6">
        <v>0.58333333333333337</v>
      </c>
      <c r="M549" s="7" t="s">
        <v>1500</v>
      </c>
      <c r="N549" s="14" t="s">
        <v>11</v>
      </c>
      <c r="O549" s="14">
        <v>1</v>
      </c>
      <c r="P549" s="13" t="s">
        <v>219</v>
      </c>
      <c r="Q549" s="12" t="s">
        <v>218</v>
      </c>
      <c r="R549" s="11" t="s">
        <v>217</v>
      </c>
      <c r="S549" s="10" t="s">
        <v>216</v>
      </c>
      <c r="T549" s="8">
        <v>1</v>
      </c>
      <c r="U549" s="15">
        <v>1</v>
      </c>
      <c r="V549" s="8">
        <v>0</v>
      </c>
      <c r="W549" s="17"/>
      <c r="X549" s="65">
        <v>46249</v>
      </c>
    </row>
    <row r="550" spans="1:24" ht="13.8" thickBot="1" x14ac:dyDescent="0.3">
      <c r="A550" s="4" t="s">
        <v>1496</v>
      </c>
      <c r="B550" s="8">
        <v>0</v>
      </c>
      <c r="C550" s="15">
        <v>1</v>
      </c>
      <c r="D550" s="8">
        <v>1</v>
      </c>
      <c r="E550" s="10" t="s">
        <v>217</v>
      </c>
      <c r="F550" s="11" t="s">
        <v>216</v>
      </c>
      <c r="G550" s="12" t="s">
        <v>218</v>
      </c>
      <c r="H550" s="13" t="s">
        <v>218</v>
      </c>
      <c r="I550" s="14">
        <v>1</v>
      </c>
      <c r="J550" s="14" t="s">
        <v>10</v>
      </c>
      <c r="K550" s="5" t="s">
        <v>1501</v>
      </c>
      <c r="L550" s="6">
        <v>0.58333333333333337</v>
      </c>
      <c r="M550" s="7" t="s">
        <v>1502</v>
      </c>
      <c r="N550" s="14" t="s">
        <v>11</v>
      </c>
      <c r="O550" s="14">
        <v>1</v>
      </c>
      <c r="P550" s="13" t="s">
        <v>217</v>
      </c>
      <c r="Q550" s="12" t="s">
        <v>1503</v>
      </c>
      <c r="R550" s="11" t="s">
        <v>226</v>
      </c>
      <c r="S550" s="10" t="s">
        <v>226</v>
      </c>
      <c r="T550" s="8">
        <v>1</v>
      </c>
      <c r="U550" s="15">
        <v>1</v>
      </c>
      <c r="V550" s="8">
        <v>1</v>
      </c>
      <c r="W550" s="17"/>
      <c r="X550" s="65">
        <v>46249</v>
      </c>
    </row>
    <row r="551" spans="1:24" ht="13.8" thickBot="1" x14ac:dyDescent="0.3">
      <c r="A551" s="4" t="s">
        <v>1496</v>
      </c>
      <c r="B551" s="8">
        <v>0</v>
      </c>
      <c r="C551" s="9">
        <v>0</v>
      </c>
      <c r="D551" s="8">
        <v>1</v>
      </c>
      <c r="E551" s="10" t="s">
        <v>219</v>
      </c>
      <c r="F551" s="11" t="s">
        <v>216</v>
      </c>
      <c r="G551" s="12" t="s">
        <v>216</v>
      </c>
      <c r="H551" s="13" t="s">
        <v>218</v>
      </c>
      <c r="I551" s="14">
        <v>1</v>
      </c>
      <c r="J551" s="14" t="s">
        <v>10</v>
      </c>
      <c r="K551" s="5" t="s">
        <v>1504</v>
      </c>
      <c r="L551" s="6">
        <v>0.6875</v>
      </c>
      <c r="M551" s="7" t="s">
        <v>1505</v>
      </c>
      <c r="N551" s="14" t="s">
        <v>11</v>
      </c>
      <c r="O551" s="14">
        <v>1</v>
      </c>
      <c r="P551" s="13" t="s">
        <v>217</v>
      </c>
      <c r="Q551" s="12" t="s">
        <v>238</v>
      </c>
      <c r="R551" s="11" t="s">
        <v>218</v>
      </c>
      <c r="S551" s="10" t="s">
        <v>218</v>
      </c>
      <c r="T551" s="8">
        <v>1</v>
      </c>
      <c r="U551" s="15">
        <v>1</v>
      </c>
      <c r="V551" s="8">
        <v>1</v>
      </c>
      <c r="W551" s="17"/>
      <c r="X551" s="65">
        <v>46249</v>
      </c>
    </row>
    <row r="552" spans="1:24" ht="13.8" thickBot="1" x14ac:dyDescent="0.3">
      <c r="A552" s="4" t="s">
        <v>1496</v>
      </c>
      <c r="B552" s="8">
        <v>0.5</v>
      </c>
      <c r="C552" s="9">
        <v>0.5</v>
      </c>
      <c r="D552" s="8">
        <v>1</v>
      </c>
      <c r="E552" s="10" t="s">
        <v>216</v>
      </c>
      <c r="F552" s="11" t="s">
        <v>221</v>
      </c>
      <c r="G552" s="12" t="s">
        <v>327</v>
      </c>
      <c r="H552" s="13" t="s">
        <v>220</v>
      </c>
      <c r="I552" s="14">
        <v>2</v>
      </c>
      <c r="J552" s="14" t="s">
        <v>10</v>
      </c>
      <c r="K552" s="5" t="s">
        <v>1506</v>
      </c>
      <c r="L552" s="6">
        <v>0.58333333333333337</v>
      </c>
      <c r="M552" s="7" t="s">
        <v>1507</v>
      </c>
      <c r="N552" s="14" t="s">
        <v>11</v>
      </c>
      <c r="O552" s="64"/>
      <c r="P552" s="63"/>
      <c r="Q552" s="63"/>
      <c r="R552" s="63"/>
      <c r="S552" s="63"/>
      <c r="T552" s="63"/>
      <c r="U552" s="63"/>
      <c r="V552" s="63"/>
      <c r="W552" s="17"/>
      <c r="X552" s="65">
        <v>46249</v>
      </c>
    </row>
    <row r="553" spans="1:24" ht="13.8" thickBot="1" x14ac:dyDescent="0.3">
      <c r="A553" s="4" t="s">
        <v>1496</v>
      </c>
      <c r="B553" s="8">
        <v>0</v>
      </c>
      <c r="C553" s="9">
        <v>0</v>
      </c>
      <c r="D553" s="8">
        <v>0.5</v>
      </c>
      <c r="E553" s="10" t="s">
        <v>217</v>
      </c>
      <c r="F553" s="11" t="s">
        <v>247</v>
      </c>
      <c r="G553" s="12" t="s">
        <v>220</v>
      </c>
      <c r="H553" s="13" t="s">
        <v>220</v>
      </c>
      <c r="I553" s="14">
        <v>2</v>
      </c>
      <c r="J553" s="14" t="s">
        <v>10</v>
      </c>
      <c r="K553" s="5" t="s">
        <v>1508</v>
      </c>
      <c r="L553" s="6">
        <v>0.67708333333333337</v>
      </c>
      <c r="M553" s="7" t="s">
        <v>1509</v>
      </c>
      <c r="N553" s="14" t="s">
        <v>11</v>
      </c>
      <c r="O553" s="14">
        <v>2</v>
      </c>
      <c r="P553" s="13" t="s">
        <v>217</v>
      </c>
      <c r="Q553" s="12" t="s">
        <v>217</v>
      </c>
      <c r="R553" s="11" t="s">
        <v>247</v>
      </c>
      <c r="S553" s="10" t="s">
        <v>247</v>
      </c>
      <c r="T553" s="8">
        <v>0.5</v>
      </c>
      <c r="U553" s="9">
        <v>0</v>
      </c>
      <c r="V553" s="8">
        <v>0</v>
      </c>
      <c r="W553" s="17"/>
      <c r="X553" s="65">
        <v>46249</v>
      </c>
    </row>
    <row r="554" spans="1:24" ht="13.8" thickBot="1" x14ac:dyDescent="0.3">
      <c r="A554" s="4" t="s">
        <v>196</v>
      </c>
      <c r="B554" s="8">
        <v>0</v>
      </c>
      <c r="C554" s="9">
        <v>0</v>
      </c>
      <c r="D554" s="8">
        <v>1</v>
      </c>
      <c r="E554" s="10" t="s">
        <v>217</v>
      </c>
      <c r="F554" s="11" t="s">
        <v>217</v>
      </c>
      <c r="G554" s="12" t="s">
        <v>216</v>
      </c>
      <c r="H554" s="13" t="s">
        <v>217</v>
      </c>
      <c r="I554" s="14">
        <v>1</v>
      </c>
      <c r="J554" s="14" t="s">
        <v>10</v>
      </c>
      <c r="K554" s="5" t="s">
        <v>1510</v>
      </c>
      <c r="L554" s="6">
        <v>0.45833333333333331</v>
      </c>
      <c r="M554" s="7" t="s">
        <v>1511</v>
      </c>
      <c r="N554" s="14" t="s">
        <v>11</v>
      </c>
      <c r="O554" s="14">
        <v>1</v>
      </c>
      <c r="P554" s="13" t="s">
        <v>219</v>
      </c>
      <c r="Q554" s="12" t="s">
        <v>217</v>
      </c>
      <c r="R554" s="11" t="s">
        <v>219</v>
      </c>
      <c r="S554" s="10" t="s">
        <v>217</v>
      </c>
      <c r="T554" s="8">
        <v>0</v>
      </c>
      <c r="U554" s="9">
        <v>0</v>
      </c>
      <c r="V554" s="8">
        <v>0</v>
      </c>
      <c r="W554" s="17"/>
      <c r="X554" s="65">
        <v>46249</v>
      </c>
    </row>
    <row r="555" spans="1:24" ht="13.8" thickBot="1" x14ac:dyDescent="0.3">
      <c r="A555" s="4" t="s">
        <v>196</v>
      </c>
      <c r="B555" s="8">
        <v>0</v>
      </c>
      <c r="C555" s="9">
        <v>0</v>
      </c>
      <c r="D555" s="8">
        <v>1</v>
      </c>
      <c r="E555" s="10" t="s">
        <v>219</v>
      </c>
      <c r="F555" s="11" t="s">
        <v>216</v>
      </c>
      <c r="G555" s="12" t="s">
        <v>216</v>
      </c>
      <c r="H555" s="13" t="s">
        <v>218</v>
      </c>
      <c r="I555" s="14">
        <v>1</v>
      </c>
      <c r="J555" s="14" t="s">
        <v>10</v>
      </c>
      <c r="K555" s="5" t="s">
        <v>1512</v>
      </c>
      <c r="L555" s="6">
        <v>0.45833333333333331</v>
      </c>
      <c r="M555" s="7" t="s">
        <v>1513</v>
      </c>
      <c r="N555" s="14" t="s">
        <v>11</v>
      </c>
      <c r="O555" s="14">
        <v>1</v>
      </c>
      <c r="P555" s="13" t="s">
        <v>218</v>
      </c>
      <c r="Q555" s="12" t="s">
        <v>278</v>
      </c>
      <c r="R555" s="11" t="s">
        <v>218</v>
      </c>
      <c r="S555" s="10" t="s">
        <v>216</v>
      </c>
      <c r="T555" s="8">
        <v>1</v>
      </c>
      <c r="U555" s="15">
        <v>1</v>
      </c>
      <c r="V555" s="8">
        <v>1</v>
      </c>
      <c r="W555" s="17"/>
      <c r="X555" s="65">
        <v>46249</v>
      </c>
    </row>
    <row r="556" spans="1:24" ht="13.8" thickBot="1" x14ac:dyDescent="0.3">
      <c r="A556" s="4" t="s">
        <v>196</v>
      </c>
      <c r="B556" s="8">
        <v>0</v>
      </c>
      <c r="C556" s="9">
        <v>0</v>
      </c>
      <c r="D556" s="8">
        <v>0</v>
      </c>
      <c r="E556" s="10" t="s">
        <v>219</v>
      </c>
      <c r="F556" s="11" t="s">
        <v>217</v>
      </c>
      <c r="G556" s="12" t="s">
        <v>217</v>
      </c>
      <c r="H556" s="13" t="s">
        <v>218</v>
      </c>
      <c r="I556" s="14">
        <v>1</v>
      </c>
      <c r="J556" s="14" t="s">
        <v>10</v>
      </c>
      <c r="K556" s="5" t="s">
        <v>1514</v>
      </c>
      <c r="L556" s="6">
        <v>0.5625</v>
      </c>
      <c r="M556" s="7" t="s">
        <v>1515</v>
      </c>
      <c r="N556" s="14" t="s">
        <v>11</v>
      </c>
      <c r="O556" s="14">
        <v>1</v>
      </c>
      <c r="P556" s="13" t="s">
        <v>218</v>
      </c>
      <c r="Q556" s="12" t="s">
        <v>218</v>
      </c>
      <c r="R556" s="11" t="s">
        <v>216</v>
      </c>
      <c r="S556" s="10" t="s">
        <v>217</v>
      </c>
      <c r="T556" s="8">
        <v>1</v>
      </c>
      <c r="U556" s="15">
        <v>1</v>
      </c>
      <c r="V556" s="8">
        <v>0</v>
      </c>
      <c r="W556" s="17"/>
      <c r="X556" s="65">
        <v>46249</v>
      </c>
    </row>
    <row r="557" spans="1:24" ht="13.8" thickBot="1" x14ac:dyDescent="0.3">
      <c r="A557" s="4" t="s">
        <v>196</v>
      </c>
      <c r="B557" s="8">
        <v>0</v>
      </c>
      <c r="C557" s="9">
        <v>0</v>
      </c>
      <c r="D557" s="8">
        <v>0</v>
      </c>
      <c r="E557" s="10" t="s">
        <v>219</v>
      </c>
      <c r="F557" s="11" t="s">
        <v>219</v>
      </c>
      <c r="G557" s="12" t="s">
        <v>219</v>
      </c>
      <c r="H557" s="13" t="s">
        <v>217</v>
      </c>
      <c r="I557" s="14">
        <v>1</v>
      </c>
      <c r="J557" s="14" t="s">
        <v>10</v>
      </c>
      <c r="K557" s="5" t="s">
        <v>1516</v>
      </c>
      <c r="L557" s="6">
        <v>0.66666666666666663</v>
      </c>
      <c r="M557" s="7" t="s">
        <v>1517</v>
      </c>
      <c r="N557" s="14" t="s">
        <v>11</v>
      </c>
      <c r="O557" s="14">
        <v>1</v>
      </c>
      <c r="P557" s="13" t="s">
        <v>217</v>
      </c>
      <c r="Q557" s="12" t="s">
        <v>216</v>
      </c>
      <c r="R557" s="11" t="s">
        <v>217</v>
      </c>
      <c r="S557" s="10" t="s">
        <v>217</v>
      </c>
      <c r="T557" s="8">
        <v>1</v>
      </c>
      <c r="U557" s="9">
        <v>0</v>
      </c>
      <c r="V557" s="8">
        <v>0</v>
      </c>
      <c r="W557" s="17"/>
      <c r="X557" s="65">
        <v>46249</v>
      </c>
    </row>
    <row r="558" spans="1:24" ht="13.8" thickBot="1" x14ac:dyDescent="0.3">
      <c r="A558" s="4" t="s">
        <v>196</v>
      </c>
      <c r="B558" s="8">
        <v>0</v>
      </c>
      <c r="C558" s="9">
        <v>0</v>
      </c>
      <c r="D558" s="8">
        <v>0</v>
      </c>
      <c r="E558" s="10" t="s">
        <v>219</v>
      </c>
      <c r="F558" s="11" t="s">
        <v>217</v>
      </c>
      <c r="G558" s="12" t="s">
        <v>217</v>
      </c>
      <c r="H558" s="13" t="s">
        <v>218</v>
      </c>
      <c r="I558" s="14">
        <v>1</v>
      </c>
      <c r="J558" s="14" t="s">
        <v>10</v>
      </c>
      <c r="K558" s="5" t="s">
        <v>1518</v>
      </c>
      <c r="L558" s="6">
        <v>0.66666666666666663</v>
      </c>
      <c r="M558" s="7" t="s">
        <v>1519</v>
      </c>
      <c r="N558" s="14" t="s">
        <v>11</v>
      </c>
      <c r="O558" s="14">
        <v>1</v>
      </c>
      <c r="P558" s="13" t="s">
        <v>217</v>
      </c>
      <c r="Q558" s="12" t="s">
        <v>219</v>
      </c>
      <c r="R558" s="11" t="s">
        <v>219</v>
      </c>
      <c r="S558" s="10" t="s">
        <v>219</v>
      </c>
      <c r="T558" s="8">
        <v>0</v>
      </c>
      <c r="U558" s="9">
        <v>0</v>
      </c>
      <c r="V558" s="8">
        <v>0</v>
      </c>
      <c r="W558" s="17"/>
      <c r="X558" s="65">
        <v>46249</v>
      </c>
    </row>
    <row r="559" spans="1:24" ht="19.8" thickBot="1" x14ac:dyDescent="0.3">
      <c r="A559" s="4" t="s">
        <v>196</v>
      </c>
      <c r="B559" s="8">
        <v>0.27</v>
      </c>
      <c r="C559" s="9">
        <v>0.45</v>
      </c>
      <c r="D559" s="8">
        <v>0.64</v>
      </c>
      <c r="E559" s="10" t="s">
        <v>311</v>
      </c>
      <c r="F559" s="11" t="s">
        <v>298</v>
      </c>
      <c r="G559" s="12" t="s">
        <v>796</v>
      </c>
      <c r="H559" s="13" t="s">
        <v>262</v>
      </c>
      <c r="I559" s="14">
        <v>11</v>
      </c>
      <c r="J559" s="14" t="s">
        <v>10</v>
      </c>
      <c r="K559" s="5" t="s">
        <v>1520</v>
      </c>
      <c r="L559" s="6">
        <v>0.35416666666666669</v>
      </c>
      <c r="M559" s="7" t="s">
        <v>1521</v>
      </c>
      <c r="N559" s="14" t="s">
        <v>11</v>
      </c>
      <c r="O559" s="14">
        <v>11</v>
      </c>
      <c r="P559" s="13" t="s">
        <v>303</v>
      </c>
      <c r="Q559" s="12" t="s">
        <v>304</v>
      </c>
      <c r="R559" s="11" t="s">
        <v>302</v>
      </c>
      <c r="S559" s="10" t="s">
        <v>265</v>
      </c>
      <c r="T559" s="8">
        <v>0.82</v>
      </c>
      <c r="U559" s="9">
        <v>0.45</v>
      </c>
      <c r="V559" s="8">
        <v>0.27</v>
      </c>
      <c r="W559" s="17"/>
      <c r="X559" s="65">
        <v>46249</v>
      </c>
    </row>
    <row r="560" spans="1:24" ht="13.8" thickBot="1" x14ac:dyDescent="0.3">
      <c r="A560" s="4" t="s">
        <v>196</v>
      </c>
      <c r="B560" s="8">
        <v>0.08</v>
      </c>
      <c r="C560" s="9">
        <v>0.42</v>
      </c>
      <c r="D560" s="8">
        <v>0.75</v>
      </c>
      <c r="E560" s="10" t="s">
        <v>293</v>
      </c>
      <c r="F560" s="11" t="s">
        <v>217</v>
      </c>
      <c r="G560" s="12" t="s">
        <v>225</v>
      </c>
      <c r="H560" s="13" t="s">
        <v>348</v>
      </c>
      <c r="I560" s="14">
        <v>12</v>
      </c>
      <c r="J560" s="14" t="s">
        <v>10</v>
      </c>
      <c r="K560" s="5" t="s">
        <v>1522</v>
      </c>
      <c r="L560" s="6">
        <v>0.35416666666666669</v>
      </c>
      <c r="M560" s="7" t="s">
        <v>1523</v>
      </c>
      <c r="N560" s="14" t="s">
        <v>11</v>
      </c>
      <c r="O560" s="14">
        <v>11</v>
      </c>
      <c r="P560" s="13" t="s">
        <v>259</v>
      </c>
      <c r="Q560" s="12" t="s">
        <v>304</v>
      </c>
      <c r="R560" s="11" t="s">
        <v>303</v>
      </c>
      <c r="S560" s="10" t="s">
        <v>255</v>
      </c>
      <c r="T560" s="8">
        <v>0.73</v>
      </c>
      <c r="U560" s="9">
        <v>0.45</v>
      </c>
      <c r="V560" s="8">
        <v>0.27</v>
      </c>
      <c r="W560" s="17"/>
      <c r="X560" s="65">
        <v>46249</v>
      </c>
    </row>
    <row r="561" spans="1:24" ht="19.8" thickBot="1" x14ac:dyDescent="0.3">
      <c r="A561" s="4" t="s">
        <v>196</v>
      </c>
      <c r="B561" s="8">
        <v>0.4</v>
      </c>
      <c r="C561" s="9">
        <v>0.5</v>
      </c>
      <c r="D561" s="8">
        <v>0.5</v>
      </c>
      <c r="E561" s="10" t="s">
        <v>824</v>
      </c>
      <c r="F561" s="11" t="s">
        <v>268</v>
      </c>
      <c r="G561" s="12" t="s">
        <v>781</v>
      </c>
      <c r="H561" s="13" t="s">
        <v>273</v>
      </c>
      <c r="I561" s="14">
        <v>10</v>
      </c>
      <c r="J561" s="14" t="s">
        <v>10</v>
      </c>
      <c r="K561" s="5" t="s">
        <v>1524</v>
      </c>
      <c r="L561" s="6">
        <v>0.35416666666666669</v>
      </c>
      <c r="M561" s="7" t="s">
        <v>1525</v>
      </c>
      <c r="N561" s="14" t="s">
        <v>11</v>
      </c>
      <c r="O561" s="14">
        <v>11</v>
      </c>
      <c r="P561" s="13" t="s">
        <v>256</v>
      </c>
      <c r="Q561" s="12" t="s">
        <v>1126</v>
      </c>
      <c r="R561" s="11" t="s">
        <v>256</v>
      </c>
      <c r="S561" s="10" t="s">
        <v>264</v>
      </c>
      <c r="T561" s="8">
        <v>0.64</v>
      </c>
      <c r="U561" s="9">
        <v>0.45</v>
      </c>
      <c r="V561" s="8">
        <v>0.36</v>
      </c>
      <c r="W561" s="17"/>
      <c r="X561" s="65">
        <v>46249</v>
      </c>
    </row>
    <row r="562" spans="1:24" ht="13.8" thickBot="1" x14ac:dyDescent="0.3">
      <c r="A562" s="4" t="s">
        <v>196</v>
      </c>
      <c r="B562" s="8">
        <v>0.4</v>
      </c>
      <c r="C562" s="15">
        <v>0.6</v>
      </c>
      <c r="D562" s="8">
        <v>0.9</v>
      </c>
      <c r="E562" s="10" t="s">
        <v>270</v>
      </c>
      <c r="F562" s="11" t="s">
        <v>249</v>
      </c>
      <c r="G562" s="12" t="s">
        <v>280</v>
      </c>
      <c r="H562" s="13" t="s">
        <v>216</v>
      </c>
      <c r="I562" s="14">
        <v>10</v>
      </c>
      <c r="J562" s="14" t="s">
        <v>10</v>
      </c>
      <c r="K562" s="5" t="s">
        <v>1526</v>
      </c>
      <c r="L562" s="6">
        <v>0.35416666666666669</v>
      </c>
      <c r="M562" s="7" t="s">
        <v>1527</v>
      </c>
      <c r="N562" s="14" t="s">
        <v>11</v>
      </c>
      <c r="O562" s="14">
        <v>5</v>
      </c>
      <c r="P562" s="13" t="s">
        <v>234</v>
      </c>
      <c r="Q562" s="12" t="s">
        <v>282</v>
      </c>
      <c r="R562" s="11" t="s">
        <v>268</v>
      </c>
      <c r="S562" s="10" t="s">
        <v>217</v>
      </c>
      <c r="T562" s="8">
        <v>0.6</v>
      </c>
      <c r="U562" s="15">
        <v>0.6</v>
      </c>
      <c r="V562" s="8">
        <v>0.2</v>
      </c>
      <c r="W562" s="17"/>
      <c r="X562" s="65">
        <v>46249</v>
      </c>
    </row>
    <row r="563" spans="1:24" ht="13.8" thickBot="1" x14ac:dyDescent="0.3">
      <c r="A563" s="4" t="s">
        <v>196</v>
      </c>
      <c r="B563" s="8">
        <v>0.4</v>
      </c>
      <c r="C563" s="9">
        <v>0.5</v>
      </c>
      <c r="D563" s="8">
        <v>0.8</v>
      </c>
      <c r="E563" s="10" t="s">
        <v>249</v>
      </c>
      <c r="F563" s="11" t="s">
        <v>274</v>
      </c>
      <c r="G563" s="12" t="s">
        <v>218</v>
      </c>
      <c r="H563" s="13" t="s">
        <v>824</v>
      </c>
      <c r="I563" s="14">
        <v>10</v>
      </c>
      <c r="J563" s="14" t="s">
        <v>10</v>
      </c>
      <c r="K563" s="5" t="s">
        <v>1528</v>
      </c>
      <c r="L563" s="6">
        <v>0.35416666666666669</v>
      </c>
      <c r="M563" s="7" t="s">
        <v>1529</v>
      </c>
      <c r="N563" s="14" t="s">
        <v>11</v>
      </c>
      <c r="O563" s="14">
        <v>12</v>
      </c>
      <c r="P563" s="13" t="s">
        <v>776</v>
      </c>
      <c r="Q563" s="12" t="s">
        <v>1530</v>
      </c>
      <c r="R563" s="11" t="s">
        <v>250</v>
      </c>
      <c r="S563" s="10" t="s">
        <v>216</v>
      </c>
      <c r="T563" s="8">
        <v>0.75</v>
      </c>
      <c r="U563" s="15">
        <v>0.57999999999999996</v>
      </c>
      <c r="V563" s="8">
        <v>0.5</v>
      </c>
      <c r="W563" s="17"/>
      <c r="X563" s="65">
        <v>46249</v>
      </c>
    </row>
    <row r="564" spans="1:24" ht="13.8" thickBot="1" x14ac:dyDescent="0.3">
      <c r="A564" s="4" t="s">
        <v>196</v>
      </c>
      <c r="B564" s="8">
        <v>0.38</v>
      </c>
      <c r="C564" s="15">
        <v>0.75</v>
      </c>
      <c r="D564" s="8">
        <v>0.88</v>
      </c>
      <c r="E564" s="10" t="s">
        <v>221</v>
      </c>
      <c r="F564" s="11" t="s">
        <v>222</v>
      </c>
      <c r="G564" s="12" t="s">
        <v>346</v>
      </c>
      <c r="H564" s="13" t="s">
        <v>925</v>
      </c>
      <c r="I564" s="14">
        <v>8</v>
      </c>
      <c r="J564" s="14" t="s">
        <v>10</v>
      </c>
      <c r="K564" s="5" t="s">
        <v>1531</v>
      </c>
      <c r="L564" s="6">
        <v>0.35416666666666669</v>
      </c>
      <c r="M564" s="7" t="s">
        <v>1532</v>
      </c>
      <c r="N564" s="14" t="s">
        <v>11</v>
      </c>
      <c r="O564" s="14">
        <v>9</v>
      </c>
      <c r="P564" s="13" t="s">
        <v>306</v>
      </c>
      <c r="Q564" s="12" t="s">
        <v>307</v>
      </c>
      <c r="R564" s="11" t="s">
        <v>306</v>
      </c>
      <c r="S564" s="10" t="s">
        <v>224</v>
      </c>
      <c r="T564" s="8">
        <v>0.89</v>
      </c>
      <c r="U564" s="9">
        <v>0.11</v>
      </c>
      <c r="V564" s="8">
        <v>0.11</v>
      </c>
      <c r="W564" s="17"/>
      <c r="X564" s="65">
        <v>46249</v>
      </c>
    </row>
    <row r="565" spans="1:24" ht="19.8" thickBot="1" x14ac:dyDescent="0.3">
      <c r="A565" s="4" t="s">
        <v>196</v>
      </c>
      <c r="B565" s="8">
        <v>0.2</v>
      </c>
      <c r="C565" s="9">
        <v>0.3</v>
      </c>
      <c r="D565" s="8">
        <v>0.4</v>
      </c>
      <c r="E565" s="10" t="s">
        <v>819</v>
      </c>
      <c r="F565" s="11" t="s">
        <v>270</v>
      </c>
      <c r="G565" s="12" t="s">
        <v>234</v>
      </c>
      <c r="H565" s="13" t="s">
        <v>233</v>
      </c>
      <c r="I565" s="14">
        <v>10</v>
      </c>
      <c r="J565" s="14" t="s">
        <v>10</v>
      </c>
      <c r="K565" s="5" t="s">
        <v>1533</v>
      </c>
      <c r="L565" s="6">
        <v>0.35416666666666669</v>
      </c>
      <c r="M565" s="7" t="s">
        <v>1534</v>
      </c>
      <c r="N565" s="14" t="s">
        <v>11</v>
      </c>
      <c r="O565" s="14">
        <v>11</v>
      </c>
      <c r="P565" s="13" t="s">
        <v>799</v>
      </c>
      <c r="Q565" s="12" t="s">
        <v>258</v>
      </c>
      <c r="R565" s="11" t="s">
        <v>311</v>
      </c>
      <c r="S565" s="10" t="s">
        <v>302</v>
      </c>
      <c r="T565" s="8">
        <v>0.91</v>
      </c>
      <c r="U565" s="15">
        <v>0.82</v>
      </c>
      <c r="V565" s="8">
        <v>0.45</v>
      </c>
      <c r="W565" s="17"/>
      <c r="X565" s="65">
        <v>46249</v>
      </c>
    </row>
    <row r="566" spans="1:24" ht="19.8" thickBot="1" x14ac:dyDescent="0.3">
      <c r="A566" s="4" t="s">
        <v>196</v>
      </c>
      <c r="B566" s="8">
        <v>0.43</v>
      </c>
      <c r="C566" s="15">
        <v>0.71</v>
      </c>
      <c r="D566" s="8">
        <v>0.86</v>
      </c>
      <c r="E566" s="10" t="s">
        <v>1381</v>
      </c>
      <c r="F566" s="11" t="s">
        <v>292</v>
      </c>
      <c r="G566" s="12" t="s">
        <v>297</v>
      </c>
      <c r="H566" s="13" t="s">
        <v>877</v>
      </c>
      <c r="I566" s="14">
        <v>7</v>
      </c>
      <c r="J566" s="14" t="s">
        <v>10</v>
      </c>
      <c r="K566" s="5" t="s">
        <v>1535</v>
      </c>
      <c r="L566" s="6">
        <v>0.33333333333333331</v>
      </c>
      <c r="M566" s="7" t="s">
        <v>1536</v>
      </c>
      <c r="N566" s="14" t="s">
        <v>11</v>
      </c>
      <c r="O566" s="14">
        <v>9</v>
      </c>
      <c r="P566" s="13" t="s">
        <v>217</v>
      </c>
      <c r="Q566" s="12" t="s">
        <v>230</v>
      </c>
      <c r="R566" s="11" t="s">
        <v>228</v>
      </c>
      <c r="S566" s="10" t="s">
        <v>232</v>
      </c>
      <c r="T566" s="8">
        <v>0.78</v>
      </c>
      <c r="U566" s="15">
        <v>0.56000000000000005</v>
      </c>
      <c r="V566" s="8">
        <v>0.33</v>
      </c>
      <c r="W566" s="17"/>
      <c r="X566" s="65">
        <v>46249</v>
      </c>
    </row>
    <row r="567" spans="1:24" ht="13.8" thickBot="1" x14ac:dyDescent="0.3">
      <c r="A567" s="4" t="s">
        <v>196</v>
      </c>
      <c r="B567" s="8">
        <v>0.5</v>
      </c>
      <c r="C567" s="9">
        <v>0.5</v>
      </c>
      <c r="D567" s="8">
        <v>0.5</v>
      </c>
      <c r="E567" s="10" t="s">
        <v>220</v>
      </c>
      <c r="F567" s="11" t="s">
        <v>293</v>
      </c>
      <c r="G567" s="12" t="s">
        <v>330</v>
      </c>
      <c r="H567" s="13" t="s">
        <v>296</v>
      </c>
      <c r="I567" s="14">
        <v>8</v>
      </c>
      <c r="J567" s="14" t="s">
        <v>10</v>
      </c>
      <c r="K567" s="5" t="s">
        <v>1537</v>
      </c>
      <c r="L567" s="6">
        <v>0.33333333333333331</v>
      </c>
      <c r="M567" s="7" t="s">
        <v>198</v>
      </c>
      <c r="N567" s="14" t="s">
        <v>11</v>
      </c>
      <c r="O567" s="14">
        <v>7</v>
      </c>
      <c r="P567" s="13" t="s">
        <v>849</v>
      </c>
      <c r="Q567" s="12" t="s">
        <v>916</v>
      </c>
      <c r="R567" s="11" t="s">
        <v>290</v>
      </c>
      <c r="S567" s="10" t="s">
        <v>1251</v>
      </c>
      <c r="T567" s="8">
        <v>0.43</v>
      </c>
      <c r="U567" s="9">
        <v>0.14000000000000001</v>
      </c>
      <c r="V567" s="8">
        <v>0.14000000000000001</v>
      </c>
      <c r="W567" s="17"/>
      <c r="X567" s="65">
        <v>46249</v>
      </c>
    </row>
    <row r="568" spans="1:24" ht="13.8" thickBot="1" x14ac:dyDescent="0.3">
      <c r="A568" s="4" t="s">
        <v>199</v>
      </c>
      <c r="B568" s="8">
        <v>0</v>
      </c>
      <c r="C568" s="9">
        <v>0.28999999999999998</v>
      </c>
      <c r="D568" s="8">
        <v>0.56999999999999995</v>
      </c>
      <c r="E568" s="10" t="s">
        <v>292</v>
      </c>
      <c r="F568" s="11" t="s">
        <v>292</v>
      </c>
      <c r="G568" s="12" t="s">
        <v>929</v>
      </c>
      <c r="H568" s="13" t="s">
        <v>217</v>
      </c>
      <c r="I568" s="14">
        <v>7</v>
      </c>
      <c r="J568" s="14" t="s">
        <v>10</v>
      </c>
      <c r="K568" s="5" t="s">
        <v>202</v>
      </c>
      <c r="L568" s="6">
        <v>0.45833333333333331</v>
      </c>
      <c r="M568" s="7" t="s">
        <v>1538</v>
      </c>
      <c r="N568" s="14" t="s">
        <v>11</v>
      </c>
      <c r="O568" s="14">
        <v>8</v>
      </c>
      <c r="P568" s="13" t="s">
        <v>330</v>
      </c>
      <c r="Q568" s="12" t="s">
        <v>345</v>
      </c>
      <c r="R568" s="11" t="s">
        <v>911</v>
      </c>
      <c r="S568" s="10" t="s">
        <v>217</v>
      </c>
      <c r="T568" s="8">
        <v>1</v>
      </c>
      <c r="U568" s="15">
        <v>0.88</v>
      </c>
      <c r="V568" s="8">
        <v>0.5</v>
      </c>
      <c r="W568" s="17"/>
      <c r="X568" s="65">
        <v>46249</v>
      </c>
    </row>
    <row r="569" spans="1:24" ht="13.8" thickBot="1" x14ac:dyDescent="0.3">
      <c r="A569" s="4" t="s">
        <v>199</v>
      </c>
      <c r="B569" s="8">
        <v>0.33</v>
      </c>
      <c r="C569" s="9">
        <v>0.44</v>
      </c>
      <c r="D569" s="8">
        <v>0.67</v>
      </c>
      <c r="E569" s="10" t="s">
        <v>229</v>
      </c>
      <c r="F569" s="11" t="s">
        <v>228</v>
      </c>
      <c r="G569" s="12" t="s">
        <v>325</v>
      </c>
      <c r="H569" s="13" t="s">
        <v>228</v>
      </c>
      <c r="I569" s="14">
        <v>9</v>
      </c>
      <c r="J569" s="14" t="s">
        <v>10</v>
      </c>
      <c r="K569" s="5" t="s">
        <v>1539</v>
      </c>
      <c r="L569" s="6">
        <v>0.375</v>
      </c>
      <c r="M569" s="7" t="s">
        <v>1540</v>
      </c>
      <c r="N569" s="14" t="s">
        <v>11</v>
      </c>
      <c r="O569" s="14">
        <v>8</v>
      </c>
      <c r="P569" s="13" t="s">
        <v>296</v>
      </c>
      <c r="Q569" s="12" t="s">
        <v>246</v>
      </c>
      <c r="R569" s="11" t="s">
        <v>220</v>
      </c>
      <c r="S569" s="10" t="s">
        <v>216</v>
      </c>
      <c r="T569" s="8">
        <v>0.88</v>
      </c>
      <c r="U569" s="15">
        <v>0.75</v>
      </c>
      <c r="V569" s="8">
        <v>0.5</v>
      </c>
      <c r="W569" s="17"/>
      <c r="X569" s="65">
        <v>46249</v>
      </c>
    </row>
    <row r="570" spans="1:24" ht="13.8" thickBot="1" x14ac:dyDescent="0.3">
      <c r="A570" s="4" t="s">
        <v>199</v>
      </c>
      <c r="B570" s="8">
        <v>0.44</v>
      </c>
      <c r="C570" s="15">
        <v>0.89</v>
      </c>
      <c r="D570" s="8">
        <v>1</v>
      </c>
      <c r="E570" s="10" t="s">
        <v>839</v>
      </c>
      <c r="F570" s="11" t="s">
        <v>217</v>
      </c>
      <c r="G570" s="12" t="s">
        <v>241</v>
      </c>
      <c r="H570" s="13" t="s">
        <v>310</v>
      </c>
      <c r="I570" s="14">
        <v>9</v>
      </c>
      <c r="J570" s="14" t="s">
        <v>10</v>
      </c>
      <c r="K570" s="5" t="s">
        <v>1541</v>
      </c>
      <c r="L570" s="6">
        <v>0.45833333333333331</v>
      </c>
      <c r="M570" s="7" t="s">
        <v>1542</v>
      </c>
      <c r="N570" s="14" t="s">
        <v>11</v>
      </c>
      <c r="O570" s="14">
        <v>8</v>
      </c>
      <c r="P570" s="13" t="s">
        <v>293</v>
      </c>
      <c r="Q570" s="12" t="s">
        <v>226</v>
      </c>
      <c r="R570" s="11" t="s">
        <v>239</v>
      </c>
      <c r="S570" s="10" t="s">
        <v>295</v>
      </c>
      <c r="T570" s="8">
        <v>0.88</v>
      </c>
      <c r="U570" s="15">
        <v>0.75</v>
      </c>
      <c r="V570" s="8">
        <v>0.62</v>
      </c>
      <c r="W570" s="17"/>
      <c r="X570" s="65">
        <v>46249</v>
      </c>
    </row>
    <row r="571" spans="1:24" ht="19.8" thickBot="1" x14ac:dyDescent="0.3">
      <c r="A571" s="4" t="s">
        <v>199</v>
      </c>
      <c r="B571" s="8">
        <v>0.56000000000000005</v>
      </c>
      <c r="C571" s="15">
        <v>0.67</v>
      </c>
      <c r="D571" s="8">
        <v>0.89</v>
      </c>
      <c r="E571" s="10" t="s">
        <v>229</v>
      </c>
      <c r="F571" s="11" t="s">
        <v>333</v>
      </c>
      <c r="G571" s="12" t="s">
        <v>349</v>
      </c>
      <c r="H571" s="13" t="s">
        <v>216</v>
      </c>
      <c r="I571" s="14">
        <v>9</v>
      </c>
      <c r="J571" s="14" t="s">
        <v>10</v>
      </c>
      <c r="K571" s="5" t="s">
        <v>1543</v>
      </c>
      <c r="L571" s="6">
        <v>0.45833333333333331</v>
      </c>
      <c r="M571" s="7" t="s">
        <v>1544</v>
      </c>
      <c r="N571" s="14" t="s">
        <v>11</v>
      </c>
      <c r="O571" s="14">
        <v>8</v>
      </c>
      <c r="P571" s="13" t="s">
        <v>223</v>
      </c>
      <c r="Q571" s="12" t="s">
        <v>1149</v>
      </c>
      <c r="R571" s="11" t="s">
        <v>240</v>
      </c>
      <c r="S571" s="10" t="s">
        <v>239</v>
      </c>
      <c r="T571" s="8">
        <v>1</v>
      </c>
      <c r="U571" s="15">
        <v>0.88</v>
      </c>
      <c r="V571" s="8">
        <v>0.62</v>
      </c>
      <c r="W571" s="17"/>
      <c r="X571" s="65">
        <v>46249</v>
      </c>
    </row>
    <row r="572" spans="1:24" ht="13.8" thickBot="1" x14ac:dyDescent="0.3">
      <c r="A572" s="4" t="s">
        <v>199</v>
      </c>
      <c r="B572" s="8">
        <v>0.22</v>
      </c>
      <c r="C572" s="9">
        <v>0.44</v>
      </c>
      <c r="D572" s="8">
        <v>0.78</v>
      </c>
      <c r="E572" s="10" t="s">
        <v>284</v>
      </c>
      <c r="F572" s="11" t="s">
        <v>224</v>
      </c>
      <c r="G572" s="12" t="s">
        <v>230</v>
      </c>
      <c r="H572" s="13" t="s">
        <v>344</v>
      </c>
      <c r="I572" s="14">
        <v>9</v>
      </c>
      <c r="J572" s="14" t="s">
        <v>10</v>
      </c>
      <c r="K572" s="5" t="s">
        <v>1545</v>
      </c>
      <c r="L572" s="6">
        <v>0.54166666666666663</v>
      </c>
      <c r="M572" s="7" t="s">
        <v>1546</v>
      </c>
      <c r="N572" s="14" t="s">
        <v>11</v>
      </c>
      <c r="O572" s="14">
        <v>9</v>
      </c>
      <c r="P572" s="13" t="s">
        <v>217</v>
      </c>
      <c r="Q572" s="12" t="s">
        <v>307</v>
      </c>
      <c r="R572" s="11" t="s">
        <v>217</v>
      </c>
      <c r="S572" s="10" t="s">
        <v>284</v>
      </c>
      <c r="T572" s="8">
        <v>0.78</v>
      </c>
      <c r="U572" s="9">
        <v>0.33</v>
      </c>
      <c r="V572" s="8">
        <v>0.22</v>
      </c>
      <c r="W572" s="17"/>
      <c r="X572" s="65">
        <v>46249</v>
      </c>
    </row>
    <row r="573" spans="1:24" ht="13.8" thickBot="1" x14ac:dyDescent="0.3">
      <c r="A573" s="4" t="s">
        <v>199</v>
      </c>
      <c r="B573" s="8">
        <v>0.67</v>
      </c>
      <c r="C573" s="15">
        <v>0.67</v>
      </c>
      <c r="D573" s="8">
        <v>0.67</v>
      </c>
      <c r="E573" s="10" t="s">
        <v>224</v>
      </c>
      <c r="F573" s="11" t="s">
        <v>334</v>
      </c>
      <c r="G573" s="12" t="s">
        <v>349</v>
      </c>
      <c r="H573" s="13" t="s">
        <v>231</v>
      </c>
      <c r="I573" s="14">
        <v>9</v>
      </c>
      <c r="J573" s="14" t="s">
        <v>10</v>
      </c>
      <c r="K573" s="5" t="s">
        <v>1547</v>
      </c>
      <c r="L573" s="6">
        <v>0.54166666666666663</v>
      </c>
      <c r="M573" s="7" t="s">
        <v>1548</v>
      </c>
      <c r="N573" s="14" t="s">
        <v>11</v>
      </c>
      <c r="O573" s="14">
        <v>9</v>
      </c>
      <c r="P573" s="13" t="s">
        <v>333</v>
      </c>
      <c r="Q573" s="12" t="s">
        <v>231</v>
      </c>
      <c r="R573" s="11" t="s">
        <v>224</v>
      </c>
      <c r="S573" s="10" t="s">
        <v>308</v>
      </c>
      <c r="T573" s="8">
        <v>0.56000000000000005</v>
      </c>
      <c r="U573" s="9">
        <v>0.33</v>
      </c>
      <c r="V573" s="8">
        <v>0.11</v>
      </c>
      <c r="W573" s="17"/>
      <c r="X573" s="65">
        <v>46249</v>
      </c>
    </row>
    <row r="574" spans="1:24" ht="13.8" thickBot="1" x14ac:dyDescent="0.3">
      <c r="A574" s="4" t="s">
        <v>199</v>
      </c>
      <c r="B574" s="8">
        <v>0.28999999999999998</v>
      </c>
      <c r="C574" s="15">
        <v>0.71</v>
      </c>
      <c r="D574" s="8">
        <v>0.86</v>
      </c>
      <c r="E574" s="10" t="s">
        <v>352</v>
      </c>
      <c r="F574" s="11" t="s">
        <v>290</v>
      </c>
      <c r="G574" s="12" t="s">
        <v>879</v>
      </c>
      <c r="H574" s="13" t="s">
        <v>842</v>
      </c>
      <c r="I574" s="14">
        <v>7</v>
      </c>
      <c r="J574" s="14" t="s">
        <v>10</v>
      </c>
      <c r="K574" s="5" t="s">
        <v>1549</v>
      </c>
      <c r="L574" s="6">
        <v>0.375</v>
      </c>
      <c r="M574" s="7" t="s">
        <v>1550</v>
      </c>
      <c r="N574" s="14" t="s">
        <v>11</v>
      </c>
      <c r="O574" s="14">
        <v>8</v>
      </c>
      <c r="P574" s="13" t="s">
        <v>217</v>
      </c>
      <c r="Q574" s="12" t="s">
        <v>332</v>
      </c>
      <c r="R574" s="11" t="s">
        <v>286</v>
      </c>
      <c r="S574" s="10" t="s">
        <v>223</v>
      </c>
      <c r="T574" s="8">
        <v>0.88</v>
      </c>
      <c r="U574" s="15">
        <v>0.62</v>
      </c>
      <c r="V574" s="8">
        <v>0.38</v>
      </c>
      <c r="W574" s="17"/>
      <c r="X574" s="65">
        <v>46249</v>
      </c>
    </row>
    <row r="575" spans="1:24" ht="13.8" thickBot="1" x14ac:dyDescent="0.3">
      <c r="A575" s="4" t="s">
        <v>199</v>
      </c>
      <c r="B575" s="8">
        <v>0.56999999999999995</v>
      </c>
      <c r="C575" s="15">
        <v>0.56999999999999995</v>
      </c>
      <c r="D575" s="8">
        <v>0.86</v>
      </c>
      <c r="E575" s="10" t="s">
        <v>929</v>
      </c>
      <c r="F575" s="11" t="s">
        <v>290</v>
      </c>
      <c r="G575" s="12" t="s">
        <v>218</v>
      </c>
      <c r="H575" s="13" t="s">
        <v>350</v>
      </c>
      <c r="I575" s="14">
        <v>7</v>
      </c>
      <c r="J575" s="14" t="s">
        <v>10</v>
      </c>
      <c r="K575" s="5" t="s">
        <v>1551</v>
      </c>
      <c r="L575" s="6">
        <v>0.375</v>
      </c>
      <c r="M575" s="7" t="s">
        <v>1552</v>
      </c>
      <c r="N575" s="14" t="s">
        <v>11</v>
      </c>
      <c r="O575" s="14">
        <v>7</v>
      </c>
      <c r="P575" s="13" t="s">
        <v>353</v>
      </c>
      <c r="Q575" s="12" t="s">
        <v>879</v>
      </c>
      <c r="R575" s="11" t="s">
        <v>916</v>
      </c>
      <c r="S575" s="10" t="s">
        <v>916</v>
      </c>
      <c r="T575" s="8">
        <v>0.56999999999999995</v>
      </c>
      <c r="U575" s="15">
        <v>0.56999999999999995</v>
      </c>
      <c r="V575" s="8">
        <v>0.43</v>
      </c>
      <c r="W575" s="17"/>
      <c r="X575" s="65">
        <v>46249</v>
      </c>
    </row>
    <row r="576" spans="1:24" ht="13.8" thickBot="1" x14ac:dyDescent="0.3">
      <c r="A576" s="4" t="s">
        <v>199</v>
      </c>
      <c r="B576" s="8">
        <v>0.12</v>
      </c>
      <c r="C576" s="9">
        <v>0.5</v>
      </c>
      <c r="D576" s="8">
        <v>0.75</v>
      </c>
      <c r="E576" s="10" t="s">
        <v>237</v>
      </c>
      <c r="F576" s="11" t="s">
        <v>223</v>
      </c>
      <c r="G576" s="12" t="s">
        <v>295</v>
      </c>
      <c r="H576" s="13" t="s">
        <v>295</v>
      </c>
      <c r="I576" s="14">
        <v>8</v>
      </c>
      <c r="J576" s="14" t="s">
        <v>10</v>
      </c>
      <c r="K576" s="5" t="s">
        <v>1553</v>
      </c>
      <c r="L576" s="6">
        <v>0.5</v>
      </c>
      <c r="M576" s="7" t="s">
        <v>1554</v>
      </c>
      <c r="N576" s="14" t="s">
        <v>11</v>
      </c>
      <c r="O576" s="14">
        <v>8</v>
      </c>
      <c r="P576" s="13" t="s">
        <v>294</v>
      </c>
      <c r="Q576" s="12" t="s">
        <v>240</v>
      </c>
      <c r="R576" s="11" t="s">
        <v>296</v>
      </c>
      <c r="S576" s="10" t="s">
        <v>293</v>
      </c>
      <c r="T576" s="8">
        <v>0.62</v>
      </c>
      <c r="U576" s="9">
        <v>0.25</v>
      </c>
      <c r="V576" s="8">
        <v>0.25</v>
      </c>
      <c r="W576" s="17"/>
      <c r="X576" s="65">
        <v>46249</v>
      </c>
    </row>
    <row r="577" spans="1:24" ht="13.8" thickBot="1" x14ac:dyDescent="0.3">
      <c r="A577" s="4" t="s">
        <v>199</v>
      </c>
      <c r="B577" s="8">
        <v>0.28999999999999998</v>
      </c>
      <c r="C577" s="9">
        <v>0.28999999999999998</v>
      </c>
      <c r="D577" s="8">
        <v>0.71</v>
      </c>
      <c r="E577" s="10" t="s">
        <v>929</v>
      </c>
      <c r="F577" s="11" t="s">
        <v>353</v>
      </c>
      <c r="G577" s="12" t="s">
        <v>849</v>
      </c>
      <c r="H577" s="13" t="s">
        <v>447</v>
      </c>
      <c r="I577" s="14">
        <v>7</v>
      </c>
      <c r="J577" s="14" t="s">
        <v>10</v>
      </c>
      <c r="K577" s="5" t="s">
        <v>1555</v>
      </c>
      <c r="L577" s="6">
        <v>0.5</v>
      </c>
      <c r="M577" s="7" t="s">
        <v>1556</v>
      </c>
      <c r="N577" s="14" t="s">
        <v>11</v>
      </c>
      <c r="O577" s="14">
        <v>8</v>
      </c>
      <c r="P577" s="13" t="s">
        <v>294</v>
      </c>
      <c r="Q577" s="12" t="s">
        <v>342</v>
      </c>
      <c r="R577" s="11" t="s">
        <v>239</v>
      </c>
      <c r="S577" s="10" t="s">
        <v>223</v>
      </c>
      <c r="T577" s="8">
        <v>1</v>
      </c>
      <c r="U577" s="15">
        <v>0.62</v>
      </c>
      <c r="V577" s="8">
        <v>0.5</v>
      </c>
      <c r="W577" s="17"/>
      <c r="X577" s="65">
        <v>46249</v>
      </c>
    </row>
    <row r="578" spans="1:24" ht="13.8" thickBot="1" x14ac:dyDescent="0.3">
      <c r="A578" s="4" t="s">
        <v>199</v>
      </c>
      <c r="B578" s="8">
        <v>0.5</v>
      </c>
      <c r="C578" s="9">
        <v>0.5</v>
      </c>
      <c r="D578" s="8">
        <v>0.75</v>
      </c>
      <c r="E578" s="10" t="s">
        <v>223</v>
      </c>
      <c r="F578" s="11" t="s">
        <v>286</v>
      </c>
      <c r="G578" s="12" t="s">
        <v>332</v>
      </c>
      <c r="H578" s="13" t="s">
        <v>217</v>
      </c>
      <c r="I578" s="14">
        <v>8</v>
      </c>
      <c r="J578" s="14" t="s">
        <v>10</v>
      </c>
      <c r="K578" s="5" t="s">
        <v>1557</v>
      </c>
      <c r="L578" s="6">
        <v>0.375</v>
      </c>
      <c r="M578" s="7" t="s">
        <v>1558</v>
      </c>
      <c r="N578" s="14" t="s">
        <v>11</v>
      </c>
      <c r="O578" s="14">
        <v>7</v>
      </c>
      <c r="P578" s="13" t="s">
        <v>916</v>
      </c>
      <c r="Q578" s="12" t="s">
        <v>922</v>
      </c>
      <c r="R578" s="11" t="s">
        <v>290</v>
      </c>
      <c r="S578" s="10" t="s">
        <v>916</v>
      </c>
      <c r="T578" s="8">
        <v>0.86</v>
      </c>
      <c r="U578" s="15">
        <v>0.56999999999999995</v>
      </c>
      <c r="V578" s="8">
        <v>0.28999999999999998</v>
      </c>
      <c r="W578" s="17"/>
      <c r="X578" s="65">
        <v>46249</v>
      </c>
    </row>
    <row r="579" spans="1:24" ht="13.8" thickBot="1" x14ac:dyDescent="0.3">
      <c r="A579" s="4" t="s">
        <v>199</v>
      </c>
      <c r="B579" s="8">
        <v>0.62</v>
      </c>
      <c r="C579" s="15">
        <v>0.88</v>
      </c>
      <c r="D579" s="8">
        <v>1</v>
      </c>
      <c r="E579" s="10" t="s">
        <v>239</v>
      </c>
      <c r="F579" s="11" t="s">
        <v>240</v>
      </c>
      <c r="G579" s="12" t="s">
        <v>1149</v>
      </c>
      <c r="H579" s="13" t="s">
        <v>236</v>
      </c>
      <c r="I579" s="14">
        <v>8</v>
      </c>
      <c r="J579" s="14" t="s">
        <v>10</v>
      </c>
      <c r="K579" s="5" t="s">
        <v>1559</v>
      </c>
      <c r="L579" s="6">
        <v>0.375</v>
      </c>
      <c r="M579" s="7" t="s">
        <v>1560</v>
      </c>
      <c r="N579" s="14" t="s">
        <v>11</v>
      </c>
      <c r="O579" s="14">
        <v>7</v>
      </c>
      <c r="P579" s="13" t="s">
        <v>216</v>
      </c>
      <c r="Q579" s="12" t="s">
        <v>351</v>
      </c>
      <c r="R579" s="11" t="s">
        <v>849</v>
      </c>
      <c r="S579" s="10" t="s">
        <v>217</v>
      </c>
      <c r="T579" s="8">
        <v>1</v>
      </c>
      <c r="U579" s="15">
        <v>0.71</v>
      </c>
      <c r="V579" s="8">
        <v>0.43</v>
      </c>
      <c r="W579" s="17"/>
      <c r="X579" s="65">
        <v>46249</v>
      </c>
    </row>
    <row r="580" spans="1:24" ht="13.8" thickBot="1" x14ac:dyDescent="0.3">
      <c r="A580" s="4" t="s">
        <v>199</v>
      </c>
      <c r="B580" s="8">
        <v>0.25</v>
      </c>
      <c r="C580" s="9">
        <v>0.5</v>
      </c>
      <c r="D580" s="8">
        <v>0.62</v>
      </c>
      <c r="E580" s="10" t="s">
        <v>293</v>
      </c>
      <c r="F580" s="11" t="s">
        <v>217</v>
      </c>
      <c r="G580" s="12" t="s">
        <v>225</v>
      </c>
      <c r="H580" s="13" t="s">
        <v>294</v>
      </c>
      <c r="I580" s="14">
        <v>8</v>
      </c>
      <c r="J580" s="14" t="s">
        <v>10</v>
      </c>
      <c r="K580" s="5" t="s">
        <v>1561</v>
      </c>
      <c r="L580" s="6">
        <v>0.5</v>
      </c>
      <c r="M580" s="7" t="s">
        <v>1562</v>
      </c>
      <c r="N580" s="14" t="s">
        <v>11</v>
      </c>
      <c r="O580" s="14">
        <v>7</v>
      </c>
      <c r="P580" s="13" t="s">
        <v>350</v>
      </c>
      <c r="Q580" s="12" t="s">
        <v>1381</v>
      </c>
      <c r="R580" s="11" t="s">
        <v>217</v>
      </c>
      <c r="S580" s="10" t="s">
        <v>916</v>
      </c>
      <c r="T580" s="8">
        <v>0.43</v>
      </c>
      <c r="U580" s="9">
        <v>0.43</v>
      </c>
      <c r="V580" s="8">
        <v>0.43</v>
      </c>
      <c r="W580" s="17"/>
      <c r="X580" s="65">
        <v>46249</v>
      </c>
    </row>
    <row r="581" spans="1:24" ht="13.8" thickBot="1" x14ac:dyDescent="0.3">
      <c r="A581" s="4" t="s">
        <v>199</v>
      </c>
      <c r="B581" s="8">
        <v>0.56999999999999995</v>
      </c>
      <c r="C581" s="15">
        <v>0.71</v>
      </c>
      <c r="D581" s="8">
        <v>0.86</v>
      </c>
      <c r="E581" s="10" t="s">
        <v>291</v>
      </c>
      <c r="F581" s="11" t="s">
        <v>842</v>
      </c>
      <c r="G581" s="12" t="s">
        <v>921</v>
      </c>
      <c r="H581" s="13" t="s">
        <v>217</v>
      </c>
      <c r="I581" s="14">
        <v>7</v>
      </c>
      <c r="J581" s="14" t="s">
        <v>10</v>
      </c>
      <c r="K581" s="5" t="s">
        <v>1563</v>
      </c>
      <c r="L581" s="6">
        <v>0.5</v>
      </c>
      <c r="M581" s="7" t="s">
        <v>1564</v>
      </c>
      <c r="N581" s="14" t="s">
        <v>11</v>
      </c>
      <c r="O581" s="14">
        <v>8</v>
      </c>
      <c r="P581" s="13" t="s">
        <v>1565</v>
      </c>
      <c r="Q581" s="12" t="s">
        <v>330</v>
      </c>
      <c r="R581" s="11" t="s">
        <v>296</v>
      </c>
      <c r="S581" s="10" t="s">
        <v>236</v>
      </c>
      <c r="T581" s="8">
        <v>0.62</v>
      </c>
      <c r="U581" s="9">
        <v>0.5</v>
      </c>
      <c r="V581" s="8">
        <v>0.38</v>
      </c>
      <c r="W581" s="17"/>
      <c r="X581" s="65">
        <v>46249</v>
      </c>
    </row>
    <row r="582" spans="1:24" ht="13.8" thickBot="1" x14ac:dyDescent="0.3">
      <c r="A582" s="4" t="s">
        <v>199</v>
      </c>
      <c r="B582" s="8">
        <v>0.14000000000000001</v>
      </c>
      <c r="C582" s="15">
        <v>0.56999999999999995</v>
      </c>
      <c r="D582" s="8">
        <v>0.56999999999999995</v>
      </c>
      <c r="E582" s="10" t="s">
        <v>353</v>
      </c>
      <c r="F582" s="11" t="s">
        <v>929</v>
      </c>
      <c r="G582" s="12" t="s">
        <v>849</v>
      </c>
      <c r="H582" s="13" t="s">
        <v>928</v>
      </c>
      <c r="I582" s="14">
        <v>7</v>
      </c>
      <c r="J582" s="14" t="s">
        <v>10</v>
      </c>
      <c r="K582" s="5" t="s">
        <v>1566</v>
      </c>
      <c r="L582" s="6">
        <v>0.375</v>
      </c>
      <c r="M582" s="7" t="s">
        <v>1567</v>
      </c>
      <c r="N582" s="14" t="s">
        <v>11</v>
      </c>
      <c r="O582" s="14">
        <v>6</v>
      </c>
      <c r="P582" s="13" t="s">
        <v>348</v>
      </c>
      <c r="Q582" s="12" t="s">
        <v>334</v>
      </c>
      <c r="R582" s="11" t="s">
        <v>217</v>
      </c>
      <c r="S582" s="10" t="s">
        <v>224</v>
      </c>
      <c r="T582" s="8">
        <v>0.83</v>
      </c>
      <c r="U582" s="9">
        <v>0.5</v>
      </c>
      <c r="V582" s="8">
        <v>0</v>
      </c>
      <c r="W582" s="17"/>
      <c r="X582" s="65">
        <v>46249</v>
      </c>
    </row>
    <row r="583" spans="1:24" ht="13.8" thickBot="1" x14ac:dyDescent="0.3">
      <c r="A583" s="4" t="s">
        <v>199</v>
      </c>
      <c r="B583" s="8">
        <v>0.5</v>
      </c>
      <c r="C583" s="15">
        <v>0.67</v>
      </c>
      <c r="D583" s="8">
        <v>0.83</v>
      </c>
      <c r="E583" s="10" t="s">
        <v>344</v>
      </c>
      <c r="F583" s="11" t="s">
        <v>224</v>
      </c>
      <c r="G583" s="12" t="s">
        <v>218</v>
      </c>
      <c r="H583" s="13" t="s">
        <v>217</v>
      </c>
      <c r="I583" s="14">
        <v>6</v>
      </c>
      <c r="J583" s="14" t="s">
        <v>10</v>
      </c>
      <c r="K583" s="5" t="s">
        <v>1568</v>
      </c>
      <c r="L583" s="6">
        <v>0.375</v>
      </c>
      <c r="M583" s="7" t="s">
        <v>1569</v>
      </c>
      <c r="N583" s="14" t="s">
        <v>11</v>
      </c>
      <c r="O583" s="14">
        <v>7</v>
      </c>
      <c r="P583" s="13" t="s">
        <v>290</v>
      </c>
      <c r="Q583" s="12" t="s">
        <v>216</v>
      </c>
      <c r="R583" s="11" t="s">
        <v>217</v>
      </c>
      <c r="S583" s="10" t="s">
        <v>217</v>
      </c>
      <c r="T583" s="8">
        <v>0.56999999999999995</v>
      </c>
      <c r="U583" s="9">
        <v>0.28999999999999998</v>
      </c>
      <c r="V583" s="8">
        <v>0.14000000000000001</v>
      </c>
      <c r="W583" s="17"/>
      <c r="X583" s="65">
        <v>46249</v>
      </c>
    </row>
    <row r="584" spans="1:24" ht="19.8" thickBot="1" x14ac:dyDescent="0.3">
      <c r="A584" s="4" t="s">
        <v>199</v>
      </c>
      <c r="B584" s="8">
        <v>0.33</v>
      </c>
      <c r="C584" s="15">
        <v>0.83</v>
      </c>
      <c r="D584" s="8">
        <v>0.83</v>
      </c>
      <c r="E584" s="10" t="s">
        <v>772</v>
      </c>
      <c r="F584" s="11" t="s">
        <v>344</v>
      </c>
      <c r="G584" s="12" t="s">
        <v>246</v>
      </c>
      <c r="H584" s="13" t="s">
        <v>220</v>
      </c>
      <c r="I584" s="14">
        <v>6</v>
      </c>
      <c r="J584" s="14" t="s">
        <v>10</v>
      </c>
      <c r="K584" s="5" t="s">
        <v>1570</v>
      </c>
      <c r="L584" s="6">
        <v>0.41666666666666669</v>
      </c>
      <c r="M584" s="7" t="s">
        <v>1571</v>
      </c>
      <c r="N584" s="14" t="s">
        <v>11</v>
      </c>
      <c r="O584" s="14">
        <v>7</v>
      </c>
      <c r="P584" s="13" t="s">
        <v>1381</v>
      </c>
      <c r="Q584" s="12" t="s">
        <v>351</v>
      </c>
      <c r="R584" s="11" t="s">
        <v>849</v>
      </c>
      <c r="S584" s="10" t="s">
        <v>217</v>
      </c>
      <c r="T584" s="8">
        <v>0.86</v>
      </c>
      <c r="U584" s="15">
        <v>0.86</v>
      </c>
      <c r="V584" s="8">
        <v>0.28999999999999998</v>
      </c>
      <c r="W584" s="17"/>
      <c r="X584" s="65">
        <v>46249</v>
      </c>
    </row>
    <row r="585" spans="1:24" ht="19.8" thickBot="1" x14ac:dyDescent="0.3">
      <c r="A585" s="4" t="s">
        <v>199</v>
      </c>
      <c r="B585" s="8">
        <v>0.5</v>
      </c>
      <c r="C585" s="15">
        <v>0.83</v>
      </c>
      <c r="D585" s="8">
        <v>0.83</v>
      </c>
      <c r="E585" s="10" t="s">
        <v>310</v>
      </c>
      <c r="F585" s="11" t="s">
        <v>1260</v>
      </c>
      <c r="G585" s="12" t="s">
        <v>246</v>
      </c>
      <c r="H585" s="13" t="s">
        <v>221</v>
      </c>
      <c r="I585" s="14">
        <v>6</v>
      </c>
      <c r="J585" s="14" t="s">
        <v>10</v>
      </c>
      <c r="K585" s="5" t="s">
        <v>1572</v>
      </c>
      <c r="L585" s="6">
        <v>0.45833333333333331</v>
      </c>
      <c r="M585" s="7" t="s">
        <v>1573</v>
      </c>
      <c r="N585" s="14" t="s">
        <v>11</v>
      </c>
      <c r="O585" s="14">
        <v>6</v>
      </c>
      <c r="P585" s="13" t="s">
        <v>224</v>
      </c>
      <c r="Q585" s="12" t="s">
        <v>772</v>
      </c>
      <c r="R585" s="11" t="s">
        <v>288</v>
      </c>
      <c r="S585" s="10" t="s">
        <v>217</v>
      </c>
      <c r="T585" s="8">
        <v>0.67</v>
      </c>
      <c r="U585" s="9">
        <v>0.5</v>
      </c>
      <c r="V585" s="8">
        <v>0</v>
      </c>
      <c r="W585" s="17"/>
      <c r="X585" s="65">
        <v>46249</v>
      </c>
    </row>
    <row r="586" spans="1:24" ht="19.8" thickBot="1" x14ac:dyDescent="0.3">
      <c r="A586" s="4" t="s">
        <v>199</v>
      </c>
      <c r="B586" s="8">
        <v>0.33</v>
      </c>
      <c r="C586" s="15">
        <v>0.67</v>
      </c>
      <c r="D586" s="8">
        <v>0.83</v>
      </c>
      <c r="E586" s="10" t="s">
        <v>220</v>
      </c>
      <c r="F586" s="11" t="s">
        <v>220</v>
      </c>
      <c r="G586" s="12" t="s">
        <v>218</v>
      </c>
      <c r="H586" s="13" t="s">
        <v>288</v>
      </c>
      <c r="I586" s="14">
        <v>6</v>
      </c>
      <c r="J586" s="14" t="s">
        <v>10</v>
      </c>
      <c r="K586" s="5" t="s">
        <v>1574</v>
      </c>
      <c r="L586" s="6">
        <v>0.45833333333333331</v>
      </c>
      <c r="M586" s="7" t="s">
        <v>1575</v>
      </c>
      <c r="N586" s="14" t="s">
        <v>11</v>
      </c>
      <c r="O586" s="14">
        <v>6</v>
      </c>
      <c r="P586" s="13" t="s">
        <v>348</v>
      </c>
      <c r="Q586" s="12" t="s">
        <v>252</v>
      </c>
      <c r="R586" s="11" t="s">
        <v>247</v>
      </c>
      <c r="S586" s="10" t="s">
        <v>344</v>
      </c>
      <c r="T586" s="8">
        <v>0.5</v>
      </c>
      <c r="U586" s="9">
        <v>0.33</v>
      </c>
      <c r="V586" s="8">
        <v>0.17</v>
      </c>
      <c r="W586" s="17"/>
      <c r="X586" s="65">
        <v>46249</v>
      </c>
    </row>
    <row r="587" spans="1:24" ht="13.8" thickBot="1" x14ac:dyDescent="0.3">
      <c r="A587" s="4" t="s">
        <v>355</v>
      </c>
      <c r="B587" s="63"/>
      <c r="C587" s="63"/>
      <c r="D587" s="63"/>
      <c r="E587" s="63"/>
      <c r="F587" s="63"/>
      <c r="G587" s="63"/>
      <c r="H587" s="63"/>
      <c r="I587" s="64"/>
      <c r="J587" s="14" t="s">
        <v>10</v>
      </c>
      <c r="K587" s="5" t="s">
        <v>1576</v>
      </c>
      <c r="L587" s="6">
        <v>0.58333333333333337</v>
      </c>
      <c r="M587" s="7" t="s">
        <v>1577</v>
      </c>
      <c r="N587" s="14" t="s">
        <v>11</v>
      </c>
      <c r="O587" s="64"/>
      <c r="P587" s="63"/>
      <c r="Q587" s="63"/>
      <c r="R587" s="63"/>
      <c r="S587" s="63"/>
      <c r="T587" s="63"/>
      <c r="U587" s="63"/>
      <c r="V587" s="63"/>
      <c r="W587" s="17"/>
      <c r="X587" s="65">
        <v>46249</v>
      </c>
    </row>
    <row r="588" spans="1:24" ht="13.8" thickBot="1" x14ac:dyDescent="0.3">
      <c r="A588" s="4" t="s">
        <v>355</v>
      </c>
      <c r="B588" s="63"/>
      <c r="C588" s="63"/>
      <c r="D588" s="63"/>
      <c r="E588" s="63"/>
      <c r="F588" s="63"/>
      <c r="G588" s="63"/>
      <c r="H588" s="63"/>
      <c r="I588" s="64"/>
      <c r="J588" s="14" t="s">
        <v>10</v>
      </c>
      <c r="K588" s="5" t="s">
        <v>1578</v>
      </c>
      <c r="L588" s="6">
        <v>0.58333333333333337</v>
      </c>
      <c r="M588" s="7" t="s">
        <v>1579</v>
      </c>
      <c r="N588" s="14" t="s">
        <v>11</v>
      </c>
      <c r="O588" s="64"/>
      <c r="P588" s="63"/>
      <c r="Q588" s="63"/>
      <c r="R588" s="63"/>
      <c r="S588" s="63"/>
      <c r="T588" s="63"/>
      <c r="U588" s="63"/>
      <c r="V588" s="63"/>
      <c r="W588" s="17"/>
      <c r="X588" s="65">
        <v>46249</v>
      </c>
    </row>
    <row r="589" spans="1:24" ht="13.8" thickBot="1" x14ac:dyDescent="0.3">
      <c r="A589" s="4" t="s">
        <v>355</v>
      </c>
      <c r="B589" s="63"/>
      <c r="C589" s="63"/>
      <c r="D589" s="63"/>
      <c r="E589" s="63"/>
      <c r="F589" s="63"/>
      <c r="G589" s="63"/>
      <c r="H589" s="63"/>
      <c r="I589" s="64"/>
      <c r="J589" s="14" t="s">
        <v>10</v>
      </c>
      <c r="K589" s="5" t="s">
        <v>1580</v>
      </c>
      <c r="L589" s="6">
        <v>0.6875</v>
      </c>
      <c r="M589" s="7" t="s">
        <v>1581</v>
      </c>
      <c r="N589" s="14" t="s">
        <v>11</v>
      </c>
      <c r="O589" s="64"/>
      <c r="P589" s="63"/>
      <c r="Q589" s="63"/>
      <c r="R589" s="63"/>
      <c r="S589" s="63"/>
      <c r="T589" s="63"/>
      <c r="U589" s="63"/>
      <c r="V589" s="63"/>
      <c r="W589" s="17"/>
      <c r="X589" s="65">
        <v>46249</v>
      </c>
    </row>
    <row r="590" spans="1:24" ht="13.8" thickBot="1" x14ac:dyDescent="0.3">
      <c r="A590" s="4" t="s">
        <v>355</v>
      </c>
      <c r="B590" s="63"/>
      <c r="C590" s="63"/>
      <c r="D590" s="63"/>
      <c r="E590" s="63"/>
      <c r="F590" s="63"/>
      <c r="G590" s="63"/>
      <c r="H590" s="63"/>
      <c r="I590" s="64"/>
      <c r="J590" s="14" t="s">
        <v>10</v>
      </c>
      <c r="K590" s="5" t="s">
        <v>1582</v>
      </c>
      <c r="L590" s="6">
        <v>0.6875</v>
      </c>
      <c r="M590" s="7" t="s">
        <v>1583</v>
      </c>
      <c r="N590" s="14" t="s">
        <v>11</v>
      </c>
      <c r="O590" s="64"/>
      <c r="P590" s="63"/>
      <c r="Q590" s="63"/>
      <c r="R590" s="63"/>
      <c r="S590" s="63"/>
      <c r="T590" s="63"/>
      <c r="U590" s="63"/>
      <c r="V590" s="63"/>
      <c r="W590" s="17"/>
      <c r="X590" s="65">
        <v>46249</v>
      </c>
    </row>
    <row r="591" spans="1:24" ht="19.8" thickBot="1" x14ac:dyDescent="0.3">
      <c r="A591" s="4" t="s">
        <v>355</v>
      </c>
      <c r="B591" s="63"/>
      <c r="C591" s="63"/>
      <c r="D591" s="63"/>
      <c r="E591" s="63"/>
      <c r="F591" s="63"/>
      <c r="G591" s="63"/>
      <c r="H591" s="63"/>
      <c r="I591" s="64"/>
      <c r="J591" s="14" t="s">
        <v>10</v>
      </c>
      <c r="K591" s="5" t="s">
        <v>1584</v>
      </c>
      <c r="L591" s="6">
        <v>0.58333333333333337</v>
      </c>
      <c r="M591" s="7" t="s">
        <v>1585</v>
      </c>
      <c r="N591" s="14" t="s">
        <v>11</v>
      </c>
      <c r="O591" s="64"/>
      <c r="P591" s="63"/>
      <c r="Q591" s="63"/>
      <c r="R591" s="63"/>
      <c r="S591" s="63"/>
      <c r="T591" s="63"/>
      <c r="U591" s="63"/>
      <c r="V591" s="63"/>
      <c r="W591" s="17"/>
      <c r="X591" s="65">
        <v>46249</v>
      </c>
    </row>
    <row r="592" spans="1:24" ht="13.8" thickBot="1" x14ac:dyDescent="0.3">
      <c r="A592" s="4" t="s">
        <v>355</v>
      </c>
      <c r="B592" s="63"/>
      <c r="C592" s="63"/>
      <c r="D592" s="63"/>
      <c r="E592" s="63"/>
      <c r="F592" s="63"/>
      <c r="G592" s="63"/>
      <c r="H592" s="63"/>
      <c r="I592" s="64"/>
      <c r="J592" s="14" t="s">
        <v>10</v>
      </c>
      <c r="K592" s="5" t="s">
        <v>1586</v>
      </c>
      <c r="L592" s="6">
        <v>0.58333333333333337</v>
      </c>
      <c r="M592" s="7" t="s">
        <v>1587</v>
      </c>
      <c r="N592" s="14" t="s">
        <v>11</v>
      </c>
      <c r="O592" s="64"/>
      <c r="P592" s="63"/>
      <c r="Q592" s="63"/>
      <c r="R592" s="63"/>
      <c r="S592" s="63"/>
      <c r="T592" s="63"/>
      <c r="U592" s="63"/>
      <c r="V592" s="63"/>
      <c r="W592" s="17"/>
      <c r="X592" s="65">
        <v>46249</v>
      </c>
    </row>
    <row r="593" spans="1:24" ht="13.8" thickBot="1" x14ac:dyDescent="0.3">
      <c r="A593" s="4" t="s">
        <v>355</v>
      </c>
      <c r="B593" s="63"/>
      <c r="C593" s="63"/>
      <c r="D593" s="63"/>
      <c r="E593" s="63"/>
      <c r="F593" s="63"/>
      <c r="G593" s="63"/>
      <c r="H593" s="63"/>
      <c r="I593" s="64"/>
      <c r="J593" s="14" t="s">
        <v>10</v>
      </c>
      <c r="K593" s="5" t="s">
        <v>1588</v>
      </c>
      <c r="L593" s="6">
        <v>0.6875</v>
      </c>
      <c r="M593" s="7" t="s">
        <v>1589</v>
      </c>
      <c r="N593" s="14" t="s">
        <v>11</v>
      </c>
      <c r="O593" s="64"/>
      <c r="P593" s="63"/>
      <c r="Q593" s="63"/>
      <c r="R593" s="63"/>
      <c r="S593" s="63"/>
      <c r="T593" s="63"/>
      <c r="U593" s="63"/>
      <c r="V593" s="63"/>
      <c r="W593" s="17"/>
      <c r="X593" s="65">
        <v>46249</v>
      </c>
    </row>
    <row r="594" spans="1:24" ht="13.8" thickBot="1" x14ac:dyDescent="0.3">
      <c r="A594" s="4" t="s">
        <v>355</v>
      </c>
      <c r="B594" s="63"/>
      <c r="C594" s="63"/>
      <c r="D594" s="63"/>
      <c r="E594" s="63"/>
      <c r="F594" s="63"/>
      <c r="G594" s="63"/>
      <c r="H594" s="63"/>
      <c r="I594" s="64"/>
      <c r="J594" s="14" t="s">
        <v>10</v>
      </c>
      <c r="K594" s="5" t="s">
        <v>1590</v>
      </c>
      <c r="L594" s="6">
        <v>0.6875</v>
      </c>
      <c r="M594" s="7" t="s">
        <v>1591</v>
      </c>
      <c r="N594" s="14" t="s">
        <v>11</v>
      </c>
      <c r="O594" s="64"/>
      <c r="P594" s="63"/>
      <c r="Q594" s="63"/>
      <c r="R594" s="63"/>
      <c r="S594" s="63"/>
      <c r="T594" s="63"/>
      <c r="U594" s="63"/>
      <c r="V594" s="63"/>
      <c r="W594" s="17"/>
      <c r="X594" s="65">
        <v>46249</v>
      </c>
    </row>
    <row r="595" spans="1:24" ht="13.8" thickBot="1" x14ac:dyDescent="0.3">
      <c r="A595" s="4" t="s">
        <v>356</v>
      </c>
      <c r="B595" s="8">
        <v>1</v>
      </c>
      <c r="C595" s="15">
        <v>1</v>
      </c>
      <c r="D595" s="8">
        <v>1</v>
      </c>
      <c r="E595" s="10" t="s">
        <v>226</v>
      </c>
      <c r="F595" s="11" t="s">
        <v>217</v>
      </c>
      <c r="G595" s="12" t="s">
        <v>278</v>
      </c>
      <c r="H595" s="13" t="s">
        <v>219</v>
      </c>
      <c r="I595" s="14">
        <v>1</v>
      </c>
      <c r="J595" s="14" t="s">
        <v>10</v>
      </c>
      <c r="K595" s="5" t="s">
        <v>1592</v>
      </c>
      <c r="L595" s="6">
        <v>0.33333333333333331</v>
      </c>
      <c r="M595" s="7" t="s">
        <v>1593</v>
      </c>
      <c r="N595" s="14" t="s">
        <v>11</v>
      </c>
      <c r="O595" s="64"/>
      <c r="P595" s="63"/>
      <c r="Q595" s="63"/>
      <c r="R595" s="63"/>
      <c r="S595" s="63"/>
      <c r="T595" s="63"/>
      <c r="U595" s="63"/>
      <c r="V595" s="63"/>
      <c r="W595" s="17"/>
      <c r="X595" s="65">
        <v>46249</v>
      </c>
    </row>
    <row r="596" spans="1:24" ht="13.8" thickBot="1" x14ac:dyDescent="0.3">
      <c r="A596" s="4" t="s">
        <v>356</v>
      </c>
      <c r="B596" s="63"/>
      <c r="C596" s="63"/>
      <c r="D596" s="63"/>
      <c r="E596" s="63"/>
      <c r="F596" s="63"/>
      <c r="G596" s="63"/>
      <c r="H596" s="63"/>
      <c r="I596" s="64"/>
      <c r="J596" s="14" t="s">
        <v>10</v>
      </c>
      <c r="K596" s="5" t="s">
        <v>1594</v>
      </c>
      <c r="L596" s="6">
        <v>0.4375</v>
      </c>
      <c r="M596" s="7" t="s">
        <v>1595</v>
      </c>
      <c r="N596" s="14" t="s">
        <v>11</v>
      </c>
      <c r="O596" s="14">
        <v>2</v>
      </c>
      <c r="P596" s="13" t="s">
        <v>247</v>
      </c>
      <c r="Q596" s="12" t="s">
        <v>220</v>
      </c>
      <c r="R596" s="11" t="s">
        <v>219</v>
      </c>
      <c r="S596" s="10" t="s">
        <v>220</v>
      </c>
      <c r="T596" s="8">
        <v>0.5</v>
      </c>
      <c r="U596" s="9">
        <v>0.5</v>
      </c>
      <c r="V596" s="8">
        <v>0</v>
      </c>
      <c r="W596" s="17"/>
      <c r="X596" s="65">
        <v>46249</v>
      </c>
    </row>
    <row r="597" spans="1:24" ht="13.8" thickBot="1" x14ac:dyDescent="0.3">
      <c r="A597" s="4" t="s">
        <v>356</v>
      </c>
      <c r="B597" s="8">
        <v>0</v>
      </c>
      <c r="C597" s="15">
        <v>1</v>
      </c>
      <c r="D597" s="8">
        <v>1</v>
      </c>
      <c r="E597" s="10" t="s">
        <v>219</v>
      </c>
      <c r="F597" s="11" t="s">
        <v>218</v>
      </c>
      <c r="G597" s="12" t="s">
        <v>218</v>
      </c>
      <c r="H597" s="13" t="s">
        <v>218</v>
      </c>
      <c r="I597" s="14">
        <v>1</v>
      </c>
      <c r="J597" s="14" t="s">
        <v>10</v>
      </c>
      <c r="K597" s="5" t="s">
        <v>1596</v>
      </c>
      <c r="L597" s="6">
        <v>0.54166666666666663</v>
      </c>
      <c r="M597" s="7" t="s">
        <v>1597</v>
      </c>
      <c r="N597" s="14" t="s">
        <v>11</v>
      </c>
      <c r="O597" s="64"/>
      <c r="P597" s="63"/>
      <c r="Q597" s="63"/>
      <c r="R597" s="63"/>
      <c r="S597" s="63"/>
      <c r="T597" s="63"/>
      <c r="U597" s="63"/>
      <c r="V597" s="63"/>
      <c r="W597" s="17"/>
      <c r="X597" s="65">
        <v>46249</v>
      </c>
    </row>
    <row r="598" spans="1:24" ht="19.8" thickBot="1" x14ac:dyDescent="0.3">
      <c r="A598" s="4" t="s">
        <v>204</v>
      </c>
      <c r="B598" s="63"/>
      <c r="C598" s="63"/>
      <c r="D598" s="63"/>
      <c r="E598" s="63"/>
      <c r="F598" s="63"/>
      <c r="G598" s="63"/>
      <c r="H598" s="63"/>
      <c r="I598" s="64"/>
      <c r="J598" s="14" t="s">
        <v>10</v>
      </c>
      <c r="K598" s="5" t="s">
        <v>206</v>
      </c>
      <c r="L598" s="6">
        <v>0.5</v>
      </c>
      <c r="M598" s="7" t="s">
        <v>1598</v>
      </c>
      <c r="N598" s="14" t="s">
        <v>11</v>
      </c>
      <c r="O598" s="64"/>
      <c r="P598" s="63"/>
      <c r="Q598" s="63"/>
      <c r="R598" s="63"/>
      <c r="S598" s="63"/>
      <c r="T598" s="63"/>
      <c r="U598" s="63"/>
      <c r="V598" s="63"/>
      <c r="W598" s="17"/>
      <c r="X598" s="65">
        <v>46249</v>
      </c>
    </row>
    <row r="599" spans="1:24" ht="13.8" thickBot="1" x14ac:dyDescent="0.3">
      <c r="A599" s="4" t="s">
        <v>204</v>
      </c>
      <c r="B599" s="63"/>
      <c r="C599" s="63"/>
      <c r="D599" s="63"/>
      <c r="E599" s="63"/>
      <c r="F599" s="63"/>
      <c r="G599" s="63"/>
      <c r="H599" s="63"/>
      <c r="I599" s="64"/>
      <c r="J599" s="14" t="s">
        <v>10</v>
      </c>
      <c r="K599" s="5" t="s">
        <v>1599</v>
      </c>
      <c r="L599" s="6">
        <v>0.66666666666666663</v>
      </c>
      <c r="M599" s="7" t="s">
        <v>205</v>
      </c>
      <c r="N599" s="14" t="s">
        <v>11</v>
      </c>
      <c r="O599" s="14">
        <v>1</v>
      </c>
      <c r="P599" s="13" t="s">
        <v>219</v>
      </c>
      <c r="Q599" s="12" t="s">
        <v>217</v>
      </c>
      <c r="R599" s="11" t="s">
        <v>219</v>
      </c>
      <c r="S599" s="10" t="s">
        <v>217</v>
      </c>
      <c r="T599" s="8">
        <v>0</v>
      </c>
      <c r="U599" s="9">
        <v>0</v>
      </c>
      <c r="V599" s="8">
        <v>0</v>
      </c>
      <c r="W599" s="17"/>
      <c r="X599" s="65">
        <v>46249</v>
      </c>
    </row>
    <row r="600" spans="1:24" ht="13.8" thickBot="1" x14ac:dyDescent="0.3">
      <c r="A600" s="4" t="s">
        <v>204</v>
      </c>
      <c r="B600" s="63"/>
      <c r="C600" s="63"/>
      <c r="D600" s="63"/>
      <c r="E600" s="63"/>
      <c r="F600" s="63"/>
      <c r="G600" s="63"/>
      <c r="H600" s="63"/>
      <c r="I600" s="64"/>
      <c r="J600" s="14" t="s">
        <v>10</v>
      </c>
      <c r="K600" s="5" t="s">
        <v>1600</v>
      </c>
      <c r="L600" s="6">
        <v>0.8125</v>
      </c>
      <c r="M600" s="7" t="s">
        <v>207</v>
      </c>
      <c r="N600" s="14" t="s">
        <v>11</v>
      </c>
      <c r="O600" s="64"/>
      <c r="P600" s="63"/>
      <c r="Q600" s="63"/>
      <c r="R600" s="63"/>
      <c r="S600" s="63"/>
      <c r="T600" s="63"/>
      <c r="U600" s="63"/>
      <c r="V600" s="63"/>
      <c r="W600" s="17"/>
      <c r="X600" s="65">
        <v>46249</v>
      </c>
    </row>
    <row r="601" spans="1:24" ht="13.8" thickBot="1" x14ac:dyDescent="0.3">
      <c r="A601" s="4" t="s">
        <v>93</v>
      </c>
      <c r="B601" s="8">
        <v>0.5</v>
      </c>
      <c r="C601" s="15">
        <v>0.75</v>
      </c>
      <c r="D601" s="8">
        <v>0.88</v>
      </c>
      <c r="E601" s="10" t="s">
        <v>223</v>
      </c>
      <c r="F601" s="11" t="s">
        <v>286</v>
      </c>
      <c r="G601" s="12" t="s">
        <v>332</v>
      </c>
      <c r="H601" s="13" t="s">
        <v>296</v>
      </c>
      <c r="I601" s="14">
        <v>8</v>
      </c>
      <c r="J601" s="14" t="s">
        <v>10</v>
      </c>
      <c r="K601" s="5" t="s">
        <v>1601</v>
      </c>
      <c r="L601" s="6">
        <v>0.89583333333333337</v>
      </c>
      <c r="M601" s="7" t="s">
        <v>1602</v>
      </c>
      <c r="N601" s="14" t="s">
        <v>11</v>
      </c>
      <c r="O601" s="14">
        <v>9</v>
      </c>
      <c r="P601" s="13" t="s">
        <v>284</v>
      </c>
      <c r="Q601" s="12" t="s">
        <v>1129</v>
      </c>
      <c r="R601" s="11" t="s">
        <v>232</v>
      </c>
      <c r="S601" s="10" t="s">
        <v>334</v>
      </c>
      <c r="T601" s="8">
        <v>1</v>
      </c>
      <c r="U601" s="15">
        <v>0.78</v>
      </c>
      <c r="V601" s="8">
        <v>0.56000000000000005</v>
      </c>
      <c r="W601" s="17"/>
      <c r="X601" s="65">
        <v>46249</v>
      </c>
    </row>
    <row r="602" spans="1:24" ht="13.8" thickBot="1" x14ac:dyDescent="0.3">
      <c r="A602" s="4" t="s">
        <v>93</v>
      </c>
      <c r="B602" s="8">
        <v>0.33</v>
      </c>
      <c r="C602" s="9">
        <v>0.44</v>
      </c>
      <c r="D602" s="8">
        <v>0.67</v>
      </c>
      <c r="E602" s="10" t="s">
        <v>228</v>
      </c>
      <c r="F602" s="11" t="s">
        <v>224</v>
      </c>
      <c r="G602" s="12" t="s">
        <v>839</v>
      </c>
      <c r="H602" s="13" t="s">
        <v>224</v>
      </c>
      <c r="I602" s="14">
        <v>9</v>
      </c>
      <c r="J602" s="14" t="s">
        <v>10</v>
      </c>
      <c r="K602" s="5" t="s">
        <v>1603</v>
      </c>
      <c r="L602" s="6">
        <v>0.89583333333333337</v>
      </c>
      <c r="M602" s="7" t="s">
        <v>1604</v>
      </c>
      <c r="N602" s="14" t="s">
        <v>11</v>
      </c>
      <c r="O602" s="14">
        <v>9</v>
      </c>
      <c r="P602" s="13" t="s">
        <v>284</v>
      </c>
      <c r="Q602" s="12" t="s">
        <v>334</v>
      </c>
      <c r="R602" s="11" t="s">
        <v>284</v>
      </c>
      <c r="S602" s="10" t="s">
        <v>228</v>
      </c>
      <c r="T602" s="8">
        <v>0.56000000000000005</v>
      </c>
      <c r="U602" s="9">
        <v>0.33</v>
      </c>
      <c r="V602" s="8">
        <v>0.22</v>
      </c>
      <c r="W602" s="17"/>
      <c r="X602" s="65">
        <v>46249</v>
      </c>
    </row>
    <row r="603" spans="1:24" ht="19.8" thickBot="1" x14ac:dyDescent="0.3">
      <c r="A603" s="4" t="s">
        <v>93</v>
      </c>
      <c r="B603" s="8">
        <v>0.5</v>
      </c>
      <c r="C603" s="15">
        <v>0.7</v>
      </c>
      <c r="D603" s="8">
        <v>0.7</v>
      </c>
      <c r="E603" s="10" t="s">
        <v>274</v>
      </c>
      <c r="F603" s="11" t="s">
        <v>216</v>
      </c>
      <c r="G603" s="12" t="s">
        <v>280</v>
      </c>
      <c r="H603" s="13" t="s">
        <v>234</v>
      </c>
      <c r="I603" s="14">
        <v>10</v>
      </c>
      <c r="J603" s="14" t="s">
        <v>10</v>
      </c>
      <c r="K603" s="5" t="s">
        <v>1605</v>
      </c>
      <c r="L603" s="6">
        <v>0.89583333333333337</v>
      </c>
      <c r="M603" s="7" t="s">
        <v>1606</v>
      </c>
      <c r="N603" s="14" t="s">
        <v>11</v>
      </c>
      <c r="O603" s="14">
        <v>9</v>
      </c>
      <c r="P603" s="13" t="s">
        <v>310</v>
      </c>
      <c r="Q603" s="12" t="s">
        <v>349</v>
      </c>
      <c r="R603" s="11" t="s">
        <v>229</v>
      </c>
      <c r="S603" s="10" t="s">
        <v>333</v>
      </c>
      <c r="T603" s="8">
        <v>1</v>
      </c>
      <c r="U603" s="15">
        <v>0.89</v>
      </c>
      <c r="V603" s="8">
        <v>0.56000000000000005</v>
      </c>
      <c r="W603" s="17"/>
      <c r="X603" s="65">
        <v>46249</v>
      </c>
    </row>
    <row r="604" spans="1:24" ht="13.8" thickBot="1" x14ac:dyDescent="0.3">
      <c r="A604" s="4" t="s">
        <v>93</v>
      </c>
      <c r="B604" s="8">
        <v>0.38</v>
      </c>
      <c r="C604" s="15">
        <v>0.62</v>
      </c>
      <c r="D604" s="8">
        <v>0.75</v>
      </c>
      <c r="E604" s="10" t="s">
        <v>239</v>
      </c>
      <c r="F604" s="11" t="s">
        <v>236</v>
      </c>
      <c r="G604" s="12" t="s">
        <v>246</v>
      </c>
      <c r="H604" s="13" t="s">
        <v>239</v>
      </c>
      <c r="I604" s="14">
        <v>8</v>
      </c>
      <c r="J604" s="14" t="s">
        <v>10</v>
      </c>
      <c r="K604" s="5" t="s">
        <v>1607</v>
      </c>
      <c r="L604" s="6">
        <v>0.89583333333333337</v>
      </c>
      <c r="M604" s="7" t="s">
        <v>1608</v>
      </c>
      <c r="N604" s="14" t="s">
        <v>11</v>
      </c>
      <c r="O604" s="14">
        <v>9</v>
      </c>
      <c r="P604" s="13" t="s">
        <v>324</v>
      </c>
      <c r="Q604" s="12" t="s">
        <v>1609</v>
      </c>
      <c r="R604" s="11" t="s">
        <v>231</v>
      </c>
      <c r="S604" s="10" t="s">
        <v>341</v>
      </c>
      <c r="T604" s="8">
        <v>0.89</v>
      </c>
      <c r="U604" s="15">
        <v>0.78</v>
      </c>
      <c r="V604" s="8">
        <v>0.67</v>
      </c>
      <c r="W604" s="17"/>
      <c r="X604" s="65">
        <v>46249</v>
      </c>
    </row>
    <row r="605" spans="1:24" ht="13.8" thickBot="1" x14ac:dyDescent="0.3">
      <c r="A605" s="4" t="s">
        <v>93</v>
      </c>
      <c r="B605" s="8">
        <v>0.44</v>
      </c>
      <c r="C605" s="15">
        <v>0.67</v>
      </c>
      <c r="D605" s="8">
        <v>1</v>
      </c>
      <c r="E605" s="10" t="s">
        <v>216</v>
      </c>
      <c r="F605" s="11" t="s">
        <v>231</v>
      </c>
      <c r="G605" s="12" t="s">
        <v>1239</v>
      </c>
      <c r="H605" s="13" t="s">
        <v>284</v>
      </c>
      <c r="I605" s="14">
        <v>9</v>
      </c>
      <c r="J605" s="14" t="s">
        <v>10</v>
      </c>
      <c r="K605" s="5" t="s">
        <v>1610</v>
      </c>
      <c r="L605" s="6">
        <v>0.89583333333333337</v>
      </c>
      <c r="M605" s="7" t="s">
        <v>1611</v>
      </c>
      <c r="N605" s="14" t="s">
        <v>11</v>
      </c>
      <c r="O605" s="14">
        <v>7</v>
      </c>
      <c r="P605" s="13" t="s">
        <v>882</v>
      </c>
      <c r="Q605" s="12" t="s">
        <v>922</v>
      </c>
      <c r="R605" s="11" t="s">
        <v>217</v>
      </c>
      <c r="S605" s="10" t="s">
        <v>352</v>
      </c>
      <c r="T605" s="8">
        <v>0.71</v>
      </c>
      <c r="U605" s="15">
        <v>0.56999999999999995</v>
      </c>
      <c r="V605" s="8">
        <v>0.43</v>
      </c>
      <c r="W605" s="17"/>
      <c r="X605" s="65">
        <v>46249</v>
      </c>
    </row>
    <row r="606" spans="1:24" ht="13.8" thickBot="1" x14ac:dyDescent="0.3">
      <c r="A606" s="4" t="s">
        <v>93</v>
      </c>
      <c r="B606" s="8">
        <v>0</v>
      </c>
      <c r="C606" s="9">
        <v>0.38</v>
      </c>
      <c r="D606" s="8">
        <v>0.62</v>
      </c>
      <c r="E606" s="10" t="s">
        <v>247</v>
      </c>
      <c r="F606" s="11" t="s">
        <v>220</v>
      </c>
      <c r="G606" s="12" t="s">
        <v>216</v>
      </c>
      <c r="H606" s="13" t="s">
        <v>295</v>
      </c>
      <c r="I606" s="14">
        <v>8</v>
      </c>
      <c r="J606" s="14" t="s">
        <v>10</v>
      </c>
      <c r="K606" s="5" t="s">
        <v>1612</v>
      </c>
      <c r="L606" s="6">
        <v>0.875</v>
      </c>
      <c r="M606" s="7" t="s">
        <v>1613</v>
      </c>
      <c r="N606" s="14" t="s">
        <v>11</v>
      </c>
      <c r="O606" s="14">
        <v>7</v>
      </c>
      <c r="P606" s="13" t="s">
        <v>350</v>
      </c>
      <c r="Q606" s="12" t="s">
        <v>1381</v>
      </c>
      <c r="R606" s="11" t="s">
        <v>292</v>
      </c>
      <c r="S606" s="10" t="s">
        <v>929</v>
      </c>
      <c r="T606" s="8">
        <v>0.56999999999999995</v>
      </c>
      <c r="U606" s="9">
        <v>0.43</v>
      </c>
      <c r="V606" s="8">
        <v>0.43</v>
      </c>
      <c r="W606" s="17"/>
      <c r="X606" s="65">
        <v>46249</v>
      </c>
    </row>
    <row r="607" spans="1:24" ht="13.8" thickBot="1" x14ac:dyDescent="0.3">
      <c r="A607" s="4" t="s">
        <v>93</v>
      </c>
      <c r="B607" s="8">
        <v>0.43</v>
      </c>
      <c r="C607" s="15">
        <v>0.56999999999999995</v>
      </c>
      <c r="D607" s="8">
        <v>0.56999999999999995</v>
      </c>
      <c r="E607" s="10" t="s">
        <v>290</v>
      </c>
      <c r="F607" s="11" t="s">
        <v>292</v>
      </c>
      <c r="G607" s="12" t="s">
        <v>291</v>
      </c>
      <c r="H607" s="13" t="s">
        <v>350</v>
      </c>
      <c r="I607" s="14">
        <v>7</v>
      </c>
      <c r="J607" s="14" t="s">
        <v>10</v>
      </c>
      <c r="K607" s="5" t="s">
        <v>1614</v>
      </c>
      <c r="L607" s="6">
        <v>0.875</v>
      </c>
      <c r="M607" s="7" t="s">
        <v>1615</v>
      </c>
      <c r="N607" s="14" t="s">
        <v>11</v>
      </c>
      <c r="O607" s="14">
        <v>9</v>
      </c>
      <c r="P607" s="13" t="s">
        <v>324</v>
      </c>
      <c r="Q607" s="12" t="s">
        <v>216</v>
      </c>
      <c r="R607" s="11" t="s">
        <v>310</v>
      </c>
      <c r="S607" s="10" t="s">
        <v>224</v>
      </c>
      <c r="T607" s="8">
        <v>0.56000000000000005</v>
      </c>
      <c r="U607" s="9">
        <v>0.33</v>
      </c>
      <c r="V607" s="8">
        <v>0.22</v>
      </c>
      <c r="W607" s="17"/>
      <c r="X607" s="65">
        <v>46249</v>
      </c>
    </row>
    <row r="608" spans="1:24" ht="13.8" thickBot="1" x14ac:dyDescent="0.3">
      <c r="A608" s="4" t="s">
        <v>93</v>
      </c>
      <c r="B608" s="8">
        <v>0.2</v>
      </c>
      <c r="C608" s="9">
        <v>0.3</v>
      </c>
      <c r="D608" s="8">
        <v>0.5</v>
      </c>
      <c r="E608" s="10" t="s">
        <v>248</v>
      </c>
      <c r="F608" s="11" t="s">
        <v>274</v>
      </c>
      <c r="G608" s="12" t="s">
        <v>216</v>
      </c>
      <c r="H608" s="13" t="s">
        <v>268</v>
      </c>
      <c r="I608" s="14">
        <v>10</v>
      </c>
      <c r="J608" s="14" t="s">
        <v>10</v>
      </c>
      <c r="K608" s="5" t="s">
        <v>1616</v>
      </c>
      <c r="L608" s="6">
        <v>0.875</v>
      </c>
      <c r="M608" s="7" t="s">
        <v>1617</v>
      </c>
      <c r="N608" s="14" t="s">
        <v>11</v>
      </c>
      <c r="O608" s="14">
        <v>10</v>
      </c>
      <c r="P608" s="13" t="s">
        <v>217</v>
      </c>
      <c r="Q608" s="12" t="s">
        <v>275</v>
      </c>
      <c r="R608" s="11" t="s">
        <v>274</v>
      </c>
      <c r="S608" s="10" t="s">
        <v>273</v>
      </c>
      <c r="T608" s="8">
        <v>0.7</v>
      </c>
      <c r="U608" s="9">
        <v>0.5</v>
      </c>
      <c r="V608" s="8">
        <v>0.3</v>
      </c>
      <c r="W608" s="17"/>
      <c r="X608" s="65">
        <v>46249</v>
      </c>
    </row>
    <row r="609" spans="1:24" ht="13.8" thickBot="1" x14ac:dyDescent="0.3">
      <c r="A609" s="4" t="s">
        <v>93</v>
      </c>
      <c r="B609" s="8">
        <v>0.67</v>
      </c>
      <c r="C609" s="15">
        <v>0.89</v>
      </c>
      <c r="D609" s="8">
        <v>0.89</v>
      </c>
      <c r="E609" s="10" t="s">
        <v>340</v>
      </c>
      <c r="F609" s="11" t="s">
        <v>343</v>
      </c>
      <c r="G609" s="12" t="s">
        <v>836</v>
      </c>
      <c r="H609" s="13" t="s">
        <v>310</v>
      </c>
      <c r="I609" s="14">
        <v>9</v>
      </c>
      <c r="J609" s="14" t="s">
        <v>10</v>
      </c>
      <c r="K609" s="5" t="s">
        <v>1618</v>
      </c>
      <c r="L609" s="6">
        <v>0.875</v>
      </c>
      <c r="M609" s="7" t="s">
        <v>1619</v>
      </c>
      <c r="N609" s="14" t="s">
        <v>11</v>
      </c>
      <c r="O609" s="14">
        <v>8</v>
      </c>
      <c r="P609" s="13" t="s">
        <v>1565</v>
      </c>
      <c r="Q609" s="12" t="s">
        <v>295</v>
      </c>
      <c r="R609" s="11" t="s">
        <v>237</v>
      </c>
      <c r="S609" s="10" t="s">
        <v>223</v>
      </c>
      <c r="T609" s="8">
        <v>0.62</v>
      </c>
      <c r="U609" s="9">
        <v>0.38</v>
      </c>
      <c r="V609" s="8">
        <v>0.38</v>
      </c>
      <c r="W609" s="17"/>
      <c r="X609" s="65">
        <v>46249</v>
      </c>
    </row>
    <row r="610" spans="1:24" ht="13.8" thickBot="1" x14ac:dyDescent="0.3">
      <c r="A610" s="4" t="s">
        <v>93</v>
      </c>
      <c r="B610" s="8">
        <v>0.56000000000000005</v>
      </c>
      <c r="C610" s="15">
        <v>0.78</v>
      </c>
      <c r="D610" s="8">
        <v>0.78</v>
      </c>
      <c r="E610" s="10" t="s">
        <v>229</v>
      </c>
      <c r="F610" s="11" t="s">
        <v>307</v>
      </c>
      <c r="G610" s="12" t="s">
        <v>1129</v>
      </c>
      <c r="H610" s="13" t="s">
        <v>231</v>
      </c>
      <c r="I610" s="14">
        <v>9</v>
      </c>
      <c r="J610" s="14" t="s">
        <v>10</v>
      </c>
      <c r="K610" s="5" t="s">
        <v>1620</v>
      </c>
      <c r="L610" s="6">
        <v>0.89583333333333337</v>
      </c>
      <c r="M610" s="7" t="s">
        <v>1621</v>
      </c>
      <c r="N610" s="14" t="s">
        <v>11</v>
      </c>
      <c r="O610" s="14">
        <v>8</v>
      </c>
      <c r="P610" s="13" t="s">
        <v>294</v>
      </c>
      <c r="Q610" s="12" t="s">
        <v>218</v>
      </c>
      <c r="R610" s="11" t="s">
        <v>220</v>
      </c>
      <c r="S610" s="10" t="s">
        <v>220</v>
      </c>
      <c r="T610" s="8">
        <v>0.62</v>
      </c>
      <c r="U610" s="15">
        <v>0.62</v>
      </c>
      <c r="V610" s="8">
        <v>0.38</v>
      </c>
      <c r="W610" s="17"/>
      <c r="X610" s="65">
        <v>46249</v>
      </c>
    </row>
    <row r="611" spans="1:24" ht="13.8" thickBot="1" x14ac:dyDescent="0.3">
      <c r="A611" s="4" t="s">
        <v>93</v>
      </c>
      <c r="B611" s="8">
        <v>0.6</v>
      </c>
      <c r="C611" s="15">
        <v>0.7</v>
      </c>
      <c r="D611" s="8">
        <v>0.8</v>
      </c>
      <c r="E611" s="10" t="s">
        <v>274</v>
      </c>
      <c r="F611" s="11" t="s">
        <v>221</v>
      </c>
      <c r="G611" s="12" t="s">
        <v>283</v>
      </c>
      <c r="H611" s="13" t="s">
        <v>800</v>
      </c>
      <c r="I611" s="14">
        <v>10</v>
      </c>
      <c r="J611" s="14" t="s">
        <v>10</v>
      </c>
      <c r="K611" s="5" t="s">
        <v>1622</v>
      </c>
      <c r="L611" s="6">
        <v>0.875</v>
      </c>
      <c r="M611" s="7" t="s">
        <v>1623</v>
      </c>
      <c r="N611" s="14" t="s">
        <v>11</v>
      </c>
      <c r="O611" s="14">
        <v>10</v>
      </c>
      <c r="P611" s="13" t="s">
        <v>247</v>
      </c>
      <c r="Q611" s="12" t="s">
        <v>781</v>
      </c>
      <c r="R611" s="11" t="s">
        <v>819</v>
      </c>
      <c r="S611" s="10" t="s">
        <v>234</v>
      </c>
      <c r="T611" s="8">
        <v>0.7</v>
      </c>
      <c r="U611" s="9">
        <v>0.4</v>
      </c>
      <c r="V611" s="8">
        <v>0.3</v>
      </c>
      <c r="W611" s="17"/>
      <c r="X611" s="65">
        <v>46249</v>
      </c>
    </row>
    <row r="612" spans="1:24" ht="13.8" thickBot="1" x14ac:dyDescent="0.3">
      <c r="A612" s="4" t="s">
        <v>93</v>
      </c>
      <c r="B612" s="8">
        <v>0.44</v>
      </c>
      <c r="C612" s="15">
        <v>0.78</v>
      </c>
      <c r="D612" s="8">
        <v>0.78</v>
      </c>
      <c r="E612" s="10" t="s">
        <v>343</v>
      </c>
      <c r="F612" s="11" t="s">
        <v>343</v>
      </c>
      <c r="G612" s="12" t="s">
        <v>285</v>
      </c>
      <c r="H612" s="13" t="s">
        <v>229</v>
      </c>
      <c r="I612" s="14">
        <v>9</v>
      </c>
      <c r="J612" s="14" t="s">
        <v>10</v>
      </c>
      <c r="K612" s="5" t="s">
        <v>1624</v>
      </c>
      <c r="L612" s="6">
        <v>0.875</v>
      </c>
      <c r="M612" s="7" t="s">
        <v>1625</v>
      </c>
      <c r="N612" s="14" t="s">
        <v>11</v>
      </c>
      <c r="O612" s="14">
        <v>9</v>
      </c>
      <c r="P612" s="13" t="s">
        <v>231</v>
      </c>
      <c r="Q612" s="12" t="s">
        <v>218</v>
      </c>
      <c r="R612" s="11" t="s">
        <v>231</v>
      </c>
      <c r="S612" s="10" t="s">
        <v>228</v>
      </c>
      <c r="T612" s="8">
        <v>0.78</v>
      </c>
      <c r="U612" s="15">
        <v>0.78</v>
      </c>
      <c r="V612" s="8">
        <v>0.44</v>
      </c>
      <c r="W612" s="17"/>
      <c r="X612" s="65">
        <v>46249</v>
      </c>
    </row>
    <row r="613" spans="1:24" ht="13.8" thickBot="1" x14ac:dyDescent="0.3">
      <c r="A613" s="4" t="s">
        <v>93</v>
      </c>
      <c r="B613" s="8">
        <v>0.33</v>
      </c>
      <c r="C613" s="15">
        <v>0.67</v>
      </c>
      <c r="D613" s="8">
        <v>0.78</v>
      </c>
      <c r="E613" s="10" t="s">
        <v>229</v>
      </c>
      <c r="F613" s="11" t="s">
        <v>284</v>
      </c>
      <c r="G613" s="12" t="s">
        <v>341</v>
      </c>
      <c r="H613" s="13" t="s">
        <v>284</v>
      </c>
      <c r="I613" s="14">
        <v>9</v>
      </c>
      <c r="J613" s="14" t="s">
        <v>10</v>
      </c>
      <c r="K613" s="5" t="s">
        <v>1626</v>
      </c>
      <c r="L613" s="6">
        <v>0.875</v>
      </c>
      <c r="M613" s="7" t="s">
        <v>1627</v>
      </c>
      <c r="N613" s="14" t="s">
        <v>11</v>
      </c>
      <c r="O613" s="14">
        <v>10</v>
      </c>
      <c r="P613" s="13" t="s">
        <v>274</v>
      </c>
      <c r="Q613" s="12" t="s">
        <v>275</v>
      </c>
      <c r="R613" s="11" t="s">
        <v>270</v>
      </c>
      <c r="S613" s="10" t="s">
        <v>268</v>
      </c>
      <c r="T613" s="8">
        <v>0.7</v>
      </c>
      <c r="U613" s="15">
        <v>0.7</v>
      </c>
      <c r="V613" s="8">
        <v>0.4</v>
      </c>
      <c r="W613" s="17"/>
      <c r="X613" s="65">
        <v>46249</v>
      </c>
    </row>
    <row r="614" spans="1:24" ht="19.8" thickBot="1" x14ac:dyDescent="0.3">
      <c r="A614" s="4" t="s">
        <v>93</v>
      </c>
      <c r="B614" s="8">
        <v>0.44</v>
      </c>
      <c r="C614" s="15">
        <v>0.56000000000000005</v>
      </c>
      <c r="D614" s="8">
        <v>0.89</v>
      </c>
      <c r="E614" s="10" t="s">
        <v>306</v>
      </c>
      <c r="F614" s="11" t="s">
        <v>230</v>
      </c>
      <c r="G614" s="12" t="s">
        <v>241</v>
      </c>
      <c r="H614" s="13" t="s">
        <v>231</v>
      </c>
      <c r="I614" s="14">
        <v>9</v>
      </c>
      <c r="J614" s="14" t="s">
        <v>10</v>
      </c>
      <c r="K614" s="5" t="s">
        <v>1628</v>
      </c>
      <c r="L614" s="6">
        <v>0.875</v>
      </c>
      <c r="M614" s="7" t="s">
        <v>1629</v>
      </c>
      <c r="N614" s="14" t="s">
        <v>11</v>
      </c>
      <c r="O614" s="14">
        <v>9</v>
      </c>
      <c r="P614" s="13" t="s">
        <v>326</v>
      </c>
      <c r="Q614" s="12" t="s">
        <v>325</v>
      </c>
      <c r="R614" s="11" t="s">
        <v>306</v>
      </c>
      <c r="S614" s="10" t="s">
        <v>343</v>
      </c>
      <c r="T614" s="8">
        <v>0.67</v>
      </c>
      <c r="U614" s="9">
        <v>0.44</v>
      </c>
      <c r="V614" s="8">
        <v>0.22</v>
      </c>
      <c r="W614" s="17"/>
      <c r="X614" s="65">
        <v>46249</v>
      </c>
    </row>
    <row r="615" spans="1:24" ht="19.8" thickBot="1" x14ac:dyDescent="0.3">
      <c r="A615" s="4" t="s">
        <v>93</v>
      </c>
      <c r="B615" s="8">
        <v>0.12</v>
      </c>
      <c r="C615" s="9">
        <v>0.5</v>
      </c>
      <c r="D615" s="8">
        <v>0.75</v>
      </c>
      <c r="E615" s="10" t="s">
        <v>237</v>
      </c>
      <c r="F615" s="11" t="s">
        <v>239</v>
      </c>
      <c r="G615" s="12" t="s">
        <v>225</v>
      </c>
      <c r="H615" s="13" t="s">
        <v>236</v>
      </c>
      <c r="I615" s="14">
        <v>8</v>
      </c>
      <c r="J615" s="14" t="s">
        <v>10</v>
      </c>
      <c r="K615" s="5" t="s">
        <v>1630</v>
      </c>
      <c r="L615" s="6">
        <v>0.89583333333333337</v>
      </c>
      <c r="M615" s="7" t="s">
        <v>1631</v>
      </c>
      <c r="N615" s="14" t="s">
        <v>11</v>
      </c>
      <c r="O615" s="14">
        <v>8</v>
      </c>
      <c r="P615" s="13" t="s">
        <v>293</v>
      </c>
      <c r="Q615" s="12" t="s">
        <v>1141</v>
      </c>
      <c r="R615" s="11" t="s">
        <v>223</v>
      </c>
      <c r="S615" s="10" t="s">
        <v>240</v>
      </c>
      <c r="T615" s="8">
        <v>1</v>
      </c>
      <c r="U615" s="15">
        <v>0.88</v>
      </c>
      <c r="V615" s="8">
        <v>0.38</v>
      </c>
      <c r="W615" s="17"/>
      <c r="X615" s="65">
        <v>46249</v>
      </c>
    </row>
    <row r="616" spans="1:24" ht="19.8" thickBot="1" x14ac:dyDescent="0.3">
      <c r="A616" s="4" t="s">
        <v>93</v>
      </c>
      <c r="B616" s="8">
        <v>0.1</v>
      </c>
      <c r="C616" s="9">
        <v>0.2</v>
      </c>
      <c r="D616" s="8">
        <v>0.4</v>
      </c>
      <c r="E616" s="10" t="s">
        <v>247</v>
      </c>
      <c r="F616" s="11" t="s">
        <v>274</v>
      </c>
      <c r="G616" s="12" t="s">
        <v>268</v>
      </c>
      <c r="H616" s="13" t="s">
        <v>233</v>
      </c>
      <c r="I616" s="14">
        <v>10</v>
      </c>
      <c r="J616" s="14" t="s">
        <v>10</v>
      </c>
      <c r="K616" s="5" t="s">
        <v>1632</v>
      </c>
      <c r="L616" s="6">
        <v>0.91666666666666663</v>
      </c>
      <c r="M616" s="7" t="s">
        <v>1633</v>
      </c>
      <c r="N616" s="14" t="s">
        <v>11</v>
      </c>
      <c r="O616" s="14">
        <v>10</v>
      </c>
      <c r="P616" s="13" t="s">
        <v>816</v>
      </c>
      <c r="Q616" s="12" t="s">
        <v>800</v>
      </c>
      <c r="R616" s="11" t="s">
        <v>824</v>
      </c>
      <c r="S616" s="10" t="s">
        <v>249</v>
      </c>
      <c r="T616" s="8">
        <v>0.9</v>
      </c>
      <c r="U616" s="15">
        <v>0.7</v>
      </c>
      <c r="V616" s="8">
        <v>0.1</v>
      </c>
      <c r="W616" s="17"/>
      <c r="X616" s="65">
        <v>46249</v>
      </c>
    </row>
    <row r="617" spans="1:24" ht="19.8" thickBot="1" x14ac:dyDescent="0.3">
      <c r="A617" s="4" t="s">
        <v>93</v>
      </c>
      <c r="B617" s="8">
        <v>0.11</v>
      </c>
      <c r="C617" s="9">
        <v>0.22</v>
      </c>
      <c r="D617" s="8">
        <v>0.67</v>
      </c>
      <c r="E617" s="10" t="s">
        <v>217</v>
      </c>
      <c r="F617" s="11" t="s">
        <v>217</v>
      </c>
      <c r="G617" s="12" t="s">
        <v>216</v>
      </c>
      <c r="H617" s="13" t="s">
        <v>224</v>
      </c>
      <c r="I617" s="14">
        <v>9</v>
      </c>
      <c r="J617" s="14" t="s">
        <v>10</v>
      </c>
      <c r="K617" s="5" t="s">
        <v>1634</v>
      </c>
      <c r="L617" s="6">
        <v>0</v>
      </c>
      <c r="M617" s="7" t="s">
        <v>1635</v>
      </c>
      <c r="N617" s="14" t="s">
        <v>11</v>
      </c>
      <c r="O617" s="14">
        <v>9</v>
      </c>
      <c r="P617" s="13" t="s">
        <v>284</v>
      </c>
      <c r="Q617" s="12" t="s">
        <v>839</v>
      </c>
      <c r="R617" s="11" t="s">
        <v>224</v>
      </c>
      <c r="S617" s="10" t="s">
        <v>228</v>
      </c>
      <c r="T617" s="8">
        <v>0.67</v>
      </c>
      <c r="U617" s="9">
        <v>0.44</v>
      </c>
      <c r="V617" s="8">
        <v>0.22</v>
      </c>
      <c r="W617" s="17"/>
      <c r="X617" s="65">
        <v>46249</v>
      </c>
    </row>
    <row r="618" spans="1:24" ht="19.8" thickBot="1" x14ac:dyDescent="0.3">
      <c r="A618" s="4" t="s">
        <v>93</v>
      </c>
      <c r="B618" s="8">
        <v>0.12</v>
      </c>
      <c r="C618" s="9">
        <v>0.5</v>
      </c>
      <c r="D618" s="8">
        <v>0.75</v>
      </c>
      <c r="E618" s="10" t="s">
        <v>294</v>
      </c>
      <c r="F618" s="11" t="s">
        <v>294</v>
      </c>
      <c r="G618" s="12" t="s">
        <v>225</v>
      </c>
      <c r="H618" s="13" t="s">
        <v>286</v>
      </c>
      <c r="I618" s="14">
        <v>8</v>
      </c>
      <c r="J618" s="14" t="s">
        <v>10</v>
      </c>
      <c r="K618" s="5" t="s">
        <v>1636</v>
      </c>
      <c r="L618" s="6">
        <v>0</v>
      </c>
      <c r="M618" s="7" t="s">
        <v>1637</v>
      </c>
      <c r="N618" s="14" t="s">
        <v>11</v>
      </c>
      <c r="O618" s="14">
        <v>9</v>
      </c>
      <c r="P618" s="13" t="s">
        <v>939</v>
      </c>
      <c r="Q618" s="12" t="s">
        <v>334</v>
      </c>
      <c r="R618" s="11" t="s">
        <v>1638</v>
      </c>
      <c r="S618" s="10" t="s">
        <v>333</v>
      </c>
      <c r="T618" s="8">
        <v>0.67</v>
      </c>
      <c r="U618" s="9">
        <v>0.44</v>
      </c>
      <c r="V618" s="8">
        <v>0.22</v>
      </c>
      <c r="W618" s="17"/>
      <c r="X618" s="65">
        <v>46249</v>
      </c>
    </row>
    <row r="619" spans="1:24" ht="19.8" thickBot="1" x14ac:dyDescent="0.3">
      <c r="A619" s="4" t="s">
        <v>93</v>
      </c>
      <c r="B619" s="8">
        <v>0.22</v>
      </c>
      <c r="C619" s="15">
        <v>0.56000000000000005</v>
      </c>
      <c r="D619" s="8">
        <v>0.67</v>
      </c>
      <c r="E619" s="10" t="s">
        <v>217</v>
      </c>
      <c r="F619" s="11" t="s">
        <v>344</v>
      </c>
      <c r="G619" s="12" t="s">
        <v>325</v>
      </c>
      <c r="H619" s="13" t="s">
        <v>216</v>
      </c>
      <c r="I619" s="14">
        <v>9</v>
      </c>
      <c r="J619" s="14" t="s">
        <v>10</v>
      </c>
      <c r="K619" s="5" t="s">
        <v>1639</v>
      </c>
      <c r="L619" s="6">
        <v>0</v>
      </c>
      <c r="M619" s="7" t="s">
        <v>1640</v>
      </c>
      <c r="N619" s="14" t="s">
        <v>11</v>
      </c>
      <c r="O619" s="14">
        <v>9</v>
      </c>
      <c r="P619" s="13" t="s">
        <v>284</v>
      </c>
      <c r="Q619" s="12" t="s">
        <v>334</v>
      </c>
      <c r="R619" s="11" t="s">
        <v>217</v>
      </c>
      <c r="S619" s="10" t="s">
        <v>224</v>
      </c>
      <c r="T619" s="8">
        <v>0.67</v>
      </c>
      <c r="U619" s="9">
        <v>0.44</v>
      </c>
      <c r="V619" s="8">
        <v>0.33</v>
      </c>
      <c r="W619" s="17"/>
      <c r="X619" s="65">
        <v>46249</v>
      </c>
    </row>
    <row r="620" spans="1:24" ht="19.8" thickBot="1" x14ac:dyDescent="0.3">
      <c r="A620" s="4" t="s">
        <v>93</v>
      </c>
      <c r="B620" s="8">
        <v>0.38</v>
      </c>
      <c r="C620" s="15">
        <v>0.62</v>
      </c>
      <c r="D620" s="8">
        <v>0.88</v>
      </c>
      <c r="E620" s="10" t="s">
        <v>220</v>
      </c>
      <c r="F620" s="11" t="s">
        <v>220</v>
      </c>
      <c r="G620" s="12" t="s">
        <v>218</v>
      </c>
      <c r="H620" s="13" t="s">
        <v>286</v>
      </c>
      <c r="I620" s="14">
        <v>8</v>
      </c>
      <c r="J620" s="14" t="s">
        <v>10</v>
      </c>
      <c r="K620" s="5" t="s">
        <v>1641</v>
      </c>
      <c r="L620" s="6">
        <v>0.85416666666666663</v>
      </c>
      <c r="M620" s="7" t="s">
        <v>1642</v>
      </c>
      <c r="N620" s="14" t="s">
        <v>11</v>
      </c>
      <c r="O620" s="14">
        <v>7</v>
      </c>
      <c r="P620" s="13" t="s">
        <v>292</v>
      </c>
      <c r="Q620" s="12" t="s">
        <v>352</v>
      </c>
      <c r="R620" s="11" t="s">
        <v>353</v>
      </c>
      <c r="S620" s="10" t="s">
        <v>290</v>
      </c>
      <c r="T620" s="8">
        <v>0.71</v>
      </c>
      <c r="U620" s="9">
        <v>0.14000000000000001</v>
      </c>
      <c r="V620" s="8">
        <v>0</v>
      </c>
      <c r="W620" s="17"/>
      <c r="X620" s="65">
        <v>46249</v>
      </c>
    </row>
    <row r="621" spans="1:24" ht="13.8" thickBot="1" x14ac:dyDescent="0.3">
      <c r="A621" s="4" t="s">
        <v>93</v>
      </c>
      <c r="B621" s="63"/>
      <c r="C621" s="63"/>
      <c r="D621" s="63"/>
      <c r="E621" s="63"/>
      <c r="F621" s="63"/>
      <c r="G621" s="63"/>
      <c r="H621" s="63"/>
      <c r="I621" s="64"/>
      <c r="J621" s="14" t="s">
        <v>10</v>
      </c>
      <c r="K621" s="5" t="s">
        <v>1643</v>
      </c>
      <c r="L621" s="6">
        <v>0.875</v>
      </c>
      <c r="M621" s="7" t="s">
        <v>1644</v>
      </c>
      <c r="N621" s="14" t="s">
        <v>11</v>
      </c>
      <c r="O621" s="64"/>
      <c r="P621" s="63"/>
      <c r="Q621" s="63"/>
      <c r="R621" s="63"/>
      <c r="S621" s="63"/>
      <c r="T621" s="63"/>
      <c r="U621" s="63"/>
      <c r="V621" s="63"/>
      <c r="W621" s="17"/>
      <c r="X621" s="65">
        <v>46249</v>
      </c>
    </row>
    <row r="622" spans="1:24" ht="13.8" thickBot="1" x14ac:dyDescent="0.3">
      <c r="A622" s="4" t="s">
        <v>93</v>
      </c>
      <c r="B622" s="63"/>
      <c r="C622" s="63"/>
      <c r="D622" s="63"/>
      <c r="E622" s="63"/>
      <c r="F622" s="63"/>
      <c r="G622" s="63"/>
      <c r="H622" s="63"/>
      <c r="I622" s="64"/>
      <c r="J622" s="14" t="s">
        <v>10</v>
      </c>
      <c r="K622" s="5" t="s">
        <v>1645</v>
      </c>
      <c r="L622" s="6">
        <v>0.875</v>
      </c>
      <c r="M622" s="7" t="s">
        <v>1646</v>
      </c>
      <c r="N622" s="14" t="s">
        <v>11</v>
      </c>
      <c r="O622" s="64"/>
      <c r="P622" s="63"/>
      <c r="Q622" s="63"/>
      <c r="R622" s="63"/>
      <c r="S622" s="63"/>
      <c r="T622" s="63"/>
      <c r="U622" s="63"/>
      <c r="V622" s="63"/>
      <c r="W622" s="17"/>
      <c r="X622" s="65">
        <v>46249</v>
      </c>
    </row>
    <row r="623" spans="1:24" ht="19.8" thickBot="1" x14ac:dyDescent="0.3">
      <c r="A623" s="4" t="s">
        <v>93</v>
      </c>
      <c r="B623" s="63"/>
      <c r="C623" s="63"/>
      <c r="D623" s="63"/>
      <c r="E623" s="63"/>
      <c r="F623" s="63"/>
      <c r="G623" s="63"/>
      <c r="H623" s="63"/>
      <c r="I623" s="64"/>
      <c r="J623" s="14" t="s">
        <v>10</v>
      </c>
      <c r="K623" s="5" t="s">
        <v>1647</v>
      </c>
      <c r="L623" s="6">
        <v>0.89583333333333337</v>
      </c>
      <c r="M623" s="7" t="s">
        <v>1648</v>
      </c>
      <c r="N623" s="14" t="s">
        <v>11</v>
      </c>
      <c r="O623" s="64"/>
      <c r="P623" s="63"/>
      <c r="Q623" s="63"/>
      <c r="R623" s="63"/>
      <c r="S623" s="63"/>
      <c r="T623" s="63"/>
      <c r="U623" s="63"/>
      <c r="V623" s="63"/>
      <c r="W623" s="17"/>
      <c r="X623" s="65">
        <v>46249</v>
      </c>
    </row>
    <row r="624" spans="1:24" ht="13.8" thickBot="1" x14ac:dyDescent="0.3">
      <c r="A624" s="4" t="s">
        <v>624</v>
      </c>
      <c r="B624" s="8">
        <v>0</v>
      </c>
      <c r="C624" s="15">
        <v>1</v>
      </c>
      <c r="D624" s="8">
        <v>1</v>
      </c>
      <c r="E624" s="10" t="s">
        <v>217</v>
      </c>
      <c r="F624" s="11" t="s">
        <v>216</v>
      </c>
      <c r="G624" s="12" t="s">
        <v>218</v>
      </c>
      <c r="H624" s="13" t="s">
        <v>218</v>
      </c>
      <c r="I624" s="14">
        <v>1</v>
      </c>
      <c r="J624" s="14" t="s">
        <v>10</v>
      </c>
      <c r="K624" s="5" t="s">
        <v>1649</v>
      </c>
      <c r="L624" s="6">
        <v>0.39583333333333331</v>
      </c>
      <c r="M624" s="7" t="s">
        <v>1650</v>
      </c>
      <c r="N624" s="14" t="s">
        <v>11</v>
      </c>
      <c r="O624" s="14">
        <v>1</v>
      </c>
      <c r="P624" s="13" t="s">
        <v>218</v>
      </c>
      <c r="Q624" s="12" t="s">
        <v>216</v>
      </c>
      <c r="R624" s="11" t="s">
        <v>216</v>
      </c>
      <c r="S624" s="10" t="s">
        <v>219</v>
      </c>
      <c r="T624" s="8">
        <v>1</v>
      </c>
      <c r="U624" s="9">
        <v>0</v>
      </c>
      <c r="V624" s="8">
        <v>0</v>
      </c>
      <c r="W624" s="17"/>
      <c r="X624" s="65">
        <v>46249</v>
      </c>
    </row>
    <row r="625" spans="1:24" ht="13.8" thickBot="1" x14ac:dyDescent="0.3">
      <c r="A625" s="4" t="s">
        <v>624</v>
      </c>
      <c r="B625" s="8">
        <v>0</v>
      </c>
      <c r="C625" s="15">
        <v>1</v>
      </c>
      <c r="D625" s="8">
        <v>1</v>
      </c>
      <c r="E625" s="10" t="s">
        <v>216</v>
      </c>
      <c r="F625" s="11" t="s">
        <v>217</v>
      </c>
      <c r="G625" s="12" t="s">
        <v>218</v>
      </c>
      <c r="H625" s="13" t="s">
        <v>219</v>
      </c>
      <c r="I625" s="14">
        <v>1</v>
      </c>
      <c r="J625" s="14" t="s">
        <v>10</v>
      </c>
      <c r="K625" s="5" t="s">
        <v>1651</v>
      </c>
      <c r="L625" s="6">
        <v>0.59375</v>
      </c>
      <c r="M625" s="7" t="s">
        <v>1652</v>
      </c>
      <c r="N625" s="14" t="s">
        <v>11</v>
      </c>
      <c r="O625" s="14">
        <v>1</v>
      </c>
      <c r="P625" s="13" t="s">
        <v>217</v>
      </c>
      <c r="Q625" s="12" t="s">
        <v>226</v>
      </c>
      <c r="R625" s="11" t="s">
        <v>216</v>
      </c>
      <c r="S625" s="10" t="s">
        <v>216</v>
      </c>
      <c r="T625" s="8">
        <v>1</v>
      </c>
      <c r="U625" s="15">
        <v>1</v>
      </c>
      <c r="V625" s="8">
        <v>1</v>
      </c>
      <c r="W625" s="17"/>
      <c r="X625" s="65">
        <v>46249</v>
      </c>
    </row>
    <row r="626" spans="1:24" ht="13.8" thickBot="1" x14ac:dyDescent="0.3">
      <c r="A626" s="4" t="s">
        <v>637</v>
      </c>
      <c r="B626" s="63"/>
      <c r="C626" s="63"/>
      <c r="D626" s="63"/>
      <c r="E626" s="63"/>
      <c r="F626" s="63"/>
      <c r="G626" s="63"/>
      <c r="H626" s="63"/>
      <c r="I626" s="64"/>
      <c r="J626" s="14" t="s">
        <v>10</v>
      </c>
      <c r="K626" s="5" t="s">
        <v>1653</v>
      </c>
      <c r="L626" s="6">
        <v>0.54166666666666663</v>
      </c>
      <c r="M626" s="7" t="s">
        <v>1654</v>
      </c>
      <c r="N626" s="14" t="s">
        <v>11</v>
      </c>
      <c r="O626" s="64"/>
      <c r="P626" s="63"/>
      <c r="Q626" s="63"/>
      <c r="R626" s="63"/>
      <c r="S626" s="63"/>
      <c r="T626" s="63"/>
      <c r="U626" s="63"/>
      <c r="V626" s="63"/>
      <c r="W626" s="17"/>
      <c r="X626" s="65">
        <v>46250</v>
      </c>
    </row>
    <row r="627" spans="1:24" ht="13.8" thickBot="1" x14ac:dyDescent="0.3">
      <c r="A627" s="4" t="s">
        <v>245</v>
      </c>
      <c r="B627" s="63"/>
      <c r="C627" s="63"/>
      <c r="D627" s="63"/>
      <c r="E627" s="63"/>
      <c r="F627" s="63"/>
      <c r="G627" s="63"/>
      <c r="H627" s="63"/>
      <c r="I627" s="64"/>
      <c r="J627" s="14" t="s">
        <v>10</v>
      </c>
      <c r="K627" s="5" t="s">
        <v>1655</v>
      </c>
      <c r="L627" s="6">
        <v>0.625</v>
      </c>
      <c r="M627" s="7" t="s">
        <v>1656</v>
      </c>
      <c r="N627" s="14" t="s">
        <v>11</v>
      </c>
      <c r="O627" s="64"/>
      <c r="P627" s="63"/>
      <c r="Q627" s="63"/>
      <c r="R627" s="63"/>
      <c r="S627" s="63"/>
      <c r="T627" s="63"/>
      <c r="U627" s="63"/>
      <c r="V627" s="63"/>
      <c r="W627" s="17"/>
      <c r="X627" s="65">
        <v>46250</v>
      </c>
    </row>
    <row r="628" spans="1:24" ht="13.8" thickBot="1" x14ac:dyDescent="0.3">
      <c r="A628" s="4" t="s">
        <v>245</v>
      </c>
      <c r="B628" s="63"/>
      <c r="C628" s="63"/>
      <c r="D628" s="63"/>
      <c r="E628" s="63"/>
      <c r="F628" s="63"/>
      <c r="G628" s="63"/>
      <c r="H628" s="63"/>
      <c r="I628" s="64"/>
      <c r="J628" s="14" t="s">
        <v>10</v>
      </c>
      <c r="K628" s="5" t="s">
        <v>1657</v>
      </c>
      <c r="L628" s="6">
        <v>0.72916666666666663</v>
      </c>
      <c r="M628" s="7" t="s">
        <v>1658</v>
      </c>
      <c r="N628" s="14" t="s">
        <v>11</v>
      </c>
      <c r="O628" s="64"/>
      <c r="P628" s="63"/>
      <c r="Q628" s="63"/>
      <c r="R628" s="63"/>
      <c r="S628" s="63"/>
      <c r="T628" s="63"/>
      <c r="U628" s="63"/>
      <c r="V628" s="63"/>
      <c r="W628" s="17"/>
      <c r="X628" s="65">
        <v>46250</v>
      </c>
    </row>
    <row r="629" spans="1:24" ht="19.8" thickBot="1" x14ac:dyDescent="0.3">
      <c r="A629" s="4" t="s">
        <v>242</v>
      </c>
      <c r="B629" s="63"/>
      <c r="C629" s="63"/>
      <c r="D629" s="63"/>
      <c r="E629" s="63"/>
      <c r="F629" s="63"/>
      <c r="G629" s="63"/>
      <c r="H629" s="63"/>
      <c r="I629" s="64"/>
      <c r="J629" s="14" t="s">
        <v>10</v>
      </c>
      <c r="K629" s="5" t="s">
        <v>1659</v>
      </c>
      <c r="L629" s="6">
        <v>0.34375</v>
      </c>
      <c r="M629" s="7" t="s">
        <v>1660</v>
      </c>
      <c r="N629" s="14" t="s">
        <v>11</v>
      </c>
      <c r="O629" s="64"/>
      <c r="P629" s="63"/>
      <c r="Q629" s="63"/>
      <c r="R629" s="63"/>
      <c r="S629" s="63"/>
      <c r="T629" s="63"/>
      <c r="U629" s="63"/>
      <c r="V629" s="63"/>
      <c r="W629" s="17"/>
      <c r="X629" s="65">
        <v>46250</v>
      </c>
    </row>
    <row r="630" spans="1:24" ht="13.8" thickBot="1" x14ac:dyDescent="0.3">
      <c r="A630" s="4" t="s">
        <v>242</v>
      </c>
      <c r="B630" s="63"/>
      <c r="C630" s="63"/>
      <c r="D630" s="63"/>
      <c r="E630" s="63"/>
      <c r="F630" s="63"/>
      <c r="G630" s="63"/>
      <c r="H630" s="63"/>
      <c r="I630" s="64"/>
      <c r="J630" s="14" t="s">
        <v>10</v>
      </c>
      <c r="K630" s="5" t="s">
        <v>1661</v>
      </c>
      <c r="L630" s="6">
        <v>0.4375</v>
      </c>
      <c r="M630" s="7" t="s">
        <v>1662</v>
      </c>
      <c r="N630" s="14" t="s">
        <v>11</v>
      </c>
      <c r="O630" s="64"/>
      <c r="P630" s="63"/>
      <c r="Q630" s="63"/>
      <c r="R630" s="63"/>
      <c r="S630" s="63"/>
      <c r="T630" s="63"/>
      <c r="U630" s="63"/>
      <c r="V630" s="63"/>
      <c r="W630" s="17"/>
      <c r="X630" s="65">
        <v>46250</v>
      </c>
    </row>
    <row r="631" spans="1:24" ht="19.8" thickBot="1" x14ac:dyDescent="0.3">
      <c r="A631" s="4" t="s">
        <v>242</v>
      </c>
      <c r="B631" s="63"/>
      <c r="C631" s="63"/>
      <c r="D631" s="63"/>
      <c r="E631" s="63"/>
      <c r="F631" s="63"/>
      <c r="G631" s="63"/>
      <c r="H631" s="63"/>
      <c r="I631" s="64"/>
      <c r="J631" s="14" t="s">
        <v>10</v>
      </c>
      <c r="K631" s="5" t="s">
        <v>1663</v>
      </c>
      <c r="L631" s="6">
        <v>0.4375</v>
      </c>
      <c r="M631" s="7" t="s">
        <v>1664</v>
      </c>
      <c r="N631" s="14" t="s">
        <v>11</v>
      </c>
      <c r="O631" s="64"/>
      <c r="P631" s="63"/>
      <c r="Q631" s="63"/>
      <c r="R631" s="63"/>
      <c r="S631" s="63"/>
      <c r="T631" s="63"/>
      <c r="U631" s="63"/>
      <c r="V631" s="63"/>
      <c r="W631" s="17"/>
      <c r="X631" s="65">
        <v>46250</v>
      </c>
    </row>
    <row r="632" spans="1:24" ht="19.8" thickBot="1" x14ac:dyDescent="0.3">
      <c r="A632" s="4" t="s">
        <v>242</v>
      </c>
      <c r="B632" s="63"/>
      <c r="C632" s="63"/>
      <c r="D632" s="63"/>
      <c r="E632" s="63"/>
      <c r="F632" s="63"/>
      <c r="G632" s="63"/>
      <c r="H632" s="63"/>
      <c r="I632" s="64"/>
      <c r="J632" s="14" t="s">
        <v>10</v>
      </c>
      <c r="K632" s="5" t="s">
        <v>1665</v>
      </c>
      <c r="L632" s="6">
        <v>0.53125</v>
      </c>
      <c r="M632" s="7" t="s">
        <v>1666</v>
      </c>
      <c r="N632" s="14" t="s">
        <v>11</v>
      </c>
      <c r="O632" s="64"/>
      <c r="P632" s="63"/>
      <c r="Q632" s="63"/>
      <c r="R632" s="63"/>
      <c r="S632" s="63"/>
      <c r="T632" s="63"/>
      <c r="U632" s="63"/>
      <c r="V632" s="63"/>
      <c r="W632" s="17"/>
      <c r="X632" s="65">
        <v>46250</v>
      </c>
    </row>
    <row r="633" spans="1:24" ht="13.8" thickBot="1" x14ac:dyDescent="0.3">
      <c r="A633" s="4" t="s">
        <v>243</v>
      </c>
      <c r="B633" s="63"/>
      <c r="C633" s="63"/>
      <c r="D633" s="63"/>
      <c r="E633" s="63"/>
      <c r="F633" s="63"/>
      <c r="G633" s="63"/>
      <c r="H633" s="63"/>
      <c r="I633" s="64"/>
      <c r="J633" s="14" t="s">
        <v>10</v>
      </c>
      <c r="K633" s="5" t="s">
        <v>207</v>
      </c>
      <c r="L633" s="6">
        <v>0.52083333333333337</v>
      </c>
      <c r="M633" s="7" t="s">
        <v>1667</v>
      </c>
      <c r="N633" s="14" t="s">
        <v>11</v>
      </c>
      <c r="O633" s="64"/>
      <c r="P633" s="63"/>
      <c r="Q633" s="63"/>
      <c r="R633" s="63"/>
      <c r="S633" s="63"/>
      <c r="T633" s="63"/>
      <c r="U633" s="63"/>
      <c r="V633" s="63"/>
      <c r="W633" s="17"/>
      <c r="X633" s="65">
        <v>46250</v>
      </c>
    </row>
    <row r="634" spans="1:24" ht="13.8" thickBot="1" x14ac:dyDescent="0.3">
      <c r="A634" s="4" t="s">
        <v>243</v>
      </c>
      <c r="B634" s="63"/>
      <c r="C634" s="63"/>
      <c r="D634" s="63"/>
      <c r="E634" s="63"/>
      <c r="F634" s="63"/>
      <c r="G634" s="63"/>
      <c r="H634" s="63"/>
      <c r="I634" s="64"/>
      <c r="J634" s="14" t="s">
        <v>10</v>
      </c>
      <c r="K634" s="5" t="s">
        <v>1668</v>
      </c>
      <c r="L634" s="6">
        <v>0.625</v>
      </c>
      <c r="M634" s="7" t="s">
        <v>1669</v>
      </c>
      <c r="N634" s="14" t="s">
        <v>11</v>
      </c>
      <c r="O634" s="64"/>
      <c r="P634" s="63"/>
      <c r="Q634" s="63"/>
      <c r="R634" s="63"/>
      <c r="S634" s="63"/>
      <c r="T634" s="63"/>
      <c r="U634" s="63"/>
      <c r="V634" s="63"/>
      <c r="W634" s="17"/>
      <c r="X634" s="65">
        <v>46250</v>
      </c>
    </row>
    <row r="635" spans="1:24" ht="13.8" thickBot="1" x14ac:dyDescent="0.3">
      <c r="A635" s="4" t="s">
        <v>243</v>
      </c>
      <c r="B635" s="63"/>
      <c r="C635" s="63"/>
      <c r="D635" s="63"/>
      <c r="E635" s="63"/>
      <c r="F635" s="63"/>
      <c r="G635" s="63"/>
      <c r="H635" s="63"/>
      <c r="I635" s="64"/>
      <c r="J635" s="14" t="s">
        <v>10</v>
      </c>
      <c r="K635" s="5" t="s">
        <v>1670</v>
      </c>
      <c r="L635" s="6">
        <v>0.72916666666666663</v>
      </c>
      <c r="M635" s="7" t="s">
        <v>1671</v>
      </c>
      <c r="N635" s="14" t="s">
        <v>11</v>
      </c>
      <c r="O635" s="64"/>
      <c r="P635" s="63"/>
      <c r="Q635" s="63"/>
      <c r="R635" s="63"/>
      <c r="S635" s="63"/>
      <c r="T635" s="63"/>
      <c r="U635" s="63"/>
      <c r="V635" s="63"/>
      <c r="W635" s="17"/>
      <c r="X635" s="65">
        <v>46250</v>
      </c>
    </row>
    <row r="636" spans="1:24" ht="19.8" thickBot="1" x14ac:dyDescent="0.3">
      <c r="A636" s="4" t="s">
        <v>243</v>
      </c>
      <c r="B636" s="63"/>
      <c r="C636" s="63"/>
      <c r="D636" s="63"/>
      <c r="E636" s="63"/>
      <c r="F636" s="63"/>
      <c r="G636" s="63"/>
      <c r="H636" s="63"/>
      <c r="I636" s="64"/>
      <c r="J636" s="14" t="s">
        <v>10</v>
      </c>
      <c r="K636" s="5" t="s">
        <v>1672</v>
      </c>
      <c r="L636" s="6">
        <v>0.72916666666666663</v>
      </c>
      <c r="M636" s="7" t="s">
        <v>1673</v>
      </c>
      <c r="N636" s="14" t="s">
        <v>11</v>
      </c>
      <c r="O636" s="64"/>
      <c r="P636" s="63"/>
      <c r="Q636" s="63"/>
      <c r="R636" s="63"/>
      <c r="S636" s="63"/>
      <c r="T636" s="63"/>
      <c r="U636" s="63"/>
      <c r="V636" s="63"/>
      <c r="W636" s="17"/>
      <c r="X636" s="65">
        <v>46250</v>
      </c>
    </row>
    <row r="637" spans="1:24" ht="13.8" thickBot="1" x14ac:dyDescent="0.3">
      <c r="A637" s="4" t="s">
        <v>244</v>
      </c>
      <c r="B637" s="63"/>
      <c r="C637" s="63"/>
      <c r="D637" s="63"/>
      <c r="E637" s="63"/>
      <c r="F637" s="63"/>
      <c r="G637" s="63"/>
      <c r="H637" s="63"/>
      <c r="I637" s="64"/>
      <c r="J637" s="14" t="s">
        <v>10</v>
      </c>
      <c r="K637" s="5" t="s">
        <v>1674</v>
      </c>
      <c r="L637" s="6">
        <v>0.4375</v>
      </c>
      <c r="M637" s="7" t="s">
        <v>1675</v>
      </c>
      <c r="N637" s="14" t="s">
        <v>11</v>
      </c>
      <c r="O637" s="64"/>
      <c r="P637" s="63"/>
      <c r="Q637" s="63"/>
      <c r="R637" s="63"/>
      <c r="S637" s="63"/>
      <c r="T637" s="63"/>
      <c r="U637" s="63"/>
      <c r="V637" s="63"/>
      <c r="W637" s="17"/>
      <c r="X637" s="65">
        <v>46250</v>
      </c>
    </row>
    <row r="638" spans="1:24" ht="19.8" thickBot="1" x14ac:dyDescent="0.3">
      <c r="A638" s="4" t="s">
        <v>244</v>
      </c>
      <c r="B638" s="63"/>
      <c r="C638" s="63"/>
      <c r="D638" s="63"/>
      <c r="E638" s="63"/>
      <c r="F638" s="63"/>
      <c r="G638" s="63"/>
      <c r="H638" s="63"/>
      <c r="I638" s="64"/>
      <c r="J638" s="14" t="s">
        <v>10</v>
      </c>
      <c r="K638" s="5" t="s">
        <v>1676</v>
      </c>
      <c r="L638" s="6">
        <v>0.54166666666666663</v>
      </c>
      <c r="M638" s="7" t="s">
        <v>1677</v>
      </c>
      <c r="N638" s="14" t="s">
        <v>11</v>
      </c>
      <c r="O638" s="64"/>
      <c r="P638" s="63"/>
      <c r="Q638" s="63"/>
      <c r="R638" s="63"/>
      <c r="S638" s="63"/>
      <c r="T638" s="63"/>
      <c r="U638" s="63"/>
      <c r="V638" s="63"/>
      <c r="W638" s="17"/>
      <c r="X638" s="65">
        <v>46250</v>
      </c>
    </row>
    <row r="639" spans="1:24" ht="13.8" thickBot="1" x14ac:dyDescent="0.3">
      <c r="A639" s="4" t="s">
        <v>245</v>
      </c>
      <c r="B639" s="63"/>
      <c r="C639" s="63"/>
      <c r="D639" s="63"/>
      <c r="E639" s="63"/>
      <c r="F639" s="63"/>
      <c r="G639" s="63"/>
      <c r="H639" s="63"/>
      <c r="I639" s="64"/>
      <c r="J639" s="14" t="s">
        <v>10</v>
      </c>
      <c r="K639" s="5" t="s">
        <v>1678</v>
      </c>
      <c r="L639" s="6">
        <v>0.54166666666666663</v>
      </c>
      <c r="M639" s="7" t="s">
        <v>1679</v>
      </c>
      <c r="N639" s="14" t="s">
        <v>11</v>
      </c>
      <c r="O639" s="64"/>
      <c r="P639" s="63"/>
      <c r="Q639" s="63"/>
      <c r="R639" s="63"/>
      <c r="S639" s="63"/>
      <c r="T639" s="63"/>
      <c r="U639" s="63"/>
      <c r="V639" s="63"/>
      <c r="W639" s="17"/>
      <c r="X639" s="65">
        <v>46250</v>
      </c>
    </row>
    <row r="640" spans="1:24" ht="13.8" thickBot="1" x14ac:dyDescent="0.3">
      <c r="A640" s="4" t="s">
        <v>245</v>
      </c>
      <c r="B640" s="63"/>
      <c r="C640" s="63"/>
      <c r="D640" s="63"/>
      <c r="E640" s="63"/>
      <c r="F640" s="63"/>
      <c r="G640" s="63"/>
      <c r="H640" s="63"/>
      <c r="I640" s="64"/>
      <c r="J640" s="14" t="s">
        <v>10</v>
      </c>
      <c r="K640" s="5" t="s">
        <v>1680</v>
      </c>
      <c r="L640" s="6">
        <v>0.625</v>
      </c>
      <c r="M640" s="7" t="s">
        <v>1681</v>
      </c>
      <c r="N640" s="14" t="s">
        <v>11</v>
      </c>
      <c r="O640" s="64"/>
      <c r="P640" s="63"/>
      <c r="Q640" s="63"/>
      <c r="R640" s="63"/>
      <c r="S640" s="63"/>
      <c r="T640" s="63"/>
      <c r="U640" s="63"/>
      <c r="V640" s="63"/>
      <c r="W640" s="17"/>
      <c r="X640" s="65">
        <v>46250</v>
      </c>
    </row>
    <row r="641" spans="1:24" ht="13.8" thickBot="1" x14ac:dyDescent="0.3">
      <c r="A641" s="4" t="s">
        <v>245</v>
      </c>
      <c r="B641" s="63"/>
      <c r="C641" s="63"/>
      <c r="D641" s="63"/>
      <c r="E641" s="63"/>
      <c r="F641" s="63"/>
      <c r="G641" s="63"/>
      <c r="H641" s="63"/>
      <c r="I641" s="64"/>
      <c r="J641" s="14" t="s">
        <v>10</v>
      </c>
      <c r="K641" s="5" t="s">
        <v>1682</v>
      </c>
      <c r="L641" s="6">
        <v>0.625</v>
      </c>
      <c r="M641" s="7" t="s">
        <v>1683</v>
      </c>
      <c r="N641" s="14" t="s">
        <v>11</v>
      </c>
      <c r="O641" s="64"/>
      <c r="P641" s="63"/>
      <c r="Q641" s="63"/>
      <c r="R641" s="63"/>
      <c r="S641" s="63"/>
      <c r="T641" s="63"/>
      <c r="U641" s="63"/>
      <c r="V641" s="63"/>
      <c r="W641" s="17"/>
      <c r="X641" s="65">
        <v>46250</v>
      </c>
    </row>
    <row r="642" spans="1:24" ht="13.8" thickBot="1" x14ac:dyDescent="0.3">
      <c r="A642" s="4" t="s">
        <v>245</v>
      </c>
      <c r="B642" s="63"/>
      <c r="C642" s="63"/>
      <c r="D642" s="63"/>
      <c r="E642" s="63"/>
      <c r="F642" s="63"/>
      <c r="G642" s="63"/>
      <c r="H642" s="63"/>
      <c r="I642" s="64"/>
      <c r="J642" s="14" t="s">
        <v>10</v>
      </c>
      <c r="K642" s="5" t="s">
        <v>1684</v>
      </c>
      <c r="L642" s="6">
        <v>0.72916666666666663</v>
      </c>
      <c r="M642" s="7" t="s">
        <v>1685</v>
      </c>
      <c r="N642" s="14" t="s">
        <v>11</v>
      </c>
      <c r="O642" s="64"/>
      <c r="P642" s="63"/>
      <c r="Q642" s="63"/>
      <c r="R642" s="63"/>
      <c r="S642" s="63"/>
      <c r="T642" s="63"/>
      <c r="U642" s="63"/>
      <c r="V642" s="63"/>
      <c r="W642" s="17"/>
      <c r="X642" s="65">
        <v>46250</v>
      </c>
    </row>
    <row r="643" spans="1:24" ht="19.8" thickBot="1" x14ac:dyDescent="0.3">
      <c r="A643" s="4" t="s">
        <v>215</v>
      </c>
      <c r="B643" s="63"/>
      <c r="C643" s="63"/>
      <c r="D643" s="63"/>
      <c r="E643" s="63"/>
      <c r="F643" s="63"/>
      <c r="G643" s="63"/>
      <c r="H643" s="63"/>
      <c r="I643" s="64"/>
      <c r="J643" s="14" t="s">
        <v>10</v>
      </c>
      <c r="K643" s="5" t="s">
        <v>1686</v>
      </c>
      <c r="L643" s="6">
        <v>0.39583333333333331</v>
      </c>
      <c r="M643" s="7" t="s">
        <v>1687</v>
      </c>
      <c r="N643" s="14" t="s">
        <v>11</v>
      </c>
      <c r="O643" s="64"/>
      <c r="P643" s="63"/>
      <c r="Q643" s="63"/>
      <c r="R643" s="63"/>
      <c r="S643" s="63"/>
      <c r="T643" s="63"/>
      <c r="U643" s="63"/>
      <c r="V643" s="63"/>
      <c r="W643" s="17"/>
      <c r="X643" s="65">
        <v>46250</v>
      </c>
    </row>
    <row r="644" spans="1:24" ht="19.8" thickBot="1" x14ac:dyDescent="0.3">
      <c r="A644" s="4" t="s">
        <v>215</v>
      </c>
      <c r="B644" s="63"/>
      <c r="C644" s="63"/>
      <c r="D644" s="63"/>
      <c r="E644" s="63"/>
      <c r="F644" s="63"/>
      <c r="G644" s="63"/>
      <c r="H644" s="63"/>
      <c r="I644" s="64"/>
      <c r="J644" s="14" t="s">
        <v>10</v>
      </c>
      <c r="K644" s="5" t="s">
        <v>1688</v>
      </c>
      <c r="L644" s="6">
        <v>0.39583333333333331</v>
      </c>
      <c r="M644" s="7" t="s">
        <v>1689</v>
      </c>
      <c r="N644" s="14" t="s">
        <v>11</v>
      </c>
      <c r="O644" s="64"/>
      <c r="P644" s="63"/>
      <c r="Q644" s="63"/>
      <c r="R644" s="63"/>
      <c r="S644" s="63"/>
      <c r="T644" s="63"/>
      <c r="U644" s="63"/>
      <c r="V644" s="63"/>
      <c r="W644" s="17"/>
      <c r="X644" s="65">
        <v>46250</v>
      </c>
    </row>
    <row r="645" spans="1:24" ht="13.8" thickBot="1" x14ac:dyDescent="0.3">
      <c r="A645" s="4" t="s">
        <v>215</v>
      </c>
      <c r="B645" s="63"/>
      <c r="C645" s="63"/>
      <c r="D645" s="63"/>
      <c r="E645" s="63"/>
      <c r="F645" s="63"/>
      <c r="G645" s="63"/>
      <c r="H645" s="63"/>
      <c r="I645" s="64"/>
      <c r="J645" s="14" t="s">
        <v>10</v>
      </c>
      <c r="K645" s="5" t="s">
        <v>1690</v>
      </c>
      <c r="L645" s="6">
        <v>0.39583333333333331</v>
      </c>
      <c r="M645" s="7" t="s">
        <v>1691</v>
      </c>
      <c r="N645" s="14" t="s">
        <v>11</v>
      </c>
      <c r="O645" s="64"/>
      <c r="P645" s="63"/>
      <c r="Q645" s="63"/>
      <c r="R645" s="63"/>
      <c r="S645" s="63"/>
      <c r="T645" s="63"/>
      <c r="U645" s="63"/>
      <c r="V645" s="63"/>
      <c r="W645" s="17"/>
      <c r="X645" s="65">
        <v>46250</v>
      </c>
    </row>
    <row r="646" spans="1:24" ht="13.8" thickBot="1" x14ac:dyDescent="0.3">
      <c r="A646" s="4" t="s">
        <v>117</v>
      </c>
      <c r="B646" s="8">
        <v>1</v>
      </c>
      <c r="C646" s="15">
        <v>1</v>
      </c>
      <c r="D646" s="8">
        <v>1</v>
      </c>
      <c r="E646" s="10" t="s">
        <v>218</v>
      </c>
      <c r="F646" s="11" t="s">
        <v>217</v>
      </c>
      <c r="G646" s="12" t="s">
        <v>226</v>
      </c>
      <c r="H646" s="13" t="s">
        <v>247</v>
      </c>
      <c r="I646" s="14">
        <v>2</v>
      </c>
      <c r="J646" s="14" t="s">
        <v>10</v>
      </c>
      <c r="K646" s="5" t="s">
        <v>1692</v>
      </c>
      <c r="L646" s="6">
        <v>0.92708333333333337</v>
      </c>
      <c r="M646" s="7" t="s">
        <v>1693</v>
      </c>
      <c r="N646" s="14" t="s">
        <v>11</v>
      </c>
      <c r="O646" s="14">
        <v>2</v>
      </c>
      <c r="P646" s="13" t="s">
        <v>247</v>
      </c>
      <c r="Q646" s="12" t="s">
        <v>246</v>
      </c>
      <c r="R646" s="11" t="s">
        <v>217</v>
      </c>
      <c r="S646" s="10" t="s">
        <v>221</v>
      </c>
      <c r="T646" s="8">
        <v>1</v>
      </c>
      <c r="U646" s="15">
        <v>1</v>
      </c>
      <c r="V646" s="8">
        <v>0.5</v>
      </c>
      <c r="W646" s="17"/>
      <c r="X646" s="65">
        <v>46250</v>
      </c>
    </row>
    <row r="647" spans="1:24" ht="13.8" thickBot="1" x14ac:dyDescent="0.3">
      <c r="A647" s="4" t="s">
        <v>117</v>
      </c>
      <c r="B647" s="8">
        <v>0.5</v>
      </c>
      <c r="C647" s="15">
        <v>1</v>
      </c>
      <c r="D647" s="8">
        <v>1</v>
      </c>
      <c r="E647" s="10" t="s">
        <v>216</v>
      </c>
      <c r="F647" s="11" t="s">
        <v>216</v>
      </c>
      <c r="G647" s="12" t="s">
        <v>226</v>
      </c>
      <c r="H647" s="13" t="s">
        <v>220</v>
      </c>
      <c r="I647" s="14">
        <v>2</v>
      </c>
      <c r="J647" s="14" t="s">
        <v>10</v>
      </c>
      <c r="K647" s="5" t="s">
        <v>1694</v>
      </c>
      <c r="L647" s="6">
        <v>0.66666666666666663</v>
      </c>
      <c r="M647" s="7" t="s">
        <v>1695</v>
      </c>
      <c r="N647" s="14" t="s">
        <v>11</v>
      </c>
      <c r="O647" s="14">
        <v>2</v>
      </c>
      <c r="P647" s="13" t="s">
        <v>220</v>
      </c>
      <c r="Q647" s="12" t="s">
        <v>221</v>
      </c>
      <c r="R647" s="11" t="s">
        <v>220</v>
      </c>
      <c r="S647" s="10" t="s">
        <v>217</v>
      </c>
      <c r="T647" s="8">
        <v>1</v>
      </c>
      <c r="U647" s="9">
        <v>0.5</v>
      </c>
      <c r="V647" s="8">
        <v>0</v>
      </c>
      <c r="W647" s="17"/>
      <c r="X647" s="65">
        <v>46250</v>
      </c>
    </row>
    <row r="648" spans="1:24" ht="19.8" thickBot="1" x14ac:dyDescent="0.3">
      <c r="A648" s="4" t="s">
        <v>117</v>
      </c>
      <c r="B648" s="8">
        <v>0</v>
      </c>
      <c r="C648" s="9">
        <v>0</v>
      </c>
      <c r="D648" s="8">
        <v>0</v>
      </c>
      <c r="E648" s="10" t="s">
        <v>217</v>
      </c>
      <c r="F648" s="11" t="s">
        <v>219</v>
      </c>
      <c r="G648" s="12" t="s">
        <v>217</v>
      </c>
      <c r="H648" s="13" t="s">
        <v>219</v>
      </c>
      <c r="I648" s="14">
        <v>2</v>
      </c>
      <c r="J648" s="14" t="s">
        <v>10</v>
      </c>
      <c r="K648" s="5" t="s">
        <v>1696</v>
      </c>
      <c r="L648" s="6">
        <v>0.79166666666666663</v>
      </c>
      <c r="M648" s="7" t="s">
        <v>1697</v>
      </c>
      <c r="N648" s="14" t="s">
        <v>11</v>
      </c>
      <c r="O648" s="14">
        <v>2</v>
      </c>
      <c r="P648" s="13" t="s">
        <v>218</v>
      </c>
      <c r="Q648" s="12" t="s">
        <v>218</v>
      </c>
      <c r="R648" s="11" t="s">
        <v>216</v>
      </c>
      <c r="S648" s="10" t="s">
        <v>217</v>
      </c>
      <c r="T648" s="8">
        <v>0.5</v>
      </c>
      <c r="U648" s="9">
        <v>0.5</v>
      </c>
      <c r="V648" s="8">
        <v>0.5</v>
      </c>
      <c r="W648" s="17"/>
      <c r="X648" s="65">
        <v>46250</v>
      </c>
    </row>
    <row r="649" spans="1:24" ht="19.8" thickBot="1" x14ac:dyDescent="0.3">
      <c r="A649" s="4" t="s">
        <v>117</v>
      </c>
      <c r="B649" s="8">
        <v>0</v>
      </c>
      <c r="C649" s="9">
        <v>0</v>
      </c>
      <c r="D649" s="8">
        <v>0</v>
      </c>
      <c r="E649" s="10" t="s">
        <v>219</v>
      </c>
      <c r="F649" s="11" t="s">
        <v>217</v>
      </c>
      <c r="G649" s="12" t="s">
        <v>217</v>
      </c>
      <c r="H649" s="13" t="s">
        <v>218</v>
      </c>
      <c r="I649" s="14">
        <v>1</v>
      </c>
      <c r="J649" s="14" t="s">
        <v>10</v>
      </c>
      <c r="K649" s="5" t="s">
        <v>1698</v>
      </c>
      <c r="L649" s="6">
        <v>0.88541666666666663</v>
      </c>
      <c r="M649" s="7" t="s">
        <v>318</v>
      </c>
      <c r="N649" s="14" t="s">
        <v>11</v>
      </c>
      <c r="O649" s="14">
        <v>2</v>
      </c>
      <c r="P649" s="13" t="s">
        <v>220</v>
      </c>
      <c r="Q649" s="12" t="s">
        <v>216</v>
      </c>
      <c r="R649" s="11" t="s">
        <v>217</v>
      </c>
      <c r="S649" s="10" t="s">
        <v>217</v>
      </c>
      <c r="T649" s="8">
        <v>0.5</v>
      </c>
      <c r="U649" s="9">
        <v>0.5</v>
      </c>
      <c r="V649" s="8">
        <v>0</v>
      </c>
      <c r="W649" s="17"/>
      <c r="X649" s="65">
        <v>46250</v>
      </c>
    </row>
    <row r="650" spans="1:24" ht="19.8" thickBot="1" x14ac:dyDescent="0.3">
      <c r="A650" s="4" t="s">
        <v>117</v>
      </c>
      <c r="B650" s="8">
        <v>0</v>
      </c>
      <c r="C650" s="9">
        <v>0</v>
      </c>
      <c r="D650" s="8">
        <v>0.5</v>
      </c>
      <c r="E650" s="10" t="s">
        <v>217</v>
      </c>
      <c r="F650" s="11" t="s">
        <v>247</v>
      </c>
      <c r="G650" s="12" t="s">
        <v>220</v>
      </c>
      <c r="H650" s="13" t="s">
        <v>220</v>
      </c>
      <c r="I650" s="14">
        <v>2</v>
      </c>
      <c r="J650" s="14" t="s">
        <v>10</v>
      </c>
      <c r="K650" s="5" t="s">
        <v>1699</v>
      </c>
      <c r="L650" s="6">
        <v>0.88541666666666663</v>
      </c>
      <c r="M650" s="7" t="s">
        <v>1700</v>
      </c>
      <c r="N650" s="14" t="s">
        <v>11</v>
      </c>
      <c r="O650" s="14">
        <v>2</v>
      </c>
      <c r="P650" s="13" t="s">
        <v>220</v>
      </c>
      <c r="Q650" s="12" t="s">
        <v>217</v>
      </c>
      <c r="R650" s="11" t="s">
        <v>247</v>
      </c>
      <c r="S650" s="10" t="s">
        <v>247</v>
      </c>
      <c r="T650" s="8">
        <v>0</v>
      </c>
      <c r="U650" s="9">
        <v>0</v>
      </c>
      <c r="V650" s="8">
        <v>0</v>
      </c>
      <c r="W650" s="17"/>
      <c r="X650" s="65">
        <v>46250</v>
      </c>
    </row>
    <row r="651" spans="1:24" ht="19.8" thickBot="1" x14ac:dyDescent="0.3">
      <c r="A651" s="4" t="s">
        <v>117</v>
      </c>
      <c r="B651" s="8">
        <v>0.09</v>
      </c>
      <c r="C651" s="9">
        <v>0.36</v>
      </c>
      <c r="D651" s="8">
        <v>0.45</v>
      </c>
      <c r="E651" s="10" t="s">
        <v>300</v>
      </c>
      <c r="F651" s="11" t="s">
        <v>217</v>
      </c>
      <c r="G651" s="12" t="s">
        <v>303</v>
      </c>
      <c r="H651" s="13" t="s">
        <v>799</v>
      </c>
      <c r="I651" s="14">
        <v>11</v>
      </c>
      <c r="J651" s="14" t="s">
        <v>10</v>
      </c>
      <c r="K651" s="5" t="s">
        <v>1701</v>
      </c>
      <c r="L651" s="6">
        <v>0.66666666666666663</v>
      </c>
      <c r="M651" s="7" t="s">
        <v>1702</v>
      </c>
      <c r="N651" s="14" t="s">
        <v>11</v>
      </c>
      <c r="O651" s="14">
        <v>11</v>
      </c>
      <c r="P651" s="13" t="s">
        <v>217</v>
      </c>
      <c r="Q651" s="12" t="s">
        <v>301</v>
      </c>
      <c r="R651" s="11" t="s">
        <v>784</v>
      </c>
      <c r="S651" s="10" t="s">
        <v>262</v>
      </c>
      <c r="T651" s="8">
        <v>0.27</v>
      </c>
      <c r="U651" s="9">
        <v>0.18</v>
      </c>
      <c r="V651" s="8">
        <v>0</v>
      </c>
      <c r="W651" s="17"/>
      <c r="X651" s="65">
        <v>46250</v>
      </c>
    </row>
    <row r="652" spans="1:24" ht="19.8" thickBot="1" x14ac:dyDescent="0.3">
      <c r="A652" s="4" t="s">
        <v>117</v>
      </c>
      <c r="B652" s="8">
        <v>0.17</v>
      </c>
      <c r="C652" s="9">
        <v>0.33</v>
      </c>
      <c r="D652" s="8">
        <v>0.5</v>
      </c>
      <c r="E652" s="10" t="s">
        <v>247</v>
      </c>
      <c r="F652" s="11" t="s">
        <v>788</v>
      </c>
      <c r="G652" s="12" t="s">
        <v>851</v>
      </c>
      <c r="H652" s="13" t="s">
        <v>1005</v>
      </c>
      <c r="I652" s="14">
        <v>12</v>
      </c>
      <c r="J652" s="14" t="s">
        <v>10</v>
      </c>
      <c r="K652" s="5" t="s">
        <v>121</v>
      </c>
      <c r="L652" s="6">
        <v>0.6875</v>
      </c>
      <c r="M652" s="7" t="s">
        <v>1703</v>
      </c>
      <c r="N652" s="14" t="s">
        <v>11</v>
      </c>
      <c r="O652" s="14">
        <v>12</v>
      </c>
      <c r="P652" s="13" t="s">
        <v>288</v>
      </c>
      <c r="Q652" s="12" t="s">
        <v>220</v>
      </c>
      <c r="R652" s="11" t="s">
        <v>247</v>
      </c>
      <c r="S652" s="10" t="s">
        <v>217</v>
      </c>
      <c r="T652" s="8">
        <v>0.5</v>
      </c>
      <c r="U652" s="9">
        <v>0.17</v>
      </c>
      <c r="V652" s="8">
        <v>0.08</v>
      </c>
      <c r="W652" s="17"/>
      <c r="X652" s="65">
        <v>46250</v>
      </c>
    </row>
    <row r="653" spans="1:24" ht="19.8" thickBot="1" x14ac:dyDescent="0.3">
      <c r="A653" s="4" t="s">
        <v>117</v>
      </c>
      <c r="B653" s="8">
        <v>0.17</v>
      </c>
      <c r="C653" s="9">
        <v>0.5</v>
      </c>
      <c r="D653" s="8">
        <v>0.83</v>
      </c>
      <c r="E653" s="10" t="s">
        <v>222</v>
      </c>
      <c r="F653" s="11" t="s">
        <v>216</v>
      </c>
      <c r="G653" s="12" t="s">
        <v>330</v>
      </c>
      <c r="H653" s="13" t="s">
        <v>1704</v>
      </c>
      <c r="I653" s="14">
        <v>12</v>
      </c>
      <c r="J653" s="14" t="s">
        <v>10</v>
      </c>
      <c r="K653" s="5" t="s">
        <v>1705</v>
      </c>
      <c r="L653" s="6">
        <v>0.70833333333333337</v>
      </c>
      <c r="M653" s="7" t="s">
        <v>1706</v>
      </c>
      <c r="N653" s="14" t="s">
        <v>11</v>
      </c>
      <c r="O653" s="14">
        <v>12</v>
      </c>
      <c r="P653" s="13" t="s">
        <v>222</v>
      </c>
      <c r="Q653" s="12" t="s">
        <v>216</v>
      </c>
      <c r="R653" s="11" t="s">
        <v>310</v>
      </c>
      <c r="S653" s="10" t="s">
        <v>224</v>
      </c>
      <c r="T653" s="8">
        <v>0.67</v>
      </c>
      <c r="U653" s="9">
        <v>0.25</v>
      </c>
      <c r="V653" s="8">
        <v>0.17</v>
      </c>
      <c r="W653" s="17"/>
      <c r="X653" s="65">
        <v>46250</v>
      </c>
    </row>
    <row r="654" spans="1:24" ht="19.8" thickBot="1" x14ac:dyDescent="0.3">
      <c r="A654" s="4" t="s">
        <v>117</v>
      </c>
      <c r="B654" s="8">
        <v>0.1</v>
      </c>
      <c r="C654" s="9">
        <v>0.1</v>
      </c>
      <c r="D654" s="8">
        <v>0.4</v>
      </c>
      <c r="E654" s="10" t="s">
        <v>816</v>
      </c>
      <c r="F654" s="11" t="s">
        <v>824</v>
      </c>
      <c r="G654" s="12" t="s">
        <v>220</v>
      </c>
      <c r="H654" s="13" t="s">
        <v>227</v>
      </c>
      <c r="I654" s="14">
        <v>10</v>
      </c>
      <c r="J654" s="14" t="s">
        <v>10</v>
      </c>
      <c r="K654" s="5" t="s">
        <v>1707</v>
      </c>
      <c r="L654" s="6">
        <v>0.75</v>
      </c>
      <c r="M654" s="7" t="s">
        <v>1708</v>
      </c>
      <c r="N654" s="14" t="s">
        <v>11</v>
      </c>
      <c r="O654" s="14">
        <v>11</v>
      </c>
      <c r="P654" s="13" t="s">
        <v>265</v>
      </c>
      <c r="Q654" s="12" t="s">
        <v>314</v>
      </c>
      <c r="R654" s="11" t="s">
        <v>217</v>
      </c>
      <c r="S654" s="10" t="s">
        <v>255</v>
      </c>
      <c r="T654" s="8">
        <v>0.73</v>
      </c>
      <c r="U654" s="9">
        <v>0.45</v>
      </c>
      <c r="V654" s="8">
        <v>0.09</v>
      </c>
      <c r="W654" s="17"/>
      <c r="X654" s="65">
        <v>46250</v>
      </c>
    </row>
    <row r="655" spans="1:24" ht="19.8" thickBot="1" x14ac:dyDescent="0.3">
      <c r="A655" s="4" t="s">
        <v>117</v>
      </c>
      <c r="B655" s="8">
        <v>0.17</v>
      </c>
      <c r="C655" s="9">
        <v>0.5</v>
      </c>
      <c r="D655" s="8">
        <v>0.67</v>
      </c>
      <c r="E655" s="10" t="s">
        <v>288</v>
      </c>
      <c r="F655" s="11" t="s">
        <v>788</v>
      </c>
      <c r="G655" s="12" t="s">
        <v>225</v>
      </c>
      <c r="H655" s="13" t="s">
        <v>216</v>
      </c>
      <c r="I655" s="14">
        <v>12</v>
      </c>
      <c r="J655" s="14" t="s">
        <v>10</v>
      </c>
      <c r="K655" s="5" t="s">
        <v>1709</v>
      </c>
      <c r="L655" s="6">
        <v>0.75</v>
      </c>
      <c r="M655" s="7" t="s">
        <v>1710</v>
      </c>
      <c r="N655" s="14" t="s">
        <v>11</v>
      </c>
      <c r="O655" s="14">
        <v>12</v>
      </c>
      <c r="P655" s="13" t="s">
        <v>217</v>
      </c>
      <c r="Q655" s="12" t="s">
        <v>225</v>
      </c>
      <c r="R655" s="11" t="s">
        <v>217</v>
      </c>
      <c r="S655" s="10" t="s">
        <v>293</v>
      </c>
      <c r="T655" s="8">
        <v>0.83</v>
      </c>
      <c r="U655" s="9">
        <v>0.42</v>
      </c>
      <c r="V655" s="8">
        <v>0</v>
      </c>
      <c r="W655" s="17"/>
      <c r="X655" s="65">
        <v>46250</v>
      </c>
    </row>
    <row r="656" spans="1:24" ht="13.8" thickBot="1" x14ac:dyDescent="0.3">
      <c r="A656" s="4" t="s">
        <v>117</v>
      </c>
      <c r="B656" s="8">
        <v>0.08</v>
      </c>
      <c r="C656" s="9">
        <v>0.33</v>
      </c>
      <c r="D656" s="8">
        <v>0.67</v>
      </c>
      <c r="E656" s="10" t="s">
        <v>310</v>
      </c>
      <c r="F656" s="11" t="s">
        <v>348</v>
      </c>
      <c r="G656" s="12" t="s">
        <v>772</v>
      </c>
      <c r="H656" s="13" t="s">
        <v>220</v>
      </c>
      <c r="I656" s="14">
        <v>12</v>
      </c>
      <c r="J656" s="14" t="s">
        <v>10</v>
      </c>
      <c r="K656" s="5" t="s">
        <v>116</v>
      </c>
      <c r="L656" s="6">
        <v>0.79166666666666663</v>
      </c>
      <c r="M656" s="7" t="s">
        <v>1711</v>
      </c>
      <c r="N656" s="14" t="s">
        <v>11</v>
      </c>
      <c r="O656" s="14">
        <v>12</v>
      </c>
      <c r="P656" s="13" t="s">
        <v>788</v>
      </c>
      <c r="Q656" s="12" t="s">
        <v>252</v>
      </c>
      <c r="R656" s="11" t="s">
        <v>348</v>
      </c>
      <c r="S656" s="10" t="s">
        <v>217</v>
      </c>
      <c r="T656" s="8">
        <v>0.5</v>
      </c>
      <c r="U656" s="9">
        <v>0.5</v>
      </c>
      <c r="V656" s="8">
        <v>0.33</v>
      </c>
      <c r="W656" s="17"/>
      <c r="X656" s="65">
        <v>46250</v>
      </c>
    </row>
    <row r="657" spans="1:24" ht="13.8" thickBot="1" x14ac:dyDescent="0.3">
      <c r="A657" s="4" t="s">
        <v>117</v>
      </c>
      <c r="B657" s="8">
        <v>0.27</v>
      </c>
      <c r="C657" s="15">
        <v>0.55000000000000004</v>
      </c>
      <c r="D657" s="8">
        <v>0.73</v>
      </c>
      <c r="E657" s="10" t="s">
        <v>265</v>
      </c>
      <c r="F657" s="11" t="s">
        <v>303</v>
      </c>
      <c r="G657" s="12" t="s">
        <v>257</v>
      </c>
      <c r="H657" s="13" t="s">
        <v>311</v>
      </c>
      <c r="I657" s="14">
        <v>11</v>
      </c>
      <c r="J657" s="14" t="s">
        <v>10</v>
      </c>
      <c r="K657" s="5" t="s">
        <v>124</v>
      </c>
      <c r="L657" s="6">
        <v>0.83333333333333337</v>
      </c>
      <c r="M657" s="7" t="s">
        <v>1712</v>
      </c>
      <c r="N657" s="14" t="s">
        <v>11</v>
      </c>
      <c r="O657" s="14">
        <v>10</v>
      </c>
      <c r="P657" s="13" t="s">
        <v>220</v>
      </c>
      <c r="Q657" s="12" t="s">
        <v>220</v>
      </c>
      <c r="R657" s="11" t="s">
        <v>217</v>
      </c>
      <c r="S657" s="10" t="s">
        <v>247</v>
      </c>
      <c r="T657" s="8">
        <v>0.5</v>
      </c>
      <c r="U657" s="9">
        <v>0.2</v>
      </c>
      <c r="V657" s="8">
        <v>0</v>
      </c>
      <c r="W657" s="17"/>
      <c r="X657" s="65">
        <v>46250</v>
      </c>
    </row>
    <row r="658" spans="1:24" ht="13.8" thickBot="1" x14ac:dyDescent="0.3">
      <c r="A658" s="4" t="s">
        <v>253</v>
      </c>
      <c r="B658" s="63"/>
      <c r="C658" s="63"/>
      <c r="D658" s="63"/>
      <c r="E658" s="63"/>
      <c r="F658" s="63"/>
      <c r="G658" s="63"/>
      <c r="H658" s="63"/>
      <c r="I658" s="64"/>
      <c r="J658" s="14" t="s">
        <v>10</v>
      </c>
      <c r="K658" s="5" t="s">
        <v>1713</v>
      </c>
      <c r="L658" s="6">
        <v>0.41666666666666669</v>
      </c>
      <c r="M658" s="7" t="s">
        <v>1714</v>
      </c>
      <c r="N658" s="14" t="s">
        <v>11</v>
      </c>
      <c r="O658" s="14">
        <v>1</v>
      </c>
      <c r="P658" s="13" t="s">
        <v>217</v>
      </c>
      <c r="Q658" s="12" t="s">
        <v>226</v>
      </c>
      <c r="R658" s="11" t="s">
        <v>216</v>
      </c>
      <c r="S658" s="10" t="s">
        <v>216</v>
      </c>
      <c r="T658" s="8">
        <v>1</v>
      </c>
      <c r="U658" s="15">
        <v>1</v>
      </c>
      <c r="V658" s="8">
        <v>1</v>
      </c>
      <c r="W658" s="17"/>
      <c r="X658" s="65">
        <v>46250</v>
      </c>
    </row>
    <row r="659" spans="1:24" ht="19.8" thickBot="1" x14ac:dyDescent="0.3">
      <c r="A659" s="4" t="s">
        <v>126</v>
      </c>
      <c r="B659" s="8">
        <v>0.1</v>
      </c>
      <c r="C659" s="9">
        <v>0.5</v>
      </c>
      <c r="D659" s="8">
        <v>0.6</v>
      </c>
      <c r="E659" s="10" t="s">
        <v>217</v>
      </c>
      <c r="F659" s="11" t="s">
        <v>270</v>
      </c>
      <c r="G659" s="12" t="s">
        <v>267</v>
      </c>
      <c r="H659" s="13" t="s">
        <v>273</v>
      </c>
      <c r="I659" s="14">
        <v>10</v>
      </c>
      <c r="J659" s="14" t="s">
        <v>10</v>
      </c>
      <c r="K659" s="5" t="s">
        <v>1715</v>
      </c>
      <c r="L659" s="6">
        <v>0.125</v>
      </c>
      <c r="M659" s="7" t="s">
        <v>130</v>
      </c>
      <c r="N659" s="14" t="s">
        <v>11</v>
      </c>
      <c r="O659" s="14">
        <v>11</v>
      </c>
      <c r="P659" s="13" t="s">
        <v>300</v>
      </c>
      <c r="Q659" s="12" t="s">
        <v>1716</v>
      </c>
      <c r="R659" s="11" t="s">
        <v>217</v>
      </c>
      <c r="S659" s="10" t="s">
        <v>263</v>
      </c>
      <c r="T659" s="8">
        <v>0.82</v>
      </c>
      <c r="U659" s="15">
        <v>0.64</v>
      </c>
      <c r="V659" s="8">
        <v>0.45</v>
      </c>
      <c r="W659" s="17"/>
      <c r="X659" s="65">
        <v>46250</v>
      </c>
    </row>
    <row r="660" spans="1:24" ht="19.8" thickBot="1" x14ac:dyDescent="0.3">
      <c r="A660" s="4" t="s">
        <v>126</v>
      </c>
      <c r="B660" s="8">
        <v>0.5</v>
      </c>
      <c r="C660" s="15">
        <v>0.7</v>
      </c>
      <c r="D660" s="8">
        <v>0.9</v>
      </c>
      <c r="E660" s="10" t="s">
        <v>249</v>
      </c>
      <c r="F660" s="11" t="s">
        <v>221</v>
      </c>
      <c r="G660" s="12" t="s">
        <v>829</v>
      </c>
      <c r="H660" s="13" t="s">
        <v>216</v>
      </c>
      <c r="I660" s="14">
        <v>10</v>
      </c>
      <c r="J660" s="14" t="s">
        <v>10</v>
      </c>
      <c r="K660" s="5" t="s">
        <v>1717</v>
      </c>
      <c r="L660" s="6">
        <v>8.3333333333333329E-2</v>
      </c>
      <c r="M660" s="7" t="s">
        <v>1718</v>
      </c>
      <c r="N660" s="14" t="s">
        <v>11</v>
      </c>
      <c r="O660" s="14">
        <v>10</v>
      </c>
      <c r="P660" s="13" t="s">
        <v>248</v>
      </c>
      <c r="Q660" s="12" t="s">
        <v>269</v>
      </c>
      <c r="R660" s="11" t="s">
        <v>268</v>
      </c>
      <c r="S660" s="10" t="s">
        <v>233</v>
      </c>
      <c r="T660" s="8">
        <v>1</v>
      </c>
      <c r="U660" s="15">
        <v>0.8</v>
      </c>
      <c r="V660" s="8">
        <v>0.6</v>
      </c>
      <c r="W660" s="17"/>
      <c r="X660" s="65">
        <v>46250</v>
      </c>
    </row>
    <row r="661" spans="1:24" ht="19.8" thickBot="1" x14ac:dyDescent="0.3">
      <c r="A661" s="4" t="s">
        <v>126</v>
      </c>
      <c r="B661" s="8">
        <v>0.6</v>
      </c>
      <c r="C661" s="15">
        <v>0.8</v>
      </c>
      <c r="D661" s="8">
        <v>0.9</v>
      </c>
      <c r="E661" s="10" t="s">
        <v>270</v>
      </c>
      <c r="F661" s="11" t="s">
        <v>282</v>
      </c>
      <c r="G661" s="12" t="s">
        <v>272</v>
      </c>
      <c r="H661" s="13" t="s">
        <v>233</v>
      </c>
      <c r="I661" s="14">
        <v>10</v>
      </c>
      <c r="J661" s="14" t="s">
        <v>10</v>
      </c>
      <c r="K661" s="5" t="s">
        <v>1719</v>
      </c>
      <c r="L661" s="6">
        <v>8.3333333333333329E-2</v>
      </c>
      <c r="M661" s="7" t="s">
        <v>1720</v>
      </c>
      <c r="N661" s="14" t="s">
        <v>11</v>
      </c>
      <c r="O661" s="14">
        <v>10</v>
      </c>
      <c r="P661" s="13" t="s">
        <v>816</v>
      </c>
      <c r="Q661" s="12" t="s">
        <v>226</v>
      </c>
      <c r="R661" s="11" t="s">
        <v>270</v>
      </c>
      <c r="S661" s="10" t="s">
        <v>275</v>
      </c>
      <c r="T661" s="8">
        <v>0.9</v>
      </c>
      <c r="U661" s="15">
        <v>0.7</v>
      </c>
      <c r="V661" s="8">
        <v>0.6</v>
      </c>
      <c r="W661" s="17"/>
      <c r="X661" s="65">
        <v>46250</v>
      </c>
    </row>
    <row r="662" spans="1:24" ht="19.8" thickBot="1" x14ac:dyDescent="0.3">
      <c r="A662" s="4" t="s">
        <v>126</v>
      </c>
      <c r="B662" s="8">
        <v>0.5</v>
      </c>
      <c r="C662" s="15">
        <v>0.9</v>
      </c>
      <c r="D662" s="8">
        <v>1</v>
      </c>
      <c r="E662" s="10" t="s">
        <v>216</v>
      </c>
      <c r="F662" s="11" t="s">
        <v>268</v>
      </c>
      <c r="G662" s="12" t="s">
        <v>283</v>
      </c>
      <c r="H662" s="13" t="s">
        <v>217</v>
      </c>
      <c r="I662" s="14">
        <v>10</v>
      </c>
      <c r="J662" s="14" t="s">
        <v>10</v>
      </c>
      <c r="K662" s="5" t="s">
        <v>1721</v>
      </c>
      <c r="L662" s="6">
        <v>8.3333333333333329E-2</v>
      </c>
      <c r="M662" s="7" t="s">
        <v>1722</v>
      </c>
      <c r="N662" s="14" t="s">
        <v>11</v>
      </c>
      <c r="O662" s="14">
        <v>10</v>
      </c>
      <c r="P662" s="13" t="s">
        <v>270</v>
      </c>
      <c r="Q662" s="12" t="s">
        <v>246</v>
      </c>
      <c r="R662" s="11" t="s">
        <v>268</v>
      </c>
      <c r="S662" s="10" t="s">
        <v>249</v>
      </c>
      <c r="T662" s="8">
        <v>0.8</v>
      </c>
      <c r="U662" s="15">
        <v>0.7</v>
      </c>
      <c r="V662" s="8">
        <v>0.6</v>
      </c>
      <c r="W662" s="17"/>
      <c r="X662" s="65">
        <v>46250</v>
      </c>
    </row>
    <row r="663" spans="1:24" ht="19.8" thickBot="1" x14ac:dyDescent="0.3">
      <c r="A663" s="4" t="s">
        <v>126</v>
      </c>
      <c r="B663" s="8">
        <v>0.5</v>
      </c>
      <c r="C663" s="15">
        <v>0.6</v>
      </c>
      <c r="D663" s="8">
        <v>0.8</v>
      </c>
      <c r="E663" s="10" t="s">
        <v>273</v>
      </c>
      <c r="F663" s="11" t="s">
        <v>268</v>
      </c>
      <c r="G663" s="12" t="s">
        <v>820</v>
      </c>
      <c r="H663" s="13" t="s">
        <v>248</v>
      </c>
      <c r="I663" s="14">
        <v>10</v>
      </c>
      <c r="J663" s="14" t="s">
        <v>10</v>
      </c>
      <c r="K663" s="5" t="s">
        <v>1723</v>
      </c>
      <c r="L663" s="6">
        <v>8.3333333333333329E-2</v>
      </c>
      <c r="M663" s="7" t="s">
        <v>1724</v>
      </c>
      <c r="N663" s="14" t="s">
        <v>11</v>
      </c>
      <c r="O663" s="14">
        <v>10</v>
      </c>
      <c r="P663" s="13" t="s">
        <v>274</v>
      </c>
      <c r="Q663" s="12" t="s">
        <v>280</v>
      </c>
      <c r="R663" s="11" t="s">
        <v>220</v>
      </c>
      <c r="S663" s="10" t="s">
        <v>268</v>
      </c>
      <c r="T663" s="8">
        <v>0.9</v>
      </c>
      <c r="U663" s="9">
        <v>0.5</v>
      </c>
      <c r="V663" s="8">
        <v>0.3</v>
      </c>
      <c r="W663" s="17"/>
      <c r="X663" s="65">
        <v>46250</v>
      </c>
    </row>
    <row r="664" spans="1:24" ht="13.8" thickBot="1" x14ac:dyDescent="0.3">
      <c r="A664" s="4" t="s">
        <v>126</v>
      </c>
      <c r="B664" s="8">
        <v>0.3</v>
      </c>
      <c r="C664" s="15">
        <v>0.7</v>
      </c>
      <c r="D664" s="8">
        <v>0.7</v>
      </c>
      <c r="E664" s="10" t="s">
        <v>227</v>
      </c>
      <c r="F664" s="11" t="s">
        <v>227</v>
      </c>
      <c r="G664" s="12" t="s">
        <v>275</v>
      </c>
      <c r="H664" s="13" t="s">
        <v>220</v>
      </c>
      <c r="I664" s="14">
        <v>10</v>
      </c>
      <c r="J664" s="14" t="s">
        <v>10</v>
      </c>
      <c r="K664" s="5" t="s">
        <v>1725</v>
      </c>
      <c r="L664" s="6">
        <v>8.3333333333333329E-2</v>
      </c>
      <c r="M664" s="7" t="s">
        <v>1726</v>
      </c>
      <c r="N664" s="14" t="s">
        <v>11</v>
      </c>
      <c r="O664" s="14">
        <v>10</v>
      </c>
      <c r="P664" s="13" t="s">
        <v>274</v>
      </c>
      <c r="Q664" s="12" t="s">
        <v>226</v>
      </c>
      <c r="R664" s="11" t="s">
        <v>216</v>
      </c>
      <c r="S664" s="10" t="s">
        <v>216</v>
      </c>
      <c r="T664" s="8">
        <v>0.9</v>
      </c>
      <c r="U664" s="15">
        <v>0.8</v>
      </c>
      <c r="V664" s="8">
        <v>0.7</v>
      </c>
      <c r="W664" s="17"/>
      <c r="X664" s="65">
        <v>46250</v>
      </c>
    </row>
    <row r="665" spans="1:24" ht="13.8" thickBot="1" x14ac:dyDescent="0.3">
      <c r="A665" s="4" t="s">
        <v>126</v>
      </c>
      <c r="B665" s="8">
        <v>0.3</v>
      </c>
      <c r="C665" s="15">
        <v>0.6</v>
      </c>
      <c r="D665" s="8">
        <v>0.9</v>
      </c>
      <c r="E665" s="10" t="s">
        <v>279</v>
      </c>
      <c r="F665" s="11" t="s">
        <v>274</v>
      </c>
      <c r="G665" s="12" t="s">
        <v>281</v>
      </c>
      <c r="H665" s="13" t="s">
        <v>270</v>
      </c>
      <c r="I665" s="14">
        <v>10</v>
      </c>
      <c r="J665" s="14" t="s">
        <v>10</v>
      </c>
      <c r="K665" s="5" t="s">
        <v>1727</v>
      </c>
      <c r="L665" s="6">
        <v>8.3333333333333329E-2</v>
      </c>
      <c r="M665" s="7" t="s">
        <v>1728</v>
      </c>
      <c r="N665" s="14" t="s">
        <v>11</v>
      </c>
      <c r="O665" s="14">
        <v>10</v>
      </c>
      <c r="P665" s="13" t="s">
        <v>279</v>
      </c>
      <c r="Q665" s="12" t="s">
        <v>283</v>
      </c>
      <c r="R665" s="11" t="s">
        <v>279</v>
      </c>
      <c r="S665" s="10" t="s">
        <v>271</v>
      </c>
      <c r="T665" s="8">
        <v>0.9</v>
      </c>
      <c r="U665" s="15">
        <v>0.7</v>
      </c>
      <c r="V665" s="8">
        <v>0.4</v>
      </c>
      <c r="W665" s="17"/>
      <c r="X665" s="65">
        <v>46250</v>
      </c>
    </row>
    <row r="666" spans="1:24" ht="19.8" thickBot="1" x14ac:dyDescent="0.3">
      <c r="A666" s="4" t="s">
        <v>126</v>
      </c>
      <c r="B666" s="8">
        <v>0.44</v>
      </c>
      <c r="C666" s="15">
        <v>0.67</v>
      </c>
      <c r="D666" s="8">
        <v>0.78</v>
      </c>
      <c r="E666" s="10" t="s">
        <v>216</v>
      </c>
      <c r="F666" s="11" t="s">
        <v>228</v>
      </c>
      <c r="G666" s="12" t="s">
        <v>340</v>
      </c>
      <c r="H666" s="13" t="s">
        <v>326</v>
      </c>
      <c r="I666" s="14">
        <v>9</v>
      </c>
      <c r="J666" s="14" t="s">
        <v>10</v>
      </c>
      <c r="K666" s="5" t="s">
        <v>1729</v>
      </c>
      <c r="L666" s="6">
        <v>0.10416666666666667</v>
      </c>
      <c r="M666" s="7" t="s">
        <v>1730</v>
      </c>
      <c r="N666" s="14" t="s">
        <v>11</v>
      </c>
      <c r="O666" s="14">
        <v>9</v>
      </c>
      <c r="P666" s="13" t="s">
        <v>217</v>
      </c>
      <c r="Q666" s="12" t="s">
        <v>1731</v>
      </c>
      <c r="R666" s="11" t="s">
        <v>216</v>
      </c>
      <c r="S666" s="10" t="s">
        <v>839</v>
      </c>
      <c r="T666" s="8">
        <v>0.78</v>
      </c>
      <c r="U666" s="15">
        <v>0.78</v>
      </c>
      <c r="V666" s="8">
        <v>0.44</v>
      </c>
      <c r="W666" s="17"/>
      <c r="X666" s="65">
        <v>46250</v>
      </c>
    </row>
    <row r="667" spans="1:24" ht="19.8" thickBot="1" x14ac:dyDescent="0.3">
      <c r="A667" s="4" t="s">
        <v>126</v>
      </c>
      <c r="B667" s="8">
        <v>0.44</v>
      </c>
      <c r="C667" s="15">
        <v>0.78</v>
      </c>
      <c r="D667" s="8">
        <v>1</v>
      </c>
      <c r="E667" s="10" t="s">
        <v>216</v>
      </c>
      <c r="F667" s="11" t="s">
        <v>333</v>
      </c>
      <c r="G667" s="12" t="s">
        <v>808</v>
      </c>
      <c r="H667" s="13" t="s">
        <v>344</v>
      </c>
      <c r="I667" s="14">
        <v>9</v>
      </c>
      <c r="J667" s="14" t="s">
        <v>10</v>
      </c>
      <c r="K667" s="5" t="s">
        <v>1732</v>
      </c>
      <c r="L667" s="6">
        <v>0.1875</v>
      </c>
      <c r="M667" s="7" t="s">
        <v>1733</v>
      </c>
      <c r="N667" s="14" t="s">
        <v>11</v>
      </c>
      <c r="O667" s="14">
        <v>9</v>
      </c>
      <c r="P667" s="13" t="s">
        <v>284</v>
      </c>
      <c r="Q667" s="12" t="s">
        <v>285</v>
      </c>
      <c r="R667" s="11" t="s">
        <v>231</v>
      </c>
      <c r="S667" s="10" t="s">
        <v>344</v>
      </c>
      <c r="T667" s="8">
        <v>1</v>
      </c>
      <c r="U667" s="15">
        <v>0.89</v>
      </c>
      <c r="V667" s="8">
        <v>0.44</v>
      </c>
      <c r="W667" s="17"/>
      <c r="X667" s="65">
        <v>46250</v>
      </c>
    </row>
    <row r="668" spans="1:24" ht="19.8" thickBot="1" x14ac:dyDescent="0.3">
      <c r="A668" s="4" t="s">
        <v>126</v>
      </c>
      <c r="B668" s="8">
        <v>0.31</v>
      </c>
      <c r="C668" s="15">
        <v>0.62</v>
      </c>
      <c r="D668" s="8">
        <v>0.69</v>
      </c>
      <c r="E668" s="10" t="s">
        <v>1734</v>
      </c>
      <c r="F668" s="11" t="s">
        <v>1735</v>
      </c>
      <c r="G668" s="12" t="s">
        <v>1736</v>
      </c>
      <c r="H668" s="13" t="s">
        <v>250</v>
      </c>
      <c r="I668" s="14">
        <v>13</v>
      </c>
      <c r="J668" s="14" t="s">
        <v>10</v>
      </c>
      <c r="K668" s="5" t="s">
        <v>1737</v>
      </c>
      <c r="L668" s="6">
        <v>0.125</v>
      </c>
      <c r="M668" s="7" t="s">
        <v>1738</v>
      </c>
      <c r="N668" s="14" t="s">
        <v>11</v>
      </c>
      <c r="O668" s="14">
        <v>13</v>
      </c>
      <c r="P668" s="13" t="s">
        <v>1739</v>
      </c>
      <c r="Q668" s="12" t="s">
        <v>1740</v>
      </c>
      <c r="R668" s="11" t="s">
        <v>1741</v>
      </c>
      <c r="S668" s="10" t="s">
        <v>851</v>
      </c>
      <c r="T668" s="8">
        <v>0.85</v>
      </c>
      <c r="U668" s="9">
        <v>0.46</v>
      </c>
      <c r="V668" s="8">
        <v>0.15</v>
      </c>
      <c r="W668" s="17"/>
      <c r="X668" s="65">
        <v>46250</v>
      </c>
    </row>
    <row r="669" spans="1:24" ht="13.8" thickBot="1" x14ac:dyDescent="0.3">
      <c r="A669" s="4" t="s">
        <v>126</v>
      </c>
      <c r="B669" s="8">
        <v>0.15</v>
      </c>
      <c r="C669" s="9">
        <v>0.31</v>
      </c>
      <c r="D669" s="8">
        <v>0.62</v>
      </c>
      <c r="E669" s="10" t="s">
        <v>1739</v>
      </c>
      <c r="F669" s="11" t="s">
        <v>1742</v>
      </c>
      <c r="G669" s="12" t="s">
        <v>1743</v>
      </c>
      <c r="H669" s="13" t="s">
        <v>1744</v>
      </c>
      <c r="I669" s="14">
        <v>13</v>
      </c>
      <c r="J669" s="14" t="s">
        <v>10</v>
      </c>
      <c r="K669" s="5" t="s">
        <v>1745</v>
      </c>
      <c r="L669" s="6">
        <v>0.125</v>
      </c>
      <c r="M669" s="7" t="s">
        <v>1746</v>
      </c>
      <c r="N669" s="14" t="s">
        <v>11</v>
      </c>
      <c r="O669" s="14">
        <v>14</v>
      </c>
      <c r="P669" s="13" t="s">
        <v>256</v>
      </c>
      <c r="Q669" s="12" t="s">
        <v>928</v>
      </c>
      <c r="R669" s="11" t="s">
        <v>916</v>
      </c>
      <c r="S669" s="10" t="s">
        <v>350</v>
      </c>
      <c r="T669" s="8">
        <v>0.71</v>
      </c>
      <c r="U669" s="15">
        <v>0.71</v>
      </c>
      <c r="V669" s="8">
        <v>0.28999999999999998</v>
      </c>
      <c r="W669" s="17"/>
      <c r="X669" s="65">
        <v>46250</v>
      </c>
    </row>
    <row r="670" spans="1:24" ht="19.8" thickBot="1" x14ac:dyDescent="0.3">
      <c r="A670" s="4" t="s">
        <v>126</v>
      </c>
      <c r="B670" s="8">
        <v>0.38</v>
      </c>
      <c r="C670" s="15">
        <v>0.62</v>
      </c>
      <c r="D670" s="8">
        <v>0.77</v>
      </c>
      <c r="E670" s="10" t="s">
        <v>287</v>
      </c>
      <c r="F670" s="11" t="s">
        <v>1734</v>
      </c>
      <c r="G670" s="12" t="s">
        <v>1530</v>
      </c>
      <c r="H670" s="13" t="s">
        <v>1747</v>
      </c>
      <c r="I670" s="14">
        <v>13</v>
      </c>
      <c r="J670" s="14" t="s">
        <v>10</v>
      </c>
      <c r="K670" s="5" t="s">
        <v>1748</v>
      </c>
      <c r="L670" s="6">
        <v>0.125</v>
      </c>
      <c r="M670" s="7" t="s">
        <v>1749</v>
      </c>
      <c r="N670" s="14" t="s">
        <v>11</v>
      </c>
      <c r="O670" s="14">
        <v>14</v>
      </c>
      <c r="P670" s="13" t="s">
        <v>1750</v>
      </c>
      <c r="Q670" s="12" t="s">
        <v>1751</v>
      </c>
      <c r="R670" s="11" t="s">
        <v>292</v>
      </c>
      <c r="S670" s="10" t="s">
        <v>1750</v>
      </c>
      <c r="T670" s="8">
        <v>0.56999999999999995</v>
      </c>
      <c r="U670" s="9">
        <v>0.36</v>
      </c>
      <c r="V670" s="8">
        <v>0.14000000000000001</v>
      </c>
      <c r="W670" s="17"/>
      <c r="X670" s="65">
        <v>46250</v>
      </c>
    </row>
    <row r="671" spans="1:24" ht="13.8" thickBot="1" x14ac:dyDescent="0.3">
      <c r="A671" s="4" t="s">
        <v>126</v>
      </c>
      <c r="B671" s="8">
        <v>0</v>
      </c>
      <c r="C671" s="9">
        <v>0</v>
      </c>
      <c r="D671" s="8">
        <v>1</v>
      </c>
      <c r="E671" s="10" t="s">
        <v>216</v>
      </c>
      <c r="F671" s="11" t="s">
        <v>219</v>
      </c>
      <c r="G671" s="12" t="s">
        <v>216</v>
      </c>
      <c r="H671" s="13" t="s">
        <v>219</v>
      </c>
      <c r="I671" s="14">
        <v>1</v>
      </c>
      <c r="J671" s="14" t="s">
        <v>10</v>
      </c>
      <c r="K671" s="5" t="s">
        <v>1752</v>
      </c>
      <c r="L671" s="6">
        <v>0.54166666666666663</v>
      </c>
      <c r="M671" s="7" t="s">
        <v>1753</v>
      </c>
      <c r="N671" s="14" t="s">
        <v>11</v>
      </c>
      <c r="O671" s="14">
        <v>1</v>
      </c>
      <c r="P671" s="13" t="s">
        <v>219</v>
      </c>
      <c r="Q671" s="12" t="s">
        <v>218</v>
      </c>
      <c r="R671" s="11" t="s">
        <v>219</v>
      </c>
      <c r="S671" s="10" t="s">
        <v>218</v>
      </c>
      <c r="T671" s="8">
        <v>1</v>
      </c>
      <c r="U671" s="15">
        <v>1</v>
      </c>
      <c r="V671" s="8">
        <v>0</v>
      </c>
      <c r="W671" s="17"/>
      <c r="X671" s="65">
        <v>46250</v>
      </c>
    </row>
    <row r="672" spans="1:24" ht="13.8" thickBot="1" x14ac:dyDescent="0.3">
      <c r="A672" s="4" t="s">
        <v>126</v>
      </c>
      <c r="B672" s="8">
        <v>0</v>
      </c>
      <c r="C672" s="9">
        <v>0</v>
      </c>
      <c r="D672" s="8">
        <v>1</v>
      </c>
      <c r="E672" s="10" t="s">
        <v>217</v>
      </c>
      <c r="F672" s="11" t="s">
        <v>217</v>
      </c>
      <c r="G672" s="12" t="s">
        <v>216</v>
      </c>
      <c r="H672" s="13" t="s">
        <v>217</v>
      </c>
      <c r="I672" s="14">
        <v>1</v>
      </c>
      <c r="J672" s="14" t="s">
        <v>10</v>
      </c>
      <c r="K672" s="5" t="s">
        <v>1754</v>
      </c>
      <c r="L672" s="6">
        <v>0.54166666666666663</v>
      </c>
      <c r="M672" s="7" t="s">
        <v>1755</v>
      </c>
      <c r="N672" s="14" t="s">
        <v>11</v>
      </c>
      <c r="O672" s="14">
        <v>1</v>
      </c>
      <c r="P672" s="13" t="s">
        <v>217</v>
      </c>
      <c r="Q672" s="12" t="s">
        <v>216</v>
      </c>
      <c r="R672" s="11" t="s">
        <v>217</v>
      </c>
      <c r="S672" s="10" t="s">
        <v>217</v>
      </c>
      <c r="T672" s="8">
        <v>1</v>
      </c>
      <c r="U672" s="9">
        <v>0</v>
      </c>
      <c r="V672" s="8">
        <v>0</v>
      </c>
      <c r="W672" s="17"/>
      <c r="X672" s="65">
        <v>46250</v>
      </c>
    </row>
    <row r="673" spans="1:24" ht="13.8" thickBot="1" x14ac:dyDescent="0.3">
      <c r="A673" s="4" t="s">
        <v>126</v>
      </c>
      <c r="B673" s="8">
        <v>0</v>
      </c>
      <c r="C673" s="9">
        <v>0</v>
      </c>
      <c r="D673" s="8">
        <v>0</v>
      </c>
      <c r="E673" s="10" t="s">
        <v>219</v>
      </c>
      <c r="F673" s="11" t="s">
        <v>217</v>
      </c>
      <c r="G673" s="12" t="s">
        <v>217</v>
      </c>
      <c r="H673" s="13" t="s">
        <v>218</v>
      </c>
      <c r="I673" s="14">
        <v>1</v>
      </c>
      <c r="J673" s="14" t="s">
        <v>10</v>
      </c>
      <c r="K673" s="5" t="s">
        <v>1756</v>
      </c>
      <c r="L673" s="6">
        <v>0.625</v>
      </c>
      <c r="M673" s="7" t="s">
        <v>1757</v>
      </c>
      <c r="N673" s="14" t="s">
        <v>11</v>
      </c>
      <c r="O673" s="14">
        <v>1</v>
      </c>
      <c r="P673" s="13" t="s">
        <v>219</v>
      </c>
      <c r="Q673" s="12" t="s">
        <v>218</v>
      </c>
      <c r="R673" s="11" t="s">
        <v>219</v>
      </c>
      <c r="S673" s="10" t="s">
        <v>218</v>
      </c>
      <c r="T673" s="8">
        <v>1</v>
      </c>
      <c r="U673" s="15">
        <v>1</v>
      </c>
      <c r="V673" s="8">
        <v>0</v>
      </c>
      <c r="W673" s="17"/>
      <c r="X673" s="65">
        <v>46250</v>
      </c>
    </row>
    <row r="674" spans="1:24" ht="13.8" thickBot="1" x14ac:dyDescent="0.3">
      <c r="A674" s="4" t="s">
        <v>126</v>
      </c>
      <c r="B674" s="8">
        <v>1</v>
      </c>
      <c r="C674" s="15">
        <v>1</v>
      </c>
      <c r="D674" s="8">
        <v>1</v>
      </c>
      <c r="E674" s="10" t="s">
        <v>219</v>
      </c>
      <c r="F674" s="11" t="s">
        <v>226</v>
      </c>
      <c r="G674" s="12" t="s">
        <v>226</v>
      </c>
      <c r="H674" s="13" t="s">
        <v>218</v>
      </c>
      <c r="I674" s="14">
        <v>1</v>
      </c>
      <c r="J674" s="14" t="s">
        <v>10</v>
      </c>
      <c r="K674" s="5" t="s">
        <v>1758</v>
      </c>
      <c r="L674" s="6">
        <v>0.27083333333333331</v>
      </c>
      <c r="M674" s="7" t="s">
        <v>1759</v>
      </c>
      <c r="N674" s="14" t="s">
        <v>11</v>
      </c>
      <c r="O674" s="14">
        <v>1</v>
      </c>
      <c r="P674" s="13" t="s">
        <v>218</v>
      </c>
      <c r="Q674" s="12" t="s">
        <v>226</v>
      </c>
      <c r="R674" s="11" t="s">
        <v>226</v>
      </c>
      <c r="S674" s="10" t="s">
        <v>219</v>
      </c>
      <c r="T674" s="8">
        <v>1</v>
      </c>
      <c r="U674" s="15">
        <v>1</v>
      </c>
      <c r="V674" s="8">
        <v>1</v>
      </c>
      <c r="W674" s="17"/>
      <c r="X674" s="65">
        <v>46250</v>
      </c>
    </row>
    <row r="675" spans="1:24" ht="13.8" thickBot="1" x14ac:dyDescent="0.3">
      <c r="A675" s="4" t="s">
        <v>438</v>
      </c>
      <c r="B675" s="63"/>
      <c r="C675" s="63"/>
      <c r="D675" s="63"/>
      <c r="E675" s="63"/>
      <c r="F675" s="63"/>
      <c r="G675" s="63"/>
      <c r="H675" s="63"/>
      <c r="I675" s="64"/>
      <c r="J675" s="14" t="s">
        <v>10</v>
      </c>
      <c r="K675" s="5" t="s">
        <v>1760</v>
      </c>
      <c r="L675" s="6">
        <v>0.54166666666666663</v>
      </c>
      <c r="M675" s="7" t="s">
        <v>1761</v>
      </c>
      <c r="N675" s="14" t="s">
        <v>11</v>
      </c>
      <c r="O675" s="64"/>
      <c r="P675" s="63"/>
      <c r="Q675" s="63"/>
      <c r="R675" s="63"/>
      <c r="S675" s="63"/>
      <c r="T675" s="63"/>
      <c r="U675" s="63"/>
      <c r="V675" s="63"/>
      <c r="W675" s="17"/>
      <c r="X675" s="65">
        <v>46250</v>
      </c>
    </row>
    <row r="676" spans="1:24" ht="13.8" thickBot="1" x14ac:dyDescent="0.3">
      <c r="A676" s="4" t="s">
        <v>438</v>
      </c>
      <c r="B676" s="63"/>
      <c r="C676" s="63"/>
      <c r="D676" s="63"/>
      <c r="E676" s="63"/>
      <c r="F676" s="63"/>
      <c r="G676" s="63"/>
      <c r="H676" s="63"/>
      <c r="I676" s="64"/>
      <c r="J676" s="14" t="s">
        <v>10</v>
      </c>
      <c r="K676" s="5" t="s">
        <v>1762</v>
      </c>
      <c r="L676" s="6">
        <v>0.625</v>
      </c>
      <c r="M676" s="7" t="s">
        <v>1763</v>
      </c>
      <c r="N676" s="14" t="s">
        <v>11</v>
      </c>
      <c r="O676" s="64"/>
      <c r="P676" s="63"/>
      <c r="Q676" s="63"/>
      <c r="R676" s="63"/>
      <c r="S676" s="63"/>
      <c r="T676" s="63"/>
      <c r="U676" s="63"/>
      <c r="V676" s="63"/>
      <c r="W676" s="17"/>
      <c r="X676" s="65">
        <v>46250</v>
      </c>
    </row>
    <row r="677" spans="1:24" ht="13.8" thickBot="1" x14ac:dyDescent="0.3">
      <c r="A677" s="4" t="s">
        <v>289</v>
      </c>
      <c r="B677" s="8">
        <v>0.17</v>
      </c>
      <c r="C677" s="9">
        <v>0.5</v>
      </c>
      <c r="D677" s="8">
        <v>0.67</v>
      </c>
      <c r="E677" s="10" t="s">
        <v>288</v>
      </c>
      <c r="F677" s="11" t="s">
        <v>220</v>
      </c>
      <c r="G677" s="12" t="s">
        <v>334</v>
      </c>
      <c r="H677" s="13" t="s">
        <v>220</v>
      </c>
      <c r="I677" s="14">
        <v>6</v>
      </c>
      <c r="J677" s="14" t="s">
        <v>10</v>
      </c>
      <c r="K677" s="5" t="s">
        <v>1764</v>
      </c>
      <c r="L677" s="6">
        <v>0.45833333333333331</v>
      </c>
      <c r="M677" s="7" t="s">
        <v>1765</v>
      </c>
      <c r="N677" s="14" t="s">
        <v>11</v>
      </c>
      <c r="O677" s="14">
        <v>8</v>
      </c>
      <c r="P677" s="13" t="s">
        <v>217</v>
      </c>
      <c r="Q677" s="12" t="s">
        <v>911</v>
      </c>
      <c r="R677" s="11" t="s">
        <v>296</v>
      </c>
      <c r="S677" s="10" t="s">
        <v>223</v>
      </c>
      <c r="T677" s="8">
        <v>0.75</v>
      </c>
      <c r="U677" s="9">
        <v>0.5</v>
      </c>
      <c r="V677" s="8">
        <v>0.25</v>
      </c>
      <c r="W677" s="17"/>
      <c r="X677" s="65">
        <v>46250</v>
      </c>
    </row>
    <row r="678" spans="1:24" ht="19.8" thickBot="1" x14ac:dyDescent="0.3">
      <c r="A678" s="4" t="s">
        <v>289</v>
      </c>
      <c r="B678" s="8">
        <v>0.33</v>
      </c>
      <c r="C678" s="9">
        <v>0.5</v>
      </c>
      <c r="D678" s="8">
        <v>1</v>
      </c>
      <c r="E678" s="10" t="s">
        <v>348</v>
      </c>
      <c r="F678" s="11" t="s">
        <v>772</v>
      </c>
      <c r="G678" s="12" t="s">
        <v>218</v>
      </c>
      <c r="H678" s="13" t="s">
        <v>772</v>
      </c>
      <c r="I678" s="14">
        <v>6</v>
      </c>
      <c r="J678" s="14" t="s">
        <v>10</v>
      </c>
      <c r="K678" s="5" t="s">
        <v>1766</v>
      </c>
      <c r="L678" s="6">
        <v>0.54166666666666663</v>
      </c>
      <c r="M678" s="7" t="s">
        <v>1767</v>
      </c>
      <c r="N678" s="14" t="s">
        <v>11</v>
      </c>
      <c r="O678" s="14">
        <v>6</v>
      </c>
      <c r="P678" s="13" t="s">
        <v>772</v>
      </c>
      <c r="Q678" s="12" t="s">
        <v>221</v>
      </c>
      <c r="R678" s="11" t="s">
        <v>772</v>
      </c>
      <c r="S678" s="10" t="s">
        <v>310</v>
      </c>
      <c r="T678" s="8">
        <v>0.83</v>
      </c>
      <c r="U678" s="9">
        <v>0.33</v>
      </c>
      <c r="V678" s="8">
        <v>0.33</v>
      </c>
      <c r="W678" s="17"/>
      <c r="X678" s="65">
        <v>46250</v>
      </c>
    </row>
    <row r="679" spans="1:24" ht="13.8" thickBot="1" x14ac:dyDescent="0.3">
      <c r="A679" s="4" t="s">
        <v>289</v>
      </c>
      <c r="B679" s="8">
        <v>0.38</v>
      </c>
      <c r="C679" s="15">
        <v>0.75</v>
      </c>
      <c r="D679" s="8">
        <v>0.88</v>
      </c>
      <c r="E679" s="10" t="s">
        <v>217</v>
      </c>
      <c r="F679" s="11" t="s">
        <v>216</v>
      </c>
      <c r="G679" s="12" t="s">
        <v>218</v>
      </c>
      <c r="H679" s="13" t="s">
        <v>239</v>
      </c>
      <c r="I679" s="14">
        <v>8</v>
      </c>
      <c r="J679" s="14" t="s">
        <v>10</v>
      </c>
      <c r="K679" s="5" t="s">
        <v>1768</v>
      </c>
      <c r="L679" s="6">
        <v>0.625</v>
      </c>
      <c r="M679" s="7" t="s">
        <v>1769</v>
      </c>
      <c r="N679" s="14" t="s">
        <v>11</v>
      </c>
      <c r="O679" s="14">
        <v>9</v>
      </c>
      <c r="P679" s="13" t="s">
        <v>343</v>
      </c>
      <c r="Q679" s="12" t="s">
        <v>325</v>
      </c>
      <c r="R679" s="11" t="s">
        <v>229</v>
      </c>
      <c r="S679" s="10" t="s">
        <v>228</v>
      </c>
      <c r="T679" s="8">
        <v>0.89</v>
      </c>
      <c r="U679" s="9">
        <v>0.22</v>
      </c>
      <c r="V679" s="8">
        <v>0.22</v>
      </c>
      <c r="W679" s="17"/>
      <c r="X679" s="65">
        <v>46250</v>
      </c>
    </row>
    <row r="680" spans="1:24" ht="13.8" thickBot="1" x14ac:dyDescent="0.3">
      <c r="A680" s="4" t="s">
        <v>289</v>
      </c>
      <c r="B680" s="63"/>
      <c r="C680" s="63"/>
      <c r="D680" s="63"/>
      <c r="E680" s="63"/>
      <c r="F680" s="63"/>
      <c r="G680" s="63"/>
      <c r="H680" s="63"/>
      <c r="I680" s="64"/>
      <c r="J680" s="14" t="s">
        <v>10</v>
      </c>
      <c r="K680" s="5" t="s">
        <v>1770</v>
      </c>
      <c r="L680" s="6">
        <v>0.39583333333333331</v>
      </c>
      <c r="M680" s="7" t="s">
        <v>1771</v>
      </c>
      <c r="N680" s="14" t="s">
        <v>11</v>
      </c>
      <c r="O680" s="64"/>
      <c r="P680" s="63"/>
      <c r="Q680" s="63"/>
      <c r="R680" s="63"/>
      <c r="S680" s="63"/>
      <c r="T680" s="63"/>
      <c r="U680" s="63"/>
      <c r="V680" s="63"/>
      <c r="W680" s="17"/>
      <c r="X680" s="65">
        <v>46250</v>
      </c>
    </row>
    <row r="681" spans="1:24" ht="13.8" thickBot="1" x14ac:dyDescent="0.3">
      <c r="A681" s="4" t="s">
        <v>289</v>
      </c>
      <c r="B681" s="63"/>
      <c r="C681" s="63"/>
      <c r="D681" s="63"/>
      <c r="E681" s="63"/>
      <c r="F681" s="63"/>
      <c r="G681" s="63"/>
      <c r="H681" s="63"/>
      <c r="I681" s="64"/>
      <c r="J681" s="14" t="s">
        <v>10</v>
      </c>
      <c r="K681" s="5" t="s">
        <v>1772</v>
      </c>
      <c r="L681" s="6">
        <v>0.5</v>
      </c>
      <c r="M681" s="7" t="s">
        <v>1773</v>
      </c>
      <c r="N681" s="14" t="s">
        <v>11</v>
      </c>
      <c r="O681" s="64"/>
      <c r="P681" s="63"/>
      <c r="Q681" s="63"/>
      <c r="R681" s="63"/>
      <c r="S681" s="63"/>
      <c r="T681" s="63"/>
      <c r="U681" s="63"/>
      <c r="V681" s="63"/>
      <c r="W681" s="17"/>
      <c r="X681" s="65">
        <v>46250</v>
      </c>
    </row>
    <row r="682" spans="1:24" ht="19.8" thickBot="1" x14ac:dyDescent="0.3">
      <c r="A682" s="4" t="s">
        <v>289</v>
      </c>
      <c r="B682" s="63"/>
      <c r="C682" s="63"/>
      <c r="D682" s="63"/>
      <c r="E682" s="63"/>
      <c r="F682" s="63"/>
      <c r="G682" s="63"/>
      <c r="H682" s="63"/>
      <c r="I682" s="64"/>
      <c r="J682" s="14" t="s">
        <v>10</v>
      </c>
      <c r="K682" s="5" t="s">
        <v>1774</v>
      </c>
      <c r="L682" s="6">
        <v>0.60416666666666663</v>
      </c>
      <c r="M682" s="7" t="s">
        <v>1775</v>
      </c>
      <c r="N682" s="14" t="s">
        <v>11</v>
      </c>
      <c r="O682" s="64"/>
      <c r="P682" s="63"/>
      <c r="Q682" s="63"/>
      <c r="R682" s="63"/>
      <c r="S682" s="63"/>
      <c r="T682" s="63"/>
      <c r="U682" s="63"/>
      <c r="V682" s="63"/>
      <c r="W682" s="17"/>
      <c r="X682" s="65">
        <v>46250</v>
      </c>
    </row>
    <row r="683" spans="1:24" ht="13.8" thickBot="1" x14ac:dyDescent="0.3">
      <c r="A683" s="4" t="s">
        <v>289</v>
      </c>
      <c r="B683" s="63"/>
      <c r="C683" s="63"/>
      <c r="D683" s="63"/>
      <c r="E683" s="63"/>
      <c r="F683" s="63"/>
      <c r="G683" s="63"/>
      <c r="H683" s="63"/>
      <c r="I683" s="64"/>
      <c r="J683" s="14" t="s">
        <v>10</v>
      </c>
      <c r="K683" s="5" t="s">
        <v>1776</v>
      </c>
      <c r="L683" s="6">
        <v>0.63541666666666663</v>
      </c>
      <c r="M683" s="7" t="s">
        <v>1777</v>
      </c>
      <c r="N683" s="14" t="s">
        <v>11</v>
      </c>
      <c r="O683" s="64"/>
      <c r="P683" s="63"/>
      <c r="Q683" s="63"/>
      <c r="R683" s="63"/>
      <c r="S683" s="63"/>
      <c r="T683" s="63"/>
      <c r="U683" s="63"/>
      <c r="V683" s="63"/>
      <c r="W683" s="17"/>
      <c r="X683" s="65">
        <v>46250</v>
      </c>
    </row>
    <row r="684" spans="1:24" ht="13.8" thickBot="1" x14ac:dyDescent="0.3">
      <c r="A684" s="4" t="s">
        <v>289</v>
      </c>
      <c r="B684" s="63"/>
      <c r="C684" s="63"/>
      <c r="D684" s="63"/>
      <c r="E684" s="63"/>
      <c r="F684" s="63"/>
      <c r="G684" s="63"/>
      <c r="H684" s="63"/>
      <c r="I684" s="64"/>
      <c r="J684" s="14" t="s">
        <v>10</v>
      </c>
      <c r="K684" s="5" t="s">
        <v>1778</v>
      </c>
      <c r="L684" s="6">
        <v>0.5</v>
      </c>
      <c r="M684" s="7" t="s">
        <v>1779</v>
      </c>
      <c r="N684" s="14" t="s">
        <v>11</v>
      </c>
      <c r="O684" s="64"/>
      <c r="P684" s="63"/>
      <c r="Q684" s="63"/>
      <c r="R684" s="63"/>
      <c r="S684" s="63"/>
      <c r="T684" s="63"/>
      <c r="U684" s="63"/>
      <c r="V684" s="63"/>
      <c r="W684" s="17"/>
      <c r="X684" s="65">
        <v>46250</v>
      </c>
    </row>
    <row r="685" spans="1:24" ht="19.8" thickBot="1" x14ac:dyDescent="0.3">
      <c r="A685" s="4" t="s">
        <v>454</v>
      </c>
      <c r="B685" s="63"/>
      <c r="C685" s="63"/>
      <c r="D685" s="63"/>
      <c r="E685" s="63"/>
      <c r="F685" s="63"/>
      <c r="G685" s="63"/>
      <c r="H685" s="63"/>
      <c r="I685" s="64"/>
      <c r="J685" s="14" t="s">
        <v>10</v>
      </c>
      <c r="K685" s="5" t="s">
        <v>1780</v>
      </c>
      <c r="L685" s="6">
        <v>0.54166666666666663</v>
      </c>
      <c r="M685" s="7" t="s">
        <v>1781</v>
      </c>
      <c r="N685" s="14" t="s">
        <v>11</v>
      </c>
      <c r="O685" s="14">
        <v>1</v>
      </c>
      <c r="P685" s="13" t="s">
        <v>219</v>
      </c>
      <c r="Q685" s="12" t="s">
        <v>226</v>
      </c>
      <c r="R685" s="11" t="s">
        <v>217</v>
      </c>
      <c r="S685" s="10" t="s">
        <v>218</v>
      </c>
      <c r="T685" s="8">
        <v>1</v>
      </c>
      <c r="U685" s="15">
        <v>1</v>
      </c>
      <c r="V685" s="8">
        <v>1</v>
      </c>
      <c r="W685" s="17"/>
      <c r="X685" s="65">
        <v>46250</v>
      </c>
    </row>
    <row r="686" spans="1:24" ht="19.8" thickBot="1" x14ac:dyDescent="0.3">
      <c r="A686" s="4" t="s">
        <v>454</v>
      </c>
      <c r="B686" s="63"/>
      <c r="C686" s="63"/>
      <c r="D686" s="63"/>
      <c r="E686" s="63"/>
      <c r="F686" s="63"/>
      <c r="G686" s="63"/>
      <c r="H686" s="63"/>
      <c r="I686" s="64"/>
      <c r="J686" s="14" t="s">
        <v>10</v>
      </c>
      <c r="K686" s="5" t="s">
        <v>1782</v>
      </c>
      <c r="L686" s="6">
        <v>0.70833333333333337</v>
      </c>
      <c r="M686" s="7" t="s">
        <v>1783</v>
      </c>
      <c r="N686" s="14" t="s">
        <v>11</v>
      </c>
      <c r="O686" s="64"/>
      <c r="P686" s="63"/>
      <c r="Q686" s="63"/>
      <c r="R686" s="63"/>
      <c r="S686" s="63"/>
      <c r="T686" s="63"/>
      <c r="U686" s="63"/>
      <c r="V686" s="63"/>
      <c r="W686" s="17"/>
      <c r="X686" s="65">
        <v>46250</v>
      </c>
    </row>
    <row r="687" spans="1:24" ht="13.8" thickBot="1" x14ac:dyDescent="0.3">
      <c r="A687" s="4" t="s">
        <v>90</v>
      </c>
      <c r="B687" s="8">
        <v>0.22</v>
      </c>
      <c r="C687" s="9">
        <v>0.44</v>
      </c>
      <c r="D687" s="8">
        <v>0.78</v>
      </c>
      <c r="E687" s="10" t="s">
        <v>306</v>
      </c>
      <c r="F687" s="11" t="s">
        <v>344</v>
      </c>
      <c r="G687" s="12" t="s">
        <v>230</v>
      </c>
      <c r="H687" s="13" t="s">
        <v>231</v>
      </c>
      <c r="I687" s="14">
        <v>9</v>
      </c>
      <c r="J687" s="14" t="s">
        <v>10</v>
      </c>
      <c r="K687" s="5" t="s">
        <v>1784</v>
      </c>
      <c r="L687" s="6">
        <v>0.91666666666666663</v>
      </c>
      <c r="M687" s="7" t="s">
        <v>1785</v>
      </c>
      <c r="N687" s="14" t="s">
        <v>11</v>
      </c>
      <c r="O687" s="14">
        <v>11</v>
      </c>
      <c r="P687" s="13" t="s">
        <v>260</v>
      </c>
      <c r="Q687" s="12" t="s">
        <v>304</v>
      </c>
      <c r="R687" s="11" t="s">
        <v>265</v>
      </c>
      <c r="S687" s="10" t="s">
        <v>302</v>
      </c>
      <c r="T687" s="8">
        <v>0.73</v>
      </c>
      <c r="U687" s="15">
        <v>0.55000000000000004</v>
      </c>
      <c r="V687" s="8">
        <v>0.27</v>
      </c>
      <c r="W687" s="17"/>
      <c r="X687" s="65">
        <v>46250</v>
      </c>
    </row>
    <row r="688" spans="1:24" ht="13.8" thickBot="1" x14ac:dyDescent="0.3">
      <c r="A688" s="4" t="s">
        <v>90</v>
      </c>
      <c r="B688" s="8">
        <v>0.6</v>
      </c>
      <c r="C688" s="15">
        <v>0.7</v>
      </c>
      <c r="D688" s="8">
        <v>0.9</v>
      </c>
      <c r="E688" s="10" t="s">
        <v>781</v>
      </c>
      <c r="F688" s="11" t="s">
        <v>271</v>
      </c>
      <c r="G688" s="12" t="s">
        <v>269</v>
      </c>
      <c r="H688" s="13" t="s">
        <v>816</v>
      </c>
      <c r="I688" s="14">
        <v>10</v>
      </c>
      <c r="J688" s="14" t="s">
        <v>10</v>
      </c>
      <c r="K688" s="5" t="s">
        <v>142</v>
      </c>
      <c r="L688" s="6">
        <v>0.5</v>
      </c>
      <c r="M688" s="7" t="s">
        <v>141</v>
      </c>
      <c r="N688" s="14" t="s">
        <v>11</v>
      </c>
      <c r="O688" s="14">
        <v>10</v>
      </c>
      <c r="P688" s="13" t="s">
        <v>220</v>
      </c>
      <c r="Q688" s="12" t="s">
        <v>282</v>
      </c>
      <c r="R688" s="11" t="s">
        <v>270</v>
      </c>
      <c r="S688" s="10" t="s">
        <v>227</v>
      </c>
      <c r="T688" s="8">
        <v>0.7</v>
      </c>
      <c r="U688" s="9">
        <v>0.5</v>
      </c>
      <c r="V688" s="8">
        <v>0.3</v>
      </c>
      <c r="W688" s="17"/>
      <c r="X688" s="65">
        <v>46250</v>
      </c>
    </row>
    <row r="689" spans="1:24" ht="13.8" thickBot="1" x14ac:dyDescent="0.3">
      <c r="A689" s="4" t="s">
        <v>90</v>
      </c>
      <c r="B689" s="8">
        <v>0.44</v>
      </c>
      <c r="C689" s="15">
        <v>0.56000000000000005</v>
      </c>
      <c r="D689" s="8">
        <v>0.78</v>
      </c>
      <c r="E689" s="10" t="s">
        <v>232</v>
      </c>
      <c r="F689" s="11" t="s">
        <v>229</v>
      </c>
      <c r="G689" s="12" t="s">
        <v>218</v>
      </c>
      <c r="H689" s="13" t="s">
        <v>343</v>
      </c>
      <c r="I689" s="14">
        <v>9</v>
      </c>
      <c r="J689" s="14" t="s">
        <v>10</v>
      </c>
      <c r="K689" s="5" t="s">
        <v>1786</v>
      </c>
      <c r="L689" s="6">
        <v>0.70833333333333337</v>
      </c>
      <c r="M689" s="7" t="s">
        <v>146</v>
      </c>
      <c r="N689" s="14" t="s">
        <v>11</v>
      </c>
      <c r="O689" s="14">
        <v>10</v>
      </c>
      <c r="P689" s="13" t="s">
        <v>266</v>
      </c>
      <c r="Q689" s="12" t="s">
        <v>216</v>
      </c>
      <c r="R689" s="11" t="s">
        <v>819</v>
      </c>
      <c r="S689" s="10" t="s">
        <v>227</v>
      </c>
      <c r="T689" s="8">
        <v>0.8</v>
      </c>
      <c r="U689" s="9">
        <v>0.4</v>
      </c>
      <c r="V689" s="8">
        <v>0</v>
      </c>
      <c r="W689" s="17"/>
      <c r="X689" s="65">
        <v>46250</v>
      </c>
    </row>
    <row r="690" spans="1:24" ht="19.8" thickBot="1" x14ac:dyDescent="0.3">
      <c r="A690" s="4" t="s">
        <v>90</v>
      </c>
      <c r="B690" s="8">
        <v>0.09</v>
      </c>
      <c r="C690" s="15">
        <v>0.55000000000000004</v>
      </c>
      <c r="D690" s="8">
        <v>0.73</v>
      </c>
      <c r="E690" s="10" t="s">
        <v>265</v>
      </c>
      <c r="F690" s="11" t="s">
        <v>255</v>
      </c>
      <c r="G690" s="12" t="s">
        <v>312</v>
      </c>
      <c r="H690" s="13" t="s">
        <v>303</v>
      </c>
      <c r="I690" s="14">
        <v>11</v>
      </c>
      <c r="J690" s="14" t="s">
        <v>10</v>
      </c>
      <c r="K690" s="5" t="s">
        <v>1787</v>
      </c>
      <c r="L690" s="6">
        <v>0.70833333333333337</v>
      </c>
      <c r="M690" s="7" t="s">
        <v>1788</v>
      </c>
      <c r="N690" s="14" t="s">
        <v>11</v>
      </c>
      <c r="O690" s="14">
        <v>9</v>
      </c>
      <c r="P690" s="13" t="s">
        <v>326</v>
      </c>
      <c r="Q690" s="12" t="s">
        <v>241</v>
      </c>
      <c r="R690" s="11" t="s">
        <v>224</v>
      </c>
      <c r="S690" s="10" t="s">
        <v>333</v>
      </c>
      <c r="T690" s="8">
        <v>0.89</v>
      </c>
      <c r="U690" s="15">
        <v>0.78</v>
      </c>
      <c r="V690" s="8">
        <v>0.56000000000000005</v>
      </c>
      <c r="W690" s="17"/>
      <c r="X690" s="65">
        <v>46250</v>
      </c>
    </row>
    <row r="691" spans="1:24" ht="13.8" thickBot="1" x14ac:dyDescent="0.3">
      <c r="A691" s="4" t="s">
        <v>90</v>
      </c>
      <c r="B691" s="8">
        <v>0.18</v>
      </c>
      <c r="C691" s="15">
        <v>0.64</v>
      </c>
      <c r="D691" s="8">
        <v>0.73</v>
      </c>
      <c r="E691" s="10" t="s">
        <v>255</v>
      </c>
      <c r="F691" s="11" t="s">
        <v>260</v>
      </c>
      <c r="G691" s="12" t="s">
        <v>1126</v>
      </c>
      <c r="H691" s="13" t="s">
        <v>256</v>
      </c>
      <c r="I691" s="14">
        <v>11</v>
      </c>
      <c r="J691" s="14" t="s">
        <v>10</v>
      </c>
      <c r="K691" s="5" t="s">
        <v>145</v>
      </c>
      <c r="L691" s="6">
        <v>0.8125</v>
      </c>
      <c r="M691" s="7" t="s">
        <v>1789</v>
      </c>
      <c r="N691" s="14" t="s">
        <v>11</v>
      </c>
      <c r="O691" s="14">
        <v>11</v>
      </c>
      <c r="P691" s="13" t="s">
        <v>311</v>
      </c>
      <c r="Q691" s="12" t="s">
        <v>304</v>
      </c>
      <c r="R691" s="11" t="s">
        <v>799</v>
      </c>
      <c r="S691" s="10" t="s">
        <v>264</v>
      </c>
      <c r="T691" s="8">
        <v>0.91</v>
      </c>
      <c r="U691" s="15">
        <v>0.64</v>
      </c>
      <c r="V691" s="8">
        <v>0.18</v>
      </c>
      <c r="W691" s="17"/>
      <c r="X691" s="65">
        <v>46250</v>
      </c>
    </row>
    <row r="692" spans="1:24" ht="13.8" thickBot="1" x14ac:dyDescent="0.3">
      <c r="A692" s="4" t="s">
        <v>90</v>
      </c>
      <c r="B692" s="8">
        <v>0.2</v>
      </c>
      <c r="C692" s="9">
        <v>0.3</v>
      </c>
      <c r="D692" s="8">
        <v>0.7</v>
      </c>
      <c r="E692" s="10" t="s">
        <v>816</v>
      </c>
      <c r="F692" s="11" t="s">
        <v>220</v>
      </c>
      <c r="G692" s="12" t="s">
        <v>267</v>
      </c>
      <c r="H692" s="13" t="s">
        <v>267</v>
      </c>
      <c r="I692" s="14">
        <v>10</v>
      </c>
      <c r="J692" s="14" t="s">
        <v>10</v>
      </c>
      <c r="K692" s="5" t="s">
        <v>1790</v>
      </c>
      <c r="L692" s="6">
        <v>0.8125</v>
      </c>
      <c r="M692" s="7" t="s">
        <v>317</v>
      </c>
      <c r="N692" s="14" t="s">
        <v>11</v>
      </c>
      <c r="O692" s="14">
        <v>11</v>
      </c>
      <c r="P692" s="13" t="s">
        <v>265</v>
      </c>
      <c r="Q692" s="12" t="s">
        <v>1312</v>
      </c>
      <c r="R692" s="11" t="s">
        <v>303</v>
      </c>
      <c r="S692" s="10" t="s">
        <v>259</v>
      </c>
      <c r="T692" s="8">
        <v>0.82</v>
      </c>
      <c r="U692" s="15">
        <v>0.64</v>
      </c>
      <c r="V692" s="8">
        <v>0.27</v>
      </c>
      <c r="W692" s="17"/>
      <c r="X692" s="65">
        <v>46250</v>
      </c>
    </row>
    <row r="693" spans="1:24" ht="13.8" thickBot="1" x14ac:dyDescent="0.3">
      <c r="A693" s="4" t="s">
        <v>90</v>
      </c>
      <c r="B693" s="8">
        <v>0.09</v>
      </c>
      <c r="C693" s="9">
        <v>0.27</v>
      </c>
      <c r="D693" s="8">
        <v>0.55000000000000004</v>
      </c>
      <c r="E693" s="10" t="s">
        <v>298</v>
      </c>
      <c r="F693" s="11" t="s">
        <v>301</v>
      </c>
      <c r="G693" s="12" t="s">
        <v>799</v>
      </c>
      <c r="H693" s="13" t="s">
        <v>256</v>
      </c>
      <c r="I693" s="14">
        <v>11</v>
      </c>
      <c r="J693" s="14" t="s">
        <v>10</v>
      </c>
      <c r="K693" s="5" t="s">
        <v>319</v>
      </c>
      <c r="L693" s="6">
        <v>0.85416666666666663</v>
      </c>
      <c r="M693" s="7" t="s">
        <v>1791</v>
      </c>
      <c r="N693" s="14" t="s">
        <v>11</v>
      </c>
      <c r="O693" s="14">
        <v>10</v>
      </c>
      <c r="P693" s="13" t="s">
        <v>227</v>
      </c>
      <c r="Q693" s="12" t="s">
        <v>275</v>
      </c>
      <c r="R693" s="11" t="s">
        <v>274</v>
      </c>
      <c r="S693" s="10" t="s">
        <v>273</v>
      </c>
      <c r="T693" s="8">
        <v>0.8</v>
      </c>
      <c r="U693" s="15">
        <v>0.6</v>
      </c>
      <c r="V693" s="8">
        <v>0.3</v>
      </c>
      <c r="W693" s="17"/>
      <c r="X693" s="65">
        <v>46250</v>
      </c>
    </row>
    <row r="694" spans="1:24" ht="13.8" thickBot="1" x14ac:dyDescent="0.3">
      <c r="A694" s="4" t="s">
        <v>90</v>
      </c>
      <c r="B694" s="8">
        <v>0.27</v>
      </c>
      <c r="C694" s="15">
        <v>0.55000000000000004</v>
      </c>
      <c r="D694" s="8">
        <v>0.64</v>
      </c>
      <c r="E694" s="10" t="s">
        <v>265</v>
      </c>
      <c r="F694" s="11" t="s">
        <v>302</v>
      </c>
      <c r="G694" s="12" t="s">
        <v>304</v>
      </c>
      <c r="H694" s="13" t="s">
        <v>311</v>
      </c>
      <c r="I694" s="14">
        <v>11</v>
      </c>
      <c r="J694" s="14" t="s">
        <v>10</v>
      </c>
      <c r="K694" s="5" t="s">
        <v>1792</v>
      </c>
      <c r="L694" s="6">
        <v>0.5</v>
      </c>
      <c r="M694" s="7" t="s">
        <v>152</v>
      </c>
      <c r="N694" s="14" t="s">
        <v>11</v>
      </c>
      <c r="O694" s="14">
        <v>10</v>
      </c>
      <c r="P694" s="13" t="s">
        <v>247</v>
      </c>
      <c r="Q694" s="12" t="s">
        <v>282</v>
      </c>
      <c r="R694" s="11" t="s">
        <v>248</v>
      </c>
      <c r="S694" s="10" t="s">
        <v>273</v>
      </c>
      <c r="T694" s="8">
        <v>0.7</v>
      </c>
      <c r="U694" s="9">
        <v>0.5</v>
      </c>
      <c r="V694" s="8">
        <v>0.3</v>
      </c>
      <c r="W694" s="17"/>
      <c r="X694" s="65">
        <v>46250</v>
      </c>
    </row>
    <row r="695" spans="1:24" ht="13.8" thickBot="1" x14ac:dyDescent="0.3">
      <c r="A695" s="4" t="s">
        <v>90</v>
      </c>
      <c r="B695" s="8">
        <v>0</v>
      </c>
      <c r="C695" s="9">
        <v>0.5</v>
      </c>
      <c r="D695" s="8">
        <v>0.7</v>
      </c>
      <c r="E695" s="10" t="s">
        <v>227</v>
      </c>
      <c r="F695" s="11" t="s">
        <v>816</v>
      </c>
      <c r="G695" s="12" t="s">
        <v>233</v>
      </c>
      <c r="H695" s="13" t="s">
        <v>819</v>
      </c>
      <c r="I695" s="14">
        <v>10</v>
      </c>
      <c r="J695" s="14" t="s">
        <v>10</v>
      </c>
      <c r="K695" s="5" t="s">
        <v>147</v>
      </c>
      <c r="L695" s="6">
        <v>0.8125</v>
      </c>
      <c r="M695" s="7" t="s">
        <v>1793</v>
      </c>
      <c r="N695" s="14" t="s">
        <v>11</v>
      </c>
      <c r="O695" s="14">
        <v>10</v>
      </c>
      <c r="P695" s="13" t="s">
        <v>270</v>
      </c>
      <c r="Q695" s="12" t="s">
        <v>233</v>
      </c>
      <c r="R695" s="11" t="s">
        <v>217</v>
      </c>
      <c r="S695" s="10" t="s">
        <v>274</v>
      </c>
      <c r="T695" s="8">
        <v>0.8</v>
      </c>
      <c r="U695" s="9">
        <v>0.3</v>
      </c>
      <c r="V695" s="8">
        <v>0.1</v>
      </c>
      <c r="W695" s="17"/>
      <c r="X695" s="65">
        <v>46250</v>
      </c>
    </row>
    <row r="696" spans="1:24" ht="19.8" thickBot="1" x14ac:dyDescent="0.3">
      <c r="A696" s="4" t="s">
        <v>90</v>
      </c>
      <c r="B696" s="8">
        <v>0.4</v>
      </c>
      <c r="C696" s="15">
        <v>0.6</v>
      </c>
      <c r="D696" s="8">
        <v>0.8</v>
      </c>
      <c r="E696" s="10" t="s">
        <v>227</v>
      </c>
      <c r="F696" s="11" t="s">
        <v>234</v>
      </c>
      <c r="G696" s="12" t="s">
        <v>277</v>
      </c>
      <c r="H696" s="13" t="s">
        <v>227</v>
      </c>
      <c r="I696" s="14">
        <v>10</v>
      </c>
      <c r="J696" s="14" t="s">
        <v>10</v>
      </c>
      <c r="K696" s="5" t="s">
        <v>1794</v>
      </c>
      <c r="L696" s="6">
        <v>0.8125</v>
      </c>
      <c r="M696" s="7" t="s">
        <v>1795</v>
      </c>
      <c r="N696" s="14" t="s">
        <v>11</v>
      </c>
      <c r="O696" s="14">
        <v>11</v>
      </c>
      <c r="P696" s="13" t="s">
        <v>302</v>
      </c>
      <c r="Q696" s="12" t="s">
        <v>312</v>
      </c>
      <c r="R696" s="11" t="s">
        <v>256</v>
      </c>
      <c r="S696" s="10" t="s">
        <v>313</v>
      </c>
      <c r="T696" s="8">
        <v>0.64</v>
      </c>
      <c r="U696" s="9">
        <v>0.45</v>
      </c>
      <c r="V696" s="8">
        <v>0.27</v>
      </c>
      <c r="W696" s="17"/>
      <c r="X696" s="65">
        <v>46250</v>
      </c>
    </row>
    <row r="697" spans="1:24" ht="13.8" thickBot="1" x14ac:dyDescent="0.3">
      <c r="A697" s="4" t="s">
        <v>90</v>
      </c>
      <c r="B697" s="8">
        <v>0</v>
      </c>
      <c r="C697" s="9">
        <v>0.38</v>
      </c>
      <c r="D697" s="8">
        <v>0.75</v>
      </c>
      <c r="E697" s="10" t="s">
        <v>222</v>
      </c>
      <c r="F697" s="11" t="s">
        <v>293</v>
      </c>
      <c r="G697" s="12" t="s">
        <v>216</v>
      </c>
      <c r="H697" s="13" t="s">
        <v>236</v>
      </c>
      <c r="I697" s="14">
        <v>8</v>
      </c>
      <c r="J697" s="14" t="s">
        <v>10</v>
      </c>
      <c r="K697" s="5" t="s">
        <v>1796</v>
      </c>
      <c r="L697" s="6">
        <v>0.70833333333333337</v>
      </c>
      <c r="M697" s="7" t="s">
        <v>1797</v>
      </c>
      <c r="N697" s="14" t="s">
        <v>11</v>
      </c>
      <c r="O697" s="14">
        <v>8</v>
      </c>
      <c r="P697" s="13" t="s">
        <v>220</v>
      </c>
      <c r="Q697" s="12" t="s">
        <v>236</v>
      </c>
      <c r="R697" s="11" t="s">
        <v>296</v>
      </c>
      <c r="S697" s="10" t="s">
        <v>217</v>
      </c>
      <c r="T697" s="8">
        <v>0.5</v>
      </c>
      <c r="U697" s="9">
        <v>0.38</v>
      </c>
      <c r="V697" s="8">
        <v>0.25</v>
      </c>
      <c r="W697" s="17"/>
      <c r="X697" s="65">
        <v>46250</v>
      </c>
    </row>
    <row r="698" spans="1:24" ht="13.8" thickBot="1" x14ac:dyDescent="0.3">
      <c r="A698" s="4" t="s">
        <v>90</v>
      </c>
      <c r="B698" s="8">
        <v>0.12</v>
      </c>
      <c r="C698" s="9">
        <v>0.5</v>
      </c>
      <c r="D698" s="8">
        <v>0.75</v>
      </c>
      <c r="E698" s="10" t="s">
        <v>294</v>
      </c>
      <c r="F698" s="11" t="s">
        <v>293</v>
      </c>
      <c r="G698" s="12" t="s">
        <v>295</v>
      </c>
      <c r="H698" s="13" t="s">
        <v>220</v>
      </c>
      <c r="I698" s="14">
        <v>8</v>
      </c>
      <c r="J698" s="14" t="s">
        <v>10</v>
      </c>
      <c r="K698" s="5" t="s">
        <v>1798</v>
      </c>
      <c r="L698" s="6">
        <v>0.70833333333333337</v>
      </c>
      <c r="M698" s="7" t="s">
        <v>1799</v>
      </c>
      <c r="N698" s="14" t="s">
        <v>11</v>
      </c>
      <c r="O698" s="14">
        <v>8</v>
      </c>
      <c r="P698" s="13" t="s">
        <v>247</v>
      </c>
      <c r="Q698" s="12" t="s">
        <v>225</v>
      </c>
      <c r="R698" s="11" t="s">
        <v>222</v>
      </c>
      <c r="S698" s="10" t="s">
        <v>220</v>
      </c>
      <c r="T698" s="8">
        <v>0.62</v>
      </c>
      <c r="U698" s="9">
        <v>0.38</v>
      </c>
      <c r="V698" s="8">
        <v>0.12</v>
      </c>
      <c r="W698" s="17"/>
      <c r="X698" s="65">
        <v>46250</v>
      </c>
    </row>
    <row r="699" spans="1:24" ht="13.8" thickBot="1" x14ac:dyDescent="0.3">
      <c r="A699" s="4" t="s">
        <v>90</v>
      </c>
      <c r="B699" s="8">
        <v>0.28999999999999998</v>
      </c>
      <c r="C699" s="15">
        <v>0.56999999999999995</v>
      </c>
      <c r="D699" s="8">
        <v>0.86</v>
      </c>
      <c r="E699" s="10" t="s">
        <v>290</v>
      </c>
      <c r="F699" s="11" t="s">
        <v>290</v>
      </c>
      <c r="G699" s="12" t="s">
        <v>1381</v>
      </c>
      <c r="H699" s="13" t="s">
        <v>217</v>
      </c>
      <c r="I699" s="14">
        <v>7</v>
      </c>
      <c r="J699" s="14" t="s">
        <v>10</v>
      </c>
      <c r="K699" s="5" t="s">
        <v>1800</v>
      </c>
      <c r="L699" s="6">
        <v>0.8125</v>
      </c>
      <c r="M699" s="7" t="s">
        <v>1801</v>
      </c>
      <c r="N699" s="14" t="s">
        <v>11</v>
      </c>
      <c r="O699" s="14">
        <v>8</v>
      </c>
      <c r="P699" s="13" t="s">
        <v>294</v>
      </c>
      <c r="Q699" s="12" t="s">
        <v>216</v>
      </c>
      <c r="R699" s="11" t="s">
        <v>296</v>
      </c>
      <c r="S699" s="10" t="s">
        <v>294</v>
      </c>
      <c r="T699" s="8">
        <v>0.62</v>
      </c>
      <c r="U699" s="9">
        <v>0.12</v>
      </c>
      <c r="V699" s="8">
        <v>0.12</v>
      </c>
      <c r="W699" s="17"/>
      <c r="X699" s="65">
        <v>46250</v>
      </c>
    </row>
    <row r="700" spans="1:24" ht="13.8" thickBot="1" x14ac:dyDescent="0.3">
      <c r="A700" s="4" t="s">
        <v>90</v>
      </c>
      <c r="B700" s="8">
        <v>0</v>
      </c>
      <c r="C700" s="9">
        <v>0.25</v>
      </c>
      <c r="D700" s="8">
        <v>0.5</v>
      </c>
      <c r="E700" s="10" t="s">
        <v>222</v>
      </c>
      <c r="F700" s="11" t="s">
        <v>296</v>
      </c>
      <c r="G700" s="12" t="s">
        <v>239</v>
      </c>
      <c r="H700" s="13" t="s">
        <v>286</v>
      </c>
      <c r="I700" s="14">
        <v>8</v>
      </c>
      <c r="J700" s="14" t="s">
        <v>10</v>
      </c>
      <c r="K700" s="5" t="s">
        <v>1802</v>
      </c>
      <c r="L700" s="6">
        <v>0.8125</v>
      </c>
      <c r="M700" s="7" t="s">
        <v>1803</v>
      </c>
      <c r="N700" s="14" t="s">
        <v>11</v>
      </c>
      <c r="O700" s="14">
        <v>8</v>
      </c>
      <c r="P700" s="13" t="s">
        <v>220</v>
      </c>
      <c r="Q700" s="12" t="s">
        <v>346</v>
      </c>
      <c r="R700" s="11" t="s">
        <v>223</v>
      </c>
      <c r="S700" s="10" t="s">
        <v>220</v>
      </c>
      <c r="T700" s="8">
        <v>0.88</v>
      </c>
      <c r="U700" s="15">
        <v>0.62</v>
      </c>
      <c r="V700" s="8">
        <v>0.5</v>
      </c>
      <c r="W700" s="17"/>
      <c r="X700" s="65">
        <v>46250</v>
      </c>
    </row>
    <row r="701" spans="1:24" ht="13.8" thickBot="1" x14ac:dyDescent="0.3">
      <c r="A701" s="4" t="s">
        <v>90</v>
      </c>
      <c r="B701" s="8">
        <v>0.14000000000000001</v>
      </c>
      <c r="C701" s="15">
        <v>0.71</v>
      </c>
      <c r="D701" s="8">
        <v>1</v>
      </c>
      <c r="E701" s="10" t="s">
        <v>216</v>
      </c>
      <c r="F701" s="11" t="s">
        <v>292</v>
      </c>
      <c r="G701" s="12" t="s">
        <v>922</v>
      </c>
      <c r="H701" s="13" t="s">
        <v>882</v>
      </c>
      <c r="I701" s="14">
        <v>7</v>
      </c>
      <c r="J701" s="14" t="s">
        <v>10</v>
      </c>
      <c r="K701" s="5" t="s">
        <v>1804</v>
      </c>
      <c r="L701" s="6">
        <v>0.5</v>
      </c>
      <c r="M701" s="7" t="s">
        <v>1805</v>
      </c>
      <c r="N701" s="14" t="s">
        <v>11</v>
      </c>
      <c r="O701" s="14">
        <v>7</v>
      </c>
      <c r="P701" s="13" t="s">
        <v>216</v>
      </c>
      <c r="Q701" s="12" t="s">
        <v>849</v>
      </c>
      <c r="R701" s="11" t="s">
        <v>842</v>
      </c>
      <c r="S701" s="10" t="s">
        <v>292</v>
      </c>
      <c r="T701" s="8">
        <v>0.71</v>
      </c>
      <c r="U701" s="15">
        <v>0.71</v>
      </c>
      <c r="V701" s="8">
        <v>0.14000000000000001</v>
      </c>
      <c r="W701" s="17"/>
      <c r="X701" s="65">
        <v>46250</v>
      </c>
    </row>
    <row r="702" spans="1:24" ht="13.8" thickBot="1" x14ac:dyDescent="0.3">
      <c r="A702" s="4" t="s">
        <v>90</v>
      </c>
      <c r="B702" s="8">
        <v>0.14000000000000001</v>
      </c>
      <c r="C702" s="15">
        <v>0.56999999999999995</v>
      </c>
      <c r="D702" s="8">
        <v>0.86</v>
      </c>
      <c r="E702" s="10" t="s">
        <v>217</v>
      </c>
      <c r="F702" s="11" t="s">
        <v>916</v>
      </c>
      <c r="G702" s="12" t="s">
        <v>1381</v>
      </c>
      <c r="H702" s="13" t="s">
        <v>916</v>
      </c>
      <c r="I702" s="14">
        <v>7</v>
      </c>
      <c r="J702" s="14" t="s">
        <v>10</v>
      </c>
      <c r="K702" s="5" t="s">
        <v>1806</v>
      </c>
      <c r="L702" s="6">
        <v>0.5</v>
      </c>
      <c r="M702" s="7" t="s">
        <v>1807</v>
      </c>
      <c r="N702" s="14" t="s">
        <v>11</v>
      </c>
      <c r="O702" s="14">
        <v>7</v>
      </c>
      <c r="P702" s="13" t="s">
        <v>929</v>
      </c>
      <c r="Q702" s="12" t="s">
        <v>291</v>
      </c>
      <c r="R702" s="11" t="s">
        <v>290</v>
      </c>
      <c r="S702" s="10" t="s">
        <v>292</v>
      </c>
      <c r="T702" s="8">
        <v>0.71</v>
      </c>
      <c r="U702" s="9">
        <v>0.28999999999999998</v>
      </c>
      <c r="V702" s="8">
        <v>0.14000000000000001</v>
      </c>
      <c r="W702" s="17"/>
      <c r="X702" s="65">
        <v>46250</v>
      </c>
    </row>
    <row r="703" spans="1:24" ht="13.8" thickBot="1" x14ac:dyDescent="0.3">
      <c r="A703" s="4" t="s">
        <v>90</v>
      </c>
      <c r="B703" s="8">
        <v>0.5</v>
      </c>
      <c r="C703" s="15">
        <v>0.75</v>
      </c>
      <c r="D703" s="8">
        <v>0.88</v>
      </c>
      <c r="E703" s="10" t="s">
        <v>237</v>
      </c>
      <c r="F703" s="11" t="s">
        <v>329</v>
      </c>
      <c r="G703" s="12" t="s">
        <v>246</v>
      </c>
      <c r="H703" s="13" t="s">
        <v>221</v>
      </c>
      <c r="I703" s="14">
        <v>8</v>
      </c>
      <c r="J703" s="14" t="s">
        <v>10</v>
      </c>
      <c r="K703" s="5" t="s">
        <v>1808</v>
      </c>
      <c r="L703" s="6">
        <v>0.79166666666666663</v>
      </c>
      <c r="M703" s="7" t="s">
        <v>1809</v>
      </c>
      <c r="N703" s="14" t="s">
        <v>11</v>
      </c>
      <c r="O703" s="14">
        <v>8</v>
      </c>
      <c r="P703" s="13" t="s">
        <v>222</v>
      </c>
      <c r="Q703" s="12" t="s">
        <v>216</v>
      </c>
      <c r="R703" s="11" t="s">
        <v>237</v>
      </c>
      <c r="S703" s="10" t="s">
        <v>286</v>
      </c>
      <c r="T703" s="8">
        <v>0.5</v>
      </c>
      <c r="U703" s="9">
        <v>0.38</v>
      </c>
      <c r="V703" s="8">
        <v>0.12</v>
      </c>
      <c r="W703" s="17"/>
      <c r="X703" s="65">
        <v>46250</v>
      </c>
    </row>
    <row r="704" spans="1:24" ht="13.8" thickBot="1" x14ac:dyDescent="0.3">
      <c r="A704" s="4" t="s">
        <v>305</v>
      </c>
      <c r="B704" s="8">
        <v>0.5</v>
      </c>
      <c r="C704" s="15">
        <v>1</v>
      </c>
      <c r="D704" s="8">
        <v>1</v>
      </c>
      <c r="E704" s="10" t="s">
        <v>220</v>
      </c>
      <c r="F704" s="11" t="s">
        <v>221</v>
      </c>
      <c r="G704" s="12" t="s">
        <v>226</v>
      </c>
      <c r="H704" s="13" t="s">
        <v>218</v>
      </c>
      <c r="I704" s="14">
        <v>2</v>
      </c>
      <c r="J704" s="14" t="s">
        <v>10</v>
      </c>
      <c r="K704" s="5" t="s">
        <v>1810</v>
      </c>
      <c r="L704" s="6">
        <v>0.58333333333333337</v>
      </c>
      <c r="M704" s="7" t="s">
        <v>1811</v>
      </c>
      <c r="N704" s="14" t="s">
        <v>11</v>
      </c>
      <c r="O704" s="14">
        <v>2</v>
      </c>
      <c r="P704" s="13" t="s">
        <v>219</v>
      </c>
      <c r="Q704" s="12" t="s">
        <v>218</v>
      </c>
      <c r="R704" s="11" t="s">
        <v>217</v>
      </c>
      <c r="S704" s="10" t="s">
        <v>216</v>
      </c>
      <c r="T704" s="8">
        <v>1</v>
      </c>
      <c r="U704" s="15">
        <v>1</v>
      </c>
      <c r="V704" s="8">
        <v>0</v>
      </c>
      <c r="W704" s="17"/>
      <c r="X704" s="65">
        <v>46250</v>
      </c>
    </row>
    <row r="705" spans="1:24" ht="13.8" thickBot="1" x14ac:dyDescent="0.3">
      <c r="A705" s="4" t="s">
        <v>305</v>
      </c>
      <c r="B705" s="8">
        <v>0</v>
      </c>
      <c r="C705" s="15">
        <v>1</v>
      </c>
      <c r="D705" s="8">
        <v>1</v>
      </c>
      <c r="E705" s="10" t="s">
        <v>217</v>
      </c>
      <c r="F705" s="11" t="s">
        <v>216</v>
      </c>
      <c r="G705" s="12" t="s">
        <v>218</v>
      </c>
      <c r="H705" s="13" t="s">
        <v>218</v>
      </c>
      <c r="I705" s="14">
        <v>1</v>
      </c>
      <c r="J705" s="14" t="s">
        <v>10</v>
      </c>
      <c r="K705" s="5" t="s">
        <v>1812</v>
      </c>
      <c r="L705" s="6">
        <v>0.67708333333333337</v>
      </c>
      <c r="M705" s="7" t="s">
        <v>1813</v>
      </c>
      <c r="N705" s="14" t="s">
        <v>11</v>
      </c>
      <c r="O705" s="14">
        <v>2</v>
      </c>
      <c r="P705" s="13" t="s">
        <v>219</v>
      </c>
      <c r="Q705" s="12" t="s">
        <v>218</v>
      </c>
      <c r="R705" s="11" t="s">
        <v>217</v>
      </c>
      <c r="S705" s="10" t="s">
        <v>216</v>
      </c>
      <c r="T705" s="8">
        <v>1</v>
      </c>
      <c r="U705" s="15">
        <v>1</v>
      </c>
      <c r="V705" s="8">
        <v>0</v>
      </c>
      <c r="W705" s="17"/>
      <c r="X705" s="65">
        <v>46250</v>
      </c>
    </row>
    <row r="706" spans="1:24" ht="19.8" thickBot="1" x14ac:dyDescent="0.3">
      <c r="A706" s="4" t="s">
        <v>305</v>
      </c>
      <c r="B706" s="8">
        <v>0</v>
      </c>
      <c r="C706" s="15">
        <v>1</v>
      </c>
      <c r="D706" s="8">
        <v>1</v>
      </c>
      <c r="E706" s="10" t="s">
        <v>217</v>
      </c>
      <c r="F706" s="11" t="s">
        <v>216</v>
      </c>
      <c r="G706" s="12" t="s">
        <v>218</v>
      </c>
      <c r="H706" s="13" t="s">
        <v>218</v>
      </c>
      <c r="I706" s="14">
        <v>1</v>
      </c>
      <c r="J706" s="14" t="s">
        <v>10</v>
      </c>
      <c r="K706" s="5" t="s">
        <v>1814</v>
      </c>
      <c r="L706" s="6">
        <v>0.54166666666666663</v>
      </c>
      <c r="M706" s="7" t="s">
        <v>1815</v>
      </c>
      <c r="N706" s="14" t="s">
        <v>11</v>
      </c>
      <c r="O706" s="14">
        <v>1</v>
      </c>
      <c r="P706" s="13" t="s">
        <v>219</v>
      </c>
      <c r="Q706" s="12" t="s">
        <v>218</v>
      </c>
      <c r="R706" s="11" t="s">
        <v>217</v>
      </c>
      <c r="S706" s="10" t="s">
        <v>216</v>
      </c>
      <c r="T706" s="8">
        <v>1</v>
      </c>
      <c r="U706" s="15">
        <v>1</v>
      </c>
      <c r="V706" s="8">
        <v>0</v>
      </c>
      <c r="W706" s="17"/>
      <c r="X706" s="65">
        <v>46250</v>
      </c>
    </row>
    <row r="707" spans="1:24" ht="19.8" thickBot="1" x14ac:dyDescent="0.3">
      <c r="A707" s="4" t="s">
        <v>305</v>
      </c>
      <c r="B707" s="8">
        <v>0.5</v>
      </c>
      <c r="C707" s="9">
        <v>0.5</v>
      </c>
      <c r="D707" s="8">
        <v>0.5</v>
      </c>
      <c r="E707" s="10" t="s">
        <v>217</v>
      </c>
      <c r="F707" s="11" t="s">
        <v>220</v>
      </c>
      <c r="G707" s="12" t="s">
        <v>221</v>
      </c>
      <c r="H707" s="13" t="s">
        <v>216</v>
      </c>
      <c r="I707" s="14">
        <v>2</v>
      </c>
      <c r="J707" s="14" t="s">
        <v>10</v>
      </c>
      <c r="K707" s="5" t="s">
        <v>1816</v>
      </c>
      <c r="L707" s="6">
        <v>0.54166666666666663</v>
      </c>
      <c r="M707" s="7" t="s">
        <v>1817</v>
      </c>
      <c r="N707" s="14" t="s">
        <v>11</v>
      </c>
      <c r="O707" s="14">
        <v>1</v>
      </c>
      <c r="P707" s="13" t="s">
        <v>219</v>
      </c>
      <c r="Q707" s="12" t="s">
        <v>226</v>
      </c>
      <c r="R707" s="11" t="s">
        <v>217</v>
      </c>
      <c r="S707" s="10" t="s">
        <v>218</v>
      </c>
      <c r="T707" s="8">
        <v>1</v>
      </c>
      <c r="U707" s="15">
        <v>1</v>
      </c>
      <c r="V707" s="8">
        <v>1</v>
      </c>
      <c r="W707" s="17"/>
      <c r="X707" s="65">
        <v>46250</v>
      </c>
    </row>
    <row r="708" spans="1:24" ht="13.8" thickBot="1" x14ac:dyDescent="0.3">
      <c r="A708" s="4" t="s">
        <v>305</v>
      </c>
      <c r="B708" s="8">
        <v>0.5</v>
      </c>
      <c r="C708" s="9">
        <v>0.5</v>
      </c>
      <c r="D708" s="8">
        <v>0.5</v>
      </c>
      <c r="E708" s="10" t="s">
        <v>247</v>
      </c>
      <c r="F708" s="11" t="s">
        <v>221</v>
      </c>
      <c r="G708" s="12" t="s">
        <v>218</v>
      </c>
      <c r="H708" s="13" t="s">
        <v>216</v>
      </c>
      <c r="I708" s="14">
        <v>2</v>
      </c>
      <c r="J708" s="14" t="s">
        <v>10</v>
      </c>
      <c r="K708" s="5" t="s">
        <v>1818</v>
      </c>
      <c r="L708" s="6">
        <v>0.625</v>
      </c>
      <c r="M708" s="7" t="s">
        <v>1819</v>
      </c>
      <c r="N708" s="14" t="s">
        <v>11</v>
      </c>
      <c r="O708" s="14">
        <v>1</v>
      </c>
      <c r="P708" s="13" t="s">
        <v>219</v>
      </c>
      <c r="Q708" s="12" t="s">
        <v>218</v>
      </c>
      <c r="R708" s="11" t="s">
        <v>217</v>
      </c>
      <c r="S708" s="10" t="s">
        <v>216</v>
      </c>
      <c r="T708" s="8">
        <v>1</v>
      </c>
      <c r="U708" s="15">
        <v>1</v>
      </c>
      <c r="V708" s="8">
        <v>0</v>
      </c>
      <c r="W708" s="17"/>
      <c r="X708" s="65">
        <v>46250</v>
      </c>
    </row>
    <row r="709" spans="1:24" ht="13.8" thickBot="1" x14ac:dyDescent="0.3">
      <c r="A709" s="4" t="s">
        <v>305</v>
      </c>
      <c r="B709" s="8">
        <v>0</v>
      </c>
      <c r="C709" s="9">
        <v>0.5</v>
      </c>
      <c r="D709" s="8">
        <v>0.5</v>
      </c>
      <c r="E709" s="10" t="s">
        <v>247</v>
      </c>
      <c r="F709" s="11" t="s">
        <v>220</v>
      </c>
      <c r="G709" s="12" t="s">
        <v>216</v>
      </c>
      <c r="H709" s="13" t="s">
        <v>218</v>
      </c>
      <c r="I709" s="14">
        <v>2</v>
      </c>
      <c r="J709" s="14" t="s">
        <v>10</v>
      </c>
      <c r="K709" s="5" t="s">
        <v>1820</v>
      </c>
      <c r="L709" s="6">
        <v>0.625</v>
      </c>
      <c r="M709" s="7" t="s">
        <v>1821</v>
      </c>
      <c r="N709" s="14" t="s">
        <v>11</v>
      </c>
      <c r="O709" s="14">
        <v>1</v>
      </c>
      <c r="P709" s="13" t="s">
        <v>219</v>
      </c>
      <c r="Q709" s="12" t="s">
        <v>217</v>
      </c>
      <c r="R709" s="11" t="s">
        <v>219</v>
      </c>
      <c r="S709" s="10" t="s">
        <v>217</v>
      </c>
      <c r="T709" s="8">
        <v>0</v>
      </c>
      <c r="U709" s="9">
        <v>0</v>
      </c>
      <c r="V709" s="8">
        <v>0</v>
      </c>
      <c r="W709" s="17"/>
      <c r="X709" s="65">
        <v>46250</v>
      </c>
    </row>
    <row r="710" spans="1:24" ht="13.8" thickBot="1" x14ac:dyDescent="0.3">
      <c r="A710" s="4" t="s">
        <v>305</v>
      </c>
      <c r="B710" s="8">
        <v>1</v>
      </c>
      <c r="C710" s="15">
        <v>1</v>
      </c>
      <c r="D710" s="8">
        <v>1</v>
      </c>
      <c r="E710" s="10" t="s">
        <v>217</v>
      </c>
      <c r="F710" s="11" t="s">
        <v>218</v>
      </c>
      <c r="G710" s="12" t="s">
        <v>226</v>
      </c>
      <c r="H710" s="13" t="s">
        <v>218</v>
      </c>
      <c r="I710" s="14">
        <v>1</v>
      </c>
      <c r="J710" s="14" t="s">
        <v>10</v>
      </c>
      <c r="K710" s="5" t="s">
        <v>1822</v>
      </c>
      <c r="L710" s="6">
        <v>0.625</v>
      </c>
      <c r="M710" s="7" t="s">
        <v>1823</v>
      </c>
      <c r="N710" s="14" t="s">
        <v>11</v>
      </c>
      <c r="O710" s="14">
        <v>3</v>
      </c>
      <c r="P710" s="13" t="s">
        <v>217</v>
      </c>
      <c r="Q710" s="12" t="s">
        <v>344</v>
      </c>
      <c r="R710" s="11" t="s">
        <v>310</v>
      </c>
      <c r="S710" s="10" t="s">
        <v>217</v>
      </c>
      <c r="T710" s="8">
        <v>0.33</v>
      </c>
      <c r="U710" s="9">
        <v>0.33</v>
      </c>
      <c r="V710" s="8">
        <v>0</v>
      </c>
      <c r="W710" s="17"/>
      <c r="X710" s="65">
        <v>46250</v>
      </c>
    </row>
    <row r="711" spans="1:24" ht="19.8" thickBot="1" x14ac:dyDescent="0.3">
      <c r="A711" s="4" t="s">
        <v>91</v>
      </c>
      <c r="B711" s="8">
        <v>0.25</v>
      </c>
      <c r="C711" s="9">
        <v>0.5</v>
      </c>
      <c r="D711" s="8">
        <v>0.75</v>
      </c>
      <c r="E711" s="10" t="s">
        <v>239</v>
      </c>
      <c r="F711" s="11" t="s">
        <v>294</v>
      </c>
      <c r="G711" s="12" t="s">
        <v>330</v>
      </c>
      <c r="H711" s="13" t="s">
        <v>217</v>
      </c>
      <c r="I711" s="14">
        <v>8</v>
      </c>
      <c r="J711" s="14" t="s">
        <v>10</v>
      </c>
      <c r="K711" s="5" t="s">
        <v>155</v>
      </c>
      <c r="L711" s="6">
        <v>0.58333333333333337</v>
      </c>
      <c r="M711" s="7" t="s">
        <v>153</v>
      </c>
      <c r="N711" s="14" t="s">
        <v>11</v>
      </c>
      <c r="O711" s="14">
        <v>8</v>
      </c>
      <c r="P711" s="13" t="s">
        <v>296</v>
      </c>
      <c r="Q711" s="12" t="s">
        <v>342</v>
      </c>
      <c r="R711" s="11" t="s">
        <v>293</v>
      </c>
      <c r="S711" s="10" t="s">
        <v>240</v>
      </c>
      <c r="T711" s="8">
        <v>0.88</v>
      </c>
      <c r="U711" s="15">
        <v>0.75</v>
      </c>
      <c r="V711" s="8">
        <v>0.62</v>
      </c>
      <c r="W711" s="17"/>
      <c r="X711" s="65">
        <v>46250</v>
      </c>
    </row>
    <row r="712" spans="1:24" ht="19.8" thickBot="1" x14ac:dyDescent="0.3">
      <c r="A712" s="4" t="s">
        <v>91</v>
      </c>
      <c r="B712" s="8">
        <v>0.83</v>
      </c>
      <c r="C712" s="15">
        <v>0.83</v>
      </c>
      <c r="D712" s="8">
        <v>0.83</v>
      </c>
      <c r="E712" s="10" t="s">
        <v>221</v>
      </c>
      <c r="F712" s="11" t="s">
        <v>344</v>
      </c>
      <c r="G712" s="12" t="s">
        <v>1402</v>
      </c>
      <c r="H712" s="13" t="s">
        <v>348</v>
      </c>
      <c r="I712" s="14">
        <v>6</v>
      </c>
      <c r="J712" s="14" t="s">
        <v>10</v>
      </c>
      <c r="K712" s="5" t="s">
        <v>154</v>
      </c>
      <c r="L712" s="6">
        <v>0.75</v>
      </c>
      <c r="M712" s="7" t="s">
        <v>1824</v>
      </c>
      <c r="N712" s="14" t="s">
        <v>11</v>
      </c>
      <c r="O712" s="14">
        <v>9</v>
      </c>
      <c r="P712" s="13" t="s">
        <v>306</v>
      </c>
      <c r="Q712" s="12" t="s">
        <v>307</v>
      </c>
      <c r="R712" s="11" t="s">
        <v>306</v>
      </c>
      <c r="S712" s="10" t="s">
        <v>224</v>
      </c>
      <c r="T712" s="8">
        <v>0.67</v>
      </c>
      <c r="U712" s="9">
        <v>0.44</v>
      </c>
      <c r="V712" s="8">
        <v>0.11</v>
      </c>
      <c r="W712" s="17"/>
      <c r="X712" s="65">
        <v>46250</v>
      </c>
    </row>
    <row r="713" spans="1:24" ht="19.8" thickBot="1" x14ac:dyDescent="0.3">
      <c r="A713" s="4" t="s">
        <v>157</v>
      </c>
      <c r="B713" s="8">
        <v>0.22</v>
      </c>
      <c r="C713" s="15">
        <v>0.56000000000000005</v>
      </c>
      <c r="D713" s="8">
        <v>0.67</v>
      </c>
      <c r="E713" s="10" t="s">
        <v>284</v>
      </c>
      <c r="F713" s="11" t="s">
        <v>224</v>
      </c>
      <c r="G713" s="12" t="s">
        <v>230</v>
      </c>
      <c r="H713" s="13" t="s">
        <v>224</v>
      </c>
      <c r="I713" s="14">
        <v>9</v>
      </c>
      <c r="J713" s="14" t="s">
        <v>10</v>
      </c>
      <c r="K713" s="5" t="s">
        <v>1825</v>
      </c>
      <c r="L713" s="6">
        <v>0.91666666666666663</v>
      </c>
      <c r="M713" s="7" t="s">
        <v>1826</v>
      </c>
      <c r="N713" s="14" t="s">
        <v>11</v>
      </c>
      <c r="O713" s="14">
        <v>8</v>
      </c>
      <c r="P713" s="13" t="s">
        <v>237</v>
      </c>
      <c r="Q713" s="12" t="s">
        <v>216</v>
      </c>
      <c r="R713" s="11" t="s">
        <v>247</v>
      </c>
      <c r="S713" s="10" t="s">
        <v>220</v>
      </c>
      <c r="T713" s="8">
        <v>0.5</v>
      </c>
      <c r="U713" s="9">
        <v>0.5</v>
      </c>
      <c r="V713" s="8">
        <v>0.12</v>
      </c>
      <c r="W713" s="17"/>
      <c r="X713" s="65">
        <v>46250</v>
      </c>
    </row>
    <row r="714" spans="1:24" ht="19.8" thickBot="1" x14ac:dyDescent="0.3">
      <c r="A714" s="4" t="s">
        <v>157</v>
      </c>
      <c r="B714" s="8">
        <v>0.33</v>
      </c>
      <c r="C714" s="9">
        <v>0.44</v>
      </c>
      <c r="D714" s="8">
        <v>0.78</v>
      </c>
      <c r="E714" s="10" t="s">
        <v>284</v>
      </c>
      <c r="F714" s="11" t="s">
        <v>224</v>
      </c>
      <c r="G714" s="12" t="s">
        <v>230</v>
      </c>
      <c r="H714" s="13" t="s">
        <v>232</v>
      </c>
      <c r="I714" s="14">
        <v>9</v>
      </c>
      <c r="J714" s="14" t="s">
        <v>10</v>
      </c>
      <c r="K714" s="5" t="s">
        <v>1827</v>
      </c>
      <c r="L714" s="6">
        <v>0.60416666666666663</v>
      </c>
      <c r="M714" s="7" t="s">
        <v>1828</v>
      </c>
      <c r="N714" s="14" t="s">
        <v>11</v>
      </c>
      <c r="O714" s="14">
        <v>8</v>
      </c>
      <c r="P714" s="13" t="s">
        <v>247</v>
      </c>
      <c r="Q714" s="12" t="s">
        <v>330</v>
      </c>
      <c r="R714" s="11" t="s">
        <v>347</v>
      </c>
      <c r="S714" s="10" t="s">
        <v>295</v>
      </c>
      <c r="T714" s="8">
        <v>0.75</v>
      </c>
      <c r="U714" s="15">
        <v>0.75</v>
      </c>
      <c r="V714" s="8">
        <v>0.38</v>
      </c>
      <c r="W714" s="17"/>
      <c r="X714" s="65">
        <v>46250</v>
      </c>
    </row>
    <row r="715" spans="1:24" ht="13.8" thickBot="1" x14ac:dyDescent="0.3">
      <c r="A715" s="4" t="s">
        <v>157</v>
      </c>
      <c r="B715" s="8">
        <v>0.5</v>
      </c>
      <c r="C715" s="9">
        <v>0.5</v>
      </c>
      <c r="D715" s="8">
        <v>0.5</v>
      </c>
      <c r="E715" s="10" t="s">
        <v>220</v>
      </c>
      <c r="F715" s="11" t="s">
        <v>239</v>
      </c>
      <c r="G715" s="12" t="s">
        <v>332</v>
      </c>
      <c r="H715" s="13" t="s">
        <v>220</v>
      </c>
      <c r="I715" s="14">
        <v>8</v>
      </c>
      <c r="J715" s="14" t="s">
        <v>10</v>
      </c>
      <c r="K715" s="5" t="s">
        <v>1829</v>
      </c>
      <c r="L715" s="6">
        <v>0.70833333333333337</v>
      </c>
      <c r="M715" s="7" t="s">
        <v>1830</v>
      </c>
      <c r="N715" s="14" t="s">
        <v>11</v>
      </c>
      <c r="O715" s="14">
        <v>8</v>
      </c>
      <c r="P715" s="13" t="s">
        <v>222</v>
      </c>
      <c r="Q715" s="12" t="s">
        <v>240</v>
      </c>
      <c r="R715" s="11" t="s">
        <v>237</v>
      </c>
      <c r="S715" s="10" t="s">
        <v>220</v>
      </c>
      <c r="T715" s="8">
        <v>0.62</v>
      </c>
      <c r="U715" s="9">
        <v>0.5</v>
      </c>
      <c r="V715" s="8">
        <v>0</v>
      </c>
      <c r="W715" s="17"/>
      <c r="X715" s="65">
        <v>46250</v>
      </c>
    </row>
    <row r="716" spans="1:24" ht="13.8" thickBot="1" x14ac:dyDescent="0.3">
      <c r="A716" s="4" t="s">
        <v>157</v>
      </c>
      <c r="B716" s="8">
        <v>0.33</v>
      </c>
      <c r="C716" s="9">
        <v>0.44</v>
      </c>
      <c r="D716" s="8">
        <v>0.67</v>
      </c>
      <c r="E716" s="10" t="s">
        <v>310</v>
      </c>
      <c r="F716" s="11" t="s">
        <v>307</v>
      </c>
      <c r="G716" s="12" t="s">
        <v>309</v>
      </c>
      <c r="H716" s="13" t="s">
        <v>334</v>
      </c>
      <c r="I716" s="14">
        <v>9</v>
      </c>
      <c r="J716" s="14" t="s">
        <v>10</v>
      </c>
      <c r="K716" s="5" t="s">
        <v>1831</v>
      </c>
      <c r="L716" s="6">
        <v>0.8125</v>
      </c>
      <c r="M716" s="7" t="s">
        <v>1832</v>
      </c>
      <c r="N716" s="14" t="s">
        <v>11</v>
      </c>
      <c r="O716" s="14">
        <v>9</v>
      </c>
      <c r="P716" s="13" t="s">
        <v>284</v>
      </c>
      <c r="Q716" s="12" t="s">
        <v>833</v>
      </c>
      <c r="R716" s="11" t="s">
        <v>232</v>
      </c>
      <c r="S716" s="10" t="s">
        <v>343</v>
      </c>
      <c r="T716" s="8">
        <v>0.89</v>
      </c>
      <c r="U716" s="15">
        <v>0.56000000000000005</v>
      </c>
      <c r="V716" s="8">
        <v>0.33</v>
      </c>
      <c r="W716" s="17"/>
      <c r="X716" s="65">
        <v>46250</v>
      </c>
    </row>
    <row r="717" spans="1:24" ht="19.8" thickBot="1" x14ac:dyDescent="0.3">
      <c r="A717" s="4" t="s">
        <v>157</v>
      </c>
      <c r="B717" s="8">
        <v>0.1</v>
      </c>
      <c r="C717" s="15">
        <v>0.6</v>
      </c>
      <c r="D717" s="8">
        <v>1</v>
      </c>
      <c r="E717" s="10" t="s">
        <v>274</v>
      </c>
      <c r="F717" s="11" t="s">
        <v>268</v>
      </c>
      <c r="G717" s="12" t="s">
        <v>800</v>
      </c>
      <c r="H717" s="13" t="s">
        <v>216</v>
      </c>
      <c r="I717" s="14">
        <v>10</v>
      </c>
      <c r="J717" s="14" t="s">
        <v>10</v>
      </c>
      <c r="K717" s="5" t="s">
        <v>1833</v>
      </c>
      <c r="L717" s="6">
        <v>0.91666666666666663</v>
      </c>
      <c r="M717" s="7" t="s">
        <v>1834</v>
      </c>
      <c r="N717" s="14" t="s">
        <v>11</v>
      </c>
      <c r="O717" s="14">
        <v>9</v>
      </c>
      <c r="P717" s="13" t="s">
        <v>229</v>
      </c>
      <c r="Q717" s="12" t="s">
        <v>334</v>
      </c>
      <c r="R717" s="11" t="s">
        <v>232</v>
      </c>
      <c r="S717" s="10" t="s">
        <v>306</v>
      </c>
      <c r="T717" s="8">
        <v>0.78</v>
      </c>
      <c r="U717" s="9">
        <v>0.33</v>
      </c>
      <c r="V717" s="8">
        <v>0.22</v>
      </c>
      <c r="W717" s="17"/>
      <c r="X717" s="65">
        <v>46250</v>
      </c>
    </row>
    <row r="718" spans="1:24" ht="13.8" thickBot="1" x14ac:dyDescent="0.3">
      <c r="A718" s="4" t="s">
        <v>157</v>
      </c>
      <c r="B718" s="8">
        <v>0.67</v>
      </c>
      <c r="C718" s="15">
        <v>0.67</v>
      </c>
      <c r="D718" s="8">
        <v>1</v>
      </c>
      <c r="E718" s="10" t="s">
        <v>232</v>
      </c>
      <c r="F718" s="11" t="s">
        <v>307</v>
      </c>
      <c r="G718" s="12" t="s">
        <v>349</v>
      </c>
      <c r="H718" s="13" t="s">
        <v>343</v>
      </c>
      <c r="I718" s="14">
        <v>9</v>
      </c>
      <c r="J718" s="14" t="s">
        <v>10</v>
      </c>
      <c r="K718" s="5" t="s">
        <v>1835</v>
      </c>
      <c r="L718" s="6">
        <v>0.60416666666666663</v>
      </c>
      <c r="M718" s="7" t="s">
        <v>1836</v>
      </c>
      <c r="N718" s="14" t="s">
        <v>11</v>
      </c>
      <c r="O718" s="14">
        <v>9</v>
      </c>
      <c r="P718" s="13" t="s">
        <v>284</v>
      </c>
      <c r="Q718" s="12" t="s">
        <v>231</v>
      </c>
      <c r="R718" s="11" t="s">
        <v>324</v>
      </c>
      <c r="S718" s="10" t="s">
        <v>228</v>
      </c>
      <c r="T718" s="8">
        <v>0.44</v>
      </c>
      <c r="U718" s="9">
        <v>0.44</v>
      </c>
      <c r="V718" s="8">
        <v>0.11</v>
      </c>
      <c r="W718" s="17"/>
      <c r="X718" s="65">
        <v>46250</v>
      </c>
    </row>
    <row r="719" spans="1:24" ht="13.8" thickBot="1" x14ac:dyDescent="0.3">
      <c r="A719" s="4" t="s">
        <v>157</v>
      </c>
      <c r="B719" s="8">
        <v>0</v>
      </c>
      <c r="C719" s="9">
        <v>0.12</v>
      </c>
      <c r="D719" s="8">
        <v>0.5</v>
      </c>
      <c r="E719" s="10" t="s">
        <v>247</v>
      </c>
      <c r="F719" s="11" t="s">
        <v>296</v>
      </c>
      <c r="G719" s="12" t="s">
        <v>286</v>
      </c>
      <c r="H719" s="13" t="s">
        <v>239</v>
      </c>
      <c r="I719" s="14">
        <v>8</v>
      </c>
      <c r="J719" s="14" t="s">
        <v>10</v>
      </c>
      <c r="K719" s="5" t="s">
        <v>1837</v>
      </c>
      <c r="L719" s="6">
        <v>0.70833333333333337</v>
      </c>
      <c r="M719" s="7" t="s">
        <v>1838</v>
      </c>
      <c r="N719" s="14" t="s">
        <v>11</v>
      </c>
      <c r="O719" s="14">
        <v>9</v>
      </c>
      <c r="P719" s="13" t="s">
        <v>217</v>
      </c>
      <c r="Q719" s="12" t="s">
        <v>325</v>
      </c>
      <c r="R719" s="11" t="s">
        <v>228</v>
      </c>
      <c r="S719" s="10" t="s">
        <v>229</v>
      </c>
      <c r="T719" s="8">
        <v>0.78</v>
      </c>
      <c r="U719" s="15">
        <v>0.56000000000000005</v>
      </c>
      <c r="V719" s="8">
        <v>0.33</v>
      </c>
      <c r="W719" s="17"/>
      <c r="X719" s="65">
        <v>46250</v>
      </c>
    </row>
    <row r="720" spans="1:24" ht="19.8" thickBot="1" x14ac:dyDescent="0.3">
      <c r="A720" s="4" t="s">
        <v>157</v>
      </c>
      <c r="B720" s="8">
        <v>0.12</v>
      </c>
      <c r="C720" s="9">
        <v>0.25</v>
      </c>
      <c r="D720" s="8">
        <v>0.5</v>
      </c>
      <c r="E720" s="10" t="s">
        <v>296</v>
      </c>
      <c r="F720" s="11" t="s">
        <v>294</v>
      </c>
      <c r="G720" s="12" t="s">
        <v>216</v>
      </c>
      <c r="H720" s="13" t="s">
        <v>236</v>
      </c>
      <c r="I720" s="14">
        <v>8</v>
      </c>
      <c r="J720" s="14" t="s">
        <v>10</v>
      </c>
      <c r="K720" s="5" t="s">
        <v>168</v>
      </c>
      <c r="L720" s="6">
        <v>0.375</v>
      </c>
      <c r="M720" s="7" t="s">
        <v>1839</v>
      </c>
      <c r="N720" s="14" t="s">
        <v>11</v>
      </c>
      <c r="O720" s="14">
        <v>8</v>
      </c>
      <c r="P720" s="13" t="s">
        <v>223</v>
      </c>
      <c r="Q720" s="12" t="s">
        <v>240</v>
      </c>
      <c r="R720" s="11" t="s">
        <v>293</v>
      </c>
      <c r="S720" s="10" t="s">
        <v>296</v>
      </c>
      <c r="T720" s="8">
        <v>0.75</v>
      </c>
      <c r="U720" s="9">
        <v>0.5</v>
      </c>
      <c r="V720" s="8">
        <v>0</v>
      </c>
      <c r="W720" s="17"/>
      <c r="X720" s="65">
        <v>46250</v>
      </c>
    </row>
    <row r="721" spans="1:24" ht="19.8" thickBot="1" x14ac:dyDescent="0.3">
      <c r="A721" s="4" t="s">
        <v>157</v>
      </c>
      <c r="B721" s="8">
        <v>0.2</v>
      </c>
      <c r="C721" s="15">
        <v>0.6</v>
      </c>
      <c r="D721" s="8">
        <v>0.6</v>
      </c>
      <c r="E721" s="10" t="s">
        <v>227</v>
      </c>
      <c r="F721" s="11" t="s">
        <v>248</v>
      </c>
      <c r="G721" s="12" t="s">
        <v>279</v>
      </c>
      <c r="H721" s="13" t="s">
        <v>274</v>
      </c>
      <c r="I721" s="14">
        <v>10</v>
      </c>
      <c r="J721" s="14" t="s">
        <v>10</v>
      </c>
      <c r="K721" s="5" t="s">
        <v>167</v>
      </c>
      <c r="L721" s="6">
        <v>0.375</v>
      </c>
      <c r="M721" s="7" t="s">
        <v>170</v>
      </c>
      <c r="N721" s="14" t="s">
        <v>11</v>
      </c>
      <c r="O721" s="14">
        <v>9</v>
      </c>
      <c r="P721" s="13" t="s">
        <v>228</v>
      </c>
      <c r="Q721" s="12" t="s">
        <v>344</v>
      </c>
      <c r="R721" s="11" t="s">
        <v>324</v>
      </c>
      <c r="S721" s="10" t="s">
        <v>306</v>
      </c>
      <c r="T721" s="8">
        <v>0.67</v>
      </c>
      <c r="U721" s="9">
        <v>0.22</v>
      </c>
      <c r="V721" s="8">
        <v>0.11</v>
      </c>
      <c r="W721" s="17"/>
      <c r="X721" s="65">
        <v>46250</v>
      </c>
    </row>
    <row r="722" spans="1:24" ht="19.8" thickBot="1" x14ac:dyDescent="0.3">
      <c r="A722" s="4" t="s">
        <v>157</v>
      </c>
      <c r="B722" s="8">
        <v>0.33</v>
      </c>
      <c r="C722" s="9">
        <v>0.44</v>
      </c>
      <c r="D722" s="8">
        <v>0.89</v>
      </c>
      <c r="E722" s="10" t="s">
        <v>307</v>
      </c>
      <c r="F722" s="11" t="s">
        <v>310</v>
      </c>
      <c r="G722" s="12" t="s">
        <v>309</v>
      </c>
      <c r="H722" s="13" t="s">
        <v>1638</v>
      </c>
      <c r="I722" s="14">
        <v>9</v>
      </c>
      <c r="J722" s="14" t="s">
        <v>10</v>
      </c>
      <c r="K722" s="5" t="s">
        <v>169</v>
      </c>
      <c r="L722" s="6">
        <v>0.39583333333333331</v>
      </c>
      <c r="M722" s="7" t="s">
        <v>171</v>
      </c>
      <c r="N722" s="14" t="s">
        <v>11</v>
      </c>
      <c r="O722" s="14">
        <v>8</v>
      </c>
      <c r="P722" s="13" t="s">
        <v>347</v>
      </c>
      <c r="Q722" s="12" t="s">
        <v>236</v>
      </c>
      <c r="R722" s="11" t="s">
        <v>247</v>
      </c>
      <c r="S722" s="10" t="s">
        <v>286</v>
      </c>
      <c r="T722" s="8">
        <v>0.62</v>
      </c>
      <c r="U722" s="9">
        <v>0.38</v>
      </c>
      <c r="V722" s="8">
        <v>0.12</v>
      </c>
      <c r="W722" s="17"/>
      <c r="X722" s="65">
        <v>46250</v>
      </c>
    </row>
    <row r="723" spans="1:24" ht="13.8" thickBot="1" x14ac:dyDescent="0.3">
      <c r="A723" s="4" t="s">
        <v>157</v>
      </c>
      <c r="B723" s="8">
        <v>0.22</v>
      </c>
      <c r="C723" s="9">
        <v>0.44</v>
      </c>
      <c r="D723" s="8">
        <v>0.67</v>
      </c>
      <c r="E723" s="10" t="s">
        <v>217</v>
      </c>
      <c r="F723" s="11" t="s">
        <v>284</v>
      </c>
      <c r="G723" s="12" t="s">
        <v>307</v>
      </c>
      <c r="H723" s="13" t="s">
        <v>229</v>
      </c>
      <c r="I723" s="14">
        <v>9</v>
      </c>
      <c r="J723" s="14" t="s">
        <v>10</v>
      </c>
      <c r="K723" s="5" t="s">
        <v>1840</v>
      </c>
      <c r="L723" s="6">
        <v>0.39583333333333331</v>
      </c>
      <c r="M723" s="7" t="s">
        <v>1841</v>
      </c>
      <c r="N723" s="14" t="s">
        <v>11</v>
      </c>
      <c r="O723" s="14">
        <v>9</v>
      </c>
      <c r="P723" s="13" t="s">
        <v>284</v>
      </c>
      <c r="Q723" s="12" t="s">
        <v>1239</v>
      </c>
      <c r="R723" s="11" t="s">
        <v>344</v>
      </c>
      <c r="S723" s="10" t="s">
        <v>307</v>
      </c>
      <c r="T723" s="8">
        <v>0.89</v>
      </c>
      <c r="U723" s="15">
        <v>0.67</v>
      </c>
      <c r="V723" s="8">
        <v>0.44</v>
      </c>
      <c r="W723" s="17"/>
      <c r="X723" s="65">
        <v>46250</v>
      </c>
    </row>
    <row r="724" spans="1:24" ht="13.8" thickBot="1" x14ac:dyDescent="0.3">
      <c r="A724" s="4" t="s">
        <v>316</v>
      </c>
      <c r="B724" s="63"/>
      <c r="C724" s="63"/>
      <c r="D724" s="63"/>
      <c r="E724" s="63"/>
      <c r="F724" s="63"/>
      <c r="G724" s="63"/>
      <c r="H724" s="63"/>
      <c r="I724" s="64"/>
      <c r="J724" s="14" t="s">
        <v>10</v>
      </c>
      <c r="K724" s="5" t="s">
        <v>1842</v>
      </c>
      <c r="L724" s="6">
        <v>0.96527777777777779</v>
      </c>
      <c r="M724" s="7" t="s">
        <v>1843</v>
      </c>
      <c r="N724" s="14" t="s">
        <v>11</v>
      </c>
      <c r="O724" s="14">
        <v>1</v>
      </c>
      <c r="P724" s="13" t="s">
        <v>219</v>
      </c>
      <c r="Q724" s="12" t="s">
        <v>218</v>
      </c>
      <c r="R724" s="11" t="s">
        <v>217</v>
      </c>
      <c r="S724" s="10" t="s">
        <v>216</v>
      </c>
      <c r="T724" s="8">
        <v>1</v>
      </c>
      <c r="U724" s="15">
        <v>1</v>
      </c>
      <c r="V724" s="8">
        <v>0</v>
      </c>
      <c r="W724" s="17"/>
      <c r="X724" s="65">
        <v>46250</v>
      </c>
    </row>
    <row r="725" spans="1:24" ht="19.8" thickBot="1" x14ac:dyDescent="0.3">
      <c r="A725" s="4" t="s">
        <v>316</v>
      </c>
      <c r="B725" s="63"/>
      <c r="C725" s="63"/>
      <c r="D725" s="63"/>
      <c r="E725" s="63"/>
      <c r="F725" s="63"/>
      <c r="G725" s="63"/>
      <c r="H725" s="63"/>
      <c r="I725" s="64"/>
      <c r="J725" s="14" t="s">
        <v>10</v>
      </c>
      <c r="K725" s="5" t="s">
        <v>1844</v>
      </c>
      <c r="L725" s="6">
        <v>0.79166666666666663</v>
      </c>
      <c r="M725" s="7" t="s">
        <v>1845</v>
      </c>
      <c r="N725" s="14" t="s">
        <v>11</v>
      </c>
      <c r="O725" s="14">
        <v>2</v>
      </c>
      <c r="P725" s="13" t="s">
        <v>219</v>
      </c>
      <c r="Q725" s="12" t="s">
        <v>220</v>
      </c>
      <c r="R725" s="11" t="s">
        <v>219</v>
      </c>
      <c r="S725" s="10" t="s">
        <v>220</v>
      </c>
      <c r="T725" s="8">
        <v>0.5</v>
      </c>
      <c r="U725" s="9">
        <v>0</v>
      </c>
      <c r="V725" s="8">
        <v>0</v>
      </c>
      <c r="W725" s="17"/>
      <c r="X725" s="65">
        <v>46250</v>
      </c>
    </row>
    <row r="726" spans="1:24" ht="19.8" thickBot="1" x14ac:dyDescent="0.3">
      <c r="A726" s="4" t="s">
        <v>316</v>
      </c>
      <c r="B726" s="8">
        <v>0.5</v>
      </c>
      <c r="C726" s="9">
        <v>0.5</v>
      </c>
      <c r="D726" s="8">
        <v>0.5</v>
      </c>
      <c r="E726" s="10" t="s">
        <v>219</v>
      </c>
      <c r="F726" s="11" t="s">
        <v>226</v>
      </c>
      <c r="G726" s="12" t="s">
        <v>226</v>
      </c>
      <c r="H726" s="13" t="s">
        <v>218</v>
      </c>
      <c r="I726" s="14">
        <v>2</v>
      </c>
      <c r="J726" s="14" t="s">
        <v>10</v>
      </c>
      <c r="K726" s="5" t="s">
        <v>1846</v>
      </c>
      <c r="L726" s="6">
        <v>0.87847222222222221</v>
      </c>
      <c r="M726" s="7" t="s">
        <v>1847</v>
      </c>
      <c r="N726" s="14" t="s">
        <v>11</v>
      </c>
      <c r="O726" s="14">
        <v>2</v>
      </c>
      <c r="P726" s="13" t="s">
        <v>247</v>
      </c>
      <c r="Q726" s="12" t="s">
        <v>218</v>
      </c>
      <c r="R726" s="11" t="s">
        <v>217</v>
      </c>
      <c r="S726" s="10" t="s">
        <v>216</v>
      </c>
      <c r="T726" s="8">
        <v>1</v>
      </c>
      <c r="U726" s="9">
        <v>0.5</v>
      </c>
      <c r="V726" s="8">
        <v>0.5</v>
      </c>
      <c r="W726" s="17"/>
      <c r="X726" s="65">
        <v>46250</v>
      </c>
    </row>
    <row r="727" spans="1:24" ht="13.8" thickBot="1" x14ac:dyDescent="0.3">
      <c r="A727" s="4" t="s">
        <v>957</v>
      </c>
      <c r="B727" s="8">
        <v>0.5</v>
      </c>
      <c r="C727" s="15">
        <v>1</v>
      </c>
      <c r="D727" s="8">
        <v>1</v>
      </c>
      <c r="E727" s="10" t="s">
        <v>217</v>
      </c>
      <c r="F727" s="11" t="s">
        <v>246</v>
      </c>
      <c r="G727" s="12" t="s">
        <v>327</v>
      </c>
      <c r="H727" s="13" t="s">
        <v>218</v>
      </c>
      <c r="I727" s="14">
        <v>2</v>
      </c>
      <c r="J727" s="14" t="s">
        <v>10</v>
      </c>
      <c r="K727" s="5" t="s">
        <v>1848</v>
      </c>
      <c r="L727" s="6">
        <v>0</v>
      </c>
      <c r="M727" s="7" t="s">
        <v>1849</v>
      </c>
      <c r="N727" s="14" t="s">
        <v>11</v>
      </c>
      <c r="O727" s="14">
        <v>1</v>
      </c>
      <c r="P727" s="13" t="s">
        <v>219</v>
      </c>
      <c r="Q727" s="12" t="s">
        <v>217</v>
      </c>
      <c r="R727" s="11" t="s">
        <v>219</v>
      </c>
      <c r="S727" s="10" t="s">
        <v>217</v>
      </c>
      <c r="T727" s="8">
        <v>0</v>
      </c>
      <c r="U727" s="9">
        <v>0</v>
      </c>
      <c r="V727" s="8">
        <v>0</v>
      </c>
      <c r="W727" s="17"/>
      <c r="X727" s="65">
        <v>46250</v>
      </c>
    </row>
    <row r="728" spans="1:24" ht="13.8" thickBot="1" x14ac:dyDescent="0.3">
      <c r="A728" s="4" t="s">
        <v>957</v>
      </c>
      <c r="B728" s="8">
        <v>0</v>
      </c>
      <c r="C728" s="9">
        <v>0</v>
      </c>
      <c r="D728" s="8">
        <v>0</v>
      </c>
      <c r="E728" s="10" t="s">
        <v>219</v>
      </c>
      <c r="F728" s="11" t="s">
        <v>217</v>
      </c>
      <c r="G728" s="12" t="s">
        <v>217</v>
      </c>
      <c r="H728" s="13" t="s">
        <v>218</v>
      </c>
      <c r="I728" s="14">
        <v>1</v>
      </c>
      <c r="J728" s="14" t="s">
        <v>10</v>
      </c>
      <c r="K728" s="5" t="s">
        <v>1850</v>
      </c>
      <c r="L728" s="6">
        <v>0.83333333333333337</v>
      </c>
      <c r="M728" s="7" t="s">
        <v>1851</v>
      </c>
      <c r="N728" s="14" t="s">
        <v>11</v>
      </c>
      <c r="O728" s="14">
        <v>1</v>
      </c>
      <c r="P728" s="13" t="s">
        <v>219</v>
      </c>
      <c r="Q728" s="12" t="s">
        <v>226</v>
      </c>
      <c r="R728" s="11" t="s">
        <v>217</v>
      </c>
      <c r="S728" s="10" t="s">
        <v>218</v>
      </c>
      <c r="T728" s="8">
        <v>1</v>
      </c>
      <c r="U728" s="15">
        <v>1</v>
      </c>
      <c r="V728" s="8">
        <v>1</v>
      </c>
      <c r="W728" s="17"/>
      <c r="X728" s="65">
        <v>46250</v>
      </c>
    </row>
    <row r="729" spans="1:24" ht="13.8" thickBot="1" x14ac:dyDescent="0.3">
      <c r="A729" s="4" t="s">
        <v>320</v>
      </c>
      <c r="B729" s="8">
        <v>0</v>
      </c>
      <c r="C729" s="15">
        <v>1</v>
      </c>
      <c r="D729" s="8">
        <v>1</v>
      </c>
      <c r="E729" s="10" t="s">
        <v>217</v>
      </c>
      <c r="F729" s="11" t="s">
        <v>216</v>
      </c>
      <c r="G729" s="12" t="s">
        <v>218</v>
      </c>
      <c r="H729" s="13" t="s">
        <v>218</v>
      </c>
      <c r="I729" s="14">
        <v>1</v>
      </c>
      <c r="J729" s="14" t="s">
        <v>10</v>
      </c>
      <c r="K729" s="5" t="s">
        <v>1852</v>
      </c>
      <c r="L729" s="6">
        <v>0.60416666666666663</v>
      </c>
      <c r="M729" s="7" t="s">
        <v>1853</v>
      </c>
      <c r="N729" s="14" t="s">
        <v>11</v>
      </c>
      <c r="O729" s="64"/>
      <c r="P729" s="63"/>
      <c r="Q729" s="63"/>
      <c r="R729" s="63"/>
      <c r="S729" s="63"/>
      <c r="T729" s="63"/>
      <c r="U729" s="63"/>
      <c r="V729" s="63"/>
      <c r="W729" s="17"/>
      <c r="X729" s="65">
        <v>46250</v>
      </c>
    </row>
    <row r="730" spans="1:24" ht="13.8" thickBot="1" x14ac:dyDescent="0.3">
      <c r="A730" s="4" t="s">
        <v>320</v>
      </c>
      <c r="B730" s="8">
        <v>0</v>
      </c>
      <c r="C730" s="9">
        <v>0</v>
      </c>
      <c r="D730" s="8">
        <v>1</v>
      </c>
      <c r="E730" s="10" t="s">
        <v>216</v>
      </c>
      <c r="F730" s="11" t="s">
        <v>219</v>
      </c>
      <c r="G730" s="12" t="s">
        <v>216</v>
      </c>
      <c r="H730" s="13" t="s">
        <v>219</v>
      </c>
      <c r="I730" s="14">
        <v>1</v>
      </c>
      <c r="J730" s="14" t="s">
        <v>10</v>
      </c>
      <c r="K730" s="5" t="s">
        <v>1854</v>
      </c>
      <c r="L730" s="6">
        <v>0.70833333333333337</v>
      </c>
      <c r="M730" s="7" t="s">
        <v>1855</v>
      </c>
      <c r="N730" s="14" t="s">
        <v>11</v>
      </c>
      <c r="O730" s="14">
        <v>1</v>
      </c>
      <c r="P730" s="13" t="s">
        <v>219</v>
      </c>
      <c r="Q730" s="12" t="s">
        <v>218</v>
      </c>
      <c r="R730" s="11" t="s">
        <v>217</v>
      </c>
      <c r="S730" s="10" t="s">
        <v>216</v>
      </c>
      <c r="T730" s="8">
        <v>1</v>
      </c>
      <c r="U730" s="15">
        <v>1</v>
      </c>
      <c r="V730" s="8">
        <v>0</v>
      </c>
      <c r="W730" s="17"/>
      <c r="X730" s="65">
        <v>46250</v>
      </c>
    </row>
    <row r="731" spans="1:24" ht="19.8" thickBot="1" x14ac:dyDescent="0.3">
      <c r="A731" s="4" t="s">
        <v>321</v>
      </c>
      <c r="B731" s="8">
        <v>0</v>
      </c>
      <c r="C731" s="9">
        <v>0</v>
      </c>
      <c r="D731" s="8">
        <v>0</v>
      </c>
      <c r="E731" s="10" t="s">
        <v>219</v>
      </c>
      <c r="F731" s="11" t="s">
        <v>217</v>
      </c>
      <c r="G731" s="12" t="s">
        <v>217</v>
      </c>
      <c r="H731" s="13" t="s">
        <v>218</v>
      </c>
      <c r="I731" s="14">
        <v>1</v>
      </c>
      <c r="J731" s="14" t="s">
        <v>10</v>
      </c>
      <c r="K731" s="5" t="s">
        <v>1856</v>
      </c>
      <c r="L731" s="6">
        <v>0.26041666666666669</v>
      </c>
      <c r="M731" s="7" t="s">
        <v>1857</v>
      </c>
      <c r="N731" s="14" t="s">
        <v>11</v>
      </c>
      <c r="O731" s="14">
        <v>1</v>
      </c>
      <c r="P731" s="13" t="s">
        <v>219</v>
      </c>
      <c r="Q731" s="12" t="s">
        <v>217</v>
      </c>
      <c r="R731" s="11" t="s">
        <v>219</v>
      </c>
      <c r="S731" s="10" t="s">
        <v>217</v>
      </c>
      <c r="T731" s="8">
        <v>0</v>
      </c>
      <c r="U731" s="9">
        <v>0</v>
      </c>
      <c r="V731" s="8">
        <v>0</v>
      </c>
      <c r="W731" s="17"/>
      <c r="X731" s="65">
        <v>46250</v>
      </c>
    </row>
    <row r="732" spans="1:24" ht="13.8" thickBot="1" x14ac:dyDescent="0.3">
      <c r="A732" s="4" t="s">
        <v>322</v>
      </c>
      <c r="B732" s="8">
        <v>0</v>
      </c>
      <c r="C732" s="9">
        <v>0</v>
      </c>
      <c r="D732" s="8">
        <v>0</v>
      </c>
      <c r="E732" s="10" t="s">
        <v>219</v>
      </c>
      <c r="F732" s="11" t="s">
        <v>217</v>
      </c>
      <c r="G732" s="12" t="s">
        <v>217</v>
      </c>
      <c r="H732" s="13" t="s">
        <v>218</v>
      </c>
      <c r="I732" s="14">
        <v>1</v>
      </c>
      <c r="J732" s="14" t="s">
        <v>10</v>
      </c>
      <c r="K732" s="5" t="s">
        <v>1858</v>
      </c>
      <c r="L732" s="6">
        <v>0.41666666666666669</v>
      </c>
      <c r="M732" s="7" t="s">
        <v>1859</v>
      </c>
      <c r="N732" s="14" t="s">
        <v>11</v>
      </c>
      <c r="O732" s="14">
        <v>1</v>
      </c>
      <c r="P732" s="13" t="s">
        <v>217</v>
      </c>
      <c r="Q732" s="12" t="s">
        <v>216</v>
      </c>
      <c r="R732" s="11" t="s">
        <v>217</v>
      </c>
      <c r="S732" s="10" t="s">
        <v>217</v>
      </c>
      <c r="T732" s="8">
        <v>1</v>
      </c>
      <c r="U732" s="9">
        <v>0</v>
      </c>
      <c r="V732" s="8">
        <v>0</v>
      </c>
      <c r="W732" s="17"/>
      <c r="X732" s="65">
        <v>46250</v>
      </c>
    </row>
    <row r="733" spans="1:24" ht="13.8" thickBot="1" x14ac:dyDescent="0.3">
      <c r="A733" s="4" t="s">
        <v>322</v>
      </c>
      <c r="B733" s="8">
        <v>0</v>
      </c>
      <c r="C733" s="9">
        <v>0</v>
      </c>
      <c r="D733" s="8">
        <v>0</v>
      </c>
      <c r="E733" s="10" t="s">
        <v>219</v>
      </c>
      <c r="F733" s="11" t="s">
        <v>217</v>
      </c>
      <c r="G733" s="12" t="s">
        <v>217</v>
      </c>
      <c r="H733" s="13" t="s">
        <v>218</v>
      </c>
      <c r="I733" s="14">
        <v>1</v>
      </c>
      <c r="J733" s="14" t="s">
        <v>10</v>
      </c>
      <c r="K733" s="5" t="s">
        <v>1860</v>
      </c>
      <c r="L733" s="6">
        <v>0.41666666666666669</v>
      </c>
      <c r="M733" s="7" t="s">
        <v>1861</v>
      </c>
      <c r="N733" s="14" t="s">
        <v>11</v>
      </c>
      <c r="O733" s="14">
        <v>1</v>
      </c>
      <c r="P733" s="13" t="s">
        <v>219</v>
      </c>
      <c r="Q733" s="12" t="s">
        <v>218</v>
      </c>
      <c r="R733" s="11" t="s">
        <v>217</v>
      </c>
      <c r="S733" s="10" t="s">
        <v>216</v>
      </c>
      <c r="T733" s="8">
        <v>1</v>
      </c>
      <c r="U733" s="15">
        <v>1</v>
      </c>
      <c r="V733" s="8">
        <v>0</v>
      </c>
      <c r="W733" s="17"/>
      <c r="X733" s="65">
        <v>46250</v>
      </c>
    </row>
    <row r="734" spans="1:24" ht="19.8" thickBot="1" x14ac:dyDescent="0.3">
      <c r="A734" s="4" t="s">
        <v>322</v>
      </c>
      <c r="B734" s="8">
        <v>1</v>
      </c>
      <c r="C734" s="15">
        <v>1</v>
      </c>
      <c r="D734" s="8">
        <v>1</v>
      </c>
      <c r="E734" s="10" t="s">
        <v>216</v>
      </c>
      <c r="F734" s="11" t="s">
        <v>216</v>
      </c>
      <c r="G734" s="12" t="s">
        <v>226</v>
      </c>
      <c r="H734" s="13" t="s">
        <v>217</v>
      </c>
      <c r="I734" s="14">
        <v>1</v>
      </c>
      <c r="J734" s="14" t="s">
        <v>10</v>
      </c>
      <c r="K734" s="5" t="s">
        <v>1862</v>
      </c>
      <c r="L734" s="6">
        <v>0.5</v>
      </c>
      <c r="M734" s="7" t="s">
        <v>1863</v>
      </c>
      <c r="N734" s="14" t="s">
        <v>11</v>
      </c>
      <c r="O734" s="14">
        <v>1</v>
      </c>
      <c r="P734" s="13" t="s">
        <v>218</v>
      </c>
      <c r="Q734" s="12" t="s">
        <v>278</v>
      </c>
      <c r="R734" s="11" t="s">
        <v>218</v>
      </c>
      <c r="S734" s="10" t="s">
        <v>216</v>
      </c>
      <c r="T734" s="8">
        <v>1</v>
      </c>
      <c r="U734" s="15">
        <v>1</v>
      </c>
      <c r="V734" s="8">
        <v>1</v>
      </c>
      <c r="W734" s="17"/>
      <c r="X734" s="65">
        <v>46250</v>
      </c>
    </row>
    <row r="735" spans="1:24" ht="19.8" thickBot="1" x14ac:dyDescent="0.3">
      <c r="A735" s="4" t="s">
        <v>322</v>
      </c>
      <c r="B735" s="8">
        <v>0</v>
      </c>
      <c r="C735" s="9">
        <v>0</v>
      </c>
      <c r="D735" s="8">
        <v>1</v>
      </c>
      <c r="E735" s="10" t="s">
        <v>247</v>
      </c>
      <c r="F735" s="11" t="s">
        <v>220</v>
      </c>
      <c r="G735" s="12" t="s">
        <v>216</v>
      </c>
      <c r="H735" s="13" t="s">
        <v>216</v>
      </c>
      <c r="I735" s="14">
        <v>2</v>
      </c>
      <c r="J735" s="14" t="s">
        <v>10</v>
      </c>
      <c r="K735" s="5" t="s">
        <v>1864</v>
      </c>
      <c r="L735" s="6">
        <v>0.58333333333333337</v>
      </c>
      <c r="M735" s="7" t="s">
        <v>1865</v>
      </c>
      <c r="N735" s="14" t="s">
        <v>11</v>
      </c>
      <c r="O735" s="14">
        <v>1</v>
      </c>
      <c r="P735" s="13" t="s">
        <v>218</v>
      </c>
      <c r="Q735" s="12" t="s">
        <v>226</v>
      </c>
      <c r="R735" s="11" t="s">
        <v>218</v>
      </c>
      <c r="S735" s="10" t="s">
        <v>217</v>
      </c>
      <c r="T735" s="8">
        <v>1</v>
      </c>
      <c r="U735" s="15">
        <v>1</v>
      </c>
      <c r="V735" s="8">
        <v>1</v>
      </c>
      <c r="W735" s="17"/>
      <c r="X735" s="65">
        <v>46250</v>
      </c>
    </row>
    <row r="736" spans="1:24" ht="19.8" thickBot="1" x14ac:dyDescent="0.3">
      <c r="A736" s="4" t="s">
        <v>322</v>
      </c>
      <c r="B736" s="8">
        <v>0</v>
      </c>
      <c r="C736" s="15">
        <v>1</v>
      </c>
      <c r="D736" s="8">
        <v>1</v>
      </c>
      <c r="E736" s="10" t="s">
        <v>216</v>
      </c>
      <c r="F736" s="11" t="s">
        <v>217</v>
      </c>
      <c r="G736" s="12" t="s">
        <v>218</v>
      </c>
      <c r="H736" s="13" t="s">
        <v>219</v>
      </c>
      <c r="I736" s="14">
        <v>1</v>
      </c>
      <c r="J736" s="14" t="s">
        <v>10</v>
      </c>
      <c r="K736" s="5" t="s">
        <v>1866</v>
      </c>
      <c r="L736" s="6">
        <v>0.41666666666666669</v>
      </c>
      <c r="M736" s="7" t="s">
        <v>1867</v>
      </c>
      <c r="N736" s="14" t="s">
        <v>11</v>
      </c>
      <c r="O736" s="14">
        <v>2</v>
      </c>
      <c r="P736" s="13" t="s">
        <v>247</v>
      </c>
      <c r="Q736" s="12" t="s">
        <v>221</v>
      </c>
      <c r="R736" s="11" t="s">
        <v>217</v>
      </c>
      <c r="S736" s="10" t="s">
        <v>220</v>
      </c>
      <c r="T736" s="8">
        <v>0.5</v>
      </c>
      <c r="U736" s="9">
        <v>0.5</v>
      </c>
      <c r="V736" s="8">
        <v>0.5</v>
      </c>
      <c r="W736" s="17"/>
      <c r="X736" s="65">
        <v>46250</v>
      </c>
    </row>
    <row r="737" spans="1:24" ht="13.8" thickBot="1" x14ac:dyDescent="0.3">
      <c r="A737" s="4" t="s">
        <v>88</v>
      </c>
      <c r="B737" s="8">
        <v>0.33</v>
      </c>
      <c r="C737" s="9">
        <v>0.42</v>
      </c>
      <c r="D737" s="8">
        <v>0.57999999999999996</v>
      </c>
      <c r="E737" s="10" t="s">
        <v>250</v>
      </c>
      <c r="F737" s="11" t="s">
        <v>348</v>
      </c>
      <c r="G737" s="12" t="s">
        <v>225</v>
      </c>
      <c r="H737" s="13" t="s">
        <v>251</v>
      </c>
      <c r="I737" s="14">
        <v>12</v>
      </c>
      <c r="J737" s="14" t="s">
        <v>10</v>
      </c>
      <c r="K737" s="5" t="s">
        <v>1868</v>
      </c>
      <c r="L737" s="6">
        <v>0.91666666666666663</v>
      </c>
      <c r="M737" s="7" t="s">
        <v>1869</v>
      </c>
      <c r="N737" s="14" t="s">
        <v>11</v>
      </c>
      <c r="O737" s="14">
        <v>12</v>
      </c>
      <c r="P737" s="13" t="s">
        <v>773</v>
      </c>
      <c r="Q737" s="12" t="s">
        <v>223</v>
      </c>
      <c r="R737" s="11" t="s">
        <v>222</v>
      </c>
      <c r="S737" s="10" t="s">
        <v>217</v>
      </c>
      <c r="T737" s="8">
        <v>0.57999999999999996</v>
      </c>
      <c r="U737" s="9">
        <v>0.33</v>
      </c>
      <c r="V737" s="8">
        <v>0.08</v>
      </c>
      <c r="W737" s="17"/>
      <c r="X737" s="65">
        <v>46250</v>
      </c>
    </row>
    <row r="738" spans="1:24" ht="13.8" thickBot="1" x14ac:dyDescent="0.3">
      <c r="A738" s="4" t="s">
        <v>88</v>
      </c>
      <c r="B738" s="8">
        <v>0.17</v>
      </c>
      <c r="C738" s="15">
        <v>0.57999999999999996</v>
      </c>
      <c r="D738" s="8">
        <v>0.92</v>
      </c>
      <c r="E738" s="10" t="s">
        <v>788</v>
      </c>
      <c r="F738" s="11" t="s">
        <v>224</v>
      </c>
      <c r="G738" s="12" t="s">
        <v>330</v>
      </c>
      <c r="H738" s="13" t="s">
        <v>293</v>
      </c>
      <c r="I738" s="14">
        <v>12</v>
      </c>
      <c r="J738" s="14" t="s">
        <v>10</v>
      </c>
      <c r="K738" s="5" t="s">
        <v>173</v>
      </c>
      <c r="L738" s="6">
        <v>0.70833333333333337</v>
      </c>
      <c r="M738" s="7" t="s">
        <v>1870</v>
      </c>
      <c r="N738" s="14" t="s">
        <v>11</v>
      </c>
      <c r="O738" s="14">
        <v>12</v>
      </c>
      <c r="P738" s="13" t="s">
        <v>224</v>
      </c>
      <c r="Q738" s="12" t="s">
        <v>223</v>
      </c>
      <c r="R738" s="11" t="s">
        <v>310</v>
      </c>
      <c r="S738" s="10" t="s">
        <v>250</v>
      </c>
      <c r="T738" s="8">
        <v>0.42</v>
      </c>
      <c r="U738" s="9">
        <v>0.17</v>
      </c>
      <c r="V738" s="8">
        <v>0.08</v>
      </c>
      <c r="W738" s="17"/>
      <c r="X738" s="65">
        <v>46250</v>
      </c>
    </row>
    <row r="739" spans="1:24" ht="13.8" thickBot="1" x14ac:dyDescent="0.3">
      <c r="A739" s="4" t="s">
        <v>88</v>
      </c>
      <c r="B739" s="8">
        <v>0.08</v>
      </c>
      <c r="C739" s="9">
        <v>0.17</v>
      </c>
      <c r="D739" s="8">
        <v>0.75</v>
      </c>
      <c r="E739" s="10" t="s">
        <v>773</v>
      </c>
      <c r="F739" s="11" t="s">
        <v>217</v>
      </c>
      <c r="G739" s="12" t="s">
        <v>851</v>
      </c>
      <c r="H739" s="13" t="s">
        <v>251</v>
      </c>
      <c r="I739" s="14">
        <v>12</v>
      </c>
      <c r="J739" s="14" t="s">
        <v>10</v>
      </c>
      <c r="K739" s="5" t="s">
        <v>174</v>
      </c>
      <c r="L739" s="6">
        <v>0.80208333333333337</v>
      </c>
      <c r="M739" s="7" t="s">
        <v>1871</v>
      </c>
      <c r="N739" s="14" t="s">
        <v>11</v>
      </c>
      <c r="O739" s="14">
        <v>12</v>
      </c>
      <c r="P739" s="13" t="s">
        <v>288</v>
      </c>
      <c r="Q739" s="12" t="s">
        <v>252</v>
      </c>
      <c r="R739" s="11" t="s">
        <v>310</v>
      </c>
      <c r="S739" s="10" t="s">
        <v>220</v>
      </c>
      <c r="T739" s="8">
        <v>0.57999999999999996</v>
      </c>
      <c r="U739" s="9">
        <v>0.42</v>
      </c>
      <c r="V739" s="8">
        <v>0.08</v>
      </c>
      <c r="W739" s="17"/>
      <c r="X739" s="65">
        <v>46250</v>
      </c>
    </row>
    <row r="740" spans="1:24" ht="13.8" thickBot="1" x14ac:dyDescent="0.3">
      <c r="A740" s="4" t="s">
        <v>175</v>
      </c>
      <c r="B740" s="8">
        <v>0.18</v>
      </c>
      <c r="C740" s="15">
        <v>0.82</v>
      </c>
      <c r="D740" s="8">
        <v>0.91</v>
      </c>
      <c r="E740" s="10" t="s">
        <v>259</v>
      </c>
      <c r="F740" s="11" t="s">
        <v>255</v>
      </c>
      <c r="G740" s="12" t="s">
        <v>263</v>
      </c>
      <c r="H740" s="13" t="s">
        <v>301</v>
      </c>
      <c r="I740" s="14">
        <v>11</v>
      </c>
      <c r="J740" s="14" t="s">
        <v>10</v>
      </c>
      <c r="K740" s="5" t="s">
        <v>1872</v>
      </c>
      <c r="L740" s="6">
        <v>0.5</v>
      </c>
      <c r="M740" s="7" t="s">
        <v>1873</v>
      </c>
      <c r="N740" s="14" t="s">
        <v>11</v>
      </c>
      <c r="O740" s="14">
        <v>11</v>
      </c>
      <c r="P740" s="13" t="s">
        <v>302</v>
      </c>
      <c r="Q740" s="12" t="s">
        <v>1123</v>
      </c>
      <c r="R740" s="11" t="s">
        <v>799</v>
      </c>
      <c r="S740" s="10" t="s">
        <v>259</v>
      </c>
      <c r="T740" s="8">
        <v>0.82</v>
      </c>
      <c r="U740" s="15">
        <v>0.64</v>
      </c>
      <c r="V740" s="8">
        <v>0.55000000000000004</v>
      </c>
      <c r="W740" s="17"/>
      <c r="X740" s="65">
        <v>46250</v>
      </c>
    </row>
    <row r="741" spans="1:24" ht="13.8" thickBot="1" x14ac:dyDescent="0.3">
      <c r="A741" s="4" t="s">
        <v>175</v>
      </c>
      <c r="B741" s="8">
        <v>0.27</v>
      </c>
      <c r="C741" s="15">
        <v>0.55000000000000004</v>
      </c>
      <c r="D741" s="8">
        <v>0.82</v>
      </c>
      <c r="E741" s="10" t="s">
        <v>217</v>
      </c>
      <c r="F741" s="11" t="s">
        <v>314</v>
      </c>
      <c r="G741" s="12" t="s">
        <v>1874</v>
      </c>
      <c r="H741" s="13" t="s">
        <v>256</v>
      </c>
      <c r="I741" s="14">
        <v>11</v>
      </c>
      <c r="J741" s="14" t="s">
        <v>10</v>
      </c>
      <c r="K741" s="5" t="s">
        <v>1875</v>
      </c>
      <c r="L741" s="6">
        <v>0.5</v>
      </c>
      <c r="M741" s="7" t="s">
        <v>1876</v>
      </c>
      <c r="N741" s="14" t="s">
        <v>11</v>
      </c>
      <c r="O741" s="14">
        <v>10</v>
      </c>
      <c r="P741" s="13" t="s">
        <v>217</v>
      </c>
      <c r="Q741" s="12" t="s">
        <v>280</v>
      </c>
      <c r="R741" s="11" t="s">
        <v>217</v>
      </c>
      <c r="S741" s="10" t="s">
        <v>233</v>
      </c>
      <c r="T741" s="8">
        <v>0.8</v>
      </c>
      <c r="U741" s="15">
        <v>0.7</v>
      </c>
      <c r="V741" s="8">
        <v>0.3</v>
      </c>
      <c r="W741" s="17"/>
      <c r="X741" s="65">
        <v>46250</v>
      </c>
    </row>
    <row r="742" spans="1:24" ht="13.8" thickBot="1" x14ac:dyDescent="0.3">
      <c r="A742" s="4" t="s">
        <v>175</v>
      </c>
      <c r="B742" s="8">
        <v>0.3</v>
      </c>
      <c r="C742" s="15">
        <v>0.7</v>
      </c>
      <c r="D742" s="8">
        <v>0.8</v>
      </c>
      <c r="E742" s="10" t="s">
        <v>248</v>
      </c>
      <c r="F742" s="11" t="s">
        <v>267</v>
      </c>
      <c r="G742" s="12" t="s">
        <v>280</v>
      </c>
      <c r="H742" s="13" t="s">
        <v>234</v>
      </c>
      <c r="I742" s="14">
        <v>10</v>
      </c>
      <c r="J742" s="14" t="s">
        <v>10</v>
      </c>
      <c r="K742" s="5" t="s">
        <v>176</v>
      </c>
      <c r="L742" s="6">
        <v>0.58333333333333337</v>
      </c>
      <c r="M742" s="7" t="s">
        <v>1877</v>
      </c>
      <c r="N742" s="14" t="s">
        <v>11</v>
      </c>
      <c r="O742" s="14">
        <v>11</v>
      </c>
      <c r="P742" s="13" t="s">
        <v>262</v>
      </c>
      <c r="Q742" s="12" t="s">
        <v>304</v>
      </c>
      <c r="R742" s="11" t="s">
        <v>264</v>
      </c>
      <c r="S742" s="10" t="s">
        <v>799</v>
      </c>
      <c r="T742" s="8">
        <v>0.73</v>
      </c>
      <c r="U742" s="15">
        <v>0.55000000000000004</v>
      </c>
      <c r="V742" s="8">
        <v>0.27</v>
      </c>
      <c r="W742" s="17"/>
      <c r="X742" s="65">
        <v>46250</v>
      </c>
    </row>
    <row r="743" spans="1:24" ht="13.8" thickBot="1" x14ac:dyDescent="0.3">
      <c r="A743" s="4" t="s">
        <v>175</v>
      </c>
      <c r="B743" s="8">
        <v>0.45</v>
      </c>
      <c r="C743" s="15">
        <v>0.73</v>
      </c>
      <c r="D743" s="8">
        <v>0.91</v>
      </c>
      <c r="E743" s="10" t="s">
        <v>303</v>
      </c>
      <c r="F743" s="11" t="s">
        <v>311</v>
      </c>
      <c r="G743" s="12" t="s">
        <v>1878</v>
      </c>
      <c r="H743" s="13" t="s">
        <v>302</v>
      </c>
      <c r="I743" s="14">
        <v>11</v>
      </c>
      <c r="J743" s="14" t="s">
        <v>10</v>
      </c>
      <c r="K743" s="5" t="s">
        <v>1879</v>
      </c>
      <c r="L743" s="6">
        <v>0.58333333333333337</v>
      </c>
      <c r="M743" s="7" t="s">
        <v>1880</v>
      </c>
      <c r="N743" s="14" t="s">
        <v>11</v>
      </c>
      <c r="O743" s="14">
        <v>11</v>
      </c>
      <c r="P743" s="13" t="s">
        <v>796</v>
      </c>
      <c r="Q743" s="12" t="s">
        <v>258</v>
      </c>
      <c r="R743" s="11" t="s">
        <v>312</v>
      </c>
      <c r="S743" s="10" t="s">
        <v>264</v>
      </c>
      <c r="T743" s="8">
        <v>0.91</v>
      </c>
      <c r="U743" s="15">
        <v>0.73</v>
      </c>
      <c r="V743" s="8">
        <v>0.45</v>
      </c>
      <c r="W743" s="17"/>
      <c r="X743" s="65">
        <v>46250</v>
      </c>
    </row>
    <row r="744" spans="1:24" ht="13.8" thickBot="1" x14ac:dyDescent="0.3">
      <c r="A744" s="4" t="s">
        <v>1881</v>
      </c>
      <c r="B744" s="8">
        <v>0.5</v>
      </c>
      <c r="C744" s="9">
        <v>0.5</v>
      </c>
      <c r="D744" s="8">
        <v>0.88</v>
      </c>
      <c r="E744" s="10" t="s">
        <v>286</v>
      </c>
      <c r="F744" s="11" t="s">
        <v>236</v>
      </c>
      <c r="G744" s="12" t="s">
        <v>346</v>
      </c>
      <c r="H744" s="13" t="s">
        <v>220</v>
      </c>
      <c r="I744" s="14">
        <v>8</v>
      </c>
      <c r="J744" s="14" t="s">
        <v>10</v>
      </c>
      <c r="K744" s="5" t="s">
        <v>1882</v>
      </c>
      <c r="L744" s="6">
        <v>0.5</v>
      </c>
      <c r="M744" s="7" t="s">
        <v>1883</v>
      </c>
      <c r="N744" s="14" t="s">
        <v>11</v>
      </c>
      <c r="O744" s="14">
        <v>9</v>
      </c>
      <c r="P744" s="13" t="s">
        <v>326</v>
      </c>
      <c r="Q744" s="12" t="s">
        <v>340</v>
      </c>
      <c r="R744" s="11" t="s">
        <v>310</v>
      </c>
      <c r="S744" s="10" t="s">
        <v>839</v>
      </c>
      <c r="T744" s="8">
        <v>0.78</v>
      </c>
      <c r="U744" s="9">
        <v>0.44</v>
      </c>
      <c r="V744" s="8">
        <v>0.33</v>
      </c>
      <c r="W744" s="17"/>
      <c r="X744" s="65">
        <v>46250</v>
      </c>
    </row>
    <row r="745" spans="1:24" ht="13.8" thickBot="1" x14ac:dyDescent="0.3">
      <c r="A745" s="4" t="s">
        <v>1881</v>
      </c>
      <c r="B745" s="8">
        <v>0.11</v>
      </c>
      <c r="C745" s="9">
        <v>0.44</v>
      </c>
      <c r="D745" s="8">
        <v>0.56000000000000005</v>
      </c>
      <c r="E745" s="10" t="s">
        <v>1638</v>
      </c>
      <c r="F745" s="11" t="s">
        <v>343</v>
      </c>
      <c r="G745" s="12" t="s">
        <v>216</v>
      </c>
      <c r="H745" s="13" t="s">
        <v>341</v>
      </c>
      <c r="I745" s="14">
        <v>9</v>
      </c>
      <c r="J745" s="14" t="s">
        <v>10</v>
      </c>
      <c r="K745" s="5" t="s">
        <v>1884</v>
      </c>
      <c r="L745" s="6">
        <v>0.5</v>
      </c>
      <c r="M745" s="7" t="s">
        <v>1885</v>
      </c>
      <c r="N745" s="14" t="s">
        <v>11</v>
      </c>
      <c r="O745" s="14">
        <v>8</v>
      </c>
      <c r="P745" s="13" t="s">
        <v>293</v>
      </c>
      <c r="Q745" s="12" t="s">
        <v>342</v>
      </c>
      <c r="R745" s="11" t="s">
        <v>239</v>
      </c>
      <c r="S745" s="10" t="s">
        <v>223</v>
      </c>
      <c r="T745" s="8">
        <v>0.88</v>
      </c>
      <c r="U745" s="15">
        <v>0.75</v>
      </c>
      <c r="V745" s="8">
        <v>0.25</v>
      </c>
      <c r="W745" s="17"/>
      <c r="X745" s="65">
        <v>46250</v>
      </c>
    </row>
    <row r="746" spans="1:24" ht="13.8" thickBot="1" x14ac:dyDescent="0.3">
      <c r="A746" s="4" t="s">
        <v>1881</v>
      </c>
      <c r="B746" s="8">
        <v>0.56000000000000005</v>
      </c>
      <c r="C746" s="15">
        <v>0.56000000000000005</v>
      </c>
      <c r="D746" s="8">
        <v>0.78</v>
      </c>
      <c r="E746" s="10" t="s">
        <v>230</v>
      </c>
      <c r="F746" s="11" t="s">
        <v>284</v>
      </c>
      <c r="G746" s="12" t="s">
        <v>1129</v>
      </c>
      <c r="H746" s="13" t="s">
        <v>217</v>
      </c>
      <c r="I746" s="14">
        <v>9</v>
      </c>
      <c r="J746" s="14" t="s">
        <v>10</v>
      </c>
      <c r="K746" s="5" t="s">
        <v>1886</v>
      </c>
      <c r="L746" s="6">
        <v>0.59375</v>
      </c>
      <c r="M746" s="7" t="s">
        <v>1887</v>
      </c>
      <c r="N746" s="14" t="s">
        <v>11</v>
      </c>
      <c r="O746" s="14">
        <v>9</v>
      </c>
      <c r="P746" s="13" t="s">
        <v>232</v>
      </c>
      <c r="Q746" s="12" t="s">
        <v>323</v>
      </c>
      <c r="R746" s="11" t="s">
        <v>344</v>
      </c>
      <c r="S746" s="10" t="s">
        <v>344</v>
      </c>
      <c r="T746" s="8">
        <v>0.78</v>
      </c>
      <c r="U746" s="15">
        <v>0.67</v>
      </c>
      <c r="V746" s="8">
        <v>0.44</v>
      </c>
      <c r="W746" s="17"/>
      <c r="X746" s="65">
        <v>46250</v>
      </c>
    </row>
    <row r="747" spans="1:24" ht="13.8" thickBot="1" x14ac:dyDescent="0.3">
      <c r="A747" s="4" t="s">
        <v>1881</v>
      </c>
      <c r="B747" s="8">
        <v>0.56000000000000005</v>
      </c>
      <c r="C747" s="15">
        <v>0.67</v>
      </c>
      <c r="D747" s="8">
        <v>1</v>
      </c>
      <c r="E747" s="10" t="s">
        <v>344</v>
      </c>
      <c r="F747" s="11" t="s">
        <v>216</v>
      </c>
      <c r="G747" s="12" t="s">
        <v>349</v>
      </c>
      <c r="H747" s="13" t="s">
        <v>343</v>
      </c>
      <c r="I747" s="14">
        <v>9</v>
      </c>
      <c r="J747" s="14" t="s">
        <v>10</v>
      </c>
      <c r="K747" s="5" t="s">
        <v>1888</v>
      </c>
      <c r="L747" s="6">
        <v>0.59375</v>
      </c>
      <c r="M747" s="7" t="s">
        <v>1889</v>
      </c>
      <c r="N747" s="14" t="s">
        <v>11</v>
      </c>
      <c r="O747" s="14">
        <v>9</v>
      </c>
      <c r="P747" s="13" t="s">
        <v>231</v>
      </c>
      <c r="Q747" s="12" t="s">
        <v>309</v>
      </c>
      <c r="R747" s="11" t="s">
        <v>333</v>
      </c>
      <c r="S747" s="10" t="s">
        <v>324</v>
      </c>
      <c r="T747" s="8">
        <v>0.78</v>
      </c>
      <c r="U747" s="9">
        <v>0.44</v>
      </c>
      <c r="V747" s="8">
        <v>0.44</v>
      </c>
      <c r="W747" s="17"/>
      <c r="X747" s="65">
        <v>46250</v>
      </c>
    </row>
    <row r="748" spans="1:24" ht="13.8" thickBot="1" x14ac:dyDescent="0.3">
      <c r="A748" s="4" t="s">
        <v>1881</v>
      </c>
      <c r="B748" s="8">
        <v>0.22</v>
      </c>
      <c r="C748" s="15">
        <v>0.67</v>
      </c>
      <c r="D748" s="8">
        <v>0.67</v>
      </c>
      <c r="E748" s="10" t="s">
        <v>229</v>
      </c>
      <c r="F748" s="11" t="s">
        <v>284</v>
      </c>
      <c r="G748" s="12" t="s">
        <v>341</v>
      </c>
      <c r="H748" s="13" t="s">
        <v>284</v>
      </c>
      <c r="I748" s="14">
        <v>9</v>
      </c>
      <c r="J748" s="14" t="s">
        <v>10</v>
      </c>
      <c r="K748" s="5" t="s">
        <v>1890</v>
      </c>
      <c r="L748" s="6">
        <v>0.64583333333333337</v>
      </c>
      <c r="M748" s="7" t="s">
        <v>1891</v>
      </c>
      <c r="N748" s="14" t="s">
        <v>11</v>
      </c>
      <c r="O748" s="14">
        <v>9</v>
      </c>
      <c r="P748" s="13" t="s">
        <v>344</v>
      </c>
      <c r="Q748" s="12" t="s">
        <v>333</v>
      </c>
      <c r="R748" s="11" t="s">
        <v>284</v>
      </c>
      <c r="S748" s="10" t="s">
        <v>306</v>
      </c>
      <c r="T748" s="8">
        <v>0.56000000000000005</v>
      </c>
      <c r="U748" s="9">
        <v>0.33</v>
      </c>
      <c r="V748" s="8">
        <v>0.22</v>
      </c>
      <c r="W748" s="17"/>
      <c r="X748" s="65">
        <v>46250</v>
      </c>
    </row>
    <row r="749" spans="1:24" ht="13.8" thickBot="1" x14ac:dyDescent="0.3">
      <c r="A749" s="4" t="s">
        <v>87</v>
      </c>
      <c r="B749" s="8">
        <v>0.33</v>
      </c>
      <c r="C749" s="15">
        <v>0.56000000000000005</v>
      </c>
      <c r="D749" s="8">
        <v>0.56000000000000005</v>
      </c>
      <c r="E749" s="10" t="s">
        <v>284</v>
      </c>
      <c r="F749" s="11" t="s">
        <v>232</v>
      </c>
      <c r="G749" s="12" t="s">
        <v>325</v>
      </c>
      <c r="H749" s="13" t="s">
        <v>231</v>
      </c>
      <c r="I749" s="14">
        <v>9</v>
      </c>
      <c r="J749" s="14" t="s">
        <v>10</v>
      </c>
      <c r="K749" s="5" t="s">
        <v>1892</v>
      </c>
      <c r="L749" s="6">
        <v>0.45833333333333331</v>
      </c>
      <c r="M749" s="7" t="s">
        <v>1893</v>
      </c>
      <c r="N749" s="14" t="s">
        <v>11</v>
      </c>
      <c r="O749" s="14">
        <v>9</v>
      </c>
      <c r="P749" s="13" t="s">
        <v>1638</v>
      </c>
      <c r="Q749" s="12" t="s">
        <v>218</v>
      </c>
      <c r="R749" s="11" t="s">
        <v>326</v>
      </c>
      <c r="S749" s="10" t="s">
        <v>230</v>
      </c>
      <c r="T749" s="8">
        <v>0.89</v>
      </c>
      <c r="U749" s="15">
        <v>0.56000000000000005</v>
      </c>
      <c r="V749" s="8">
        <v>0.33</v>
      </c>
      <c r="W749" s="17"/>
      <c r="X749" s="65">
        <v>46250</v>
      </c>
    </row>
    <row r="750" spans="1:24" ht="13.8" thickBot="1" x14ac:dyDescent="0.3">
      <c r="A750" s="4" t="s">
        <v>87</v>
      </c>
      <c r="B750" s="8">
        <v>0.2</v>
      </c>
      <c r="C750" s="9">
        <v>0.3</v>
      </c>
      <c r="D750" s="8">
        <v>0.8</v>
      </c>
      <c r="E750" s="10" t="s">
        <v>824</v>
      </c>
      <c r="F750" s="11" t="s">
        <v>268</v>
      </c>
      <c r="G750" s="12" t="s">
        <v>781</v>
      </c>
      <c r="H750" s="13" t="s">
        <v>234</v>
      </c>
      <c r="I750" s="14">
        <v>10</v>
      </c>
      <c r="J750" s="14" t="s">
        <v>10</v>
      </c>
      <c r="K750" s="5" t="s">
        <v>1894</v>
      </c>
      <c r="L750" s="6">
        <v>0.5</v>
      </c>
      <c r="M750" s="7" t="s">
        <v>1895</v>
      </c>
      <c r="N750" s="14" t="s">
        <v>11</v>
      </c>
      <c r="O750" s="14">
        <v>9</v>
      </c>
      <c r="P750" s="13" t="s">
        <v>216</v>
      </c>
      <c r="Q750" s="12" t="s">
        <v>839</v>
      </c>
      <c r="R750" s="11" t="s">
        <v>344</v>
      </c>
      <c r="S750" s="10" t="s">
        <v>324</v>
      </c>
      <c r="T750" s="8">
        <v>0.89</v>
      </c>
      <c r="U750" s="9">
        <v>0.33</v>
      </c>
      <c r="V750" s="8">
        <v>0.22</v>
      </c>
      <c r="W750" s="17"/>
      <c r="X750" s="65">
        <v>46250</v>
      </c>
    </row>
    <row r="751" spans="1:24" ht="13.8" thickBot="1" x14ac:dyDescent="0.3">
      <c r="A751" s="4" t="s">
        <v>87</v>
      </c>
      <c r="B751" s="8">
        <v>0</v>
      </c>
      <c r="C751" s="9">
        <v>0.22</v>
      </c>
      <c r="D751" s="8">
        <v>0.56000000000000005</v>
      </c>
      <c r="E751" s="10" t="s">
        <v>310</v>
      </c>
      <c r="F751" s="11" t="s">
        <v>228</v>
      </c>
      <c r="G751" s="12" t="s">
        <v>343</v>
      </c>
      <c r="H751" s="13" t="s">
        <v>333</v>
      </c>
      <c r="I751" s="14">
        <v>9</v>
      </c>
      <c r="J751" s="14" t="s">
        <v>10</v>
      </c>
      <c r="K751" s="5" t="s">
        <v>1896</v>
      </c>
      <c r="L751" s="6">
        <v>0.5</v>
      </c>
      <c r="M751" s="7" t="s">
        <v>1897</v>
      </c>
      <c r="N751" s="14" t="s">
        <v>11</v>
      </c>
      <c r="O751" s="14">
        <v>9</v>
      </c>
      <c r="P751" s="13" t="s">
        <v>216</v>
      </c>
      <c r="Q751" s="12" t="s">
        <v>230</v>
      </c>
      <c r="R751" s="11" t="s">
        <v>344</v>
      </c>
      <c r="S751" s="10" t="s">
        <v>306</v>
      </c>
      <c r="T751" s="8">
        <v>0.78</v>
      </c>
      <c r="U751" s="9">
        <v>0.33</v>
      </c>
      <c r="V751" s="8">
        <v>0.33</v>
      </c>
      <c r="W751" s="17"/>
      <c r="X751" s="65">
        <v>46250</v>
      </c>
    </row>
    <row r="752" spans="1:24" ht="13.8" thickBot="1" x14ac:dyDescent="0.3">
      <c r="A752" s="4" t="s">
        <v>87</v>
      </c>
      <c r="B752" s="8">
        <v>0.38</v>
      </c>
      <c r="C752" s="15">
        <v>0.62</v>
      </c>
      <c r="D752" s="8">
        <v>0.62</v>
      </c>
      <c r="E752" s="10" t="s">
        <v>286</v>
      </c>
      <c r="F752" s="11" t="s">
        <v>220</v>
      </c>
      <c r="G752" s="12" t="s">
        <v>329</v>
      </c>
      <c r="H752" s="13" t="s">
        <v>223</v>
      </c>
      <c r="I752" s="14">
        <v>8</v>
      </c>
      <c r="J752" s="14" t="s">
        <v>10</v>
      </c>
      <c r="K752" s="5" t="s">
        <v>1898</v>
      </c>
      <c r="L752" s="6">
        <v>0.5</v>
      </c>
      <c r="M752" s="7" t="s">
        <v>1899</v>
      </c>
      <c r="N752" s="14" t="s">
        <v>11</v>
      </c>
      <c r="O752" s="14">
        <v>9</v>
      </c>
      <c r="P752" s="13" t="s">
        <v>308</v>
      </c>
      <c r="Q752" s="12" t="s">
        <v>323</v>
      </c>
      <c r="R752" s="11" t="s">
        <v>217</v>
      </c>
      <c r="S752" s="10" t="s">
        <v>334</v>
      </c>
      <c r="T752" s="8">
        <v>0.67</v>
      </c>
      <c r="U752" s="15">
        <v>0.56000000000000005</v>
      </c>
      <c r="V752" s="8">
        <v>0.44</v>
      </c>
      <c r="W752" s="17"/>
      <c r="X752" s="65">
        <v>46250</v>
      </c>
    </row>
    <row r="753" spans="1:24" ht="13.8" thickBot="1" x14ac:dyDescent="0.3">
      <c r="A753" s="4" t="s">
        <v>87</v>
      </c>
      <c r="B753" s="8">
        <v>0.22</v>
      </c>
      <c r="C753" s="9">
        <v>0.44</v>
      </c>
      <c r="D753" s="8">
        <v>1</v>
      </c>
      <c r="E753" s="10" t="s">
        <v>231</v>
      </c>
      <c r="F753" s="11" t="s">
        <v>232</v>
      </c>
      <c r="G753" s="12" t="s">
        <v>323</v>
      </c>
      <c r="H753" s="13" t="s">
        <v>217</v>
      </c>
      <c r="I753" s="14">
        <v>9</v>
      </c>
      <c r="J753" s="14" t="s">
        <v>10</v>
      </c>
      <c r="K753" s="5" t="s">
        <v>1900</v>
      </c>
      <c r="L753" s="6">
        <v>0.45833333333333331</v>
      </c>
      <c r="M753" s="7" t="s">
        <v>1901</v>
      </c>
      <c r="N753" s="14" t="s">
        <v>11</v>
      </c>
      <c r="O753" s="14">
        <v>9</v>
      </c>
      <c r="P753" s="13" t="s">
        <v>308</v>
      </c>
      <c r="Q753" s="12" t="s">
        <v>808</v>
      </c>
      <c r="R753" s="11" t="s">
        <v>308</v>
      </c>
      <c r="S753" s="10" t="s">
        <v>285</v>
      </c>
      <c r="T753" s="8">
        <v>0.78</v>
      </c>
      <c r="U753" s="15">
        <v>0.78</v>
      </c>
      <c r="V753" s="8">
        <v>0.67</v>
      </c>
      <c r="W753" s="17"/>
      <c r="X753" s="65">
        <v>46250</v>
      </c>
    </row>
    <row r="754" spans="1:24" ht="13.8" thickBot="1" x14ac:dyDescent="0.3">
      <c r="A754" s="4" t="s">
        <v>87</v>
      </c>
      <c r="B754" s="8">
        <v>0.44</v>
      </c>
      <c r="C754" s="15">
        <v>0.78</v>
      </c>
      <c r="D754" s="8">
        <v>0.78</v>
      </c>
      <c r="E754" s="10" t="s">
        <v>343</v>
      </c>
      <c r="F754" s="11" t="s">
        <v>344</v>
      </c>
      <c r="G754" s="12" t="s">
        <v>241</v>
      </c>
      <c r="H754" s="13" t="s">
        <v>324</v>
      </c>
      <c r="I754" s="14">
        <v>9</v>
      </c>
      <c r="J754" s="14" t="s">
        <v>10</v>
      </c>
      <c r="K754" s="5" t="s">
        <v>1902</v>
      </c>
      <c r="L754" s="6">
        <v>0.45833333333333331</v>
      </c>
      <c r="M754" s="7" t="s">
        <v>1903</v>
      </c>
      <c r="N754" s="14" t="s">
        <v>11</v>
      </c>
      <c r="O754" s="14">
        <v>9</v>
      </c>
      <c r="P754" s="13" t="s">
        <v>229</v>
      </c>
      <c r="Q754" s="12" t="s">
        <v>218</v>
      </c>
      <c r="R754" s="11" t="s">
        <v>343</v>
      </c>
      <c r="S754" s="10" t="s">
        <v>284</v>
      </c>
      <c r="T754" s="8">
        <v>0.67</v>
      </c>
      <c r="U754" s="15">
        <v>0.56000000000000005</v>
      </c>
      <c r="V754" s="8">
        <v>0.44</v>
      </c>
      <c r="W754" s="17"/>
      <c r="X754" s="65">
        <v>46250</v>
      </c>
    </row>
    <row r="755" spans="1:24" ht="13.8" thickBot="1" x14ac:dyDescent="0.3">
      <c r="A755" s="4" t="s">
        <v>87</v>
      </c>
      <c r="B755" s="8">
        <v>0.33</v>
      </c>
      <c r="C755" s="9">
        <v>0.44</v>
      </c>
      <c r="D755" s="8">
        <v>0.67</v>
      </c>
      <c r="E755" s="10" t="s">
        <v>228</v>
      </c>
      <c r="F755" s="11" t="s">
        <v>344</v>
      </c>
      <c r="G755" s="12" t="s">
        <v>341</v>
      </c>
      <c r="H755" s="13" t="s">
        <v>344</v>
      </c>
      <c r="I755" s="14">
        <v>9</v>
      </c>
      <c r="J755" s="14" t="s">
        <v>10</v>
      </c>
      <c r="K755" s="5" t="s">
        <v>1904</v>
      </c>
      <c r="L755" s="6">
        <v>0.5</v>
      </c>
      <c r="M755" s="7" t="s">
        <v>1905</v>
      </c>
      <c r="N755" s="14" t="s">
        <v>11</v>
      </c>
      <c r="O755" s="14">
        <v>9</v>
      </c>
      <c r="P755" s="13" t="s">
        <v>224</v>
      </c>
      <c r="Q755" s="12" t="s">
        <v>323</v>
      </c>
      <c r="R755" s="11" t="s">
        <v>229</v>
      </c>
      <c r="S755" s="10" t="s">
        <v>343</v>
      </c>
      <c r="T755" s="8">
        <v>0.78</v>
      </c>
      <c r="U755" s="15">
        <v>0.67</v>
      </c>
      <c r="V755" s="8">
        <v>0.33</v>
      </c>
      <c r="W755" s="17"/>
      <c r="X755" s="65">
        <v>46250</v>
      </c>
    </row>
    <row r="756" spans="1:24" ht="13.8" thickBot="1" x14ac:dyDescent="0.3">
      <c r="A756" s="4" t="s">
        <v>87</v>
      </c>
      <c r="B756" s="8">
        <v>0.62</v>
      </c>
      <c r="C756" s="15">
        <v>0.75</v>
      </c>
      <c r="D756" s="8">
        <v>0.88</v>
      </c>
      <c r="E756" s="10" t="s">
        <v>286</v>
      </c>
      <c r="F756" s="11" t="s">
        <v>221</v>
      </c>
      <c r="G756" s="12" t="s">
        <v>1141</v>
      </c>
      <c r="H756" s="13" t="s">
        <v>221</v>
      </c>
      <c r="I756" s="14">
        <v>8</v>
      </c>
      <c r="J756" s="14" t="s">
        <v>10</v>
      </c>
      <c r="K756" s="5" t="s">
        <v>1906</v>
      </c>
      <c r="L756" s="6">
        <v>0.375</v>
      </c>
      <c r="M756" s="7" t="s">
        <v>1907</v>
      </c>
      <c r="N756" s="14" t="s">
        <v>11</v>
      </c>
      <c r="O756" s="14">
        <v>8</v>
      </c>
      <c r="P756" s="13" t="s">
        <v>286</v>
      </c>
      <c r="Q756" s="12" t="s">
        <v>911</v>
      </c>
      <c r="R756" s="11" t="s">
        <v>294</v>
      </c>
      <c r="S756" s="10" t="s">
        <v>220</v>
      </c>
      <c r="T756" s="8">
        <v>0.88</v>
      </c>
      <c r="U756" s="9">
        <v>0.5</v>
      </c>
      <c r="V756" s="8">
        <v>0.12</v>
      </c>
      <c r="W756" s="17"/>
      <c r="X756" s="65">
        <v>46250</v>
      </c>
    </row>
    <row r="757" spans="1:24" ht="13.8" thickBot="1" x14ac:dyDescent="0.3">
      <c r="A757" s="4" t="s">
        <v>87</v>
      </c>
      <c r="B757" s="8">
        <v>0.25</v>
      </c>
      <c r="C757" s="15">
        <v>0.75</v>
      </c>
      <c r="D757" s="8">
        <v>1</v>
      </c>
      <c r="E757" s="10" t="s">
        <v>296</v>
      </c>
      <c r="F757" s="11" t="s">
        <v>295</v>
      </c>
      <c r="G757" s="12" t="s">
        <v>346</v>
      </c>
      <c r="H757" s="13" t="s">
        <v>225</v>
      </c>
      <c r="I757" s="14">
        <v>8</v>
      </c>
      <c r="J757" s="14" t="s">
        <v>10</v>
      </c>
      <c r="K757" s="5" t="s">
        <v>1908</v>
      </c>
      <c r="L757" s="6">
        <v>0.45833333333333331</v>
      </c>
      <c r="M757" s="7" t="s">
        <v>1909</v>
      </c>
      <c r="N757" s="14" t="s">
        <v>11</v>
      </c>
      <c r="O757" s="14">
        <v>8</v>
      </c>
      <c r="P757" s="13" t="s">
        <v>286</v>
      </c>
      <c r="Q757" s="12" t="s">
        <v>911</v>
      </c>
      <c r="R757" s="11" t="s">
        <v>294</v>
      </c>
      <c r="S757" s="10" t="s">
        <v>220</v>
      </c>
      <c r="T757" s="8">
        <v>0.88</v>
      </c>
      <c r="U757" s="9">
        <v>0.5</v>
      </c>
      <c r="V757" s="8">
        <v>0.25</v>
      </c>
      <c r="W757" s="17"/>
      <c r="X757" s="65">
        <v>46250</v>
      </c>
    </row>
    <row r="758" spans="1:24" ht="19.8" thickBot="1" x14ac:dyDescent="0.3">
      <c r="A758" s="4" t="s">
        <v>87</v>
      </c>
      <c r="B758" s="8">
        <v>0.75</v>
      </c>
      <c r="C758" s="15">
        <v>0.88</v>
      </c>
      <c r="D758" s="8">
        <v>0.88</v>
      </c>
      <c r="E758" s="10" t="s">
        <v>236</v>
      </c>
      <c r="F758" s="11" t="s">
        <v>218</v>
      </c>
      <c r="G758" s="12" t="s">
        <v>1910</v>
      </c>
      <c r="H758" s="13" t="s">
        <v>220</v>
      </c>
      <c r="I758" s="14">
        <v>8</v>
      </c>
      <c r="J758" s="14" t="s">
        <v>10</v>
      </c>
      <c r="K758" s="5" t="s">
        <v>1911</v>
      </c>
      <c r="L758" s="6">
        <v>0.5625</v>
      </c>
      <c r="M758" s="7" t="s">
        <v>1912</v>
      </c>
      <c r="N758" s="14" t="s">
        <v>11</v>
      </c>
      <c r="O758" s="14">
        <v>8</v>
      </c>
      <c r="P758" s="13" t="s">
        <v>217</v>
      </c>
      <c r="Q758" s="12" t="s">
        <v>1151</v>
      </c>
      <c r="R758" s="11" t="s">
        <v>286</v>
      </c>
      <c r="S758" s="10" t="s">
        <v>329</v>
      </c>
      <c r="T758" s="8">
        <v>1</v>
      </c>
      <c r="U758" s="15">
        <v>0.88</v>
      </c>
      <c r="V758" s="8">
        <v>0.75</v>
      </c>
      <c r="W758" s="17"/>
      <c r="X758" s="65">
        <v>46250</v>
      </c>
    </row>
    <row r="759" spans="1:24" ht="13.8" thickBot="1" x14ac:dyDescent="0.3">
      <c r="A759" s="4" t="s">
        <v>1167</v>
      </c>
      <c r="B759" s="8">
        <v>0.2</v>
      </c>
      <c r="C759" s="9">
        <v>0.4</v>
      </c>
      <c r="D759" s="8">
        <v>0.5</v>
      </c>
      <c r="E759" s="10" t="s">
        <v>248</v>
      </c>
      <c r="F759" s="11" t="s">
        <v>270</v>
      </c>
      <c r="G759" s="12" t="s">
        <v>233</v>
      </c>
      <c r="H759" s="13" t="s">
        <v>227</v>
      </c>
      <c r="I759" s="14">
        <v>10</v>
      </c>
      <c r="J759" s="14" t="s">
        <v>10</v>
      </c>
      <c r="K759" s="5" t="s">
        <v>1913</v>
      </c>
      <c r="L759" s="6">
        <v>0.54166666666666663</v>
      </c>
      <c r="M759" s="7" t="s">
        <v>1914</v>
      </c>
      <c r="N759" s="14" t="s">
        <v>11</v>
      </c>
      <c r="O759" s="14">
        <v>10</v>
      </c>
      <c r="P759" s="13" t="s">
        <v>819</v>
      </c>
      <c r="Q759" s="12" t="s">
        <v>282</v>
      </c>
      <c r="R759" s="11" t="s">
        <v>248</v>
      </c>
      <c r="S759" s="10" t="s">
        <v>273</v>
      </c>
      <c r="T759" s="8">
        <v>0.8</v>
      </c>
      <c r="U759" s="15">
        <v>0.6</v>
      </c>
      <c r="V759" s="8">
        <v>0.2</v>
      </c>
      <c r="W759" s="17"/>
      <c r="X759" s="65">
        <v>46250</v>
      </c>
    </row>
    <row r="760" spans="1:24" ht="19.8" thickBot="1" x14ac:dyDescent="0.3">
      <c r="A760" s="4" t="s">
        <v>1167</v>
      </c>
      <c r="B760" s="8">
        <v>0.22</v>
      </c>
      <c r="C760" s="15">
        <v>0.56000000000000005</v>
      </c>
      <c r="D760" s="8">
        <v>0.78</v>
      </c>
      <c r="E760" s="10" t="s">
        <v>217</v>
      </c>
      <c r="F760" s="11" t="s">
        <v>229</v>
      </c>
      <c r="G760" s="12" t="s">
        <v>230</v>
      </c>
      <c r="H760" s="13" t="s">
        <v>231</v>
      </c>
      <c r="I760" s="14">
        <v>9</v>
      </c>
      <c r="J760" s="14" t="s">
        <v>10</v>
      </c>
      <c r="K760" s="5" t="s">
        <v>1915</v>
      </c>
      <c r="L760" s="6">
        <v>0.625</v>
      </c>
      <c r="M760" s="7" t="s">
        <v>1916</v>
      </c>
      <c r="N760" s="14" t="s">
        <v>11</v>
      </c>
      <c r="O760" s="14">
        <v>10</v>
      </c>
      <c r="P760" s="13" t="s">
        <v>217</v>
      </c>
      <c r="Q760" s="12" t="s">
        <v>275</v>
      </c>
      <c r="R760" s="11" t="s">
        <v>270</v>
      </c>
      <c r="S760" s="10" t="s">
        <v>268</v>
      </c>
      <c r="T760" s="8">
        <v>0.7</v>
      </c>
      <c r="U760" s="15">
        <v>0.6</v>
      </c>
      <c r="V760" s="8">
        <v>0.3</v>
      </c>
      <c r="W760" s="17"/>
      <c r="X760" s="65">
        <v>46250</v>
      </c>
    </row>
    <row r="761" spans="1:24" ht="19.8" thickBot="1" x14ac:dyDescent="0.3">
      <c r="A761" s="4" t="s">
        <v>215</v>
      </c>
      <c r="B761" s="63"/>
      <c r="C761" s="63"/>
      <c r="D761" s="63"/>
      <c r="E761" s="63"/>
      <c r="F761" s="63"/>
      <c r="G761" s="63"/>
      <c r="H761" s="63"/>
      <c r="I761" s="64"/>
      <c r="J761" s="14" t="s">
        <v>10</v>
      </c>
      <c r="K761" s="5" t="s">
        <v>1917</v>
      </c>
      <c r="L761" s="6">
        <v>0.39583333333333331</v>
      </c>
      <c r="M761" s="7" t="s">
        <v>1918</v>
      </c>
      <c r="N761" s="14" t="s">
        <v>11</v>
      </c>
      <c r="O761" s="64"/>
      <c r="P761" s="63"/>
      <c r="Q761" s="63"/>
      <c r="R761" s="63"/>
      <c r="S761" s="63"/>
      <c r="T761" s="63"/>
      <c r="U761" s="63"/>
      <c r="V761" s="63"/>
      <c r="W761" s="17"/>
      <c r="X761" s="65">
        <v>46250</v>
      </c>
    </row>
    <row r="762" spans="1:24" ht="13.8" thickBot="1" x14ac:dyDescent="0.3">
      <c r="A762" s="4" t="s">
        <v>215</v>
      </c>
      <c r="B762" s="63"/>
      <c r="C762" s="63"/>
      <c r="D762" s="63"/>
      <c r="E762" s="63"/>
      <c r="F762" s="63"/>
      <c r="G762" s="63"/>
      <c r="H762" s="63"/>
      <c r="I762" s="64"/>
      <c r="J762" s="14" t="s">
        <v>10</v>
      </c>
      <c r="K762" s="5" t="s">
        <v>1919</v>
      </c>
      <c r="L762" s="6">
        <v>0.52083333333333337</v>
      </c>
      <c r="M762" s="7" t="s">
        <v>1920</v>
      </c>
      <c r="N762" s="14" t="s">
        <v>11</v>
      </c>
      <c r="O762" s="64"/>
      <c r="P762" s="63"/>
      <c r="Q762" s="63"/>
      <c r="R762" s="63"/>
      <c r="S762" s="63"/>
      <c r="T762" s="63"/>
      <c r="U762" s="63"/>
      <c r="V762" s="63"/>
      <c r="W762" s="17"/>
      <c r="X762" s="65">
        <v>46250</v>
      </c>
    </row>
    <row r="763" spans="1:24" ht="19.8" thickBot="1" x14ac:dyDescent="0.3">
      <c r="A763" s="4" t="s">
        <v>215</v>
      </c>
      <c r="B763" s="63"/>
      <c r="C763" s="63"/>
      <c r="D763" s="63"/>
      <c r="E763" s="63"/>
      <c r="F763" s="63"/>
      <c r="G763" s="63"/>
      <c r="H763" s="63"/>
      <c r="I763" s="64"/>
      <c r="J763" s="14" t="s">
        <v>10</v>
      </c>
      <c r="K763" s="5" t="s">
        <v>1921</v>
      </c>
      <c r="L763" s="6">
        <v>0.64583333333333337</v>
      </c>
      <c r="M763" s="7" t="s">
        <v>1922</v>
      </c>
      <c r="N763" s="14" t="s">
        <v>11</v>
      </c>
      <c r="O763" s="64"/>
      <c r="P763" s="63"/>
      <c r="Q763" s="63"/>
      <c r="R763" s="63"/>
      <c r="S763" s="63"/>
      <c r="T763" s="63"/>
      <c r="U763" s="63"/>
      <c r="V763" s="63"/>
      <c r="W763" s="17"/>
      <c r="X763" s="65">
        <v>46250</v>
      </c>
    </row>
    <row r="764" spans="1:24" ht="19.8" thickBot="1" x14ac:dyDescent="0.3">
      <c r="A764" s="4" t="s">
        <v>215</v>
      </c>
      <c r="B764" s="8">
        <v>1</v>
      </c>
      <c r="C764" s="15">
        <v>1</v>
      </c>
      <c r="D764" s="8">
        <v>1</v>
      </c>
      <c r="E764" s="10" t="s">
        <v>216</v>
      </c>
      <c r="F764" s="11" t="s">
        <v>216</v>
      </c>
      <c r="G764" s="12" t="s">
        <v>226</v>
      </c>
      <c r="H764" s="13" t="s">
        <v>217</v>
      </c>
      <c r="I764" s="14">
        <v>1</v>
      </c>
      <c r="J764" s="14" t="s">
        <v>10</v>
      </c>
      <c r="K764" s="5" t="s">
        <v>1923</v>
      </c>
      <c r="L764" s="6">
        <v>0.41666666666666669</v>
      </c>
      <c r="M764" s="7" t="s">
        <v>1924</v>
      </c>
      <c r="N764" s="14" t="s">
        <v>11</v>
      </c>
      <c r="O764" s="14">
        <v>1</v>
      </c>
      <c r="P764" s="13" t="s">
        <v>219</v>
      </c>
      <c r="Q764" s="12" t="s">
        <v>226</v>
      </c>
      <c r="R764" s="11" t="s">
        <v>217</v>
      </c>
      <c r="S764" s="10" t="s">
        <v>218</v>
      </c>
      <c r="T764" s="8">
        <v>1</v>
      </c>
      <c r="U764" s="15">
        <v>1</v>
      </c>
      <c r="V764" s="8">
        <v>1</v>
      </c>
      <c r="W764" s="17"/>
      <c r="X764" s="65">
        <v>46250</v>
      </c>
    </row>
    <row r="765" spans="1:24" ht="19.8" thickBot="1" x14ac:dyDescent="0.3">
      <c r="A765" s="4" t="s">
        <v>215</v>
      </c>
      <c r="B765" s="8">
        <v>0</v>
      </c>
      <c r="C765" s="9">
        <v>0</v>
      </c>
      <c r="D765" s="8">
        <v>1</v>
      </c>
      <c r="E765" s="10" t="s">
        <v>219</v>
      </c>
      <c r="F765" s="11" t="s">
        <v>216</v>
      </c>
      <c r="G765" s="12" t="s">
        <v>216</v>
      </c>
      <c r="H765" s="13" t="s">
        <v>218</v>
      </c>
      <c r="I765" s="14">
        <v>1</v>
      </c>
      <c r="J765" s="14" t="s">
        <v>10</v>
      </c>
      <c r="K765" s="5" t="s">
        <v>1925</v>
      </c>
      <c r="L765" s="6">
        <v>0.41666666666666669</v>
      </c>
      <c r="M765" s="7" t="s">
        <v>1926</v>
      </c>
      <c r="N765" s="14" t="s">
        <v>11</v>
      </c>
      <c r="O765" s="14">
        <v>2</v>
      </c>
      <c r="P765" s="13" t="s">
        <v>247</v>
      </c>
      <c r="Q765" s="12" t="s">
        <v>246</v>
      </c>
      <c r="R765" s="11" t="s">
        <v>217</v>
      </c>
      <c r="S765" s="10" t="s">
        <v>221</v>
      </c>
      <c r="T765" s="8">
        <v>1</v>
      </c>
      <c r="U765" s="15">
        <v>1</v>
      </c>
      <c r="V765" s="8">
        <v>0.5</v>
      </c>
      <c r="W765" s="17"/>
      <c r="X765" s="65">
        <v>46250</v>
      </c>
    </row>
    <row r="766" spans="1:24" ht="19.8" thickBot="1" x14ac:dyDescent="0.3">
      <c r="A766" s="4" t="s">
        <v>215</v>
      </c>
      <c r="B766" s="8">
        <v>0</v>
      </c>
      <c r="C766" s="9">
        <v>0</v>
      </c>
      <c r="D766" s="8">
        <v>0</v>
      </c>
      <c r="E766" s="10" t="s">
        <v>217</v>
      </c>
      <c r="F766" s="11" t="s">
        <v>219</v>
      </c>
      <c r="G766" s="12" t="s">
        <v>217</v>
      </c>
      <c r="H766" s="13" t="s">
        <v>219</v>
      </c>
      <c r="I766" s="14">
        <v>1</v>
      </c>
      <c r="J766" s="14" t="s">
        <v>10</v>
      </c>
      <c r="K766" s="5" t="s">
        <v>1927</v>
      </c>
      <c r="L766" s="6">
        <v>0.41666666666666669</v>
      </c>
      <c r="M766" s="7" t="s">
        <v>1928</v>
      </c>
      <c r="N766" s="14" t="s">
        <v>11</v>
      </c>
      <c r="O766" s="14">
        <v>1</v>
      </c>
      <c r="P766" s="13" t="s">
        <v>217</v>
      </c>
      <c r="Q766" s="12" t="s">
        <v>238</v>
      </c>
      <c r="R766" s="11" t="s">
        <v>218</v>
      </c>
      <c r="S766" s="10" t="s">
        <v>218</v>
      </c>
      <c r="T766" s="8">
        <v>1</v>
      </c>
      <c r="U766" s="15">
        <v>1</v>
      </c>
      <c r="V766" s="8">
        <v>1</v>
      </c>
      <c r="W766" s="17"/>
      <c r="X766" s="65">
        <v>46250</v>
      </c>
    </row>
    <row r="767" spans="1:24" ht="19.8" thickBot="1" x14ac:dyDescent="0.3">
      <c r="A767" s="4" t="s">
        <v>215</v>
      </c>
      <c r="B767" s="8">
        <v>0</v>
      </c>
      <c r="C767" s="9">
        <v>0.5</v>
      </c>
      <c r="D767" s="8">
        <v>0.5</v>
      </c>
      <c r="E767" s="10" t="s">
        <v>220</v>
      </c>
      <c r="F767" s="11" t="s">
        <v>219</v>
      </c>
      <c r="G767" s="12" t="s">
        <v>220</v>
      </c>
      <c r="H767" s="13" t="s">
        <v>247</v>
      </c>
      <c r="I767" s="14">
        <v>2</v>
      </c>
      <c r="J767" s="14" t="s">
        <v>10</v>
      </c>
      <c r="K767" s="5" t="s">
        <v>1929</v>
      </c>
      <c r="L767" s="6">
        <v>0.45833333333333331</v>
      </c>
      <c r="M767" s="7" t="s">
        <v>1930</v>
      </c>
      <c r="N767" s="14" t="s">
        <v>11</v>
      </c>
      <c r="O767" s="14">
        <v>1</v>
      </c>
      <c r="P767" s="13" t="s">
        <v>219</v>
      </c>
      <c r="Q767" s="12" t="s">
        <v>216</v>
      </c>
      <c r="R767" s="11" t="s">
        <v>219</v>
      </c>
      <c r="S767" s="10" t="s">
        <v>216</v>
      </c>
      <c r="T767" s="8">
        <v>1</v>
      </c>
      <c r="U767" s="9">
        <v>0</v>
      </c>
      <c r="V767" s="8">
        <v>0</v>
      </c>
      <c r="W767" s="17"/>
      <c r="X767" s="65">
        <v>46250</v>
      </c>
    </row>
    <row r="768" spans="1:24" ht="13.8" thickBot="1" x14ac:dyDescent="0.3">
      <c r="A768" s="4" t="s">
        <v>215</v>
      </c>
      <c r="B768" s="8">
        <v>0</v>
      </c>
      <c r="C768" s="9">
        <v>0</v>
      </c>
      <c r="D768" s="8">
        <v>1</v>
      </c>
      <c r="E768" s="10" t="s">
        <v>217</v>
      </c>
      <c r="F768" s="11" t="s">
        <v>217</v>
      </c>
      <c r="G768" s="12" t="s">
        <v>216</v>
      </c>
      <c r="H768" s="13" t="s">
        <v>217</v>
      </c>
      <c r="I768" s="14">
        <v>1</v>
      </c>
      <c r="J768" s="14" t="s">
        <v>10</v>
      </c>
      <c r="K768" s="5" t="s">
        <v>1931</v>
      </c>
      <c r="L768" s="6">
        <v>0.45833333333333331</v>
      </c>
      <c r="M768" s="7" t="s">
        <v>1932</v>
      </c>
      <c r="N768" s="14" t="s">
        <v>11</v>
      </c>
      <c r="O768" s="14">
        <v>1</v>
      </c>
      <c r="P768" s="13" t="s">
        <v>217</v>
      </c>
      <c r="Q768" s="12" t="s">
        <v>226</v>
      </c>
      <c r="R768" s="11" t="s">
        <v>216</v>
      </c>
      <c r="S768" s="10" t="s">
        <v>216</v>
      </c>
      <c r="T768" s="8">
        <v>1</v>
      </c>
      <c r="U768" s="15">
        <v>1</v>
      </c>
      <c r="V768" s="8">
        <v>1</v>
      </c>
      <c r="W768" s="17"/>
      <c r="X768" s="65">
        <v>46250</v>
      </c>
    </row>
    <row r="769" spans="1:24" ht="13.8" thickBot="1" x14ac:dyDescent="0.3">
      <c r="A769" s="4" t="s">
        <v>215</v>
      </c>
      <c r="B769" s="8">
        <v>1</v>
      </c>
      <c r="C769" s="15">
        <v>1</v>
      </c>
      <c r="D769" s="8">
        <v>1</v>
      </c>
      <c r="E769" s="10" t="s">
        <v>217</v>
      </c>
      <c r="F769" s="11" t="s">
        <v>218</v>
      </c>
      <c r="G769" s="12" t="s">
        <v>226</v>
      </c>
      <c r="H769" s="13" t="s">
        <v>218</v>
      </c>
      <c r="I769" s="14">
        <v>1</v>
      </c>
      <c r="J769" s="14" t="s">
        <v>10</v>
      </c>
      <c r="K769" s="5" t="s">
        <v>1933</v>
      </c>
      <c r="L769" s="6">
        <v>0.41666666666666669</v>
      </c>
      <c r="M769" s="7" t="s">
        <v>1934</v>
      </c>
      <c r="N769" s="14" t="s">
        <v>11</v>
      </c>
      <c r="O769" s="14">
        <v>2</v>
      </c>
      <c r="P769" s="13" t="s">
        <v>216</v>
      </c>
      <c r="Q769" s="12" t="s">
        <v>221</v>
      </c>
      <c r="R769" s="11" t="s">
        <v>220</v>
      </c>
      <c r="S769" s="10" t="s">
        <v>217</v>
      </c>
      <c r="T769" s="8">
        <v>0.5</v>
      </c>
      <c r="U769" s="9">
        <v>0.5</v>
      </c>
      <c r="V769" s="8">
        <v>0.5</v>
      </c>
      <c r="W769" s="17"/>
      <c r="X769" s="65">
        <v>46250</v>
      </c>
    </row>
    <row r="770" spans="1:24" ht="19.8" thickBot="1" x14ac:dyDescent="0.3">
      <c r="A770" s="4" t="s">
        <v>215</v>
      </c>
      <c r="B770" s="8">
        <v>0</v>
      </c>
      <c r="C770" s="9">
        <v>0</v>
      </c>
      <c r="D770" s="8">
        <v>1</v>
      </c>
      <c r="E770" s="10" t="s">
        <v>216</v>
      </c>
      <c r="F770" s="11" t="s">
        <v>219</v>
      </c>
      <c r="G770" s="12" t="s">
        <v>216</v>
      </c>
      <c r="H770" s="13" t="s">
        <v>219</v>
      </c>
      <c r="I770" s="14">
        <v>1</v>
      </c>
      <c r="J770" s="14" t="s">
        <v>10</v>
      </c>
      <c r="K770" s="5" t="s">
        <v>1935</v>
      </c>
      <c r="L770" s="6">
        <v>0.41666666666666669</v>
      </c>
      <c r="M770" s="7" t="s">
        <v>1936</v>
      </c>
      <c r="N770" s="14" t="s">
        <v>11</v>
      </c>
      <c r="O770" s="14">
        <v>2</v>
      </c>
      <c r="P770" s="13" t="s">
        <v>218</v>
      </c>
      <c r="Q770" s="12" t="s">
        <v>246</v>
      </c>
      <c r="R770" s="11" t="s">
        <v>221</v>
      </c>
      <c r="S770" s="10" t="s">
        <v>217</v>
      </c>
      <c r="T770" s="8">
        <v>1</v>
      </c>
      <c r="U770" s="15">
        <v>1</v>
      </c>
      <c r="V770" s="8">
        <v>0.5</v>
      </c>
      <c r="W770" s="17"/>
      <c r="X770" s="65">
        <v>46250</v>
      </c>
    </row>
    <row r="771" spans="1:24" ht="13.8" thickBot="1" x14ac:dyDescent="0.3">
      <c r="A771" s="4" t="s">
        <v>215</v>
      </c>
      <c r="B771" s="8">
        <v>0</v>
      </c>
      <c r="C771" s="15">
        <v>1</v>
      </c>
      <c r="D771" s="8">
        <v>1</v>
      </c>
      <c r="E771" s="10" t="s">
        <v>217</v>
      </c>
      <c r="F771" s="11" t="s">
        <v>216</v>
      </c>
      <c r="G771" s="12" t="s">
        <v>218</v>
      </c>
      <c r="H771" s="13" t="s">
        <v>218</v>
      </c>
      <c r="I771" s="14">
        <v>1</v>
      </c>
      <c r="J771" s="14" t="s">
        <v>10</v>
      </c>
      <c r="K771" s="5" t="s">
        <v>1937</v>
      </c>
      <c r="L771" s="6">
        <v>0.41666666666666669</v>
      </c>
      <c r="M771" s="7" t="s">
        <v>1938</v>
      </c>
      <c r="N771" s="14" t="s">
        <v>11</v>
      </c>
      <c r="O771" s="14">
        <v>1</v>
      </c>
      <c r="P771" s="13" t="s">
        <v>218</v>
      </c>
      <c r="Q771" s="12" t="s">
        <v>217</v>
      </c>
      <c r="R771" s="11" t="s">
        <v>217</v>
      </c>
      <c r="S771" s="10" t="s">
        <v>219</v>
      </c>
      <c r="T771" s="8">
        <v>0</v>
      </c>
      <c r="U771" s="9">
        <v>0</v>
      </c>
      <c r="V771" s="8">
        <v>0</v>
      </c>
      <c r="W771" s="17"/>
      <c r="X771" s="65">
        <v>46250</v>
      </c>
    </row>
    <row r="772" spans="1:24" ht="13.8" thickBot="1" x14ac:dyDescent="0.3">
      <c r="A772" s="4" t="s">
        <v>215</v>
      </c>
      <c r="B772" s="63"/>
      <c r="C772" s="63"/>
      <c r="D772" s="63"/>
      <c r="E772" s="63"/>
      <c r="F772" s="63"/>
      <c r="G772" s="63"/>
      <c r="H772" s="63"/>
      <c r="I772" s="64"/>
      <c r="J772" s="14" t="s">
        <v>10</v>
      </c>
      <c r="K772" s="5" t="s">
        <v>1939</v>
      </c>
      <c r="L772" s="6">
        <v>0.41666666666666669</v>
      </c>
      <c r="M772" s="7" t="s">
        <v>1940</v>
      </c>
      <c r="N772" s="14" t="s">
        <v>11</v>
      </c>
      <c r="O772" s="64"/>
      <c r="P772" s="63"/>
      <c r="Q772" s="63"/>
      <c r="R772" s="63"/>
      <c r="S772" s="63"/>
      <c r="T772" s="63"/>
      <c r="U772" s="63"/>
      <c r="V772" s="63"/>
      <c r="W772" s="17"/>
      <c r="X772" s="65">
        <v>46250</v>
      </c>
    </row>
    <row r="773" spans="1:24" ht="13.8" thickBot="1" x14ac:dyDescent="0.3">
      <c r="A773" s="4" t="s">
        <v>215</v>
      </c>
      <c r="B773" s="63"/>
      <c r="C773" s="63"/>
      <c r="D773" s="63"/>
      <c r="E773" s="63"/>
      <c r="F773" s="63"/>
      <c r="G773" s="63"/>
      <c r="H773" s="63"/>
      <c r="I773" s="64"/>
      <c r="J773" s="14" t="s">
        <v>10</v>
      </c>
      <c r="K773" s="5" t="s">
        <v>1941</v>
      </c>
      <c r="L773" s="6">
        <v>0.41666666666666669</v>
      </c>
      <c r="M773" s="7" t="s">
        <v>1942</v>
      </c>
      <c r="N773" s="14" t="s">
        <v>11</v>
      </c>
      <c r="O773" s="64"/>
      <c r="P773" s="63"/>
      <c r="Q773" s="63"/>
      <c r="R773" s="63"/>
      <c r="S773" s="63"/>
      <c r="T773" s="63"/>
      <c r="U773" s="63"/>
      <c r="V773" s="63"/>
      <c r="W773" s="17"/>
      <c r="X773" s="65">
        <v>46250</v>
      </c>
    </row>
    <row r="774" spans="1:24" ht="19.8" thickBot="1" x14ac:dyDescent="0.3">
      <c r="A774" s="4" t="s">
        <v>215</v>
      </c>
      <c r="B774" s="63"/>
      <c r="C774" s="63"/>
      <c r="D774" s="63"/>
      <c r="E774" s="63"/>
      <c r="F774" s="63"/>
      <c r="G774" s="63"/>
      <c r="H774" s="63"/>
      <c r="I774" s="64"/>
      <c r="J774" s="14" t="s">
        <v>10</v>
      </c>
      <c r="K774" s="5" t="s">
        <v>1943</v>
      </c>
      <c r="L774" s="6">
        <v>0.41666666666666669</v>
      </c>
      <c r="M774" s="7" t="s">
        <v>1944</v>
      </c>
      <c r="N774" s="14" t="s">
        <v>11</v>
      </c>
      <c r="O774" s="64"/>
      <c r="P774" s="63"/>
      <c r="Q774" s="63"/>
      <c r="R774" s="63"/>
      <c r="S774" s="63"/>
      <c r="T774" s="63"/>
      <c r="U774" s="63"/>
      <c r="V774" s="63"/>
      <c r="W774" s="17"/>
      <c r="X774" s="65">
        <v>46250</v>
      </c>
    </row>
    <row r="775" spans="1:24" ht="19.8" thickBot="1" x14ac:dyDescent="0.3">
      <c r="A775" s="4" t="s">
        <v>1216</v>
      </c>
      <c r="B775" s="8">
        <v>0</v>
      </c>
      <c r="C775" s="9">
        <v>0</v>
      </c>
      <c r="D775" s="8">
        <v>0</v>
      </c>
      <c r="E775" s="10" t="s">
        <v>219</v>
      </c>
      <c r="F775" s="11" t="s">
        <v>217</v>
      </c>
      <c r="G775" s="12" t="s">
        <v>217</v>
      </c>
      <c r="H775" s="13" t="s">
        <v>218</v>
      </c>
      <c r="I775" s="14">
        <v>1</v>
      </c>
      <c r="J775" s="14" t="s">
        <v>10</v>
      </c>
      <c r="K775" s="5" t="s">
        <v>1945</v>
      </c>
      <c r="L775" s="6">
        <v>0.95833333333333337</v>
      </c>
      <c r="M775" s="7" t="s">
        <v>1946</v>
      </c>
      <c r="N775" s="14" t="s">
        <v>11</v>
      </c>
      <c r="O775" s="14">
        <v>1</v>
      </c>
      <c r="P775" s="13" t="s">
        <v>219</v>
      </c>
      <c r="Q775" s="12" t="s">
        <v>226</v>
      </c>
      <c r="R775" s="11" t="s">
        <v>219</v>
      </c>
      <c r="S775" s="10" t="s">
        <v>226</v>
      </c>
      <c r="T775" s="8">
        <v>1</v>
      </c>
      <c r="U775" s="15">
        <v>1</v>
      </c>
      <c r="V775" s="8">
        <v>1</v>
      </c>
      <c r="W775" s="17"/>
      <c r="X775" s="65">
        <v>46250</v>
      </c>
    </row>
    <row r="776" spans="1:24" ht="13.8" thickBot="1" x14ac:dyDescent="0.3">
      <c r="A776" s="4" t="s">
        <v>1216</v>
      </c>
      <c r="B776" s="8">
        <v>0</v>
      </c>
      <c r="C776" s="9">
        <v>0.5</v>
      </c>
      <c r="D776" s="8">
        <v>0.5</v>
      </c>
      <c r="E776" s="10" t="s">
        <v>219</v>
      </c>
      <c r="F776" s="11" t="s">
        <v>216</v>
      </c>
      <c r="G776" s="12" t="s">
        <v>216</v>
      </c>
      <c r="H776" s="13" t="s">
        <v>218</v>
      </c>
      <c r="I776" s="14">
        <v>2</v>
      </c>
      <c r="J776" s="14" t="s">
        <v>10</v>
      </c>
      <c r="K776" s="5" t="s">
        <v>1947</v>
      </c>
      <c r="L776" s="6">
        <v>0.79166666666666663</v>
      </c>
      <c r="M776" s="7" t="s">
        <v>1948</v>
      </c>
      <c r="N776" s="14" t="s">
        <v>11</v>
      </c>
      <c r="O776" s="14">
        <v>1</v>
      </c>
      <c r="P776" s="13" t="s">
        <v>219</v>
      </c>
      <c r="Q776" s="12" t="s">
        <v>226</v>
      </c>
      <c r="R776" s="11" t="s">
        <v>217</v>
      </c>
      <c r="S776" s="10" t="s">
        <v>218</v>
      </c>
      <c r="T776" s="8">
        <v>1</v>
      </c>
      <c r="U776" s="15">
        <v>1</v>
      </c>
      <c r="V776" s="8">
        <v>1</v>
      </c>
      <c r="W776" s="17"/>
      <c r="X776" s="65">
        <v>46250</v>
      </c>
    </row>
    <row r="777" spans="1:24" ht="19.8" thickBot="1" x14ac:dyDescent="0.3">
      <c r="A777" s="4" t="s">
        <v>1216</v>
      </c>
      <c r="B777" s="8">
        <v>0</v>
      </c>
      <c r="C777" s="9">
        <v>0</v>
      </c>
      <c r="D777" s="8">
        <v>0</v>
      </c>
      <c r="E777" s="10" t="s">
        <v>219</v>
      </c>
      <c r="F777" s="11" t="s">
        <v>219</v>
      </c>
      <c r="G777" s="12" t="s">
        <v>219</v>
      </c>
      <c r="H777" s="13" t="s">
        <v>217</v>
      </c>
      <c r="I777" s="14">
        <v>1</v>
      </c>
      <c r="J777" s="14" t="s">
        <v>10</v>
      </c>
      <c r="K777" s="5" t="s">
        <v>1949</v>
      </c>
      <c r="L777" s="6">
        <v>0.875</v>
      </c>
      <c r="M777" s="7" t="s">
        <v>1950</v>
      </c>
      <c r="N777" s="14" t="s">
        <v>11</v>
      </c>
      <c r="O777" s="14">
        <v>2</v>
      </c>
      <c r="P777" s="13" t="s">
        <v>219</v>
      </c>
      <c r="Q777" s="12" t="s">
        <v>221</v>
      </c>
      <c r="R777" s="11" t="s">
        <v>247</v>
      </c>
      <c r="S777" s="10" t="s">
        <v>216</v>
      </c>
      <c r="T777" s="8">
        <v>0.5</v>
      </c>
      <c r="U777" s="9">
        <v>0.5</v>
      </c>
      <c r="V777" s="8">
        <v>0.5</v>
      </c>
      <c r="W777" s="17"/>
      <c r="X777" s="65">
        <v>46250</v>
      </c>
    </row>
    <row r="778" spans="1:24" ht="13.8" thickBot="1" x14ac:dyDescent="0.3">
      <c r="A778" s="4" t="s">
        <v>328</v>
      </c>
      <c r="B778" s="8">
        <v>0</v>
      </c>
      <c r="C778" s="9">
        <v>0</v>
      </c>
      <c r="D778" s="8">
        <v>0.5</v>
      </c>
      <c r="E778" s="10" t="s">
        <v>217</v>
      </c>
      <c r="F778" s="11" t="s">
        <v>247</v>
      </c>
      <c r="G778" s="12" t="s">
        <v>220</v>
      </c>
      <c r="H778" s="13" t="s">
        <v>220</v>
      </c>
      <c r="I778" s="14">
        <v>2</v>
      </c>
      <c r="J778" s="14" t="s">
        <v>10</v>
      </c>
      <c r="K778" s="5" t="s">
        <v>1951</v>
      </c>
      <c r="L778" s="6">
        <v>0.52083333333333337</v>
      </c>
      <c r="M778" s="7" t="s">
        <v>1952</v>
      </c>
      <c r="N778" s="14" t="s">
        <v>11</v>
      </c>
      <c r="O778" s="14">
        <v>1</v>
      </c>
      <c r="P778" s="13" t="s">
        <v>217</v>
      </c>
      <c r="Q778" s="12" t="s">
        <v>226</v>
      </c>
      <c r="R778" s="11" t="s">
        <v>216</v>
      </c>
      <c r="S778" s="10" t="s">
        <v>216</v>
      </c>
      <c r="T778" s="8">
        <v>1</v>
      </c>
      <c r="U778" s="15">
        <v>1</v>
      </c>
      <c r="V778" s="8">
        <v>1</v>
      </c>
      <c r="W778" s="17"/>
      <c r="X778" s="65">
        <v>46250</v>
      </c>
    </row>
    <row r="779" spans="1:24" ht="13.8" thickBot="1" x14ac:dyDescent="0.3">
      <c r="A779" s="4" t="s">
        <v>328</v>
      </c>
      <c r="B779" s="8">
        <v>0</v>
      </c>
      <c r="C779" s="9">
        <v>0</v>
      </c>
      <c r="D779" s="8">
        <v>1</v>
      </c>
      <c r="E779" s="10" t="s">
        <v>216</v>
      </c>
      <c r="F779" s="11" t="s">
        <v>219</v>
      </c>
      <c r="G779" s="12" t="s">
        <v>216</v>
      </c>
      <c r="H779" s="13" t="s">
        <v>219</v>
      </c>
      <c r="I779" s="14">
        <v>1</v>
      </c>
      <c r="J779" s="14" t="s">
        <v>10</v>
      </c>
      <c r="K779" s="5" t="s">
        <v>1953</v>
      </c>
      <c r="L779" s="6">
        <v>0.5625</v>
      </c>
      <c r="M779" s="7" t="s">
        <v>1954</v>
      </c>
      <c r="N779" s="14" t="s">
        <v>11</v>
      </c>
      <c r="O779" s="14">
        <v>1</v>
      </c>
      <c r="P779" s="13" t="s">
        <v>219</v>
      </c>
      <c r="Q779" s="12" t="s">
        <v>357</v>
      </c>
      <c r="R779" s="11" t="s">
        <v>216</v>
      </c>
      <c r="S779" s="10" t="s">
        <v>278</v>
      </c>
      <c r="T779" s="8">
        <v>1</v>
      </c>
      <c r="U779" s="15">
        <v>1</v>
      </c>
      <c r="V779" s="8">
        <v>1</v>
      </c>
      <c r="W779" s="17"/>
      <c r="X779" s="65">
        <v>46250</v>
      </c>
    </row>
    <row r="780" spans="1:24" ht="13.8" thickBot="1" x14ac:dyDescent="0.3">
      <c r="A780" s="4" t="s">
        <v>328</v>
      </c>
      <c r="B780" s="8">
        <v>1</v>
      </c>
      <c r="C780" s="15">
        <v>1</v>
      </c>
      <c r="D780" s="8">
        <v>1</v>
      </c>
      <c r="E780" s="10" t="s">
        <v>216</v>
      </c>
      <c r="F780" s="11" t="s">
        <v>216</v>
      </c>
      <c r="G780" s="12" t="s">
        <v>226</v>
      </c>
      <c r="H780" s="13" t="s">
        <v>217</v>
      </c>
      <c r="I780" s="14">
        <v>1</v>
      </c>
      <c r="J780" s="14" t="s">
        <v>10</v>
      </c>
      <c r="K780" s="5" t="s">
        <v>1955</v>
      </c>
      <c r="L780" s="6">
        <v>0.5625</v>
      </c>
      <c r="M780" s="7" t="s">
        <v>1956</v>
      </c>
      <c r="N780" s="14" t="s">
        <v>11</v>
      </c>
      <c r="O780" s="14">
        <v>1</v>
      </c>
      <c r="P780" s="13" t="s">
        <v>217</v>
      </c>
      <c r="Q780" s="12" t="s">
        <v>216</v>
      </c>
      <c r="R780" s="11" t="s">
        <v>217</v>
      </c>
      <c r="S780" s="10" t="s">
        <v>217</v>
      </c>
      <c r="T780" s="8">
        <v>1</v>
      </c>
      <c r="U780" s="9">
        <v>0</v>
      </c>
      <c r="V780" s="8">
        <v>0</v>
      </c>
      <c r="W780" s="17"/>
      <c r="X780" s="65">
        <v>46250</v>
      </c>
    </row>
    <row r="781" spans="1:24" ht="13.8" thickBot="1" x14ac:dyDescent="0.3">
      <c r="A781" s="4" t="s">
        <v>328</v>
      </c>
      <c r="B781" s="8">
        <v>0</v>
      </c>
      <c r="C781" s="9">
        <v>0</v>
      </c>
      <c r="D781" s="8">
        <v>0</v>
      </c>
      <c r="E781" s="10" t="s">
        <v>219</v>
      </c>
      <c r="F781" s="11" t="s">
        <v>247</v>
      </c>
      <c r="G781" s="12" t="s">
        <v>247</v>
      </c>
      <c r="H781" s="13" t="s">
        <v>216</v>
      </c>
      <c r="I781" s="14">
        <v>2</v>
      </c>
      <c r="J781" s="14" t="s">
        <v>10</v>
      </c>
      <c r="K781" s="5" t="s">
        <v>1957</v>
      </c>
      <c r="L781" s="6">
        <v>0.5625</v>
      </c>
      <c r="M781" s="7" t="s">
        <v>1958</v>
      </c>
      <c r="N781" s="14" t="s">
        <v>11</v>
      </c>
      <c r="O781" s="14">
        <v>1</v>
      </c>
      <c r="P781" s="13" t="s">
        <v>219</v>
      </c>
      <c r="Q781" s="12" t="s">
        <v>226</v>
      </c>
      <c r="R781" s="11" t="s">
        <v>217</v>
      </c>
      <c r="S781" s="10" t="s">
        <v>218</v>
      </c>
      <c r="T781" s="8">
        <v>1</v>
      </c>
      <c r="U781" s="15">
        <v>1</v>
      </c>
      <c r="V781" s="8">
        <v>1</v>
      </c>
      <c r="W781" s="17"/>
      <c r="X781" s="65">
        <v>46250</v>
      </c>
    </row>
    <row r="782" spans="1:24" ht="13.8" thickBot="1" x14ac:dyDescent="0.3">
      <c r="A782" s="4" t="s">
        <v>86</v>
      </c>
      <c r="B782" s="8">
        <v>0.22</v>
      </c>
      <c r="C782" s="9">
        <v>0.33</v>
      </c>
      <c r="D782" s="8">
        <v>0.78</v>
      </c>
      <c r="E782" s="10" t="s">
        <v>224</v>
      </c>
      <c r="F782" s="11" t="s">
        <v>284</v>
      </c>
      <c r="G782" s="12" t="s">
        <v>230</v>
      </c>
      <c r="H782" s="13" t="s">
        <v>306</v>
      </c>
      <c r="I782" s="14">
        <v>9</v>
      </c>
      <c r="J782" s="14" t="s">
        <v>10</v>
      </c>
      <c r="K782" s="5" t="s">
        <v>1959</v>
      </c>
      <c r="L782" s="6">
        <v>0.66666666666666663</v>
      </c>
      <c r="M782" s="7" t="s">
        <v>1960</v>
      </c>
      <c r="N782" s="14" t="s">
        <v>11</v>
      </c>
      <c r="O782" s="14">
        <v>9</v>
      </c>
      <c r="P782" s="13" t="s">
        <v>839</v>
      </c>
      <c r="Q782" s="12" t="s">
        <v>1239</v>
      </c>
      <c r="R782" s="11" t="s">
        <v>218</v>
      </c>
      <c r="S782" s="10" t="s">
        <v>306</v>
      </c>
      <c r="T782" s="8">
        <v>1</v>
      </c>
      <c r="U782" s="15">
        <v>0.78</v>
      </c>
      <c r="V782" s="8">
        <v>0.67</v>
      </c>
      <c r="W782" s="17"/>
      <c r="X782" s="65">
        <v>46250</v>
      </c>
    </row>
    <row r="783" spans="1:24" ht="13.8" thickBot="1" x14ac:dyDescent="0.3">
      <c r="A783" s="4" t="s">
        <v>86</v>
      </c>
      <c r="B783" s="8">
        <v>0.33</v>
      </c>
      <c r="C783" s="15">
        <v>0.67</v>
      </c>
      <c r="D783" s="8">
        <v>0.89</v>
      </c>
      <c r="E783" s="10" t="s">
        <v>231</v>
      </c>
      <c r="F783" s="11" t="s">
        <v>343</v>
      </c>
      <c r="G783" s="12" t="s">
        <v>349</v>
      </c>
      <c r="H783" s="13" t="s">
        <v>284</v>
      </c>
      <c r="I783" s="14">
        <v>9</v>
      </c>
      <c r="J783" s="14" t="s">
        <v>10</v>
      </c>
      <c r="K783" s="5" t="s">
        <v>1961</v>
      </c>
      <c r="L783" s="6">
        <v>0.66666666666666663</v>
      </c>
      <c r="M783" s="7" t="s">
        <v>1962</v>
      </c>
      <c r="N783" s="14" t="s">
        <v>11</v>
      </c>
      <c r="O783" s="14">
        <v>9</v>
      </c>
      <c r="P783" s="13" t="s">
        <v>228</v>
      </c>
      <c r="Q783" s="12" t="s">
        <v>812</v>
      </c>
      <c r="R783" s="11" t="s">
        <v>344</v>
      </c>
      <c r="S783" s="10" t="s">
        <v>230</v>
      </c>
      <c r="T783" s="8">
        <v>0.78</v>
      </c>
      <c r="U783" s="15">
        <v>0.78</v>
      </c>
      <c r="V783" s="8">
        <v>0.56000000000000005</v>
      </c>
      <c r="W783" s="17"/>
      <c r="X783" s="65">
        <v>46250</v>
      </c>
    </row>
    <row r="784" spans="1:24" ht="13.8" thickBot="1" x14ac:dyDescent="0.3">
      <c r="A784" s="4" t="s">
        <v>86</v>
      </c>
      <c r="B784" s="8">
        <v>1</v>
      </c>
      <c r="C784" s="15">
        <v>1</v>
      </c>
      <c r="D784" s="8">
        <v>1</v>
      </c>
      <c r="E784" s="10" t="s">
        <v>231</v>
      </c>
      <c r="F784" s="11" t="s">
        <v>808</v>
      </c>
      <c r="G784" s="12" t="s">
        <v>238</v>
      </c>
      <c r="H784" s="13" t="s">
        <v>341</v>
      </c>
      <c r="I784" s="14">
        <v>9</v>
      </c>
      <c r="J784" s="14" t="s">
        <v>10</v>
      </c>
      <c r="K784" s="5" t="s">
        <v>1963</v>
      </c>
      <c r="L784" s="6">
        <v>0.66666666666666663</v>
      </c>
      <c r="M784" s="7" t="s">
        <v>1964</v>
      </c>
      <c r="N784" s="14" t="s">
        <v>11</v>
      </c>
      <c r="O784" s="14">
        <v>9</v>
      </c>
      <c r="P784" s="13" t="s">
        <v>228</v>
      </c>
      <c r="Q784" s="12" t="s">
        <v>833</v>
      </c>
      <c r="R784" s="11" t="s">
        <v>229</v>
      </c>
      <c r="S784" s="10" t="s">
        <v>344</v>
      </c>
      <c r="T784" s="8">
        <v>0.67</v>
      </c>
      <c r="U784" s="15">
        <v>0.56000000000000005</v>
      </c>
      <c r="V784" s="8">
        <v>0.33</v>
      </c>
      <c r="W784" s="17"/>
      <c r="X784" s="65">
        <v>46250</v>
      </c>
    </row>
    <row r="785" spans="1:24" ht="19.8" thickBot="1" x14ac:dyDescent="0.3">
      <c r="A785" s="4" t="s">
        <v>331</v>
      </c>
      <c r="B785" s="63"/>
      <c r="C785" s="63"/>
      <c r="D785" s="63"/>
      <c r="E785" s="63"/>
      <c r="F785" s="63"/>
      <c r="G785" s="63"/>
      <c r="H785" s="63"/>
      <c r="I785" s="64"/>
      <c r="J785" s="14" t="s">
        <v>10</v>
      </c>
      <c r="K785" s="5" t="s">
        <v>1965</v>
      </c>
      <c r="L785" s="6">
        <v>0.29166666666666669</v>
      </c>
      <c r="M785" s="7" t="s">
        <v>1966</v>
      </c>
      <c r="N785" s="14" t="s">
        <v>11</v>
      </c>
      <c r="O785" s="64"/>
      <c r="P785" s="63"/>
      <c r="Q785" s="63"/>
      <c r="R785" s="63"/>
      <c r="S785" s="63"/>
      <c r="T785" s="63"/>
      <c r="U785" s="63"/>
      <c r="V785" s="63"/>
      <c r="W785" s="17"/>
      <c r="X785" s="65">
        <v>46250</v>
      </c>
    </row>
    <row r="786" spans="1:24" ht="13.8" thickBot="1" x14ac:dyDescent="0.3">
      <c r="A786" s="4" t="s">
        <v>331</v>
      </c>
      <c r="B786" s="63"/>
      <c r="C786" s="63"/>
      <c r="D786" s="63"/>
      <c r="E786" s="63"/>
      <c r="F786" s="63"/>
      <c r="G786" s="63"/>
      <c r="H786" s="63"/>
      <c r="I786" s="64"/>
      <c r="J786" s="14" t="s">
        <v>10</v>
      </c>
      <c r="K786" s="5" t="s">
        <v>1967</v>
      </c>
      <c r="L786" s="6">
        <v>0.33333333333333331</v>
      </c>
      <c r="M786" s="7" t="s">
        <v>1968</v>
      </c>
      <c r="N786" s="14" t="s">
        <v>11</v>
      </c>
      <c r="O786" s="64"/>
      <c r="P786" s="63"/>
      <c r="Q786" s="63"/>
      <c r="R786" s="63"/>
      <c r="S786" s="63"/>
      <c r="T786" s="63"/>
      <c r="U786" s="63"/>
      <c r="V786" s="63"/>
      <c r="W786" s="17"/>
      <c r="X786" s="65">
        <v>46250</v>
      </c>
    </row>
    <row r="787" spans="1:24" ht="19.8" thickBot="1" x14ac:dyDescent="0.3">
      <c r="A787" s="4" t="s">
        <v>331</v>
      </c>
      <c r="B787" s="63"/>
      <c r="C787" s="63"/>
      <c r="D787" s="63"/>
      <c r="E787" s="63"/>
      <c r="F787" s="63"/>
      <c r="G787" s="63"/>
      <c r="H787" s="63"/>
      <c r="I787" s="64"/>
      <c r="J787" s="14" t="s">
        <v>10</v>
      </c>
      <c r="K787" s="5" t="s">
        <v>1969</v>
      </c>
      <c r="L787" s="6">
        <v>0.29166666666666669</v>
      </c>
      <c r="M787" s="7" t="s">
        <v>1970</v>
      </c>
      <c r="N787" s="14" t="s">
        <v>11</v>
      </c>
      <c r="O787" s="64"/>
      <c r="P787" s="63"/>
      <c r="Q787" s="63"/>
      <c r="R787" s="63"/>
      <c r="S787" s="63"/>
      <c r="T787" s="63"/>
      <c r="U787" s="63"/>
      <c r="V787" s="63"/>
      <c r="W787" s="17"/>
      <c r="X787" s="65">
        <v>46250</v>
      </c>
    </row>
    <row r="788" spans="1:24" ht="19.8" thickBot="1" x14ac:dyDescent="0.3">
      <c r="A788" s="4" t="s">
        <v>331</v>
      </c>
      <c r="B788" s="63"/>
      <c r="C788" s="63"/>
      <c r="D788" s="63"/>
      <c r="E788" s="63"/>
      <c r="F788" s="63"/>
      <c r="G788" s="63"/>
      <c r="H788" s="63"/>
      <c r="I788" s="64"/>
      <c r="J788" s="14" t="s">
        <v>10</v>
      </c>
      <c r="K788" s="5" t="s">
        <v>1971</v>
      </c>
      <c r="L788" s="6">
        <v>0.29166666666666669</v>
      </c>
      <c r="M788" s="7" t="s">
        <v>1972</v>
      </c>
      <c r="N788" s="14" t="s">
        <v>11</v>
      </c>
      <c r="O788" s="64"/>
      <c r="P788" s="63"/>
      <c r="Q788" s="63"/>
      <c r="R788" s="63"/>
      <c r="S788" s="63"/>
      <c r="T788" s="63"/>
      <c r="U788" s="63"/>
      <c r="V788" s="63"/>
      <c r="W788" s="17"/>
      <c r="X788" s="65">
        <v>46250</v>
      </c>
    </row>
    <row r="789" spans="1:24" ht="19.8" thickBot="1" x14ac:dyDescent="0.3">
      <c r="A789" s="4" t="s">
        <v>331</v>
      </c>
      <c r="B789" s="8">
        <v>1</v>
      </c>
      <c r="C789" s="15">
        <v>1</v>
      </c>
      <c r="D789" s="8">
        <v>1</v>
      </c>
      <c r="E789" s="10" t="s">
        <v>217</v>
      </c>
      <c r="F789" s="11" t="s">
        <v>226</v>
      </c>
      <c r="G789" s="12" t="s">
        <v>278</v>
      </c>
      <c r="H789" s="13" t="s">
        <v>218</v>
      </c>
      <c r="I789" s="14">
        <v>1</v>
      </c>
      <c r="J789" s="14" t="s">
        <v>10</v>
      </c>
      <c r="K789" s="5" t="s">
        <v>1973</v>
      </c>
      <c r="L789" s="6">
        <v>0.33333333333333331</v>
      </c>
      <c r="M789" s="7" t="s">
        <v>1974</v>
      </c>
      <c r="N789" s="14" t="s">
        <v>11</v>
      </c>
      <c r="O789" s="64"/>
      <c r="P789" s="63"/>
      <c r="Q789" s="63"/>
      <c r="R789" s="63"/>
      <c r="S789" s="63"/>
      <c r="T789" s="63"/>
      <c r="U789" s="63"/>
      <c r="V789" s="63"/>
      <c r="W789" s="17"/>
      <c r="X789" s="65">
        <v>46250</v>
      </c>
    </row>
    <row r="790" spans="1:24" ht="19.8" thickBot="1" x14ac:dyDescent="0.3">
      <c r="A790" s="4" t="s">
        <v>331</v>
      </c>
      <c r="B790" s="63"/>
      <c r="C790" s="63"/>
      <c r="D790" s="63"/>
      <c r="E790" s="63"/>
      <c r="F790" s="63"/>
      <c r="G790" s="63"/>
      <c r="H790" s="63"/>
      <c r="I790" s="64"/>
      <c r="J790" s="14" t="s">
        <v>10</v>
      </c>
      <c r="K790" s="5" t="s">
        <v>1975</v>
      </c>
      <c r="L790" s="6">
        <v>0.33333333333333331</v>
      </c>
      <c r="M790" s="7" t="s">
        <v>1976</v>
      </c>
      <c r="N790" s="14" t="s">
        <v>11</v>
      </c>
      <c r="O790" s="64"/>
      <c r="P790" s="63"/>
      <c r="Q790" s="63"/>
      <c r="R790" s="63"/>
      <c r="S790" s="63"/>
      <c r="T790" s="63"/>
      <c r="U790" s="63"/>
      <c r="V790" s="63"/>
      <c r="W790" s="17"/>
      <c r="X790" s="65">
        <v>46250</v>
      </c>
    </row>
    <row r="791" spans="1:24" ht="13.8" thickBot="1" x14ac:dyDescent="0.3">
      <c r="A791" s="4" t="s">
        <v>1309</v>
      </c>
      <c r="B791" s="8">
        <v>0.22</v>
      </c>
      <c r="C791" s="9">
        <v>0.44</v>
      </c>
      <c r="D791" s="8">
        <v>0.67</v>
      </c>
      <c r="E791" s="10" t="s">
        <v>224</v>
      </c>
      <c r="F791" s="11" t="s">
        <v>228</v>
      </c>
      <c r="G791" s="12" t="s">
        <v>839</v>
      </c>
      <c r="H791" s="13" t="s">
        <v>217</v>
      </c>
      <c r="I791" s="14">
        <v>9</v>
      </c>
      <c r="J791" s="14" t="s">
        <v>10</v>
      </c>
      <c r="K791" s="5" t="s">
        <v>1977</v>
      </c>
      <c r="L791" s="6">
        <v>0.41666666666666669</v>
      </c>
      <c r="M791" s="7" t="s">
        <v>1978</v>
      </c>
      <c r="N791" s="14" t="s">
        <v>11</v>
      </c>
      <c r="O791" s="14">
        <v>11</v>
      </c>
      <c r="P791" s="13" t="s">
        <v>1979</v>
      </c>
      <c r="Q791" s="12" t="s">
        <v>261</v>
      </c>
      <c r="R791" s="11" t="s">
        <v>300</v>
      </c>
      <c r="S791" s="10" t="s">
        <v>259</v>
      </c>
      <c r="T791" s="8">
        <v>0.73</v>
      </c>
      <c r="U791" s="9">
        <v>0.36</v>
      </c>
      <c r="V791" s="8">
        <v>0.09</v>
      </c>
      <c r="W791" s="17"/>
      <c r="X791" s="65">
        <v>46250</v>
      </c>
    </row>
    <row r="792" spans="1:24" ht="19.8" thickBot="1" x14ac:dyDescent="0.3">
      <c r="A792" s="4" t="s">
        <v>1309</v>
      </c>
      <c r="B792" s="8">
        <v>0.44</v>
      </c>
      <c r="C792" s="15">
        <v>0.56000000000000005</v>
      </c>
      <c r="D792" s="8">
        <v>0.78</v>
      </c>
      <c r="E792" s="10" t="s">
        <v>232</v>
      </c>
      <c r="F792" s="11" t="s">
        <v>229</v>
      </c>
      <c r="G792" s="12" t="s">
        <v>218</v>
      </c>
      <c r="H792" s="13" t="s">
        <v>229</v>
      </c>
      <c r="I792" s="14">
        <v>9</v>
      </c>
      <c r="J792" s="14" t="s">
        <v>10</v>
      </c>
      <c r="K792" s="5" t="s">
        <v>1980</v>
      </c>
      <c r="L792" s="6">
        <v>0.45833333333333331</v>
      </c>
      <c r="M792" s="7" t="s">
        <v>1981</v>
      </c>
      <c r="N792" s="14" t="s">
        <v>11</v>
      </c>
      <c r="O792" s="14">
        <v>10</v>
      </c>
      <c r="P792" s="13" t="s">
        <v>268</v>
      </c>
      <c r="Q792" s="12" t="s">
        <v>800</v>
      </c>
      <c r="R792" s="11" t="s">
        <v>220</v>
      </c>
      <c r="S792" s="10" t="s">
        <v>270</v>
      </c>
      <c r="T792" s="8">
        <v>0.6</v>
      </c>
      <c r="U792" s="9">
        <v>0.5</v>
      </c>
      <c r="V792" s="8">
        <v>0.5</v>
      </c>
      <c r="W792" s="17"/>
      <c r="X792" s="65">
        <v>46250</v>
      </c>
    </row>
    <row r="793" spans="1:24" ht="13.8" thickBot="1" x14ac:dyDescent="0.3">
      <c r="A793" s="4" t="s">
        <v>1309</v>
      </c>
      <c r="B793" s="8">
        <v>0.45</v>
      </c>
      <c r="C793" s="15">
        <v>0.73</v>
      </c>
      <c r="D793" s="8">
        <v>0.82</v>
      </c>
      <c r="E793" s="10" t="s">
        <v>303</v>
      </c>
      <c r="F793" s="11" t="s">
        <v>259</v>
      </c>
      <c r="G793" s="12" t="s">
        <v>1312</v>
      </c>
      <c r="H793" s="13" t="s">
        <v>265</v>
      </c>
      <c r="I793" s="14">
        <v>11</v>
      </c>
      <c r="J793" s="14" t="s">
        <v>10</v>
      </c>
      <c r="K793" s="5" t="s">
        <v>1982</v>
      </c>
      <c r="L793" s="6">
        <v>0.5</v>
      </c>
      <c r="M793" s="7" t="s">
        <v>1983</v>
      </c>
      <c r="N793" s="14" t="s">
        <v>11</v>
      </c>
      <c r="O793" s="14">
        <v>9</v>
      </c>
      <c r="P793" s="13" t="s">
        <v>324</v>
      </c>
      <c r="Q793" s="12" t="s">
        <v>307</v>
      </c>
      <c r="R793" s="11" t="s">
        <v>324</v>
      </c>
      <c r="S793" s="10" t="s">
        <v>232</v>
      </c>
      <c r="T793" s="8">
        <v>0.67</v>
      </c>
      <c r="U793" s="9">
        <v>0.33</v>
      </c>
      <c r="V793" s="8">
        <v>0.33</v>
      </c>
      <c r="W793" s="17"/>
      <c r="X793" s="65">
        <v>46250</v>
      </c>
    </row>
    <row r="794" spans="1:24" ht="13.8" thickBot="1" x14ac:dyDescent="0.3">
      <c r="A794" s="4" t="s">
        <v>1309</v>
      </c>
      <c r="B794" s="8">
        <v>0.1</v>
      </c>
      <c r="C794" s="9">
        <v>0.2</v>
      </c>
      <c r="D794" s="8">
        <v>0.6</v>
      </c>
      <c r="E794" s="10" t="s">
        <v>248</v>
      </c>
      <c r="F794" s="11" t="s">
        <v>824</v>
      </c>
      <c r="G794" s="12" t="s">
        <v>273</v>
      </c>
      <c r="H794" s="13" t="s">
        <v>274</v>
      </c>
      <c r="I794" s="14">
        <v>10</v>
      </c>
      <c r="J794" s="14" t="s">
        <v>10</v>
      </c>
      <c r="K794" s="5" t="s">
        <v>1984</v>
      </c>
      <c r="L794" s="6">
        <v>0.54166666666666663</v>
      </c>
      <c r="M794" s="7" t="s">
        <v>1985</v>
      </c>
      <c r="N794" s="14" t="s">
        <v>11</v>
      </c>
      <c r="O794" s="14">
        <v>10</v>
      </c>
      <c r="P794" s="13" t="s">
        <v>274</v>
      </c>
      <c r="Q794" s="12" t="s">
        <v>218</v>
      </c>
      <c r="R794" s="11" t="s">
        <v>270</v>
      </c>
      <c r="S794" s="10" t="s">
        <v>234</v>
      </c>
      <c r="T794" s="8">
        <v>0.8</v>
      </c>
      <c r="U794" s="15">
        <v>0.7</v>
      </c>
      <c r="V794" s="8">
        <v>0.4</v>
      </c>
      <c r="W794" s="17"/>
      <c r="X794" s="65">
        <v>46250</v>
      </c>
    </row>
    <row r="795" spans="1:24" ht="19.8" thickBot="1" x14ac:dyDescent="0.3">
      <c r="A795" s="4" t="s">
        <v>1986</v>
      </c>
      <c r="B795" s="8">
        <v>0.33</v>
      </c>
      <c r="C795" s="9">
        <v>0.5</v>
      </c>
      <c r="D795" s="8">
        <v>0.67</v>
      </c>
      <c r="E795" s="10" t="s">
        <v>776</v>
      </c>
      <c r="F795" s="11" t="s">
        <v>851</v>
      </c>
      <c r="G795" s="12" t="s">
        <v>221</v>
      </c>
      <c r="H795" s="13" t="s">
        <v>223</v>
      </c>
      <c r="I795" s="14">
        <v>12</v>
      </c>
      <c r="J795" s="14" t="s">
        <v>10</v>
      </c>
      <c r="K795" s="5" t="s">
        <v>1987</v>
      </c>
      <c r="L795" s="6">
        <v>0.57291666666666663</v>
      </c>
      <c r="M795" s="7" t="s">
        <v>1988</v>
      </c>
      <c r="N795" s="14" t="s">
        <v>11</v>
      </c>
      <c r="O795" s="14">
        <v>12</v>
      </c>
      <c r="P795" s="13" t="s">
        <v>344</v>
      </c>
      <c r="Q795" s="12" t="s">
        <v>346</v>
      </c>
      <c r="R795" s="11" t="s">
        <v>223</v>
      </c>
      <c r="S795" s="10" t="s">
        <v>220</v>
      </c>
      <c r="T795" s="8">
        <v>0.92</v>
      </c>
      <c r="U795" s="15">
        <v>0.83</v>
      </c>
      <c r="V795" s="8">
        <v>0.5</v>
      </c>
      <c r="W795" s="17"/>
      <c r="X795" s="65">
        <v>46250</v>
      </c>
    </row>
    <row r="796" spans="1:24" ht="13.8" thickBot="1" x14ac:dyDescent="0.3">
      <c r="A796" s="4" t="s">
        <v>1986</v>
      </c>
      <c r="B796" s="8">
        <v>0.5</v>
      </c>
      <c r="C796" s="15">
        <v>0.8</v>
      </c>
      <c r="D796" s="8">
        <v>0.9</v>
      </c>
      <c r="E796" s="10" t="s">
        <v>220</v>
      </c>
      <c r="F796" s="11" t="s">
        <v>249</v>
      </c>
      <c r="G796" s="12" t="s">
        <v>281</v>
      </c>
      <c r="H796" s="13" t="s">
        <v>268</v>
      </c>
      <c r="I796" s="14">
        <v>10</v>
      </c>
      <c r="J796" s="14" t="s">
        <v>10</v>
      </c>
      <c r="K796" s="5" t="s">
        <v>1989</v>
      </c>
      <c r="L796" s="6">
        <v>0.60416666666666663</v>
      </c>
      <c r="M796" s="7" t="s">
        <v>1990</v>
      </c>
      <c r="N796" s="14" t="s">
        <v>11</v>
      </c>
      <c r="O796" s="14">
        <v>12</v>
      </c>
      <c r="P796" s="13" t="s">
        <v>220</v>
      </c>
      <c r="Q796" s="12" t="s">
        <v>220</v>
      </c>
      <c r="R796" s="11" t="s">
        <v>773</v>
      </c>
      <c r="S796" s="10" t="s">
        <v>776</v>
      </c>
      <c r="T796" s="8">
        <v>0.33</v>
      </c>
      <c r="U796" s="9">
        <v>0.17</v>
      </c>
      <c r="V796" s="8">
        <v>0.17</v>
      </c>
      <c r="W796" s="17"/>
      <c r="X796" s="65">
        <v>46250</v>
      </c>
    </row>
    <row r="797" spans="1:24" ht="13.8" thickBot="1" x14ac:dyDescent="0.3">
      <c r="A797" s="4" t="s">
        <v>1319</v>
      </c>
      <c r="B797" s="8">
        <v>1</v>
      </c>
      <c r="C797" s="15">
        <v>1</v>
      </c>
      <c r="D797" s="8">
        <v>1</v>
      </c>
      <c r="E797" s="10" t="s">
        <v>216</v>
      </c>
      <c r="F797" s="11" t="s">
        <v>218</v>
      </c>
      <c r="G797" s="12" t="s">
        <v>278</v>
      </c>
      <c r="H797" s="13" t="s">
        <v>218</v>
      </c>
      <c r="I797" s="14">
        <v>1</v>
      </c>
      <c r="J797" s="14" t="s">
        <v>10</v>
      </c>
      <c r="K797" s="5" t="s">
        <v>1991</v>
      </c>
      <c r="L797" s="6">
        <v>0.95833333333333337</v>
      </c>
      <c r="M797" s="7" t="s">
        <v>1992</v>
      </c>
      <c r="N797" s="14" t="s">
        <v>11</v>
      </c>
      <c r="O797" s="14">
        <v>1</v>
      </c>
      <c r="P797" s="13" t="s">
        <v>219</v>
      </c>
      <c r="Q797" s="12" t="s">
        <v>217</v>
      </c>
      <c r="R797" s="11" t="s">
        <v>219</v>
      </c>
      <c r="S797" s="10" t="s">
        <v>217</v>
      </c>
      <c r="T797" s="8">
        <v>0</v>
      </c>
      <c r="U797" s="9">
        <v>0</v>
      </c>
      <c r="V797" s="8">
        <v>0</v>
      </c>
      <c r="W797" s="17"/>
      <c r="X797" s="65">
        <v>46250</v>
      </c>
    </row>
    <row r="798" spans="1:24" ht="13.8" thickBot="1" x14ac:dyDescent="0.3">
      <c r="A798" s="4" t="s">
        <v>1319</v>
      </c>
      <c r="B798" s="8">
        <v>0</v>
      </c>
      <c r="C798" s="9">
        <v>0</v>
      </c>
      <c r="D798" s="8">
        <v>1</v>
      </c>
      <c r="E798" s="10" t="s">
        <v>216</v>
      </c>
      <c r="F798" s="11" t="s">
        <v>219</v>
      </c>
      <c r="G798" s="12" t="s">
        <v>216</v>
      </c>
      <c r="H798" s="13" t="s">
        <v>219</v>
      </c>
      <c r="I798" s="14">
        <v>1</v>
      </c>
      <c r="J798" s="14" t="s">
        <v>10</v>
      </c>
      <c r="K798" s="5" t="s">
        <v>1993</v>
      </c>
      <c r="L798" s="6">
        <v>4.1666666666666664E-2</v>
      </c>
      <c r="M798" s="7" t="s">
        <v>1994</v>
      </c>
      <c r="N798" s="14" t="s">
        <v>11</v>
      </c>
      <c r="O798" s="14">
        <v>2</v>
      </c>
      <c r="P798" s="13" t="s">
        <v>219</v>
      </c>
      <c r="Q798" s="12" t="s">
        <v>327</v>
      </c>
      <c r="R798" s="11" t="s">
        <v>220</v>
      </c>
      <c r="S798" s="10" t="s">
        <v>218</v>
      </c>
      <c r="T798" s="8">
        <v>1</v>
      </c>
      <c r="U798" s="15">
        <v>1</v>
      </c>
      <c r="V798" s="8">
        <v>1</v>
      </c>
      <c r="W798" s="17"/>
      <c r="X798" s="65">
        <v>46250</v>
      </c>
    </row>
    <row r="799" spans="1:24" ht="19.8" thickBot="1" x14ac:dyDescent="0.3">
      <c r="A799" s="4" t="s">
        <v>1319</v>
      </c>
      <c r="B799" s="8">
        <v>0</v>
      </c>
      <c r="C799" s="15">
        <v>1</v>
      </c>
      <c r="D799" s="8">
        <v>1</v>
      </c>
      <c r="E799" s="10" t="s">
        <v>218</v>
      </c>
      <c r="F799" s="11" t="s">
        <v>219</v>
      </c>
      <c r="G799" s="12" t="s">
        <v>218</v>
      </c>
      <c r="H799" s="13" t="s">
        <v>219</v>
      </c>
      <c r="I799" s="14">
        <v>1</v>
      </c>
      <c r="J799" s="14" t="s">
        <v>10</v>
      </c>
      <c r="K799" s="5" t="s">
        <v>1995</v>
      </c>
      <c r="L799" s="6">
        <v>0.66666666666666663</v>
      </c>
      <c r="M799" s="7" t="s">
        <v>1996</v>
      </c>
      <c r="N799" s="14" t="s">
        <v>11</v>
      </c>
      <c r="O799" s="14">
        <v>1</v>
      </c>
      <c r="P799" s="13" t="s">
        <v>218</v>
      </c>
      <c r="Q799" s="12" t="s">
        <v>218</v>
      </c>
      <c r="R799" s="11" t="s">
        <v>216</v>
      </c>
      <c r="S799" s="10" t="s">
        <v>217</v>
      </c>
      <c r="T799" s="8">
        <v>1</v>
      </c>
      <c r="U799" s="15">
        <v>1</v>
      </c>
      <c r="V799" s="8">
        <v>0</v>
      </c>
      <c r="W799" s="17"/>
      <c r="X799" s="65">
        <v>46250</v>
      </c>
    </row>
    <row r="800" spans="1:24" ht="13.8" thickBot="1" x14ac:dyDescent="0.3">
      <c r="A800" s="4" t="s">
        <v>1319</v>
      </c>
      <c r="B800" s="8">
        <v>0</v>
      </c>
      <c r="C800" s="15">
        <v>1</v>
      </c>
      <c r="D800" s="8">
        <v>1</v>
      </c>
      <c r="E800" s="10" t="s">
        <v>219</v>
      </c>
      <c r="F800" s="11" t="s">
        <v>218</v>
      </c>
      <c r="G800" s="12" t="s">
        <v>218</v>
      </c>
      <c r="H800" s="13" t="s">
        <v>218</v>
      </c>
      <c r="I800" s="14">
        <v>1</v>
      </c>
      <c r="J800" s="14" t="s">
        <v>10</v>
      </c>
      <c r="K800" s="5" t="s">
        <v>1997</v>
      </c>
      <c r="L800" s="6">
        <v>0.875</v>
      </c>
      <c r="M800" s="7" t="s">
        <v>1998</v>
      </c>
      <c r="N800" s="14" t="s">
        <v>11</v>
      </c>
      <c r="O800" s="14">
        <v>1</v>
      </c>
      <c r="P800" s="13" t="s">
        <v>217</v>
      </c>
      <c r="Q800" s="12" t="s">
        <v>226</v>
      </c>
      <c r="R800" s="11" t="s">
        <v>216</v>
      </c>
      <c r="S800" s="10" t="s">
        <v>216</v>
      </c>
      <c r="T800" s="8">
        <v>1</v>
      </c>
      <c r="U800" s="15">
        <v>1</v>
      </c>
      <c r="V800" s="8">
        <v>1</v>
      </c>
      <c r="W800" s="17"/>
      <c r="X800" s="65">
        <v>46250</v>
      </c>
    </row>
    <row r="801" spans="1:24" ht="13.8" thickBot="1" x14ac:dyDescent="0.3">
      <c r="A801" s="4" t="s">
        <v>1322</v>
      </c>
      <c r="B801" s="8">
        <v>0</v>
      </c>
      <c r="C801" s="9">
        <v>0.33</v>
      </c>
      <c r="D801" s="8">
        <v>0.67</v>
      </c>
      <c r="E801" s="10" t="s">
        <v>217</v>
      </c>
      <c r="F801" s="11" t="s">
        <v>310</v>
      </c>
      <c r="G801" s="12" t="s">
        <v>344</v>
      </c>
      <c r="H801" s="13" t="s">
        <v>310</v>
      </c>
      <c r="I801" s="14">
        <v>3</v>
      </c>
      <c r="J801" s="14" t="s">
        <v>10</v>
      </c>
      <c r="K801" s="5" t="s">
        <v>1999</v>
      </c>
      <c r="L801" s="6">
        <v>0.625</v>
      </c>
      <c r="M801" s="7" t="s">
        <v>2000</v>
      </c>
      <c r="N801" s="14" t="s">
        <v>11</v>
      </c>
      <c r="O801" s="14">
        <v>3</v>
      </c>
      <c r="P801" s="13" t="s">
        <v>334</v>
      </c>
      <c r="Q801" s="12" t="s">
        <v>349</v>
      </c>
      <c r="R801" s="11" t="s">
        <v>325</v>
      </c>
      <c r="S801" s="10" t="s">
        <v>217</v>
      </c>
      <c r="T801" s="8">
        <v>0.67</v>
      </c>
      <c r="U801" s="15">
        <v>0.67</v>
      </c>
      <c r="V801" s="8">
        <v>0.67</v>
      </c>
      <c r="W801" s="17"/>
      <c r="X801" s="65">
        <v>46250</v>
      </c>
    </row>
    <row r="802" spans="1:24" ht="19.8" thickBot="1" x14ac:dyDescent="0.3">
      <c r="A802" s="4" t="s">
        <v>1322</v>
      </c>
      <c r="B802" s="8">
        <v>0</v>
      </c>
      <c r="C802" s="15">
        <v>0.67</v>
      </c>
      <c r="D802" s="8">
        <v>1</v>
      </c>
      <c r="E802" s="10" t="s">
        <v>217</v>
      </c>
      <c r="F802" s="11" t="s">
        <v>344</v>
      </c>
      <c r="G802" s="12" t="s">
        <v>325</v>
      </c>
      <c r="H802" s="13" t="s">
        <v>224</v>
      </c>
      <c r="I802" s="14">
        <v>3</v>
      </c>
      <c r="J802" s="14" t="s">
        <v>10</v>
      </c>
      <c r="K802" s="5" t="s">
        <v>2001</v>
      </c>
      <c r="L802" s="6">
        <v>0.625</v>
      </c>
      <c r="M802" s="7" t="s">
        <v>2002</v>
      </c>
      <c r="N802" s="14" t="s">
        <v>11</v>
      </c>
      <c r="O802" s="14">
        <v>3</v>
      </c>
      <c r="P802" s="13" t="s">
        <v>310</v>
      </c>
      <c r="Q802" s="12" t="s">
        <v>334</v>
      </c>
      <c r="R802" s="11" t="s">
        <v>939</v>
      </c>
      <c r="S802" s="10" t="s">
        <v>216</v>
      </c>
      <c r="T802" s="8">
        <v>0.67</v>
      </c>
      <c r="U802" s="9">
        <v>0.33</v>
      </c>
      <c r="V802" s="8">
        <v>0.33</v>
      </c>
      <c r="W802" s="17"/>
      <c r="X802" s="65">
        <v>46250</v>
      </c>
    </row>
    <row r="803" spans="1:24" ht="13.8" thickBot="1" x14ac:dyDescent="0.3">
      <c r="A803" s="4" t="s">
        <v>1327</v>
      </c>
      <c r="B803" s="63"/>
      <c r="C803" s="63"/>
      <c r="D803" s="63"/>
      <c r="E803" s="63"/>
      <c r="F803" s="63"/>
      <c r="G803" s="63"/>
      <c r="H803" s="63"/>
      <c r="I803" s="64"/>
      <c r="J803" s="14" t="s">
        <v>10</v>
      </c>
      <c r="K803" s="5" t="s">
        <v>2003</v>
      </c>
      <c r="L803" s="6">
        <v>0.66666666666666663</v>
      </c>
      <c r="M803" s="7" t="s">
        <v>2004</v>
      </c>
      <c r="N803" s="14" t="s">
        <v>11</v>
      </c>
      <c r="O803" s="14">
        <v>1</v>
      </c>
      <c r="P803" s="13" t="s">
        <v>218</v>
      </c>
      <c r="Q803" s="12" t="s">
        <v>217</v>
      </c>
      <c r="R803" s="11" t="s">
        <v>217</v>
      </c>
      <c r="S803" s="10" t="s">
        <v>219</v>
      </c>
      <c r="T803" s="8">
        <v>0</v>
      </c>
      <c r="U803" s="9">
        <v>0</v>
      </c>
      <c r="V803" s="8">
        <v>0</v>
      </c>
      <c r="W803" s="17"/>
      <c r="X803" s="65">
        <v>46250</v>
      </c>
    </row>
    <row r="804" spans="1:24" ht="13.8" thickBot="1" x14ac:dyDescent="0.3">
      <c r="A804" s="4" t="s">
        <v>1327</v>
      </c>
      <c r="B804" s="8">
        <v>0</v>
      </c>
      <c r="C804" s="15">
        <v>1</v>
      </c>
      <c r="D804" s="8">
        <v>1</v>
      </c>
      <c r="E804" s="10" t="s">
        <v>217</v>
      </c>
      <c r="F804" s="11" t="s">
        <v>216</v>
      </c>
      <c r="G804" s="12" t="s">
        <v>218</v>
      </c>
      <c r="H804" s="13" t="s">
        <v>218</v>
      </c>
      <c r="I804" s="14">
        <v>1</v>
      </c>
      <c r="J804" s="14" t="s">
        <v>10</v>
      </c>
      <c r="K804" s="5" t="s">
        <v>2005</v>
      </c>
      <c r="L804" s="6">
        <v>0.66666666666666663</v>
      </c>
      <c r="M804" s="7" t="s">
        <v>2006</v>
      </c>
      <c r="N804" s="14" t="s">
        <v>11</v>
      </c>
      <c r="O804" s="14">
        <v>1</v>
      </c>
      <c r="P804" s="13" t="s">
        <v>217</v>
      </c>
      <c r="Q804" s="12" t="s">
        <v>219</v>
      </c>
      <c r="R804" s="11" t="s">
        <v>219</v>
      </c>
      <c r="S804" s="10" t="s">
        <v>219</v>
      </c>
      <c r="T804" s="8">
        <v>0</v>
      </c>
      <c r="U804" s="9">
        <v>0</v>
      </c>
      <c r="V804" s="8">
        <v>0</v>
      </c>
      <c r="W804" s="17"/>
      <c r="X804" s="65">
        <v>46250</v>
      </c>
    </row>
    <row r="805" spans="1:24" ht="13.8" thickBot="1" x14ac:dyDescent="0.3">
      <c r="A805" s="4" t="s">
        <v>1327</v>
      </c>
      <c r="B805" s="8">
        <v>0</v>
      </c>
      <c r="C805" s="9">
        <v>0</v>
      </c>
      <c r="D805" s="8">
        <v>0</v>
      </c>
      <c r="E805" s="10" t="s">
        <v>217</v>
      </c>
      <c r="F805" s="11" t="s">
        <v>219</v>
      </c>
      <c r="G805" s="12" t="s">
        <v>217</v>
      </c>
      <c r="H805" s="13" t="s">
        <v>219</v>
      </c>
      <c r="I805" s="14">
        <v>1</v>
      </c>
      <c r="J805" s="14" t="s">
        <v>10</v>
      </c>
      <c r="K805" s="5" t="s">
        <v>2007</v>
      </c>
      <c r="L805" s="6">
        <v>0.66666666666666663</v>
      </c>
      <c r="M805" s="7" t="s">
        <v>2008</v>
      </c>
      <c r="N805" s="14" t="s">
        <v>11</v>
      </c>
      <c r="O805" s="64"/>
      <c r="P805" s="63"/>
      <c r="Q805" s="63"/>
      <c r="R805" s="63"/>
      <c r="S805" s="63"/>
      <c r="T805" s="63"/>
      <c r="U805" s="63"/>
      <c r="V805" s="63"/>
      <c r="W805" s="17"/>
      <c r="X805" s="65">
        <v>46250</v>
      </c>
    </row>
    <row r="806" spans="1:24" ht="13.8" thickBot="1" x14ac:dyDescent="0.3">
      <c r="A806" s="4" t="s">
        <v>92</v>
      </c>
      <c r="B806" s="8">
        <v>0.67</v>
      </c>
      <c r="C806" s="15">
        <v>0.78</v>
      </c>
      <c r="D806" s="8">
        <v>1</v>
      </c>
      <c r="E806" s="10" t="s">
        <v>334</v>
      </c>
      <c r="F806" s="11" t="s">
        <v>344</v>
      </c>
      <c r="G806" s="12" t="s">
        <v>226</v>
      </c>
      <c r="H806" s="13" t="s">
        <v>306</v>
      </c>
      <c r="I806" s="14">
        <v>9</v>
      </c>
      <c r="J806" s="14" t="s">
        <v>10</v>
      </c>
      <c r="K806" s="5" t="s">
        <v>2009</v>
      </c>
      <c r="L806" s="6">
        <v>0.4375</v>
      </c>
      <c r="M806" s="7" t="s">
        <v>2010</v>
      </c>
      <c r="N806" s="14" t="s">
        <v>11</v>
      </c>
      <c r="O806" s="14">
        <v>7</v>
      </c>
      <c r="P806" s="13" t="s">
        <v>217</v>
      </c>
      <c r="Q806" s="12" t="s">
        <v>879</v>
      </c>
      <c r="R806" s="11" t="s">
        <v>217</v>
      </c>
      <c r="S806" s="10" t="s">
        <v>291</v>
      </c>
      <c r="T806" s="8">
        <v>0.86</v>
      </c>
      <c r="U806" s="9">
        <v>0.43</v>
      </c>
      <c r="V806" s="8">
        <v>0.43</v>
      </c>
      <c r="W806" s="17"/>
      <c r="X806" s="65">
        <v>46250</v>
      </c>
    </row>
    <row r="807" spans="1:24" ht="13.8" thickBot="1" x14ac:dyDescent="0.3">
      <c r="A807" s="4" t="s">
        <v>92</v>
      </c>
      <c r="B807" s="8">
        <v>0.38</v>
      </c>
      <c r="C807" s="15">
        <v>0.88</v>
      </c>
      <c r="D807" s="8">
        <v>0.88</v>
      </c>
      <c r="E807" s="10" t="s">
        <v>239</v>
      </c>
      <c r="F807" s="11" t="s">
        <v>223</v>
      </c>
      <c r="G807" s="12" t="s">
        <v>342</v>
      </c>
      <c r="H807" s="13" t="s">
        <v>220</v>
      </c>
      <c r="I807" s="14">
        <v>8</v>
      </c>
      <c r="J807" s="14" t="s">
        <v>10</v>
      </c>
      <c r="K807" s="5" t="s">
        <v>2011</v>
      </c>
      <c r="L807" s="6">
        <v>0.54166666666666663</v>
      </c>
      <c r="M807" s="7" t="s">
        <v>2012</v>
      </c>
      <c r="N807" s="14" t="s">
        <v>11</v>
      </c>
      <c r="O807" s="14">
        <v>8</v>
      </c>
      <c r="P807" s="13" t="s">
        <v>222</v>
      </c>
      <c r="Q807" s="12" t="s">
        <v>332</v>
      </c>
      <c r="R807" s="11" t="s">
        <v>293</v>
      </c>
      <c r="S807" s="10" t="s">
        <v>236</v>
      </c>
      <c r="T807" s="8">
        <v>0.88</v>
      </c>
      <c r="U807" s="15">
        <v>0.75</v>
      </c>
      <c r="V807" s="8">
        <v>0.38</v>
      </c>
      <c r="W807" s="17"/>
      <c r="X807" s="65">
        <v>46250</v>
      </c>
    </row>
    <row r="808" spans="1:24" ht="13.8" thickBot="1" x14ac:dyDescent="0.3">
      <c r="A808" s="4" t="s">
        <v>92</v>
      </c>
      <c r="B808" s="8">
        <v>0.38</v>
      </c>
      <c r="C808" s="15">
        <v>0.62</v>
      </c>
      <c r="D808" s="8">
        <v>0.75</v>
      </c>
      <c r="E808" s="10" t="s">
        <v>294</v>
      </c>
      <c r="F808" s="11" t="s">
        <v>225</v>
      </c>
      <c r="G808" s="12" t="s">
        <v>342</v>
      </c>
      <c r="H808" s="13" t="s">
        <v>216</v>
      </c>
      <c r="I808" s="14">
        <v>8</v>
      </c>
      <c r="J808" s="14" t="s">
        <v>10</v>
      </c>
      <c r="K808" s="5" t="s">
        <v>2013</v>
      </c>
      <c r="L808" s="6">
        <v>0.54166666666666663</v>
      </c>
      <c r="M808" s="7" t="s">
        <v>2014</v>
      </c>
      <c r="N808" s="14" t="s">
        <v>11</v>
      </c>
      <c r="O808" s="14">
        <v>7</v>
      </c>
      <c r="P808" s="13" t="s">
        <v>216</v>
      </c>
      <c r="Q808" s="12" t="s">
        <v>297</v>
      </c>
      <c r="R808" s="11" t="s">
        <v>216</v>
      </c>
      <c r="S808" s="10" t="s">
        <v>842</v>
      </c>
      <c r="T808" s="8">
        <v>0.71</v>
      </c>
      <c r="U808" s="15">
        <v>0.56999999999999995</v>
      </c>
      <c r="V808" s="8">
        <v>0.43</v>
      </c>
      <c r="W808" s="17"/>
      <c r="X808" s="65">
        <v>46250</v>
      </c>
    </row>
    <row r="809" spans="1:24" ht="13.8" thickBot="1" x14ac:dyDescent="0.3">
      <c r="A809" s="4" t="s">
        <v>92</v>
      </c>
      <c r="B809" s="8">
        <v>0</v>
      </c>
      <c r="C809" s="9">
        <v>0.28999999999999998</v>
      </c>
      <c r="D809" s="8">
        <v>0.56999999999999995</v>
      </c>
      <c r="E809" s="10" t="s">
        <v>882</v>
      </c>
      <c r="F809" s="11" t="s">
        <v>350</v>
      </c>
      <c r="G809" s="12" t="s">
        <v>352</v>
      </c>
      <c r="H809" s="13" t="s">
        <v>216</v>
      </c>
      <c r="I809" s="14">
        <v>7</v>
      </c>
      <c r="J809" s="14" t="s">
        <v>10</v>
      </c>
      <c r="K809" s="5" t="s">
        <v>2015</v>
      </c>
      <c r="L809" s="6">
        <v>0.54166666666666663</v>
      </c>
      <c r="M809" s="7" t="s">
        <v>2016</v>
      </c>
      <c r="N809" s="14" t="s">
        <v>11</v>
      </c>
      <c r="O809" s="14">
        <v>8</v>
      </c>
      <c r="P809" s="13" t="s">
        <v>222</v>
      </c>
      <c r="Q809" s="12" t="s">
        <v>221</v>
      </c>
      <c r="R809" s="11" t="s">
        <v>296</v>
      </c>
      <c r="S809" s="10" t="s">
        <v>239</v>
      </c>
      <c r="T809" s="8">
        <v>0.62</v>
      </c>
      <c r="U809" s="15">
        <v>0.62</v>
      </c>
      <c r="V809" s="8">
        <v>0.25</v>
      </c>
      <c r="W809" s="17"/>
      <c r="X809" s="65">
        <v>46250</v>
      </c>
    </row>
    <row r="810" spans="1:24" ht="13.8" thickBot="1" x14ac:dyDescent="0.3">
      <c r="A810" s="4" t="s">
        <v>92</v>
      </c>
      <c r="B810" s="8">
        <v>0.14000000000000001</v>
      </c>
      <c r="C810" s="15">
        <v>0.56999999999999995</v>
      </c>
      <c r="D810" s="8">
        <v>0.86</v>
      </c>
      <c r="E810" s="10" t="s">
        <v>350</v>
      </c>
      <c r="F810" s="11" t="s">
        <v>842</v>
      </c>
      <c r="G810" s="12" t="s">
        <v>1381</v>
      </c>
      <c r="H810" s="13" t="s">
        <v>352</v>
      </c>
      <c r="I810" s="14">
        <v>7</v>
      </c>
      <c r="J810" s="14" t="s">
        <v>10</v>
      </c>
      <c r="K810" s="5" t="s">
        <v>195</v>
      </c>
      <c r="L810" s="6">
        <v>0.63541666666666663</v>
      </c>
      <c r="M810" s="7" t="s">
        <v>2017</v>
      </c>
      <c r="N810" s="14" t="s">
        <v>11</v>
      </c>
      <c r="O810" s="14">
        <v>8</v>
      </c>
      <c r="P810" s="13" t="s">
        <v>247</v>
      </c>
      <c r="Q810" s="12" t="s">
        <v>221</v>
      </c>
      <c r="R810" s="11" t="s">
        <v>237</v>
      </c>
      <c r="S810" s="10" t="s">
        <v>236</v>
      </c>
      <c r="T810" s="8">
        <v>0.88</v>
      </c>
      <c r="U810" s="9">
        <v>0.5</v>
      </c>
      <c r="V810" s="8">
        <v>0.12</v>
      </c>
      <c r="W810" s="17"/>
      <c r="X810" s="65">
        <v>46250</v>
      </c>
    </row>
    <row r="811" spans="1:24" ht="13.8" thickBot="1" x14ac:dyDescent="0.3">
      <c r="A811" s="4" t="s">
        <v>92</v>
      </c>
      <c r="B811" s="8">
        <v>0.22</v>
      </c>
      <c r="C811" s="15">
        <v>0.56000000000000005</v>
      </c>
      <c r="D811" s="8">
        <v>0.67</v>
      </c>
      <c r="E811" s="10" t="s">
        <v>217</v>
      </c>
      <c r="F811" s="11" t="s">
        <v>343</v>
      </c>
      <c r="G811" s="12" t="s">
        <v>341</v>
      </c>
      <c r="H811" s="13" t="s">
        <v>333</v>
      </c>
      <c r="I811" s="14">
        <v>9</v>
      </c>
      <c r="J811" s="14" t="s">
        <v>10</v>
      </c>
      <c r="K811" s="5" t="s">
        <v>2018</v>
      </c>
      <c r="L811" s="6">
        <v>0.54166666666666663</v>
      </c>
      <c r="M811" s="7" t="s">
        <v>2019</v>
      </c>
      <c r="N811" s="14" t="s">
        <v>11</v>
      </c>
      <c r="O811" s="14">
        <v>9</v>
      </c>
      <c r="P811" s="13" t="s">
        <v>344</v>
      </c>
      <c r="Q811" s="12" t="s">
        <v>323</v>
      </c>
      <c r="R811" s="11" t="s">
        <v>333</v>
      </c>
      <c r="S811" s="10" t="s">
        <v>284</v>
      </c>
      <c r="T811" s="8">
        <v>0.78</v>
      </c>
      <c r="U811" s="15">
        <v>0.67</v>
      </c>
      <c r="V811" s="8">
        <v>0.56000000000000005</v>
      </c>
      <c r="W811" s="17"/>
      <c r="X811" s="65">
        <v>46250</v>
      </c>
    </row>
    <row r="812" spans="1:24" ht="13.8" thickBot="1" x14ac:dyDescent="0.3">
      <c r="A812" s="4" t="s">
        <v>92</v>
      </c>
      <c r="B812" s="8">
        <v>0.38</v>
      </c>
      <c r="C812" s="15">
        <v>0.75</v>
      </c>
      <c r="D812" s="8">
        <v>0.88</v>
      </c>
      <c r="E812" s="10" t="s">
        <v>220</v>
      </c>
      <c r="F812" s="11" t="s">
        <v>236</v>
      </c>
      <c r="G812" s="12" t="s">
        <v>342</v>
      </c>
      <c r="H812" s="13" t="s">
        <v>216</v>
      </c>
      <c r="I812" s="14">
        <v>8</v>
      </c>
      <c r="J812" s="14" t="s">
        <v>10</v>
      </c>
      <c r="K812" s="5" t="s">
        <v>2020</v>
      </c>
      <c r="L812" s="6">
        <v>0.54166666666666663</v>
      </c>
      <c r="M812" s="7" t="s">
        <v>2021</v>
      </c>
      <c r="N812" s="14" t="s">
        <v>11</v>
      </c>
      <c r="O812" s="14">
        <v>8</v>
      </c>
      <c r="P812" s="13" t="s">
        <v>296</v>
      </c>
      <c r="Q812" s="12" t="s">
        <v>1149</v>
      </c>
      <c r="R812" s="11" t="s">
        <v>220</v>
      </c>
      <c r="S812" s="10" t="s">
        <v>225</v>
      </c>
      <c r="T812" s="8">
        <v>0.75</v>
      </c>
      <c r="U812" s="15">
        <v>0.62</v>
      </c>
      <c r="V812" s="8">
        <v>0.5</v>
      </c>
      <c r="W812" s="17"/>
      <c r="X812" s="65">
        <v>46250</v>
      </c>
    </row>
    <row r="813" spans="1:24" ht="13.8" thickBot="1" x14ac:dyDescent="0.3">
      <c r="A813" s="4" t="s">
        <v>92</v>
      </c>
      <c r="B813" s="8">
        <v>0.62</v>
      </c>
      <c r="C813" s="15">
        <v>1</v>
      </c>
      <c r="D813" s="8">
        <v>1</v>
      </c>
      <c r="E813" s="10" t="s">
        <v>239</v>
      </c>
      <c r="F813" s="11" t="s">
        <v>218</v>
      </c>
      <c r="G813" s="12" t="s">
        <v>1161</v>
      </c>
      <c r="H813" s="13" t="s">
        <v>295</v>
      </c>
      <c r="I813" s="14">
        <v>8</v>
      </c>
      <c r="J813" s="14" t="s">
        <v>10</v>
      </c>
      <c r="K813" s="5" t="s">
        <v>2022</v>
      </c>
      <c r="L813" s="6">
        <v>0.54166666666666663</v>
      </c>
      <c r="M813" s="7" t="s">
        <v>2023</v>
      </c>
      <c r="N813" s="14" t="s">
        <v>11</v>
      </c>
      <c r="O813" s="14">
        <v>9</v>
      </c>
      <c r="P813" s="13" t="s">
        <v>216</v>
      </c>
      <c r="Q813" s="12" t="s">
        <v>2024</v>
      </c>
      <c r="R813" s="11" t="s">
        <v>833</v>
      </c>
      <c r="S813" s="10" t="s">
        <v>839</v>
      </c>
      <c r="T813" s="8">
        <v>1</v>
      </c>
      <c r="U813" s="15">
        <v>0.89</v>
      </c>
      <c r="V813" s="8">
        <v>0.89</v>
      </c>
      <c r="W813" s="17"/>
      <c r="X813" s="65">
        <v>46250</v>
      </c>
    </row>
    <row r="814" spans="1:24" ht="13.8" thickBot="1" x14ac:dyDescent="0.3">
      <c r="A814" s="4" t="s">
        <v>92</v>
      </c>
      <c r="B814" s="8">
        <v>0.38</v>
      </c>
      <c r="C814" s="9">
        <v>0.5</v>
      </c>
      <c r="D814" s="8">
        <v>0.75</v>
      </c>
      <c r="E814" s="10" t="s">
        <v>220</v>
      </c>
      <c r="F814" s="11" t="s">
        <v>220</v>
      </c>
      <c r="G814" s="12" t="s">
        <v>218</v>
      </c>
      <c r="H814" s="13" t="s">
        <v>293</v>
      </c>
      <c r="I814" s="14">
        <v>8</v>
      </c>
      <c r="J814" s="14" t="s">
        <v>10</v>
      </c>
      <c r="K814" s="5" t="s">
        <v>2025</v>
      </c>
      <c r="L814" s="6">
        <v>0.54166666666666663</v>
      </c>
      <c r="M814" s="7" t="s">
        <v>2026</v>
      </c>
      <c r="N814" s="14" t="s">
        <v>11</v>
      </c>
      <c r="O814" s="14">
        <v>8</v>
      </c>
      <c r="P814" s="13" t="s">
        <v>925</v>
      </c>
      <c r="Q814" s="12" t="s">
        <v>342</v>
      </c>
      <c r="R814" s="11" t="s">
        <v>237</v>
      </c>
      <c r="S814" s="10" t="s">
        <v>330</v>
      </c>
      <c r="T814" s="8">
        <v>0.75</v>
      </c>
      <c r="U814" s="9">
        <v>0.5</v>
      </c>
      <c r="V814" s="8">
        <v>0.5</v>
      </c>
      <c r="W814" s="17"/>
      <c r="X814" s="65">
        <v>46250</v>
      </c>
    </row>
    <row r="815" spans="1:24" ht="13.8" thickBot="1" x14ac:dyDescent="0.3">
      <c r="A815" s="4" t="s">
        <v>92</v>
      </c>
      <c r="B815" s="8">
        <v>0.62</v>
      </c>
      <c r="C815" s="15">
        <v>0.75</v>
      </c>
      <c r="D815" s="8">
        <v>1</v>
      </c>
      <c r="E815" s="10" t="s">
        <v>216</v>
      </c>
      <c r="F815" s="11" t="s">
        <v>225</v>
      </c>
      <c r="G815" s="12" t="s">
        <v>1151</v>
      </c>
      <c r="H815" s="13" t="s">
        <v>239</v>
      </c>
      <c r="I815" s="14">
        <v>8</v>
      </c>
      <c r="J815" s="14" t="s">
        <v>10</v>
      </c>
      <c r="K815" s="5" t="s">
        <v>2027</v>
      </c>
      <c r="L815" s="6">
        <v>0.54166666666666663</v>
      </c>
      <c r="M815" s="7" t="s">
        <v>2028</v>
      </c>
      <c r="N815" s="14" t="s">
        <v>11</v>
      </c>
      <c r="O815" s="14">
        <v>8</v>
      </c>
      <c r="P815" s="13" t="s">
        <v>296</v>
      </c>
      <c r="Q815" s="12" t="s">
        <v>218</v>
      </c>
      <c r="R815" s="11" t="s">
        <v>294</v>
      </c>
      <c r="S815" s="10" t="s">
        <v>236</v>
      </c>
      <c r="T815" s="8">
        <v>1</v>
      </c>
      <c r="U815" s="9">
        <v>0.38</v>
      </c>
      <c r="V815" s="8">
        <v>0.25</v>
      </c>
      <c r="W815" s="17"/>
      <c r="X815" s="65">
        <v>46250</v>
      </c>
    </row>
    <row r="816" spans="1:24" ht="13.8" thickBot="1" x14ac:dyDescent="0.3">
      <c r="A816" s="4" t="s">
        <v>92</v>
      </c>
      <c r="B816" s="8">
        <v>0.71</v>
      </c>
      <c r="C816" s="15">
        <v>0.71</v>
      </c>
      <c r="D816" s="8">
        <v>0.71</v>
      </c>
      <c r="E816" s="10" t="s">
        <v>1381</v>
      </c>
      <c r="F816" s="11" t="s">
        <v>929</v>
      </c>
      <c r="G816" s="12" t="s">
        <v>1384</v>
      </c>
      <c r="H816" s="13" t="s">
        <v>292</v>
      </c>
      <c r="I816" s="14">
        <v>7</v>
      </c>
      <c r="J816" s="14" t="s">
        <v>10</v>
      </c>
      <c r="K816" s="5" t="s">
        <v>1547</v>
      </c>
      <c r="L816" s="6">
        <v>0.41666666666666669</v>
      </c>
      <c r="M816" s="7" t="s">
        <v>2029</v>
      </c>
      <c r="N816" s="14" t="s">
        <v>11</v>
      </c>
      <c r="O816" s="14">
        <v>8</v>
      </c>
      <c r="P816" s="13" t="s">
        <v>295</v>
      </c>
      <c r="Q816" s="12" t="s">
        <v>342</v>
      </c>
      <c r="R816" s="11" t="s">
        <v>225</v>
      </c>
      <c r="S816" s="10" t="s">
        <v>294</v>
      </c>
      <c r="T816" s="8">
        <v>0.88</v>
      </c>
      <c r="U816" s="15">
        <v>0.88</v>
      </c>
      <c r="V816" s="8">
        <v>0.5</v>
      </c>
      <c r="W816" s="17"/>
      <c r="X816" s="65">
        <v>46250</v>
      </c>
    </row>
    <row r="817" spans="1:24" ht="19.8" thickBot="1" x14ac:dyDescent="0.3">
      <c r="A817" s="4" t="s">
        <v>92</v>
      </c>
      <c r="B817" s="8">
        <v>0.12</v>
      </c>
      <c r="C817" s="9">
        <v>0.38</v>
      </c>
      <c r="D817" s="8">
        <v>0.62</v>
      </c>
      <c r="E817" s="10" t="s">
        <v>286</v>
      </c>
      <c r="F817" s="11" t="s">
        <v>296</v>
      </c>
      <c r="G817" s="12" t="s">
        <v>225</v>
      </c>
      <c r="H817" s="13" t="s">
        <v>217</v>
      </c>
      <c r="I817" s="14">
        <v>8</v>
      </c>
      <c r="J817" s="14" t="s">
        <v>10</v>
      </c>
      <c r="K817" s="5" t="s">
        <v>2030</v>
      </c>
      <c r="L817" s="6">
        <v>0.4375</v>
      </c>
      <c r="M817" s="7" t="s">
        <v>2031</v>
      </c>
      <c r="N817" s="14" t="s">
        <v>11</v>
      </c>
      <c r="O817" s="14">
        <v>7</v>
      </c>
      <c r="P817" s="13" t="s">
        <v>291</v>
      </c>
      <c r="Q817" s="12" t="s">
        <v>928</v>
      </c>
      <c r="R817" s="11" t="s">
        <v>929</v>
      </c>
      <c r="S817" s="10" t="s">
        <v>217</v>
      </c>
      <c r="T817" s="8">
        <v>0.71</v>
      </c>
      <c r="U817" s="15">
        <v>0.56999999999999995</v>
      </c>
      <c r="V817" s="8">
        <v>0.28999999999999998</v>
      </c>
      <c r="W817" s="17"/>
      <c r="X817" s="65">
        <v>46250</v>
      </c>
    </row>
    <row r="818" spans="1:24" ht="13.8" thickBot="1" x14ac:dyDescent="0.3">
      <c r="A818" s="4" t="s">
        <v>92</v>
      </c>
      <c r="B818" s="8">
        <v>0.56999999999999995</v>
      </c>
      <c r="C818" s="15">
        <v>0.86</v>
      </c>
      <c r="D818" s="8">
        <v>0.86</v>
      </c>
      <c r="E818" s="10" t="s">
        <v>350</v>
      </c>
      <c r="F818" s="11" t="s">
        <v>354</v>
      </c>
      <c r="G818" s="12" t="s">
        <v>921</v>
      </c>
      <c r="H818" s="13" t="s">
        <v>842</v>
      </c>
      <c r="I818" s="14">
        <v>7</v>
      </c>
      <c r="J818" s="14" t="s">
        <v>10</v>
      </c>
      <c r="K818" s="5" t="s">
        <v>2032</v>
      </c>
      <c r="L818" s="6">
        <v>0.5</v>
      </c>
      <c r="M818" s="7" t="s">
        <v>2033</v>
      </c>
      <c r="N818" s="14" t="s">
        <v>11</v>
      </c>
      <c r="O818" s="14">
        <v>7</v>
      </c>
      <c r="P818" s="13" t="s">
        <v>916</v>
      </c>
      <c r="Q818" s="12" t="s">
        <v>928</v>
      </c>
      <c r="R818" s="11" t="s">
        <v>290</v>
      </c>
      <c r="S818" s="10" t="s">
        <v>842</v>
      </c>
      <c r="T818" s="8">
        <v>0.71</v>
      </c>
      <c r="U818" s="9">
        <v>0.43</v>
      </c>
      <c r="V818" s="8">
        <v>0.28999999999999998</v>
      </c>
      <c r="W818" s="17"/>
      <c r="X818" s="65">
        <v>46250</v>
      </c>
    </row>
    <row r="819" spans="1:24" ht="13.8" thickBot="1" x14ac:dyDescent="0.3">
      <c r="A819" s="4" t="s">
        <v>92</v>
      </c>
      <c r="B819" s="8">
        <v>0.38</v>
      </c>
      <c r="C819" s="15">
        <v>0.62</v>
      </c>
      <c r="D819" s="8">
        <v>0.88</v>
      </c>
      <c r="E819" s="10" t="s">
        <v>216</v>
      </c>
      <c r="F819" s="11" t="s">
        <v>294</v>
      </c>
      <c r="G819" s="12" t="s">
        <v>332</v>
      </c>
      <c r="H819" s="13" t="s">
        <v>247</v>
      </c>
      <c r="I819" s="14">
        <v>8</v>
      </c>
      <c r="J819" s="14" t="s">
        <v>10</v>
      </c>
      <c r="K819" s="5" t="s">
        <v>2034</v>
      </c>
      <c r="L819" s="6">
        <v>0.375</v>
      </c>
      <c r="M819" s="7" t="s">
        <v>2035</v>
      </c>
      <c r="N819" s="14" t="s">
        <v>11</v>
      </c>
      <c r="O819" s="14">
        <v>7</v>
      </c>
      <c r="P819" s="13" t="s">
        <v>217</v>
      </c>
      <c r="Q819" s="12" t="s">
        <v>1384</v>
      </c>
      <c r="R819" s="11" t="s">
        <v>352</v>
      </c>
      <c r="S819" s="10" t="s">
        <v>354</v>
      </c>
      <c r="T819" s="8">
        <v>1</v>
      </c>
      <c r="U819" s="15">
        <v>1</v>
      </c>
      <c r="V819" s="8">
        <v>0.56999999999999995</v>
      </c>
      <c r="W819" s="17"/>
      <c r="X819" s="65">
        <v>46250</v>
      </c>
    </row>
    <row r="820" spans="1:24" ht="13.8" thickBot="1" x14ac:dyDescent="0.3">
      <c r="A820" s="4" t="s">
        <v>92</v>
      </c>
      <c r="B820" s="8">
        <v>0.56999999999999995</v>
      </c>
      <c r="C820" s="15">
        <v>1</v>
      </c>
      <c r="D820" s="8">
        <v>1</v>
      </c>
      <c r="E820" s="10" t="s">
        <v>922</v>
      </c>
      <c r="F820" s="11" t="s">
        <v>352</v>
      </c>
      <c r="G820" s="12" t="s">
        <v>2036</v>
      </c>
      <c r="H820" s="13" t="s">
        <v>292</v>
      </c>
      <c r="I820" s="14">
        <v>7</v>
      </c>
      <c r="J820" s="14" t="s">
        <v>10</v>
      </c>
      <c r="K820" s="5" t="s">
        <v>2037</v>
      </c>
      <c r="L820" s="6">
        <v>0.41666666666666669</v>
      </c>
      <c r="M820" s="7" t="s">
        <v>2038</v>
      </c>
      <c r="N820" s="14" t="s">
        <v>11</v>
      </c>
      <c r="O820" s="14">
        <v>8</v>
      </c>
      <c r="P820" s="13" t="s">
        <v>347</v>
      </c>
      <c r="Q820" s="12" t="s">
        <v>1149</v>
      </c>
      <c r="R820" s="11" t="s">
        <v>217</v>
      </c>
      <c r="S820" s="10" t="s">
        <v>330</v>
      </c>
      <c r="T820" s="8">
        <v>0.88</v>
      </c>
      <c r="U820" s="15">
        <v>0.88</v>
      </c>
      <c r="V820" s="8">
        <v>0.38</v>
      </c>
      <c r="W820" s="17"/>
      <c r="X820" s="65">
        <v>46250</v>
      </c>
    </row>
    <row r="821" spans="1:24" ht="13.8" thickBot="1" x14ac:dyDescent="0.3">
      <c r="A821" s="4" t="s">
        <v>92</v>
      </c>
      <c r="B821" s="8">
        <v>0.43</v>
      </c>
      <c r="C821" s="15">
        <v>0.71</v>
      </c>
      <c r="D821" s="8">
        <v>0.86</v>
      </c>
      <c r="E821" s="10" t="s">
        <v>352</v>
      </c>
      <c r="F821" s="11" t="s">
        <v>849</v>
      </c>
      <c r="G821" s="12" t="s">
        <v>2039</v>
      </c>
      <c r="H821" s="13" t="s">
        <v>842</v>
      </c>
      <c r="I821" s="14">
        <v>7</v>
      </c>
      <c r="J821" s="14" t="s">
        <v>10</v>
      </c>
      <c r="K821" s="5" t="s">
        <v>2040</v>
      </c>
      <c r="L821" s="6">
        <v>0.45833333333333331</v>
      </c>
      <c r="M821" s="7" t="s">
        <v>2041</v>
      </c>
      <c r="N821" s="14" t="s">
        <v>11</v>
      </c>
      <c r="O821" s="14">
        <v>8</v>
      </c>
      <c r="P821" s="13" t="s">
        <v>225</v>
      </c>
      <c r="Q821" s="12" t="s">
        <v>346</v>
      </c>
      <c r="R821" s="11" t="s">
        <v>236</v>
      </c>
      <c r="S821" s="10" t="s">
        <v>286</v>
      </c>
      <c r="T821" s="8">
        <v>0.75</v>
      </c>
      <c r="U821" s="15">
        <v>0.62</v>
      </c>
      <c r="V821" s="8">
        <v>0.5</v>
      </c>
      <c r="W821" s="17"/>
      <c r="X821" s="65">
        <v>46250</v>
      </c>
    </row>
    <row r="822" spans="1:24" ht="19.8" thickBot="1" x14ac:dyDescent="0.3">
      <c r="A822" s="4" t="s">
        <v>92</v>
      </c>
      <c r="B822" s="8">
        <v>0.14000000000000001</v>
      </c>
      <c r="C822" s="15">
        <v>0.56999999999999995</v>
      </c>
      <c r="D822" s="8">
        <v>0.86</v>
      </c>
      <c r="E822" s="10" t="s">
        <v>842</v>
      </c>
      <c r="F822" s="11" t="s">
        <v>842</v>
      </c>
      <c r="G822" s="12" t="s">
        <v>922</v>
      </c>
      <c r="H822" s="13" t="s">
        <v>350</v>
      </c>
      <c r="I822" s="14">
        <v>7</v>
      </c>
      <c r="J822" s="14" t="s">
        <v>10</v>
      </c>
      <c r="K822" s="5" t="s">
        <v>2042</v>
      </c>
      <c r="L822" s="6">
        <v>0.47916666666666669</v>
      </c>
      <c r="M822" s="7" t="s">
        <v>2043</v>
      </c>
      <c r="N822" s="14" t="s">
        <v>11</v>
      </c>
      <c r="O822" s="14">
        <v>7</v>
      </c>
      <c r="P822" s="13" t="s">
        <v>352</v>
      </c>
      <c r="Q822" s="12" t="s">
        <v>1384</v>
      </c>
      <c r="R822" s="11" t="s">
        <v>928</v>
      </c>
      <c r="S822" s="10" t="s">
        <v>916</v>
      </c>
      <c r="T822" s="8">
        <v>1</v>
      </c>
      <c r="U822" s="15">
        <v>1</v>
      </c>
      <c r="V822" s="8">
        <v>0.71</v>
      </c>
      <c r="W822" s="17"/>
      <c r="X822" s="65">
        <v>46250</v>
      </c>
    </row>
    <row r="823" spans="1:24" ht="13.8" thickBot="1" x14ac:dyDescent="0.3">
      <c r="A823" s="4" t="s">
        <v>92</v>
      </c>
      <c r="B823" s="8">
        <v>0.28999999999999998</v>
      </c>
      <c r="C823" s="15">
        <v>0.56999999999999995</v>
      </c>
      <c r="D823" s="8">
        <v>0.56999999999999995</v>
      </c>
      <c r="E823" s="10" t="s">
        <v>217</v>
      </c>
      <c r="F823" s="11" t="s">
        <v>916</v>
      </c>
      <c r="G823" s="12" t="s">
        <v>1381</v>
      </c>
      <c r="H823" s="13" t="s">
        <v>352</v>
      </c>
      <c r="I823" s="14">
        <v>7</v>
      </c>
      <c r="J823" s="14" t="s">
        <v>10</v>
      </c>
      <c r="K823" s="5" t="s">
        <v>2044</v>
      </c>
      <c r="L823" s="6">
        <v>0.54166666666666663</v>
      </c>
      <c r="M823" s="7" t="s">
        <v>2045</v>
      </c>
      <c r="N823" s="14" t="s">
        <v>11</v>
      </c>
      <c r="O823" s="14">
        <v>7</v>
      </c>
      <c r="P823" s="13" t="s">
        <v>842</v>
      </c>
      <c r="Q823" s="12" t="s">
        <v>2046</v>
      </c>
      <c r="R823" s="11" t="s">
        <v>916</v>
      </c>
      <c r="S823" s="10" t="s">
        <v>849</v>
      </c>
      <c r="T823" s="8">
        <v>1</v>
      </c>
      <c r="U823" s="15">
        <v>0.86</v>
      </c>
      <c r="V823" s="8">
        <v>0.43</v>
      </c>
      <c r="W823" s="17"/>
      <c r="X823" s="65">
        <v>46250</v>
      </c>
    </row>
    <row r="824" spans="1:24" ht="13.8" thickBot="1" x14ac:dyDescent="0.3">
      <c r="A824" s="4" t="s">
        <v>92</v>
      </c>
      <c r="B824" s="8">
        <v>0.62</v>
      </c>
      <c r="C824" s="15">
        <v>0.88</v>
      </c>
      <c r="D824" s="8">
        <v>0.88</v>
      </c>
      <c r="E824" s="10" t="s">
        <v>220</v>
      </c>
      <c r="F824" s="11" t="s">
        <v>225</v>
      </c>
      <c r="G824" s="12" t="s">
        <v>1149</v>
      </c>
      <c r="H824" s="13" t="s">
        <v>225</v>
      </c>
      <c r="I824" s="14">
        <v>8</v>
      </c>
      <c r="J824" s="14" t="s">
        <v>10</v>
      </c>
      <c r="K824" s="5" t="s">
        <v>2047</v>
      </c>
      <c r="L824" s="6">
        <v>0.54166666666666663</v>
      </c>
      <c r="M824" s="7" t="s">
        <v>2048</v>
      </c>
      <c r="N824" s="14" t="s">
        <v>11</v>
      </c>
      <c r="O824" s="14">
        <v>7</v>
      </c>
      <c r="P824" s="13" t="s">
        <v>353</v>
      </c>
      <c r="Q824" s="12" t="s">
        <v>928</v>
      </c>
      <c r="R824" s="11" t="s">
        <v>353</v>
      </c>
      <c r="S824" s="10" t="s">
        <v>291</v>
      </c>
      <c r="T824" s="8">
        <v>0.86</v>
      </c>
      <c r="U824" s="15">
        <v>0.56999999999999995</v>
      </c>
      <c r="V824" s="8">
        <v>0.14000000000000001</v>
      </c>
      <c r="W824" s="17"/>
      <c r="X824" s="65">
        <v>46250</v>
      </c>
    </row>
    <row r="825" spans="1:24" ht="19.8" thickBot="1" x14ac:dyDescent="0.3">
      <c r="A825" s="4" t="s">
        <v>336</v>
      </c>
      <c r="B825" s="8">
        <v>0</v>
      </c>
      <c r="C825" s="15">
        <v>1</v>
      </c>
      <c r="D825" s="8">
        <v>1</v>
      </c>
      <c r="E825" s="10" t="s">
        <v>217</v>
      </c>
      <c r="F825" s="11" t="s">
        <v>216</v>
      </c>
      <c r="G825" s="12" t="s">
        <v>218</v>
      </c>
      <c r="H825" s="13" t="s">
        <v>220</v>
      </c>
      <c r="I825" s="14">
        <v>2</v>
      </c>
      <c r="J825" s="14" t="s">
        <v>10</v>
      </c>
      <c r="K825" s="5" t="s">
        <v>2049</v>
      </c>
      <c r="L825" s="6">
        <v>0.45833333333333331</v>
      </c>
      <c r="M825" s="7" t="s">
        <v>764</v>
      </c>
      <c r="N825" s="14" t="s">
        <v>11</v>
      </c>
      <c r="O825" s="14">
        <v>2</v>
      </c>
      <c r="P825" s="13" t="s">
        <v>247</v>
      </c>
      <c r="Q825" s="12" t="s">
        <v>221</v>
      </c>
      <c r="R825" s="11" t="s">
        <v>247</v>
      </c>
      <c r="S825" s="10" t="s">
        <v>216</v>
      </c>
      <c r="T825" s="8">
        <v>1</v>
      </c>
      <c r="U825" s="9">
        <v>0.5</v>
      </c>
      <c r="V825" s="8">
        <v>0</v>
      </c>
      <c r="W825" s="17"/>
      <c r="X825" s="65">
        <v>46250</v>
      </c>
    </row>
    <row r="826" spans="1:24" ht="13.8" thickBot="1" x14ac:dyDescent="0.3">
      <c r="A826" s="4" t="s">
        <v>336</v>
      </c>
      <c r="B826" s="8">
        <v>1</v>
      </c>
      <c r="C826" s="15">
        <v>1</v>
      </c>
      <c r="D826" s="8">
        <v>1</v>
      </c>
      <c r="E826" s="10" t="s">
        <v>226</v>
      </c>
      <c r="F826" s="11" t="s">
        <v>217</v>
      </c>
      <c r="G826" s="12" t="s">
        <v>278</v>
      </c>
      <c r="H826" s="13" t="s">
        <v>219</v>
      </c>
      <c r="I826" s="14">
        <v>1</v>
      </c>
      <c r="J826" s="14" t="s">
        <v>10</v>
      </c>
      <c r="K826" s="5" t="s">
        <v>2050</v>
      </c>
      <c r="L826" s="6">
        <v>0.70833333333333337</v>
      </c>
      <c r="M826" s="7" t="s">
        <v>1007</v>
      </c>
      <c r="N826" s="14" t="s">
        <v>11</v>
      </c>
      <c r="O826" s="14">
        <v>2</v>
      </c>
      <c r="P826" s="13" t="s">
        <v>220</v>
      </c>
      <c r="Q826" s="12" t="s">
        <v>216</v>
      </c>
      <c r="R826" s="11" t="s">
        <v>217</v>
      </c>
      <c r="S826" s="10" t="s">
        <v>217</v>
      </c>
      <c r="T826" s="8">
        <v>0.5</v>
      </c>
      <c r="U826" s="9">
        <v>0.5</v>
      </c>
      <c r="V826" s="8">
        <v>0</v>
      </c>
      <c r="W826" s="17"/>
      <c r="X826" s="65">
        <v>46250</v>
      </c>
    </row>
    <row r="827" spans="1:24" ht="13.8" thickBot="1" x14ac:dyDescent="0.3">
      <c r="A827" s="4" t="s">
        <v>336</v>
      </c>
      <c r="B827" s="8">
        <v>0.5</v>
      </c>
      <c r="C827" s="9">
        <v>0.5</v>
      </c>
      <c r="D827" s="8">
        <v>0.5</v>
      </c>
      <c r="E827" s="10" t="s">
        <v>247</v>
      </c>
      <c r="F827" s="11" t="s">
        <v>221</v>
      </c>
      <c r="G827" s="12" t="s">
        <v>218</v>
      </c>
      <c r="H827" s="13" t="s">
        <v>220</v>
      </c>
      <c r="I827" s="14">
        <v>2</v>
      </c>
      <c r="J827" s="14" t="s">
        <v>10</v>
      </c>
      <c r="K827" s="5" t="s">
        <v>2051</v>
      </c>
      <c r="L827" s="6">
        <v>0.8125</v>
      </c>
      <c r="M827" s="7" t="s">
        <v>2052</v>
      </c>
      <c r="N827" s="14" t="s">
        <v>11</v>
      </c>
      <c r="O827" s="14">
        <v>1</v>
      </c>
      <c r="P827" s="13" t="s">
        <v>217</v>
      </c>
      <c r="Q827" s="12" t="s">
        <v>216</v>
      </c>
      <c r="R827" s="11" t="s">
        <v>217</v>
      </c>
      <c r="S827" s="10" t="s">
        <v>217</v>
      </c>
      <c r="T827" s="8">
        <v>1</v>
      </c>
      <c r="U827" s="9">
        <v>0</v>
      </c>
      <c r="V827" s="8">
        <v>0</v>
      </c>
      <c r="W827" s="17"/>
      <c r="X827" s="65">
        <v>46250</v>
      </c>
    </row>
    <row r="828" spans="1:24" ht="13.8" thickBot="1" x14ac:dyDescent="0.3">
      <c r="A828" s="4" t="s">
        <v>337</v>
      </c>
      <c r="B828" s="8">
        <v>0</v>
      </c>
      <c r="C828" s="15">
        <v>1</v>
      </c>
      <c r="D828" s="8">
        <v>1</v>
      </c>
      <c r="E828" s="10" t="s">
        <v>216</v>
      </c>
      <c r="F828" s="11" t="s">
        <v>217</v>
      </c>
      <c r="G828" s="12" t="s">
        <v>218</v>
      </c>
      <c r="H828" s="13" t="s">
        <v>219</v>
      </c>
      <c r="I828" s="14">
        <v>1</v>
      </c>
      <c r="J828" s="14" t="s">
        <v>10</v>
      </c>
      <c r="K828" s="5" t="s">
        <v>2053</v>
      </c>
      <c r="L828" s="6">
        <v>0.44791666666666669</v>
      </c>
      <c r="M828" s="7" t="s">
        <v>2054</v>
      </c>
      <c r="N828" s="14" t="s">
        <v>11</v>
      </c>
      <c r="O828" s="14">
        <v>1</v>
      </c>
      <c r="P828" s="13" t="s">
        <v>219</v>
      </c>
      <c r="Q828" s="12" t="s">
        <v>218</v>
      </c>
      <c r="R828" s="11" t="s">
        <v>217</v>
      </c>
      <c r="S828" s="10" t="s">
        <v>216</v>
      </c>
      <c r="T828" s="8">
        <v>1</v>
      </c>
      <c r="U828" s="15">
        <v>1</v>
      </c>
      <c r="V828" s="8">
        <v>0</v>
      </c>
      <c r="W828" s="17"/>
      <c r="X828" s="65">
        <v>46250</v>
      </c>
    </row>
    <row r="829" spans="1:24" ht="19.8" thickBot="1" x14ac:dyDescent="0.3">
      <c r="A829" s="4" t="s">
        <v>337</v>
      </c>
      <c r="B829" s="8">
        <v>0</v>
      </c>
      <c r="C829" s="9">
        <v>0</v>
      </c>
      <c r="D829" s="8">
        <v>1</v>
      </c>
      <c r="E829" s="10" t="s">
        <v>216</v>
      </c>
      <c r="F829" s="11" t="s">
        <v>219</v>
      </c>
      <c r="G829" s="12" t="s">
        <v>216</v>
      </c>
      <c r="H829" s="13" t="s">
        <v>219</v>
      </c>
      <c r="I829" s="14">
        <v>1</v>
      </c>
      <c r="J829" s="14" t="s">
        <v>10</v>
      </c>
      <c r="K829" s="5" t="s">
        <v>2055</v>
      </c>
      <c r="L829" s="6">
        <v>0.5625</v>
      </c>
      <c r="M829" s="7" t="s">
        <v>2056</v>
      </c>
      <c r="N829" s="14" t="s">
        <v>11</v>
      </c>
      <c r="O829" s="14">
        <v>1</v>
      </c>
      <c r="P829" s="13" t="s">
        <v>219</v>
      </c>
      <c r="Q829" s="12" t="s">
        <v>218</v>
      </c>
      <c r="R829" s="11" t="s">
        <v>217</v>
      </c>
      <c r="S829" s="10" t="s">
        <v>216</v>
      </c>
      <c r="T829" s="8">
        <v>1</v>
      </c>
      <c r="U829" s="15">
        <v>1</v>
      </c>
      <c r="V829" s="8">
        <v>0</v>
      </c>
      <c r="W829" s="17"/>
      <c r="X829" s="65">
        <v>46250</v>
      </c>
    </row>
    <row r="830" spans="1:24" ht="13.8" thickBot="1" x14ac:dyDescent="0.3">
      <c r="A830" s="4" t="s">
        <v>337</v>
      </c>
      <c r="B830" s="8">
        <v>0</v>
      </c>
      <c r="C830" s="15">
        <v>1</v>
      </c>
      <c r="D830" s="8">
        <v>1</v>
      </c>
      <c r="E830" s="10" t="s">
        <v>217</v>
      </c>
      <c r="F830" s="11" t="s">
        <v>216</v>
      </c>
      <c r="G830" s="12" t="s">
        <v>218</v>
      </c>
      <c r="H830" s="13" t="s">
        <v>218</v>
      </c>
      <c r="I830" s="14">
        <v>1</v>
      </c>
      <c r="J830" s="14" t="s">
        <v>10</v>
      </c>
      <c r="K830" s="5" t="s">
        <v>2057</v>
      </c>
      <c r="L830" s="6">
        <v>0.67708333333333337</v>
      </c>
      <c r="M830" s="7" t="s">
        <v>2058</v>
      </c>
      <c r="N830" s="14" t="s">
        <v>11</v>
      </c>
      <c r="O830" s="14">
        <v>1</v>
      </c>
      <c r="P830" s="13" t="s">
        <v>219</v>
      </c>
      <c r="Q830" s="12" t="s">
        <v>357</v>
      </c>
      <c r="R830" s="11" t="s">
        <v>218</v>
      </c>
      <c r="S830" s="10" t="s">
        <v>226</v>
      </c>
      <c r="T830" s="8">
        <v>1</v>
      </c>
      <c r="U830" s="15">
        <v>1</v>
      </c>
      <c r="V830" s="8">
        <v>1</v>
      </c>
      <c r="W830" s="17"/>
      <c r="X830" s="65">
        <v>46250</v>
      </c>
    </row>
    <row r="831" spans="1:24" ht="13.8" thickBot="1" x14ac:dyDescent="0.3">
      <c r="A831" s="4" t="s">
        <v>337</v>
      </c>
      <c r="B831" s="8">
        <v>0</v>
      </c>
      <c r="C831" s="9">
        <v>0</v>
      </c>
      <c r="D831" s="8">
        <v>0</v>
      </c>
      <c r="E831" s="10" t="s">
        <v>219</v>
      </c>
      <c r="F831" s="11" t="s">
        <v>219</v>
      </c>
      <c r="G831" s="12" t="s">
        <v>219</v>
      </c>
      <c r="H831" s="13" t="s">
        <v>217</v>
      </c>
      <c r="I831" s="14">
        <v>1</v>
      </c>
      <c r="J831" s="14" t="s">
        <v>10</v>
      </c>
      <c r="K831" s="5" t="s">
        <v>2059</v>
      </c>
      <c r="L831" s="6">
        <v>0.67708333333333337</v>
      </c>
      <c r="M831" s="7" t="s">
        <v>2060</v>
      </c>
      <c r="N831" s="14" t="s">
        <v>11</v>
      </c>
      <c r="O831" s="14">
        <v>1</v>
      </c>
      <c r="P831" s="13" t="s">
        <v>218</v>
      </c>
      <c r="Q831" s="12" t="s">
        <v>218</v>
      </c>
      <c r="R831" s="11" t="s">
        <v>216</v>
      </c>
      <c r="S831" s="10" t="s">
        <v>217</v>
      </c>
      <c r="T831" s="8">
        <v>1</v>
      </c>
      <c r="U831" s="15">
        <v>1</v>
      </c>
      <c r="V831" s="8">
        <v>0</v>
      </c>
      <c r="W831" s="17"/>
      <c r="X831" s="65">
        <v>46250</v>
      </c>
    </row>
    <row r="832" spans="1:24" ht="13.8" thickBot="1" x14ac:dyDescent="0.3">
      <c r="A832" s="4" t="s">
        <v>337</v>
      </c>
      <c r="B832" s="8">
        <v>0</v>
      </c>
      <c r="C832" s="15">
        <v>1</v>
      </c>
      <c r="D832" s="8">
        <v>1</v>
      </c>
      <c r="E832" s="10" t="s">
        <v>220</v>
      </c>
      <c r="F832" s="11" t="s">
        <v>220</v>
      </c>
      <c r="G832" s="12" t="s">
        <v>218</v>
      </c>
      <c r="H832" s="13" t="s">
        <v>220</v>
      </c>
      <c r="I832" s="14">
        <v>2</v>
      </c>
      <c r="J832" s="14" t="s">
        <v>10</v>
      </c>
      <c r="K832" s="5" t="s">
        <v>2061</v>
      </c>
      <c r="L832" s="6">
        <v>0.4375</v>
      </c>
      <c r="M832" s="7" t="s">
        <v>2062</v>
      </c>
      <c r="N832" s="14" t="s">
        <v>11</v>
      </c>
      <c r="O832" s="14">
        <v>1</v>
      </c>
      <c r="P832" s="13" t="s">
        <v>218</v>
      </c>
      <c r="Q832" s="12" t="s">
        <v>218</v>
      </c>
      <c r="R832" s="11" t="s">
        <v>216</v>
      </c>
      <c r="S832" s="10" t="s">
        <v>217</v>
      </c>
      <c r="T832" s="8">
        <v>1</v>
      </c>
      <c r="U832" s="15">
        <v>1</v>
      </c>
      <c r="V832" s="8">
        <v>0</v>
      </c>
      <c r="W832" s="17"/>
      <c r="X832" s="65">
        <v>46250</v>
      </c>
    </row>
    <row r="833" spans="1:24" ht="19.8" thickBot="1" x14ac:dyDescent="0.3">
      <c r="A833" s="4" t="s">
        <v>337</v>
      </c>
      <c r="B833" s="8">
        <v>0.5</v>
      </c>
      <c r="C833" s="9">
        <v>0.5</v>
      </c>
      <c r="D833" s="8">
        <v>1</v>
      </c>
      <c r="E833" s="10" t="s">
        <v>216</v>
      </c>
      <c r="F833" s="11" t="s">
        <v>216</v>
      </c>
      <c r="G833" s="12" t="s">
        <v>226</v>
      </c>
      <c r="H833" s="13" t="s">
        <v>217</v>
      </c>
      <c r="I833" s="14">
        <v>2</v>
      </c>
      <c r="J833" s="14" t="s">
        <v>10</v>
      </c>
      <c r="K833" s="5" t="s">
        <v>2063</v>
      </c>
      <c r="L833" s="6">
        <v>0.54166666666666663</v>
      </c>
      <c r="M833" s="7" t="s">
        <v>2064</v>
      </c>
      <c r="N833" s="14" t="s">
        <v>11</v>
      </c>
      <c r="O833" s="14">
        <v>1</v>
      </c>
      <c r="P833" s="13" t="s">
        <v>219</v>
      </c>
      <c r="Q833" s="12" t="s">
        <v>218</v>
      </c>
      <c r="R833" s="11" t="s">
        <v>217</v>
      </c>
      <c r="S833" s="10" t="s">
        <v>216</v>
      </c>
      <c r="T833" s="8">
        <v>1</v>
      </c>
      <c r="U833" s="15">
        <v>1</v>
      </c>
      <c r="V833" s="8">
        <v>0</v>
      </c>
      <c r="W833" s="17"/>
      <c r="X833" s="65">
        <v>46250</v>
      </c>
    </row>
    <row r="834" spans="1:24" ht="19.8" thickBot="1" x14ac:dyDescent="0.3">
      <c r="A834" s="4" t="s">
        <v>337</v>
      </c>
      <c r="B834" s="8">
        <v>0</v>
      </c>
      <c r="C834" s="9">
        <v>0.5</v>
      </c>
      <c r="D834" s="8">
        <v>1</v>
      </c>
      <c r="E834" s="10" t="s">
        <v>217</v>
      </c>
      <c r="F834" s="11" t="s">
        <v>220</v>
      </c>
      <c r="G834" s="12" t="s">
        <v>221</v>
      </c>
      <c r="H834" s="13" t="s">
        <v>220</v>
      </c>
      <c r="I834" s="14">
        <v>2</v>
      </c>
      <c r="J834" s="14" t="s">
        <v>10</v>
      </c>
      <c r="K834" s="5" t="s">
        <v>2065</v>
      </c>
      <c r="L834" s="6">
        <v>0.64583333333333337</v>
      </c>
      <c r="M834" s="7" t="s">
        <v>2066</v>
      </c>
      <c r="N834" s="14" t="s">
        <v>11</v>
      </c>
      <c r="O834" s="14">
        <v>1</v>
      </c>
      <c r="P834" s="13" t="s">
        <v>218</v>
      </c>
      <c r="Q834" s="12" t="s">
        <v>216</v>
      </c>
      <c r="R834" s="11" t="s">
        <v>216</v>
      </c>
      <c r="S834" s="10" t="s">
        <v>219</v>
      </c>
      <c r="T834" s="8">
        <v>1</v>
      </c>
      <c r="U834" s="9">
        <v>0</v>
      </c>
      <c r="V834" s="8">
        <v>0</v>
      </c>
      <c r="W834" s="17"/>
      <c r="X834" s="65">
        <v>46250</v>
      </c>
    </row>
    <row r="835" spans="1:24" ht="19.8" thickBot="1" x14ac:dyDescent="0.3">
      <c r="A835" s="4" t="s">
        <v>337</v>
      </c>
      <c r="B835" s="8">
        <v>0</v>
      </c>
      <c r="C835" s="9">
        <v>0.5</v>
      </c>
      <c r="D835" s="8">
        <v>0.5</v>
      </c>
      <c r="E835" s="10" t="s">
        <v>247</v>
      </c>
      <c r="F835" s="11" t="s">
        <v>220</v>
      </c>
      <c r="G835" s="12" t="s">
        <v>216</v>
      </c>
      <c r="H835" s="13" t="s">
        <v>218</v>
      </c>
      <c r="I835" s="14">
        <v>2</v>
      </c>
      <c r="J835" s="14" t="s">
        <v>10</v>
      </c>
      <c r="K835" s="5" t="s">
        <v>1438</v>
      </c>
      <c r="L835" s="6">
        <v>0.33333333333333331</v>
      </c>
      <c r="M835" s="7" t="s">
        <v>1437</v>
      </c>
      <c r="N835" s="14" t="s">
        <v>11</v>
      </c>
      <c r="O835" s="14">
        <v>3</v>
      </c>
      <c r="P835" s="13" t="s">
        <v>310</v>
      </c>
      <c r="Q835" s="12" t="s">
        <v>349</v>
      </c>
      <c r="R835" s="11" t="s">
        <v>224</v>
      </c>
      <c r="S835" s="10" t="s">
        <v>334</v>
      </c>
      <c r="T835" s="8">
        <v>1</v>
      </c>
      <c r="U835" s="15">
        <v>0.67</v>
      </c>
      <c r="V835" s="8">
        <v>0.67</v>
      </c>
      <c r="W835" s="17"/>
      <c r="X835" s="65">
        <v>46250</v>
      </c>
    </row>
    <row r="836" spans="1:24" ht="19.8" thickBot="1" x14ac:dyDescent="0.3">
      <c r="A836" s="4" t="s">
        <v>337</v>
      </c>
      <c r="B836" s="8">
        <v>0</v>
      </c>
      <c r="C836" s="9">
        <v>0</v>
      </c>
      <c r="D836" s="8">
        <v>0.5</v>
      </c>
      <c r="E836" s="10" t="s">
        <v>247</v>
      </c>
      <c r="F836" s="11" t="s">
        <v>217</v>
      </c>
      <c r="G836" s="12" t="s">
        <v>220</v>
      </c>
      <c r="H836" s="13" t="s">
        <v>216</v>
      </c>
      <c r="I836" s="14">
        <v>2</v>
      </c>
      <c r="J836" s="14" t="s">
        <v>10</v>
      </c>
      <c r="K836" s="5" t="s">
        <v>2067</v>
      </c>
      <c r="L836" s="6">
        <v>0.375</v>
      </c>
      <c r="M836" s="7" t="s">
        <v>2068</v>
      </c>
      <c r="N836" s="14" t="s">
        <v>11</v>
      </c>
      <c r="O836" s="64"/>
      <c r="P836" s="63"/>
      <c r="Q836" s="63"/>
      <c r="R836" s="63"/>
      <c r="S836" s="63"/>
      <c r="T836" s="63"/>
      <c r="U836" s="63"/>
      <c r="V836" s="63"/>
      <c r="W836" s="17"/>
      <c r="X836" s="65">
        <v>46250</v>
      </c>
    </row>
    <row r="837" spans="1:24" ht="19.8" thickBot="1" x14ac:dyDescent="0.3">
      <c r="A837" s="4" t="s">
        <v>337</v>
      </c>
      <c r="B837" s="8">
        <v>0</v>
      </c>
      <c r="C837" s="15">
        <v>1</v>
      </c>
      <c r="D837" s="8">
        <v>1</v>
      </c>
      <c r="E837" s="10" t="s">
        <v>219</v>
      </c>
      <c r="F837" s="11" t="s">
        <v>218</v>
      </c>
      <c r="G837" s="12" t="s">
        <v>218</v>
      </c>
      <c r="H837" s="13" t="s">
        <v>218</v>
      </c>
      <c r="I837" s="14">
        <v>1</v>
      </c>
      <c r="J837" s="14" t="s">
        <v>10</v>
      </c>
      <c r="K837" s="5" t="s">
        <v>2069</v>
      </c>
      <c r="L837" s="6">
        <v>0.5</v>
      </c>
      <c r="M837" s="7" t="s">
        <v>2070</v>
      </c>
      <c r="N837" s="14" t="s">
        <v>11</v>
      </c>
      <c r="O837" s="14">
        <v>1</v>
      </c>
      <c r="P837" s="13" t="s">
        <v>219</v>
      </c>
      <c r="Q837" s="12" t="s">
        <v>218</v>
      </c>
      <c r="R837" s="11" t="s">
        <v>217</v>
      </c>
      <c r="S837" s="10" t="s">
        <v>216</v>
      </c>
      <c r="T837" s="8">
        <v>1</v>
      </c>
      <c r="U837" s="15">
        <v>1</v>
      </c>
      <c r="V837" s="8">
        <v>0</v>
      </c>
      <c r="W837" s="17"/>
      <c r="X837" s="65">
        <v>46250</v>
      </c>
    </row>
    <row r="838" spans="1:24" ht="13.8" thickBot="1" x14ac:dyDescent="0.3">
      <c r="A838" s="4" t="s">
        <v>337</v>
      </c>
      <c r="B838" s="8">
        <v>0</v>
      </c>
      <c r="C838" s="15">
        <v>1</v>
      </c>
      <c r="D838" s="8">
        <v>1</v>
      </c>
      <c r="E838" s="10" t="s">
        <v>216</v>
      </c>
      <c r="F838" s="11" t="s">
        <v>217</v>
      </c>
      <c r="G838" s="12" t="s">
        <v>218</v>
      </c>
      <c r="H838" s="13" t="s">
        <v>219</v>
      </c>
      <c r="I838" s="14">
        <v>1</v>
      </c>
      <c r="J838" s="14" t="s">
        <v>10</v>
      </c>
      <c r="K838" s="5" t="s">
        <v>2071</v>
      </c>
      <c r="L838" s="6">
        <v>0.64583333333333337</v>
      </c>
      <c r="M838" s="7" t="s">
        <v>2072</v>
      </c>
      <c r="N838" s="14" t="s">
        <v>11</v>
      </c>
      <c r="O838" s="14">
        <v>1</v>
      </c>
      <c r="P838" s="13" t="s">
        <v>218</v>
      </c>
      <c r="Q838" s="12" t="s">
        <v>217</v>
      </c>
      <c r="R838" s="11" t="s">
        <v>217</v>
      </c>
      <c r="S838" s="10" t="s">
        <v>219</v>
      </c>
      <c r="T838" s="8">
        <v>0</v>
      </c>
      <c r="U838" s="9">
        <v>0</v>
      </c>
      <c r="V838" s="8">
        <v>0</v>
      </c>
      <c r="W838" s="17"/>
      <c r="X838" s="65">
        <v>46250</v>
      </c>
    </row>
    <row r="839" spans="1:24" ht="19.8" thickBot="1" x14ac:dyDescent="0.3">
      <c r="A839" s="4" t="s">
        <v>243</v>
      </c>
      <c r="B839" s="63"/>
      <c r="C839" s="63"/>
      <c r="D839" s="63"/>
      <c r="E839" s="63"/>
      <c r="F839" s="63"/>
      <c r="G839" s="63"/>
      <c r="H839" s="63"/>
      <c r="I839" s="64"/>
      <c r="J839" s="14" t="s">
        <v>10</v>
      </c>
      <c r="K839" s="5" t="s">
        <v>2073</v>
      </c>
      <c r="L839" s="6">
        <v>0.33333333333333331</v>
      </c>
      <c r="M839" s="7" t="s">
        <v>2074</v>
      </c>
      <c r="N839" s="14" t="s">
        <v>11</v>
      </c>
      <c r="O839" s="64"/>
      <c r="P839" s="63"/>
      <c r="Q839" s="63"/>
      <c r="R839" s="63"/>
      <c r="S839" s="63"/>
      <c r="T839" s="63"/>
      <c r="U839" s="63"/>
      <c r="V839" s="63"/>
      <c r="W839" s="17"/>
      <c r="X839" s="65">
        <v>46250</v>
      </c>
    </row>
    <row r="840" spans="1:24" ht="13.8" thickBot="1" x14ac:dyDescent="0.3">
      <c r="A840" s="4" t="s">
        <v>243</v>
      </c>
      <c r="B840" s="63"/>
      <c r="C840" s="63"/>
      <c r="D840" s="63"/>
      <c r="E840" s="63"/>
      <c r="F840" s="63"/>
      <c r="G840" s="63"/>
      <c r="H840" s="63"/>
      <c r="I840" s="64"/>
      <c r="J840" s="14" t="s">
        <v>10</v>
      </c>
      <c r="K840" s="5" t="s">
        <v>2075</v>
      </c>
      <c r="L840" s="6">
        <v>0.45833333333333331</v>
      </c>
      <c r="M840" s="7" t="s">
        <v>2076</v>
      </c>
      <c r="N840" s="14" t="s">
        <v>11</v>
      </c>
      <c r="O840" s="64"/>
      <c r="P840" s="63"/>
      <c r="Q840" s="63"/>
      <c r="R840" s="63"/>
      <c r="S840" s="63"/>
      <c r="T840" s="63"/>
      <c r="U840" s="63"/>
      <c r="V840" s="63"/>
      <c r="W840" s="17"/>
      <c r="X840" s="65">
        <v>46250</v>
      </c>
    </row>
    <row r="841" spans="1:24" ht="13.8" thickBot="1" x14ac:dyDescent="0.3">
      <c r="A841" s="4" t="s">
        <v>243</v>
      </c>
      <c r="B841" s="63"/>
      <c r="C841" s="63"/>
      <c r="D841" s="63"/>
      <c r="E841" s="63"/>
      <c r="F841" s="63"/>
      <c r="G841" s="63"/>
      <c r="H841" s="63"/>
      <c r="I841" s="64"/>
      <c r="J841" s="14" t="s">
        <v>10</v>
      </c>
      <c r="K841" s="5" t="s">
        <v>2077</v>
      </c>
      <c r="L841" s="6">
        <v>0.52083333333333337</v>
      </c>
      <c r="M841" s="7" t="s">
        <v>2078</v>
      </c>
      <c r="N841" s="14" t="s">
        <v>11</v>
      </c>
      <c r="O841" s="64"/>
      <c r="P841" s="63"/>
      <c r="Q841" s="63"/>
      <c r="R841" s="63"/>
      <c r="S841" s="63"/>
      <c r="T841" s="63"/>
      <c r="U841" s="63"/>
      <c r="V841" s="63"/>
      <c r="W841" s="17"/>
      <c r="X841" s="65">
        <v>46250</v>
      </c>
    </row>
    <row r="842" spans="1:24" ht="13.8" thickBot="1" x14ac:dyDescent="0.3">
      <c r="A842" s="4" t="s">
        <v>243</v>
      </c>
      <c r="B842" s="63"/>
      <c r="C842" s="63"/>
      <c r="D842" s="63"/>
      <c r="E842" s="63"/>
      <c r="F842" s="63"/>
      <c r="G842" s="63"/>
      <c r="H842" s="63"/>
      <c r="I842" s="64"/>
      <c r="J842" s="14" t="s">
        <v>10</v>
      </c>
      <c r="K842" s="5" t="s">
        <v>2079</v>
      </c>
      <c r="L842" s="6">
        <v>0.625</v>
      </c>
      <c r="M842" s="7" t="s">
        <v>2080</v>
      </c>
      <c r="N842" s="14" t="s">
        <v>11</v>
      </c>
      <c r="O842" s="64"/>
      <c r="P842" s="63"/>
      <c r="Q842" s="63"/>
      <c r="R842" s="63"/>
      <c r="S842" s="63"/>
      <c r="T842" s="63"/>
      <c r="U842" s="63"/>
      <c r="V842" s="63"/>
      <c r="W842" s="17"/>
      <c r="X842" s="65">
        <v>46250</v>
      </c>
    </row>
    <row r="843" spans="1:24" ht="13.8" thickBot="1" x14ac:dyDescent="0.3">
      <c r="A843" s="4" t="s">
        <v>338</v>
      </c>
      <c r="B843" s="8">
        <v>0</v>
      </c>
      <c r="C843" s="9">
        <v>0.5</v>
      </c>
      <c r="D843" s="8">
        <v>1</v>
      </c>
      <c r="E843" s="10" t="s">
        <v>247</v>
      </c>
      <c r="F843" s="11" t="s">
        <v>216</v>
      </c>
      <c r="G843" s="12" t="s">
        <v>221</v>
      </c>
      <c r="H843" s="13" t="s">
        <v>216</v>
      </c>
      <c r="I843" s="14">
        <v>2</v>
      </c>
      <c r="J843" s="14" t="s">
        <v>10</v>
      </c>
      <c r="K843" s="5" t="s">
        <v>2081</v>
      </c>
      <c r="L843" s="6">
        <v>0.5625</v>
      </c>
      <c r="M843" s="7" t="s">
        <v>2082</v>
      </c>
      <c r="N843" s="14" t="s">
        <v>11</v>
      </c>
      <c r="O843" s="14">
        <v>2</v>
      </c>
      <c r="P843" s="13" t="s">
        <v>219</v>
      </c>
      <c r="Q843" s="12" t="s">
        <v>246</v>
      </c>
      <c r="R843" s="11" t="s">
        <v>217</v>
      </c>
      <c r="S843" s="10" t="s">
        <v>221</v>
      </c>
      <c r="T843" s="8">
        <v>1</v>
      </c>
      <c r="U843" s="15">
        <v>1</v>
      </c>
      <c r="V843" s="8">
        <v>0.5</v>
      </c>
      <c r="W843" s="17"/>
      <c r="X843" s="65">
        <v>46250</v>
      </c>
    </row>
    <row r="844" spans="1:24" ht="13.8" thickBot="1" x14ac:dyDescent="0.3">
      <c r="A844" s="4" t="s">
        <v>338</v>
      </c>
      <c r="B844" s="8">
        <v>0</v>
      </c>
      <c r="C844" s="9">
        <v>0.5</v>
      </c>
      <c r="D844" s="8">
        <v>1</v>
      </c>
      <c r="E844" s="10" t="s">
        <v>217</v>
      </c>
      <c r="F844" s="11" t="s">
        <v>220</v>
      </c>
      <c r="G844" s="12" t="s">
        <v>221</v>
      </c>
      <c r="H844" s="13" t="s">
        <v>216</v>
      </c>
      <c r="I844" s="14">
        <v>2</v>
      </c>
      <c r="J844" s="14" t="s">
        <v>10</v>
      </c>
      <c r="K844" s="5" t="s">
        <v>2083</v>
      </c>
      <c r="L844" s="6">
        <v>0.6875</v>
      </c>
      <c r="M844" s="7" t="s">
        <v>2084</v>
      </c>
      <c r="N844" s="14" t="s">
        <v>11</v>
      </c>
      <c r="O844" s="14">
        <v>1</v>
      </c>
      <c r="P844" s="13" t="s">
        <v>219</v>
      </c>
      <c r="Q844" s="12" t="s">
        <v>238</v>
      </c>
      <c r="R844" s="11" t="s">
        <v>217</v>
      </c>
      <c r="S844" s="10" t="s">
        <v>278</v>
      </c>
      <c r="T844" s="8">
        <v>1</v>
      </c>
      <c r="U844" s="15">
        <v>1</v>
      </c>
      <c r="V844" s="8">
        <v>1</v>
      </c>
      <c r="W844" s="17"/>
      <c r="X844" s="65">
        <v>46250</v>
      </c>
    </row>
    <row r="845" spans="1:24" ht="19.8" thickBot="1" x14ac:dyDescent="0.3">
      <c r="A845" s="4" t="s">
        <v>339</v>
      </c>
      <c r="B845" s="8">
        <v>0</v>
      </c>
      <c r="C845" s="15">
        <v>1</v>
      </c>
      <c r="D845" s="8">
        <v>1</v>
      </c>
      <c r="E845" s="10" t="s">
        <v>216</v>
      </c>
      <c r="F845" s="11" t="s">
        <v>217</v>
      </c>
      <c r="G845" s="12" t="s">
        <v>218</v>
      </c>
      <c r="H845" s="13" t="s">
        <v>219</v>
      </c>
      <c r="I845" s="14">
        <v>1</v>
      </c>
      <c r="J845" s="14" t="s">
        <v>10</v>
      </c>
      <c r="K845" s="5" t="s">
        <v>2085</v>
      </c>
      <c r="L845" s="6">
        <v>0.39583333333333331</v>
      </c>
      <c r="M845" s="7" t="s">
        <v>2086</v>
      </c>
      <c r="N845" s="14" t="s">
        <v>11</v>
      </c>
      <c r="O845" s="14">
        <v>1</v>
      </c>
      <c r="P845" s="13" t="s">
        <v>219</v>
      </c>
      <c r="Q845" s="12" t="s">
        <v>218</v>
      </c>
      <c r="R845" s="11" t="s">
        <v>217</v>
      </c>
      <c r="S845" s="10" t="s">
        <v>216</v>
      </c>
      <c r="T845" s="8">
        <v>1</v>
      </c>
      <c r="U845" s="15">
        <v>1</v>
      </c>
      <c r="V845" s="8">
        <v>0</v>
      </c>
      <c r="W845" s="17"/>
      <c r="X845" s="65">
        <v>46250</v>
      </c>
    </row>
    <row r="846" spans="1:24" ht="19.8" thickBot="1" x14ac:dyDescent="0.3">
      <c r="A846" s="4" t="s">
        <v>339</v>
      </c>
      <c r="B846" s="8">
        <v>0</v>
      </c>
      <c r="C846" s="9">
        <v>0</v>
      </c>
      <c r="D846" s="8">
        <v>1</v>
      </c>
      <c r="E846" s="10" t="s">
        <v>216</v>
      </c>
      <c r="F846" s="11" t="s">
        <v>219</v>
      </c>
      <c r="G846" s="12" t="s">
        <v>216</v>
      </c>
      <c r="H846" s="13" t="s">
        <v>219</v>
      </c>
      <c r="I846" s="14">
        <v>1</v>
      </c>
      <c r="J846" s="14" t="s">
        <v>10</v>
      </c>
      <c r="K846" s="5" t="s">
        <v>2087</v>
      </c>
      <c r="L846" s="6">
        <v>0.5</v>
      </c>
      <c r="M846" s="7" t="s">
        <v>2088</v>
      </c>
      <c r="N846" s="14" t="s">
        <v>11</v>
      </c>
      <c r="O846" s="14">
        <v>2</v>
      </c>
      <c r="P846" s="13" t="s">
        <v>220</v>
      </c>
      <c r="Q846" s="12" t="s">
        <v>246</v>
      </c>
      <c r="R846" s="11" t="s">
        <v>220</v>
      </c>
      <c r="S846" s="10" t="s">
        <v>216</v>
      </c>
      <c r="T846" s="8">
        <v>1</v>
      </c>
      <c r="U846" s="15">
        <v>1</v>
      </c>
      <c r="V846" s="8">
        <v>0.5</v>
      </c>
      <c r="W846" s="17"/>
      <c r="X846" s="65">
        <v>46250</v>
      </c>
    </row>
    <row r="847" spans="1:24" ht="19.8" thickBot="1" x14ac:dyDescent="0.3">
      <c r="A847" s="4" t="s">
        <v>339</v>
      </c>
      <c r="B847" s="8">
        <v>0</v>
      </c>
      <c r="C847" s="15">
        <v>1</v>
      </c>
      <c r="D847" s="8">
        <v>1</v>
      </c>
      <c r="E847" s="10" t="s">
        <v>217</v>
      </c>
      <c r="F847" s="11" t="s">
        <v>216</v>
      </c>
      <c r="G847" s="12" t="s">
        <v>218</v>
      </c>
      <c r="H847" s="13" t="s">
        <v>218</v>
      </c>
      <c r="I847" s="14">
        <v>1</v>
      </c>
      <c r="J847" s="14" t="s">
        <v>10</v>
      </c>
      <c r="K847" s="5" t="s">
        <v>2089</v>
      </c>
      <c r="L847" s="6">
        <v>0.60416666666666663</v>
      </c>
      <c r="M847" s="7" t="s">
        <v>2090</v>
      </c>
      <c r="N847" s="14" t="s">
        <v>11</v>
      </c>
      <c r="O847" s="14">
        <v>1</v>
      </c>
      <c r="P847" s="13" t="s">
        <v>218</v>
      </c>
      <c r="Q847" s="12" t="s">
        <v>218</v>
      </c>
      <c r="R847" s="11" t="s">
        <v>216</v>
      </c>
      <c r="S847" s="10" t="s">
        <v>217</v>
      </c>
      <c r="T847" s="8">
        <v>1</v>
      </c>
      <c r="U847" s="15">
        <v>1</v>
      </c>
      <c r="V847" s="8">
        <v>0</v>
      </c>
      <c r="W847" s="17"/>
      <c r="X847" s="65">
        <v>46250</v>
      </c>
    </row>
    <row r="848" spans="1:24" ht="19.8" thickBot="1" x14ac:dyDescent="0.3">
      <c r="A848" s="4" t="s">
        <v>1490</v>
      </c>
      <c r="B848" s="8">
        <v>1</v>
      </c>
      <c r="C848" s="15">
        <v>1</v>
      </c>
      <c r="D848" s="8">
        <v>1</v>
      </c>
      <c r="E848" s="10" t="s">
        <v>219</v>
      </c>
      <c r="F848" s="11" t="s">
        <v>226</v>
      </c>
      <c r="G848" s="12" t="s">
        <v>226</v>
      </c>
      <c r="H848" s="13" t="s">
        <v>218</v>
      </c>
      <c r="I848" s="14">
        <v>1</v>
      </c>
      <c r="J848" s="14" t="s">
        <v>10</v>
      </c>
      <c r="K848" s="5" t="s">
        <v>2091</v>
      </c>
      <c r="L848" s="6">
        <v>0.625</v>
      </c>
      <c r="M848" s="7" t="s">
        <v>2092</v>
      </c>
      <c r="N848" s="14" t="s">
        <v>11</v>
      </c>
      <c r="O848" s="14">
        <v>2</v>
      </c>
      <c r="P848" s="13" t="s">
        <v>220</v>
      </c>
      <c r="Q848" s="12" t="s">
        <v>216</v>
      </c>
      <c r="R848" s="11" t="s">
        <v>217</v>
      </c>
      <c r="S848" s="10" t="s">
        <v>217</v>
      </c>
      <c r="T848" s="8">
        <v>0.5</v>
      </c>
      <c r="U848" s="9">
        <v>0.5</v>
      </c>
      <c r="V848" s="8">
        <v>0</v>
      </c>
      <c r="W848" s="17"/>
      <c r="X848" s="65">
        <v>46250</v>
      </c>
    </row>
    <row r="849" spans="1:24" ht="13.8" thickBot="1" x14ac:dyDescent="0.3">
      <c r="A849" s="4" t="s">
        <v>1490</v>
      </c>
      <c r="B849" s="8">
        <v>0</v>
      </c>
      <c r="C849" s="15">
        <v>1</v>
      </c>
      <c r="D849" s="8">
        <v>1</v>
      </c>
      <c r="E849" s="10" t="s">
        <v>216</v>
      </c>
      <c r="F849" s="11" t="s">
        <v>217</v>
      </c>
      <c r="G849" s="12" t="s">
        <v>218</v>
      </c>
      <c r="H849" s="13" t="s">
        <v>219</v>
      </c>
      <c r="I849" s="14">
        <v>1</v>
      </c>
      <c r="J849" s="14" t="s">
        <v>10</v>
      </c>
      <c r="K849" s="5" t="s">
        <v>2093</v>
      </c>
      <c r="L849" s="6">
        <v>0.70833333333333337</v>
      </c>
      <c r="M849" s="7" t="s">
        <v>2094</v>
      </c>
      <c r="N849" s="14" t="s">
        <v>11</v>
      </c>
      <c r="O849" s="14">
        <v>2</v>
      </c>
      <c r="P849" s="13" t="s">
        <v>219</v>
      </c>
      <c r="Q849" s="12" t="s">
        <v>216</v>
      </c>
      <c r="R849" s="11" t="s">
        <v>219</v>
      </c>
      <c r="S849" s="10" t="s">
        <v>216</v>
      </c>
      <c r="T849" s="8">
        <v>0.5</v>
      </c>
      <c r="U849" s="9">
        <v>0.5</v>
      </c>
      <c r="V849" s="8">
        <v>0</v>
      </c>
      <c r="W849" s="17"/>
      <c r="X849" s="65">
        <v>46250</v>
      </c>
    </row>
    <row r="850" spans="1:24" ht="19.8" thickBot="1" x14ac:dyDescent="0.3">
      <c r="A850" s="4" t="s">
        <v>1490</v>
      </c>
      <c r="B850" s="8">
        <v>0.5</v>
      </c>
      <c r="C850" s="9">
        <v>0.5</v>
      </c>
      <c r="D850" s="8">
        <v>0.5</v>
      </c>
      <c r="E850" s="10" t="s">
        <v>220</v>
      </c>
      <c r="F850" s="11" t="s">
        <v>217</v>
      </c>
      <c r="G850" s="12" t="s">
        <v>221</v>
      </c>
      <c r="H850" s="13" t="s">
        <v>247</v>
      </c>
      <c r="I850" s="14">
        <v>2</v>
      </c>
      <c r="J850" s="14" t="s">
        <v>10</v>
      </c>
      <c r="K850" s="5" t="s">
        <v>2095</v>
      </c>
      <c r="L850" s="6">
        <v>0.70833333333333337</v>
      </c>
      <c r="M850" s="7" t="s">
        <v>2096</v>
      </c>
      <c r="N850" s="14" t="s">
        <v>11</v>
      </c>
      <c r="O850" s="14">
        <v>2</v>
      </c>
      <c r="P850" s="13" t="s">
        <v>217</v>
      </c>
      <c r="Q850" s="12" t="s">
        <v>217</v>
      </c>
      <c r="R850" s="11" t="s">
        <v>247</v>
      </c>
      <c r="S850" s="10" t="s">
        <v>247</v>
      </c>
      <c r="T850" s="8">
        <v>0.5</v>
      </c>
      <c r="U850" s="9">
        <v>0</v>
      </c>
      <c r="V850" s="8">
        <v>0</v>
      </c>
      <c r="W850" s="17"/>
      <c r="X850" s="65">
        <v>46250</v>
      </c>
    </row>
    <row r="851" spans="1:24" ht="19.8" thickBot="1" x14ac:dyDescent="0.3">
      <c r="A851" s="4" t="s">
        <v>1496</v>
      </c>
      <c r="B851" s="8">
        <v>0</v>
      </c>
      <c r="C851" s="9">
        <v>0.5</v>
      </c>
      <c r="D851" s="8">
        <v>1</v>
      </c>
      <c r="E851" s="10" t="s">
        <v>247</v>
      </c>
      <c r="F851" s="11" t="s">
        <v>216</v>
      </c>
      <c r="G851" s="12" t="s">
        <v>221</v>
      </c>
      <c r="H851" s="13" t="s">
        <v>216</v>
      </c>
      <c r="I851" s="14">
        <v>2</v>
      </c>
      <c r="J851" s="14" t="s">
        <v>10</v>
      </c>
      <c r="K851" s="5" t="s">
        <v>2097</v>
      </c>
      <c r="L851" s="6">
        <v>0.54166666666666663</v>
      </c>
      <c r="M851" s="7" t="s">
        <v>2098</v>
      </c>
      <c r="N851" s="14" t="s">
        <v>11</v>
      </c>
      <c r="O851" s="14">
        <v>1</v>
      </c>
      <c r="P851" s="13" t="s">
        <v>219</v>
      </c>
      <c r="Q851" s="12" t="s">
        <v>216</v>
      </c>
      <c r="R851" s="11" t="s">
        <v>219</v>
      </c>
      <c r="S851" s="10" t="s">
        <v>216</v>
      </c>
      <c r="T851" s="8">
        <v>1</v>
      </c>
      <c r="U851" s="9">
        <v>0</v>
      </c>
      <c r="V851" s="8">
        <v>0</v>
      </c>
      <c r="W851" s="17"/>
      <c r="X851" s="65">
        <v>46250</v>
      </c>
    </row>
    <row r="852" spans="1:24" ht="13.8" thickBot="1" x14ac:dyDescent="0.3">
      <c r="A852" s="4" t="s">
        <v>1496</v>
      </c>
      <c r="B852" s="8">
        <v>0</v>
      </c>
      <c r="C852" s="15">
        <v>1</v>
      </c>
      <c r="D852" s="8">
        <v>1</v>
      </c>
      <c r="E852" s="10" t="s">
        <v>216</v>
      </c>
      <c r="F852" s="11" t="s">
        <v>217</v>
      </c>
      <c r="G852" s="12" t="s">
        <v>218</v>
      </c>
      <c r="H852" s="13" t="s">
        <v>219</v>
      </c>
      <c r="I852" s="14">
        <v>1</v>
      </c>
      <c r="J852" s="14" t="s">
        <v>10</v>
      </c>
      <c r="K852" s="5" t="s">
        <v>2099</v>
      </c>
      <c r="L852" s="6">
        <v>0.625</v>
      </c>
      <c r="M852" s="7" t="s">
        <v>2100</v>
      </c>
      <c r="N852" s="14" t="s">
        <v>11</v>
      </c>
      <c r="O852" s="14">
        <v>1</v>
      </c>
      <c r="P852" s="13" t="s">
        <v>217</v>
      </c>
      <c r="Q852" s="12" t="s">
        <v>216</v>
      </c>
      <c r="R852" s="11" t="s">
        <v>217</v>
      </c>
      <c r="S852" s="10" t="s">
        <v>217</v>
      </c>
      <c r="T852" s="8">
        <v>1</v>
      </c>
      <c r="U852" s="9">
        <v>0</v>
      </c>
      <c r="V852" s="8">
        <v>0</v>
      </c>
      <c r="W852" s="17"/>
      <c r="X852" s="65">
        <v>46250</v>
      </c>
    </row>
    <row r="853" spans="1:24" ht="13.8" thickBot="1" x14ac:dyDescent="0.3">
      <c r="A853" s="4" t="s">
        <v>1496</v>
      </c>
      <c r="B853" s="8">
        <v>0</v>
      </c>
      <c r="C853" s="9">
        <v>0.5</v>
      </c>
      <c r="D853" s="8">
        <v>1</v>
      </c>
      <c r="E853" s="10" t="s">
        <v>216</v>
      </c>
      <c r="F853" s="11" t="s">
        <v>247</v>
      </c>
      <c r="G853" s="12" t="s">
        <v>221</v>
      </c>
      <c r="H853" s="13" t="s">
        <v>219</v>
      </c>
      <c r="I853" s="14">
        <v>2</v>
      </c>
      <c r="J853" s="14" t="s">
        <v>10</v>
      </c>
      <c r="K853" s="5" t="s">
        <v>2101</v>
      </c>
      <c r="L853" s="6">
        <v>0.5625</v>
      </c>
      <c r="M853" s="7" t="s">
        <v>2102</v>
      </c>
      <c r="N853" s="14" t="s">
        <v>11</v>
      </c>
      <c r="O853" s="14">
        <v>1</v>
      </c>
      <c r="P853" s="13" t="s">
        <v>219</v>
      </c>
      <c r="Q853" s="12" t="s">
        <v>217</v>
      </c>
      <c r="R853" s="11" t="s">
        <v>219</v>
      </c>
      <c r="S853" s="10" t="s">
        <v>217</v>
      </c>
      <c r="T853" s="8">
        <v>0</v>
      </c>
      <c r="U853" s="9">
        <v>0</v>
      </c>
      <c r="V853" s="8">
        <v>0</v>
      </c>
      <c r="W853" s="17"/>
      <c r="X853" s="65">
        <v>46250</v>
      </c>
    </row>
    <row r="854" spans="1:24" ht="13.8" thickBot="1" x14ac:dyDescent="0.3">
      <c r="A854" s="4" t="s">
        <v>1496</v>
      </c>
      <c r="B854" s="8">
        <v>0</v>
      </c>
      <c r="C854" s="9">
        <v>0</v>
      </c>
      <c r="D854" s="8">
        <v>1</v>
      </c>
      <c r="E854" s="10" t="s">
        <v>217</v>
      </c>
      <c r="F854" s="11" t="s">
        <v>217</v>
      </c>
      <c r="G854" s="12" t="s">
        <v>216</v>
      </c>
      <c r="H854" s="13" t="s">
        <v>217</v>
      </c>
      <c r="I854" s="14">
        <v>1</v>
      </c>
      <c r="J854" s="14" t="s">
        <v>10</v>
      </c>
      <c r="K854" s="5" t="s">
        <v>2103</v>
      </c>
      <c r="L854" s="6">
        <v>0.58333333333333337</v>
      </c>
      <c r="M854" s="7" t="s">
        <v>2104</v>
      </c>
      <c r="N854" s="14" t="s">
        <v>11</v>
      </c>
      <c r="O854" s="14">
        <v>2</v>
      </c>
      <c r="P854" s="13" t="s">
        <v>247</v>
      </c>
      <c r="Q854" s="12" t="s">
        <v>254</v>
      </c>
      <c r="R854" s="11" t="s">
        <v>216</v>
      </c>
      <c r="S854" s="10" t="s">
        <v>246</v>
      </c>
      <c r="T854" s="8">
        <v>1</v>
      </c>
      <c r="U854" s="15">
        <v>1</v>
      </c>
      <c r="V854" s="8">
        <v>1</v>
      </c>
      <c r="W854" s="17"/>
      <c r="X854" s="65">
        <v>46250</v>
      </c>
    </row>
    <row r="855" spans="1:24" ht="13.8" thickBot="1" x14ac:dyDescent="0.3">
      <c r="A855" s="4" t="s">
        <v>1496</v>
      </c>
      <c r="B855" s="8">
        <v>1</v>
      </c>
      <c r="C855" s="15">
        <v>1</v>
      </c>
      <c r="D855" s="8">
        <v>1</v>
      </c>
      <c r="E855" s="10" t="s">
        <v>216</v>
      </c>
      <c r="F855" s="11" t="s">
        <v>216</v>
      </c>
      <c r="G855" s="12" t="s">
        <v>226</v>
      </c>
      <c r="H855" s="13" t="s">
        <v>217</v>
      </c>
      <c r="I855" s="14">
        <v>1</v>
      </c>
      <c r="J855" s="14" t="s">
        <v>10</v>
      </c>
      <c r="K855" s="5" t="s">
        <v>2105</v>
      </c>
      <c r="L855" s="6">
        <v>0.67708333333333337</v>
      </c>
      <c r="M855" s="7" t="s">
        <v>2106</v>
      </c>
      <c r="N855" s="14" t="s">
        <v>11</v>
      </c>
      <c r="O855" s="14">
        <v>2</v>
      </c>
      <c r="P855" s="13" t="s">
        <v>218</v>
      </c>
      <c r="Q855" s="12" t="s">
        <v>221</v>
      </c>
      <c r="R855" s="11" t="s">
        <v>216</v>
      </c>
      <c r="S855" s="10" t="s">
        <v>247</v>
      </c>
      <c r="T855" s="8">
        <v>1</v>
      </c>
      <c r="U855" s="9">
        <v>0.5</v>
      </c>
      <c r="V855" s="8">
        <v>0</v>
      </c>
      <c r="W855" s="17"/>
      <c r="X855" s="65">
        <v>46250</v>
      </c>
    </row>
    <row r="856" spans="1:24" ht="19.8" thickBot="1" x14ac:dyDescent="0.3">
      <c r="A856" s="4" t="s">
        <v>196</v>
      </c>
      <c r="B856" s="8">
        <v>0</v>
      </c>
      <c r="C856" s="9">
        <v>0</v>
      </c>
      <c r="D856" s="8">
        <v>1</v>
      </c>
      <c r="E856" s="10" t="s">
        <v>217</v>
      </c>
      <c r="F856" s="11" t="s">
        <v>217</v>
      </c>
      <c r="G856" s="12" t="s">
        <v>216</v>
      </c>
      <c r="H856" s="13" t="s">
        <v>217</v>
      </c>
      <c r="I856" s="14">
        <v>1</v>
      </c>
      <c r="J856" s="14" t="s">
        <v>10</v>
      </c>
      <c r="K856" s="5" t="s">
        <v>2107</v>
      </c>
      <c r="L856" s="6">
        <v>0.45833333333333331</v>
      </c>
      <c r="M856" s="7" t="s">
        <v>2108</v>
      </c>
      <c r="N856" s="14" t="s">
        <v>11</v>
      </c>
      <c r="O856" s="14">
        <v>1</v>
      </c>
      <c r="P856" s="13" t="s">
        <v>217</v>
      </c>
      <c r="Q856" s="12" t="s">
        <v>216</v>
      </c>
      <c r="R856" s="11" t="s">
        <v>217</v>
      </c>
      <c r="S856" s="10" t="s">
        <v>217</v>
      </c>
      <c r="T856" s="8">
        <v>1</v>
      </c>
      <c r="U856" s="9">
        <v>0</v>
      </c>
      <c r="V856" s="8">
        <v>0</v>
      </c>
      <c r="W856" s="17"/>
      <c r="X856" s="65">
        <v>46250</v>
      </c>
    </row>
    <row r="857" spans="1:24" ht="19.8" thickBot="1" x14ac:dyDescent="0.3">
      <c r="A857" s="4" t="s">
        <v>196</v>
      </c>
      <c r="B857" s="8">
        <v>1</v>
      </c>
      <c r="C857" s="15">
        <v>1</v>
      </c>
      <c r="D857" s="8">
        <v>1</v>
      </c>
      <c r="E857" s="10" t="s">
        <v>218</v>
      </c>
      <c r="F857" s="11" t="s">
        <v>216</v>
      </c>
      <c r="G857" s="12" t="s">
        <v>278</v>
      </c>
      <c r="H857" s="13" t="s">
        <v>219</v>
      </c>
      <c r="I857" s="14">
        <v>1</v>
      </c>
      <c r="J857" s="14" t="s">
        <v>10</v>
      </c>
      <c r="K857" s="5" t="s">
        <v>2109</v>
      </c>
      <c r="L857" s="6">
        <v>0.5625</v>
      </c>
      <c r="M857" s="7" t="s">
        <v>2110</v>
      </c>
      <c r="N857" s="14" t="s">
        <v>11</v>
      </c>
      <c r="O857" s="14">
        <v>1</v>
      </c>
      <c r="P857" s="13" t="s">
        <v>217</v>
      </c>
      <c r="Q857" s="12" t="s">
        <v>219</v>
      </c>
      <c r="R857" s="11" t="s">
        <v>219</v>
      </c>
      <c r="S857" s="10" t="s">
        <v>219</v>
      </c>
      <c r="T857" s="8">
        <v>0</v>
      </c>
      <c r="U857" s="9">
        <v>0</v>
      </c>
      <c r="V857" s="8">
        <v>0</v>
      </c>
      <c r="W857" s="17"/>
      <c r="X857" s="65">
        <v>46250</v>
      </c>
    </row>
    <row r="858" spans="1:24" ht="13.8" thickBot="1" x14ac:dyDescent="0.3">
      <c r="A858" s="4" t="s">
        <v>196</v>
      </c>
      <c r="B858" s="8">
        <v>0.27</v>
      </c>
      <c r="C858" s="9">
        <v>0.36</v>
      </c>
      <c r="D858" s="8">
        <v>0.64</v>
      </c>
      <c r="E858" s="10" t="s">
        <v>265</v>
      </c>
      <c r="F858" s="11" t="s">
        <v>313</v>
      </c>
      <c r="G858" s="12" t="s">
        <v>315</v>
      </c>
      <c r="H858" s="13" t="s">
        <v>298</v>
      </c>
      <c r="I858" s="14">
        <v>11</v>
      </c>
      <c r="J858" s="14" t="s">
        <v>10</v>
      </c>
      <c r="K858" s="5" t="s">
        <v>2111</v>
      </c>
      <c r="L858" s="6">
        <v>0.35416666666666669</v>
      </c>
      <c r="M858" s="7" t="s">
        <v>2112</v>
      </c>
      <c r="N858" s="14" t="s">
        <v>11</v>
      </c>
      <c r="O858" s="14">
        <v>11</v>
      </c>
      <c r="P858" s="13" t="s">
        <v>303</v>
      </c>
      <c r="Q858" s="12" t="s">
        <v>303</v>
      </c>
      <c r="R858" s="11" t="s">
        <v>217</v>
      </c>
      <c r="S858" s="10" t="s">
        <v>300</v>
      </c>
      <c r="T858" s="8">
        <v>0.55000000000000004</v>
      </c>
      <c r="U858" s="9">
        <v>0.09</v>
      </c>
      <c r="V858" s="8">
        <v>0.09</v>
      </c>
      <c r="W858" s="17"/>
      <c r="X858" s="65">
        <v>46250</v>
      </c>
    </row>
    <row r="859" spans="1:24" ht="19.8" thickBot="1" x14ac:dyDescent="0.3">
      <c r="A859" s="4" t="s">
        <v>196</v>
      </c>
      <c r="B859" s="8">
        <v>0.18</v>
      </c>
      <c r="C859" s="9">
        <v>0.45</v>
      </c>
      <c r="D859" s="8">
        <v>0.55000000000000004</v>
      </c>
      <c r="E859" s="10" t="s">
        <v>301</v>
      </c>
      <c r="F859" s="11" t="s">
        <v>301</v>
      </c>
      <c r="G859" s="12" t="s">
        <v>314</v>
      </c>
      <c r="H859" s="13" t="s">
        <v>255</v>
      </c>
      <c r="I859" s="14">
        <v>11</v>
      </c>
      <c r="J859" s="14" t="s">
        <v>10</v>
      </c>
      <c r="K859" s="5" t="s">
        <v>2113</v>
      </c>
      <c r="L859" s="6">
        <v>0.35416666666666669</v>
      </c>
      <c r="M859" s="7" t="s">
        <v>2114</v>
      </c>
      <c r="N859" s="14" t="s">
        <v>11</v>
      </c>
      <c r="O859" s="14">
        <v>11</v>
      </c>
      <c r="P859" s="13" t="s">
        <v>265</v>
      </c>
      <c r="Q859" s="12" t="s">
        <v>314</v>
      </c>
      <c r="R859" s="11" t="s">
        <v>301</v>
      </c>
      <c r="S859" s="10" t="s">
        <v>301</v>
      </c>
      <c r="T859" s="8">
        <v>0.73</v>
      </c>
      <c r="U859" s="9">
        <v>0.27</v>
      </c>
      <c r="V859" s="8">
        <v>0.18</v>
      </c>
      <c r="W859" s="17"/>
      <c r="X859" s="65">
        <v>46250</v>
      </c>
    </row>
    <row r="860" spans="1:24" ht="13.8" thickBot="1" x14ac:dyDescent="0.3">
      <c r="A860" s="4" t="s">
        <v>196</v>
      </c>
      <c r="B860" s="8">
        <v>0.55000000000000004</v>
      </c>
      <c r="C860" s="15">
        <v>0.73</v>
      </c>
      <c r="D860" s="8">
        <v>0.73</v>
      </c>
      <c r="E860" s="10" t="s">
        <v>256</v>
      </c>
      <c r="F860" s="11" t="s">
        <v>256</v>
      </c>
      <c r="G860" s="12" t="s">
        <v>1312</v>
      </c>
      <c r="H860" s="13" t="s">
        <v>302</v>
      </c>
      <c r="I860" s="14">
        <v>11</v>
      </c>
      <c r="J860" s="14" t="s">
        <v>10</v>
      </c>
      <c r="K860" s="5" t="s">
        <v>2115</v>
      </c>
      <c r="L860" s="6">
        <v>0.35416666666666669</v>
      </c>
      <c r="M860" s="7" t="s">
        <v>2116</v>
      </c>
      <c r="N860" s="14" t="s">
        <v>11</v>
      </c>
      <c r="O860" s="14">
        <v>11</v>
      </c>
      <c r="P860" s="13" t="s">
        <v>302</v>
      </c>
      <c r="Q860" s="12" t="s">
        <v>259</v>
      </c>
      <c r="R860" s="11" t="s">
        <v>217</v>
      </c>
      <c r="S860" s="10" t="s">
        <v>298</v>
      </c>
      <c r="T860" s="8">
        <v>0.55000000000000004</v>
      </c>
      <c r="U860" s="9">
        <v>0.36</v>
      </c>
      <c r="V860" s="8">
        <v>0.09</v>
      </c>
      <c r="W860" s="17"/>
      <c r="X860" s="65">
        <v>46250</v>
      </c>
    </row>
    <row r="861" spans="1:24" ht="13.8" thickBot="1" x14ac:dyDescent="0.3">
      <c r="A861" s="4" t="s">
        <v>196</v>
      </c>
      <c r="B861" s="8">
        <v>0.4</v>
      </c>
      <c r="C861" s="15">
        <v>0.7</v>
      </c>
      <c r="D861" s="8">
        <v>0.8</v>
      </c>
      <c r="E861" s="10" t="s">
        <v>227</v>
      </c>
      <c r="F861" s="11" t="s">
        <v>216</v>
      </c>
      <c r="G861" s="12" t="s">
        <v>281</v>
      </c>
      <c r="H861" s="13" t="s">
        <v>249</v>
      </c>
      <c r="I861" s="14">
        <v>10</v>
      </c>
      <c r="J861" s="14" t="s">
        <v>10</v>
      </c>
      <c r="K861" s="5" t="s">
        <v>2117</v>
      </c>
      <c r="L861" s="6">
        <v>0.35416666666666669</v>
      </c>
      <c r="M861" s="7" t="s">
        <v>2118</v>
      </c>
      <c r="N861" s="14" t="s">
        <v>11</v>
      </c>
      <c r="O861" s="14">
        <v>9</v>
      </c>
      <c r="P861" s="13" t="s">
        <v>217</v>
      </c>
      <c r="Q861" s="12" t="s">
        <v>307</v>
      </c>
      <c r="R861" s="11" t="s">
        <v>228</v>
      </c>
      <c r="S861" s="10" t="s">
        <v>228</v>
      </c>
      <c r="T861" s="8">
        <v>0.56000000000000005</v>
      </c>
      <c r="U861" s="9">
        <v>0.44</v>
      </c>
      <c r="V861" s="8">
        <v>0.33</v>
      </c>
      <c r="W861" s="17"/>
      <c r="X861" s="65">
        <v>46250</v>
      </c>
    </row>
    <row r="862" spans="1:24" ht="13.8" thickBot="1" x14ac:dyDescent="0.3">
      <c r="A862" s="4" t="s">
        <v>196</v>
      </c>
      <c r="B862" s="8">
        <v>0.17</v>
      </c>
      <c r="C862" s="9">
        <v>0.33</v>
      </c>
      <c r="D862" s="8">
        <v>1</v>
      </c>
      <c r="E862" s="10" t="s">
        <v>348</v>
      </c>
      <c r="F862" s="11" t="s">
        <v>224</v>
      </c>
      <c r="G862" s="12" t="s">
        <v>221</v>
      </c>
      <c r="H862" s="13" t="s">
        <v>348</v>
      </c>
      <c r="I862" s="14">
        <v>6</v>
      </c>
      <c r="J862" s="14" t="s">
        <v>10</v>
      </c>
      <c r="K862" s="5" t="s">
        <v>2119</v>
      </c>
      <c r="L862" s="6">
        <v>0.35416666666666669</v>
      </c>
      <c r="M862" s="7" t="s">
        <v>2120</v>
      </c>
      <c r="N862" s="14" t="s">
        <v>11</v>
      </c>
      <c r="O862" s="14">
        <v>10</v>
      </c>
      <c r="P862" s="13" t="s">
        <v>824</v>
      </c>
      <c r="Q862" s="12" t="s">
        <v>269</v>
      </c>
      <c r="R862" s="11" t="s">
        <v>273</v>
      </c>
      <c r="S862" s="10" t="s">
        <v>216</v>
      </c>
      <c r="T862" s="8">
        <v>0.8</v>
      </c>
      <c r="U862" s="15">
        <v>0.8</v>
      </c>
      <c r="V862" s="8">
        <v>0.6</v>
      </c>
      <c r="W862" s="17"/>
      <c r="X862" s="65">
        <v>46250</v>
      </c>
    </row>
    <row r="863" spans="1:24" ht="13.8" thickBot="1" x14ac:dyDescent="0.3">
      <c r="A863" s="4" t="s">
        <v>196</v>
      </c>
      <c r="B863" s="8">
        <v>0.3</v>
      </c>
      <c r="C863" s="9">
        <v>0.3</v>
      </c>
      <c r="D863" s="8">
        <v>0.4</v>
      </c>
      <c r="E863" s="10" t="s">
        <v>270</v>
      </c>
      <c r="F863" s="11" t="s">
        <v>824</v>
      </c>
      <c r="G863" s="12" t="s">
        <v>216</v>
      </c>
      <c r="H863" s="13" t="s">
        <v>816</v>
      </c>
      <c r="I863" s="14">
        <v>10</v>
      </c>
      <c r="J863" s="14" t="s">
        <v>10</v>
      </c>
      <c r="K863" s="5" t="s">
        <v>2121</v>
      </c>
      <c r="L863" s="6">
        <v>0.35416666666666669</v>
      </c>
      <c r="M863" s="7" t="s">
        <v>2122</v>
      </c>
      <c r="N863" s="14" t="s">
        <v>11</v>
      </c>
      <c r="O863" s="14">
        <v>9</v>
      </c>
      <c r="P863" s="13" t="s">
        <v>217</v>
      </c>
      <c r="Q863" s="12" t="s">
        <v>230</v>
      </c>
      <c r="R863" s="11" t="s">
        <v>228</v>
      </c>
      <c r="S863" s="10" t="s">
        <v>232</v>
      </c>
      <c r="T863" s="8">
        <v>0.78</v>
      </c>
      <c r="U863" s="9">
        <v>0.44</v>
      </c>
      <c r="V863" s="8">
        <v>0.33</v>
      </c>
      <c r="W863" s="17"/>
      <c r="X863" s="65">
        <v>46250</v>
      </c>
    </row>
    <row r="864" spans="1:24" ht="19.8" thickBot="1" x14ac:dyDescent="0.3">
      <c r="A864" s="4" t="s">
        <v>196</v>
      </c>
      <c r="B864" s="8">
        <v>0.44</v>
      </c>
      <c r="C864" s="15">
        <v>0.89</v>
      </c>
      <c r="D864" s="8">
        <v>0.89</v>
      </c>
      <c r="E864" s="10" t="s">
        <v>229</v>
      </c>
      <c r="F864" s="11" t="s">
        <v>333</v>
      </c>
      <c r="G864" s="12" t="s">
        <v>349</v>
      </c>
      <c r="H864" s="13" t="s">
        <v>343</v>
      </c>
      <c r="I864" s="14">
        <v>9</v>
      </c>
      <c r="J864" s="14" t="s">
        <v>10</v>
      </c>
      <c r="K864" s="5" t="s">
        <v>2123</v>
      </c>
      <c r="L864" s="6">
        <v>0.35416666666666669</v>
      </c>
      <c r="M864" s="7" t="s">
        <v>2124</v>
      </c>
      <c r="N864" s="14" t="s">
        <v>11</v>
      </c>
      <c r="O864" s="14">
        <v>8</v>
      </c>
      <c r="P864" s="13" t="s">
        <v>286</v>
      </c>
      <c r="Q864" s="12" t="s">
        <v>911</v>
      </c>
      <c r="R864" s="11" t="s">
        <v>217</v>
      </c>
      <c r="S864" s="10" t="s">
        <v>239</v>
      </c>
      <c r="T864" s="8">
        <v>0.75</v>
      </c>
      <c r="U864" s="9">
        <v>0.38</v>
      </c>
      <c r="V864" s="8">
        <v>0.25</v>
      </c>
      <c r="W864" s="17"/>
      <c r="X864" s="65">
        <v>46250</v>
      </c>
    </row>
    <row r="865" spans="1:24" ht="19.8" thickBot="1" x14ac:dyDescent="0.3">
      <c r="A865" s="4" t="s">
        <v>199</v>
      </c>
      <c r="B865" s="8">
        <v>0.14000000000000001</v>
      </c>
      <c r="C865" s="15">
        <v>0.56999999999999995</v>
      </c>
      <c r="D865" s="8">
        <v>0.86</v>
      </c>
      <c r="E865" s="10" t="s">
        <v>842</v>
      </c>
      <c r="F865" s="11" t="s">
        <v>350</v>
      </c>
      <c r="G865" s="12" t="s">
        <v>1381</v>
      </c>
      <c r="H865" s="13" t="s">
        <v>292</v>
      </c>
      <c r="I865" s="14">
        <v>7</v>
      </c>
      <c r="J865" s="14" t="s">
        <v>10</v>
      </c>
      <c r="K865" s="5" t="s">
        <v>201</v>
      </c>
      <c r="L865" s="6">
        <v>0.41666666666666669</v>
      </c>
      <c r="M865" s="7" t="s">
        <v>2125</v>
      </c>
      <c r="N865" s="14" t="s">
        <v>11</v>
      </c>
      <c r="O865" s="14">
        <v>8</v>
      </c>
      <c r="P865" s="13" t="s">
        <v>222</v>
      </c>
      <c r="Q865" s="12" t="s">
        <v>342</v>
      </c>
      <c r="R865" s="11" t="s">
        <v>222</v>
      </c>
      <c r="S865" s="10" t="s">
        <v>911</v>
      </c>
      <c r="T865" s="8">
        <v>1</v>
      </c>
      <c r="U865" s="9">
        <v>0.5</v>
      </c>
      <c r="V865" s="8">
        <v>0.25</v>
      </c>
      <c r="W865" s="17"/>
      <c r="X865" s="65">
        <v>46250</v>
      </c>
    </row>
    <row r="866" spans="1:24" ht="13.8" thickBot="1" x14ac:dyDescent="0.3">
      <c r="A866" s="4" t="s">
        <v>199</v>
      </c>
      <c r="B866" s="8">
        <v>0.25</v>
      </c>
      <c r="C866" s="9">
        <v>0.5</v>
      </c>
      <c r="D866" s="8">
        <v>0.62</v>
      </c>
      <c r="E866" s="10" t="s">
        <v>223</v>
      </c>
      <c r="F866" s="11" t="s">
        <v>222</v>
      </c>
      <c r="G866" s="12" t="s">
        <v>221</v>
      </c>
      <c r="H866" s="13" t="s">
        <v>237</v>
      </c>
      <c r="I866" s="14">
        <v>8</v>
      </c>
      <c r="J866" s="14" t="s">
        <v>10</v>
      </c>
      <c r="K866" s="5" t="s">
        <v>2126</v>
      </c>
      <c r="L866" s="6">
        <v>0.41666666666666669</v>
      </c>
      <c r="M866" s="7" t="s">
        <v>200</v>
      </c>
      <c r="N866" s="14" t="s">
        <v>11</v>
      </c>
      <c r="O866" s="14">
        <v>8</v>
      </c>
      <c r="P866" s="13" t="s">
        <v>217</v>
      </c>
      <c r="Q866" s="12" t="s">
        <v>1241</v>
      </c>
      <c r="R866" s="11" t="s">
        <v>286</v>
      </c>
      <c r="S866" s="10" t="s">
        <v>218</v>
      </c>
      <c r="T866" s="8">
        <v>1</v>
      </c>
      <c r="U866" s="15">
        <v>0.62</v>
      </c>
      <c r="V866" s="8">
        <v>0.62</v>
      </c>
      <c r="W866" s="17"/>
      <c r="X866" s="65">
        <v>46250</v>
      </c>
    </row>
    <row r="867" spans="1:24" ht="13.8" thickBot="1" x14ac:dyDescent="0.3">
      <c r="A867" s="4" t="s">
        <v>199</v>
      </c>
      <c r="B867" s="8">
        <v>0.5</v>
      </c>
      <c r="C867" s="15">
        <v>0.75</v>
      </c>
      <c r="D867" s="8">
        <v>0.88</v>
      </c>
      <c r="E867" s="10" t="s">
        <v>294</v>
      </c>
      <c r="F867" s="11" t="s">
        <v>330</v>
      </c>
      <c r="G867" s="12" t="s">
        <v>1141</v>
      </c>
      <c r="H867" s="13" t="s">
        <v>239</v>
      </c>
      <c r="I867" s="14">
        <v>8</v>
      </c>
      <c r="J867" s="14" t="s">
        <v>10</v>
      </c>
      <c r="K867" s="5" t="s">
        <v>2127</v>
      </c>
      <c r="L867" s="6">
        <v>0.41666666666666669</v>
      </c>
      <c r="M867" s="7" t="s">
        <v>2128</v>
      </c>
      <c r="N867" s="14" t="s">
        <v>11</v>
      </c>
      <c r="O867" s="14">
        <v>9</v>
      </c>
      <c r="P867" s="13" t="s">
        <v>343</v>
      </c>
      <c r="Q867" s="12" t="s">
        <v>218</v>
      </c>
      <c r="R867" s="11" t="s">
        <v>344</v>
      </c>
      <c r="S867" s="10" t="s">
        <v>224</v>
      </c>
      <c r="T867" s="8">
        <v>0.89</v>
      </c>
      <c r="U867" s="15">
        <v>0.67</v>
      </c>
      <c r="V867" s="8">
        <v>0.22</v>
      </c>
      <c r="W867" s="17"/>
      <c r="X867" s="65">
        <v>46250</v>
      </c>
    </row>
    <row r="868" spans="1:24" ht="13.8" thickBot="1" x14ac:dyDescent="0.3">
      <c r="A868" s="4" t="s">
        <v>199</v>
      </c>
      <c r="B868" s="8">
        <v>0.12</v>
      </c>
      <c r="C868" s="9">
        <v>0.25</v>
      </c>
      <c r="D868" s="8">
        <v>0.62</v>
      </c>
      <c r="E868" s="10" t="s">
        <v>347</v>
      </c>
      <c r="F868" s="11" t="s">
        <v>220</v>
      </c>
      <c r="G868" s="12" t="s">
        <v>236</v>
      </c>
      <c r="H868" s="13" t="s">
        <v>236</v>
      </c>
      <c r="I868" s="14">
        <v>8</v>
      </c>
      <c r="J868" s="14" t="s">
        <v>10</v>
      </c>
      <c r="K868" s="5" t="s">
        <v>2129</v>
      </c>
      <c r="L868" s="6">
        <v>0.52083333333333337</v>
      </c>
      <c r="M868" s="7" t="s">
        <v>2130</v>
      </c>
      <c r="N868" s="14" t="s">
        <v>11</v>
      </c>
      <c r="O868" s="14">
        <v>8</v>
      </c>
      <c r="P868" s="13" t="s">
        <v>223</v>
      </c>
      <c r="Q868" s="12" t="s">
        <v>330</v>
      </c>
      <c r="R868" s="11" t="s">
        <v>286</v>
      </c>
      <c r="S868" s="10" t="s">
        <v>286</v>
      </c>
      <c r="T868" s="8">
        <v>0.62</v>
      </c>
      <c r="U868" s="9">
        <v>0.5</v>
      </c>
      <c r="V868" s="8">
        <v>0.38</v>
      </c>
      <c r="W868" s="17"/>
      <c r="X868" s="65">
        <v>46250</v>
      </c>
    </row>
    <row r="869" spans="1:24" ht="13.8" thickBot="1" x14ac:dyDescent="0.3">
      <c r="A869" s="4" t="s">
        <v>199</v>
      </c>
      <c r="B869" s="8">
        <v>0.12</v>
      </c>
      <c r="C869" s="15">
        <v>0.62</v>
      </c>
      <c r="D869" s="8">
        <v>0.88</v>
      </c>
      <c r="E869" s="10" t="s">
        <v>296</v>
      </c>
      <c r="F869" s="11" t="s">
        <v>223</v>
      </c>
      <c r="G869" s="12" t="s">
        <v>911</v>
      </c>
      <c r="H869" s="13" t="s">
        <v>240</v>
      </c>
      <c r="I869" s="14">
        <v>8</v>
      </c>
      <c r="J869" s="14" t="s">
        <v>10</v>
      </c>
      <c r="K869" s="5" t="s">
        <v>2131</v>
      </c>
      <c r="L869" s="6">
        <v>0.52083333333333337</v>
      </c>
      <c r="M869" s="7" t="s">
        <v>2132</v>
      </c>
      <c r="N869" s="14" t="s">
        <v>11</v>
      </c>
      <c r="O869" s="14">
        <v>7</v>
      </c>
      <c r="P869" s="13" t="s">
        <v>350</v>
      </c>
      <c r="Q869" s="12" t="s">
        <v>354</v>
      </c>
      <c r="R869" s="11" t="s">
        <v>217</v>
      </c>
      <c r="S869" s="10" t="s">
        <v>842</v>
      </c>
      <c r="T869" s="8">
        <v>0.86</v>
      </c>
      <c r="U869" s="9">
        <v>0.28999999999999998</v>
      </c>
      <c r="V869" s="8">
        <v>0.14000000000000001</v>
      </c>
      <c r="W869" s="17"/>
      <c r="X869" s="65">
        <v>46250</v>
      </c>
    </row>
    <row r="870" spans="1:24" ht="13.8" thickBot="1" x14ac:dyDescent="0.3">
      <c r="A870" s="4" t="s">
        <v>199</v>
      </c>
      <c r="B870" s="8">
        <v>0.38</v>
      </c>
      <c r="C870" s="9">
        <v>0.5</v>
      </c>
      <c r="D870" s="8">
        <v>0.62</v>
      </c>
      <c r="E870" s="10" t="s">
        <v>293</v>
      </c>
      <c r="F870" s="11" t="s">
        <v>293</v>
      </c>
      <c r="G870" s="12" t="s">
        <v>221</v>
      </c>
      <c r="H870" s="13" t="s">
        <v>217</v>
      </c>
      <c r="I870" s="14">
        <v>8</v>
      </c>
      <c r="J870" s="14" t="s">
        <v>10</v>
      </c>
      <c r="K870" s="5" t="s">
        <v>2133</v>
      </c>
      <c r="L870" s="6">
        <v>0.375</v>
      </c>
      <c r="M870" s="7" t="s">
        <v>2134</v>
      </c>
      <c r="N870" s="14" t="s">
        <v>11</v>
      </c>
      <c r="O870" s="14">
        <v>9</v>
      </c>
      <c r="P870" s="13" t="s">
        <v>224</v>
      </c>
      <c r="Q870" s="12" t="s">
        <v>325</v>
      </c>
      <c r="R870" s="11" t="s">
        <v>232</v>
      </c>
      <c r="S870" s="10" t="s">
        <v>284</v>
      </c>
      <c r="T870" s="8">
        <v>0.78</v>
      </c>
      <c r="U870" s="9">
        <v>0.44</v>
      </c>
      <c r="V870" s="8">
        <v>0.22</v>
      </c>
      <c r="W870" s="17"/>
      <c r="X870" s="65">
        <v>46250</v>
      </c>
    </row>
    <row r="871" spans="1:24" ht="13.8" thickBot="1" x14ac:dyDescent="0.3">
      <c r="A871" s="4" t="s">
        <v>199</v>
      </c>
      <c r="B871" s="8">
        <v>0.5</v>
      </c>
      <c r="C871" s="15">
        <v>0.62</v>
      </c>
      <c r="D871" s="8">
        <v>1</v>
      </c>
      <c r="E871" s="10" t="s">
        <v>911</v>
      </c>
      <c r="F871" s="11" t="s">
        <v>296</v>
      </c>
      <c r="G871" s="12" t="s">
        <v>246</v>
      </c>
      <c r="H871" s="13" t="s">
        <v>1565</v>
      </c>
      <c r="I871" s="14">
        <v>8</v>
      </c>
      <c r="J871" s="14" t="s">
        <v>10</v>
      </c>
      <c r="K871" s="5" t="s">
        <v>2135</v>
      </c>
      <c r="L871" s="6">
        <v>0.35416666666666669</v>
      </c>
      <c r="M871" s="7" t="s">
        <v>2136</v>
      </c>
      <c r="N871" s="14" t="s">
        <v>11</v>
      </c>
      <c r="O871" s="14">
        <v>8</v>
      </c>
      <c r="P871" s="13" t="s">
        <v>222</v>
      </c>
      <c r="Q871" s="12" t="s">
        <v>1149</v>
      </c>
      <c r="R871" s="11" t="s">
        <v>286</v>
      </c>
      <c r="S871" s="10" t="s">
        <v>295</v>
      </c>
      <c r="T871" s="8">
        <v>1</v>
      </c>
      <c r="U871" s="15">
        <v>0.88</v>
      </c>
      <c r="V871" s="8">
        <v>0.62</v>
      </c>
      <c r="W871" s="17"/>
      <c r="X871" s="65">
        <v>46250</v>
      </c>
    </row>
    <row r="872" spans="1:24" ht="19.8" thickBot="1" x14ac:dyDescent="0.3">
      <c r="A872" s="4" t="s">
        <v>199</v>
      </c>
      <c r="B872" s="8">
        <v>0.25</v>
      </c>
      <c r="C872" s="9">
        <v>0.5</v>
      </c>
      <c r="D872" s="8">
        <v>0.88</v>
      </c>
      <c r="E872" s="10" t="s">
        <v>296</v>
      </c>
      <c r="F872" s="11" t="s">
        <v>236</v>
      </c>
      <c r="G872" s="12" t="s">
        <v>330</v>
      </c>
      <c r="H872" s="13" t="s">
        <v>216</v>
      </c>
      <c r="I872" s="14">
        <v>8</v>
      </c>
      <c r="J872" s="14" t="s">
        <v>10</v>
      </c>
      <c r="K872" s="5" t="s">
        <v>2137</v>
      </c>
      <c r="L872" s="6">
        <v>0.375</v>
      </c>
      <c r="M872" s="7" t="s">
        <v>2138</v>
      </c>
      <c r="N872" s="14" t="s">
        <v>11</v>
      </c>
      <c r="O872" s="14">
        <v>7</v>
      </c>
      <c r="P872" s="13" t="s">
        <v>216</v>
      </c>
      <c r="Q872" s="12" t="s">
        <v>351</v>
      </c>
      <c r="R872" s="11" t="s">
        <v>216</v>
      </c>
      <c r="S872" s="10" t="s">
        <v>290</v>
      </c>
      <c r="T872" s="8">
        <v>0.56999999999999995</v>
      </c>
      <c r="U872" s="15">
        <v>0.56999999999999995</v>
      </c>
      <c r="V872" s="8">
        <v>0.43</v>
      </c>
      <c r="W872" s="17"/>
      <c r="X872" s="65">
        <v>46250</v>
      </c>
    </row>
    <row r="873" spans="1:24" ht="13.8" thickBot="1" x14ac:dyDescent="0.3">
      <c r="A873" s="4" t="s">
        <v>199</v>
      </c>
      <c r="B873" s="8">
        <v>0.25</v>
      </c>
      <c r="C873" s="9">
        <v>0.38</v>
      </c>
      <c r="D873" s="8">
        <v>0.75</v>
      </c>
      <c r="E873" s="10" t="s">
        <v>223</v>
      </c>
      <c r="F873" s="11" t="s">
        <v>217</v>
      </c>
      <c r="G873" s="12" t="s">
        <v>330</v>
      </c>
      <c r="H873" s="13" t="s">
        <v>286</v>
      </c>
      <c r="I873" s="14">
        <v>8</v>
      </c>
      <c r="J873" s="14" t="s">
        <v>10</v>
      </c>
      <c r="K873" s="5" t="s">
        <v>2139</v>
      </c>
      <c r="L873" s="6">
        <v>0.5</v>
      </c>
      <c r="M873" s="7" t="s">
        <v>2140</v>
      </c>
      <c r="N873" s="14" t="s">
        <v>11</v>
      </c>
      <c r="O873" s="14">
        <v>7</v>
      </c>
      <c r="P873" s="13" t="s">
        <v>290</v>
      </c>
      <c r="Q873" s="12" t="s">
        <v>351</v>
      </c>
      <c r="R873" s="11" t="s">
        <v>929</v>
      </c>
      <c r="S873" s="10" t="s">
        <v>916</v>
      </c>
      <c r="T873" s="8">
        <v>1</v>
      </c>
      <c r="U873" s="15">
        <v>0.71</v>
      </c>
      <c r="V873" s="8">
        <v>0.28999999999999998</v>
      </c>
      <c r="W873" s="17"/>
      <c r="X873" s="65">
        <v>46250</v>
      </c>
    </row>
    <row r="874" spans="1:24" ht="13.8" thickBot="1" x14ac:dyDescent="0.3">
      <c r="A874" s="4" t="s">
        <v>199</v>
      </c>
      <c r="B874" s="8">
        <v>0.62</v>
      </c>
      <c r="C874" s="15">
        <v>0.75</v>
      </c>
      <c r="D874" s="8">
        <v>1</v>
      </c>
      <c r="E874" s="10" t="s">
        <v>293</v>
      </c>
      <c r="F874" s="11" t="s">
        <v>295</v>
      </c>
      <c r="G874" s="12" t="s">
        <v>345</v>
      </c>
      <c r="H874" s="13" t="s">
        <v>216</v>
      </c>
      <c r="I874" s="14">
        <v>8</v>
      </c>
      <c r="J874" s="14" t="s">
        <v>10</v>
      </c>
      <c r="K874" s="5" t="s">
        <v>2141</v>
      </c>
      <c r="L874" s="6">
        <v>0.375</v>
      </c>
      <c r="M874" s="7" t="s">
        <v>2142</v>
      </c>
      <c r="N874" s="14" t="s">
        <v>11</v>
      </c>
      <c r="O874" s="14">
        <v>7</v>
      </c>
      <c r="P874" s="13" t="s">
        <v>292</v>
      </c>
      <c r="Q874" s="12" t="s">
        <v>297</v>
      </c>
      <c r="R874" s="11" t="s">
        <v>842</v>
      </c>
      <c r="S874" s="10" t="s">
        <v>216</v>
      </c>
      <c r="T874" s="8">
        <v>0.86</v>
      </c>
      <c r="U874" s="15">
        <v>0.86</v>
      </c>
      <c r="V874" s="8">
        <v>0.43</v>
      </c>
      <c r="W874" s="17"/>
      <c r="X874" s="65">
        <v>46250</v>
      </c>
    </row>
    <row r="875" spans="1:24" ht="13.8" thickBot="1" x14ac:dyDescent="0.3">
      <c r="A875" s="4" t="s">
        <v>199</v>
      </c>
      <c r="B875" s="8">
        <v>0.5</v>
      </c>
      <c r="C875" s="15">
        <v>0.88</v>
      </c>
      <c r="D875" s="8">
        <v>0.88</v>
      </c>
      <c r="E875" s="10" t="s">
        <v>294</v>
      </c>
      <c r="F875" s="11" t="s">
        <v>295</v>
      </c>
      <c r="G875" s="12" t="s">
        <v>246</v>
      </c>
      <c r="H875" s="13" t="s">
        <v>240</v>
      </c>
      <c r="I875" s="14">
        <v>8</v>
      </c>
      <c r="J875" s="14" t="s">
        <v>10</v>
      </c>
      <c r="K875" s="5" t="s">
        <v>2143</v>
      </c>
      <c r="L875" s="6">
        <v>0.5</v>
      </c>
      <c r="M875" s="7" t="s">
        <v>2144</v>
      </c>
      <c r="N875" s="14" t="s">
        <v>11</v>
      </c>
      <c r="O875" s="14">
        <v>8</v>
      </c>
      <c r="P875" s="13" t="s">
        <v>222</v>
      </c>
      <c r="Q875" s="12" t="s">
        <v>329</v>
      </c>
      <c r="R875" s="11" t="s">
        <v>296</v>
      </c>
      <c r="S875" s="10" t="s">
        <v>216</v>
      </c>
      <c r="T875" s="8">
        <v>0.88</v>
      </c>
      <c r="U875" s="15">
        <v>0.62</v>
      </c>
      <c r="V875" s="8">
        <v>0.38</v>
      </c>
      <c r="W875" s="17"/>
      <c r="X875" s="65">
        <v>46250</v>
      </c>
    </row>
    <row r="876" spans="1:24" ht="13.8" thickBot="1" x14ac:dyDescent="0.3">
      <c r="A876" s="4" t="s">
        <v>199</v>
      </c>
      <c r="B876" s="8">
        <v>0.28999999999999998</v>
      </c>
      <c r="C876" s="15">
        <v>0.86</v>
      </c>
      <c r="D876" s="8">
        <v>0.86</v>
      </c>
      <c r="E876" s="10" t="s">
        <v>916</v>
      </c>
      <c r="F876" s="11" t="s">
        <v>929</v>
      </c>
      <c r="G876" s="12" t="s">
        <v>351</v>
      </c>
      <c r="H876" s="13" t="s">
        <v>842</v>
      </c>
      <c r="I876" s="14">
        <v>7</v>
      </c>
      <c r="J876" s="14" t="s">
        <v>10</v>
      </c>
      <c r="K876" s="5" t="s">
        <v>2145</v>
      </c>
      <c r="L876" s="6">
        <v>0.5</v>
      </c>
      <c r="M876" s="7" t="s">
        <v>2146</v>
      </c>
      <c r="N876" s="14" t="s">
        <v>11</v>
      </c>
      <c r="O876" s="14">
        <v>8</v>
      </c>
      <c r="P876" s="13" t="s">
        <v>247</v>
      </c>
      <c r="Q876" s="12" t="s">
        <v>1151</v>
      </c>
      <c r="R876" s="11" t="s">
        <v>217</v>
      </c>
      <c r="S876" s="10" t="s">
        <v>346</v>
      </c>
      <c r="T876" s="8">
        <v>1</v>
      </c>
      <c r="U876" s="15">
        <v>1</v>
      </c>
      <c r="V876" s="8">
        <v>0.75</v>
      </c>
      <c r="W876" s="17"/>
      <c r="X876" s="65">
        <v>46250</v>
      </c>
    </row>
    <row r="877" spans="1:24" ht="19.8" thickBot="1" x14ac:dyDescent="0.3">
      <c r="A877" s="4" t="s">
        <v>199</v>
      </c>
      <c r="B877" s="8">
        <v>0.14000000000000001</v>
      </c>
      <c r="C877" s="9">
        <v>0.43</v>
      </c>
      <c r="D877" s="8">
        <v>0.86</v>
      </c>
      <c r="E877" s="10" t="s">
        <v>842</v>
      </c>
      <c r="F877" s="11" t="s">
        <v>292</v>
      </c>
      <c r="G877" s="12" t="s">
        <v>849</v>
      </c>
      <c r="H877" s="13" t="s">
        <v>292</v>
      </c>
      <c r="I877" s="14">
        <v>7</v>
      </c>
      <c r="J877" s="14" t="s">
        <v>10</v>
      </c>
      <c r="K877" s="5" t="s">
        <v>2147</v>
      </c>
      <c r="L877" s="6">
        <v>0.45833333333333331</v>
      </c>
      <c r="M877" s="7" t="s">
        <v>2148</v>
      </c>
      <c r="N877" s="14" t="s">
        <v>11</v>
      </c>
      <c r="O877" s="14">
        <v>6</v>
      </c>
      <c r="P877" s="13" t="s">
        <v>288</v>
      </c>
      <c r="Q877" s="12" t="s">
        <v>1403</v>
      </c>
      <c r="R877" s="11" t="s">
        <v>224</v>
      </c>
      <c r="S877" s="10" t="s">
        <v>221</v>
      </c>
      <c r="T877" s="8">
        <v>0.83</v>
      </c>
      <c r="U877" s="15">
        <v>0.67</v>
      </c>
      <c r="V877" s="8">
        <v>0.67</v>
      </c>
      <c r="W877" s="17"/>
      <c r="X877" s="65">
        <v>46250</v>
      </c>
    </row>
    <row r="878" spans="1:24" ht="13.8" thickBot="1" x14ac:dyDescent="0.3">
      <c r="A878" s="4" t="s">
        <v>355</v>
      </c>
      <c r="B878" s="63"/>
      <c r="C878" s="63"/>
      <c r="D878" s="63"/>
      <c r="E878" s="63"/>
      <c r="F878" s="63"/>
      <c r="G878" s="63"/>
      <c r="H878" s="63"/>
      <c r="I878" s="64"/>
      <c r="J878" s="14" t="s">
        <v>10</v>
      </c>
      <c r="K878" s="5" t="s">
        <v>2149</v>
      </c>
      <c r="L878" s="6">
        <v>0.58333333333333337</v>
      </c>
      <c r="M878" s="7" t="s">
        <v>2150</v>
      </c>
      <c r="N878" s="14" t="s">
        <v>11</v>
      </c>
      <c r="O878" s="64"/>
      <c r="P878" s="63"/>
      <c r="Q878" s="63"/>
      <c r="R878" s="63"/>
      <c r="S878" s="63"/>
      <c r="T878" s="63"/>
      <c r="U878" s="63"/>
      <c r="V878" s="63"/>
      <c r="W878" s="17"/>
      <c r="X878" s="65">
        <v>46250</v>
      </c>
    </row>
    <row r="879" spans="1:24" ht="13.8" thickBot="1" x14ac:dyDescent="0.3">
      <c r="A879" s="4" t="s">
        <v>355</v>
      </c>
      <c r="B879" s="63"/>
      <c r="C879" s="63"/>
      <c r="D879" s="63"/>
      <c r="E879" s="63"/>
      <c r="F879" s="63"/>
      <c r="G879" s="63"/>
      <c r="H879" s="63"/>
      <c r="I879" s="64"/>
      <c r="J879" s="14" t="s">
        <v>10</v>
      </c>
      <c r="K879" s="5" t="s">
        <v>2151</v>
      </c>
      <c r="L879" s="6">
        <v>0.6875</v>
      </c>
      <c r="M879" s="7" t="s">
        <v>2152</v>
      </c>
      <c r="N879" s="14" t="s">
        <v>11</v>
      </c>
      <c r="O879" s="64"/>
      <c r="P879" s="63"/>
      <c r="Q879" s="63"/>
      <c r="R879" s="63"/>
      <c r="S879" s="63"/>
      <c r="T879" s="63"/>
      <c r="U879" s="63"/>
      <c r="V879" s="63"/>
      <c r="W879" s="17"/>
      <c r="X879" s="65">
        <v>46250</v>
      </c>
    </row>
    <row r="880" spans="1:24" ht="13.8" thickBot="1" x14ac:dyDescent="0.3">
      <c r="A880" s="4" t="s">
        <v>355</v>
      </c>
      <c r="B880" s="63"/>
      <c r="C880" s="63"/>
      <c r="D880" s="63"/>
      <c r="E880" s="63"/>
      <c r="F880" s="63"/>
      <c r="G880" s="63"/>
      <c r="H880" s="63"/>
      <c r="I880" s="64"/>
      <c r="J880" s="14" t="s">
        <v>10</v>
      </c>
      <c r="K880" s="5" t="s">
        <v>2153</v>
      </c>
      <c r="L880" s="6">
        <v>0.6875</v>
      </c>
      <c r="M880" s="7" t="s">
        <v>2154</v>
      </c>
      <c r="N880" s="14" t="s">
        <v>11</v>
      </c>
      <c r="O880" s="64"/>
      <c r="P880" s="63"/>
      <c r="Q880" s="63"/>
      <c r="R880" s="63"/>
      <c r="S880" s="63"/>
      <c r="T880" s="63"/>
      <c r="U880" s="63"/>
      <c r="V880" s="63"/>
      <c r="W880" s="17"/>
      <c r="X880" s="65">
        <v>46250</v>
      </c>
    </row>
    <row r="881" spans="1:24" ht="13.8" thickBot="1" x14ac:dyDescent="0.3">
      <c r="A881" s="4" t="s">
        <v>355</v>
      </c>
      <c r="B881" s="63"/>
      <c r="C881" s="63"/>
      <c r="D881" s="63"/>
      <c r="E881" s="63"/>
      <c r="F881" s="63"/>
      <c r="G881" s="63"/>
      <c r="H881" s="63"/>
      <c r="I881" s="64"/>
      <c r="J881" s="14" t="s">
        <v>10</v>
      </c>
      <c r="K881" s="5" t="s">
        <v>2155</v>
      </c>
      <c r="L881" s="6">
        <v>0.58333333333333337</v>
      </c>
      <c r="M881" s="7" t="s">
        <v>2156</v>
      </c>
      <c r="N881" s="14" t="s">
        <v>11</v>
      </c>
      <c r="O881" s="64"/>
      <c r="P881" s="63"/>
      <c r="Q881" s="63"/>
      <c r="R881" s="63"/>
      <c r="S881" s="63"/>
      <c r="T881" s="63"/>
      <c r="U881" s="63"/>
      <c r="V881" s="63"/>
      <c r="W881" s="17"/>
      <c r="X881" s="65">
        <v>46250</v>
      </c>
    </row>
    <row r="882" spans="1:24" ht="13.8" thickBot="1" x14ac:dyDescent="0.3">
      <c r="A882" s="4" t="s">
        <v>355</v>
      </c>
      <c r="B882" s="63"/>
      <c r="C882" s="63"/>
      <c r="D882" s="63"/>
      <c r="E882" s="63"/>
      <c r="F882" s="63"/>
      <c r="G882" s="63"/>
      <c r="H882" s="63"/>
      <c r="I882" s="64"/>
      <c r="J882" s="14" t="s">
        <v>10</v>
      </c>
      <c r="K882" s="5" t="s">
        <v>2157</v>
      </c>
      <c r="L882" s="6">
        <v>0.58333333333333337</v>
      </c>
      <c r="M882" s="7" t="s">
        <v>2158</v>
      </c>
      <c r="N882" s="14" t="s">
        <v>11</v>
      </c>
      <c r="O882" s="64"/>
      <c r="P882" s="63"/>
      <c r="Q882" s="63"/>
      <c r="R882" s="63"/>
      <c r="S882" s="63"/>
      <c r="T882" s="63"/>
      <c r="U882" s="63"/>
      <c r="V882" s="63"/>
      <c r="W882" s="17"/>
      <c r="X882" s="65">
        <v>46250</v>
      </c>
    </row>
    <row r="883" spans="1:24" ht="13.8" thickBot="1" x14ac:dyDescent="0.3">
      <c r="A883" s="4" t="s">
        <v>355</v>
      </c>
      <c r="B883" s="63"/>
      <c r="C883" s="63"/>
      <c r="D883" s="63"/>
      <c r="E883" s="63"/>
      <c r="F883" s="63"/>
      <c r="G883" s="63"/>
      <c r="H883" s="63"/>
      <c r="I883" s="64"/>
      <c r="J883" s="14" t="s">
        <v>10</v>
      </c>
      <c r="K883" s="5" t="s">
        <v>2159</v>
      </c>
      <c r="L883" s="6">
        <v>0.6875</v>
      </c>
      <c r="M883" s="7" t="s">
        <v>2160</v>
      </c>
      <c r="N883" s="14" t="s">
        <v>11</v>
      </c>
      <c r="O883" s="64"/>
      <c r="P883" s="63"/>
      <c r="Q883" s="63"/>
      <c r="R883" s="63"/>
      <c r="S883" s="63"/>
      <c r="T883" s="63"/>
      <c r="U883" s="63"/>
      <c r="V883" s="63"/>
      <c r="W883" s="17"/>
      <c r="X883" s="65">
        <v>46250</v>
      </c>
    </row>
    <row r="884" spans="1:24" ht="19.8" thickBot="1" x14ac:dyDescent="0.3">
      <c r="A884" s="4" t="s">
        <v>355</v>
      </c>
      <c r="B884" s="63"/>
      <c r="C884" s="63"/>
      <c r="D884" s="63"/>
      <c r="E884" s="63"/>
      <c r="F884" s="63"/>
      <c r="G884" s="63"/>
      <c r="H884" s="63"/>
      <c r="I884" s="64"/>
      <c r="J884" s="14" t="s">
        <v>10</v>
      </c>
      <c r="K884" s="5" t="s">
        <v>2161</v>
      </c>
      <c r="L884" s="6">
        <v>0.6875</v>
      </c>
      <c r="M884" s="7" t="s">
        <v>2162</v>
      </c>
      <c r="N884" s="14" t="s">
        <v>11</v>
      </c>
      <c r="O884" s="64"/>
      <c r="P884" s="63"/>
      <c r="Q884" s="63"/>
      <c r="R884" s="63"/>
      <c r="S884" s="63"/>
      <c r="T884" s="63"/>
      <c r="U884" s="63"/>
      <c r="V884" s="63"/>
      <c r="W884" s="17"/>
      <c r="X884" s="65">
        <v>46250</v>
      </c>
    </row>
    <row r="885" spans="1:24" ht="19.8" thickBot="1" x14ac:dyDescent="0.3">
      <c r="A885" s="4" t="s">
        <v>356</v>
      </c>
      <c r="B885" s="63"/>
      <c r="C885" s="63"/>
      <c r="D885" s="63"/>
      <c r="E885" s="63"/>
      <c r="F885" s="63"/>
      <c r="G885" s="63"/>
      <c r="H885" s="63"/>
      <c r="I885" s="64"/>
      <c r="J885" s="14" t="s">
        <v>10</v>
      </c>
      <c r="K885" s="5" t="s">
        <v>2163</v>
      </c>
      <c r="L885" s="6">
        <v>0.33333333333333331</v>
      </c>
      <c r="M885" s="7" t="s">
        <v>2164</v>
      </c>
      <c r="N885" s="14" t="s">
        <v>11</v>
      </c>
      <c r="O885" s="64"/>
      <c r="P885" s="63"/>
      <c r="Q885" s="63"/>
      <c r="R885" s="63"/>
      <c r="S885" s="63"/>
      <c r="T885" s="63"/>
      <c r="U885" s="63"/>
      <c r="V885" s="63"/>
      <c r="W885" s="17"/>
      <c r="X885" s="65">
        <v>46250</v>
      </c>
    </row>
    <row r="886" spans="1:24" ht="13.8" thickBot="1" x14ac:dyDescent="0.3">
      <c r="A886" s="4" t="s">
        <v>356</v>
      </c>
      <c r="B886" s="8">
        <v>0</v>
      </c>
      <c r="C886" s="9">
        <v>0</v>
      </c>
      <c r="D886" s="8">
        <v>0</v>
      </c>
      <c r="E886" s="10" t="s">
        <v>219</v>
      </c>
      <c r="F886" s="11" t="s">
        <v>217</v>
      </c>
      <c r="G886" s="12" t="s">
        <v>217</v>
      </c>
      <c r="H886" s="13" t="s">
        <v>218</v>
      </c>
      <c r="I886" s="14">
        <v>1</v>
      </c>
      <c r="J886" s="14" t="s">
        <v>10</v>
      </c>
      <c r="K886" s="5" t="s">
        <v>2165</v>
      </c>
      <c r="L886" s="6">
        <v>0.4375</v>
      </c>
      <c r="M886" s="7" t="s">
        <v>2166</v>
      </c>
      <c r="N886" s="14" t="s">
        <v>11</v>
      </c>
      <c r="O886" s="14">
        <v>1</v>
      </c>
      <c r="P886" s="13" t="s">
        <v>218</v>
      </c>
      <c r="Q886" s="12" t="s">
        <v>216</v>
      </c>
      <c r="R886" s="11" t="s">
        <v>216</v>
      </c>
      <c r="S886" s="10" t="s">
        <v>219</v>
      </c>
      <c r="T886" s="8">
        <v>1</v>
      </c>
      <c r="U886" s="9">
        <v>0</v>
      </c>
      <c r="V886" s="8">
        <v>0</v>
      </c>
      <c r="W886" s="17"/>
      <c r="X886" s="65">
        <v>46250</v>
      </c>
    </row>
    <row r="887" spans="1:24" ht="19.8" thickBot="1" x14ac:dyDescent="0.3">
      <c r="A887" s="4" t="s">
        <v>356</v>
      </c>
      <c r="B887" s="63"/>
      <c r="C887" s="63"/>
      <c r="D887" s="63"/>
      <c r="E887" s="63"/>
      <c r="F887" s="63"/>
      <c r="G887" s="63"/>
      <c r="H887" s="63"/>
      <c r="I887" s="64"/>
      <c r="J887" s="14" t="s">
        <v>10</v>
      </c>
      <c r="K887" s="5" t="s">
        <v>2167</v>
      </c>
      <c r="L887" s="6">
        <v>0.54166666666666663</v>
      </c>
      <c r="M887" s="7" t="s">
        <v>2168</v>
      </c>
      <c r="N887" s="14" t="s">
        <v>11</v>
      </c>
      <c r="O887" s="14">
        <v>1</v>
      </c>
      <c r="P887" s="13" t="s">
        <v>219</v>
      </c>
      <c r="Q887" s="12" t="s">
        <v>216</v>
      </c>
      <c r="R887" s="11" t="s">
        <v>219</v>
      </c>
      <c r="S887" s="10" t="s">
        <v>216</v>
      </c>
      <c r="T887" s="8">
        <v>1</v>
      </c>
      <c r="U887" s="9">
        <v>0</v>
      </c>
      <c r="V887" s="8">
        <v>0</v>
      </c>
      <c r="W887" s="17"/>
      <c r="X887" s="65">
        <v>46250</v>
      </c>
    </row>
    <row r="888" spans="1:24" ht="19.8" thickBot="1" x14ac:dyDescent="0.3">
      <c r="A888" s="4" t="s">
        <v>204</v>
      </c>
      <c r="B888" s="63"/>
      <c r="C888" s="63"/>
      <c r="D888" s="63"/>
      <c r="E888" s="63"/>
      <c r="F888" s="63"/>
      <c r="G888" s="63"/>
      <c r="H888" s="63"/>
      <c r="I888" s="64"/>
      <c r="J888" s="14" t="s">
        <v>10</v>
      </c>
      <c r="K888" s="5" t="s">
        <v>2169</v>
      </c>
      <c r="L888" s="6">
        <v>0.5</v>
      </c>
      <c r="M888" s="7" t="s">
        <v>2170</v>
      </c>
      <c r="N888" s="14" t="s">
        <v>11</v>
      </c>
      <c r="O888" s="64"/>
      <c r="P888" s="63"/>
      <c r="Q888" s="63"/>
      <c r="R888" s="63"/>
      <c r="S888" s="63"/>
      <c r="T888" s="63"/>
      <c r="U888" s="63"/>
      <c r="V888" s="63"/>
      <c r="W888" s="17"/>
      <c r="X888" s="65">
        <v>46250</v>
      </c>
    </row>
    <row r="889" spans="1:24" ht="13.8" thickBot="1" x14ac:dyDescent="0.3">
      <c r="A889" s="4" t="s">
        <v>204</v>
      </c>
      <c r="B889" s="8">
        <v>0</v>
      </c>
      <c r="C889" s="9">
        <v>0</v>
      </c>
      <c r="D889" s="8">
        <v>0</v>
      </c>
      <c r="E889" s="10" t="s">
        <v>217</v>
      </c>
      <c r="F889" s="11" t="s">
        <v>219</v>
      </c>
      <c r="G889" s="12" t="s">
        <v>217</v>
      </c>
      <c r="H889" s="13" t="s">
        <v>219</v>
      </c>
      <c r="I889" s="14">
        <v>1</v>
      </c>
      <c r="J889" s="14" t="s">
        <v>10</v>
      </c>
      <c r="K889" s="5" t="s">
        <v>2171</v>
      </c>
      <c r="L889" s="6">
        <v>0.66666666666666663</v>
      </c>
      <c r="M889" s="7" t="s">
        <v>2172</v>
      </c>
      <c r="N889" s="14" t="s">
        <v>11</v>
      </c>
      <c r="O889" s="64"/>
      <c r="P889" s="63"/>
      <c r="Q889" s="63"/>
      <c r="R889" s="63"/>
      <c r="S889" s="63"/>
      <c r="T889" s="63"/>
      <c r="U889" s="63"/>
      <c r="V889" s="63"/>
      <c r="W889" s="17"/>
      <c r="X889" s="65">
        <v>46250</v>
      </c>
    </row>
    <row r="890" spans="1:24" ht="19.8" thickBot="1" x14ac:dyDescent="0.3">
      <c r="A890" s="4" t="s">
        <v>204</v>
      </c>
      <c r="B890" s="63"/>
      <c r="C890" s="63"/>
      <c r="D890" s="63"/>
      <c r="E890" s="63"/>
      <c r="F890" s="63"/>
      <c r="G890" s="63"/>
      <c r="H890" s="63"/>
      <c r="I890" s="64"/>
      <c r="J890" s="14" t="s">
        <v>10</v>
      </c>
      <c r="K890" s="5" t="s">
        <v>2173</v>
      </c>
      <c r="L890" s="6">
        <v>0.8125</v>
      </c>
      <c r="M890" s="7" t="s">
        <v>2174</v>
      </c>
      <c r="N890" s="14" t="s">
        <v>11</v>
      </c>
      <c r="O890" s="64"/>
      <c r="P890" s="63"/>
      <c r="Q890" s="63"/>
      <c r="R890" s="63"/>
      <c r="S890" s="63"/>
      <c r="T890" s="63"/>
      <c r="U890" s="63"/>
      <c r="V890" s="63"/>
      <c r="W890" s="17"/>
      <c r="X890" s="65">
        <v>46250</v>
      </c>
    </row>
    <row r="891" spans="1:24" ht="19.8" thickBot="1" x14ac:dyDescent="0.3">
      <c r="A891" s="4" t="s">
        <v>93</v>
      </c>
      <c r="B891" s="8">
        <v>0.11</v>
      </c>
      <c r="C891" s="9">
        <v>0.33</v>
      </c>
      <c r="D891" s="8">
        <v>0.56000000000000005</v>
      </c>
      <c r="E891" s="10" t="s">
        <v>324</v>
      </c>
      <c r="F891" s="11" t="s">
        <v>224</v>
      </c>
      <c r="G891" s="12" t="s">
        <v>333</v>
      </c>
      <c r="H891" s="13" t="s">
        <v>333</v>
      </c>
      <c r="I891" s="14">
        <v>9</v>
      </c>
      <c r="J891" s="14" t="s">
        <v>10</v>
      </c>
      <c r="K891" s="5" t="s">
        <v>2175</v>
      </c>
      <c r="L891" s="6">
        <v>0.9375</v>
      </c>
      <c r="M891" s="7" t="s">
        <v>2176</v>
      </c>
      <c r="N891" s="14" t="s">
        <v>11</v>
      </c>
      <c r="O891" s="14">
        <v>9</v>
      </c>
      <c r="P891" s="13" t="s">
        <v>224</v>
      </c>
      <c r="Q891" s="12" t="s">
        <v>340</v>
      </c>
      <c r="R891" s="11" t="s">
        <v>232</v>
      </c>
      <c r="S891" s="10" t="s">
        <v>344</v>
      </c>
      <c r="T891" s="8">
        <v>1</v>
      </c>
      <c r="U891" s="15">
        <v>0.67</v>
      </c>
      <c r="V891" s="8">
        <v>0.33</v>
      </c>
      <c r="W891" s="17"/>
      <c r="X891" s="65">
        <v>46250</v>
      </c>
    </row>
    <row r="892" spans="1:24" ht="13.8" thickBot="1" x14ac:dyDescent="0.3">
      <c r="A892" s="4" t="s">
        <v>93</v>
      </c>
      <c r="B892" s="8">
        <v>0.67</v>
      </c>
      <c r="C892" s="15">
        <v>0.78</v>
      </c>
      <c r="D892" s="8">
        <v>0.78</v>
      </c>
      <c r="E892" s="10" t="s">
        <v>217</v>
      </c>
      <c r="F892" s="11" t="s">
        <v>341</v>
      </c>
      <c r="G892" s="12" t="s">
        <v>1129</v>
      </c>
      <c r="H892" s="13" t="s">
        <v>341</v>
      </c>
      <c r="I892" s="14">
        <v>9</v>
      </c>
      <c r="J892" s="14" t="s">
        <v>10</v>
      </c>
      <c r="K892" s="5" t="s">
        <v>2177</v>
      </c>
      <c r="L892" s="6">
        <v>0.9375</v>
      </c>
      <c r="M892" s="7" t="s">
        <v>2178</v>
      </c>
      <c r="N892" s="14" t="s">
        <v>11</v>
      </c>
      <c r="O892" s="14">
        <v>10</v>
      </c>
      <c r="P892" s="13" t="s">
        <v>221</v>
      </c>
      <c r="Q892" s="12" t="s">
        <v>235</v>
      </c>
      <c r="R892" s="11" t="s">
        <v>781</v>
      </c>
      <c r="S892" s="10" t="s">
        <v>220</v>
      </c>
      <c r="T892" s="8">
        <v>0.8</v>
      </c>
      <c r="U892" s="15">
        <v>0.7</v>
      </c>
      <c r="V892" s="8">
        <v>0.5</v>
      </c>
      <c r="W892" s="17"/>
      <c r="X892" s="65">
        <v>46250</v>
      </c>
    </row>
    <row r="893" spans="1:24" ht="19.8" thickBot="1" x14ac:dyDescent="0.3">
      <c r="A893" s="4" t="s">
        <v>93</v>
      </c>
      <c r="B893" s="8">
        <v>0.38</v>
      </c>
      <c r="C893" s="9">
        <v>0.5</v>
      </c>
      <c r="D893" s="8">
        <v>0.62</v>
      </c>
      <c r="E893" s="10" t="s">
        <v>294</v>
      </c>
      <c r="F893" s="11" t="s">
        <v>240</v>
      </c>
      <c r="G893" s="12" t="s">
        <v>346</v>
      </c>
      <c r="H893" s="13" t="s">
        <v>236</v>
      </c>
      <c r="I893" s="14">
        <v>8</v>
      </c>
      <c r="J893" s="14" t="s">
        <v>10</v>
      </c>
      <c r="K893" s="5" t="s">
        <v>2179</v>
      </c>
      <c r="L893" s="6">
        <v>0.97916666666666663</v>
      </c>
      <c r="M893" s="7" t="s">
        <v>211</v>
      </c>
      <c r="N893" s="14" t="s">
        <v>11</v>
      </c>
      <c r="O893" s="14">
        <v>9</v>
      </c>
      <c r="P893" s="13" t="s">
        <v>310</v>
      </c>
      <c r="Q893" s="12" t="s">
        <v>226</v>
      </c>
      <c r="R893" s="11" t="s">
        <v>324</v>
      </c>
      <c r="S893" s="10" t="s">
        <v>833</v>
      </c>
      <c r="T893" s="8">
        <v>1</v>
      </c>
      <c r="U893" s="15">
        <v>1</v>
      </c>
      <c r="V893" s="8">
        <v>0.56000000000000005</v>
      </c>
      <c r="W893" s="17"/>
      <c r="X893" s="65">
        <v>46250</v>
      </c>
    </row>
    <row r="894" spans="1:24" ht="19.8" thickBot="1" x14ac:dyDescent="0.3">
      <c r="A894" s="4" t="s">
        <v>93</v>
      </c>
      <c r="B894" s="8">
        <v>0.25</v>
      </c>
      <c r="C894" s="15">
        <v>0.75</v>
      </c>
      <c r="D894" s="8">
        <v>1</v>
      </c>
      <c r="E894" s="10" t="s">
        <v>217</v>
      </c>
      <c r="F894" s="11" t="s">
        <v>225</v>
      </c>
      <c r="G894" s="12" t="s">
        <v>346</v>
      </c>
      <c r="H894" s="13" t="s">
        <v>911</v>
      </c>
      <c r="I894" s="14">
        <v>8</v>
      </c>
      <c r="J894" s="14" t="s">
        <v>10</v>
      </c>
      <c r="K894" s="5" t="s">
        <v>2180</v>
      </c>
      <c r="L894" s="6">
        <v>0.97916666666666663</v>
      </c>
      <c r="M894" s="7" t="s">
        <v>2181</v>
      </c>
      <c r="N894" s="14" t="s">
        <v>11</v>
      </c>
      <c r="O894" s="14">
        <v>9</v>
      </c>
      <c r="P894" s="13" t="s">
        <v>232</v>
      </c>
      <c r="Q894" s="12" t="s">
        <v>285</v>
      </c>
      <c r="R894" s="11" t="s">
        <v>232</v>
      </c>
      <c r="S894" s="10" t="s">
        <v>333</v>
      </c>
      <c r="T894" s="8">
        <v>0.89</v>
      </c>
      <c r="U894" s="15">
        <v>0.89</v>
      </c>
      <c r="V894" s="8">
        <v>0.44</v>
      </c>
      <c r="W894" s="17"/>
      <c r="X894" s="65">
        <v>46250</v>
      </c>
    </row>
    <row r="895" spans="1:24" ht="19.8" thickBot="1" x14ac:dyDescent="0.3">
      <c r="A895" s="4" t="s">
        <v>93</v>
      </c>
      <c r="B895" s="8">
        <v>0.5</v>
      </c>
      <c r="C895" s="15">
        <v>0.6</v>
      </c>
      <c r="D895" s="8">
        <v>0.7</v>
      </c>
      <c r="E895" s="10" t="s">
        <v>248</v>
      </c>
      <c r="F895" s="11" t="s">
        <v>267</v>
      </c>
      <c r="G895" s="12" t="s">
        <v>280</v>
      </c>
      <c r="H895" s="13" t="s">
        <v>267</v>
      </c>
      <c r="I895" s="14">
        <v>10</v>
      </c>
      <c r="J895" s="14" t="s">
        <v>10</v>
      </c>
      <c r="K895" s="5" t="s">
        <v>2182</v>
      </c>
      <c r="L895" s="6">
        <v>2.0833333333333332E-2</v>
      </c>
      <c r="M895" s="7" t="s">
        <v>2183</v>
      </c>
      <c r="N895" s="14" t="s">
        <v>11</v>
      </c>
      <c r="O895" s="14">
        <v>8</v>
      </c>
      <c r="P895" s="13" t="s">
        <v>222</v>
      </c>
      <c r="Q895" s="12" t="s">
        <v>330</v>
      </c>
      <c r="R895" s="11" t="s">
        <v>217</v>
      </c>
      <c r="S895" s="10" t="s">
        <v>223</v>
      </c>
      <c r="T895" s="8">
        <v>0.62</v>
      </c>
      <c r="U895" s="9">
        <v>0.38</v>
      </c>
      <c r="V895" s="8">
        <v>0.25</v>
      </c>
      <c r="W895" s="17"/>
      <c r="X895" s="65">
        <v>46250</v>
      </c>
    </row>
    <row r="896" spans="1:24" ht="19.8" thickBot="1" x14ac:dyDescent="0.3">
      <c r="A896" s="4" t="s">
        <v>93</v>
      </c>
      <c r="B896" s="8">
        <v>0.33</v>
      </c>
      <c r="C896" s="15">
        <v>0.56000000000000005</v>
      </c>
      <c r="D896" s="8">
        <v>0.89</v>
      </c>
      <c r="E896" s="10" t="s">
        <v>284</v>
      </c>
      <c r="F896" s="11" t="s">
        <v>231</v>
      </c>
      <c r="G896" s="12" t="s">
        <v>340</v>
      </c>
      <c r="H896" s="13" t="s">
        <v>229</v>
      </c>
      <c r="I896" s="14">
        <v>9</v>
      </c>
      <c r="J896" s="14" t="s">
        <v>10</v>
      </c>
      <c r="K896" s="5" t="s">
        <v>2184</v>
      </c>
      <c r="L896" s="6">
        <v>2.0833333333333332E-2</v>
      </c>
      <c r="M896" s="7" t="s">
        <v>210</v>
      </c>
      <c r="N896" s="14" t="s">
        <v>11</v>
      </c>
      <c r="O896" s="14">
        <v>9</v>
      </c>
      <c r="P896" s="13" t="s">
        <v>217</v>
      </c>
      <c r="Q896" s="12" t="s">
        <v>839</v>
      </c>
      <c r="R896" s="11" t="s">
        <v>306</v>
      </c>
      <c r="S896" s="10" t="s">
        <v>229</v>
      </c>
      <c r="T896" s="8">
        <v>0.89</v>
      </c>
      <c r="U896" s="9">
        <v>0.22</v>
      </c>
      <c r="V896" s="8">
        <v>0.22</v>
      </c>
      <c r="W896" s="17"/>
      <c r="X896" s="65">
        <v>46250</v>
      </c>
    </row>
    <row r="897" spans="1:24" ht="13.8" thickBot="1" x14ac:dyDescent="0.3">
      <c r="A897" s="4" t="s">
        <v>93</v>
      </c>
      <c r="B897" s="8">
        <v>0.33</v>
      </c>
      <c r="C897" s="15">
        <v>0.78</v>
      </c>
      <c r="D897" s="8">
        <v>0.78</v>
      </c>
      <c r="E897" s="10" t="s">
        <v>228</v>
      </c>
      <c r="F897" s="11" t="s">
        <v>216</v>
      </c>
      <c r="G897" s="12" t="s">
        <v>340</v>
      </c>
      <c r="H897" s="13" t="s">
        <v>216</v>
      </c>
      <c r="I897" s="14">
        <v>9</v>
      </c>
      <c r="J897" s="14" t="s">
        <v>10</v>
      </c>
      <c r="K897" s="5" t="s">
        <v>209</v>
      </c>
      <c r="L897" s="6">
        <v>0.83333333333333337</v>
      </c>
      <c r="M897" s="7" t="s">
        <v>213</v>
      </c>
      <c r="N897" s="14" t="s">
        <v>11</v>
      </c>
      <c r="O897" s="14">
        <v>9</v>
      </c>
      <c r="P897" s="13" t="s">
        <v>324</v>
      </c>
      <c r="Q897" s="12" t="s">
        <v>241</v>
      </c>
      <c r="R897" s="11" t="s">
        <v>232</v>
      </c>
      <c r="S897" s="10" t="s">
        <v>216</v>
      </c>
      <c r="T897" s="8">
        <v>1</v>
      </c>
      <c r="U897" s="15">
        <v>0.56000000000000005</v>
      </c>
      <c r="V897" s="8">
        <v>0.44</v>
      </c>
      <c r="W897" s="17"/>
      <c r="X897" s="65">
        <v>46250</v>
      </c>
    </row>
    <row r="898" spans="1:24" ht="19.8" thickBot="1" x14ac:dyDescent="0.3">
      <c r="A898" s="4" t="s">
        <v>93</v>
      </c>
      <c r="B898" s="8">
        <v>0.5</v>
      </c>
      <c r="C898" s="15">
        <v>0.7</v>
      </c>
      <c r="D898" s="8">
        <v>1</v>
      </c>
      <c r="E898" s="10" t="s">
        <v>220</v>
      </c>
      <c r="F898" s="11" t="s">
        <v>279</v>
      </c>
      <c r="G898" s="12" t="s">
        <v>272</v>
      </c>
      <c r="H898" s="13" t="s">
        <v>220</v>
      </c>
      <c r="I898" s="14">
        <v>10</v>
      </c>
      <c r="J898" s="14" t="s">
        <v>10</v>
      </c>
      <c r="K898" s="5" t="s">
        <v>2185</v>
      </c>
      <c r="L898" s="6">
        <v>0.83333333333333337</v>
      </c>
      <c r="M898" s="7" t="s">
        <v>2186</v>
      </c>
      <c r="N898" s="14" t="s">
        <v>11</v>
      </c>
      <c r="O898" s="14">
        <v>9</v>
      </c>
      <c r="P898" s="13" t="s">
        <v>326</v>
      </c>
      <c r="Q898" s="12" t="s">
        <v>840</v>
      </c>
      <c r="R898" s="11" t="s">
        <v>344</v>
      </c>
      <c r="S898" s="10" t="s">
        <v>325</v>
      </c>
      <c r="T898" s="8">
        <v>0.89</v>
      </c>
      <c r="U898" s="15">
        <v>0.78</v>
      </c>
      <c r="V898" s="8">
        <v>0.44</v>
      </c>
      <c r="W898" s="17"/>
      <c r="X898" s="65">
        <v>46250</v>
      </c>
    </row>
    <row r="899" spans="1:24" ht="19.8" thickBot="1" x14ac:dyDescent="0.3">
      <c r="A899" s="4" t="s">
        <v>93</v>
      </c>
      <c r="B899" s="8">
        <v>0.44</v>
      </c>
      <c r="C899" s="15">
        <v>0.67</v>
      </c>
      <c r="D899" s="8">
        <v>0.89</v>
      </c>
      <c r="E899" s="10" t="s">
        <v>284</v>
      </c>
      <c r="F899" s="11" t="s">
        <v>216</v>
      </c>
      <c r="G899" s="12" t="s">
        <v>833</v>
      </c>
      <c r="H899" s="13" t="s">
        <v>231</v>
      </c>
      <c r="I899" s="14">
        <v>9</v>
      </c>
      <c r="J899" s="14" t="s">
        <v>10</v>
      </c>
      <c r="K899" s="5" t="s">
        <v>2187</v>
      </c>
      <c r="L899" s="6">
        <v>0.95833333333333337</v>
      </c>
      <c r="M899" s="7" t="s">
        <v>2188</v>
      </c>
      <c r="N899" s="14" t="s">
        <v>11</v>
      </c>
      <c r="O899" s="14">
        <v>7</v>
      </c>
      <c r="P899" s="13" t="s">
        <v>292</v>
      </c>
      <c r="Q899" s="12" t="s">
        <v>879</v>
      </c>
      <c r="R899" s="11" t="s">
        <v>842</v>
      </c>
      <c r="S899" s="10" t="s">
        <v>929</v>
      </c>
      <c r="T899" s="8">
        <v>1</v>
      </c>
      <c r="U899" s="15">
        <v>0.56999999999999995</v>
      </c>
      <c r="V899" s="8">
        <v>0.43</v>
      </c>
      <c r="W899" s="17"/>
      <c r="X899" s="65">
        <v>46250</v>
      </c>
    </row>
    <row r="900" spans="1:24" ht="13.8" thickBot="1" x14ac:dyDescent="0.3">
      <c r="A900" s="4" t="s">
        <v>93</v>
      </c>
      <c r="B900" s="8">
        <v>0.22</v>
      </c>
      <c r="C900" s="15">
        <v>0.56000000000000005</v>
      </c>
      <c r="D900" s="8">
        <v>0.67</v>
      </c>
      <c r="E900" s="10" t="s">
        <v>306</v>
      </c>
      <c r="F900" s="11" t="s">
        <v>229</v>
      </c>
      <c r="G900" s="12" t="s">
        <v>839</v>
      </c>
      <c r="H900" s="13" t="s">
        <v>216</v>
      </c>
      <c r="I900" s="14">
        <v>9</v>
      </c>
      <c r="J900" s="14" t="s">
        <v>10</v>
      </c>
      <c r="K900" s="5" t="s">
        <v>2189</v>
      </c>
      <c r="L900" s="6">
        <v>0.95833333333333337</v>
      </c>
      <c r="M900" s="7" t="s">
        <v>2190</v>
      </c>
      <c r="N900" s="14" t="s">
        <v>11</v>
      </c>
      <c r="O900" s="14">
        <v>10</v>
      </c>
      <c r="P900" s="13" t="s">
        <v>227</v>
      </c>
      <c r="Q900" s="12" t="s">
        <v>282</v>
      </c>
      <c r="R900" s="11" t="s">
        <v>220</v>
      </c>
      <c r="S900" s="10" t="s">
        <v>274</v>
      </c>
      <c r="T900" s="8">
        <v>0.8</v>
      </c>
      <c r="U900" s="15">
        <v>0.6</v>
      </c>
      <c r="V900" s="8">
        <v>0.2</v>
      </c>
      <c r="W900" s="17"/>
      <c r="X900" s="65">
        <v>46250</v>
      </c>
    </row>
    <row r="901" spans="1:24" ht="13.8" thickBot="1" x14ac:dyDescent="0.3">
      <c r="A901" s="4" t="s">
        <v>93</v>
      </c>
      <c r="B901" s="8">
        <v>0.38</v>
      </c>
      <c r="C901" s="9">
        <v>0.5</v>
      </c>
      <c r="D901" s="8">
        <v>0.62</v>
      </c>
      <c r="E901" s="10" t="s">
        <v>217</v>
      </c>
      <c r="F901" s="11" t="s">
        <v>239</v>
      </c>
      <c r="G901" s="12" t="s">
        <v>911</v>
      </c>
      <c r="H901" s="13" t="s">
        <v>240</v>
      </c>
      <c r="I901" s="14">
        <v>8</v>
      </c>
      <c r="J901" s="14" t="s">
        <v>10</v>
      </c>
      <c r="K901" s="5" t="s">
        <v>2191</v>
      </c>
      <c r="L901" s="6">
        <v>0.97916666666666663</v>
      </c>
      <c r="M901" s="7" t="s">
        <v>2192</v>
      </c>
      <c r="N901" s="14" t="s">
        <v>11</v>
      </c>
      <c r="O901" s="14">
        <v>7</v>
      </c>
      <c r="P901" s="13" t="s">
        <v>916</v>
      </c>
      <c r="Q901" s="12" t="s">
        <v>928</v>
      </c>
      <c r="R901" s="11" t="s">
        <v>290</v>
      </c>
      <c r="S901" s="10" t="s">
        <v>842</v>
      </c>
      <c r="T901" s="8">
        <v>0.71</v>
      </c>
      <c r="U901" s="9">
        <v>0.43</v>
      </c>
      <c r="V901" s="8">
        <v>0.28999999999999998</v>
      </c>
      <c r="W901" s="17"/>
      <c r="X901" s="65">
        <v>46250</v>
      </c>
    </row>
    <row r="902" spans="1:24" ht="19.8" thickBot="1" x14ac:dyDescent="0.3">
      <c r="A902" s="4" t="s">
        <v>93</v>
      </c>
      <c r="B902" s="8">
        <v>0.2</v>
      </c>
      <c r="C902" s="9">
        <v>0.4</v>
      </c>
      <c r="D902" s="8">
        <v>0.6</v>
      </c>
      <c r="E902" s="10" t="s">
        <v>270</v>
      </c>
      <c r="F902" s="11" t="s">
        <v>274</v>
      </c>
      <c r="G902" s="12" t="s">
        <v>279</v>
      </c>
      <c r="H902" s="13" t="s">
        <v>270</v>
      </c>
      <c r="I902" s="14">
        <v>10</v>
      </c>
      <c r="J902" s="14" t="s">
        <v>10</v>
      </c>
      <c r="K902" s="5" t="s">
        <v>2193</v>
      </c>
      <c r="L902" s="6">
        <v>0</v>
      </c>
      <c r="M902" s="7" t="s">
        <v>2194</v>
      </c>
      <c r="N902" s="14" t="s">
        <v>11</v>
      </c>
      <c r="O902" s="14">
        <v>10</v>
      </c>
      <c r="P902" s="13" t="s">
        <v>335</v>
      </c>
      <c r="Q902" s="12" t="s">
        <v>276</v>
      </c>
      <c r="R902" s="11" t="s">
        <v>824</v>
      </c>
      <c r="S902" s="10" t="s">
        <v>233</v>
      </c>
      <c r="T902" s="8">
        <v>0.7</v>
      </c>
      <c r="U902" s="9">
        <v>0.5</v>
      </c>
      <c r="V902" s="8">
        <v>0.5</v>
      </c>
      <c r="W902" s="17"/>
      <c r="X902" s="65">
        <v>46250</v>
      </c>
    </row>
    <row r="903" spans="1:24" ht="19.8" thickBot="1" x14ac:dyDescent="0.3">
      <c r="A903" s="4" t="s">
        <v>93</v>
      </c>
      <c r="B903" s="8">
        <v>0.12</v>
      </c>
      <c r="C903" s="9">
        <v>0.25</v>
      </c>
      <c r="D903" s="8">
        <v>0.62</v>
      </c>
      <c r="E903" s="10" t="s">
        <v>296</v>
      </c>
      <c r="F903" s="11" t="s">
        <v>294</v>
      </c>
      <c r="G903" s="12" t="s">
        <v>216</v>
      </c>
      <c r="H903" s="13" t="s">
        <v>223</v>
      </c>
      <c r="I903" s="14">
        <v>8</v>
      </c>
      <c r="J903" s="14" t="s">
        <v>10</v>
      </c>
      <c r="K903" s="5" t="s">
        <v>2195</v>
      </c>
      <c r="L903" s="6">
        <v>0</v>
      </c>
      <c r="M903" s="7" t="s">
        <v>2196</v>
      </c>
      <c r="N903" s="14" t="s">
        <v>11</v>
      </c>
      <c r="O903" s="14">
        <v>9</v>
      </c>
      <c r="P903" s="13" t="s">
        <v>284</v>
      </c>
      <c r="Q903" s="12" t="s">
        <v>808</v>
      </c>
      <c r="R903" s="11" t="s">
        <v>216</v>
      </c>
      <c r="S903" s="10" t="s">
        <v>333</v>
      </c>
      <c r="T903" s="8">
        <v>0.89</v>
      </c>
      <c r="U903" s="15">
        <v>0.67</v>
      </c>
      <c r="V903" s="8">
        <v>0.44</v>
      </c>
      <c r="W903" s="17"/>
      <c r="X903" s="65">
        <v>46250</v>
      </c>
    </row>
    <row r="904" spans="1:24" ht="13.8" thickBot="1" x14ac:dyDescent="0.3">
      <c r="A904" s="4" t="s">
        <v>93</v>
      </c>
      <c r="B904" s="8">
        <v>0.11</v>
      </c>
      <c r="C904" s="9">
        <v>0.33</v>
      </c>
      <c r="D904" s="8">
        <v>0.67</v>
      </c>
      <c r="E904" s="10" t="s">
        <v>306</v>
      </c>
      <c r="F904" s="11" t="s">
        <v>228</v>
      </c>
      <c r="G904" s="12" t="s">
        <v>216</v>
      </c>
      <c r="H904" s="13" t="s">
        <v>232</v>
      </c>
      <c r="I904" s="14">
        <v>9</v>
      </c>
      <c r="J904" s="14" t="s">
        <v>10</v>
      </c>
      <c r="K904" s="5" t="s">
        <v>2197</v>
      </c>
      <c r="L904" s="6">
        <v>2.0833333333333332E-2</v>
      </c>
      <c r="M904" s="7" t="s">
        <v>2198</v>
      </c>
      <c r="N904" s="14" t="s">
        <v>11</v>
      </c>
      <c r="O904" s="14">
        <v>9</v>
      </c>
      <c r="P904" s="13" t="s">
        <v>310</v>
      </c>
      <c r="Q904" s="12" t="s">
        <v>1239</v>
      </c>
      <c r="R904" s="11" t="s">
        <v>284</v>
      </c>
      <c r="S904" s="10" t="s">
        <v>325</v>
      </c>
      <c r="T904" s="8">
        <v>1</v>
      </c>
      <c r="U904" s="15">
        <v>0.89</v>
      </c>
      <c r="V904" s="8">
        <v>0.67</v>
      </c>
      <c r="W904" s="17"/>
      <c r="X904" s="65">
        <v>46250</v>
      </c>
    </row>
    <row r="905" spans="1:24" ht="19.8" thickBot="1" x14ac:dyDescent="0.3">
      <c r="A905" s="4" t="s">
        <v>93</v>
      </c>
      <c r="B905" s="8">
        <v>0.25</v>
      </c>
      <c r="C905" s="9">
        <v>0.5</v>
      </c>
      <c r="D905" s="8">
        <v>0.88</v>
      </c>
      <c r="E905" s="10" t="s">
        <v>296</v>
      </c>
      <c r="F905" s="11" t="s">
        <v>216</v>
      </c>
      <c r="G905" s="12" t="s">
        <v>329</v>
      </c>
      <c r="H905" s="13" t="s">
        <v>216</v>
      </c>
      <c r="I905" s="14">
        <v>8</v>
      </c>
      <c r="J905" s="14" t="s">
        <v>10</v>
      </c>
      <c r="K905" s="5" t="s">
        <v>2199</v>
      </c>
      <c r="L905" s="6">
        <v>4.1666666666666664E-2</v>
      </c>
      <c r="M905" s="7" t="s">
        <v>2200</v>
      </c>
      <c r="N905" s="14" t="s">
        <v>11</v>
      </c>
      <c r="O905" s="14">
        <v>8</v>
      </c>
      <c r="P905" s="13" t="s">
        <v>294</v>
      </c>
      <c r="Q905" s="12" t="s">
        <v>911</v>
      </c>
      <c r="R905" s="11" t="s">
        <v>286</v>
      </c>
      <c r="S905" s="10" t="s">
        <v>293</v>
      </c>
      <c r="T905" s="8">
        <v>0.75</v>
      </c>
      <c r="U905" s="9">
        <v>0.5</v>
      </c>
      <c r="V905" s="8">
        <v>0.38</v>
      </c>
      <c r="W905" s="17"/>
      <c r="X905" s="65">
        <v>46250</v>
      </c>
    </row>
    <row r="906" spans="1:24" ht="19.8" thickBot="1" x14ac:dyDescent="0.3">
      <c r="A906" s="4" t="s">
        <v>93</v>
      </c>
      <c r="B906" s="8">
        <v>0.45</v>
      </c>
      <c r="C906" s="15">
        <v>0.73</v>
      </c>
      <c r="D906" s="8">
        <v>0.73</v>
      </c>
      <c r="E906" s="10" t="s">
        <v>217</v>
      </c>
      <c r="F906" s="11" t="s">
        <v>311</v>
      </c>
      <c r="G906" s="12" t="s">
        <v>263</v>
      </c>
      <c r="H906" s="13" t="s">
        <v>312</v>
      </c>
      <c r="I906" s="14">
        <v>11</v>
      </c>
      <c r="J906" s="14" t="s">
        <v>10</v>
      </c>
      <c r="K906" s="5" t="s">
        <v>2201</v>
      </c>
      <c r="L906" s="6">
        <v>0.95833333333333337</v>
      </c>
      <c r="M906" s="7" t="s">
        <v>2202</v>
      </c>
      <c r="N906" s="14" t="s">
        <v>11</v>
      </c>
      <c r="O906" s="14">
        <v>11</v>
      </c>
      <c r="P906" s="13" t="s">
        <v>298</v>
      </c>
      <c r="Q906" s="12" t="s">
        <v>299</v>
      </c>
      <c r="R906" s="11" t="s">
        <v>313</v>
      </c>
      <c r="S906" s="10" t="s">
        <v>303</v>
      </c>
      <c r="T906" s="8">
        <v>0.73</v>
      </c>
      <c r="U906" s="15">
        <v>0.55000000000000004</v>
      </c>
      <c r="V906" s="8">
        <v>0.18</v>
      </c>
      <c r="W906" s="17"/>
      <c r="X906" s="65">
        <v>46250</v>
      </c>
    </row>
    <row r="907" spans="1:24" ht="19.8" thickBot="1" x14ac:dyDescent="0.3">
      <c r="A907" s="4" t="s">
        <v>93</v>
      </c>
      <c r="B907" s="8">
        <v>0.22</v>
      </c>
      <c r="C907" s="15">
        <v>0.56000000000000005</v>
      </c>
      <c r="D907" s="8">
        <v>0.89</v>
      </c>
      <c r="E907" s="10" t="s">
        <v>284</v>
      </c>
      <c r="F907" s="11" t="s">
        <v>229</v>
      </c>
      <c r="G907" s="12" t="s">
        <v>341</v>
      </c>
      <c r="H907" s="13" t="s">
        <v>224</v>
      </c>
      <c r="I907" s="14">
        <v>9</v>
      </c>
      <c r="J907" s="14" t="s">
        <v>10</v>
      </c>
      <c r="K907" s="5" t="s">
        <v>2203</v>
      </c>
      <c r="L907" s="6">
        <v>0.85416666666666663</v>
      </c>
      <c r="M907" s="7" t="s">
        <v>2204</v>
      </c>
      <c r="N907" s="14" t="s">
        <v>11</v>
      </c>
      <c r="O907" s="14">
        <v>10</v>
      </c>
      <c r="P907" s="13" t="s">
        <v>271</v>
      </c>
      <c r="Q907" s="12" t="s">
        <v>781</v>
      </c>
      <c r="R907" s="11" t="s">
        <v>274</v>
      </c>
      <c r="S907" s="10" t="s">
        <v>271</v>
      </c>
      <c r="T907" s="8">
        <v>0.6</v>
      </c>
      <c r="U907" s="9">
        <v>0.5</v>
      </c>
      <c r="V907" s="8">
        <v>0.3</v>
      </c>
      <c r="W907" s="17"/>
      <c r="X907" s="65">
        <v>46250</v>
      </c>
    </row>
    <row r="908" spans="1:24" ht="19.8" thickBot="1" x14ac:dyDescent="0.3">
      <c r="A908" s="4" t="s">
        <v>93</v>
      </c>
      <c r="B908" s="8">
        <v>0.44</v>
      </c>
      <c r="C908" s="15">
        <v>0.67</v>
      </c>
      <c r="D908" s="8">
        <v>0.89</v>
      </c>
      <c r="E908" s="10" t="s">
        <v>217</v>
      </c>
      <c r="F908" s="11" t="s">
        <v>333</v>
      </c>
      <c r="G908" s="12" t="s">
        <v>340</v>
      </c>
      <c r="H908" s="13" t="s">
        <v>230</v>
      </c>
      <c r="I908" s="14">
        <v>9</v>
      </c>
      <c r="J908" s="14" t="s">
        <v>10</v>
      </c>
      <c r="K908" s="5" t="s">
        <v>2205</v>
      </c>
      <c r="L908" s="6">
        <v>0.875</v>
      </c>
      <c r="M908" s="7" t="s">
        <v>2206</v>
      </c>
      <c r="N908" s="14" t="s">
        <v>11</v>
      </c>
      <c r="O908" s="14">
        <v>10</v>
      </c>
      <c r="P908" s="13" t="s">
        <v>266</v>
      </c>
      <c r="Q908" s="12" t="s">
        <v>820</v>
      </c>
      <c r="R908" s="11" t="s">
        <v>824</v>
      </c>
      <c r="S908" s="10" t="s">
        <v>221</v>
      </c>
      <c r="T908" s="8">
        <v>0.8</v>
      </c>
      <c r="U908" s="15">
        <v>0.7</v>
      </c>
      <c r="V908" s="8">
        <v>0.5</v>
      </c>
      <c r="W908" s="17"/>
      <c r="X908" s="65">
        <v>46250</v>
      </c>
    </row>
    <row r="909" spans="1:24" ht="19.8" thickBot="1" x14ac:dyDescent="0.3">
      <c r="A909" s="4" t="s">
        <v>93</v>
      </c>
      <c r="B909" s="8">
        <v>0.38</v>
      </c>
      <c r="C909" s="9">
        <v>0.38</v>
      </c>
      <c r="D909" s="8">
        <v>0.88</v>
      </c>
      <c r="E909" s="10" t="s">
        <v>247</v>
      </c>
      <c r="F909" s="11" t="s">
        <v>216</v>
      </c>
      <c r="G909" s="12" t="s">
        <v>221</v>
      </c>
      <c r="H909" s="13" t="s">
        <v>225</v>
      </c>
      <c r="I909" s="14">
        <v>8</v>
      </c>
      <c r="J909" s="14" t="s">
        <v>10</v>
      </c>
      <c r="K909" s="5" t="s">
        <v>2207</v>
      </c>
      <c r="L909" s="6">
        <v>0.94791666666666663</v>
      </c>
      <c r="M909" s="7" t="s">
        <v>2208</v>
      </c>
      <c r="N909" s="14" t="s">
        <v>11</v>
      </c>
      <c r="O909" s="14">
        <v>9</v>
      </c>
      <c r="P909" s="13" t="s">
        <v>324</v>
      </c>
      <c r="Q909" s="12" t="s">
        <v>325</v>
      </c>
      <c r="R909" s="11" t="s">
        <v>306</v>
      </c>
      <c r="S909" s="10" t="s">
        <v>343</v>
      </c>
      <c r="T909" s="8">
        <v>0.67</v>
      </c>
      <c r="U909" s="15">
        <v>0.56000000000000005</v>
      </c>
      <c r="V909" s="8">
        <v>0.33</v>
      </c>
      <c r="W909" s="17"/>
      <c r="X909" s="65">
        <v>46250</v>
      </c>
    </row>
    <row r="910" spans="1:24" ht="19.8" thickBot="1" x14ac:dyDescent="0.3">
      <c r="A910" s="4" t="s">
        <v>93</v>
      </c>
      <c r="B910" s="8">
        <v>0.67</v>
      </c>
      <c r="C910" s="15">
        <v>0.89</v>
      </c>
      <c r="D910" s="8">
        <v>1</v>
      </c>
      <c r="E910" s="10" t="s">
        <v>344</v>
      </c>
      <c r="F910" s="11" t="s">
        <v>333</v>
      </c>
      <c r="G910" s="12" t="s">
        <v>1129</v>
      </c>
      <c r="H910" s="13" t="s">
        <v>232</v>
      </c>
      <c r="I910" s="14">
        <v>9</v>
      </c>
      <c r="J910" s="14" t="s">
        <v>10</v>
      </c>
      <c r="K910" s="5" t="s">
        <v>2209</v>
      </c>
      <c r="L910" s="6">
        <v>0.875</v>
      </c>
      <c r="M910" s="7" t="s">
        <v>2210</v>
      </c>
      <c r="N910" s="14" t="s">
        <v>11</v>
      </c>
      <c r="O910" s="14">
        <v>8</v>
      </c>
      <c r="P910" s="13" t="s">
        <v>237</v>
      </c>
      <c r="Q910" s="12" t="s">
        <v>295</v>
      </c>
      <c r="R910" s="11" t="s">
        <v>222</v>
      </c>
      <c r="S910" s="10" t="s">
        <v>239</v>
      </c>
      <c r="T910" s="8">
        <v>0.75</v>
      </c>
      <c r="U910" s="9">
        <v>0.5</v>
      </c>
      <c r="V910" s="8">
        <v>0.12</v>
      </c>
      <c r="W910" s="17"/>
      <c r="X910" s="65">
        <v>46250</v>
      </c>
    </row>
    <row r="911" spans="1:24" ht="19.8" thickBot="1" x14ac:dyDescent="0.3">
      <c r="A911" s="4" t="s">
        <v>93</v>
      </c>
      <c r="B911" s="63"/>
      <c r="C911" s="63"/>
      <c r="D911" s="63"/>
      <c r="E911" s="63"/>
      <c r="F911" s="63"/>
      <c r="G911" s="63"/>
      <c r="H911" s="63"/>
      <c r="I911" s="64"/>
      <c r="J911" s="14" t="s">
        <v>10</v>
      </c>
      <c r="K911" s="5" t="s">
        <v>2211</v>
      </c>
      <c r="L911" s="6">
        <v>0.9375</v>
      </c>
      <c r="M911" s="7" t="s">
        <v>2212</v>
      </c>
      <c r="N911" s="14" t="s">
        <v>11</v>
      </c>
      <c r="O911" s="64"/>
      <c r="P911" s="63"/>
      <c r="Q911" s="63"/>
      <c r="R911" s="63"/>
      <c r="S911" s="63"/>
      <c r="T911" s="63"/>
      <c r="U911" s="63"/>
      <c r="V911" s="63"/>
      <c r="W911" s="17"/>
      <c r="X911" s="65">
        <v>46250</v>
      </c>
    </row>
  </sheetData>
  <hyperlinks>
    <hyperlink ref="A2" r:id="rId1" display="https://www.soccerstats.com/latest.asp?league=netherlands"/>
    <hyperlink ref="A3" r:id="rId2" display="https://www.soccerstats.com/latest.asp?league=portugal"/>
    <hyperlink ref="A4" r:id="rId3" display="https://www.soccerstats.com/latest.asp?league=england2"/>
    <hyperlink ref="A5" r:id="rId4" display="https://www.soccerstats.com/latest.asp?league=spain2"/>
    <hyperlink ref="A6" r:id="rId5" display="https://www.soccerstats.com/latest.asp?league=france2"/>
    <hyperlink ref="A7" r:id="rId6" display="https://www.soccerstats.com/latest.asp?league=france2"/>
    <hyperlink ref="A8" r:id="rId7" display="https://www.soccerstats.com/latest.asp?league=france2"/>
    <hyperlink ref="A9" r:id="rId8" display="https://www.soccerstats.com/latest.asp?league=france2"/>
    <hyperlink ref="A10" r:id="rId9" display="https://www.soccerstats.com/latest.asp?league=france2"/>
    <hyperlink ref="A11" r:id="rId10" display="https://www.soccerstats.com/latest.asp?league=france2"/>
    <hyperlink ref="A12" r:id="rId11" display="https://www.soccerstats.com/latest.asp?league=france2"/>
    <hyperlink ref="A13" r:id="rId12" display="https://www.soccerstats.com/latest.asp?league=france2"/>
    <hyperlink ref="A14" r:id="rId13" display="https://www.soccerstats.com/latest.asp?league=france2"/>
    <hyperlink ref="A15" r:id="rId14" display="https://www.soccerstats.com/latest.asp?league=germany2"/>
    <hyperlink ref="A16" r:id="rId15" display="https://www.soccerstats.com/latest.asp?league=germany2"/>
    <hyperlink ref="A17" r:id="rId16" display="https://www.soccerstats.com/latest.asp?league=netherlands2"/>
    <hyperlink ref="A18" r:id="rId17" display="https://www.soccerstats.com/latest.asp?league=netherlands2"/>
    <hyperlink ref="A19" r:id="rId18" display="https://www.soccerstats.com/latest.asp?league=netherlands2"/>
    <hyperlink ref="A20" r:id="rId19" display="https://www.soccerstats.com/latest.asp?league=netherlands2"/>
    <hyperlink ref="A21" r:id="rId20" display="https://www.soccerstats.com/latest.asp?league=netherlands2"/>
    <hyperlink ref="A22" r:id="rId21" display="https://www.soccerstats.com/latest.asp?league=netherlands2"/>
    <hyperlink ref="A23" r:id="rId22" display="https://www.soccerstats.com/latest.asp?league=argentina2"/>
    <hyperlink ref="A24" r:id="rId23" display="https://www.soccerstats.com/latest.asp?league=argentina3"/>
    <hyperlink ref="A25" r:id="rId24" display="https://www.soccerstats.com/latest.asp?league=argentina3"/>
    <hyperlink ref="A26" r:id="rId25" display="https://www.soccerstats.com/latest.asp?league=armenia"/>
    <hyperlink ref="A27" r:id="rId26" display="https://www.soccerstats.com/latest.asp?league=australia3"/>
    <hyperlink ref="A28" r:id="rId27" display="https://www.soccerstats.com/latest.asp?league=australia3"/>
    <hyperlink ref="A29" r:id="rId28" display="https://www.soccerstats.com/latest.asp?league=australia3"/>
    <hyperlink ref="A30" r:id="rId29" display="https://www.soccerstats.com/latest.asp?league=australia4"/>
    <hyperlink ref="A31" r:id="rId30" display="https://www.soccerstats.com/latest.asp?league=australia4"/>
    <hyperlink ref="A32" r:id="rId31" display="https://www.soccerstats.com/latest.asp?league=australia4"/>
    <hyperlink ref="A33" r:id="rId32" display="https://www.soccerstats.com/latest.asp?league=australia4"/>
    <hyperlink ref="A34" r:id="rId33" display="https://www.soccerstats.com/latest.asp?league=australia4"/>
    <hyperlink ref="A35" r:id="rId34" display="https://www.soccerstats.com/latest.asp?league=australia4"/>
    <hyperlink ref="A36" r:id="rId35" display="https://www.soccerstats.com/latest.asp?league=australia5"/>
    <hyperlink ref="A37" r:id="rId36" display="https://www.soccerstats.com/latest.asp?league=australia11"/>
    <hyperlink ref="A38" r:id="rId37" display="https://www.soccerstats.com/latest.asp?league=austria"/>
    <hyperlink ref="A39" r:id="rId38" display="https://www.soccerstats.com/latest.asp?league=austria2"/>
    <hyperlink ref="A40" r:id="rId39" display="https://www.soccerstats.com/latest.asp?league=austria2"/>
    <hyperlink ref="A41" r:id="rId40" display="https://www.soccerstats.com/latest.asp?league=azerbaijan"/>
    <hyperlink ref="A42" r:id="rId41" display="https://www.soccerstats.com/latest.asp?league=azerbaijan"/>
    <hyperlink ref="A43" r:id="rId42" display="https://www.soccerstats.com/latest.asp?league=belarus"/>
    <hyperlink ref="A44" r:id="rId43" display="https://www.soccerstats.com/latest.asp?league=belarus"/>
    <hyperlink ref="A45" r:id="rId44" display="https://www.soccerstats.com/latest.asp?league=belgium"/>
    <hyperlink ref="A46" r:id="rId45" display="https://www.soccerstats.com/latest.asp?league=belgium2"/>
    <hyperlink ref="A47" r:id="rId46" display="https://www.soccerstats.com/latest.asp?league=belgium2"/>
    <hyperlink ref="A48" r:id="rId47" display="https://www.soccerstats.com/latest.asp?league=bosnia"/>
    <hyperlink ref="A49" r:id="rId48" display="https://www.soccerstats.com/latest.asp?league=brazil2"/>
    <hyperlink ref="A50" r:id="rId49" display="https://www.soccerstats.com/latest.asp?league=brazil2"/>
    <hyperlink ref="A51" r:id="rId50" display="https://www.soccerstats.com/latest.asp?league=brazil2"/>
    <hyperlink ref="A52" r:id="rId51" display="https://www.soccerstats.com/latest.asp?league=bulgaria"/>
    <hyperlink ref="A53" r:id="rId52" display="https://www.soccerstats.com/latest.asp?league=bulgaria2"/>
    <hyperlink ref="A54" r:id="rId53" display="https://www.soccerstats.com/latest.asp?league=chile"/>
    <hyperlink ref="A55" r:id="rId54" display="https://www.soccerstats.com/latest.asp?league=chile2"/>
    <hyperlink ref="A56" r:id="rId55" display="https://www.soccerstats.com/latest.asp?league=chile2"/>
    <hyperlink ref="A57" r:id="rId56" display="https://www.soccerstats.com/latest.asp?league=china"/>
    <hyperlink ref="A58" r:id="rId57" display="https://www.soccerstats.com/latest.asp?league=china"/>
    <hyperlink ref="A59" r:id="rId58" display="https://www.soccerstats.com/latest.asp?league=china"/>
    <hyperlink ref="A60" r:id="rId59" display="https://www.soccerstats.com/latest.asp?league=colombia2"/>
    <hyperlink ref="A61" r:id="rId60" display="https://www.soccerstats.com/leagueview.asp?league=copasudamericana"/>
    <hyperlink ref="A62" r:id="rId61" display="https://www.soccerstats.com/leagueview.asp?league=copalibertadores"/>
    <hyperlink ref="A63" r:id="rId62" display="https://www.soccerstats.com/latest.asp?league=croatia"/>
    <hyperlink ref="A64" r:id="rId63" display="https://www.soccerstats.com/latest.asp?league=czechrepublic2"/>
    <hyperlink ref="A65" r:id="rId64" display="https://www.soccerstats.com/latest.asp?league=czechrepublic2"/>
    <hyperlink ref="A66" r:id="rId65" display="https://www.soccerstats.com/latest.asp?league=denmark"/>
    <hyperlink ref="A67" r:id="rId66" display="https://www.soccerstats.com/latest.asp?league=denmark2"/>
    <hyperlink ref="A68" r:id="rId67" display="https://www.soccerstats.com/latest.asp?league=denmark2"/>
    <hyperlink ref="A69" r:id="rId68" display="https://www.soccerstats.com/latest.asp?league=denmark3"/>
    <hyperlink ref="A70" r:id="rId69" display="https://www.soccerstats.com/latest.asp?league=denmark3"/>
    <hyperlink ref="A71" r:id="rId70" display="https://www.soccerstats.com/latest.asp?league=denmark3"/>
    <hyperlink ref="A72" r:id="rId71" display="https://www.soccerstats.com/latest.asp?league=denmark3"/>
    <hyperlink ref="A73" r:id="rId72" display="https://www.soccerstats.com/latest.asp?league=england7"/>
    <hyperlink ref="A74" r:id="rId73" display="https://www.soccerstats.com/latest.asp?league=england9"/>
    <hyperlink ref="A75" r:id="rId74" display="https://www.soccerstats.com/latest.asp?league=estonia"/>
    <hyperlink ref="A76" r:id="rId75" display="https://www.soccerstats.com/latest.asp?league=finland"/>
    <hyperlink ref="A77" r:id="rId76" display="https://www.soccerstats.com/latest.asp?league=finland2"/>
    <hyperlink ref="A78" r:id="rId77" display="https://www.soccerstats.com/latest.asp?league=france3"/>
    <hyperlink ref="A79" r:id="rId78" display="https://www.soccerstats.com/latest.asp?league=france3"/>
    <hyperlink ref="A80" r:id="rId79" display="https://www.soccerstats.com/latest.asp?league=france3"/>
    <hyperlink ref="A81" r:id="rId80" display="https://www.soccerstats.com/latest.asp?league=france3"/>
    <hyperlink ref="A82" r:id="rId81" display="https://www.soccerstats.com/latest.asp?league=france3"/>
    <hyperlink ref="A83" r:id="rId82" display="https://www.soccerstats.com/latest.asp?league=france3"/>
    <hyperlink ref="A84" r:id="rId83" display="https://www.soccerstats.com/latest.asp?league=france3"/>
    <hyperlink ref="A85" r:id="rId84" display="https://www.soccerstats.com/latest.asp?league=france3"/>
    <hyperlink ref="A86" r:id="rId85" display="https://www.soccerstats.com/latest.asp?league=france3"/>
    <hyperlink ref="A87" r:id="rId86" display="https://www.soccerstats.com/latest.asp?league=germany3"/>
    <hyperlink ref="A88" r:id="rId87" display="https://www.soccerstats.com/latest.asp?league=germany5"/>
    <hyperlink ref="A89" r:id="rId88" display="https://www.soccerstats.com/latest.asp?league=germany5"/>
    <hyperlink ref="A90" r:id="rId89" display="https://www.soccerstats.com/latest.asp?league=germany5"/>
    <hyperlink ref="A91" r:id="rId90" display="https://www.soccerstats.com/latest.asp?league=germany5"/>
    <hyperlink ref="A92" r:id="rId91" display="https://www.soccerstats.com/latest.asp?league=germany6"/>
    <hyperlink ref="A93" r:id="rId92" display="https://www.soccerstats.com/latest.asp?league=germany6"/>
    <hyperlink ref="A94" r:id="rId93" display="https://www.soccerstats.com/latest.asp?league=germany6"/>
    <hyperlink ref="A95" r:id="rId94" display="https://www.soccerstats.com/latest.asp?league=germany6"/>
    <hyperlink ref="A96" r:id="rId95" display="https://www.soccerstats.com/latest.asp?league=germany7"/>
    <hyperlink ref="A97" r:id="rId96" display="https://www.soccerstats.com/latest.asp?league=germany8"/>
    <hyperlink ref="A98" r:id="rId97" display="https://www.soccerstats.com/latest.asp?league=germany8"/>
    <hyperlink ref="A99" r:id="rId98" display="https://www.soccerstats.com/latest.asp?league=germany8"/>
    <hyperlink ref="A100" r:id="rId99" display="https://www.soccerstats.com/latest.asp?league=germany8"/>
    <hyperlink ref="A101" r:id="rId100" display="https://www.soccerstats.com/latest.asp?league=germany8"/>
    <hyperlink ref="A102" r:id="rId101" display="https://www.soccerstats.com/latest.asp?league=germany8"/>
    <hyperlink ref="A103" r:id="rId102" display="https://www.soccerstats.com/latest.asp?league=germany8"/>
    <hyperlink ref="A104" r:id="rId103" display="https://www.soccerstats.com/latest.asp?league=germany8"/>
    <hyperlink ref="A105" r:id="rId104" display="https://www.soccerstats.com/latest.asp?league=germany8"/>
    <hyperlink ref="A106" r:id="rId105" display="https://www.soccerstats.com/latest.asp?league=hungary"/>
    <hyperlink ref="A107" r:id="rId106" display="https://www.soccerstats.com/latest.asp?league=iceland3"/>
    <hyperlink ref="A108" r:id="rId107" display="https://www.soccerstats.com/latest.asp?league=japan"/>
    <hyperlink ref="A109" r:id="rId108" display="https://www.soccerstats.com/latest.asp?league=norway"/>
    <hyperlink ref="A110" r:id="rId109" display="https://www.soccerstats.com/latest.asp?league=norway11"/>
    <hyperlink ref="A111" r:id="rId110" display="https://www.soccerstats.com/latest.asp?league=paraguay2"/>
    <hyperlink ref="A112" r:id="rId111" display="https://www.soccerstats.com/latest.asp?league=poland"/>
    <hyperlink ref="A113" r:id="rId112" display="https://www.soccerstats.com/latest.asp?league=poland2"/>
    <hyperlink ref="A114" r:id="rId113" display="https://www.soccerstats.com/latest.asp?league=poland2"/>
    <hyperlink ref="A115" r:id="rId114" display="https://www.soccerstats.com/latest.asp?league=poland3"/>
    <hyperlink ref="A116" r:id="rId115" display="https://www.soccerstats.com/latest.asp?league=portugal2"/>
    <hyperlink ref="A117" r:id="rId116" display="https://www.soccerstats.com/latest.asp?league=romania"/>
    <hyperlink ref="A118" r:id="rId117" display="https://www.soccerstats.com/latest.asp?league=romania"/>
    <hyperlink ref="A119" r:id="rId118" display="https://www.soccerstats.com/latest.asp?league=russia"/>
    <hyperlink ref="A120" r:id="rId119" display="https://www.soccerstats.com/latest.asp?league=saudiarabia"/>
    <hyperlink ref="A121" r:id="rId120" display="https://www.soccerstats.com/latest.asp?league=saudiarabia"/>
    <hyperlink ref="A122" r:id="rId121" display="https://www.soccerstats.com/latest.asp?league=saudiarabia"/>
    <hyperlink ref="A123" r:id="rId122" display="https://www.soccerstats.com/latest.asp?league=southafrica"/>
    <hyperlink ref="A124" r:id="rId123" display="https://www.soccerstats.com/latest.asp?league=southkorea4"/>
    <hyperlink ref="A125" r:id="rId124" display="https://www.soccerstats.com/latest.asp?league=southkorea4"/>
    <hyperlink ref="A126" r:id="rId125" display="https://www.soccerstats.com/latest.asp?league=sweden"/>
    <hyperlink ref="A127" r:id="rId126" display="https://www.soccerstats.com/latest.asp?league=sweden2"/>
    <hyperlink ref="A128" r:id="rId127" display="https://www.soccerstats.com/latest.asp?league=sweden2"/>
    <hyperlink ref="A129" r:id="rId128" display="https://www.soccerstats.com/latest.asp?league=sweden3"/>
    <hyperlink ref="A130" r:id="rId129" display="https://www.soccerstats.com/latest.asp?league=sweden4"/>
    <hyperlink ref="A131" r:id="rId130" display="https://www.soccerstats.com/latest.asp?league=sweden11"/>
    <hyperlink ref="A132" r:id="rId131" display="https://www.soccerstats.com/latest.asp?league=turkey"/>
    <hyperlink ref="A133" r:id="rId132" display="https://www.soccerstats.com/latest.asp?league=turkey2"/>
    <hyperlink ref="A134" r:id="rId133" display="https://www.soccerstats.com/latest.asp?league=ukraine"/>
    <hyperlink ref="A135" r:id="rId134" display="https://www.soccerstats.com/latest.asp?league=uruguay3"/>
    <hyperlink ref="A136" r:id="rId135" display="https://www.soccerstats.com/latest.asp?league=wales"/>
    <hyperlink ref="A137" r:id="rId136" display="https://www.soccerstats.com/latest.asp?league=wales"/>
    <hyperlink ref="A138" r:id="rId137" display="https://www.soccerstats.com/latest.asp?league=wales"/>
    <hyperlink ref="A139" r:id="rId138" display="https://www.soccerstats.com/latest.asp?league=wales"/>
    <hyperlink ref="A140" r:id="rId139" display="https://www.soccerstats.com/latest.asp?league=wales"/>
    <hyperlink ref="A141" r:id="rId140" display="https://www.soccerstats.com/latest.asp?league=wales"/>
    <hyperlink ref="A142" r:id="rId141" display="https://www.soccerstats.com/latest.asp?league=spain"/>
    <hyperlink ref="A143" r:id="rId142" display="https://www.soccerstats.com/latest.asp?league=spain"/>
    <hyperlink ref="A144" r:id="rId143" display="https://www.soccerstats.com/latest.asp?league=netherlands"/>
    <hyperlink ref="A145" r:id="rId144" display="https://www.soccerstats.com/latest.asp?league=netherlands"/>
    <hyperlink ref="A146" r:id="rId145" display="https://www.soccerstats.com/latest.asp?league=netherlands"/>
    <hyperlink ref="A147" r:id="rId146" display="https://www.soccerstats.com/latest.asp?league=netherlands"/>
    <hyperlink ref="A148" r:id="rId147" display="https://www.soccerstats.com/latest.asp?league=portugal"/>
    <hyperlink ref="A149" r:id="rId148" display="https://www.soccerstats.com/latest.asp?league=portugal"/>
    <hyperlink ref="A150" r:id="rId149" display="https://www.soccerstats.com/latest.asp?league=portugal"/>
    <hyperlink ref="A151" r:id="rId150" display="https://www.soccerstats.com/latest.asp?league=england2"/>
    <hyperlink ref="A152" r:id="rId151" display="https://www.soccerstats.com/latest.asp?league=england2"/>
    <hyperlink ref="A153" r:id="rId152" display="https://www.soccerstats.com/latest.asp?league=england2"/>
    <hyperlink ref="A154" r:id="rId153" display="https://www.soccerstats.com/latest.asp?league=england2"/>
    <hyperlink ref="A155" r:id="rId154" display="https://www.soccerstats.com/latest.asp?league=england2"/>
    <hyperlink ref="A156" r:id="rId155" display="https://www.soccerstats.com/latest.asp?league=england2"/>
    <hyperlink ref="A157" r:id="rId156" display="https://www.soccerstats.com/latest.asp?league=england2"/>
    <hyperlink ref="A158" r:id="rId157" display="https://www.soccerstats.com/latest.asp?league=england2"/>
    <hyperlink ref="A159" r:id="rId158" display="https://www.soccerstats.com/latest.asp?league=england3"/>
    <hyperlink ref="A160" r:id="rId159" display="https://www.soccerstats.com/latest.asp?league=england3"/>
    <hyperlink ref="A161" r:id="rId160" display="https://www.soccerstats.com/latest.asp?league=england3"/>
    <hyperlink ref="A162" r:id="rId161" display="https://www.soccerstats.com/latest.asp?league=england3"/>
    <hyperlink ref="A163" r:id="rId162" display="https://www.soccerstats.com/latest.asp?league=england3"/>
    <hyperlink ref="A164" r:id="rId163" display="https://www.soccerstats.com/latest.asp?league=england3"/>
    <hyperlink ref="A165" r:id="rId164" display="https://www.soccerstats.com/latest.asp?league=england3"/>
    <hyperlink ref="A166" r:id="rId165" display="https://www.soccerstats.com/latest.asp?league=england3"/>
    <hyperlink ref="A167" r:id="rId166" display="https://www.soccerstats.com/latest.asp?league=england3"/>
    <hyperlink ref="A168" r:id="rId167" display="https://www.soccerstats.com/latest.asp?league=england3"/>
    <hyperlink ref="A169" r:id="rId168" display="https://www.soccerstats.com/latest.asp?league=england3"/>
    <hyperlink ref="A170" r:id="rId169" display="https://www.soccerstats.com/latest.asp?league=england3"/>
    <hyperlink ref="A171" r:id="rId170" display="https://www.soccerstats.com/latest.asp?league=england4"/>
    <hyperlink ref="A172" r:id="rId171" display="https://www.soccerstats.com/latest.asp?league=england4"/>
    <hyperlink ref="A173" r:id="rId172" display="https://www.soccerstats.com/latest.asp?league=england4"/>
    <hyperlink ref="A174" r:id="rId173" display="https://www.soccerstats.com/latest.asp?league=england4"/>
    <hyperlink ref="A175" r:id="rId174" display="https://www.soccerstats.com/latest.asp?league=england4"/>
    <hyperlink ref="A176" r:id="rId175" display="https://www.soccerstats.com/latest.asp?league=england4"/>
    <hyperlink ref="A177" r:id="rId176" display="https://www.soccerstats.com/latest.asp?league=england4"/>
    <hyperlink ref="A178" r:id="rId177" display="https://www.soccerstats.com/latest.asp?league=england4"/>
    <hyperlink ref="A179" r:id="rId178" display="https://www.soccerstats.com/latest.asp?league=england4"/>
    <hyperlink ref="A180" r:id="rId179" display="https://www.soccerstats.com/latest.asp?league=england4"/>
    <hyperlink ref="A181" r:id="rId180" display="https://www.soccerstats.com/latest.asp?league=england4"/>
    <hyperlink ref="A182" r:id="rId181" display="https://www.soccerstats.com/latest.asp?league=england4"/>
    <hyperlink ref="A183" r:id="rId182" display="https://www.soccerstats.com/latest.asp?league=england5"/>
    <hyperlink ref="A184" r:id="rId183" display="https://www.soccerstats.com/latest.asp?league=england5"/>
    <hyperlink ref="A185" r:id="rId184" display="https://www.soccerstats.com/latest.asp?league=england5"/>
    <hyperlink ref="A186" r:id="rId185" display="https://www.soccerstats.com/latest.asp?league=england5"/>
    <hyperlink ref="A187" r:id="rId186" display="https://www.soccerstats.com/latest.asp?league=england5"/>
    <hyperlink ref="A188" r:id="rId187" display="https://www.soccerstats.com/latest.asp?league=england5"/>
    <hyperlink ref="A189" r:id="rId188" display="https://www.soccerstats.com/latest.asp?league=england5"/>
    <hyperlink ref="A190" r:id="rId189" display="https://www.soccerstats.com/latest.asp?league=england5"/>
    <hyperlink ref="A191" r:id="rId190" display="https://www.soccerstats.com/latest.asp?league=england5"/>
    <hyperlink ref="A192" r:id="rId191" display="https://www.soccerstats.com/latest.asp?league=england5"/>
    <hyperlink ref="A193" r:id="rId192" display="https://www.soccerstats.com/latest.asp?league=england5"/>
    <hyperlink ref="A194" r:id="rId193" display="https://www.soccerstats.com/latest.asp?league=england5"/>
    <hyperlink ref="A195" r:id="rId194" display="https://www.soccerstats.com/latest.asp?league=spain2"/>
    <hyperlink ref="A196" r:id="rId195" display="https://www.soccerstats.com/latest.asp?league=spain2"/>
    <hyperlink ref="A197" r:id="rId196" display="https://www.soccerstats.com/latest.asp?league=spain2"/>
    <hyperlink ref="A198" r:id="rId197" display="https://www.soccerstats.com/latest.asp?league=spain2"/>
    <hyperlink ref="A199" r:id="rId198" display="https://www.soccerstats.com/latest.asp?league=germany2"/>
    <hyperlink ref="A200" r:id="rId199" display="https://www.soccerstats.com/latest.asp?league=germany2"/>
    <hyperlink ref="A201" r:id="rId200" display="https://www.soccerstats.com/latest.asp?league=germany2"/>
    <hyperlink ref="A202" r:id="rId201" display="https://www.soccerstats.com/latest.asp?league=germany2"/>
    <hyperlink ref="A203" r:id="rId202" display="https://www.soccerstats.com/latest.asp?league=netherlands2"/>
    <hyperlink ref="A204" r:id="rId203" display="https://www.soccerstats.com/latest.asp?league=argentina2"/>
    <hyperlink ref="A205" r:id="rId204" display="https://www.soccerstats.com/latest.asp?league=argentina2"/>
    <hyperlink ref="A206" r:id="rId205" display="https://www.soccerstats.com/latest.asp?league=argentina2"/>
    <hyperlink ref="A207" r:id="rId206" display="https://www.soccerstats.com/latest.asp?league=argentina2"/>
    <hyperlink ref="A208" r:id="rId207" display="https://www.soccerstats.com/latest.asp?league=argentina2"/>
    <hyperlink ref="A209" r:id="rId208" display="https://www.soccerstats.com/latest.asp?league=argentina3"/>
    <hyperlink ref="A210" r:id="rId209" display="https://www.soccerstats.com/latest.asp?league=argentina3"/>
    <hyperlink ref="A211" r:id="rId210" display="https://www.soccerstats.com/latest.asp?league=argentina3"/>
    <hyperlink ref="A212" r:id="rId211" display="https://www.soccerstats.com/latest.asp?league=argentina3"/>
    <hyperlink ref="A213" r:id="rId212" display="https://www.soccerstats.com/latest.asp?league=argentina3"/>
    <hyperlink ref="A214" r:id="rId213" display="https://www.soccerstats.com/latest.asp?league=argentina3"/>
    <hyperlink ref="A215" r:id="rId214" display="https://www.soccerstats.com/latest.asp?league=argentina3"/>
    <hyperlink ref="A216" r:id="rId215" display="https://www.soccerstats.com/latest.asp?league=argentina3"/>
    <hyperlink ref="A217" r:id="rId216" display="https://www.soccerstats.com/latest.asp?league=armenia"/>
    <hyperlink ref="A218" r:id="rId217" display="https://www.soccerstats.com/latest.asp?league=armenia"/>
    <hyperlink ref="A219" r:id="rId218" display="https://www.soccerstats.com/latest.asp?league=australia3"/>
    <hyperlink ref="A220" r:id="rId219" display="https://www.soccerstats.com/latest.asp?league=australia3"/>
    <hyperlink ref="A221" r:id="rId220" display="https://www.soccerstats.com/latest.asp?league=australia3"/>
    <hyperlink ref="A222" r:id="rId221" display="https://www.soccerstats.com/latest.asp?league=australia5"/>
    <hyperlink ref="A223" r:id="rId222" display="https://www.soccerstats.com/latest.asp?league=australia5"/>
    <hyperlink ref="A224" r:id="rId223" display="https://www.soccerstats.com/latest.asp?league=australia5"/>
    <hyperlink ref="A225" r:id="rId224" display="https://www.soccerstats.com/latest.asp?league=australia5"/>
    <hyperlink ref="A226" r:id="rId225" display="https://www.soccerstats.com/latest.asp?league=australia5"/>
    <hyperlink ref="A227" r:id="rId226" display="https://www.soccerstats.com/latest.asp?league=australia6"/>
    <hyperlink ref="A228" r:id="rId227" display="https://www.soccerstats.com/latest.asp?league=australia6"/>
    <hyperlink ref="A229" r:id="rId228" display="https://www.soccerstats.com/latest.asp?league=australia6"/>
    <hyperlink ref="A230" r:id="rId229" display="https://www.soccerstats.com/latest.asp?league=australia6"/>
    <hyperlink ref="A231" r:id="rId230" display="https://www.soccerstats.com/latest.asp?league=australia6"/>
    <hyperlink ref="A232" r:id="rId231" display="https://www.soccerstats.com/latest.asp?league=australia6"/>
    <hyperlink ref="A233" r:id="rId232" display="https://www.soccerstats.com/latest.asp?league=australia10"/>
    <hyperlink ref="A234" r:id="rId233" display="https://www.soccerstats.com/latest.asp?league=australia10"/>
    <hyperlink ref="A235" r:id="rId234" display="https://www.soccerstats.com/latest.asp?league=australia10"/>
    <hyperlink ref="A236" r:id="rId235" display="https://www.soccerstats.com/latest.asp?league=australia11"/>
    <hyperlink ref="A237" r:id="rId236" display="https://www.soccerstats.com/latest.asp?league=australia11"/>
    <hyperlink ref="A238" r:id="rId237" display="https://www.soccerstats.com/latest.asp?league=australia11"/>
    <hyperlink ref="A239" r:id="rId238" display="https://www.soccerstats.com/latest.asp?league=australia11"/>
    <hyperlink ref="A240" r:id="rId239" display="https://www.soccerstats.com/latest.asp?league=austria"/>
    <hyperlink ref="A241" r:id="rId240" display="https://www.soccerstats.com/latest.asp?league=austria"/>
    <hyperlink ref="A242" r:id="rId241" display="https://www.soccerstats.com/latest.asp?league=austria2"/>
    <hyperlink ref="A243" r:id="rId242" display="https://www.soccerstats.com/latest.asp?league=austria2"/>
    <hyperlink ref="A244" r:id="rId243" display="https://www.soccerstats.com/latest.asp?league=austria2"/>
    <hyperlink ref="A245" r:id="rId244" display="https://www.soccerstats.com/latest.asp?league=austria2"/>
    <hyperlink ref="A246" r:id="rId245" display="https://www.soccerstats.com/latest.asp?league=austria2"/>
    <hyperlink ref="A247" r:id="rId246" display="https://www.soccerstats.com/latest.asp?league=azerbaijan"/>
    <hyperlink ref="A248" r:id="rId247" display="https://www.soccerstats.com/latest.asp?league=azerbaijan"/>
    <hyperlink ref="A249" r:id="rId248" display="https://www.soccerstats.com/latest.asp?league=belarus"/>
    <hyperlink ref="A250" r:id="rId249" display="https://www.soccerstats.com/latest.asp?league=belarus"/>
    <hyperlink ref="A251" r:id="rId250" display="https://www.soccerstats.com/latest.asp?league=belarus"/>
    <hyperlink ref="A252" r:id="rId251" display="https://www.soccerstats.com/latest.asp?league=belgium"/>
    <hyperlink ref="A253" r:id="rId252" display="https://www.soccerstats.com/latest.asp?league=belgium"/>
    <hyperlink ref="A254" r:id="rId253" display="https://www.soccerstats.com/latest.asp?league=belgium"/>
    <hyperlink ref="A255" r:id="rId254" display="https://www.soccerstats.com/latest.asp?league=belgium"/>
    <hyperlink ref="A256" r:id="rId255" display="https://www.soccerstats.com/latest.asp?league=belgium2"/>
    <hyperlink ref="A257" r:id="rId256" display="https://www.soccerstats.com/latest.asp?league=belgium2"/>
    <hyperlink ref="A258" r:id="rId257" display="https://www.soccerstats.com/latest.asp?league=belgium2"/>
    <hyperlink ref="A259" r:id="rId258" display="https://www.soccerstats.com/latest.asp?league=brazil"/>
    <hyperlink ref="A260" r:id="rId259" display="https://www.soccerstats.com/latest.asp?league=brazil"/>
    <hyperlink ref="A261" r:id="rId260" display="https://www.soccerstats.com/latest.asp?league=brazil2"/>
    <hyperlink ref="A262" r:id="rId261" display="https://www.soccerstats.com/latest.asp?league=brazil2"/>
    <hyperlink ref="A263" r:id="rId262" display="https://www.soccerstats.com/latest.asp?league=brazil2"/>
    <hyperlink ref="A264" r:id="rId263" display="https://www.soccerstats.com/latest.asp?league=brazil2"/>
    <hyperlink ref="A265" r:id="rId264" display="https://www.soccerstats.com/latest.asp?league=brazil3"/>
    <hyperlink ref="A266" r:id="rId265" display="https://www.soccerstats.com/latest.asp?league=brazil3"/>
    <hyperlink ref="A267" r:id="rId266" display="https://www.soccerstats.com/latest.asp?league=brazil3"/>
    <hyperlink ref="A268" r:id="rId267" display="https://www.soccerstats.com/latest.asp?league=brazil3"/>
    <hyperlink ref="A269" r:id="rId268" display="https://www.soccerstats.com/latest.asp?league=brazil5"/>
    <hyperlink ref="A270" r:id="rId269" display="https://www.soccerstats.com/latest.asp?league=brazil5"/>
    <hyperlink ref="A271" r:id="rId270" display="https://www.soccerstats.com/latest.asp?league=brazil5"/>
    <hyperlink ref="A272" r:id="rId271" display="https://www.soccerstats.com/latest.asp?league=brazil5"/>
    <hyperlink ref="A273" r:id="rId272" display="https://www.soccerstats.com/latest.asp?league=brazil5"/>
    <hyperlink ref="A274" r:id="rId273" display="https://www.soccerstats.com/latest.asp?league=brazil5"/>
    <hyperlink ref="A275" r:id="rId274" display="https://www.soccerstats.com/latest.asp?league=bulgaria"/>
    <hyperlink ref="A276" r:id="rId275" display="https://www.soccerstats.com/latest.asp?league=bulgaria"/>
    <hyperlink ref="A277" r:id="rId276" display="https://www.soccerstats.com/latest.asp?league=canada"/>
    <hyperlink ref="A278" r:id="rId277" display="https://www.soccerstats.com/latest.asp?league=canada"/>
    <hyperlink ref="A279" r:id="rId278" display="https://www.soccerstats.com/latest.asp?league=chile"/>
    <hyperlink ref="A280" r:id="rId279" display="https://www.soccerstats.com/latest.asp?league=chile2"/>
    <hyperlink ref="A281" r:id="rId280" display="https://www.soccerstats.com/latest.asp?league=china"/>
    <hyperlink ref="A282" r:id="rId281" display="https://www.soccerstats.com/latest.asp?league=china"/>
    <hyperlink ref="A283" r:id="rId282" display="https://www.soccerstats.com/latest.asp?league=china"/>
    <hyperlink ref="A284" r:id="rId283" display="https://www.soccerstats.com/latest.asp?league=china"/>
    <hyperlink ref="A285" r:id="rId284" display="https://www.soccerstats.com/latest.asp?league=china"/>
    <hyperlink ref="A286" r:id="rId285" display="https://www.soccerstats.com/latest.asp?league=china2"/>
    <hyperlink ref="A287" r:id="rId286" display="https://www.soccerstats.com/latest.asp?league=china2"/>
    <hyperlink ref="A288" r:id="rId287" display="https://www.soccerstats.com/latest.asp?league=china2"/>
    <hyperlink ref="A289" r:id="rId288" display="https://www.soccerstats.com/latest.asp?league=colombia2"/>
    <hyperlink ref="A290" r:id="rId289" display="https://www.soccerstats.com/latest.asp?league=costarica"/>
    <hyperlink ref="A291" r:id="rId290" display="https://www.soccerstats.com/latest.asp?league=costarica"/>
    <hyperlink ref="A292" r:id="rId291" display="https://www.soccerstats.com/latest.asp?league=croatia"/>
    <hyperlink ref="A293" r:id="rId292" display="https://www.soccerstats.com/latest.asp?league=croatia"/>
    <hyperlink ref="A294" r:id="rId293" display="https://www.soccerstats.com/latest.asp?league=czechrepublic"/>
    <hyperlink ref="A295" r:id="rId294" display="https://www.soccerstats.com/latest.asp?league=czechrepublic"/>
    <hyperlink ref="A296" r:id="rId295" display="https://www.soccerstats.com/latest.asp?league=czechrepublic"/>
    <hyperlink ref="A297" r:id="rId296" display="https://www.soccerstats.com/latest.asp?league=czechrepublic"/>
    <hyperlink ref="A298" r:id="rId297" display="https://www.soccerstats.com/latest.asp?league=czechrepublic"/>
    <hyperlink ref="A299" r:id="rId298" display="https://www.soccerstats.com/latest.asp?league=czechrepublic"/>
    <hyperlink ref="A300" r:id="rId299" display="https://www.soccerstats.com/latest.asp?league=czechrepublic"/>
    <hyperlink ref="A301" r:id="rId300" display="https://www.soccerstats.com/latest.asp?league=czechrepublic"/>
    <hyperlink ref="A302" r:id="rId301" display="https://www.soccerstats.com/latest.asp?league=czechrepublic2"/>
    <hyperlink ref="A303" r:id="rId302" display="https://www.soccerstats.com/latest.asp?league=czechrepublic2"/>
    <hyperlink ref="A304" r:id="rId303" display="https://www.soccerstats.com/latest.asp?league=czechrepublic2"/>
    <hyperlink ref="A305" r:id="rId304" display="https://www.soccerstats.com/latest.asp?league=czechrepublic2"/>
    <hyperlink ref="A306" r:id="rId305" display="https://www.soccerstats.com/latest.asp?league=denmark2"/>
    <hyperlink ref="A307" r:id="rId306" display="https://www.soccerstats.com/latest.asp?league=denmark2"/>
    <hyperlink ref="A308" r:id="rId307" display="https://www.soccerstats.com/latest.asp?league=denmark2"/>
    <hyperlink ref="A309" r:id="rId308" display="https://www.soccerstats.com/latest.asp?league=denmark3"/>
    <hyperlink ref="A310" r:id="rId309" display="https://www.soccerstats.com/latest.asp?league=denmark3"/>
    <hyperlink ref="A311" r:id="rId310" display="https://www.soccerstats.com/latest.asp?league=ecuador"/>
    <hyperlink ref="A312" r:id="rId311" display="https://www.soccerstats.com/latest.asp?league=ecuador"/>
    <hyperlink ref="A313" r:id="rId312" display="https://www.soccerstats.com/latest.asp?league=ecuador"/>
    <hyperlink ref="A314" r:id="rId313" display="https://www.soccerstats.com/latest.asp?league=england6"/>
    <hyperlink ref="A315" r:id="rId314" display="https://www.soccerstats.com/latest.asp?league=england6"/>
    <hyperlink ref="A316" r:id="rId315" display="https://www.soccerstats.com/latest.asp?league=england6"/>
    <hyperlink ref="A317" r:id="rId316" display="https://www.soccerstats.com/latest.asp?league=england6"/>
    <hyperlink ref="A318" r:id="rId317" display="https://www.soccerstats.com/latest.asp?league=england6"/>
    <hyperlink ref="A319" r:id="rId318" display="https://www.soccerstats.com/latest.asp?league=england6"/>
    <hyperlink ref="A320" r:id="rId319" display="https://www.soccerstats.com/latest.asp?league=england6"/>
    <hyperlink ref="A321" r:id="rId320" display="https://www.soccerstats.com/latest.asp?league=england6"/>
    <hyperlink ref="A322" r:id="rId321" display="https://www.soccerstats.com/latest.asp?league=england6"/>
    <hyperlink ref="A323" r:id="rId322" display="https://www.soccerstats.com/latest.asp?league=england6"/>
    <hyperlink ref="A324" r:id="rId323" display="https://www.soccerstats.com/latest.asp?league=england6"/>
    <hyperlink ref="A325" r:id="rId324" display="https://www.soccerstats.com/latest.asp?league=england6"/>
    <hyperlink ref="A326" r:id="rId325" display="https://www.soccerstats.com/latest.asp?league=england7"/>
    <hyperlink ref="A327" r:id="rId326" display="https://www.soccerstats.com/latest.asp?league=england7"/>
    <hyperlink ref="A328" r:id="rId327" display="https://www.soccerstats.com/latest.asp?league=england7"/>
    <hyperlink ref="A329" r:id="rId328" display="https://www.soccerstats.com/latest.asp?league=england7"/>
    <hyperlink ref="A330" r:id="rId329" display="https://www.soccerstats.com/latest.asp?league=england7"/>
    <hyperlink ref="A331" r:id="rId330" display="https://www.soccerstats.com/latest.asp?league=england7"/>
    <hyperlink ref="A332" r:id="rId331" display="https://www.soccerstats.com/latest.asp?league=england7"/>
    <hyperlink ref="A333" r:id="rId332" display="https://www.soccerstats.com/latest.asp?league=england7"/>
    <hyperlink ref="A334" r:id="rId333" display="https://www.soccerstats.com/latest.asp?league=england7"/>
    <hyperlink ref="A335" r:id="rId334" display="https://www.soccerstats.com/latest.asp?league=england7"/>
    <hyperlink ref="A336" r:id="rId335" display="https://www.soccerstats.com/latest.asp?league=england7"/>
    <hyperlink ref="A337" r:id="rId336" display="https://www.soccerstats.com/latest.asp?league=england8"/>
    <hyperlink ref="A338" r:id="rId337" display="https://www.soccerstats.com/latest.asp?league=england8"/>
    <hyperlink ref="A339" r:id="rId338" display="https://www.soccerstats.com/latest.asp?league=england8"/>
    <hyperlink ref="A340" r:id="rId339" display="https://www.soccerstats.com/latest.asp?league=england8"/>
    <hyperlink ref="A341" r:id="rId340" display="https://www.soccerstats.com/latest.asp?league=england8"/>
    <hyperlink ref="A342" r:id="rId341" display="https://www.soccerstats.com/latest.asp?league=england8"/>
    <hyperlink ref="A343" r:id="rId342" display="https://www.soccerstats.com/latest.asp?league=england8"/>
    <hyperlink ref="A344" r:id="rId343" display="https://www.soccerstats.com/latest.asp?league=england8"/>
    <hyperlink ref="A345" r:id="rId344" display="https://www.soccerstats.com/latest.asp?league=england8"/>
    <hyperlink ref="A346" r:id="rId345" display="https://www.soccerstats.com/latest.asp?league=england8"/>
    <hyperlink ref="A347" r:id="rId346" display="https://www.soccerstats.com/latest.asp?league=england8"/>
    <hyperlink ref="A348" r:id="rId347" display="https://www.soccerstats.com/latest.asp?league=england9"/>
    <hyperlink ref="A349" r:id="rId348" display="https://www.soccerstats.com/latest.asp?league=england9"/>
    <hyperlink ref="A350" r:id="rId349" display="https://www.soccerstats.com/latest.asp?league=england9"/>
    <hyperlink ref="A351" r:id="rId350" display="https://www.soccerstats.com/latest.asp?league=england9"/>
    <hyperlink ref="A352" r:id="rId351" display="https://www.soccerstats.com/latest.asp?league=england9"/>
    <hyperlink ref="A353" r:id="rId352" display="https://www.soccerstats.com/latest.asp?league=england9"/>
    <hyperlink ref="A354" r:id="rId353" display="https://www.soccerstats.com/latest.asp?league=england9"/>
    <hyperlink ref="A355" r:id="rId354" display="https://www.soccerstats.com/latest.asp?league=england9"/>
    <hyperlink ref="A356" r:id="rId355" display="https://www.soccerstats.com/latest.asp?league=england9"/>
    <hyperlink ref="A357" r:id="rId356" display="https://www.soccerstats.com/latest.asp?league=england9"/>
    <hyperlink ref="A358" r:id="rId357" display="https://www.soccerstats.com/latest.asp?league=england10"/>
    <hyperlink ref="A359" r:id="rId358" display="https://www.soccerstats.com/latest.asp?league=england10"/>
    <hyperlink ref="A360" r:id="rId359" display="https://www.soccerstats.com/latest.asp?league=england10"/>
    <hyperlink ref="A361" r:id="rId360" display="https://www.soccerstats.com/latest.asp?league=england10"/>
    <hyperlink ref="A362" r:id="rId361" display="https://www.soccerstats.com/latest.asp?league=england10"/>
    <hyperlink ref="A363" r:id="rId362" display="https://www.soccerstats.com/latest.asp?league=england10"/>
    <hyperlink ref="A364" r:id="rId363" display="https://www.soccerstats.com/latest.asp?league=england10"/>
    <hyperlink ref="A365" r:id="rId364" display="https://www.soccerstats.com/latest.asp?league=england10"/>
    <hyperlink ref="A366" r:id="rId365" display="https://www.soccerstats.com/latest.asp?league=england10"/>
    <hyperlink ref="A367" r:id="rId366" display="https://www.soccerstats.com/latest.asp?league=england10"/>
    <hyperlink ref="A368" r:id="rId367" display="https://www.soccerstats.com/latest.asp?league=england10"/>
    <hyperlink ref="A369" r:id="rId368" display="https://www.soccerstats.com/latest.asp?league=estonia2"/>
    <hyperlink ref="A370" r:id="rId369" display="https://www.soccerstats.com/latest.asp?league=estonia2"/>
    <hyperlink ref="A371" r:id="rId370" display="https://www.soccerstats.com/latest.asp?league=estonia2"/>
    <hyperlink ref="A372" r:id="rId371" display="https://www.soccerstats.com/latest.asp?league=estonia2"/>
    <hyperlink ref="A373" r:id="rId372" display="https://www.soccerstats.com/latest.asp?league=finland"/>
    <hyperlink ref="A374" r:id="rId373" display="https://www.soccerstats.com/latest.asp?league=finland2"/>
    <hyperlink ref="A375" r:id="rId374" display="https://www.soccerstats.com/latest.asp?league=finland2"/>
    <hyperlink ref="A376" r:id="rId375" display="https://www.soccerstats.com/latest.asp?league=finland2"/>
    <hyperlink ref="A377" r:id="rId376" display="https://www.soccerstats.com/latest.asp?league=finland3"/>
    <hyperlink ref="A378" r:id="rId377" display="https://www.soccerstats.com/latest.asp?league=finland3"/>
    <hyperlink ref="A379" r:id="rId378" display="https://www.soccerstats.com/latest.asp?league=finland3"/>
    <hyperlink ref="A380" r:id="rId379" display="https://www.soccerstats.com/latest.asp?league=finland4"/>
    <hyperlink ref="A381" r:id="rId380" display="https://www.soccerstats.com/latest.asp?league=finland4"/>
    <hyperlink ref="A382" r:id="rId381" display="https://www.soccerstats.com/latest.asp?league=finland4"/>
    <hyperlink ref="A383" r:id="rId382" display="https://www.soccerstats.com/latest.asp?league=finland5"/>
    <hyperlink ref="A384" r:id="rId383" display="https://www.soccerstats.com/latest.asp?league=finland5"/>
    <hyperlink ref="A385" r:id="rId384" display="https://www.soccerstats.com/latest.asp?league=finland5"/>
    <hyperlink ref="A386" r:id="rId385" display="https://www.soccerstats.com/latest.asp?league=finland5"/>
    <hyperlink ref="A387" r:id="rId386" display="https://www.soccerstats.com/latest.asp?league=finland5"/>
    <hyperlink ref="A388" r:id="rId387" display="https://www.soccerstats.com/latest.asp?league=finland6"/>
    <hyperlink ref="A389" r:id="rId388" display="https://www.soccerstats.com/latest.asp?league=finland6"/>
    <hyperlink ref="A390" r:id="rId389" display="https://www.soccerstats.com/latest.asp?league=finland6"/>
    <hyperlink ref="A391" r:id="rId390" display="https://www.soccerstats.com/latest.asp?league=georgia"/>
    <hyperlink ref="A392" r:id="rId391" display="https://www.soccerstats.com/latest.asp?league=georgia"/>
    <hyperlink ref="A393" r:id="rId392" display="https://www.soccerstats.com/latest.asp?league=germany3"/>
    <hyperlink ref="A394" r:id="rId393" display="https://www.soccerstats.com/latest.asp?league=germany3"/>
    <hyperlink ref="A395" r:id="rId394" display="https://www.soccerstats.com/latest.asp?league=germany3"/>
    <hyperlink ref="A396" r:id="rId395" display="https://www.soccerstats.com/latest.asp?league=germany3"/>
    <hyperlink ref="A397" r:id="rId396" display="https://www.soccerstats.com/latest.asp?league=germany3"/>
    <hyperlink ref="A398" r:id="rId397" display="https://www.soccerstats.com/latest.asp?league=germany3"/>
    <hyperlink ref="A399" r:id="rId398" display="https://www.soccerstats.com/latest.asp?league=germany4"/>
    <hyperlink ref="A400" r:id="rId399" display="https://www.soccerstats.com/latest.asp?league=germany4"/>
    <hyperlink ref="A401" r:id="rId400" display="https://www.soccerstats.com/latest.asp?league=germany4"/>
    <hyperlink ref="A402" r:id="rId401" display="https://www.soccerstats.com/latest.asp?league=germany4"/>
    <hyperlink ref="A403" r:id="rId402" display="https://www.soccerstats.com/latest.asp?league=germany5"/>
    <hyperlink ref="A404" r:id="rId403" display="https://www.soccerstats.com/latest.asp?league=germany5"/>
    <hyperlink ref="A405" r:id="rId404" display="https://www.soccerstats.com/latest.asp?league=germany5"/>
    <hyperlink ref="A406" r:id="rId405" display="https://www.soccerstats.com/latest.asp?league=germany6"/>
    <hyperlink ref="A407" r:id="rId406" display="https://www.soccerstats.com/latest.asp?league=germany6"/>
    <hyperlink ref="A408" r:id="rId407" display="https://www.soccerstats.com/latest.asp?league=germany6"/>
    <hyperlink ref="A409" r:id="rId408" display="https://www.soccerstats.com/latest.asp?league=germany6"/>
    <hyperlink ref="A410" r:id="rId409" display="https://www.soccerstats.com/latest.asp?league=germany7"/>
    <hyperlink ref="A411" r:id="rId410" display="https://www.soccerstats.com/latest.asp?league=germany7"/>
    <hyperlink ref="A412" r:id="rId411" display="https://www.soccerstats.com/latest.asp?league=germany7"/>
    <hyperlink ref="A413" r:id="rId412" display="https://www.soccerstats.com/latest.asp?league=germany7"/>
    <hyperlink ref="A414" r:id="rId413" display="https://www.soccerstats.com/latest.asp?league=germany7"/>
    <hyperlink ref="A415" r:id="rId414" display="https://www.soccerstats.com/latest.asp?league=guatemala"/>
    <hyperlink ref="A416" r:id="rId415" display="https://www.soccerstats.com/latest.asp?league=guatemala"/>
    <hyperlink ref="A417" r:id="rId416" display="https://www.soccerstats.com/latest.asp?league=hungary"/>
    <hyperlink ref="A418" r:id="rId417" display="https://www.soccerstats.com/latest.asp?league=hungary"/>
    <hyperlink ref="A419" r:id="rId418" display="https://www.soccerstats.com/latest.asp?league=hungary2"/>
    <hyperlink ref="A420" r:id="rId419" display="https://www.soccerstats.com/latest.asp?league=hungary2"/>
    <hyperlink ref="A421" r:id="rId420" display="https://www.soccerstats.com/latest.asp?league=hungary2"/>
    <hyperlink ref="A422" r:id="rId421" display="https://www.soccerstats.com/latest.asp?league=hungary2"/>
    <hyperlink ref="A423" r:id="rId422" display="https://www.soccerstats.com/latest.asp?league=hungary2"/>
    <hyperlink ref="A424" r:id="rId423" display="https://www.soccerstats.com/latest.asp?league=hungary2"/>
    <hyperlink ref="A425" r:id="rId424" display="https://www.soccerstats.com/latest.asp?league=iceland"/>
    <hyperlink ref="A426" r:id="rId425" display="https://www.soccerstats.com/latest.asp?league=iceland3"/>
    <hyperlink ref="A427" r:id="rId426" display="https://www.soccerstats.com/latest.asp?league=iceland3"/>
    <hyperlink ref="A428" r:id="rId427" display="https://www.soccerstats.com/latest.asp?league=iceland3"/>
    <hyperlink ref="A429" r:id="rId428" display="https://www.soccerstats.com/latest.asp?league=iceland3"/>
    <hyperlink ref="A430" r:id="rId429" display="https://www.soccerstats.com/latest.asp?league=iceland3"/>
    <hyperlink ref="A431" r:id="rId430" display="https://www.soccerstats.com/latest.asp?league=ireland3"/>
    <hyperlink ref="A432" r:id="rId431" display="https://www.soccerstats.com/latest.asp?league=ireland3"/>
    <hyperlink ref="A433" r:id="rId432" display="https://www.soccerstats.com/latest.asp?league=ireland3"/>
    <hyperlink ref="A434" r:id="rId433" display="https://www.soccerstats.com/latest.asp?league=ireland3"/>
    <hyperlink ref="A435" r:id="rId434" display="https://www.soccerstats.com/latest.asp?league=ireland3"/>
    <hyperlink ref="A436" r:id="rId435" display="https://www.soccerstats.com/latest.asp?league=ireland3"/>
    <hyperlink ref="A437" r:id="rId436" display="https://www.soccerstats.com/latest.asp?league=japan"/>
    <hyperlink ref="A438" r:id="rId437" display="https://www.soccerstats.com/latest.asp?league=japan"/>
    <hyperlink ref="A439" r:id="rId438" display="https://www.soccerstats.com/latest.asp?league=japan"/>
    <hyperlink ref="A440" r:id="rId439" display="https://www.soccerstats.com/latest.asp?league=japan"/>
    <hyperlink ref="A441" r:id="rId440" display="https://www.soccerstats.com/latest.asp?league=japan"/>
    <hyperlink ref="A442" r:id="rId441" display="https://www.soccerstats.com/latest.asp?league=japan"/>
    <hyperlink ref="A443" r:id="rId442" display="https://www.soccerstats.com/latest.asp?league=japan"/>
    <hyperlink ref="A444" r:id="rId443" display="https://www.soccerstats.com/latest.asp?league=japan"/>
    <hyperlink ref="A445" r:id="rId444" display="https://www.soccerstats.com/latest.asp?league=japan"/>
    <hyperlink ref="A446" r:id="rId445" display="https://www.soccerstats.com/latest.asp?league=japan2"/>
    <hyperlink ref="A447" r:id="rId446" display="https://www.soccerstats.com/latest.asp?league=japan2"/>
    <hyperlink ref="A448" r:id="rId447" display="https://www.soccerstats.com/latest.asp?league=japan2"/>
    <hyperlink ref="A449" r:id="rId448" display="https://www.soccerstats.com/latest.asp?league=japan2"/>
    <hyperlink ref="A450" r:id="rId449" display="https://www.soccerstats.com/latest.asp?league=japan2"/>
    <hyperlink ref="A451" r:id="rId450" display="https://www.soccerstats.com/latest.asp?league=japan2"/>
    <hyperlink ref="A452" r:id="rId451" display="https://www.soccerstats.com/latest.asp?league=japan2"/>
    <hyperlink ref="A453" r:id="rId452" display="https://www.soccerstats.com/latest.asp?league=japan2"/>
    <hyperlink ref="A454" r:id="rId453" display="https://www.soccerstats.com/latest.asp?league=japan3"/>
    <hyperlink ref="A455" r:id="rId454" display="https://www.soccerstats.com/latest.asp?league=japan3"/>
    <hyperlink ref="A456" r:id="rId455" display="https://www.soccerstats.com/latest.asp?league=japan3"/>
    <hyperlink ref="A457" r:id="rId456" display="https://www.soccerstats.com/latest.asp?league=japan3"/>
    <hyperlink ref="A458" r:id="rId457" display="https://www.soccerstats.com/latest.asp?league=japan3"/>
    <hyperlink ref="A459" r:id="rId458" display="https://www.soccerstats.com/latest.asp?league=japan3"/>
    <hyperlink ref="A460" r:id="rId459" display="https://www.soccerstats.com/latest.asp?league=kazakhstan"/>
    <hyperlink ref="A461" r:id="rId460" display="https://www.soccerstats.com/latest.asp?league=kazakhstan"/>
    <hyperlink ref="A462" r:id="rId461" display="https://www.soccerstats.com/latest.asp?league=kazakhstan"/>
    <hyperlink ref="A463" r:id="rId462" display="https://www.soccerstats.com/latest.asp?league=kazakhstan"/>
    <hyperlink ref="A464" r:id="rId463" display="https://www.soccerstats.com/latest.asp?league=mexico"/>
    <hyperlink ref="A465" r:id="rId464" display="https://www.soccerstats.com/latest.asp?league=moldova"/>
    <hyperlink ref="A466" r:id="rId465" display="https://www.soccerstats.com/latest.asp?league=moldova"/>
    <hyperlink ref="A467" r:id="rId466" display="https://www.soccerstats.com/latest.asp?league=montenegro"/>
    <hyperlink ref="A468" r:id="rId467" display="https://www.soccerstats.com/latest.asp?league=netherlands3"/>
    <hyperlink ref="A469" r:id="rId468" display="https://www.soccerstats.com/latest.asp?league=netherlands3"/>
    <hyperlink ref="A470" r:id="rId469" display="https://www.soccerstats.com/latest.asp?league=netherlands3"/>
    <hyperlink ref="A471" r:id="rId470" display="https://www.soccerstats.com/latest.asp?league=netherlands3"/>
    <hyperlink ref="A472" r:id="rId471" display="https://www.soccerstats.com/latest.asp?league=netherlands3"/>
    <hyperlink ref="A473" r:id="rId472" display="https://www.soccerstats.com/latest.asp?league=netherlands3"/>
    <hyperlink ref="A474" r:id="rId473" display="https://www.soccerstats.com/latest.asp?league=netherlands3"/>
    <hyperlink ref="A475" r:id="rId474" display="https://www.soccerstats.com/latest.asp?league=netherlands3"/>
    <hyperlink ref="A476" r:id="rId475" display="https://www.soccerstats.com/latest.asp?league=netherlands3"/>
    <hyperlink ref="A477" r:id="rId476" display="https://www.soccerstats.com/latest.asp?league=northernireland"/>
    <hyperlink ref="A478" r:id="rId477" display="https://www.soccerstats.com/latest.asp?league=northernireland"/>
    <hyperlink ref="A479" r:id="rId478" display="https://www.soccerstats.com/latest.asp?league=northernireland"/>
    <hyperlink ref="A480" r:id="rId479" display="https://www.soccerstats.com/latest.asp?league=northernireland"/>
    <hyperlink ref="A481" r:id="rId480" display="https://www.soccerstats.com/latest.asp?league=northernireland"/>
    <hyperlink ref="A482" r:id="rId481" display="https://www.soccerstats.com/latest.asp?league=northernireland"/>
    <hyperlink ref="A483" r:id="rId482" display="https://www.soccerstats.com/latest.asp?league=northmacedonia"/>
    <hyperlink ref="A484" r:id="rId483" display="https://www.soccerstats.com/latest.asp?league=northmacedonia"/>
    <hyperlink ref="A485" r:id="rId484" display="https://www.soccerstats.com/latest.asp?league=northmacedonia"/>
    <hyperlink ref="A486" r:id="rId485" display="https://www.soccerstats.com/latest.asp?league=northmacedonia"/>
    <hyperlink ref="A487" r:id="rId486" display="https://www.soccerstats.com/latest.asp?league=northmacedonia"/>
    <hyperlink ref="A488" r:id="rId487" display="https://www.soccerstats.com/latest.asp?league=norway"/>
    <hyperlink ref="A489" r:id="rId488" display="https://www.soccerstats.com/latest.asp?league=norway2"/>
    <hyperlink ref="A490" r:id="rId489" display="https://www.soccerstats.com/latest.asp?league=norway2"/>
    <hyperlink ref="A491" r:id="rId490" display="https://www.soccerstats.com/latest.asp?league=norway2"/>
    <hyperlink ref="A492" r:id="rId491" display="https://www.soccerstats.com/latest.asp?league=norway3"/>
    <hyperlink ref="A493" r:id="rId492" display="https://www.soccerstats.com/latest.asp?league=norway3"/>
    <hyperlink ref="A494" r:id="rId493" display="https://www.soccerstats.com/latest.asp?league=norway3"/>
    <hyperlink ref="A495" r:id="rId494" display="https://www.soccerstats.com/latest.asp?league=norway3"/>
    <hyperlink ref="A496" r:id="rId495" display="https://www.soccerstats.com/latest.asp?league=norway4"/>
    <hyperlink ref="A497" r:id="rId496" display="https://www.soccerstats.com/latest.asp?league=norway11"/>
    <hyperlink ref="A498" r:id="rId497" display="https://www.soccerstats.com/latest.asp?league=norway11"/>
    <hyperlink ref="A499" r:id="rId498" display="https://www.soccerstats.com/latest.asp?league=norway11"/>
    <hyperlink ref="A500" r:id="rId499" display="https://www.soccerstats.com/latest.asp?league=norway11"/>
    <hyperlink ref="A501" r:id="rId500" display="https://www.soccerstats.com/latest.asp?league=norway11"/>
    <hyperlink ref="A502" r:id="rId501" display="https://www.soccerstats.com/latest.asp?league=paraguay2"/>
    <hyperlink ref="A503" r:id="rId502" display="https://www.soccerstats.com/latest.asp?league=paraguay2"/>
    <hyperlink ref="A504" r:id="rId503" display="https://www.soccerstats.com/latest.asp?league=peru2"/>
    <hyperlink ref="A505" r:id="rId504" display="https://www.soccerstats.com/latest.asp?league=peru2"/>
    <hyperlink ref="A506" r:id="rId505" display="https://www.soccerstats.com/latest.asp?league=peru2"/>
    <hyperlink ref="A507" r:id="rId506" display="https://www.soccerstats.com/latest.asp?league=peru2"/>
    <hyperlink ref="A508" r:id="rId507" display="https://www.soccerstats.com/latest.asp?league=peru2"/>
    <hyperlink ref="A509" r:id="rId508" display="https://www.soccerstats.com/latest.asp?league=peru2"/>
    <hyperlink ref="A510" r:id="rId509" display="https://www.soccerstats.com/latest.asp?league=peru2"/>
    <hyperlink ref="A511" r:id="rId510" display="https://www.soccerstats.com/latest.asp?league=peru2"/>
    <hyperlink ref="A512" r:id="rId511" display="https://www.soccerstats.com/latest.asp?league=peru2"/>
    <hyperlink ref="A513" r:id="rId512" display="https://www.soccerstats.com/latest.asp?league=poland"/>
    <hyperlink ref="A514" r:id="rId513" display="https://www.soccerstats.com/latest.asp?league=poland"/>
    <hyperlink ref="A515" r:id="rId514" display="https://www.soccerstats.com/latest.asp?league=poland"/>
    <hyperlink ref="A516" r:id="rId515" display="https://www.soccerstats.com/latest.asp?league=poland2"/>
    <hyperlink ref="A517" r:id="rId516" display="https://www.soccerstats.com/latest.asp?league=poland2"/>
    <hyperlink ref="A518" r:id="rId517" display="https://www.soccerstats.com/latest.asp?league=poland2"/>
    <hyperlink ref="A519" r:id="rId518" display="https://www.soccerstats.com/latest.asp?league=poland3"/>
    <hyperlink ref="A520" r:id="rId519" display="https://www.soccerstats.com/latest.asp?league=poland3"/>
    <hyperlink ref="A521" r:id="rId520" display="https://www.soccerstats.com/latest.asp?league=poland3"/>
    <hyperlink ref="A522" r:id="rId521" display="https://www.soccerstats.com/latest.asp?league=poland3"/>
    <hyperlink ref="A523" r:id="rId522" display="https://www.soccerstats.com/latest.asp?league=poland3"/>
    <hyperlink ref="A524" r:id="rId523" display="https://www.soccerstats.com/latest.asp?league=portugal2"/>
    <hyperlink ref="A525" r:id="rId524" display="https://www.soccerstats.com/latest.asp?league=portugal2"/>
    <hyperlink ref="A526" r:id="rId525" display="https://www.soccerstats.com/latest.asp?league=portugal2"/>
    <hyperlink ref="A527" r:id="rId526" display="https://www.soccerstats.com/latest.asp?league=romania"/>
    <hyperlink ref="A528" r:id="rId527" display="https://www.soccerstats.com/latest.asp?league=romania"/>
    <hyperlink ref="A529" r:id="rId528" display="https://www.soccerstats.com/latest.asp?league=russia"/>
    <hyperlink ref="A530" r:id="rId529" display="https://www.soccerstats.com/latest.asp?league=russia"/>
    <hyperlink ref="A531" r:id="rId530" display="https://www.soccerstats.com/latest.asp?league=russia"/>
    <hyperlink ref="A532" r:id="rId531" display="https://www.soccerstats.com/latest.asp?league=russia"/>
    <hyperlink ref="A533" r:id="rId532" display="https://www.soccerstats.com/latest.asp?league=saudiarabia"/>
    <hyperlink ref="A534" r:id="rId533" display="https://www.soccerstats.com/latest.asp?league=saudiarabia"/>
    <hyperlink ref="A535" r:id="rId534" display="https://www.soccerstats.com/latest.asp?league=saudiarabia"/>
    <hyperlink ref="A536" r:id="rId535" display="https://www.soccerstats.com/latest.asp?league=scotland3"/>
    <hyperlink ref="A537" r:id="rId536" display="https://www.soccerstats.com/latest.asp?league=scotland3"/>
    <hyperlink ref="A538" r:id="rId537" display="https://www.soccerstats.com/latest.asp?league=scotland3"/>
    <hyperlink ref="A539" r:id="rId538" display="https://www.soccerstats.com/latest.asp?league=scotland3"/>
    <hyperlink ref="A540" r:id="rId539" display="https://www.soccerstats.com/latest.asp?league=scotland4"/>
    <hyperlink ref="A541" r:id="rId540" display="https://www.soccerstats.com/latest.asp?league=scotland4"/>
    <hyperlink ref="A542" r:id="rId541" display="https://www.soccerstats.com/latest.asp?league=scotland4"/>
    <hyperlink ref="A543" r:id="rId542" display="https://www.soccerstats.com/latest.asp?league=scotland4"/>
    <hyperlink ref="A544" r:id="rId543" display="https://www.soccerstats.com/latest.asp?league=scotland4"/>
    <hyperlink ref="A545" r:id="rId544" display="https://www.soccerstats.com/latest.asp?league=serbia"/>
    <hyperlink ref="A546" r:id="rId545" display="https://www.soccerstats.com/latest.asp?league=serbia"/>
    <hyperlink ref="A547" r:id="rId546" display="https://www.soccerstats.com/latest.asp?league=serbia"/>
    <hyperlink ref="A548" r:id="rId547" display="https://www.soccerstats.com/latest.asp?league=slovakia"/>
    <hyperlink ref="A549" r:id="rId548" display="https://www.soccerstats.com/latest.asp?league=slovakia"/>
    <hyperlink ref="A550" r:id="rId549" display="https://www.soccerstats.com/latest.asp?league=slovakia"/>
    <hyperlink ref="A551" r:id="rId550" display="https://www.soccerstats.com/latest.asp?league=slovakia"/>
    <hyperlink ref="A552" r:id="rId551" display="https://www.soccerstats.com/latest.asp?league=slovenia"/>
    <hyperlink ref="A553" r:id="rId552" display="https://www.soccerstats.com/latest.asp?league=slovenia"/>
    <hyperlink ref="A554" r:id="rId553" display="https://www.soccerstats.com/latest.asp?league=southafrica"/>
    <hyperlink ref="A555" r:id="rId554" display="https://www.soccerstats.com/latest.asp?league=southafrica"/>
    <hyperlink ref="A556" r:id="rId555" display="https://www.soccerstats.com/latest.asp?league=southafrica"/>
    <hyperlink ref="A557" r:id="rId556" display="https://www.soccerstats.com/latest.asp?league=southafrica"/>
    <hyperlink ref="A558" r:id="rId557" display="https://www.soccerstats.com/latest.asp?league=southafrica"/>
    <hyperlink ref="A559" r:id="rId558" display="https://www.soccerstats.com/latest.asp?league=southkorea"/>
    <hyperlink ref="A560" r:id="rId559" display="https://www.soccerstats.com/latest.asp?league=southkorea"/>
    <hyperlink ref="A561" r:id="rId560" display="https://www.soccerstats.com/latest.asp?league=southkorea"/>
    <hyperlink ref="A562" r:id="rId561" display="https://www.soccerstats.com/latest.asp?league=southkorea2"/>
    <hyperlink ref="A563" r:id="rId562" display="https://www.soccerstats.com/latest.asp?league=southkorea2"/>
    <hyperlink ref="A564" r:id="rId563" display="https://www.soccerstats.com/latest.asp?league=southkorea2"/>
    <hyperlink ref="A565" r:id="rId564" display="https://www.soccerstats.com/latest.asp?league=southkorea2"/>
    <hyperlink ref="A566" r:id="rId565" display="https://www.soccerstats.com/latest.asp?league=southkorea4"/>
    <hyperlink ref="A567" r:id="rId566" display="https://www.soccerstats.com/latest.asp?league=southkorea4"/>
    <hyperlink ref="A568" r:id="rId567" display="https://www.soccerstats.com/latest.asp?league=sweden"/>
    <hyperlink ref="A569" r:id="rId568" display="https://www.soccerstats.com/latest.asp?league=sweden2"/>
    <hyperlink ref="A570" r:id="rId569" display="https://www.soccerstats.com/latest.asp?league=sweden2"/>
    <hyperlink ref="A571" r:id="rId570" display="https://www.soccerstats.com/latest.asp?league=sweden2"/>
    <hyperlink ref="A572" r:id="rId571" display="https://www.soccerstats.com/latest.asp?league=sweden2"/>
    <hyperlink ref="A573" r:id="rId572" display="https://www.soccerstats.com/latest.asp?league=sweden2"/>
    <hyperlink ref="A574" r:id="rId573" display="https://www.soccerstats.com/latest.asp?league=sweden3"/>
    <hyperlink ref="A575" r:id="rId574" display="https://www.soccerstats.com/latest.asp?league=sweden3"/>
    <hyperlink ref="A576" r:id="rId575" display="https://www.soccerstats.com/latest.asp?league=sweden3"/>
    <hyperlink ref="A577" r:id="rId576" display="https://www.soccerstats.com/latest.asp?league=sweden3"/>
    <hyperlink ref="A578" r:id="rId577" display="https://www.soccerstats.com/latest.asp?league=sweden4"/>
    <hyperlink ref="A579" r:id="rId578" display="https://www.soccerstats.com/latest.asp?league=sweden4"/>
    <hyperlink ref="A580" r:id="rId579" display="https://www.soccerstats.com/latest.asp?league=sweden4"/>
    <hyperlink ref="A581" r:id="rId580" display="https://www.soccerstats.com/latest.asp?league=sweden4"/>
    <hyperlink ref="A582" r:id="rId581" display="https://www.soccerstats.com/latest.asp?league=sweden11"/>
    <hyperlink ref="A583" r:id="rId582" display="https://www.soccerstats.com/latest.asp?league=sweden11"/>
    <hyperlink ref="A584" r:id="rId583" display="https://www.soccerstats.com/latest.asp?league=sweden11"/>
    <hyperlink ref="A585" r:id="rId584" display="https://www.soccerstats.com/latest.asp?league=sweden11"/>
    <hyperlink ref="A586" r:id="rId585" display="https://www.soccerstats.com/latest.asp?league=sweden11"/>
    <hyperlink ref="A587" r:id="rId586" display="https://www.soccerstats.com/latest.asp?league=turkey"/>
    <hyperlink ref="A588" r:id="rId587" display="https://www.soccerstats.com/latest.asp?league=turkey"/>
    <hyperlink ref="A589" r:id="rId588" display="https://www.soccerstats.com/latest.asp?league=turkey"/>
    <hyperlink ref="A590" r:id="rId589" display="https://www.soccerstats.com/latest.asp?league=turkey"/>
    <hyperlink ref="A591" r:id="rId590" display="https://www.soccerstats.com/latest.asp?league=turkey2"/>
    <hyperlink ref="A592" r:id="rId591" display="https://www.soccerstats.com/latest.asp?league=turkey2"/>
    <hyperlink ref="A593" r:id="rId592" display="https://www.soccerstats.com/latest.asp?league=turkey2"/>
    <hyperlink ref="A594" r:id="rId593" display="https://www.soccerstats.com/latest.asp?league=turkey2"/>
    <hyperlink ref="A595" r:id="rId594" display="https://www.soccerstats.com/latest.asp?league=ukraine"/>
    <hyperlink ref="A596" r:id="rId595" display="https://www.soccerstats.com/latest.asp?league=ukraine"/>
    <hyperlink ref="A597" r:id="rId596" display="https://www.soccerstats.com/latest.asp?league=ukraine"/>
    <hyperlink ref="A598" r:id="rId597" display="https://www.soccerstats.com/latest.asp?league=uruguay3"/>
    <hyperlink ref="A599" r:id="rId598" display="https://www.soccerstats.com/latest.asp?league=uruguay3"/>
    <hyperlink ref="A600" r:id="rId599" display="https://www.soccerstats.com/latest.asp?league=uruguay3"/>
    <hyperlink ref="A601" r:id="rId600" display="https://www.soccerstats.com/latest.asp?league=usa"/>
    <hyperlink ref="A602" r:id="rId601" display="https://www.soccerstats.com/latest.asp?league=usa"/>
    <hyperlink ref="A603" r:id="rId602" display="https://www.soccerstats.com/latest.asp?league=usa"/>
    <hyperlink ref="A604" r:id="rId603" display="https://www.soccerstats.com/latest.asp?league=usa"/>
    <hyperlink ref="A605" r:id="rId604" display="https://www.soccerstats.com/latest.asp?league=usa"/>
    <hyperlink ref="A606" r:id="rId605" display="https://www.soccerstats.com/latest.asp?league=usa2"/>
    <hyperlink ref="A607" r:id="rId606" display="https://www.soccerstats.com/latest.asp?league=usa2"/>
    <hyperlink ref="A608" r:id="rId607" display="https://www.soccerstats.com/latest.asp?league=usa2"/>
    <hyperlink ref="A609" r:id="rId608" display="https://www.soccerstats.com/latest.asp?league=usa2"/>
    <hyperlink ref="A610" r:id="rId609" display="https://www.soccerstats.com/latest.asp?league=usa2"/>
    <hyperlink ref="A611" r:id="rId610" display="https://www.soccerstats.com/latest.asp?league=usa3"/>
    <hyperlink ref="A612" r:id="rId611" display="https://www.soccerstats.com/latest.asp?league=usa3"/>
    <hyperlink ref="A613" r:id="rId612" display="https://www.soccerstats.com/latest.asp?league=usa3"/>
    <hyperlink ref="A614" r:id="rId613" display="https://www.soccerstats.com/latest.asp?league=usa3"/>
    <hyperlink ref="A615" r:id="rId614" display="https://www.soccerstats.com/latest.asp?league=usa3"/>
    <hyperlink ref="A616" r:id="rId615" display="https://www.soccerstats.com/latest.asp?league=usa6"/>
    <hyperlink ref="A617" r:id="rId616" display="https://www.soccerstats.com/latest.asp?league=usa6"/>
    <hyperlink ref="A618" r:id="rId617" display="https://www.soccerstats.com/latest.asp?league=usa6"/>
    <hyperlink ref="A619" r:id="rId618" display="https://www.soccerstats.com/latest.asp?league=usa6"/>
    <hyperlink ref="A620" r:id="rId619" display="https://www.soccerstats.com/latest.asp?league=usa6"/>
    <hyperlink ref="A621" r:id="rId620" display="https://www.soccerstats.com/latest.asp?league=usa7"/>
    <hyperlink ref="A622" r:id="rId621" display="https://www.soccerstats.com/latest.asp?league=usa7"/>
    <hyperlink ref="A623" r:id="rId622" display="https://www.soccerstats.com/latest.asp?league=usa7"/>
    <hyperlink ref="A624" r:id="rId623" display="https://www.soccerstats.com/latest.asp?league=wales"/>
    <hyperlink ref="A625" r:id="rId624" display="https://www.soccerstats.com/latest.asp?league=wales"/>
    <hyperlink ref="A626" r:id="rId625" display="https://www.soccerstats.com/latest.asp?league=spain"/>
    <hyperlink ref="A627" r:id="rId626" display="https://www.soccerstats.com/latest.asp?league=spain"/>
    <hyperlink ref="A628" r:id="rId627" display="https://www.soccerstats.com/latest.asp?league=spain"/>
    <hyperlink ref="A629" r:id="rId628" display="https://www.soccerstats.com/latest.asp?league=netherlands"/>
    <hyperlink ref="A630" r:id="rId629" display="https://www.soccerstats.com/latest.asp?league=netherlands"/>
    <hyperlink ref="A631" r:id="rId630" display="https://www.soccerstats.com/latest.asp?league=netherlands"/>
    <hyperlink ref="A632" r:id="rId631" display="https://www.soccerstats.com/latest.asp?league=netherlands"/>
    <hyperlink ref="A633" r:id="rId632" display="https://www.soccerstats.com/latest.asp?league=portugal"/>
    <hyperlink ref="A634" r:id="rId633" display="https://www.soccerstats.com/latest.asp?league=portugal"/>
    <hyperlink ref="A635" r:id="rId634" display="https://www.soccerstats.com/latest.asp?league=portugal"/>
    <hyperlink ref="A636" r:id="rId635" display="https://www.soccerstats.com/latest.asp?league=portugal"/>
    <hyperlink ref="A637" r:id="rId636" display="https://www.soccerstats.com/latest.asp?league=england2"/>
    <hyperlink ref="A638" r:id="rId637" display="https://www.soccerstats.com/latest.asp?league=england2"/>
    <hyperlink ref="A639" r:id="rId638" display="https://www.soccerstats.com/latest.asp?league=spain2"/>
    <hyperlink ref="A640" r:id="rId639" display="https://www.soccerstats.com/latest.asp?league=spain2"/>
    <hyperlink ref="A641" r:id="rId640" display="https://www.soccerstats.com/latest.asp?league=spain2"/>
    <hyperlink ref="A642" r:id="rId641" display="https://www.soccerstats.com/latest.asp?league=spain2"/>
    <hyperlink ref="A643" r:id="rId642" display="https://www.soccerstats.com/latest.asp?league=germany2"/>
    <hyperlink ref="A644" r:id="rId643" display="https://www.soccerstats.com/latest.asp?league=germany2"/>
    <hyperlink ref="A645" r:id="rId644" display="https://www.soccerstats.com/latest.asp?league=germany2"/>
    <hyperlink ref="A646" r:id="rId645" display="https://www.soccerstats.com/latest.asp?league=argentina2"/>
    <hyperlink ref="A647" r:id="rId646" display="https://www.soccerstats.com/latest.asp?league=argentina2"/>
    <hyperlink ref="A648" r:id="rId647" display="https://www.soccerstats.com/latest.asp?league=argentina2"/>
    <hyperlink ref="A649" r:id="rId648" display="https://www.soccerstats.com/latest.asp?league=argentina2"/>
    <hyperlink ref="A650" r:id="rId649" display="https://www.soccerstats.com/latest.asp?league=argentina2"/>
    <hyperlink ref="A651" r:id="rId650" display="https://www.soccerstats.com/latest.asp?league=argentina3"/>
    <hyperlink ref="A652" r:id="rId651" display="https://www.soccerstats.com/latest.asp?league=argentina3"/>
    <hyperlink ref="A653" r:id="rId652" display="https://www.soccerstats.com/latest.asp?league=argentina3"/>
    <hyperlink ref="A654" r:id="rId653" display="https://www.soccerstats.com/latest.asp?league=argentina3"/>
    <hyperlink ref="A655" r:id="rId654" display="https://www.soccerstats.com/latest.asp?league=argentina3"/>
    <hyperlink ref="A656" r:id="rId655" display="https://www.soccerstats.com/latest.asp?league=argentina3"/>
    <hyperlink ref="A657" r:id="rId656" display="https://www.soccerstats.com/latest.asp?league=argentina3"/>
    <hyperlink ref="A658" r:id="rId657" display="https://www.soccerstats.com/latest.asp?league=armenia"/>
    <hyperlink ref="A659" r:id="rId658" display="https://www.soccerstats.com/latest.asp?league=australia3"/>
    <hyperlink ref="A660" r:id="rId659" display="https://www.soccerstats.com/latest.asp?league=australia7"/>
    <hyperlink ref="A661" r:id="rId660" display="https://www.soccerstats.com/latest.asp?league=australia7"/>
    <hyperlink ref="A662" r:id="rId661" display="https://www.soccerstats.com/latest.asp?league=australia7"/>
    <hyperlink ref="A663" r:id="rId662" display="https://www.soccerstats.com/latest.asp?league=australia7"/>
    <hyperlink ref="A664" r:id="rId663" display="https://www.soccerstats.com/latest.asp?league=australia7"/>
    <hyperlink ref="A665" r:id="rId664" display="https://www.soccerstats.com/latest.asp?league=australia7"/>
    <hyperlink ref="A666" r:id="rId665" display="https://www.soccerstats.com/latest.asp?league=australia10"/>
    <hyperlink ref="A667" r:id="rId666" display="https://www.soccerstats.com/latest.asp?league=australia10"/>
    <hyperlink ref="A668" r:id="rId667" display="https://www.soccerstats.com/latest.asp?league=australia11"/>
    <hyperlink ref="A669" r:id="rId668" display="https://www.soccerstats.com/latest.asp?league=australia11"/>
    <hyperlink ref="A670" r:id="rId669" display="https://www.soccerstats.com/latest.asp?league=australia11"/>
    <hyperlink ref="A671" r:id="rId670" display="https://www.soccerstats.com/latest.asp?league=austria"/>
    <hyperlink ref="A672" r:id="rId671" display="https://www.soccerstats.com/latest.asp?league=austria"/>
    <hyperlink ref="A673" r:id="rId672" display="https://www.soccerstats.com/latest.asp?league=austria"/>
    <hyperlink ref="A674" r:id="rId673" display="https://www.soccerstats.com/latest.asp?league=austria2"/>
    <hyperlink ref="A675" r:id="rId674" display="https://www.soccerstats.com/latest.asp?league=azerbaijan"/>
    <hyperlink ref="A676" r:id="rId675" display="https://www.soccerstats.com/latest.asp?league=azerbaijan"/>
    <hyperlink ref="A677" r:id="rId676" display="https://www.soccerstats.com/latest.asp?league=belarus"/>
    <hyperlink ref="A678" r:id="rId677" display="https://www.soccerstats.com/latest.asp?league=belarus"/>
    <hyperlink ref="A679" r:id="rId678" display="https://www.soccerstats.com/latest.asp?league=belarus"/>
    <hyperlink ref="A680" r:id="rId679" display="https://www.soccerstats.com/latest.asp?league=belgium"/>
    <hyperlink ref="A681" r:id="rId680" display="https://www.soccerstats.com/latest.asp?league=belgium"/>
    <hyperlink ref="A682" r:id="rId681" display="https://www.soccerstats.com/latest.asp?league=belgium"/>
    <hyperlink ref="A683" r:id="rId682" display="https://www.soccerstats.com/latest.asp?league=belgium"/>
    <hyperlink ref="A684" r:id="rId683" display="https://www.soccerstats.com/latest.asp?league=belgium2"/>
    <hyperlink ref="A685" r:id="rId684" display="https://www.soccerstats.com/latest.asp?league=bosnia"/>
    <hyperlink ref="A686" r:id="rId685" display="https://www.soccerstats.com/latest.asp?league=bosnia"/>
    <hyperlink ref="A687" r:id="rId686" display="https://www.soccerstats.com/latest.asp?league=brazil"/>
    <hyperlink ref="A688" r:id="rId687" display="https://www.soccerstats.com/latest.asp?league=brazil"/>
    <hyperlink ref="A689" r:id="rId688" display="https://www.soccerstats.com/latest.asp?league=brazil"/>
    <hyperlink ref="A690" r:id="rId689" display="https://www.soccerstats.com/latest.asp?league=brazil"/>
    <hyperlink ref="A691" r:id="rId690" display="https://www.soccerstats.com/latest.asp?league=brazil"/>
    <hyperlink ref="A692" r:id="rId691" display="https://www.soccerstats.com/latest.asp?league=brazil"/>
    <hyperlink ref="A693" r:id="rId692" display="https://www.soccerstats.com/latest.asp?league=brazil"/>
    <hyperlink ref="A694" r:id="rId693" display="https://www.soccerstats.com/latest.asp?league=brazil2"/>
    <hyperlink ref="A695" r:id="rId694" display="https://www.soccerstats.com/latest.asp?league=brazil2"/>
    <hyperlink ref="A696" r:id="rId695" display="https://www.soccerstats.com/latest.asp?league=brazil2"/>
    <hyperlink ref="A697" r:id="rId696" display="https://www.soccerstats.com/latest.asp?league=brazil3"/>
    <hyperlink ref="A698" r:id="rId697" display="https://www.soccerstats.com/latest.asp?league=brazil3"/>
    <hyperlink ref="A699" r:id="rId698" display="https://www.soccerstats.com/latest.asp?league=brazil3"/>
    <hyperlink ref="A700" r:id="rId699" display="https://www.soccerstats.com/latest.asp?league=brazil3"/>
    <hyperlink ref="A701" r:id="rId700" display="https://www.soccerstats.com/latest.asp?league=brazil5"/>
    <hyperlink ref="A702" r:id="rId701" display="https://www.soccerstats.com/latest.asp?league=brazil5"/>
    <hyperlink ref="A703" r:id="rId702" display="https://www.soccerstats.com/latest.asp?league=brazil5"/>
    <hyperlink ref="A704" r:id="rId703" display="https://www.soccerstats.com/latest.asp?league=bulgaria"/>
    <hyperlink ref="A705" r:id="rId704" display="https://www.soccerstats.com/latest.asp?league=bulgaria"/>
    <hyperlink ref="A706" r:id="rId705" display="https://www.soccerstats.com/latest.asp?league=bulgaria2"/>
    <hyperlink ref="A707" r:id="rId706" display="https://www.soccerstats.com/latest.asp?league=bulgaria2"/>
    <hyperlink ref="A708" r:id="rId707" display="https://www.soccerstats.com/latest.asp?league=bulgaria2"/>
    <hyperlink ref="A709" r:id="rId708" display="https://www.soccerstats.com/latest.asp?league=bulgaria2"/>
    <hyperlink ref="A710" r:id="rId709" display="https://www.soccerstats.com/latest.asp?league=bulgaria2"/>
    <hyperlink ref="A711" r:id="rId710" display="https://www.soccerstats.com/latest.asp?league=canada"/>
    <hyperlink ref="A712" r:id="rId711" display="https://www.soccerstats.com/latest.asp?league=canada"/>
    <hyperlink ref="A713" r:id="rId712" display="https://www.soccerstats.com/latest.asp?league=chile"/>
    <hyperlink ref="A714" r:id="rId713" display="https://www.soccerstats.com/latest.asp?league=chile"/>
    <hyperlink ref="A715" r:id="rId714" display="https://www.soccerstats.com/latest.asp?league=chile"/>
    <hyperlink ref="A716" r:id="rId715" display="https://www.soccerstats.com/latest.asp?league=chile"/>
    <hyperlink ref="A717" r:id="rId716" display="https://www.soccerstats.com/latest.asp?league=chile2"/>
    <hyperlink ref="A718" r:id="rId717" display="https://www.soccerstats.com/latest.asp?league=chile2"/>
    <hyperlink ref="A719" r:id="rId718" display="https://www.soccerstats.com/latest.asp?league=chile2"/>
    <hyperlink ref="A720" r:id="rId719" display="https://www.soccerstats.com/latest.asp?league=china2"/>
    <hyperlink ref="A721" r:id="rId720" display="https://www.soccerstats.com/latest.asp?league=china2"/>
    <hyperlink ref="A722" r:id="rId721" display="https://www.soccerstats.com/latest.asp?league=china2"/>
    <hyperlink ref="A723" r:id="rId722" display="https://www.soccerstats.com/latest.asp?league=china2"/>
    <hyperlink ref="A724" r:id="rId723" display="https://www.soccerstats.com/latest.asp?league=colombia2"/>
    <hyperlink ref="A725" r:id="rId724" display="https://www.soccerstats.com/latest.asp?league=colombia2"/>
    <hyperlink ref="A726" r:id="rId725" display="https://www.soccerstats.com/latest.asp?league=colombia2"/>
    <hyperlink ref="A727" r:id="rId726" display="https://www.soccerstats.com/latest.asp?league=costarica"/>
    <hyperlink ref="A728" r:id="rId727" display="https://www.soccerstats.com/latest.asp?league=costarica"/>
    <hyperlink ref="A729" r:id="rId728" display="https://www.soccerstats.com/latest.asp?league=croatia"/>
    <hyperlink ref="A730" r:id="rId729" display="https://www.soccerstats.com/latest.asp?league=croatia"/>
    <hyperlink ref="A731" r:id="rId730" display="https://www.soccerstats.com/latest.asp?league=czechrepublic2"/>
    <hyperlink ref="A732" r:id="rId731" display="https://www.soccerstats.com/latest.asp?league=denmark"/>
    <hyperlink ref="A733" r:id="rId732" display="https://www.soccerstats.com/latest.asp?league=denmark"/>
    <hyperlink ref="A734" r:id="rId733" display="https://www.soccerstats.com/latest.asp?league=denmark"/>
    <hyperlink ref="A735" r:id="rId734" display="https://www.soccerstats.com/latest.asp?league=denmark"/>
    <hyperlink ref="A736" r:id="rId735" display="https://www.soccerstats.com/latest.asp?league=denmark2"/>
    <hyperlink ref="A737" r:id="rId736" display="https://www.soccerstats.com/latest.asp?league=ecuador"/>
    <hyperlink ref="A738" r:id="rId737" display="https://www.soccerstats.com/latest.asp?league=ecuador"/>
    <hyperlink ref="A739" r:id="rId738" display="https://www.soccerstats.com/latest.asp?league=ecuador"/>
    <hyperlink ref="A740" r:id="rId739" display="https://www.soccerstats.com/latest.asp?league=estonia"/>
    <hyperlink ref="A741" r:id="rId740" display="https://www.soccerstats.com/latest.asp?league=estonia"/>
    <hyperlink ref="A742" r:id="rId741" display="https://www.soccerstats.com/latest.asp?league=estonia"/>
    <hyperlink ref="A743" r:id="rId742" display="https://www.soccerstats.com/latest.asp?league=estonia"/>
    <hyperlink ref="A744" r:id="rId743" display="https://www.soccerstats.com/latest.asp?league=faroeislands"/>
    <hyperlink ref="A745" r:id="rId744" display="https://www.soccerstats.com/latest.asp?league=faroeislands"/>
    <hyperlink ref="A746" r:id="rId745" display="https://www.soccerstats.com/latest.asp?league=faroeislands"/>
    <hyperlink ref="A747" r:id="rId746" display="https://www.soccerstats.com/latest.asp?league=faroeislands"/>
    <hyperlink ref="A748" r:id="rId747" display="https://www.soccerstats.com/latest.asp?league=faroeislands"/>
    <hyperlink ref="A749" r:id="rId748" display="https://www.soccerstats.com/latest.asp?league=finland"/>
    <hyperlink ref="A750" r:id="rId749" display="https://www.soccerstats.com/latest.asp?league=finland"/>
    <hyperlink ref="A751" r:id="rId750" display="https://www.soccerstats.com/latest.asp?league=finland"/>
    <hyperlink ref="A752" r:id="rId751" display="https://www.soccerstats.com/latest.asp?league=finland2"/>
    <hyperlink ref="A753" r:id="rId752" display="https://www.soccerstats.com/latest.asp?league=finland3"/>
    <hyperlink ref="A754" r:id="rId753" display="https://www.soccerstats.com/latest.asp?league=finland3"/>
    <hyperlink ref="A755" r:id="rId754" display="https://www.soccerstats.com/latest.asp?league=finland3"/>
    <hyperlink ref="A756" r:id="rId755" display="https://www.soccerstats.com/latest.asp?league=finland4"/>
    <hyperlink ref="A757" r:id="rId756" display="https://www.soccerstats.com/latest.asp?league=finland6"/>
    <hyperlink ref="A758" r:id="rId757" display="https://www.soccerstats.com/latest.asp?league=finland6"/>
    <hyperlink ref="A759" r:id="rId758" display="https://www.soccerstats.com/latest.asp?league=georgia"/>
    <hyperlink ref="A760" r:id="rId759" display="https://www.soccerstats.com/latest.asp?league=georgia"/>
    <hyperlink ref="A761" r:id="rId760" display="https://www.soccerstats.com/latest.asp?league=germany3"/>
    <hyperlink ref="A762" r:id="rId761" display="https://www.soccerstats.com/latest.asp?league=germany3"/>
    <hyperlink ref="A763" r:id="rId762" display="https://www.soccerstats.com/latest.asp?league=germany3"/>
    <hyperlink ref="A764" r:id="rId763" display="https://www.soccerstats.com/latest.asp?league=germany4"/>
    <hyperlink ref="A765" r:id="rId764" display="https://www.soccerstats.com/latest.asp?league=germany4"/>
    <hyperlink ref="A766" r:id="rId765" display="https://www.soccerstats.com/latest.asp?league=germany4"/>
    <hyperlink ref="A767" r:id="rId766" display="https://www.soccerstats.com/latest.asp?league=germany4"/>
    <hyperlink ref="A768" r:id="rId767" display="https://www.soccerstats.com/latest.asp?league=germany4"/>
    <hyperlink ref="A769" r:id="rId768" display="https://www.soccerstats.com/latest.asp?league=germany5"/>
    <hyperlink ref="A770" r:id="rId769" display="https://www.soccerstats.com/latest.asp?league=germany5"/>
    <hyperlink ref="A771" r:id="rId770" display="https://www.soccerstats.com/latest.asp?league=germany6"/>
    <hyperlink ref="A772" r:id="rId771" display="https://www.soccerstats.com/latest.asp?league=germany7"/>
    <hyperlink ref="A773" r:id="rId772" display="https://www.soccerstats.com/latest.asp?league=germany7"/>
    <hyperlink ref="A774" r:id="rId773" display="https://www.soccerstats.com/latest.asp?league=germany7"/>
    <hyperlink ref="A775" r:id="rId774" display="https://www.soccerstats.com/latest.asp?league=guatemala"/>
    <hyperlink ref="A776" r:id="rId775" display="https://www.soccerstats.com/latest.asp?league=guatemala"/>
    <hyperlink ref="A777" r:id="rId776" display="https://www.soccerstats.com/latest.asp?league=guatemala"/>
    <hyperlink ref="A778" r:id="rId777" display="https://www.soccerstats.com/latest.asp?league=hungary"/>
    <hyperlink ref="A779" r:id="rId778" display="https://www.soccerstats.com/latest.asp?league=hungary"/>
    <hyperlink ref="A780" r:id="rId779" display="https://www.soccerstats.com/latest.asp?league=hungary2"/>
    <hyperlink ref="A781" r:id="rId780" display="https://www.soccerstats.com/latest.asp?league=hungary2"/>
    <hyperlink ref="A782" r:id="rId781" display="https://www.soccerstats.com/latest.asp?league=iceland"/>
    <hyperlink ref="A783" r:id="rId782" display="https://www.soccerstats.com/latest.asp?league=iceland"/>
    <hyperlink ref="A784" r:id="rId783" display="https://www.soccerstats.com/latest.asp?league=iceland"/>
    <hyperlink ref="A785" r:id="rId784" display="https://www.soccerstats.com/latest.asp?league=japan2"/>
    <hyperlink ref="A786" r:id="rId785" display="https://www.soccerstats.com/latest.asp?league=japan2"/>
    <hyperlink ref="A787" r:id="rId786" display="https://www.soccerstats.com/latest.asp?league=japan3"/>
    <hyperlink ref="A788" r:id="rId787" display="https://www.soccerstats.com/latest.asp?league=japan3"/>
    <hyperlink ref="A789" r:id="rId788" display="https://www.soccerstats.com/latest.asp?league=japan3"/>
    <hyperlink ref="A790" r:id="rId789" display="https://www.soccerstats.com/latest.asp?league=japan3"/>
    <hyperlink ref="A791" r:id="rId790" display="https://www.soccerstats.com/latest.asp?league=kazakhstan"/>
    <hyperlink ref="A792" r:id="rId791" display="https://www.soccerstats.com/latest.asp?league=kazakhstan"/>
    <hyperlink ref="A793" r:id="rId792" display="https://www.soccerstats.com/latest.asp?league=kazakhstan"/>
    <hyperlink ref="A794" r:id="rId793" display="https://www.soccerstats.com/latest.asp?league=kazakhstan"/>
    <hyperlink ref="A795" r:id="rId794" display="https://www.soccerstats.com/latest.asp?league=lithuania"/>
    <hyperlink ref="A796" r:id="rId795" display="https://www.soccerstats.com/latest.asp?league=lithuania"/>
    <hyperlink ref="A797" r:id="rId796" display="https://www.soccerstats.com/latest.asp?league=mexico"/>
    <hyperlink ref="A798" r:id="rId797" display="https://www.soccerstats.com/latest.asp?league=mexico"/>
    <hyperlink ref="A799" r:id="rId798" display="https://www.soccerstats.com/latest.asp?league=mexico"/>
    <hyperlink ref="A800" r:id="rId799" display="https://www.soccerstats.com/latest.asp?league=mexico"/>
    <hyperlink ref="A801" r:id="rId800" display="https://www.soccerstats.com/latest.asp?league=moldova"/>
    <hyperlink ref="A802" r:id="rId801" display="https://www.soccerstats.com/latest.asp?league=moldova"/>
    <hyperlink ref="A803" r:id="rId802" display="https://www.soccerstats.com/latest.asp?league=montenegro"/>
    <hyperlink ref="A804" r:id="rId803" display="https://www.soccerstats.com/latest.asp?league=montenegro"/>
    <hyperlink ref="A805" r:id="rId804" display="https://www.soccerstats.com/latest.asp?league=montenegro"/>
    <hyperlink ref="A806" r:id="rId805" display="https://www.soccerstats.com/latest.asp?league=norway"/>
    <hyperlink ref="A807" r:id="rId806" display="https://www.soccerstats.com/latest.asp?league=norway"/>
    <hyperlink ref="A808" r:id="rId807" display="https://www.soccerstats.com/latest.asp?league=norway"/>
    <hyperlink ref="A809" r:id="rId808" display="https://www.soccerstats.com/latest.asp?league=norway"/>
    <hyperlink ref="A810" r:id="rId809" display="https://www.soccerstats.com/latest.asp?league=norway"/>
    <hyperlink ref="A811" r:id="rId810" display="https://www.soccerstats.com/latest.asp?league=norway2"/>
    <hyperlink ref="A812" r:id="rId811" display="https://www.soccerstats.com/latest.asp?league=norway2"/>
    <hyperlink ref="A813" r:id="rId812" display="https://www.soccerstats.com/latest.asp?league=norway2"/>
    <hyperlink ref="A814" r:id="rId813" display="https://www.soccerstats.com/latest.asp?league=norway2"/>
    <hyperlink ref="A815" r:id="rId814" display="https://www.soccerstats.com/latest.asp?league=norway2"/>
    <hyperlink ref="A816" r:id="rId815" display="https://www.soccerstats.com/latest.asp?league=norway3"/>
    <hyperlink ref="A817" r:id="rId816" display="https://www.soccerstats.com/latest.asp?league=norway3"/>
    <hyperlink ref="A818" r:id="rId817" display="https://www.soccerstats.com/latest.asp?league=norway3"/>
    <hyperlink ref="A819" r:id="rId818" display="https://www.soccerstats.com/latest.asp?league=norway4"/>
    <hyperlink ref="A820" r:id="rId819" display="https://www.soccerstats.com/latest.asp?league=norway4"/>
    <hyperlink ref="A821" r:id="rId820" display="https://www.soccerstats.com/latest.asp?league=norway4"/>
    <hyperlink ref="A822" r:id="rId821" display="https://www.soccerstats.com/latest.asp?league=norway4"/>
    <hyperlink ref="A823" r:id="rId822" display="https://www.soccerstats.com/latest.asp?league=norway4"/>
    <hyperlink ref="A824" r:id="rId823" display="https://www.soccerstats.com/latest.asp?league=norway4"/>
    <hyperlink ref="A825" r:id="rId824" display="https://www.soccerstats.com/latest.asp?league=paraguay2"/>
    <hyperlink ref="A826" r:id="rId825" display="https://www.soccerstats.com/latest.asp?league=paraguay2"/>
    <hyperlink ref="A827" r:id="rId826" display="https://www.soccerstats.com/latest.asp?league=paraguay2"/>
    <hyperlink ref="A828" r:id="rId827" display="https://www.soccerstats.com/latest.asp?league=poland"/>
    <hyperlink ref="A829" r:id="rId828" display="https://www.soccerstats.com/latest.asp?league=poland"/>
    <hyperlink ref="A830" r:id="rId829" display="https://www.soccerstats.com/latest.asp?league=poland"/>
    <hyperlink ref="A831" r:id="rId830" display="https://www.soccerstats.com/latest.asp?league=poland"/>
    <hyperlink ref="A832" r:id="rId831" display="https://www.soccerstats.com/latest.asp?league=poland2"/>
    <hyperlink ref="A833" r:id="rId832" display="https://www.soccerstats.com/latest.asp?league=poland2"/>
    <hyperlink ref="A834" r:id="rId833" display="https://www.soccerstats.com/latest.asp?league=poland2"/>
    <hyperlink ref="A835" r:id="rId834" display="https://www.soccerstats.com/latest.asp?league=poland3"/>
    <hyperlink ref="A836" r:id="rId835" display="https://www.soccerstats.com/latest.asp?league=poland3"/>
    <hyperlink ref="A837" r:id="rId836" display="https://www.soccerstats.com/latest.asp?league=poland3"/>
    <hyperlink ref="A838" r:id="rId837" display="https://www.soccerstats.com/latest.asp?league=poland3"/>
    <hyperlink ref="A839" r:id="rId838" display="https://www.soccerstats.com/latest.asp?league=portugal2"/>
    <hyperlink ref="A840" r:id="rId839" display="https://www.soccerstats.com/latest.asp?league=portugal2"/>
    <hyperlink ref="A841" r:id="rId840" display="https://www.soccerstats.com/latest.asp?league=portugal2"/>
    <hyperlink ref="A842" r:id="rId841" display="https://www.soccerstats.com/latest.asp?league=portugal2"/>
    <hyperlink ref="A843" r:id="rId842" display="https://www.soccerstats.com/latest.asp?league=romania"/>
    <hyperlink ref="A844" r:id="rId843" display="https://www.soccerstats.com/latest.asp?league=romania"/>
    <hyperlink ref="A845" r:id="rId844" display="https://www.soccerstats.com/latest.asp?league=russia"/>
    <hyperlink ref="A846" r:id="rId845" display="https://www.soccerstats.com/latest.asp?league=russia"/>
    <hyperlink ref="A847" r:id="rId846" display="https://www.soccerstats.com/latest.asp?league=russia"/>
    <hyperlink ref="A848" r:id="rId847" display="https://www.soccerstats.com/latest.asp?league=serbia"/>
    <hyperlink ref="A849" r:id="rId848" display="https://www.soccerstats.com/latest.asp?league=serbia"/>
    <hyperlink ref="A850" r:id="rId849" display="https://www.soccerstats.com/latest.asp?league=serbia"/>
    <hyperlink ref="A851" r:id="rId850" display="https://www.soccerstats.com/latest.asp?league=slovakia"/>
    <hyperlink ref="A852" r:id="rId851" display="https://www.soccerstats.com/latest.asp?league=slovakia"/>
    <hyperlink ref="A853" r:id="rId852" display="https://www.soccerstats.com/latest.asp?league=slovenia"/>
    <hyperlink ref="A854" r:id="rId853" display="https://www.soccerstats.com/latest.asp?league=slovenia"/>
    <hyperlink ref="A855" r:id="rId854" display="https://www.soccerstats.com/latest.asp?league=slovenia"/>
    <hyperlink ref="A856" r:id="rId855" display="https://www.soccerstats.com/latest.asp?league=southafrica"/>
    <hyperlink ref="A857" r:id="rId856" display="https://www.soccerstats.com/latest.asp?league=southafrica"/>
    <hyperlink ref="A858" r:id="rId857" display="https://www.soccerstats.com/latest.asp?league=southkorea"/>
    <hyperlink ref="A859" r:id="rId858" display="https://www.soccerstats.com/latest.asp?league=southkorea"/>
    <hyperlink ref="A860" r:id="rId859" display="https://www.soccerstats.com/latest.asp?league=southkorea"/>
    <hyperlink ref="A861" r:id="rId860" display="https://www.soccerstats.com/latest.asp?league=southkorea2"/>
    <hyperlink ref="A862" r:id="rId861" display="https://www.soccerstats.com/latest.asp?league=southkorea2"/>
    <hyperlink ref="A863" r:id="rId862" display="https://www.soccerstats.com/latest.asp?league=southkorea2"/>
    <hyperlink ref="A864" r:id="rId863" display="https://www.soccerstats.com/latest.asp?league=southkorea2"/>
    <hyperlink ref="A865" r:id="rId864" display="https://www.soccerstats.com/latest.asp?league=sweden"/>
    <hyperlink ref="A866" r:id="rId865" display="https://www.soccerstats.com/latest.asp?league=sweden"/>
    <hyperlink ref="A867" r:id="rId866" display="https://www.soccerstats.com/latest.asp?league=sweden"/>
    <hyperlink ref="A868" r:id="rId867" display="https://www.soccerstats.com/latest.asp?league=sweden"/>
    <hyperlink ref="A869" r:id="rId868" display="https://www.soccerstats.com/latest.asp?league=sweden"/>
    <hyperlink ref="A870" r:id="rId869" display="https://www.soccerstats.com/latest.asp?league=sweden2"/>
    <hyperlink ref="A871" r:id="rId870" display="https://www.soccerstats.com/latest.asp?league=sweden3"/>
    <hyperlink ref="A872" r:id="rId871" display="https://www.soccerstats.com/latest.asp?league=sweden3"/>
    <hyperlink ref="A873" r:id="rId872" display="https://www.soccerstats.com/latest.asp?league=sweden3"/>
    <hyperlink ref="A874" r:id="rId873" display="https://www.soccerstats.com/latest.asp?league=sweden4"/>
    <hyperlink ref="A875" r:id="rId874" display="https://www.soccerstats.com/latest.asp?league=sweden4"/>
    <hyperlink ref="A876" r:id="rId875" display="https://www.soccerstats.com/latest.asp?league=sweden4"/>
    <hyperlink ref="A877" r:id="rId876" display="https://www.soccerstats.com/latest.asp?league=sweden11"/>
    <hyperlink ref="A878" r:id="rId877" display="https://www.soccerstats.com/latest.asp?league=turkey"/>
    <hyperlink ref="A879" r:id="rId878" display="https://www.soccerstats.com/latest.asp?league=turkey"/>
    <hyperlink ref="A880" r:id="rId879" display="https://www.soccerstats.com/latest.asp?league=turkey"/>
    <hyperlink ref="A881" r:id="rId880" display="https://www.soccerstats.com/latest.asp?league=turkey2"/>
    <hyperlink ref="A882" r:id="rId881" display="https://www.soccerstats.com/latest.asp?league=turkey2"/>
    <hyperlink ref="A883" r:id="rId882" display="https://www.soccerstats.com/latest.asp?league=turkey2"/>
    <hyperlink ref="A884" r:id="rId883" display="https://www.soccerstats.com/latest.asp?league=turkey2"/>
    <hyperlink ref="A885" r:id="rId884" display="https://www.soccerstats.com/latest.asp?league=ukraine"/>
    <hyperlink ref="A886" r:id="rId885" display="https://www.soccerstats.com/latest.asp?league=ukraine"/>
    <hyperlink ref="A887" r:id="rId886" display="https://www.soccerstats.com/latest.asp?league=ukraine"/>
    <hyperlink ref="A888" r:id="rId887" display="https://www.soccerstats.com/latest.asp?league=uruguay3"/>
    <hyperlink ref="A889" r:id="rId888" display="https://www.soccerstats.com/latest.asp?league=uruguay3"/>
    <hyperlink ref="A890" r:id="rId889" display="https://www.soccerstats.com/latest.asp?league=uruguay3"/>
    <hyperlink ref="A891" r:id="rId890" display="https://www.soccerstats.com/latest.asp?league=usa"/>
    <hyperlink ref="A892" r:id="rId891" display="https://www.soccerstats.com/latest.asp?league=usa"/>
    <hyperlink ref="A893" r:id="rId892" display="https://www.soccerstats.com/latest.asp?league=usa"/>
    <hyperlink ref="A894" r:id="rId893" display="https://www.soccerstats.com/latest.asp?league=usa"/>
    <hyperlink ref="A895" r:id="rId894" display="https://www.soccerstats.com/latest.asp?league=usa"/>
    <hyperlink ref="A896" r:id="rId895" display="https://www.soccerstats.com/latest.asp?league=usa"/>
    <hyperlink ref="A897" r:id="rId896" display="https://www.soccerstats.com/latest.asp?league=usa"/>
    <hyperlink ref="A898" r:id="rId897" display="https://www.soccerstats.com/latest.asp?league=usa"/>
    <hyperlink ref="A899" r:id="rId898" display="https://www.soccerstats.com/latest.asp?league=usa2"/>
    <hyperlink ref="A900" r:id="rId899" display="https://www.soccerstats.com/latest.asp?league=usa2"/>
    <hyperlink ref="A901" r:id="rId900" display="https://www.soccerstats.com/latest.asp?league=usa2"/>
    <hyperlink ref="A902" r:id="rId901" display="https://www.soccerstats.com/latest.asp?league=usa2"/>
    <hyperlink ref="A903" r:id="rId902" display="https://www.soccerstats.com/latest.asp?league=usa2"/>
    <hyperlink ref="A904" r:id="rId903" display="https://www.soccerstats.com/latest.asp?league=usa2"/>
    <hyperlink ref="A905" r:id="rId904" display="https://www.soccerstats.com/latest.asp?league=usa2"/>
    <hyperlink ref="A906" r:id="rId905" display="https://www.soccerstats.com/latest.asp?league=usa3"/>
    <hyperlink ref="A907" r:id="rId906" display="https://www.soccerstats.com/latest.asp?league=usa3"/>
    <hyperlink ref="A908" r:id="rId907" display="https://www.soccerstats.com/latest.asp?league=usa3"/>
    <hyperlink ref="A909" r:id="rId908" display="https://www.soccerstats.com/latest.asp?league=usa6"/>
    <hyperlink ref="A910" r:id="rId909" display="https://www.soccerstats.com/latest.asp?league=usa6"/>
    <hyperlink ref="A911" r:id="rId910" display="https://www.soccerstats.com/latest.asp?league=usa7"/>
  </hyperlinks>
  <pageMargins left="0.511811024" right="0.511811024" top="0.78740157499999996" bottom="0.78740157499999996" header="0.31496062000000002" footer="0.31496062000000002"/>
  <pageSetup paperSize="9" orientation="portrait" r:id="rId911"/>
  <drawing r:id="rId91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31"/>
  <sheetViews>
    <sheetView showGridLines="0" zoomScale="80" zoomScaleNormal="80" workbookViewId="0">
      <selection activeCell="C8" sqref="C8"/>
    </sheetView>
  </sheetViews>
  <sheetFormatPr defaultRowHeight="15" customHeight="1" x14ac:dyDescent="0.25"/>
  <cols>
    <col min="2" max="2" width="10.5546875" bestFit="1" customWidth="1"/>
    <col min="3" max="3" width="13" bestFit="1" customWidth="1"/>
    <col min="4" max="4" width="22.44140625" customWidth="1"/>
    <col min="5" max="5" width="16.109375" bestFit="1" customWidth="1"/>
    <col min="6" max="10" width="20.77734375" customWidth="1"/>
  </cols>
  <sheetData>
    <row r="2" spans="2:11" ht="15" customHeight="1" x14ac:dyDescent="0.25">
      <c r="B2" s="28" t="s">
        <v>69</v>
      </c>
      <c r="C2" s="28" t="s">
        <v>51</v>
      </c>
      <c r="D2" s="28" t="s">
        <v>52</v>
      </c>
      <c r="E2" s="28" t="s">
        <v>53</v>
      </c>
      <c r="F2" s="28" t="s">
        <v>83</v>
      </c>
      <c r="G2" s="28" t="s">
        <v>78</v>
      </c>
      <c r="H2" s="28"/>
      <c r="I2" s="28"/>
      <c r="J2" s="28"/>
      <c r="K2" s="28"/>
    </row>
    <row r="3" spans="2:11" ht="15" customHeight="1" x14ac:dyDescent="0.25">
      <c r="B3" s="37">
        <v>46194</v>
      </c>
      <c r="C3" s="35">
        <v>0.33333333333333331</v>
      </c>
      <c r="D3" s="25" t="s">
        <v>74</v>
      </c>
      <c r="E3" s="25" t="s">
        <v>14</v>
      </c>
      <c r="F3" s="25"/>
      <c r="G3" s="25" t="s">
        <v>79</v>
      </c>
      <c r="H3" s="25"/>
      <c r="I3" s="25"/>
      <c r="J3" s="25"/>
      <c r="K3" s="25"/>
    </row>
    <row r="4" spans="2:11" ht="15" customHeight="1" x14ac:dyDescent="0.25">
      <c r="B4" s="37">
        <v>46194</v>
      </c>
      <c r="C4" s="35">
        <v>0.35416666666666669</v>
      </c>
      <c r="D4" s="25" t="s">
        <v>75</v>
      </c>
      <c r="E4" s="25" t="s">
        <v>13</v>
      </c>
      <c r="F4" s="25"/>
      <c r="G4" s="25" t="s">
        <v>79</v>
      </c>
      <c r="H4" s="25"/>
      <c r="I4" s="25"/>
      <c r="J4" s="25"/>
      <c r="K4" s="25"/>
    </row>
    <row r="5" spans="2:11" ht="15" customHeight="1" x14ac:dyDescent="0.25">
      <c r="B5" s="37">
        <v>46194</v>
      </c>
      <c r="C5" s="35">
        <v>0.45833333333333331</v>
      </c>
      <c r="D5" s="25" t="s">
        <v>71</v>
      </c>
      <c r="E5" s="25" t="s">
        <v>68</v>
      </c>
      <c r="F5" s="25" t="s">
        <v>84</v>
      </c>
      <c r="G5" s="25"/>
      <c r="H5" s="25"/>
      <c r="I5" s="25"/>
      <c r="J5" s="25"/>
      <c r="K5" s="25"/>
    </row>
    <row r="6" spans="2:11" ht="15" customHeight="1" x14ac:dyDescent="0.25">
      <c r="B6" s="37">
        <v>46194</v>
      </c>
      <c r="C6" s="35">
        <v>0.45833333333333331</v>
      </c>
      <c r="D6" s="25" t="s">
        <v>72</v>
      </c>
      <c r="E6" s="25" t="s">
        <v>68</v>
      </c>
      <c r="F6" s="25" t="s">
        <v>84</v>
      </c>
      <c r="G6" s="25"/>
      <c r="H6" s="25"/>
      <c r="I6" s="25"/>
      <c r="J6" s="25"/>
      <c r="K6" s="25"/>
    </row>
    <row r="7" spans="2:11" ht="15" customHeight="1" x14ac:dyDescent="0.25">
      <c r="B7" s="37">
        <v>46194</v>
      </c>
      <c r="C7" s="35">
        <v>0.45833333333333331</v>
      </c>
      <c r="D7" s="25" t="s">
        <v>76</v>
      </c>
      <c r="E7" s="25" t="s">
        <v>13</v>
      </c>
      <c r="F7" s="25" t="s">
        <v>84</v>
      </c>
      <c r="G7" s="25" t="s">
        <v>81</v>
      </c>
      <c r="H7" s="25"/>
      <c r="I7" s="25"/>
      <c r="J7" s="25"/>
      <c r="K7" s="25"/>
    </row>
    <row r="8" spans="2:11" ht="15" customHeight="1" x14ac:dyDescent="0.25">
      <c r="B8" s="37">
        <v>46194</v>
      </c>
      <c r="C8" s="35">
        <v>0.625</v>
      </c>
      <c r="D8" s="25" t="s">
        <v>73</v>
      </c>
      <c r="E8" s="25" t="s">
        <v>13</v>
      </c>
      <c r="F8" s="25"/>
      <c r="G8" s="25" t="s">
        <v>81</v>
      </c>
      <c r="H8" s="25"/>
      <c r="I8" s="25"/>
      <c r="J8" s="25"/>
      <c r="K8" s="25"/>
    </row>
    <row r="9" spans="2:11" ht="15" customHeight="1" x14ac:dyDescent="0.25">
      <c r="B9" s="37">
        <v>46194</v>
      </c>
      <c r="C9" s="35">
        <v>0.625</v>
      </c>
      <c r="D9" s="25" t="s">
        <v>73</v>
      </c>
      <c r="E9" s="25" t="s">
        <v>68</v>
      </c>
      <c r="F9" s="25"/>
      <c r="G9" s="25"/>
      <c r="H9" s="25"/>
      <c r="I9" s="25"/>
      <c r="J9" s="25"/>
      <c r="K9" s="25"/>
    </row>
    <row r="10" spans="2:11" ht="15" customHeight="1" x14ac:dyDescent="0.25">
      <c r="B10" s="37">
        <v>46194</v>
      </c>
      <c r="C10" s="35">
        <v>0.66666666666666663</v>
      </c>
      <c r="D10" s="25" t="s">
        <v>85</v>
      </c>
      <c r="E10" s="25" t="s">
        <v>13</v>
      </c>
      <c r="F10" s="25"/>
      <c r="G10" s="25" t="s">
        <v>80</v>
      </c>
      <c r="H10" s="25"/>
      <c r="I10" s="25"/>
      <c r="J10" s="25"/>
      <c r="K10" s="25"/>
    </row>
    <row r="11" spans="2:11" ht="15" customHeight="1" x14ac:dyDescent="0.25">
      <c r="B11" s="37">
        <v>46194</v>
      </c>
      <c r="C11" s="35">
        <v>0.71875</v>
      </c>
      <c r="D11" s="25" t="s">
        <v>82</v>
      </c>
      <c r="E11" s="25" t="s">
        <v>13</v>
      </c>
      <c r="F11" s="25"/>
      <c r="G11" s="25" t="s">
        <v>80</v>
      </c>
      <c r="H11" s="25"/>
      <c r="I11" s="25"/>
      <c r="J11" s="25"/>
      <c r="K11" s="25"/>
    </row>
    <row r="12" spans="2:11" ht="15" customHeight="1" x14ac:dyDescent="0.25">
      <c r="B12" s="37">
        <v>46194</v>
      </c>
      <c r="C12" s="35">
        <v>0.77083333333333337</v>
      </c>
      <c r="D12" s="25" t="s">
        <v>70</v>
      </c>
      <c r="E12" s="25" t="s">
        <v>68</v>
      </c>
      <c r="F12" s="25"/>
      <c r="G12" s="25"/>
      <c r="H12" s="25"/>
      <c r="I12" s="25"/>
      <c r="J12" s="25"/>
      <c r="K12" s="25"/>
    </row>
    <row r="15" spans="2:11" ht="15" customHeight="1" x14ac:dyDescent="0.25">
      <c r="D15" s="25" t="s">
        <v>61</v>
      </c>
      <c r="E15" s="25">
        <v>100</v>
      </c>
    </row>
    <row r="16" spans="2:11" ht="15" customHeight="1" x14ac:dyDescent="0.25">
      <c r="D16" s="28" t="s">
        <v>63</v>
      </c>
      <c r="E16" s="28" t="s">
        <v>56</v>
      </c>
      <c r="F16" s="28" t="s">
        <v>57</v>
      </c>
      <c r="G16" s="28" t="s">
        <v>58</v>
      </c>
      <c r="H16" s="28" t="s">
        <v>59</v>
      </c>
      <c r="I16" s="28" t="s">
        <v>67</v>
      </c>
      <c r="J16" s="28" t="s">
        <v>62</v>
      </c>
    </row>
    <row r="17" spans="2:10" ht="15" customHeight="1" x14ac:dyDescent="0.25">
      <c r="D17" s="25" t="s">
        <v>13</v>
      </c>
      <c r="E17" s="25">
        <v>366</v>
      </c>
      <c r="F17" s="25">
        <v>73</v>
      </c>
      <c r="G17" s="25">
        <v>121</v>
      </c>
      <c r="H17" s="25">
        <f>E17-F17-G17</f>
        <v>172</v>
      </c>
      <c r="I17" s="29">
        <f>F17*-$E$15+H17*$E$15*0.8</f>
        <v>6460</v>
      </c>
      <c r="J17" s="36">
        <f>I17/(E17*$E$15)</f>
        <v>0.17650273224043717</v>
      </c>
    </row>
    <row r="18" spans="2:10" ht="15" customHeight="1" x14ac:dyDescent="0.25">
      <c r="D18" s="25" t="s">
        <v>54</v>
      </c>
      <c r="E18" s="25">
        <v>85</v>
      </c>
      <c r="F18" s="25">
        <v>12</v>
      </c>
      <c r="G18" s="25">
        <v>24</v>
      </c>
      <c r="H18" s="25">
        <f>E18-F18-G18</f>
        <v>49</v>
      </c>
      <c r="I18" s="29">
        <f>F18*-$E$15+H18*$E$15*0.8</f>
        <v>2720</v>
      </c>
      <c r="J18" s="36">
        <f>I18/(E18*$E$15)</f>
        <v>0.32</v>
      </c>
    </row>
    <row r="19" spans="2:10" ht="15" customHeight="1" x14ac:dyDescent="0.25">
      <c r="D19" s="25" t="s">
        <v>55</v>
      </c>
      <c r="E19" s="25">
        <v>82</v>
      </c>
      <c r="F19" s="25">
        <v>16</v>
      </c>
      <c r="G19" s="25">
        <v>28</v>
      </c>
      <c r="H19" s="25">
        <f>E19-F19-G19</f>
        <v>38</v>
      </c>
      <c r="I19" s="29">
        <f>F19*-$E$15+H19*$E$15*0.8</f>
        <v>1440</v>
      </c>
      <c r="J19" s="36">
        <f>I19/(E19*$E$15)</f>
        <v>0.17560975609756097</v>
      </c>
    </row>
    <row r="20" spans="2:10" ht="15" customHeight="1" x14ac:dyDescent="0.25">
      <c r="D20" s="28" t="s">
        <v>64</v>
      </c>
      <c r="E20" s="28" t="s">
        <v>56</v>
      </c>
      <c r="F20" s="28" t="s">
        <v>57</v>
      </c>
      <c r="G20" s="28" t="s">
        <v>58</v>
      </c>
      <c r="H20" s="28" t="s">
        <v>59</v>
      </c>
      <c r="I20" s="28" t="s">
        <v>60</v>
      </c>
      <c r="J20" s="28" t="s">
        <v>62</v>
      </c>
    </row>
    <row r="21" spans="2:10" ht="15" customHeight="1" x14ac:dyDescent="0.25">
      <c r="D21" s="25" t="s">
        <v>14</v>
      </c>
      <c r="E21" s="25">
        <v>82</v>
      </c>
      <c r="F21" s="25">
        <v>19</v>
      </c>
      <c r="G21" s="25">
        <v>26</v>
      </c>
      <c r="H21" s="25">
        <f>E21-F21-G21</f>
        <v>37</v>
      </c>
      <c r="I21" s="29">
        <f>F21*-$E$15+H21*$E$15*0.8</f>
        <v>1060</v>
      </c>
      <c r="J21" s="36">
        <f>I21/(E21*$E$15)</f>
        <v>0.12926829268292683</v>
      </c>
    </row>
    <row r="22" spans="2:10" ht="15" customHeight="1" x14ac:dyDescent="0.25">
      <c r="D22" s="25" t="s">
        <v>65</v>
      </c>
      <c r="E22" s="25">
        <v>13</v>
      </c>
      <c r="F22" s="25">
        <v>2</v>
      </c>
      <c r="G22" s="25">
        <v>4</v>
      </c>
      <c r="H22" s="25">
        <f>E22-F22-G22</f>
        <v>7</v>
      </c>
      <c r="I22" s="29">
        <f>F22*-$E$15+H22*$E$15*0.8</f>
        <v>360</v>
      </c>
      <c r="J22" s="36">
        <f>I22/(E22*$E$15)</f>
        <v>0.27692307692307694</v>
      </c>
    </row>
    <row r="23" spans="2:10" ht="15" customHeight="1" x14ac:dyDescent="0.25">
      <c r="D23" s="25" t="s">
        <v>66</v>
      </c>
      <c r="E23" s="25">
        <v>17</v>
      </c>
      <c r="F23" s="25">
        <v>1</v>
      </c>
      <c r="G23" s="25">
        <v>8</v>
      </c>
      <c r="H23" s="25">
        <f>E23-F23-G23</f>
        <v>8</v>
      </c>
      <c r="I23" s="29">
        <f>F23*-$E$15+H23*$E$15*0.8</f>
        <v>540</v>
      </c>
      <c r="J23" s="36">
        <f>I23/(E23*$E$15)</f>
        <v>0.31764705882352939</v>
      </c>
    </row>
    <row r="27" spans="2:10" ht="15" customHeight="1" x14ac:dyDescent="0.25">
      <c r="B27" t="s">
        <v>57</v>
      </c>
      <c r="C27" s="38">
        <v>0.05</v>
      </c>
      <c r="D27" s="38">
        <v>-0.5</v>
      </c>
      <c r="F27" t="s">
        <v>57</v>
      </c>
      <c r="G27" s="38">
        <v>0.05</v>
      </c>
      <c r="H27" s="38">
        <v>-0.28000000000000003</v>
      </c>
    </row>
    <row r="28" spans="2:10" ht="15" customHeight="1" x14ac:dyDescent="0.25">
      <c r="B28" t="s">
        <v>59</v>
      </c>
      <c r="C28" s="38">
        <v>0.85</v>
      </c>
      <c r="D28" s="38">
        <v>0.09</v>
      </c>
      <c r="F28" t="s">
        <v>59</v>
      </c>
      <c r="G28" s="38">
        <v>0.75</v>
      </c>
      <c r="H28" s="38">
        <v>0.09</v>
      </c>
    </row>
    <row r="29" spans="2:10" ht="15" customHeight="1" x14ac:dyDescent="0.25">
      <c r="B29" t="s">
        <v>77</v>
      </c>
      <c r="C29" s="38">
        <v>0.1</v>
      </c>
      <c r="D29" s="38">
        <v>-7.0000000000000007E-2</v>
      </c>
      <c r="F29" t="s">
        <v>77</v>
      </c>
      <c r="G29" s="38">
        <v>0.25</v>
      </c>
      <c r="H29" s="38">
        <v>-7.0000000000000007E-2</v>
      </c>
    </row>
    <row r="31" spans="2:10" ht="15" customHeight="1" x14ac:dyDescent="0.25">
      <c r="B31" t="s">
        <v>57</v>
      </c>
      <c r="C31" s="40">
        <f>(C27*D27+C29*D29)/(C27+C29)</f>
        <v>-0.21333333333333332</v>
      </c>
      <c r="D31" s="39">
        <f>SUMPRODUCT(C27:C29,D27:D29)</f>
        <v>4.4499999999999998E-2</v>
      </c>
      <c r="F31" t="s">
        <v>57</v>
      </c>
      <c r="G31" s="40">
        <f>(G27*H27+G29*H29)/(G27+G29)</f>
        <v>-0.10500000000000001</v>
      </c>
      <c r="H31" s="39">
        <f>SUMPRODUCT(G27:G29,H27:H29)</f>
        <v>3.6000000000000004E-2</v>
      </c>
    </row>
  </sheetData>
  <autoFilter ref="B2:G2"/>
  <sortState ref="B3:G13">
    <sortCondition ref="B3:B13"/>
    <sortCondition ref="C3:C1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48"/>
  <sheetViews>
    <sheetView showGridLines="0" topLeftCell="J1" workbookViewId="0">
      <pane ySplit="1" topLeftCell="A9" activePane="bottomLeft" state="frozen"/>
      <selection activeCell="AA2" sqref="AA2:AA16"/>
      <selection pane="bottomLeft" activeCell="AF9" sqref="AF9"/>
    </sheetView>
  </sheetViews>
  <sheetFormatPr defaultRowHeight="13.2" x14ac:dyDescent="0.25"/>
  <cols>
    <col min="28" max="28" width="11" bestFit="1" customWidth="1"/>
    <col min="30" max="30" width="6.88671875" customWidth="1"/>
  </cols>
  <sheetData>
    <row r="1" spans="1:38" ht="21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3"/>
      <c r="L1" s="3"/>
      <c r="M1" s="3"/>
      <c r="N1" s="2" t="s">
        <v>9</v>
      </c>
      <c r="O1" s="2" t="s">
        <v>8</v>
      </c>
      <c r="P1" s="1" t="s">
        <v>7</v>
      </c>
      <c r="Q1" s="1" t="s">
        <v>6</v>
      </c>
      <c r="R1" s="1" t="s">
        <v>5</v>
      </c>
      <c r="S1" s="1" t="s">
        <v>4</v>
      </c>
      <c r="T1" s="1" t="s">
        <v>3</v>
      </c>
      <c r="U1" s="1" t="s">
        <v>2</v>
      </c>
      <c r="V1" s="1" t="s">
        <v>1</v>
      </c>
      <c r="W1" s="16"/>
      <c r="X1" s="20" t="s">
        <v>15</v>
      </c>
      <c r="Y1" s="20" t="s">
        <v>16</v>
      </c>
      <c r="Z1" s="20" t="s">
        <v>17</v>
      </c>
      <c r="AA1" s="20" t="s">
        <v>18</v>
      </c>
      <c r="AB1" s="20" t="s">
        <v>50</v>
      </c>
      <c r="AC1" s="23" t="s">
        <v>19</v>
      </c>
      <c r="AD1" s="23" t="s">
        <v>12</v>
      </c>
      <c r="AE1" s="21" t="s">
        <v>13</v>
      </c>
      <c r="AF1" s="22" t="s">
        <v>14</v>
      </c>
      <c r="AG1" s="20" t="s">
        <v>20</v>
      </c>
      <c r="AH1" s="20" t="s">
        <v>21</v>
      </c>
      <c r="AI1" s="20" t="s">
        <v>22</v>
      </c>
      <c r="AJ1" s="20" t="s">
        <v>23</v>
      </c>
      <c r="AK1" s="20" t="s">
        <v>24</v>
      </c>
      <c r="AL1" s="20" t="s">
        <v>25</v>
      </c>
    </row>
    <row r="2" spans="1:38" ht="19.8" thickBot="1" x14ac:dyDescent="0.3">
      <c r="A2" s="4" t="s">
        <v>114</v>
      </c>
      <c r="B2" s="8">
        <v>0.2</v>
      </c>
      <c r="C2" s="9">
        <v>0.3</v>
      </c>
      <c r="D2" s="8">
        <v>0.4</v>
      </c>
      <c r="E2" s="10">
        <v>0.7</v>
      </c>
      <c r="F2" s="11">
        <v>1.2</v>
      </c>
      <c r="G2" s="12">
        <v>1.9</v>
      </c>
      <c r="H2" s="13">
        <v>1.9</v>
      </c>
      <c r="I2" s="14">
        <v>10</v>
      </c>
      <c r="J2" s="14" t="s">
        <v>10</v>
      </c>
      <c r="K2" s="5" t="s">
        <v>115</v>
      </c>
      <c r="L2" s="6">
        <v>0.66666666666666663</v>
      </c>
      <c r="M2" s="7" t="s">
        <v>116</v>
      </c>
      <c r="N2" s="14" t="s">
        <v>11</v>
      </c>
      <c r="O2" s="14">
        <v>10</v>
      </c>
      <c r="P2" s="13">
        <v>1.2</v>
      </c>
      <c r="Q2" s="12">
        <v>1.7</v>
      </c>
      <c r="R2" s="11">
        <v>0.7</v>
      </c>
      <c r="S2" s="10">
        <v>1</v>
      </c>
      <c r="T2" s="8">
        <v>0.7</v>
      </c>
      <c r="U2" s="9">
        <v>0</v>
      </c>
      <c r="V2" s="8">
        <v>0</v>
      </c>
      <c r="W2" s="17"/>
      <c r="X2" s="18">
        <f t="shared" ref="X2:X6" si="0">AVERAGE(F2,S2)</f>
        <v>1.1000000000000001</v>
      </c>
      <c r="Y2" s="18">
        <f t="shared" ref="Y2:Y6" si="1">AVERAGE(R2,E2)</f>
        <v>0.7</v>
      </c>
      <c r="Z2" s="18">
        <f t="shared" ref="Z2:Z6" si="2">SUM(X2:Y2)</f>
        <v>1.8</v>
      </c>
      <c r="AA2" s="18">
        <f>ABS(X2-Y2)</f>
        <v>0.40000000000000013</v>
      </c>
      <c r="AB2" s="24">
        <f t="shared" ref="AB2:AB6" si="3">IF(AND(C2&gt;=0.5,U2&gt;=0.5,AVERAGE(C2,U2)&gt;=0.5,G2&gt;=2.3,Q2&gt;=2.3,AVERAGE(G2,Q2)&gt;=2.5),1,0)</f>
        <v>0</v>
      </c>
      <c r="AC2" s="24">
        <f>SUM(AG2:AL2)</f>
        <v>3</v>
      </c>
      <c r="AD2" s="19">
        <f t="shared" ref="AD2:AD6" si="4">IF(OR(I2&lt;3,O2&lt;3),0,IF(H2&gt;P2,IF(AND(F2&gt;E2,S2&gt;=R2,F2&gt;=1.5,E2&lt;=1.3,R2&lt;=1.4,S2&gt;=1.4,AVERAGE(C2,U2)&gt;=50%),1,0),IF(AND(E2&gt;=F2,R2&gt;S2,R2&gt;=1.5,S2&lt;1.3,E2&gt;=1.4,F2&lt;=1.4,AVERAGE(C2,U2)&gt;=50%),1,0)))</f>
        <v>0</v>
      </c>
      <c r="AE2" s="19">
        <f t="shared" ref="AE2:AE6" si="5">IF(OR(I2&lt;3,O2&lt;3),0,IF(H2&gt;P2,IF(AND(F2&gt;=1.5,S2&gt;=1,AVERAGE(C2,U2)&gt;=50%,C2&gt;=40%,U2&gt;=40%),1,0),IF(AND(R2&gt;=1.5,E2&gt;=1,F2&lt;=1.4,AVERAGE(C2,U2)&gt;=50%,C2&gt;=40%,U2&gt;=40%),1,0)))</f>
        <v>0</v>
      </c>
      <c r="AF2" s="19">
        <f t="shared" ref="AF2:AF6" si="6">IF(OR(I2&lt;3,O2&lt;3),0,IF(H2&gt;P2,IF(AND(AVERAGE(C2,U2)&gt;=50%,C2&gt;=40%,U2&gt;=40%,OR(AND(G2&gt;=2.8,Q2&gt;=2.8),AVERAGE(G2,Q2)&gt;=2.8)),1,0),IF(AND(AVERAGE(C2,U2)&gt;=50%,C2&gt;=40%,U2&gt;=40%,OR(AND(G2&gt;=2.8,Q2&gt;=2.8),AVERAGE(G2,Q2)&gt;=2.8)),1,0)))</f>
        <v>0</v>
      </c>
      <c r="AG2" s="19">
        <f t="shared" ref="AG2:AG6" si="7">IF($H2&gt;$P2,IF(S2&gt;=R2,1,0),IF(E2&gt;=F2,1,0))</f>
        <v>1</v>
      </c>
      <c r="AH2" s="19">
        <f t="shared" ref="AH2:AH6" si="8">IF($H2&gt;$P2,IF(F2&gt;=1.5,1,0),IF(R2&gt;=1.5,1,0))</f>
        <v>0</v>
      </c>
      <c r="AI2" s="19">
        <f t="shared" ref="AI2:AI6" si="9">IF($H2&gt;$P2,IF(E2&lt;=1.3,1,0),IF(S2&lt;=1.3,1,0))</f>
        <v>1</v>
      </c>
      <c r="AJ2" s="19">
        <f t="shared" ref="AJ2:AJ6" si="10">IF($H2&gt;$P2,IF(R2&lt;=1.4,1,0),IF(F2&lt;=1.4,1,0))</f>
        <v>1</v>
      </c>
      <c r="AK2" s="19">
        <f t="shared" ref="AK2:AK6" si="11">IF($H2&gt;$P2,IF(S2&gt;=1.4,1,0),IF(E2&gt;=1.4,1,0))</f>
        <v>0</v>
      </c>
      <c r="AL2" s="19">
        <f t="shared" ref="AL2:AL6" si="12">IF(AVERAGE(C2,U2)&gt;=0.5,1,0)</f>
        <v>0</v>
      </c>
    </row>
    <row r="3" spans="1:38" ht="19.8" thickBot="1" x14ac:dyDescent="0.3">
      <c r="A3" s="4" t="s">
        <v>117</v>
      </c>
      <c r="B3" s="8">
        <v>0.2</v>
      </c>
      <c r="C3" s="9">
        <v>0.3</v>
      </c>
      <c r="D3" s="8">
        <v>0.6</v>
      </c>
      <c r="E3" s="10">
        <v>0.6</v>
      </c>
      <c r="F3" s="11">
        <v>1.1000000000000001</v>
      </c>
      <c r="G3" s="12">
        <v>1.7</v>
      </c>
      <c r="H3" s="13">
        <v>1.5</v>
      </c>
      <c r="I3" s="14">
        <v>10</v>
      </c>
      <c r="J3" s="14" t="s">
        <v>10</v>
      </c>
      <c r="K3" s="5" t="s">
        <v>118</v>
      </c>
      <c r="L3" s="6">
        <v>0.8125</v>
      </c>
      <c r="M3" s="7" t="s">
        <v>119</v>
      </c>
      <c r="N3" s="14" t="s">
        <v>11</v>
      </c>
      <c r="O3" s="14">
        <v>10</v>
      </c>
      <c r="P3" s="13">
        <v>0.6</v>
      </c>
      <c r="Q3" s="12">
        <v>2.2000000000000002</v>
      </c>
      <c r="R3" s="11">
        <v>0.6</v>
      </c>
      <c r="S3" s="10">
        <v>1.6</v>
      </c>
      <c r="T3" s="8">
        <v>0.7</v>
      </c>
      <c r="U3" s="9">
        <v>0.3</v>
      </c>
      <c r="V3" s="8">
        <v>0.2</v>
      </c>
      <c r="W3" s="17"/>
      <c r="X3" s="18">
        <f t="shared" si="0"/>
        <v>1.35</v>
      </c>
      <c r="Y3" s="18">
        <f t="shared" si="1"/>
        <v>0.6</v>
      </c>
      <c r="Z3" s="18">
        <f t="shared" si="2"/>
        <v>1.9500000000000002</v>
      </c>
      <c r="AA3" s="18">
        <f>ABS(X3-Y3)</f>
        <v>0.75000000000000011</v>
      </c>
      <c r="AB3" s="24">
        <f t="shared" si="3"/>
        <v>0</v>
      </c>
      <c r="AC3" s="24">
        <f t="shared" ref="AC3:AC6" si="13">SUM(AG3:AL3)</f>
        <v>4</v>
      </c>
      <c r="AD3" s="19">
        <f t="shared" si="4"/>
        <v>0</v>
      </c>
      <c r="AE3" s="19">
        <f t="shared" si="5"/>
        <v>0</v>
      </c>
      <c r="AF3" s="19">
        <f t="shared" si="6"/>
        <v>0</v>
      </c>
      <c r="AG3" s="19">
        <f t="shared" si="7"/>
        <v>1</v>
      </c>
      <c r="AH3" s="19">
        <f t="shared" si="8"/>
        <v>0</v>
      </c>
      <c r="AI3" s="19">
        <f t="shared" si="9"/>
        <v>1</v>
      </c>
      <c r="AJ3" s="19">
        <f t="shared" si="10"/>
        <v>1</v>
      </c>
      <c r="AK3" s="19">
        <f t="shared" si="11"/>
        <v>1</v>
      </c>
      <c r="AL3" s="19">
        <f t="shared" si="12"/>
        <v>0</v>
      </c>
    </row>
    <row r="4" spans="1:38" ht="19.8" thickBot="1" x14ac:dyDescent="0.3">
      <c r="A4" s="4" t="s">
        <v>117</v>
      </c>
      <c r="B4" s="8">
        <v>0</v>
      </c>
      <c r="C4" s="9">
        <v>0.33</v>
      </c>
      <c r="D4" s="8">
        <v>0.56000000000000005</v>
      </c>
      <c r="E4" s="10">
        <v>0.89</v>
      </c>
      <c r="F4" s="11">
        <v>1</v>
      </c>
      <c r="G4" s="12">
        <v>1.89</v>
      </c>
      <c r="H4" s="13">
        <v>1.78</v>
      </c>
      <c r="I4" s="14">
        <v>9</v>
      </c>
      <c r="J4" s="14" t="s">
        <v>10</v>
      </c>
      <c r="K4" s="5" t="s">
        <v>120</v>
      </c>
      <c r="L4" s="6">
        <v>0.85416666666666663</v>
      </c>
      <c r="M4" s="7" t="s">
        <v>121</v>
      </c>
      <c r="N4" s="14" t="s">
        <v>11</v>
      </c>
      <c r="O4" s="14">
        <v>10</v>
      </c>
      <c r="P4" s="13">
        <v>1.3</v>
      </c>
      <c r="Q4" s="12">
        <v>2.1</v>
      </c>
      <c r="R4" s="11">
        <v>1.1000000000000001</v>
      </c>
      <c r="S4" s="10">
        <v>1</v>
      </c>
      <c r="T4" s="8">
        <v>0.8</v>
      </c>
      <c r="U4" s="9">
        <v>0.3</v>
      </c>
      <c r="V4" s="8">
        <v>0.1</v>
      </c>
      <c r="W4" s="17"/>
      <c r="X4" s="18">
        <f t="shared" si="0"/>
        <v>1</v>
      </c>
      <c r="Y4" s="18">
        <f t="shared" si="1"/>
        <v>0.99500000000000011</v>
      </c>
      <c r="Z4" s="18">
        <f t="shared" si="2"/>
        <v>1.9950000000000001</v>
      </c>
      <c r="AA4" s="18">
        <f>ABS(X4-Y4)</f>
        <v>4.9999999999998934E-3</v>
      </c>
      <c r="AB4" s="24">
        <f t="shared" si="3"/>
        <v>0</v>
      </c>
      <c r="AC4" s="24">
        <f t="shared" si="13"/>
        <v>2</v>
      </c>
      <c r="AD4" s="19">
        <f t="shared" si="4"/>
        <v>0</v>
      </c>
      <c r="AE4" s="19">
        <f t="shared" si="5"/>
        <v>0</v>
      </c>
      <c r="AF4" s="19">
        <f t="shared" si="6"/>
        <v>0</v>
      </c>
      <c r="AG4" s="19">
        <f t="shared" si="7"/>
        <v>0</v>
      </c>
      <c r="AH4" s="19">
        <f t="shared" si="8"/>
        <v>0</v>
      </c>
      <c r="AI4" s="19">
        <f t="shared" si="9"/>
        <v>1</v>
      </c>
      <c r="AJ4" s="19">
        <f t="shared" si="10"/>
        <v>1</v>
      </c>
      <c r="AK4" s="19">
        <f t="shared" si="11"/>
        <v>0</v>
      </c>
      <c r="AL4" s="19">
        <f t="shared" si="12"/>
        <v>0</v>
      </c>
    </row>
    <row r="5" spans="1:38" ht="19.8" thickBot="1" x14ac:dyDescent="0.3">
      <c r="A5" s="51" t="s">
        <v>117</v>
      </c>
      <c r="B5" s="52">
        <v>0.2</v>
      </c>
      <c r="C5" s="53">
        <v>0.4</v>
      </c>
      <c r="D5" s="52">
        <v>0.6</v>
      </c>
      <c r="E5" s="54">
        <v>1.1000000000000001</v>
      </c>
      <c r="F5" s="55">
        <v>1.1000000000000001</v>
      </c>
      <c r="G5" s="56">
        <v>2.2000000000000002</v>
      </c>
      <c r="H5" s="57">
        <v>1.3</v>
      </c>
      <c r="I5" s="58">
        <v>10</v>
      </c>
      <c r="J5" s="58" t="s">
        <v>10</v>
      </c>
      <c r="K5" s="59" t="s">
        <v>122</v>
      </c>
      <c r="L5" s="60">
        <v>0.875</v>
      </c>
      <c r="M5" s="61" t="s">
        <v>123</v>
      </c>
      <c r="N5" s="58" t="s">
        <v>11</v>
      </c>
      <c r="O5" s="58">
        <v>10</v>
      </c>
      <c r="P5" s="57">
        <v>0.5</v>
      </c>
      <c r="Q5" s="56">
        <v>2.2000000000000002</v>
      </c>
      <c r="R5" s="55">
        <v>0.6</v>
      </c>
      <c r="S5" s="54">
        <v>1.6</v>
      </c>
      <c r="T5" s="52">
        <v>0.6</v>
      </c>
      <c r="U5" s="53">
        <v>0.4</v>
      </c>
      <c r="V5" s="52">
        <v>0.2</v>
      </c>
      <c r="W5" s="62"/>
      <c r="X5" s="18">
        <f t="shared" si="0"/>
        <v>1.35</v>
      </c>
      <c r="Y5" s="18">
        <f t="shared" si="1"/>
        <v>0.85000000000000009</v>
      </c>
      <c r="Z5" s="18">
        <f t="shared" si="2"/>
        <v>2.2000000000000002</v>
      </c>
      <c r="AA5" s="18">
        <f>ABS(X5-Y5)</f>
        <v>0.5</v>
      </c>
      <c r="AB5" s="24">
        <f t="shared" si="3"/>
        <v>0</v>
      </c>
      <c r="AC5" s="24">
        <f t="shared" si="13"/>
        <v>4</v>
      </c>
      <c r="AD5" s="19">
        <f t="shared" si="4"/>
        <v>0</v>
      </c>
      <c r="AE5" s="19">
        <f t="shared" si="5"/>
        <v>0</v>
      </c>
      <c r="AF5" s="19">
        <f t="shared" si="6"/>
        <v>0</v>
      </c>
      <c r="AG5" s="19">
        <f t="shared" si="7"/>
        <v>1</v>
      </c>
      <c r="AH5" s="19">
        <f t="shared" si="8"/>
        <v>0</v>
      </c>
      <c r="AI5" s="19">
        <f t="shared" si="9"/>
        <v>1</v>
      </c>
      <c r="AJ5" s="19">
        <f t="shared" si="10"/>
        <v>1</v>
      </c>
      <c r="AK5" s="19">
        <f t="shared" si="11"/>
        <v>1</v>
      </c>
      <c r="AL5" s="19">
        <f t="shared" si="12"/>
        <v>0</v>
      </c>
    </row>
    <row r="6" spans="1:38" ht="13.8" thickBot="1" x14ac:dyDescent="0.3">
      <c r="A6" s="4" t="s">
        <v>117</v>
      </c>
      <c r="B6" s="8">
        <v>0.33</v>
      </c>
      <c r="C6" s="15">
        <v>0.56000000000000005</v>
      </c>
      <c r="D6" s="8">
        <v>0.67</v>
      </c>
      <c r="E6" s="10">
        <v>1.33</v>
      </c>
      <c r="F6" s="11">
        <v>1.56</v>
      </c>
      <c r="G6" s="12">
        <v>2.89</v>
      </c>
      <c r="H6" s="13">
        <v>2</v>
      </c>
      <c r="I6" s="14">
        <v>9</v>
      </c>
      <c r="J6" s="14" t="s">
        <v>10</v>
      </c>
      <c r="K6" s="5" t="s">
        <v>124</v>
      </c>
      <c r="L6" s="6">
        <v>0.89583333333333337</v>
      </c>
      <c r="M6" s="7" t="s">
        <v>125</v>
      </c>
      <c r="N6" s="14" t="s">
        <v>11</v>
      </c>
      <c r="O6" s="14">
        <v>10</v>
      </c>
      <c r="P6" s="13">
        <v>0.7</v>
      </c>
      <c r="Q6" s="12">
        <v>1.4</v>
      </c>
      <c r="R6" s="11">
        <v>0.4</v>
      </c>
      <c r="S6" s="10">
        <v>1</v>
      </c>
      <c r="T6" s="8">
        <v>0.5</v>
      </c>
      <c r="U6" s="9">
        <v>0.2</v>
      </c>
      <c r="V6" s="8">
        <v>0</v>
      </c>
      <c r="W6" s="17"/>
      <c r="X6" s="18">
        <f t="shared" si="0"/>
        <v>1.28</v>
      </c>
      <c r="Y6" s="18">
        <f t="shared" si="1"/>
        <v>0.86499999999999999</v>
      </c>
      <c r="Z6" s="18">
        <f t="shared" si="2"/>
        <v>2.145</v>
      </c>
      <c r="AA6" s="18">
        <f t="shared" ref="AA6" si="14">ABS(X6-Y6)</f>
        <v>0.41500000000000004</v>
      </c>
      <c r="AB6" s="24">
        <f t="shared" si="3"/>
        <v>0</v>
      </c>
      <c r="AC6" s="24">
        <f t="shared" si="13"/>
        <v>3</v>
      </c>
      <c r="AD6" s="19">
        <f t="shared" si="4"/>
        <v>0</v>
      </c>
      <c r="AE6" s="19">
        <f t="shared" si="5"/>
        <v>0</v>
      </c>
      <c r="AF6" s="19">
        <f t="shared" si="6"/>
        <v>0</v>
      </c>
      <c r="AG6" s="19">
        <f t="shared" si="7"/>
        <v>1</v>
      </c>
      <c r="AH6" s="19">
        <f t="shared" si="8"/>
        <v>1</v>
      </c>
      <c r="AI6" s="19">
        <f t="shared" si="9"/>
        <v>0</v>
      </c>
      <c r="AJ6" s="19">
        <f t="shared" si="10"/>
        <v>1</v>
      </c>
      <c r="AK6" s="19">
        <f t="shared" si="11"/>
        <v>0</v>
      </c>
      <c r="AL6" s="19">
        <f t="shared" si="12"/>
        <v>0</v>
      </c>
    </row>
    <row r="7" spans="1:38" ht="19.8" thickBot="1" x14ac:dyDescent="0.3">
      <c r="A7" s="4" t="s">
        <v>126</v>
      </c>
      <c r="B7" s="8">
        <v>0.55000000000000004</v>
      </c>
      <c r="C7" s="15">
        <v>0.64</v>
      </c>
      <c r="D7" s="8">
        <v>0.82</v>
      </c>
      <c r="E7" s="10">
        <v>2.36</v>
      </c>
      <c r="F7" s="11">
        <v>1.36</v>
      </c>
      <c r="G7" s="12">
        <v>3.73</v>
      </c>
      <c r="H7" s="13">
        <v>1.0900000000000001</v>
      </c>
      <c r="I7" s="14">
        <v>11</v>
      </c>
      <c r="J7" s="14" t="s">
        <v>10</v>
      </c>
      <c r="K7" s="5" t="s">
        <v>127</v>
      </c>
      <c r="L7" s="6">
        <v>0.3125</v>
      </c>
      <c r="M7" s="7" t="s">
        <v>128</v>
      </c>
      <c r="N7" s="14" t="s">
        <v>11</v>
      </c>
      <c r="O7" s="14">
        <v>9</v>
      </c>
      <c r="P7" s="13">
        <v>0.89</v>
      </c>
      <c r="Q7" s="12">
        <v>2.44</v>
      </c>
      <c r="R7" s="11">
        <v>0.89</v>
      </c>
      <c r="S7" s="10">
        <v>1.56</v>
      </c>
      <c r="T7" s="8">
        <v>0.44</v>
      </c>
      <c r="U7" s="9">
        <v>0.44</v>
      </c>
      <c r="V7" s="8">
        <v>0.33</v>
      </c>
      <c r="W7" s="17"/>
      <c r="X7" s="18">
        <f t="shared" ref="X7:X10" si="15">AVERAGE(F7,S7)</f>
        <v>1.46</v>
      </c>
      <c r="Y7" s="18">
        <f t="shared" ref="Y7:Y10" si="16">AVERAGE(R7,E7)</f>
        <v>1.625</v>
      </c>
      <c r="Z7" s="18">
        <f t="shared" ref="Z7:Z10" si="17">SUM(X7:Y7)</f>
        <v>3.085</v>
      </c>
      <c r="AA7" s="18">
        <f t="shared" ref="AA7:AA10" si="18">ABS(X7-Y7)</f>
        <v>0.16500000000000004</v>
      </c>
      <c r="AB7" s="24">
        <f t="shared" ref="AB7:AB10" si="19">IF(AND(C7&gt;=0.5,U7&gt;=0.5,AVERAGE(C7,U7)&gt;=0.5,G7&gt;=2.3,Q7&gt;=2.3,AVERAGE(G7,Q7)&gt;=2.5),1,0)</f>
        <v>0</v>
      </c>
      <c r="AC7" s="24">
        <f t="shared" ref="AC7:AC10" si="20">SUM(AG7:AL7)</f>
        <v>4</v>
      </c>
      <c r="AD7" s="19">
        <f t="shared" ref="AD7:AD10" si="21">IF(OR(I7&lt;3,O7&lt;3),0,IF(H7&gt;P7,IF(AND(F7&gt;E7,S7&gt;=R7,F7&gt;=1.5,E7&lt;=1.3,R7&lt;=1.4,S7&gt;=1.4,AVERAGE(C7,U7)&gt;=50%),1,0),IF(AND(E7&gt;=F7,R7&gt;S7,R7&gt;=1.5,S7&lt;1.3,E7&gt;=1.4,F7&lt;=1.4,AVERAGE(C7,U7)&gt;=50%),1,0)))</f>
        <v>0</v>
      </c>
      <c r="AE7" s="19">
        <f t="shared" ref="AE7:AE10" si="22">IF(OR(I7&lt;3,O7&lt;3),0,IF(H7&gt;P7,IF(AND(F7&gt;=1.5,S7&gt;=1,AVERAGE(C7,U7)&gt;=50%,C7&gt;=40%,U7&gt;=40%),1,0),IF(AND(R7&gt;=1.5,E7&gt;=1,F7&lt;=1.4,AVERAGE(C7,U7)&gt;=50%,C7&gt;=40%,U7&gt;=40%),1,0)))</f>
        <v>0</v>
      </c>
      <c r="AF7" s="19">
        <f t="shared" ref="AF7:AF10" si="23">IF(OR(I7&lt;3,O7&lt;3),0,IF(H7&gt;P7,IF(AND(AVERAGE(C7,U7)&gt;=50%,C7&gt;=40%,U7&gt;=40%,OR(AND(G7&gt;=2.8,Q7&gt;=2.8),AVERAGE(G7,Q7)&gt;=2.8)),1,0),IF(AND(AVERAGE(C7,U7)&gt;=50%,C7&gt;=40%,U7&gt;=40%,OR(AND(G7&gt;=2.8,Q7&gt;=2.8),AVERAGE(G7,Q7)&gt;=2.8)),1,0)))</f>
        <v>1</v>
      </c>
      <c r="AG7" s="19">
        <f t="shared" ref="AG7:AG10" si="24">IF($H7&gt;$P7,IF(S7&gt;=R7,1,0),IF(E7&gt;=F7,1,0))</f>
        <v>1</v>
      </c>
      <c r="AH7" s="19">
        <f t="shared" ref="AH7:AH10" si="25">IF($H7&gt;$P7,IF(F7&gt;=1.5,1,0),IF(R7&gt;=1.5,1,0))</f>
        <v>0</v>
      </c>
      <c r="AI7" s="19">
        <f t="shared" ref="AI7:AI10" si="26">IF($H7&gt;$P7,IF(E7&lt;=1.3,1,0),IF(S7&lt;=1.3,1,0))</f>
        <v>0</v>
      </c>
      <c r="AJ7" s="19">
        <f t="shared" ref="AJ7:AJ10" si="27">IF($H7&gt;$P7,IF(R7&lt;=1.4,1,0),IF(F7&lt;=1.4,1,0))</f>
        <v>1</v>
      </c>
      <c r="AK7" s="19">
        <f t="shared" ref="AK7:AK10" si="28">IF($H7&gt;$P7,IF(S7&gt;=1.4,1,0),IF(E7&gt;=1.4,1,0))</f>
        <v>1</v>
      </c>
      <c r="AL7" s="19">
        <f t="shared" ref="AL7:AL10" si="29">IF(AVERAGE(C7,U7)&gt;=0.5,1,0)</f>
        <v>1</v>
      </c>
    </row>
    <row r="8" spans="1:38" ht="19.8" thickBot="1" x14ac:dyDescent="0.3">
      <c r="A8" s="4" t="s">
        <v>126</v>
      </c>
      <c r="B8" s="8">
        <v>0.4</v>
      </c>
      <c r="C8" s="9">
        <v>0.5</v>
      </c>
      <c r="D8" s="8">
        <v>0.8</v>
      </c>
      <c r="E8" s="10">
        <v>2.2000000000000002</v>
      </c>
      <c r="F8" s="11">
        <v>0.6</v>
      </c>
      <c r="G8" s="12">
        <v>2.8</v>
      </c>
      <c r="H8" s="13">
        <v>0.4</v>
      </c>
      <c r="I8" s="14">
        <v>10</v>
      </c>
      <c r="J8" s="14" t="s">
        <v>10</v>
      </c>
      <c r="K8" s="5" t="s">
        <v>129</v>
      </c>
      <c r="L8" s="6">
        <v>0.3125</v>
      </c>
      <c r="M8" s="7" t="s">
        <v>130</v>
      </c>
      <c r="N8" s="14" t="s">
        <v>11</v>
      </c>
      <c r="O8" s="14">
        <v>10</v>
      </c>
      <c r="P8" s="13">
        <v>0.6</v>
      </c>
      <c r="Q8" s="12">
        <v>3.9</v>
      </c>
      <c r="R8" s="11">
        <v>1</v>
      </c>
      <c r="S8" s="10">
        <v>2.9</v>
      </c>
      <c r="T8" s="8">
        <v>0.8</v>
      </c>
      <c r="U8" s="15">
        <v>0.6</v>
      </c>
      <c r="V8" s="8">
        <v>0.4</v>
      </c>
      <c r="W8" s="17"/>
      <c r="X8" s="18">
        <f t="shared" si="15"/>
        <v>1.75</v>
      </c>
      <c r="Y8" s="18">
        <f t="shared" si="16"/>
        <v>1.6</v>
      </c>
      <c r="Z8" s="18">
        <f t="shared" si="17"/>
        <v>3.35</v>
      </c>
      <c r="AA8" s="18">
        <f t="shared" si="18"/>
        <v>0.14999999999999991</v>
      </c>
      <c r="AB8" s="24">
        <f t="shared" si="19"/>
        <v>1</v>
      </c>
      <c r="AC8" s="24">
        <f t="shared" si="20"/>
        <v>4</v>
      </c>
      <c r="AD8" s="19">
        <f t="shared" si="21"/>
        <v>0</v>
      </c>
      <c r="AE8" s="19">
        <f t="shared" si="22"/>
        <v>0</v>
      </c>
      <c r="AF8" s="19">
        <f t="shared" si="23"/>
        <v>1</v>
      </c>
      <c r="AG8" s="19">
        <f t="shared" si="24"/>
        <v>1</v>
      </c>
      <c r="AH8" s="19">
        <f t="shared" si="25"/>
        <v>0</v>
      </c>
      <c r="AI8" s="19">
        <f t="shared" si="26"/>
        <v>0</v>
      </c>
      <c r="AJ8" s="19">
        <f t="shared" si="27"/>
        <v>1</v>
      </c>
      <c r="AK8" s="19">
        <f t="shared" si="28"/>
        <v>1</v>
      </c>
      <c r="AL8" s="19">
        <f t="shared" si="29"/>
        <v>1</v>
      </c>
    </row>
    <row r="9" spans="1:38" ht="13.8" thickBot="1" x14ac:dyDescent="0.3">
      <c r="A9" s="4" t="s">
        <v>126</v>
      </c>
      <c r="B9" s="8">
        <v>0.62</v>
      </c>
      <c r="C9" s="15">
        <v>0.75</v>
      </c>
      <c r="D9" s="8">
        <v>0.88</v>
      </c>
      <c r="E9" s="10">
        <v>1.25</v>
      </c>
      <c r="F9" s="11">
        <v>3.13</v>
      </c>
      <c r="G9" s="12">
        <v>4.38</v>
      </c>
      <c r="H9" s="13">
        <v>2.5</v>
      </c>
      <c r="I9" s="14">
        <v>8</v>
      </c>
      <c r="J9" s="14" t="s">
        <v>10</v>
      </c>
      <c r="K9" s="5" t="s">
        <v>131</v>
      </c>
      <c r="L9" s="6">
        <v>0.375</v>
      </c>
      <c r="M9" s="7" t="s">
        <v>132</v>
      </c>
      <c r="N9" s="14" t="s">
        <v>11</v>
      </c>
      <c r="O9" s="14">
        <v>8</v>
      </c>
      <c r="P9" s="13">
        <v>1.63</v>
      </c>
      <c r="Q9" s="12">
        <v>2.25</v>
      </c>
      <c r="R9" s="11">
        <v>1.1299999999999999</v>
      </c>
      <c r="S9" s="10">
        <v>1.1299999999999999</v>
      </c>
      <c r="T9" s="8">
        <v>0.62</v>
      </c>
      <c r="U9" s="9">
        <v>0.38</v>
      </c>
      <c r="V9" s="8">
        <v>0.12</v>
      </c>
      <c r="W9" s="17"/>
      <c r="X9" s="18">
        <f t="shared" si="15"/>
        <v>2.13</v>
      </c>
      <c r="Y9" s="18">
        <f t="shared" si="16"/>
        <v>1.19</v>
      </c>
      <c r="Z9" s="18">
        <f t="shared" si="17"/>
        <v>3.32</v>
      </c>
      <c r="AA9" s="18">
        <f t="shared" si="18"/>
        <v>0.94</v>
      </c>
      <c r="AB9" s="24">
        <f t="shared" si="19"/>
        <v>0</v>
      </c>
      <c r="AC9" s="24">
        <f t="shared" si="20"/>
        <v>5</v>
      </c>
      <c r="AD9" s="19">
        <f t="shared" si="21"/>
        <v>0</v>
      </c>
      <c r="AE9" s="19">
        <f t="shared" si="22"/>
        <v>0</v>
      </c>
      <c r="AF9" s="19">
        <f t="shared" si="23"/>
        <v>0</v>
      </c>
      <c r="AG9" s="19">
        <f t="shared" si="24"/>
        <v>1</v>
      </c>
      <c r="AH9" s="19">
        <f t="shared" si="25"/>
        <v>1</v>
      </c>
      <c r="AI9" s="19">
        <f t="shared" si="26"/>
        <v>1</v>
      </c>
      <c r="AJ9" s="19">
        <f t="shared" si="27"/>
        <v>1</v>
      </c>
      <c r="AK9" s="19">
        <f t="shared" si="28"/>
        <v>0</v>
      </c>
      <c r="AL9" s="19">
        <f t="shared" si="29"/>
        <v>1</v>
      </c>
    </row>
    <row r="10" spans="1:38" ht="19.8" thickBot="1" x14ac:dyDescent="0.3">
      <c r="A10" s="4" t="s">
        <v>126</v>
      </c>
      <c r="B10" s="8">
        <v>0.43</v>
      </c>
      <c r="C10" s="15">
        <v>0.56999999999999995</v>
      </c>
      <c r="D10" s="8">
        <v>1</v>
      </c>
      <c r="E10" s="10">
        <v>1.86</v>
      </c>
      <c r="F10" s="11">
        <v>2.4300000000000002</v>
      </c>
      <c r="G10" s="12">
        <v>4.29</v>
      </c>
      <c r="H10" s="13">
        <v>1.71</v>
      </c>
      <c r="I10" s="14">
        <v>7</v>
      </c>
      <c r="J10" s="14" t="s">
        <v>10</v>
      </c>
      <c r="K10" s="5" t="s">
        <v>133</v>
      </c>
      <c r="L10" s="6">
        <v>0.375</v>
      </c>
      <c r="M10" s="7" t="s">
        <v>134</v>
      </c>
      <c r="N10" s="14" t="s">
        <v>11</v>
      </c>
      <c r="O10" s="14">
        <v>9</v>
      </c>
      <c r="P10" s="13">
        <v>0.56000000000000005</v>
      </c>
      <c r="Q10" s="12">
        <v>2.2200000000000002</v>
      </c>
      <c r="R10" s="11">
        <v>0.78</v>
      </c>
      <c r="S10" s="10">
        <v>1.44</v>
      </c>
      <c r="T10" s="8">
        <v>0.56000000000000005</v>
      </c>
      <c r="U10" s="15">
        <v>0.56000000000000005</v>
      </c>
      <c r="V10" s="8">
        <v>0.22</v>
      </c>
      <c r="W10" s="17"/>
      <c r="X10" s="18">
        <f t="shared" si="15"/>
        <v>1.9350000000000001</v>
      </c>
      <c r="Y10" s="18">
        <f t="shared" si="16"/>
        <v>1.32</v>
      </c>
      <c r="Z10" s="18">
        <f t="shared" si="17"/>
        <v>3.2549999999999999</v>
      </c>
      <c r="AA10" s="18">
        <f t="shared" si="18"/>
        <v>0.61499999999999999</v>
      </c>
      <c r="AB10" s="24">
        <f t="shared" si="19"/>
        <v>0</v>
      </c>
      <c r="AC10" s="24">
        <f t="shared" si="20"/>
        <v>5</v>
      </c>
      <c r="AD10" s="19">
        <f t="shared" si="21"/>
        <v>0</v>
      </c>
      <c r="AE10" s="19">
        <f t="shared" si="22"/>
        <v>1</v>
      </c>
      <c r="AF10" s="19">
        <f t="shared" si="23"/>
        <v>1</v>
      </c>
      <c r="AG10" s="19">
        <f t="shared" si="24"/>
        <v>1</v>
      </c>
      <c r="AH10" s="19">
        <f t="shared" si="25"/>
        <v>1</v>
      </c>
      <c r="AI10" s="19">
        <f t="shared" si="26"/>
        <v>0</v>
      </c>
      <c r="AJ10" s="19">
        <f t="shared" si="27"/>
        <v>1</v>
      </c>
      <c r="AK10" s="19">
        <f t="shared" si="28"/>
        <v>1</v>
      </c>
      <c r="AL10" s="19">
        <f t="shared" si="29"/>
        <v>1</v>
      </c>
    </row>
    <row r="11" spans="1:38" ht="19.8" thickBot="1" x14ac:dyDescent="0.3">
      <c r="A11" s="4" t="s">
        <v>126</v>
      </c>
      <c r="B11" s="8">
        <v>0.12</v>
      </c>
      <c r="C11" s="15">
        <v>0.62</v>
      </c>
      <c r="D11" s="8">
        <v>0.88</v>
      </c>
      <c r="E11" s="10">
        <v>1.1299999999999999</v>
      </c>
      <c r="F11" s="11">
        <v>1.5</v>
      </c>
      <c r="G11" s="12">
        <v>2.63</v>
      </c>
      <c r="H11" s="13">
        <v>1.38</v>
      </c>
      <c r="I11" s="14">
        <v>8</v>
      </c>
      <c r="J11" s="14" t="s">
        <v>10</v>
      </c>
      <c r="K11" s="5" t="s">
        <v>135</v>
      </c>
      <c r="L11" s="6">
        <v>0.3125</v>
      </c>
      <c r="M11" s="7" t="s">
        <v>136</v>
      </c>
      <c r="N11" s="14" t="s">
        <v>11</v>
      </c>
      <c r="O11" s="14">
        <v>8</v>
      </c>
      <c r="P11" s="13">
        <v>0.5</v>
      </c>
      <c r="Q11" s="12">
        <v>3.38</v>
      </c>
      <c r="R11" s="11">
        <v>1</v>
      </c>
      <c r="S11" s="10">
        <v>2.38</v>
      </c>
      <c r="T11" s="8">
        <v>0.88</v>
      </c>
      <c r="U11" s="15">
        <v>0.75</v>
      </c>
      <c r="V11" s="8">
        <v>0.62</v>
      </c>
      <c r="W11" s="17"/>
      <c r="X11" s="18">
        <f t="shared" ref="X11:X48" si="30">AVERAGE(F11,S11)</f>
        <v>1.94</v>
      </c>
      <c r="Y11" s="18">
        <f t="shared" ref="Y11:Y48" si="31">AVERAGE(R11,E11)</f>
        <v>1.0649999999999999</v>
      </c>
      <c r="Z11" s="18">
        <f t="shared" ref="Z11:Z48" si="32">SUM(X11:Y11)</f>
        <v>3.0049999999999999</v>
      </c>
      <c r="AA11" s="18">
        <f t="shared" ref="AA11:AA48" si="33">ABS(X11-Y11)</f>
        <v>0.875</v>
      </c>
      <c r="AB11" s="24">
        <f t="shared" ref="AB11:AB48" si="34">IF(AND(C11&gt;=0.5,U11&gt;=0.5,AVERAGE(C11,U11)&gt;=0.5,G11&gt;=2.3,Q11&gt;=2.3,AVERAGE(G11,Q11)&gt;=2.5),1,0)</f>
        <v>1</v>
      </c>
      <c r="AC11" s="24">
        <f t="shared" ref="AC11:AC48" si="35">SUM(AG11:AL11)</f>
        <v>6</v>
      </c>
      <c r="AD11" s="19">
        <f t="shared" ref="AD11:AD48" si="36">IF(OR(I11&lt;3,O11&lt;3),0,IF(H11&gt;P11,IF(AND(F11&gt;E11,S11&gt;=R11,F11&gt;=1.5,E11&lt;=1.3,R11&lt;=1.4,S11&gt;=1.4,AVERAGE(C11,U11)&gt;=50%),1,0),IF(AND(E11&gt;=F11,R11&gt;S11,R11&gt;=1.5,S11&lt;1.3,E11&gt;=1.4,F11&lt;=1.4,AVERAGE(C11,U11)&gt;=50%),1,0)))</f>
        <v>1</v>
      </c>
      <c r="AE11" s="19">
        <f t="shared" ref="AE11:AE48" si="37">IF(OR(I11&lt;3,O11&lt;3),0,IF(H11&gt;P11,IF(AND(F11&gt;=1.5,S11&gt;=1,AVERAGE(C11,U11)&gt;=50%,C11&gt;=40%,U11&gt;=40%),1,0),IF(AND(R11&gt;=1.5,E11&gt;=1,F11&lt;=1.4,AVERAGE(C11,U11)&gt;=50%,C11&gt;=40%,U11&gt;=40%),1,0)))</f>
        <v>1</v>
      </c>
      <c r="AF11" s="19">
        <f t="shared" ref="AF11:AF48" si="38">IF(OR(I11&lt;3,O11&lt;3),0,IF(H11&gt;P11,IF(AND(AVERAGE(C11,U11)&gt;=50%,C11&gt;=40%,U11&gt;=40%,OR(AND(G11&gt;=2.8,Q11&gt;=2.8),AVERAGE(G11,Q11)&gt;=2.8)),1,0),IF(AND(AVERAGE(C11,U11)&gt;=50%,C11&gt;=40%,U11&gt;=40%,OR(AND(G11&gt;=2.8,Q11&gt;=2.8),AVERAGE(G11,Q11)&gt;=2.8)),1,0)))</f>
        <v>1</v>
      </c>
      <c r="AG11" s="19">
        <f t="shared" ref="AG11:AG48" si="39">IF($H11&gt;$P11,IF(S11&gt;=R11,1,0),IF(E11&gt;=F11,1,0))</f>
        <v>1</v>
      </c>
      <c r="AH11" s="19">
        <f t="shared" ref="AH11:AH48" si="40">IF($H11&gt;$P11,IF(F11&gt;=1.5,1,0),IF(R11&gt;=1.5,1,0))</f>
        <v>1</v>
      </c>
      <c r="AI11" s="19">
        <f t="shared" ref="AI11:AI48" si="41">IF($H11&gt;$P11,IF(E11&lt;=1.3,1,0),IF(S11&lt;=1.3,1,0))</f>
        <v>1</v>
      </c>
      <c r="AJ11" s="19">
        <f t="shared" ref="AJ11:AJ48" si="42">IF($H11&gt;$P11,IF(R11&lt;=1.4,1,0),IF(F11&lt;=1.4,1,0))</f>
        <v>1</v>
      </c>
      <c r="AK11" s="19">
        <f t="shared" ref="AK11:AK48" si="43">IF($H11&gt;$P11,IF(S11&gt;=1.4,1,0),IF(E11&gt;=1.4,1,0))</f>
        <v>1</v>
      </c>
      <c r="AL11" s="19">
        <f t="shared" ref="AL11:AL48" si="44">IF(AVERAGE(C11,U11)&gt;=0.5,1,0)</f>
        <v>1</v>
      </c>
    </row>
    <row r="12" spans="1:38" ht="13.8" thickBot="1" x14ac:dyDescent="0.3">
      <c r="A12" s="4" t="s">
        <v>126</v>
      </c>
      <c r="B12" s="8">
        <v>0.5</v>
      </c>
      <c r="C12" s="15">
        <v>0.62</v>
      </c>
      <c r="D12" s="8">
        <v>0.62</v>
      </c>
      <c r="E12" s="10">
        <v>1</v>
      </c>
      <c r="F12" s="11">
        <v>2.25</v>
      </c>
      <c r="G12" s="12">
        <v>3.25</v>
      </c>
      <c r="H12" s="13">
        <v>2.5</v>
      </c>
      <c r="I12" s="14">
        <v>8</v>
      </c>
      <c r="J12" s="14" t="s">
        <v>10</v>
      </c>
      <c r="K12" s="5" t="s">
        <v>137</v>
      </c>
      <c r="L12" s="6">
        <v>0.35416666666666669</v>
      </c>
      <c r="M12" s="7" t="s">
        <v>138</v>
      </c>
      <c r="N12" s="14" t="s">
        <v>11</v>
      </c>
      <c r="O12" s="14">
        <v>8</v>
      </c>
      <c r="P12" s="13">
        <v>0</v>
      </c>
      <c r="Q12" s="12">
        <v>5.13</v>
      </c>
      <c r="R12" s="11">
        <v>0.38</v>
      </c>
      <c r="S12" s="10">
        <v>4.75</v>
      </c>
      <c r="T12" s="8">
        <v>1</v>
      </c>
      <c r="U12" s="15">
        <v>0.88</v>
      </c>
      <c r="V12" s="8">
        <v>0.75</v>
      </c>
      <c r="W12" s="17"/>
      <c r="X12" s="18">
        <f t="shared" si="30"/>
        <v>3.5</v>
      </c>
      <c r="Y12" s="18">
        <f t="shared" si="31"/>
        <v>0.69</v>
      </c>
      <c r="Z12" s="18">
        <f t="shared" si="32"/>
        <v>4.1899999999999995</v>
      </c>
      <c r="AA12" s="18">
        <f t="shared" si="33"/>
        <v>2.81</v>
      </c>
      <c r="AB12" s="24">
        <f t="shared" si="34"/>
        <v>1</v>
      </c>
      <c r="AC12" s="24">
        <f t="shared" si="35"/>
        <v>6</v>
      </c>
      <c r="AD12" s="19">
        <f t="shared" si="36"/>
        <v>1</v>
      </c>
      <c r="AE12" s="19">
        <f t="shared" si="37"/>
        <v>1</v>
      </c>
      <c r="AF12" s="19">
        <f t="shared" si="38"/>
        <v>1</v>
      </c>
      <c r="AG12" s="19">
        <f t="shared" si="39"/>
        <v>1</v>
      </c>
      <c r="AH12" s="19">
        <f t="shared" si="40"/>
        <v>1</v>
      </c>
      <c r="AI12" s="19">
        <f t="shared" si="41"/>
        <v>1</v>
      </c>
      <c r="AJ12" s="19">
        <f t="shared" si="42"/>
        <v>1</v>
      </c>
      <c r="AK12" s="19">
        <f t="shared" si="43"/>
        <v>1</v>
      </c>
      <c r="AL12" s="19">
        <f t="shared" si="44"/>
        <v>1</v>
      </c>
    </row>
    <row r="13" spans="1:38" ht="13.8" thickBot="1" x14ac:dyDescent="0.3">
      <c r="A13" s="4" t="s">
        <v>126</v>
      </c>
      <c r="B13" s="8">
        <v>0.33</v>
      </c>
      <c r="C13" s="9">
        <v>0.42</v>
      </c>
      <c r="D13" s="8">
        <v>0.67</v>
      </c>
      <c r="E13" s="10">
        <v>1.5</v>
      </c>
      <c r="F13" s="11">
        <v>1.25</v>
      </c>
      <c r="G13" s="12">
        <v>2.75</v>
      </c>
      <c r="H13" s="13">
        <v>1.67</v>
      </c>
      <c r="I13" s="14">
        <v>12</v>
      </c>
      <c r="J13" s="14" t="s">
        <v>10</v>
      </c>
      <c r="K13" s="5" t="s">
        <v>139</v>
      </c>
      <c r="L13" s="6">
        <v>0.3125</v>
      </c>
      <c r="M13" s="7" t="s">
        <v>140</v>
      </c>
      <c r="N13" s="14" t="s">
        <v>11</v>
      </c>
      <c r="O13" s="14">
        <v>11</v>
      </c>
      <c r="P13" s="13">
        <v>0.73</v>
      </c>
      <c r="Q13" s="12">
        <v>2.73</v>
      </c>
      <c r="R13" s="11">
        <v>0.82</v>
      </c>
      <c r="S13" s="10">
        <v>1.91</v>
      </c>
      <c r="T13" s="8">
        <v>0.73</v>
      </c>
      <c r="U13" s="15">
        <v>0.55000000000000004</v>
      </c>
      <c r="V13" s="8">
        <v>0.27</v>
      </c>
      <c r="W13" s="17"/>
      <c r="X13" s="18">
        <f t="shared" si="30"/>
        <v>1.58</v>
      </c>
      <c r="Y13" s="18">
        <f t="shared" si="31"/>
        <v>1.1599999999999999</v>
      </c>
      <c r="Z13" s="18">
        <f t="shared" si="32"/>
        <v>2.74</v>
      </c>
      <c r="AA13" s="18">
        <f t="shared" si="33"/>
        <v>0.42000000000000015</v>
      </c>
      <c r="AB13" s="24">
        <f t="shared" si="34"/>
        <v>0</v>
      </c>
      <c r="AC13" s="24">
        <f t="shared" si="35"/>
        <v>3</v>
      </c>
      <c r="AD13" s="19">
        <f t="shared" si="36"/>
        <v>0</v>
      </c>
      <c r="AE13" s="19">
        <f t="shared" si="37"/>
        <v>0</v>
      </c>
      <c r="AF13" s="19">
        <f t="shared" si="38"/>
        <v>0</v>
      </c>
      <c r="AG13" s="19">
        <f t="shared" si="39"/>
        <v>1</v>
      </c>
      <c r="AH13" s="19">
        <f t="shared" si="40"/>
        <v>0</v>
      </c>
      <c r="AI13" s="19">
        <f t="shared" si="41"/>
        <v>0</v>
      </c>
      <c r="AJ13" s="19">
        <f t="shared" si="42"/>
        <v>1</v>
      </c>
      <c r="AK13" s="19">
        <f t="shared" si="43"/>
        <v>1</v>
      </c>
      <c r="AL13" s="19">
        <f t="shared" si="44"/>
        <v>0</v>
      </c>
    </row>
    <row r="14" spans="1:38" ht="13.8" thickBot="1" x14ac:dyDescent="0.3">
      <c r="A14" s="4" t="s">
        <v>90</v>
      </c>
      <c r="B14" s="8">
        <v>0.11</v>
      </c>
      <c r="C14" s="15">
        <v>0.56000000000000005</v>
      </c>
      <c r="D14" s="8">
        <v>1</v>
      </c>
      <c r="E14" s="10">
        <v>1.1100000000000001</v>
      </c>
      <c r="F14" s="11">
        <v>1.56</v>
      </c>
      <c r="G14" s="12">
        <v>2.67</v>
      </c>
      <c r="H14" s="13">
        <v>1.44</v>
      </c>
      <c r="I14" s="14">
        <v>9</v>
      </c>
      <c r="J14" s="14" t="s">
        <v>10</v>
      </c>
      <c r="K14" s="5" t="s">
        <v>141</v>
      </c>
      <c r="L14" s="6">
        <v>0.85416666666666663</v>
      </c>
      <c r="M14" s="7" t="s">
        <v>142</v>
      </c>
      <c r="N14" s="14" t="s">
        <v>11</v>
      </c>
      <c r="O14" s="14">
        <v>8</v>
      </c>
      <c r="P14" s="13">
        <v>0.25</v>
      </c>
      <c r="Q14" s="12">
        <v>2.13</v>
      </c>
      <c r="R14" s="11">
        <v>0.5</v>
      </c>
      <c r="S14" s="10">
        <v>1.63</v>
      </c>
      <c r="T14" s="8">
        <v>0.88</v>
      </c>
      <c r="U14" s="9">
        <v>0.25</v>
      </c>
      <c r="V14" s="8">
        <v>0</v>
      </c>
      <c r="W14" s="17"/>
      <c r="X14" s="18">
        <f t="shared" si="30"/>
        <v>1.595</v>
      </c>
      <c r="Y14" s="18">
        <f t="shared" si="31"/>
        <v>0.80500000000000005</v>
      </c>
      <c r="Z14" s="18">
        <f t="shared" si="32"/>
        <v>2.4</v>
      </c>
      <c r="AA14" s="18">
        <f t="shared" si="33"/>
        <v>0.78999999999999992</v>
      </c>
      <c r="AB14" s="24">
        <f t="shared" si="34"/>
        <v>0</v>
      </c>
      <c r="AC14" s="24">
        <f t="shared" si="35"/>
        <v>5</v>
      </c>
      <c r="AD14" s="19">
        <f t="shared" si="36"/>
        <v>0</v>
      </c>
      <c r="AE14" s="19">
        <f t="shared" si="37"/>
        <v>0</v>
      </c>
      <c r="AF14" s="19">
        <f t="shared" si="38"/>
        <v>0</v>
      </c>
      <c r="AG14" s="19">
        <f t="shared" si="39"/>
        <v>1</v>
      </c>
      <c r="AH14" s="19">
        <f t="shared" si="40"/>
        <v>1</v>
      </c>
      <c r="AI14" s="19">
        <f t="shared" si="41"/>
        <v>1</v>
      </c>
      <c r="AJ14" s="19">
        <f t="shared" si="42"/>
        <v>1</v>
      </c>
      <c r="AK14" s="19">
        <f t="shared" si="43"/>
        <v>1</v>
      </c>
      <c r="AL14" s="19">
        <f t="shared" si="44"/>
        <v>0</v>
      </c>
    </row>
    <row r="15" spans="1:38" ht="13.8" thickBot="1" x14ac:dyDescent="0.3">
      <c r="A15" s="4" t="s">
        <v>90</v>
      </c>
      <c r="B15" s="8">
        <v>0.33</v>
      </c>
      <c r="C15" s="15">
        <v>0.78</v>
      </c>
      <c r="D15" s="8">
        <v>0.78</v>
      </c>
      <c r="E15" s="10">
        <v>1.1100000000000001</v>
      </c>
      <c r="F15" s="11">
        <v>1.89</v>
      </c>
      <c r="G15" s="12">
        <v>3</v>
      </c>
      <c r="H15" s="13">
        <v>2.44</v>
      </c>
      <c r="I15" s="14">
        <v>9</v>
      </c>
      <c r="J15" s="14" t="s">
        <v>10</v>
      </c>
      <c r="K15" s="5" t="s">
        <v>143</v>
      </c>
      <c r="L15" s="6">
        <v>0.875</v>
      </c>
      <c r="M15" s="7" t="s">
        <v>144</v>
      </c>
      <c r="N15" s="14" t="s">
        <v>11</v>
      </c>
      <c r="O15" s="14">
        <v>9</v>
      </c>
      <c r="P15" s="13">
        <v>1.44</v>
      </c>
      <c r="Q15" s="12">
        <v>2.11</v>
      </c>
      <c r="R15" s="11">
        <v>1</v>
      </c>
      <c r="S15" s="10">
        <v>1.1100000000000001</v>
      </c>
      <c r="T15" s="8">
        <v>0.78</v>
      </c>
      <c r="U15" s="9">
        <v>0.33</v>
      </c>
      <c r="V15" s="8">
        <v>0</v>
      </c>
      <c r="W15" s="17"/>
      <c r="X15" s="18">
        <f t="shared" si="30"/>
        <v>1.5</v>
      </c>
      <c r="Y15" s="18">
        <f t="shared" si="31"/>
        <v>1.0550000000000002</v>
      </c>
      <c r="Z15" s="18">
        <f t="shared" si="32"/>
        <v>2.5550000000000002</v>
      </c>
      <c r="AA15" s="18">
        <f t="shared" si="33"/>
        <v>0.44499999999999984</v>
      </c>
      <c r="AB15" s="24">
        <f t="shared" si="34"/>
        <v>0</v>
      </c>
      <c r="AC15" s="24">
        <f t="shared" si="35"/>
        <v>5</v>
      </c>
      <c r="AD15" s="19">
        <f t="shared" si="36"/>
        <v>0</v>
      </c>
      <c r="AE15" s="19">
        <f t="shared" si="37"/>
        <v>0</v>
      </c>
      <c r="AF15" s="19">
        <f t="shared" si="38"/>
        <v>0</v>
      </c>
      <c r="AG15" s="19">
        <f t="shared" si="39"/>
        <v>1</v>
      </c>
      <c r="AH15" s="19">
        <f t="shared" si="40"/>
        <v>1</v>
      </c>
      <c r="AI15" s="19">
        <f t="shared" si="41"/>
        <v>1</v>
      </c>
      <c r="AJ15" s="19">
        <f t="shared" si="42"/>
        <v>1</v>
      </c>
      <c r="AK15" s="19">
        <f t="shared" si="43"/>
        <v>0</v>
      </c>
      <c r="AL15" s="19">
        <f t="shared" si="44"/>
        <v>1</v>
      </c>
    </row>
    <row r="16" spans="1:38" ht="13.8" thickBot="1" x14ac:dyDescent="0.3">
      <c r="A16" s="4" t="s">
        <v>90</v>
      </c>
      <c r="B16" s="8">
        <v>0.22</v>
      </c>
      <c r="C16" s="15">
        <v>0.56000000000000005</v>
      </c>
      <c r="D16" s="8">
        <v>0.67</v>
      </c>
      <c r="E16" s="10">
        <v>1.22</v>
      </c>
      <c r="F16" s="11">
        <v>1.22</v>
      </c>
      <c r="G16" s="12">
        <v>2.44</v>
      </c>
      <c r="H16" s="13">
        <v>1.33</v>
      </c>
      <c r="I16" s="14">
        <v>9</v>
      </c>
      <c r="J16" s="14" t="s">
        <v>10</v>
      </c>
      <c r="K16" s="5" t="s">
        <v>145</v>
      </c>
      <c r="L16" s="6">
        <v>0.875</v>
      </c>
      <c r="M16" s="7" t="s">
        <v>146</v>
      </c>
      <c r="N16" s="14" t="s">
        <v>11</v>
      </c>
      <c r="O16" s="14">
        <v>9</v>
      </c>
      <c r="P16" s="13">
        <v>0.44</v>
      </c>
      <c r="Q16" s="12">
        <v>1.89</v>
      </c>
      <c r="R16" s="11">
        <v>0.56000000000000005</v>
      </c>
      <c r="S16" s="10">
        <v>1.33</v>
      </c>
      <c r="T16" s="8">
        <v>0.78</v>
      </c>
      <c r="U16" s="9">
        <v>0.33</v>
      </c>
      <c r="V16" s="8">
        <v>0</v>
      </c>
      <c r="W16" s="17"/>
      <c r="X16" s="18">
        <f t="shared" si="30"/>
        <v>1.2749999999999999</v>
      </c>
      <c r="Y16" s="18">
        <f t="shared" si="31"/>
        <v>0.89</v>
      </c>
      <c r="Z16" s="18">
        <f t="shared" si="32"/>
        <v>2.165</v>
      </c>
      <c r="AA16" s="18">
        <f t="shared" si="33"/>
        <v>0.3849999999999999</v>
      </c>
      <c r="AB16" s="24">
        <f t="shared" si="34"/>
        <v>0</v>
      </c>
      <c r="AC16" s="24">
        <f t="shared" si="35"/>
        <v>3</v>
      </c>
      <c r="AD16" s="19">
        <f t="shared" si="36"/>
        <v>0</v>
      </c>
      <c r="AE16" s="19">
        <f t="shared" si="37"/>
        <v>0</v>
      </c>
      <c r="AF16" s="19">
        <f t="shared" si="38"/>
        <v>0</v>
      </c>
      <c r="AG16" s="19">
        <f t="shared" si="39"/>
        <v>1</v>
      </c>
      <c r="AH16" s="19">
        <f t="shared" si="40"/>
        <v>0</v>
      </c>
      <c r="AI16" s="19">
        <f t="shared" si="41"/>
        <v>1</v>
      </c>
      <c r="AJ16" s="19">
        <f t="shared" si="42"/>
        <v>1</v>
      </c>
      <c r="AK16" s="19">
        <f t="shared" si="43"/>
        <v>0</v>
      </c>
      <c r="AL16" s="19">
        <f t="shared" si="44"/>
        <v>0</v>
      </c>
    </row>
    <row r="17" spans="1:38" ht="13.8" thickBot="1" x14ac:dyDescent="0.3">
      <c r="A17" s="4" t="s">
        <v>90</v>
      </c>
      <c r="B17" s="8">
        <v>0</v>
      </c>
      <c r="C17" s="15">
        <v>0.62</v>
      </c>
      <c r="D17" s="8">
        <v>0.75</v>
      </c>
      <c r="E17" s="10">
        <v>1.63</v>
      </c>
      <c r="F17" s="11">
        <v>0.63</v>
      </c>
      <c r="G17" s="12">
        <v>2.25</v>
      </c>
      <c r="H17" s="13">
        <v>0.25</v>
      </c>
      <c r="I17" s="14">
        <v>8</v>
      </c>
      <c r="J17" s="14" t="s">
        <v>10</v>
      </c>
      <c r="K17" s="5" t="s">
        <v>147</v>
      </c>
      <c r="L17" s="6">
        <v>0.83333333333333337</v>
      </c>
      <c r="M17" s="7" t="s">
        <v>148</v>
      </c>
      <c r="N17" s="14" t="s">
        <v>11</v>
      </c>
      <c r="O17" s="14">
        <v>8</v>
      </c>
      <c r="P17" s="13">
        <v>0.75</v>
      </c>
      <c r="Q17" s="12">
        <v>1.88</v>
      </c>
      <c r="R17" s="11">
        <v>0.63</v>
      </c>
      <c r="S17" s="10">
        <v>1.25</v>
      </c>
      <c r="T17" s="8">
        <v>0.88</v>
      </c>
      <c r="U17" s="9">
        <v>0.12</v>
      </c>
      <c r="V17" s="8">
        <v>0</v>
      </c>
      <c r="W17" s="17"/>
      <c r="X17" s="18">
        <f t="shared" si="30"/>
        <v>0.94</v>
      </c>
      <c r="Y17" s="18">
        <f t="shared" si="31"/>
        <v>1.1299999999999999</v>
      </c>
      <c r="Z17" s="18">
        <f t="shared" si="32"/>
        <v>2.0699999999999998</v>
      </c>
      <c r="AA17" s="18">
        <f t="shared" si="33"/>
        <v>0.18999999999999995</v>
      </c>
      <c r="AB17" s="24">
        <f t="shared" si="34"/>
        <v>0</v>
      </c>
      <c r="AC17" s="24">
        <f t="shared" si="35"/>
        <v>4</v>
      </c>
      <c r="AD17" s="19">
        <f t="shared" si="36"/>
        <v>0</v>
      </c>
      <c r="AE17" s="19">
        <f t="shared" si="37"/>
        <v>0</v>
      </c>
      <c r="AF17" s="19">
        <f t="shared" si="38"/>
        <v>0</v>
      </c>
      <c r="AG17" s="19">
        <f t="shared" si="39"/>
        <v>1</v>
      </c>
      <c r="AH17" s="19">
        <f t="shared" si="40"/>
        <v>0</v>
      </c>
      <c r="AI17" s="19">
        <f t="shared" si="41"/>
        <v>1</v>
      </c>
      <c r="AJ17" s="19">
        <f t="shared" si="42"/>
        <v>1</v>
      </c>
      <c r="AK17" s="19">
        <f t="shared" si="43"/>
        <v>1</v>
      </c>
      <c r="AL17" s="19">
        <f t="shared" si="44"/>
        <v>0</v>
      </c>
    </row>
    <row r="18" spans="1:38" ht="13.8" thickBot="1" x14ac:dyDescent="0.3">
      <c r="A18" s="4" t="s">
        <v>90</v>
      </c>
      <c r="B18" s="8">
        <v>0</v>
      </c>
      <c r="C18" s="9">
        <v>0.22</v>
      </c>
      <c r="D18" s="8">
        <v>0.44</v>
      </c>
      <c r="E18" s="10">
        <v>0.11</v>
      </c>
      <c r="F18" s="11">
        <v>1.33</v>
      </c>
      <c r="G18" s="12">
        <v>1.44</v>
      </c>
      <c r="H18" s="13">
        <v>2.2200000000000002</v>
      </c>
      <c r="I18" s="14">
        <v>9</v>
      </c>
      <c r="J18" s="14" t="s">
        <v>10</v>
      </c>
      <c r="K18" s="5" t="s">
        <v>149</v>
      </c>
      <c r="L18" s="6">
        <v>0.83333333333333337</v>
      </c>
      <c r="M18" s="7" t="s">
        <v>150</v>
      </c>
      <c r="N18" s="14" t="s">
        <v>11</v>
      </c>
      <c r="O18" s="14">
        <v>8</v>
      </c>
      <c r="P18" s="13">
        <v>1.25</v>
      </c>
      <c r="Q18" s="12">
        <v>1.38</v>
      </c>
      <c r="R18" s="11">
        <v>0.75</v>
      </c>
      <c r="S18" s="10">
        <v>0.63</v>
      </c>
      <c r="T18" s="8">
        <v>0.38</v>
      </c>
      <c r="U18" s="9">
        <v>0.25</v>
      </c>
      <c r="V18" s="8">
        <v>0.12</v>
      </c>
      <c r="W18" s="17"/>
      <c r="X18" s="18">
        <f t="shared" si="30"/>
        <v>0.98</v>
      </c>
      <c r="Y18" s="18">
        <f t="shared" si="31"/>
        <v>0.43</v>
      </c>
      <c r="Z18" s="18">
        <f t="shared" si="32"/>
        <v>1.41</v>
      </c>
      <c r="AA18" s="18">
        <f t="shared" si="33"/>
        <v>0.55000000000000004</v>
      </c>
      <c r="AB18" s="24">
        <f t="shared" si="34"/>
        <v>0</v>
      </c>
      <c r="AC18" s="24">
        <f t="shared" si="35"/>
        <v>2</v>
      </c>
      <c r="AD18" s="19">
        <f t="shared" si="36"/>
        <v>0</v>
      </c>
      <c r="AE18" s="19">
        <f t="shared" si="37"/>
        <v>0</v>
      </c>
      <c r="AF18" s="19">
        <f t="shared" si="38"/>
        <v>0</v>
      </c>
      <c r="AG18" s="19">
        <f t="shared" si="39"/>
        <v>0</v>
      </c>
      <c r="AH18" s="19">
        <f t="shared" si="40"/>
        <v>0</v>
      </c>
      <c r="AI18" s="19">
        <f t="shared" si="41"/>
        <v>1</v>
      </c>
      <c r="AJ18" s="19">
        <f t="shared" si="42"/>
        <v>1</v>
      </c>
      <c r="AK18" s="19">
        <f t="shared" si="43"/>
        <v>0</v>
      </c>
      <c r="AL18" s="19">
        <f t="shared" si="44"/>
        <v>0</v>
      </c>
    </row>
    <row r="19" spans="1:38" ht="13.8" thickBot="1" x14ac:dyDescent="0.3">
      <c r="A19" s="4" t="s">
        <v>90</v>
      </c>
      <c r="B19" s="8">
        <v>0.11</v>
      </c>
      <c r="C19" s="9">
        <v>0.33</v>
      </c>
      <c r="D19" s="8">
        <v>0.56000000000000005</v>
      </c>
      <c r="E19" s="10">
        <v>0.89</v>
      </c>
      <c r="F19" s="11">
        <v>1</v>
      </c>
      <c r="G19" s="12">
        <v>1.89</v>
      </c>
      <c r="H19" s="13">
        <v>1.1100000000000001</v>
      </c>
      <c r="I19" s="14">
        <v>9</v>
      </c>
      <c r="J19" s="14" t="s">
        <v>10</v>
      </c>
      <c r="K19" s="5" t="s">
        <v>151</v>
      </c>
      <c r="L19" s="6">
        <v>0.83333333333333337</v>
      </c>
      <c r="M19" s="7" t="s">
        <v>152</v>
      </c>
      <c r="N19" s="14" t="s">
        <v>11</v>
      </c>
      <c r="O19" s="14">
        <v>8</v>
      </c>
      <c r="P19" s="13">
        <v>0.5</v>
      </c>
      <c r="Q19" s="12">
        <v>2.88</v>
      </c>
      <c r="R19" s="11">
        <v>1</v>
      </c>
      <c r="S19" s="10">
        <v>1.88</v>
      </c>
      <c r="T19" s="8">
        <v>0.75</v>
      </c>
      <c r="U19" s="15">
        <v>0.62</v>
      </c>
      <c r="V19" s="8">
        <v>0.38</v>
      </c>
      <c r="W19" s="17"/>
      <c r="X19" s="18">
        <f t="shared" si="30"/>
        <v>1.44</v>
      </c>
      <c r="Y19" s="18">
        <f t="shared" si="31"/>
        <v>0.94500000000000006</v>
      </c>
      <c r="Z19" s="18">
        <f t="shared" si="32"/>
        <v>2.3849999999999998</v>
      </c>
      <c r="AA19" s="18">
        <f t="shared" si="33"/>
        <v>0.49499999999999988</v>
      </c>
      <c r="AB19" s="24">
        <f t="shared" si="34"/>
        <v>0</v>
      </c>
      <c r="AC19" s="24">
        <f t="shared" si="35"/>
        <v>4</v>
      </c>
      <c r="AD19" s="19">
        <f t="shared" si="36"/>
        <v>0</v>
      </c>
      <c r="AE19" s="19">
        <f t="shared" si="37"/>
        <v>0</v>
      </c>
      <c r="AF19" s="19">
        <f t="shared" si="38"/>
        <v>0</v>
      </c>
      <c r="AG19" s="19">
        <f t="shared" si="39"/>
        <v>1</v>
      </c>
      <c r="AH19" s="19">
        <f t="shared" si="40"/>
        <v>0</v>
      </c>
      <c r="AI19" s="19">
        <f t="shared" si="41"/>
        <v>1</v>
      </c>
      <c r="AJ19" s="19">
        <f t="shared" si="42"/>
        <v>1</v>
      </c>
      <c r="AK19" s="19">
        <f t="shared" si="43"/>
        <v>1</v>
      </c>
      <c r="AL19" s="19">
        <f t="shared" si="44"/>
        <v>0</v>
      </c>
    </row>
    <row r="20" spans="1:38" ht="13.8" thickBot="1" x14ac:dyDescent="0.3">
      <c r="A20" s="4" t="s">
        <v>91</v>
      </c>
      <c r="B20" s="8">
        <v>0.2</v>
      </c>
      <c r="C20" s="15">
        <v>0.6</v>
      </c>
      <c r="D20" s="8">
        <v>0.8</v>
      </c>
      <c r="E20" s="10">
        <v>1.6</v>
      </c>
      <c r="F20" s="11">
        <v>1.8</v>
      </c>
      <c r="G20" s="12">
        <v>3.4</v>
      </c>
      <c r="H20" s="13">
        <v>2</v>
      </c>
      <c r="I20" s="14">
        <v>5</v>
      </c>
      <c r="J20" s="14" t="s">
        <v>10</v>
      </c>
      <c r="K20" s="5" t="s">
        <v>153</v>
      </c>
      <c r="L20" s="6">
        <v>0.875</v>
      </c>
      <c r="M20" s="7" t="s">
        <v>154</v>
      </c>
      <c r="N20" s="14" t="s">
        <v>11</v>
      </c>
      <c r="O20" s="14">
        <v>5</v>
      </c>
      <c r="P20" s="13">
        <v>1</v>
      </c>
      <c r="Q20" s="12">
        <v>2.6</v>
      </c>
      <c r="R20" s="11">
        <v>0.8</v>
      </c>
      <c r="S20" s="10">
        <v>1.8</v>
      </c>
      <c r="T20" s="8">
        <v>0.8</v>
      </c>
      <c r="U20" s="9">
        <v>0.4</v>
      </c>
      <c r="V20" s="8">
        <v>0.4</v>
      </c>
      <c r="W20" s="17"/>
      <c r="X20" s="18">
        <f t="shared" si="30"/>
        <v>1.8</v>
      </c>
      <c r="Y20" s="18">
        <f t="shared" si="31"/>
        <v>1.2000000000000002</v>
      </c>
      <c r="Z20" s="18">
        <f t="shared" si="32"/>
        <v>3</v>
      </c>
      <c r="AA20" s="18">
        <f t="shared" si="33"/>
        <v>0.59999999999999987</v>
      </c>
      <c r="AB20" s="24">
        <f t="shared" si="34"/>
        <v>0</v>
      </c>
      <c r="AC20" s="24">
        <f t="shared" si="35"/>
        <v>5</v>
      </c>
      <c r="AD20" s="19">
        <f t="shared" si="36"/>
        <v>0</v>
      </c>
      <c r="AE20" s="19">
        <f t="shared" si="37"/>
        <v>1</v>
      </c>
      <c r="AF20" s="19">
        <f t="shared" si="38"/>
        <v>1</v>
      </c>
      <c r="AG20" s="19">
        <f t="shared" si="39"/>
        <v>1</v>
      </c>
      <c r="AH20" s="19">
        <f t="shared" si="40"/>
        <v>1</v>
      </c>
      <c r="AI20" s="19">
        <f t="shared" si="41"/>
        <v>0</v>
      </c>
      <c r="AJ20" s="19">
        <f t="shared" si="42"/>
        <v>1</v>
      </c>
      <c r="AK20" s="19">
        <f t="shared" si="43"/>
        <v>1</v>
      </c>
      <c r="AL20" s="19">
        <f t="shared" si="44"/>
        <v>1</v>
      </c>
    </row>
    <row r="21" spans="1:38" ht="19.8" thickBot="1" x14ac:dyDescent="0.3">
      <c r="A21" s="4" t="s">
        <v>91</v>
      </c>
      <c r="B21" s="8">
        <v>0.17</v>
      </c>
      <c r="C21" s="9">
        <v>0.5</v>
      </c>
      <c r="D21" s="8">
        <v>0.67</v>
      </c>
      <c r="E21" s="10">
        <v>1.17</v>
      </c>
      <c r="F21" s="11">
        <v>1.17</v>
      </c>
      <c r="G21" s="12">
        <v>2.33</v>
      </c>
      <c r="H21" s="13">
        <v>1.17</v>
      </c>
      <c r="I21" s="14">
        <v>6</v>
      </c>
      <c r="J21" s="14" t="s">
        <v>10</v>
      </c>
      <c r="K21" s="5" t="s">
        <v>155</v>
      </c>
      <c r="L21" s="6">
        <v>0.875</v>
      </c>
      <c r="M21" s="7" t="s">
        <v>156</v>
      </c>
      <c r="N21" s="14" t="s">
        <v>11</v>
      </c>
      <c r="O21" s="14">
        <v>5</v>
      </c>
      <c r="P21" s="13">
        <v>0.8</v>
      </c>
      <c r="Q21" s="12">
        <v>2.6</v>
      </c>
      <c r="R21" s="11">
        <v>1.2</v>
      </c>
      <c r="S21" s="10">
        <v>1.4</v>
      </c>
      <c r="T21" s="8">
        <v>0.6</v>
      </c>
      <c r="U21" s="9">
        <v>0.4</v>
      </c>
      <c r="V21" s="8">
        <v>0.4</v>
      </c>
      <c r="W21" s="17"/>
      <c r="X21" s="18">
        <f t="shared" si="30"/>
        <v>1.2849999999999999</v>
      </c>
      <c r="Y21" s="18">
        <f t="shared" si="31"/>
        <v>1.1850000000000001</v>
      </c>
      <c r="Z21" s="18">
        <f t="shared" si="32"/>
        <v>2.4699999999999998</v>
      </c>
      <c r="AA21" s="18">
        <f t="shared" si="33"/>
        <v>9.9999999999999867E-2</v>
      </c>
      <c r="AB21" s="24">
        <f t="shared" si="34"/>
        <v>0</v>
      </c>
      <c r="AC21" s="24">
        <f t="shared" si="35"/>
        <v>4</v>
      </c>
      <c r="AD21" s="19">
        <f t="shared" si="36"/>
        <v>0</v>
      </c>
      <c r="AE21" s="19">
        <f t="shared" si="37"/>
        <v>0</v>
      </c>
      <c r="AF21" s="19">
        <f t="shared" si="38"/>
        <v>0</v>
      </c>
      <c r="AG21" s="19">
        <f t="shared" si="39"/>
        <v>1</v>
      </c>
      <c r="AH21" s="19">
        <f t="shared" si="40"/>
        <v>0</v>
      </c>
      <c r="AI21" s="19">
        <f t="shared" si="41"/>
        <v>1</v>
      </c>
      <c r="AJ21" s="19">
        <f t="shared" si="42"/>
        <v>1</v>
      </c>
      <c r="AK21" s="19">
        <f t="shared" si="43"/>
        <v>1</v>
      </c>
      <c r="AL21" s="19">
        <f t="shared" si="44"/>
        <v>0</v>
      </c>
    </row>
    <row r="22" spans="1:38" ht="19.8" thickBot="1" x14ac:dyDescent="0.3">
      <c r="A22" s="4" t="s">
        <v>157</v>
      </c>
      <c r="B22" s="8">
        <v>0.22</v>
      </c>
      <c r="C22" s="9">
        <v>0.33</v>
      </c>
      <c r="D22" s="8">
        <v>0.78</v>
      </c>
      <c r="E22" s="10">
        <v>0.89</v>
      </c>
      <c r="F22" s="11">
        <v>1.33</v>
      </c>
      <c r="G22" s="12">
        <v>2.2200000000000002</v>
      </c>
      <c r="H22" s="13">
        <v>1.67</v>
      </c>
      <c r="I22" s="14">
        <v>9</v>
      </c>
      <c r="J22" s="14" t="s">
        <v>10</v>
      </c>
      <c r="K22" s="5" t="s">
        <v>158</v>
      </c>
      <c r="L22" s="6">
        <v>0.375</v>
      </c>
      <c r="M22" s="7" t="s">
        <v>111</v>
      </c>
      <c r="N22" s="14" t="s">
        <v>11</v>
      </c>
      <c r="O22" s="14">
        <v>9</v>
      </c>
      <c r="P22" s="13">
        <v>2.2200000000000002</v>
      </c>
      <c r="Q22" s="12">
        <v>3.11</v>
      </c>
      <c r="R22" s="11">
        <v>1.78</v>
      </c>
      <c r="S22" s="10">
        <v>1.33</v>
      </c>
      <c r="T22" s="8">
        <v>0.78</v>
      </c>
      <c r="U22" s="15">
        <v>0.56000000000000005</v>
      </c>
      <c r="V22" s="8">
        <v>0.33</v>
      </c>
      <c r="W22" s="17"/>
      <c r="X22" s="18">
        <f t="shared" si="30"/>
        <v>1.33</v>
      </c>
      <c r="Y22" s="18">
        <f t="shared" si="31"/>
        <v>1.335</v>
      </c>
      <c r="Z22" s="18">
        <f t="shared" si="32"/>
        <v>2.665</v>
      </c>
      <c r="AA22" s="18">
        <f t="shared" si="33"/>
        <v>4.9999999999998934E-3</v>
      </c>
      <c r="AB22" s="24">
        <f t="shared" si="34"/>
        <v>0</v>
      </c>
      <c r="AC22" s="24">
        <f t="shared" si="35"/>
        <v>2</v>
      </c>
      <c r="AD22" s="19">
        <f t="shared" si="36"/>
        <v>0</v>
      </c>
      <c r="AE22" s="19">
        <f t="shared" si="37"/>
        <v>0</v>
      </c>
      <c r="AF22" s="19">
        <f t="shared" si="38"/>
        <v>0</v>
      </c>
      <c r="AG22" s="19">
        <f t="shared" si="39"/>
        <v>0</v>
      </c>
      <c r="AH22" s="19">
        <f t="shared" si="40"/>
        <v>1</v>
      </c>
      <c r="AI22" s="19">
        <f t="shared" si="41"/>
        <v>0</v>
      </c>
      <c r="AJ22" s="19">
        <f t="shared" si="42"/>
        <v>1</v>
      </c>
      <c r="AK22" s="19">
        <f t="shared" si="43"/>
        <v>0</v>
      </c>
      <c r="AL22" s="19">
        <f t="shared" si="44"/>
        <v>0</v>
      </c>
    </row>
    <row r="23" spans="1:38" ht="19.8" thickBot="1" x14ac:dyDescent="0.3">
      <c r="A23" s="4" t="s">
        <v>157</v>
      </c>
      <c r="B23" s="8">
        <v>0.33</v>
      </c>
      <c r="C23" s="15">
        <v>0.67</v>
      </c>
      <c r="D23" s="8">
        <v>0.89</v>
      </c>
      <c r="E23" s="10">
        <v>1.44</v>
      </c>
      <c r="F23" s="11">
        <v>1.89</v>
      </c>
      <c r="G23" s="12">
        <v>3.33</v>
      </c>
      <c r="H23" s="13">
        <v>1.56</v>
      </c>
      <c r="I23" s="14">
        <v>9</v>
      </c>
      <c r="J23" s="14" t="s">
        <v>10</v>
      </c>
      <c r="K23" s="5" t="s">
        <v>159</v>
      </c>
      <c r="L23" s="6">
        <v>0.39930555555555558</v>
      </c>
      <c r="M23" s="7" t="s">
        <v>160</v>
      </c>
      <c r="N23" s="14" t="s">
        <v>11</v>
      </c>
      <c r="O23" s="14">
        <v>8</v>
      </c>
      <c r="P23" s="13">
        <v>0.63</v>
      </c>
      <c r="Q23" s="12">
        <v>3</v>
      </c>
      <c r="R23" s="11">
        <v>1.1299999999999999</v>
      </c>
      <c r="S23" s="10">
        <v>1.88</v>
      </c>
      <c r="T23" s="8">
        <v>0.75</v>
      </c>
      <c r="U23" s="15">
        <v>0.62</v>
      </c>
      <c r="V23" s="8">
        <v>0.5</v>
      </c>
      <c r="W23" s="17"/>
      <c r="X23" s="18">
        <f t="shared" si="30"/>
        <v>1.8849999999999998</v>
      </c>
      <c r="Y23" s="18">
        <f t="shared" si="31"/>
        <v>1.2849999999999999</v>
      </c>
      <c r="Z23" s="18">
        <f t="shared" si="32"/>
        <v>3.17</v>
      </c>
      <c r="AA23" s="18">
        <f t="shared" si="33"/>
        <v>0.59999999999999987</v>
      </c>
      <c r="AB23" s="24">
        <f t="shared" si="34"/>
        <v>1</v>
      </c>
      <c r="AC23" s="24">
        <f t="shared" si="35"/>
        <v>5</v>
      </c>
      <c r="AD23" s="19">
        <f t="shared" si="36"/>
        <v>0</v>
      </c>
      <c r="AE23" s="19">
        <f t="shared" si="37"/>
        <v>1</v>
      </c>
      <c r="AF23" s="19">
        <f t="shared" si="38"/>
        <v>1</v>
      </c>
      <c r="AG23" s="19">
        <f t="shared" si="39"/>
        <v>1</v>
      </c>
      <c r="AH23" s="19">
        <f t="shared" si="40"/>
        <v>1</v>
      </c>
      <c r="AI23" s="19">
        <f t="shared" si="41"/>
        <v>0</v>
      </c>
      <c r="AJ23" s="19">
        <f t="shared" si="42"/>
        <v>1</v>
      </c>
      <c r="AK23" s="19">
        <f t="shared" si="43"/>
        <v>1</v>
      </c>
      <c r="AL23" s="19">
        <f t="shared" si="44"/>
        <v>1</v>
      </c>
    </row>
    <row r="24" spans="1:38" ht="19.8" thickBot="1" x14ac:dyDescent="0.3">
      <c r="A24" s="4" t="s">
        <v>157</v>
      </c>
      <c r="B24" s="8">
        <v>0.12</v>
      </c>
      <c r="C24" s="9">
        <v>0.5</v>
      </c>
      <c r="D24" s="8">
        <v>0.75</v>
      </c>
      <c r="E24" s="10">
        <v>1.25</v>
      </c>
      <c r="F24" s="11">
        <v>1.1299999999999999</v>
      </c>
      <c r="G24" s="12">
        <v>2.38</v>
      </c>
      <c r="H24" s="13">
        <v>1.25</v>
      </c>
      <c r="I24" s="14">
        <v>8</v>
      </c>
      <c r="J24" s="14" t="s">
        <v>10</v>
      </c>
      <c r="K24" s="5" t="s">
        <v>161</v>
      </c>
      <c r="L24" s="6">
        <v>0.39930555555555558</v>
      </c>
      <c r="M24" s="7" t="s">
        <v>162</v>
      </c>
      <c r="N24" s="14" t="s">
        <v>11</v>
      </c>
      <c r="O24" s="14">
        <v>9</v>
      </c>
      <c r="P24" s="13">
        <v>0.44</v>
      </c>
      <c r="Q24" s="12">
        <v>3.56</v>
      </c>
      <c r="R24" s="11">
        <v>1.33</v>
      </c>
      <c r="S24" s="10">
        <v>2.2200000000000002</v>
      </c>
      <c r="T24" s="8">
        <v>0.89</v>
      </c>
      <c r="U24" s="15">
        <v>0.67</v>
      </c>
      <c r="V24" s="8">
        <v>0.56000000000000005</v>
      </c>
      <c r="W24" s="17"/>
      <c r="X24" s="18">
        <f t="shared" si="30"/>
        <v>1.675</v>
      </c>
      <c r="Y24" s="18">
        <f t="shared" si="31"/>
        <v>1.29</v>
      </c>
      <c r="Z24" s="18">
        <f t="shared" si="32"/>
        <v>2.9649999999999999</v>
      </c>
      <c r="AA24" s="18">
        <f t="shared" si="33"/>
        <v>0.38500000000000001</v>
      </c>
      <c r="AB24" s="24">
        <f t="shared" si="34"/>
        <v>1</v>
      </c>
      <c r="AC24" s="24">
        <f t="shared" si="35"/>
        <v>5</v>
      </c>
      <c r="AD24" s="19">
        <f t="shared" si="36"/>
        <v>0</v>
      </c>
      <c r="AE24" s="19">
        <f t="shared" si="37"/>
        <v>0</v>
      </c>
      <c r="AF24" s="19">
        <f t="shared" si="38"/>
        <v>1</v>
      </c>
      <c r="AG24" s="19">
        <f t="shared" si="39"/>
        <v>1</v>
      </c>
      <c r="AH24" s="19">
        <f t="shared" si="40"/>
        <v>0</v>
      </c>
      <c r="AI24" s="19">
        <f t="shared" si="41"/>
        <v>1</v>
      </c>
      <c r="AJ24" s="19">
        <f t="shared" si="42"/>
        <v>1</v>
      </c>
      <c r="AK24" s="19">
        <f t="shared" si="43"/>
        <v>1</v>
      </c>
      <c r="AL24" s="19">
        <f t="shared" si="44"/>
        <v>1</v>
      </c>
    </row>
    <row r="25" spans="1:38" ht="19.8" thickBot="1" x14ac:dyDescent="0.3">
      <c r="A25" s="4" t="s">
        <v>157</v>
      </c>
      <c r="B25" s="8">
        <v>0.5</v>
      </c>
      <c r="C25" s="15">
        <v>0.88</v>
      </c>
      <c r="D25" s="8">
        <v>0.88</v>
      </c>
      <c r="E25" s="10">
        <v>1.63</v>
      </c>
      <c r="F25" s="11">
        <v>2</v>
      </c>
      <c r="G25" s="12">
        <v>3.63</v>
      </c>
      <c r="H25" s="13">
        <v>1.63</v>
      </c>
      <c r="I25" s="14">
        <v>8</v>
      </c>
      <c r="J25" s="14" t="s">
        <v>10</v>
      </c>
      <c r="K25" s="5" t="s">
        <v>163</v>
      </c>
      <c r="L25" s="6">
        <v>0.41666666666666669</v>
      </c>
      <c r="M25" s="7" t="s">
        <v>164</v>
      </c>
      <c r="N25" s="14" t="s">
        <v>11</v>
      </c>
      <c r="O25" s="14">
        <v>9</v>
      </c>
      <c r="P25" s="13">
        <v>0.89</v>
      </c>
      <c r="Q25" s="12">
        <v>2.67</v>
      </c>
      <c r="R25" s="11">
        <v>1.1100000000000001</v>
      </c>
      <c r="S25" s="10">
        <v>1.56</v>
      </c>
      <c r="T25" s="8">
        <v>0.67</v>
      </c>
      <c r="U25" s="15">
        <v>0.56000000000000005</v>
      </c>
      <c r="V25" s="8">
        <v>0.33</v>
      </c>
      <c r="W25" s="17"/>
      <c r="X25" s="18">
        <f t="shared" si="30"/>
        <v>1.78</v>
      </c>
      <c r="Y25" s="18">
        <f t="shared" si="31"/>
        <v>1.37</v>
      </c>
      <c r="Z25" s="18">
        <f t="shared" si="32"/>
        <v>3.1500000000000004</v>
      </c>
      <c r="AA25" s="18">
        <f t="shared" si="33"/>
        <v>0.40999999999999992</v>
      </c>
      <c r="AB25" s="24">
        <f t="shared" si="34"/>
        <v>1</v>
      </c>
      <c r="AC25" s="24">
        <f t="shared" si="35"/>
        <v>5</v>
      </c>
      <c r="AD25" s="19">
        <f t="shared" si="36"/>
        <v>0</v>
      </c>
      <c r="AE25" s="19">
        <f t="shared" si="37"/>
        <v>1</v>
      </c>
      <c r="AF25" s="19">
        <f t="shared" si="38"/>
        <v>1</v>
      </c>
      <c r="AG25" s="19">
        <f t="shared" si="39"/>
        <v>1</v>
      </c>
      <c r="AH25" s="19">
        <f t="shared" si="40"/>
        <v>1</v>
      </c>
      <c r="AI25" s="19">
        <f t="shared" si="41"/>
        <v>0</v>
      </c>
      <c r="AJ25" s="19">
        <f t="shared" si="42"/>
        <v>1</v>
      </c>
      <c r="AK25" s="19">
        <f t="shared" si="43"/>
        <v>1</v>
      </c>
      <c r="AL25" s="19">
        <f t="shared" si="44"/>
        <v>1</v>
      </c>
    </row>
    <row r="26" spans="1:38" ht="19.8" thickBot="1" x14ac:dyDescent="0.3">
      <c r="A26" s="4" t="s">
        <v>157</v>
      </c>
      <c r="B26" s="8">
        <v>0.17</v>
      </c>
      <c r="C26" s="15">
        <v>0.83</v>
      </c>
      <c r="D26" s="8">
        <v>0.83</v>
      </c>
      <c r="E26" s="10">
        <v>1.67</v>
      </c>
      <c r="F26" s="11">
        <v>1.17</v>
      </c>
      <c r="G26" s="12">
        <v>2.83</v>
      </c>
      <c r="H26" s="13">
        <v>1.5</v>
      </c>
      <c r="I26" s="14">
        <v>6</v>
      </c>
      <c r="J26" s="14" t="s">
        <v>10</v>
      </c>
      <c r="K26" s="5" t="s">
        <v>165</v>
      </c>
      <c r="L26" s="6">
        <v>0.375</v>
      </c>
      <c r="M26" s="7" t="s">
        <v>166</v>
      </c>
      <c r="N26" s="14" t="s">
        <v>11</v>
      </c>
      <c r="O26" s="14">
        <v>7</v>
      </c>
      <c r="P26" s="13">
        <v>1.1399999999999999</v>
      </c>
      <c r="Q26" s="12">
        <v>3.14</v>
      </c>
      <c r="R26" s="11">
        <v>1.57</v>
      </c>
      <c r="S26" s="10">
        <v>1.57</v>
      </c>
      <c r="T26" s="8">
        <v>0.71</v>
      </c>
      <c r="U26" s="15">
        <v>0.56999999999999995</v>
      </c>
      <c r="V26" s="8">
        <v>0.43</v>
      </c>
      <c r="W26" s="17"/>
      <c r="X26" s="18">
        <f t="shared" si="30"/>
        <v>1.37</v>
      </c>
      <c r="Y26" s="18">
        <f t="shared" si="31"/>
        <v>1.62</v>
      </c>
      <c r="Z26" s="18">
        <f t="shared" si="32"/>
        <v>2.99</v>
      </c>
      <c r="AA26" s="18">
        <f t="shared" si="33"/>
        <v>0.25</v>
      </c>
      <c r="AB26" s="24">
        <f t="shared" si="34"/>
        <v>1</v>
      </c>
      <c r="AC26" s="24">
        <f t="shared" si="35"/>
        <v>3</v>
      </c>
      <c r="AD26" s="19">
        <f t="shared" si="36"/>
        <v>0</v>
      </c>
      <c r="AE26" s="19">
        <f t="shared" si="37"/>
        <v>0</v>
      </c>
      <c r="AF26" s="19">
        <f t="shared" si="38"/>
        <v>1</v>
      </c>
      <c r="AG26" s="19">
        <f t="shared" si="39"/>
        <v>1</v>
      </c>
      <c r="AH26" s="19">
        <f t="shared" si="40"/>
        <v>0</v>
      </c>
      <c r="AI26" s="19">
        <f t="shared" si="41"/>
        <v>0</v>
      </c>
      <c r="AJ26" s="19">
        <f t="shared" si="42"/>
        <v>0</v>
      </c>
      <c r="AK26" s="19">
        <f t="shared" si="43"/>
        <v>1</v>
      </c>
      <c r="AL26" s="19">
        <f t="shared" si="44"/>
        <v>1</v>
      </c>
    </row>
    <row r="27" spans="1:38" ht="19.8" thickBot="1" x14ac:dyDescent="0.3">
      <c r="A27" s="4" t="s">
        <v>157</v>
      </c>
      <c r="B27" s="8">
        <v>0.28999999999999998</v>
      </c>
      <c r="C27" s="15">
        <v>0.71</v>
      </c>
      <c r="D27" s="8">
        <v>0.71</v>
      </c>
      <c r="E27" s="10">
        <v>1.86</v>
      </c>
      <c r="F27" s="11">
        <v>0.86</v>
      </c>
      <c r="G27" s="12">
        <v>2.71</v>
      </c>
      <c r="H27" s="13">
        <v>0.56999999999999995</v>
      </c>
      <c r="I27" s="14">
        <v>7</v>
      </c>
      <c r="J27" s="14" t="s">
        <v>10</v>
      </c>
      <c r="K27" s="5" t="s">
        <v>167</v>
      </c>
      <c r="L27" s="6">
        <v>0.375</v>
      </c>
      <c r="M27" s="7" t="s">
        <v>168</v>
      </c>
      <c r="N27" s="14" t="s">
        <v>11</v>
      </c>
      <c r="O27" s="14">
        <v>7</v>
      </c>
      <c r="P27" s="13">
        <v>1.86</v>
      </c>
      <c r="Q27" s="12">
        <v>4.1399999999999997</v>
      </c>
      <c r="R27" s="11">
        <v>2.57</v>
      </c>
      <c r="S27" s="10">
        <v>1.57</v>
      </c>
      <c r="T27" s="8">
        <v>0.86</v>
      </c>
      <c r="U27" s="15">
        <v>0.86</v>
      </c>
      <c r="V27" s="8">
        <v>0.71</v>
      </c>
      <c r="W27" s="17"/>
      <c r="X27" s="18">
        <f t="shared" si="30"/>
        <v>1.2150000000000001</v>
      </c>
      <c r="Y27" s="18">
        <f t="shared" si="31"/>
        <v>2.2149999999999999</v>
      </c>
      <c r="Z27" s="18">
        <f t="shared" si="32"/>
        <v>3.4299999999999997</v>
      </c>
      <c r="AA27" s="18">
        <f t="shared" si="33"/>
        <v>0.99999999999999978</v>
      </c>
      <c r="AB27" s="24">
        <f t="shared" si="34"/>
        <v>1</v>
      </c>
      <c r="AC27" s="24">
        <f t="shared" si="35"/>
        <v>5</v>
      </c>
      <c r="AD27" s="19">
        <f t="shared" si="36"/>
        <v>0</v>
      </c>
      <c r="AE27" s="19">
        <f t="shared" si="37"/>
        <v>1</v>
      </c>
      <c r="AF27" s="19">
        <f t="shared" si="38"/>
        <v>1</v>
      </c>
      <c r="AG27" s="19">
        <f t="shared" si="39"/>
        <v>1</v>
      </c>
      <c r="AH27" s="19">
        <f t="shared" si="40"/>
        <v>1</v>
      </c>
      <c r="AI27" s="19">
        <f t="shared" si="41"/>
        <v>0</v>
      </c>
      <c r="AJ27" s="19">
        <f t="shared" si="42"/>
        <v>1</v>
      </c>
      <c r="AK27" s="19">
        <f t="shared" si="43"/>
        <v>1</v>
      </c>
      <c r="AL27" s="19">
        <f t="shared" si="44"/>
        <v>1</v>
      </c>
    </row>
    <row r="28" spans="1:38" ht="19.8" thickBot="1" x14ac:dyDescent="0.3">
      <c r="A28" s="4" t="s">
        <v>157</v>
      </c>
      <c r="B28" s="8">
        <v>0.43</v>
      </c>
      <c r="C28" s="9">
        <v>0.43</v>
      </c>
      <c r="D28" s="8">
        <v>0.86</v>
      </c>
      <c r="E28" s="10">
        <v>2.29</v>
      </c>
      <c r="F28" s="11">
        <v>0.71</v>
      </c>
      <c r="G28" s="12">
        <v>3</v>
      </c>
      <c r="H28" s="13">
        <v>0.28999999999999998</v>
      </c>
      <c r="I28" s="14">
        <v>7</v>
      </c>
      <c r="J28" s="14" t="s">
        <v>10</v>
      </c>
      <c r="K28" s="5" t="s">
        <v>169</v>
      </c>
      <c r="L28" s="6">
        <v>0.39583333333333331</v>
      </c>
      <c r="M28" s="7" t="s">
        <v>170</v>
      </c>
      <c r="N28" s="14" t="s">
        <v>11</v>
      </c>
      <c r="O28" s="14">
        <v>6</v>
      </c>
      <c r="P28" s="13">
        <v>0.83</v>
      </c>
      <c r="Q28" s="12">
        <v>1.33</v>
      </c>
      <c r="R28" s="11">
        <v>0.5</v>
      </c>
      <c r="S28" s="10">
        <v>0.83</v>
      </c>
      <c r="T28" s="8">
        <v>0.5</v>
      </c>
      <c r="U28" s="9">
        <v>0.17</v>
      </c>
      <c r="V28" s="8">
        <v>0.17</v>
      </c>
      <c r="W28" s="17"/>
      <c r="X28" s="18">
        <f t="shared" si="30"/>
        <v>0.77</v>
      </c>
      <c r="Y28" s="18">
        <f t="shared" si="31"/>
        <v>1.395</v>
      </c>
      <c r="Z28" s="18">
        <f t="shared" si="32"/>
        <v>2.165</v>
      </c>
      <c r="AA28" s="18">
        <f t="shared" si="33"/>
        <v>0.625</v>
      </c>
      <c r="AB28" s="24">
        <f t="shared" si="34"/>
        <v>0</v>
      </c>
      <c r="AC28" s="24">
        <f t="shared" si="35"/>
        <v>4</v>
      </c>
      <c r="AD28" s="19">
        <f t="shared" si="36"/>
        <v>0</v>
      </c>
      <c r="AE28" s="19">
        <f t="shared" si="37"/>
        <v>0</v>
      </c>
      <c r="AF28" s="19">
        <f t="shared" si="38"/>
        <v>0</v>
      </c>
      <c r="AG28" s="19">
        <f t="shared" si="39"/>
        <v>1</v>
      </c>
      <c r="AH28" s="19">
        <f t="shared" si="40"/>
        <v>0</v>
      </c>
      <c r="AI28" s="19">
        <f t="shared" si="41"/>
        <v>1</v>
      </c>
      <c r="AJ28" s="19">
        <f t="shared" si="42"/>
        <v>1</v>
      </c>
      <c r="AK28" s="19">
        <f t="shared" si="43"/>
        <v>1</v>
      </c>
      <c r="AL28" s="19">
        <f t="shared" si="44"/>
        <v>0</v>
      </c>
    </row>
    <row r="29" spans="1:38" ht="19.8" thickBot="1" x14ac:dyDescent="0.3">
      <c r="A29" s="4" t="s">
        <v>157</v>
      </c>
      <c r="B29" s="8">
        <v>0</v>
      </c>
      <c r="C29" s="9">
        <v>0.43</v>
      </c>
      <c r="D29" s="8">
        <v>0.56999999999999995</v>
      </c>
      <c r="E29" s="10">
        <v>1.29</v>
      </c>
      <c r="F29" s="11">
        <v>0.71</v>
      </c>
      <c r="G29" s="12">
        <v>2</v>
      </c>
      <c r="H29" s="13">
        <v>1</v>
      </c>
      <c r="I29" s="14">
        <v>7</v>
      </c>
      <c r="J29" s="14" t="s">
        <v>10</v>
      </c>
      <c r="K29" s="5" t="s">
        <v>171</v>
      </c>
      <c r="L29" s="6">
        <v>0.39583333333333331</v>
      </c>
      <c r="M29" s="7" t="s">
        <v>172</v>
      </c>
      <c r="N29" s="14" t="s">
        <v>11</v>
      </c>
      <c r="O29" s="14">
        <v>7</v>
      </c>
      <c r="P29" s="13">
        <v>1.86</v>
      </c>
      <c r="Q29" s="12">
        <v>2.57</v>
      </c>
      <c r="R29" s="11">
        <v>1.57</v>
      </c>
      <c r="S29" s="10">
        <v>1</v>
      </c>
      <c r="T29" s="8">
        <v>0.71</v>
      </c>
      <c r="U29" s="9">
        <v>0.43</v>
      </c>
      <c r="V29" s="8">
        <v>0.14000000000000001</v>
      </c>
      <c r="W29" s="17"/>
      <c r="X29" s="18">
        <f t="shared" si="30"/>
        <v>0.85499999999999998</v>
      </c>
      <c r="Y29" s="18">
        <f t="shared" si="31"/>
        <v>1.4300000000000002</v>
      </c>
      <c r="Z29" s="18">
        <f t="shared" si="32"/>
        <v>2.2850000000000001</v>
      </c>
      <c r="AA29" s="18">
        <f t="shared" si="33"/>
        <v>0.57500000000000018</v>
      </c>
      <c r="AB29" s="24">
        <f t="shared" si="34"/>
        <v>0</v>
      </c>
      <c r="AC29" s="24">
        <f t="shared" si="35"/>
        <v>4</v>
      </c>
      <c r="AD29" s="19">
        <f t="shared" si="36"/>
        <v>0</v>
      </c>
      <c r="AE29" s="19">
        <f t="shared" si="37"/>
        <v>0</v>
      </c>
      <c r="AF29" s="19">
        <f t="shared" si="38"/>
        <v>0</v>
      </c>
      <c r="AG29" s="19">
        <f t="shared" si="39"/>
        <v>1</v>
      </c>
      <c r="AH29" s="19">
        <f t="shared" si="40"/>
        <v>1</v>
      </c>
      <c r="AI29" s="19">
        <f t="shared" si="41"/>
        <v>1</v>
      </c>
      <c r="AJ29" s="19">
        <f t="shared" si="42"/>
        <v>1</v>
      </c>
      <c r="AK29" s="19">
        <f t="shared" si="43"/>
        <v>0</v>
      </c>
      <c r="AL29" s="19">
        <f t="shared" si="44"/>
        <v>0</v>
      </c>
    </row>
    <row r="30" spans="1:38" ht="13.8" thickBot="1" x14ac:dyDescent="0.3">
      <c r="A30" s="4" t="s">
        <v>88</v>
      </c>
      <c r="B30" s="8">
        <v>0.11</v>
      </c>
      <c r="C30" s="15">
        <v>0.56000000000000005</v>
      </c>
      <c r="D30" s="8">
        <v>0.89</v>
      </c>
      <c r="E30" s="10">
        <v>1.22</v>
      </c>
      <c r="F30" s="11">
        <v>1.33</v>
      </c>
      <c r="G30" s="12">
        <v>2.56</v>
      </c>
      <c r="H30" s="13">
        <v>1.33</v>
      </c>
      <c r="I30" s="14">
        <v>9</v>
      </c>
      <c r="J30" s="14" t="s">
        <v>10</v>
      </c>
      <c r="K30" s="5" t="s">
        <v>173</v>
      </c>
      <c r="L30" s="6">
        <v>0.91666666666666663</v>
      </c>
      <c r="M30" s="7" t="s">
        <v>174</v>
      </c>
      <c r="N30" s="14" t="s">
        <v>11</v>
      </c>
      <c r="O30" s="14">
        <v>8</v>
      </c>
      <c r="P30" s="13">
        <v>0.75</v>
      </c>
      <c r="Q30" s="12">
        <v>1.5</v>
      </c>
      <c r="R30" s="11">
        <v>0.38</v>
      </c>
      <c r="S30" s="10">
        <v>1.1299999999999999</v>
      </c>
      <c r="T30" s="8">
        <v>0.62</v>
      </c>
      <c r="U30" s="9">
        <v>0</v>
      </c>
      <c r="V30" s="8">
        <v>0</v>
      </c>
      <c r="W30" s="17"/>
      <c r="X30" s="18">
        <f t="shared" si="30"/>
        <v>1.23</v>
      </c>
      <c r="Y30" s="18">
        <f t="shared" si="31"/>
        <v>0.8</v>
      </c>
      <c r="Z30" s="18">
        <f t="shared" si="32"/>
        <v>2.0300000000000002</v>
      </c>
      <c r="AA30" s="18">
        <f t="shared" si="33"/>
        <v>0.42999999999999994</v>
      </c>
      <c r="AB30" s="24">
        <f t="shared" si="34"/>
        <v>0</v>
      </c>
      <c r="AC30" s="24">
        <f t="shared" si="35"/>
        <v>3</v>
      </c>
      <c r="AD30" s="19">
        <f t="shared" si="36"/>
        <v>0</v>
      </c>
      <c r="AE30" s="19">
        <f t="shared" si="37"/>
        <v>0</v>
      </c>
      <c r="AF30" s="19">
        <f t="shared" si="38"/>
        <v>0</v>
      </c>
      <c r="AG30" s="19">
        <f t="shared" si="39"/>
        <v>1</v>
      </c>
      <c r="AH30" s="19">
        <f t="shared" si="40"/>
        <v>0</v>
      </c>
      <c r="AI30" s="19">
        <f t="shared" si="41"/>
        <v>1</v>
      </c>
      <c r="AJ30" s="19">
        <f t="shared" si="42"/>
        <v>1</v>
      </c>
      <c r="AK30" s="19">
        <f t="shared" si="43"/>
        <v>0</v>
      </c>
      <c r="AL30" s="19">
        <f t="shared" si="44"/>
        <v>0</v>
      </c>
    </row>
    <row r="31" spans="1:38" ht="13.8" thickBot="1" x14ac:dyDescent="0.3">
      <c r="A31" s="4" t="s">
        <v>175</v>
      </c>
      <c r="B31" s="8">
        <v>0.38</v>
      </c>
      <c r="C31" s="15">
        <v>0.75</v>
      </c>
      <c r="D31" s="8">
        <v>0.88</v>
      </c>
      <c r="E31" s="10">
        <v>0.88</v>
      </c>
      <c r="F31" s="11">
        <v>2.5</v>
      </c>
      <c r="G31" s="12">
        <v>3.38</v>
      </c>
      <c r="H31" s="13">
        <v>1.88</v>
      </c>
      <c r="I31" s="14">
        <v>8</v>
      </c>
      <c r="J31" s="14" t="s">
        <v>10</v>
      </c>
      <c r="K31" s="5" t="s">
        <v>176</v>
      </c>
      <c r="L31" s="6">
        <v>0.58333333333333337</v>
      </c>
      <c r="M31" s="7" t="s">
        <v>177</v>
      </c>
      <c r="N31" s="14" t="s">
        <v>11</v>
      </c>
      <c r="O31" s="14">
        <v>9</v>
      </c>
      <c r="P31" s="13">
        <v>1.1100000000000001</v>
      </c>
      <c r="Q31" s="12">
        <v>4</v>
      </c>
      <c r="R31" s="11">
        <v>1.44</v>
      </c>
      <c r="S31" s="10">
        <v>2.56</v>
      </c>
      <c r="T31" s="8">
        <v>1</v>
      </c>
      <c r="U31" s="15">
        <v>0.89</v>
      </c>
      <c r="V31" s="8">
        <v>0.56000000000000005</v>
      </c>
      <c r="W31" s="17"/>
      <c r="X31" s="18">
        <f t="shared" si="30"/>
        <v>2.5300000000000002</v>
      </c>
      <c r="Y31" s="18">
        <f t="shared" si="31"/>
        <v>1.1599999999999999</v>
      </c>
      <c r="Z31" s="18">
        <f t="shared" si="32"/>
        <v>3.6900000000000004</v>
      </c>
      <c r="AA31" s="18">
        <f t="shared" si="33"/>
        <v>1.3700000000000003</v>
      </c>
      <c r="AB31" s="24">
        <f t="shared" si="34"/>
        <v>1</v>
      </c>
      <c r="AC31" s="24">
        <f t="shared" si="35"/>
        <v>5</v>
      </c>
      <c r="AD31" s="19">
        <f t="shared" si="36"/>
        <v>0</v>
      </c>
      <c r="AE31" s="19">
        <f t="shared" si="37"/>
        <v>1</v>
      </c>
      <c r="AF31" s="19">
        <f t="shared" si="38"/>
        <v>1</v>
      </c>
      <c r="AG31" s="19">
        <f t="shared" si="39"/>
        <v>1</v>
      </c>
      <c r="AH31" s="19">
        <f t="shared" si="40"/>
        <v>1</v>
      </c>
      <c r="AI31" s="19">
        <f t="shared" si="41"/>
        <v>1</v>
      </c>
      <c r="AJ31" s="19">
        <f t="shared" si="42"/>
        <v>0</v>
      </c>
      <c r="AK31" s="19">
        <f t="shared" si="43"/>
        <v>1</v>
      </c>
      <c r="AL31" s="19">
        <f t="shared" si="44"/>
        <v>1</v>
      </c>
    </row>
    <row r="32" spans="1:38" ht="13.8" thickBot="1" x14ac:dyDescent="0.3">
      <c r="A32" s="4" t="s">
        <v>87</v>
      </c>
      <c r="B32" s="8">
        <v>0.33</v>
      </c>
      <c r="C32" s="15">
        <v>0.67</v>
      </c>
      <c r="D32" s="8">
        <v>0.83</v>
      </c>
      <c r="E32" s="10">
        <v>1.33</v>
      </c>
      <c r="F32" s="11">
        <v>1.33</v>
      </c>
      <c r="G32" s="12">
        <v>2.67</v>
      </c>
      <c r="H32" s="13">
        <v>1.33</v>
      </c>
      <c r="I32" s="14">
        <v>6</v>
      </c>
      <c r="J32" s="14" t="s">
        <v>10</v>
      </c>
      <c r="K32" s="5" t="s">
        <v>178</v>
      </c>
      <c r="L32" s="6">
        <v>0.58333333333333337</v>
      </c>
      <c r="M32" s="7" t="s">
        <v>179</v>
      </c>
      <c r="N32" s="14" t="s">
        <v>11</v>
      </c>
      <c r="O32" s="14">
        <v>7</v>
      </c>
      <c r="P32" s="13">
        <v>0.28999999999999998</v>
      </c>
      <c r="Q32" s="12">
        <v>2</v>
      </c>
      <c r="R32" s="11">
        <v>0.43</v>
      </c>
      <c r="S32" s="10">
        <v>1.57</v>
      </c>
      <c r="T32" s="8">
        <v>0.56999999999999995</v>
      </c>
      <c r="U32" s="9">
        <v>0.28999999999999998</v>
      </c>
      <c r="V32" s="8">
        <v>0.14000000000000001</v>
      </c>
      <c r="W32" s="17"/>
      <c r="X32" s="18">
        <f t="shared" si="30"/>
        <v>1.4500000000000002</v>
      </c>
      <c r="Y32" s="18">
        <f t="shared" si="31"/>
        <v>0.88</v>
      </c>
      <c r="Z32" s="18">
        <f t="shared" si="32"/>
        <v>2.33</v>
      </c>
      <c r="AA32" s="18">
        <f t="shared" si="33"/>
        <v>0.57000000000000017</v>
      </c>
      <c r="AB32" s="24">
        <f t="shared" si="34"/>
        <v>0</v>
      </c>
      <c r="AC32" s="24">
        <f t="shared" si="35"/>
        <v>3</v>
      </c>
      <c r="AD32" s="19">
        <f t="shared" si="36"/>
        <v>0</v>
      </c>
      <c r="AE32" s="19">
        <f t="shared" si="37"/>
        <v>0</v>
      </c>
      <c r="AF32" s="19">
        <f t="shared" si="38"/>
        <v>0</v>
      </c>
      <c r="AG32" s="19">
        <f t="shared" si="39"/>
        <v>1</v>
      </c>
      <c r="AH32" s="19">
        <f t="shared" si="40"/>
        <v>0</v>
      </c>
      <c r="AI32" s="19">
        <f t="shared" si="41"/>
        <v>0</v>
      </c>
      <c r="AJ32" s="19">
        <f t="shared" si="42"/>
        <v>1</v>
      </c>
      <c r="AK32" s="19">
        <f t="shared" si="43"/>
        <v>1</v>
      </c>
      <c r="AL32" s="19">
        <f t="shared" si="44"/>
        <v>0</v>
      </c>
    </row>
    <row r="33" spans="1:38" ht="13.8" thickBot="1" x14ac:dyDescent="0.3">
      <c r="A33" s="4" t="s">
        <v>87</v>
      </c>
      <c r="B33" s="8">
        <v>0</v>
      </c>
      <c r="C33" s="9">
        <v>0.14000000000000001</v>
      </c>
      <c r="D33" s="8">
        <v>0.56999999999999995</v>
      </c>
      <c r="E33" s="10">
        <v>1.1399999999999999</v>
      </c>
      <c r="F33" s="11">
        <v>0.56999999999999995</v>
      </c>
      <c r="G33" s="12">
        <v>1.71</v>
      </c>
      <c r="H33" s="13">
        <v>0.56999999999999995</v>
      </c>
      <c r="I33" s="14">
        <v>7</v>
      </c>
      <c r="J33" s="14" t="s">
        <v>10</v>
      </c>
      <c r="K33" s="5" t="s">
        <v>180</v>
      </c>
      <c r="L33" s="6">
        <v>0.58333333333333337</v>
      </c>
      <c r="M33" s="7" t="s">
        <v>181</v>
      </c>
      <c r="N33" s="14" t="s">
        <v>11</v>
      </c>
      <c r="O33" s="14">
        <v>6</v>
      </c>
      <c r="P33" s="13">
        <v>1.67</v>
      </c>
      <c r="Q33" s="12">
        <v>1.5</v>
      </c>
      <c r="R33" s="11">
        <v>1</v>
      </c>
      <c r="S33" s="10">
        <v>0.5</v>
      </c>
      <c r="T33" s="8">
        <v>0.5</v>
      </c>
      <c r="U33" s="9">
        <v>0.17</v>
      </c>
      <c r="V33" s="8">
        <v>0</v>
      </c>
      <c r="W33" s="17"/>
      <c r="X33" s="18">
        <f t="shared" si="30"/>
        <v>0.53499999999999992</v>
      </c>
      <c r="Y33" s="18">
        <f t="shared" si="31"/>
        <v>1.0699999999999998</v>
      </c>
      <c r="Z33" s="18">
        <f t="shared" si="32"/>
        <v>1.6049999999999998</v>
      </c>
      <c r="AA33" s="18">
        <f t="shared" si="33"/>
        <v>0.53499999999999992</v>
      </c>
      <c r="AB33" s="24">
        <f t="shared" si="34"/>
        <v>0</v>
      </c>
      <c r="AC33" s="24">
        <f t="shared" si="35"/>
        <v>3</v>
      </c>
      <c r="AD33" s="19">
        <f t="shared" si="36"/>
        <v>0</v>
      </c>
      <c r="AE33" s="19">
        <f t="shared" si="37"/>
        <v>0</v>
      </c>
      <c r="AF33" s="19">
        <f t="shared" si="38"/>
        <v>0</v>
      </c>
      <c r="AG33" s="19">
        <f t="shared" si="39"/>
        <v>1</v>
      </c>
      <c r="AH33" s="19">
        <f t="shared" si="40"/>
        <v>0</v>
      </c>
      <c r="AI33" s="19">
        <f t="shared" si="41"/>
        <v>1</v>
      </c>
      <c r="AJ33" s="19">
        <f t="shared" si="42"/>
        <v>1</v>
      </c>
      <c r="AK33" s="19">
        <f t="shared" si="43"/>
        <v>0</v>
      </c>
      <c r="AL33" s="19">
        <f t="shared" si="44"/>
        <v>0</v>
      </c>
    </row>
    <row r="34" spans="1:38" ht="13.8" thickBot="1" x14ac:dyDescent="0.3">
      <c r="A34" s="4" t="s">
        <v>87</v>
      </c>
      <c r="B34" s="8">
        <v>0.33</v>
      </c>
      <c r="C34" s="9">
        <v>0.33</v>
      </c>
      <c r="D34" s="8">
        <v>0.83</v>
      </c>
      <c r="E34" s="10">
        <v>1.5</v>
      </c>
      <c r="F34" s="11">
        <v>1.33</v>
      </c>
      <c r="G34" s="12">
        <v>2.83</v>
      </c>
      <c r="H34" s="13">
        <v>1.5</v>
      </c>
      <c r="I34" s="14">
        <v>6</v>
      </c>
      <c r="J34" s="14" t="s">
        <v>10</v>
      </c>
      <c r="K34" s="5" t="s">
        <v>182</v>
      </c>
      <c r="L34" s="6">
        <v>0.5625</v>
      </c>
      <c r="M34" s="7" t="s">
        <v>183</v>
      </c>
      <c r="N34" s="14" t="s">
        <v>11</v>
      </c>
      <c r="O34" s="14">
        <v>5</v>
      </c>
      <c r="P34" s="13">
        <v>2.2000000000000002</v>
      </c>
      <c r="Q34" s="12">
        <v>3.4</v>
      </c>
      <c r="R34" s="11">
        <v>2.4</v>
      </c>
      <c r="S34" s="10">
        <v>1</v>
      </c>
      <c r="T34" s="8">
        <v>1</v>
      </c>
      <c r="U34" s="15">
        <v>0.6</v>
      </c>
      <c r="V34" s="8">
        <v>0.2</v>
      </c>
      <c r="W34" s="17"/>
      <c r="X34" s="18">
        <f t="shared" si="30"/>
        <v>1.165</v>
      </c>
      <c r="Y34" s="18">
        <f t="shared" si="31"/>
        <v>1.95</v>
      </c>
      <c r="Z34" s="18">
        <f t="shared" si="32"/>
        <v>3.1150000000000002</v>
      </c>
      <c r="AA34" s="18">
        <f t="shared" si="33"/>
        <v>0.78499999999999992</v>
      </c>
      <c r="AB34" s="24">
        <f t="shared" si="34"/>
        <v>0</v>
      </c>
      <c r="AC34" s="24">
        <f t="shared" si="35"/>
        <v>5</v>
      </c>
      <c r="AD34" s="19">
        <f t="shared" si="36"/>
        <v>0</v>
      </c>
      <c r="AE34" s="19">
        <f t="shared" si="37"/>
        <v>0</v>
      </c>
      <c r="AF34" s="19">
        <f t="shared" si="38"/>
        <v>0</v>
      </c>
      <c r="AG34" s="19">
        <f t="shared" si="39"/>
        <v>1</v>
      </c>
      <c r="AH34" s="19">
        <f t="shared" si="40"/>
        <v>1</v>
      </c>
      <c r="AI34" s="19">
        <f t="shared" si="41"/>
        <v>1</v>
      </c>
      <c r="AJ34" s="19">
        <f t="shared" si="42"/>
        <v>1</v>
      </c>
      <c r="AK34" s="19">
        <f t="shared" si="43"/>
        <v>1</v>
      </c>
      <c r="AL34" s="19">
        <f t="shared" si="44"/>
        <v>0</v>
      </c>
    </row>
    <row r="35" spans="1:38" ht="13.8" thickBot="1" x14ac:dyDescent="0.3">
      <c r="A35" s="4" t="s">
        <v>87</v>
      </c>
      <c r="B35" s="8">
        <v>0.83</v>
      </c>
      <c r="C35" s="15">
        <v>0.83</v>
      </c>
      <c r="D35" s="8">
        <v>1</v>
      </c>
      <c r="E35" s="10">
        <v>3</v>
      </c>
      <c r="F35" s="11">
        <v>3</v>
      </c>
      <c r="G35" s="12">
        <v>6</v>
      </c>
      <c r="H35" s="13">
        <v>1.5</v>
      </c>
      <c r="I35" s="14">
        <v>6</v>
      </c>
      <c r="J35" s="14" t="s">
        <v>10</v>
      </c>
      <c r="K35" s="5" t="s">
        <v>184</v>
      </c>
      <c r="L35" s="6">
        <v>0.5625</v>
      </c>
      <c r="M35" s="7" t="s">
        <v>185</v>
      </c>
      <c r="N35" s="14" t="s">
        <v>11</v>
      </c>
      <c r="O35" s="14">
        <v>6</v>
      </c>
      <c r="P35" s="13">
        <v>1.17</v>
      </c>
      <c r="Q35" s="12">
        <v>3.67</v>
      </c>
      <c r="R35" s="11">
        <v>1.67</v>
      </c>
      <c r="S35" s="10">
        <v>2</v>
      </c>
      <c r="T35" s="8">
        <v>0.83</v>
      </c>
      <c r="U35" s="15">
        <v>0.67</v>
      </c>
      <c r="V35" s="8">
        <v>0.5</v>
      </c>
      <c r="W35" s="17"/>
      <c r="X35" s="18">
        <f t="shared" si="30"/>
        <v>2.5</v>
      </c>
      <c r="Y35" s="18">
        <f t="shared" si="31"/>
        <v>2.335</v>
      </c>
      <c r="Z35" s="18">
        <f t="shared" si="32"/>
        <v>4.835</v>
      </c>
      <c r="AA35" s="18">
        <f t="shared" si="33"/>
        <v>0.16500000000000004</v>
      </c>
      <c r="AB35" s="24">
        <f t="shared" si="34"/>
        <v>1</v>
      </c>
      <c r="AC35" s="24">
        <f t="shared" si="35"/>
        <v>4</v>
      </c>
      <c r="AD35" s="19">
        <f t="shared" si="36"/>
        <v>0</v>
      </c>
      <c r="AE35" s="19">
        <f t="shared" si="37"/>
        <v>1</v>
      </c>
      <c r="AF35" s="19">
        <f t="shared" si="38"/>
        <v>1</v>
      </c>
      <c r="AG35" s="19">
        <f t="shared" si="39"/>
        <v>1</v>
      </c>
      <c r="AH35" s="19">
        <f t="shared" si="40"/>
        <v>1</v>
      </c>
      <c r="AI35" s="19">
        <f t="shared" si="41"/>
        <v>0</v>
      </c>
      <c r="AJ35" s="19">
        <f t="shared" si="42"/>
        <v>0</v>
      </c>
      <c r="AK35" s="19">
        <f t="shared" si="43"/>
        <v>1</v>
      </c>
      <c r="AL35" s="19">
        <f t="shared" si="44"/>
        <v>1</v>
      </c>
    </row>
    <row r="36" spans="1:38" ht="13.8" thickBot="1" x14ac:dyDescent="0.3">
      <c r="A36" s="4" t="s">
        <v>86</v>
      </c>
      <c r="B36" s="8">
        <v>0.17</v>
      </c>
      <c r="C36" s="15">
        <v>0.67</v>
      </c>
      <c r="D36" s="8">
        <v>1</v>
      </c>
      <c r="E36" s="10">
        <v>1</v>
      </c>
      <c r="F36" s="11">
        <v>1.83</v>
      </c>
      <c r="G36" s="12">
        <v>2.83</v>
      </c>
      <c r="H36" s="13">
        <v>2</v>
      </c>
      <c r="I36" s="14">
        <v>6</v>
      </c>
      <c r="J36" s="14" t="s">
        <v>10</v>
      </c>
      <c r="K36" s="5" t="s">
        <v>186</v>
      </c>
      <c r="L36" s="6">
        <v>0.71875</v>
      </c>
      <c r="M36" s="7" t="s">
        <v>187</v>
      </c>
      <c r="N36" s="14" t="s">
        <v>11</v>
      </c>
      <c r="O36" s="14">
        <v>6</v>
      </c>
      <c r="P36" s="13">
        <v>0.67</v>
      </c>
      <c r="Q36" s="12">
        <v>2</v>
      </c>
      <c r="R36" s="11">
        <v>0.67</v>
      </c>
      <c r="S36" s="10">
        <v>1.33</v>
      </c>
      <c r="T36" s="8">
        <v>0.83</v>
      </c>
      <c r="U36" s="9">
        <v>0.33</v>
      </c>
      <c r="V36" s="8">
        <v>0</v>
      </c>
      <c r="W36" s="17"/>
      <c r="X36" s="18">
        <f t="shared" si="30"/>
        <v>1.58</v>
      </c>
      <c r="Y36" s="18">
        <f t="shared" si="31"/>
        <v>0.83499999999999996</v>
      </c>
      <c r="Z36" s="18">
        <f t="shared" si="32"/>
        <v>2.415</v>
      </c>
      <c r="AA36" s="18">
        <f t="shared" si="33"/>
        <v>0.74500000000000011</v>
      </c>
      <c r="AB36" s="24">
        <f t="shared" si="34"/>
        <v>0</v>
      </c>
      <c r="AC36" s="24">
        <f t="shared" si="35"/>
        <v>5</v>
      </c>
      <c r="AD36" s="19">
        <f t="shared" si="36"/>
        <v>0</v>
      </c>
      <c r="AE36" s="19">
        <f t="shared" si="37"/>
        <v>0</v>
      </c>
      <c r="AF36" s="19">
        <f t="shared" si="38"/>
        <v>0</v>
      </c>
      <c r="AG36" s="19">
        <f t="shared" si="39"/>
        <v>1</v>
      </c>
      <c r="AH36" s="19">
        <f t="shared" si="40"/>
        <v>1</v>
      </c>
      <c r="AI36" s="19">
        <f t="shared" si="41"/>
        <v>1</v>
      </c>
      <c r="AJ36" s="19">
        <f t="shared" si="42"/>
        <v>1</v>
      </c>
      <c r="AK36" s="19">
        <f t="shared" si="43"/>
        <v>0</v>
      </c>
      <c r="AL36" s="19">
        <f t="shared" si="44"/>
        <v>1</v>
      </c>
    </row>
    <row r="37" spans="1:38" ht="19.8" thickBot="1" x14ac:dyDescent="0.3">
      <c r="A37" s="4" t="s">
        <v>86</v>
      </c>
      <c r="B37" s="8">
        <v>0.83</v>
      </c>
      <c r="C37" s="15">
        <v>0.83</v>
      </c>
      <c r="D37" s="8">
        <v>0.83</v>
      </c>
      <c r="E37" s="10">
        <v>1.17</v>
      </c>
      <c r="F37" s="11">
        <v>3.17</v>
      </c>
      <c r="G37" s="12">
        <v>4.33</v>
      </c>
      <c r="H37" s="13">
        <v>2.67</v>
      </c>
      <c r="I37" s="14">
        <v>6</v>
      </c>
      <c r="J37" s="14" t="s">
        <v>10</v>
      </c>
      <c r="K37" s="5" t="s">
        <v>188</v>
      </c>
      <c r="L37" s="6">
        <v>0.71875</v>
      </c>
      <c r="M37" s="7" t="s">
        <v>189</v>
      </c>
      <c r="N37" s="14" t="s">
        <v>11</v>
      </c>
      <c r="O37" s="14">
        <v>5</v>
      </c>
      <c r="P37" s="13">
        <v>0</v>
      </c>
      <c r="Q37" s="12">
        <v>3.6</v>
      </c>
      <c r="R37" s="11">
        <v>1</v>
      </c>
      <c r="S37" s="10">
        <v>2.6</v>
      </c>
      <c r="T37" s="8">
        <v>0.8</v>
      </c>
      <c r="U37" s="15">
        <v>0.6</v>
      </c>
      <c r="V37" s="8">
        <v>0.6</v>
      </c>
      <c r="W37" s="17"/>
      <c r="X37" s="18">
        <f t="shared" si="30"/>
        <v>2.8849999999999998</v>
      </c>
      <c r="Y37" s="18">
        <f t="shared" si="31"/>
        <v>1.085</v>
      </c>
      <c r="Z37" s="18">
        <f t="shared" si="32"/>
        <v>3.9699999999999998</v>
      </c>
      <c r="AA37" s="18">
        <f t="shared" si="33"/>
        <v>1.7999999999999998</v>
      </c>
      <c r="AB37" s="24">
        <f t="shared" si="34"/>
        <v>1</v>
      </c>
      <c r="AC37" s="24">
        <f t="shared" si="35"/>
        <v>6</v>
      </c>
      <c r="AD37" s="19">
        <f t="shared" si="36"/>
        <v>1</v>
      </c>
      <c r="AE37" s="19">
        <f t="shared" si="37"/>
        <v>1</v>
      </c>
      <c r="AF37" s="19">
        <f t="shared" si="38"/>
        <v>1</v>
      </c>
      <c r="AG37" s="19">
        <f t="shared" si="39"/>
        <v>1</v>
      </c>
      <c r="AH37" s="19">
        <f t="shared" si="40"/>
        <v>1</v>
      </c>
      <c r="AI37" s="19">
        <f t="shared" si="41"/>
        <v>1</v>
      </c>
      <c r="AJ37" s="19">
        <f t="shared" si="42"/>
        <v>1</v>
      </c>
      <c r="AK37" s="19">
        <f t="shared" si="43"/>
        <v>1</v>
      </c>
      <c r="AL37" s="19">
        <f t="shared" si="44"/>
        <v>1</v>
      </c>
    </row>
    <row r="38" spans="1:38" ht="13.8" thickBot="1" x14ac:dyDescent="0.3">
      <c r="A38" s="4" t="s">
        <v>86</v>
      </c>
      <c r="B38" s="8">
        <v>0.71</v>
      </c>
      <c r="C38" s="15">
        <v>0.86</v>
      </c>
      <c r="D38" s="8">
        <v>0.86</v>
      </c>
      <c r="E38" s="10">
        <v>2.71</v>
      </c>
      <c r="F38" s="11">
        <v>1.57</v>
      </c>
      <c r="G38" s="12">
        <v>4.29</v>
      </c>
      <c r="H38" s="13">
        <v>1.29</v>
      </c>
      <c r="I38" s="14">
        <v>7</v>
      </c>
      <c r="J38" s="14" t="s">
        <v>10</v>
      </c>
      <c r="K38" s="5" t="s">
        <v>190</v>
      </c>
      <c r="L38" s="6">
        <v>0.71875</v>
      </c>
      <c r="M38" s="7" t="s">
        <v>191</v>
      </c>
      <c r="N38" s="14" t="s">
        <v>11</v>
      </c>
      <c r="O38" s="14">
        <v>6</v>
      </c>
      <c r="P38" s="13">
        <v>1.33</v>
      </c>
      <c r="Q38" s="12">
        <v>5.17</v>
      </c>
      <c r="R38" s="11">
        <v>2.5</v>
      </c>
      <c r="S38" s="10">
        <v>2.67</v>
      </c>
      <c r="T38" s="8">
        <v>1</v>
      </c>
      <c r="U38" s="15">
        <v>1</v>
      </c>
      <c r="V38" s="8">
        <v>1</v>
      </c>
      <c r="W38" s="17"/>
      <c r="X38" s="18">
        <f t="shared" si="30"/>
        <v>2.12</v>
      </c>
      <c r="Y38" s="18">
        <f t="shared" si="31"/>
        <v>2.605</v>
      </c>
      <c r="Z38" s="18">
        <f t="shared" si="32"/>
        <v>4.7249999999999996</v>
      </c>
      <c r="AA38" s="18">
        <f t="shared" si="33"/>
        <v>0.48499999999999988</v>
      </c>
      <c r="AB38" s="24">
        <f t="shared" si="34"/>
        <v>1</v>
      </c>
      <c r="AC38" s="24">
        <f t="shared" si="35"/>
        <v>4</v>
      </c>
      <c r="AD38" s="19">
        <f t="shared" si="36"/>
        <v>0</v>
      </c>
      <c r="AE38" s="19">
        <f t="shared" si="37"/>
        <v>0</v>
      </c>
      <c r="AF38" s="19">
        <f t="shared" si="38"/>
        <v>1</v>
      </c>
      <c r="AG38" s="19">
        <f t="shared" si="39"/>
        <v>1</v>
      </c>
      <c r="AH38" s="19">
        <f t="shared" si="40"/>
        <v>1</v>
      </c>
      <c r="AI38" s="19">
        <f t="shared" si="41"/>
        <v>0</v>
      </c>
      <c r="AJ38" s="19">
        <f t="shared" si="42"/>
        <v>0</v>
      </c>
      <c r="AK38" s="19">
        <f t="shared" si="43"/>
        <v>1</v>
      </c>
      <c r="AL38" s="19">
        <f t="shared" si="44"/>
        <v>1</v>
      </c>
    </row>
    <row r="39" spans="1:38" ht="19.8" thickBot="1" x14ac:dyDescent="0.3">
      <c r="A39" s="4" t="s">
        <v>86</v>
      </c>
      <c r="B39" s="8">
        <v>0.4</v>
      </c>
      <c r="C39" s="9">
        <v>0.4</v>
      </c>
      <c r="D39" s="8">
        <v>1</v>
      </c>
      <c r="E39" s="10">
        <v>1.8</v>
      </c>
      <c r="F39" s="11">
        <v>2</v>
      </c>
      <c r="G39" s="12">
        <v>3.8</v>
      </c>
      <c r="H39" s="13">
        <v>1.6</v>
      </c>
      <c r="I39" s="14">
        <v>5</v>
      </c>
      <c r="J39" s="14" t="s">
        <v>10</v>
      </c>
      <c r="K39" s="5" t="s">
        <v>192</v>
      </c>
      <c r="L39" s="6">
        <v>0.75</v>
      </c>
      <c r="M39" s="7" t="s">
        <v>193</v>
      </c>
      <c r="N39" s="14" t="s">
        <v>11</v>
      </c>
      <c r="O39" s="14">
        <v>6</v>
      </c>
      <c r="P39" s="13">
        <v>0.67</v>
      </c>
      <c r="Q39" s="12">
        <v>2.83</v>
      </c>
      <c r="R39" s="11">
        <v>0.67</v>
      </c>
      <c r="S39" s="10">
        <v>2.17</v>
      </c>
      <c r="T39" s="8">
        <v>0.67</v>
      </c>
      <c r="U39" s="15">
        <v>0.67</v>
      </c>
      <c r="V39" s="8">
        <v>0.33</v>
      </c>
      <c r="W39" s="17"/>
      <c r="X39" s="18">
        <f t="shared" si="30"/>
        <v>2.085</v>
      </c>
      <c r="Y39" s="18">
        <f t="shared" si="31"/>
        <v>1.2350000000000001</v>
      </c>
      <c r="Z39" s="18">
        <f t="shared" si="32"/>
        <v>3.3200000000000003</v>
      </c>
      <c r="AA39" s="18">
        <f t="shared" si="33"/>
        <v>0.84999999999999987</v>
      </c>
      <c r="AB39" s="24">
        <f t="shared" si="34"/>
        <v>0</v>
      </c>
      <c r="AC39" s="24">
        <f t="shared" si="35"/>
        <v>5</v>
      </c>
      <c r="AD39" s="19">
        <f t="shared" si="36"/>
        <v>0</v>
      </c>
      <c r="AE39" s="19">
        <f t="shared" si="37"/>
        <v>1</v>
      </c>
      <c r="AF39" s="19">
        <f t="shared" si="38"/>
        <v>1</v>
      </c>
      <c r="AG39" s="19">
        <f t="shared" si="39"/>
        <v>1</v>
      </c>
      <c r="AH39" s="19">
        <f t="shared" si="40"/>
        <v>1</v>
      </c>
      <c r="AI39" s="19">
        <f t="shared" si="41"/>
        <v>0</v>
      </c>
      <c r="AJ39" s="19">
        <f t="shared" si="42"/>
        <v>1</v>
      </c>
      <c r="AK39" s="19">
        <f t="shared" si="43"/>
        <v>1</v>
      </c>
      <c r="AL39" s="19">
        <f t="shared" si="44"/>
        <v>1</v>
      </c>
    </row>
    <row r="40" spans="1:38" ht="13.8" thickBot="1" x14ac:dyDescent="0.3">
      <c r="A40" s="4" t="s">
        <v>92</v>
      </c>
      <c r="B40" s="8">
        <v>0.6</v>
      </c>
      <c r="C40" s="15">
        <v>0.8</v>
      </c>
      <c r="D40" s="8">
        <v>0.8</v>
      </c>
      <c r="E40" s="10">
        <v>0.4</v>
      </c>
      <c r="F40" s="11">
        <v>3.2</v>
      </c>
      <c r="G40" s="12">
        <v>3.6</v>
      </c>
      <c r="H40" s="13">
        <v>2.4</v>
      </c>
      <c r="I40" s="14">
        <v>5</v>
      </c>
      <c r="J40" s="14" t="s">
        <v>10</v>
      </c>
      <c r="K40" s="5" t="s">
        <v>194</v>
      </c>
      <c r="L40" s="6">
        <v>0.63541666666666663</v>
      </c>
      <c r="M40" s="7" t="s">
        <v>195</v>
      </c>
      <c r="N40" s="14" t="s">
        <v>11</v>
      </c>
      <c r="O40" s="14">
        <v>6</v>
      </c>
      <c r="P40" s="13">
        <v>0.67</v>
      </c>
      <c r="Q40" s="12">
        <v>3.33</v>
      </c>
      <c r="R40" s="11">
        <v>1</v>
      </c>
      <c r="S40" s="10">
        <v>2.33</v>
      </c>
      <c r="T40" s="8">
        <v>1</v>
      </c>
      <c r="U40" s="15">
        <v>0.67</v>
      </c>
      <c r="V40" s="8">
        <v>0.5</v>
      </c>
      <c r="W40" s="17"/>
      <c r="X40" s="18">
        <f t="shared" si="30"/>
        <v>2.7650000000000001</v>
      </c>
      <c r="Y40" s="18">
        <f t="shared" si="31"/>
        <v>0.7</v>
      </c>
      <c r="Z40" s="18">
        <f t="shared" si="32"/>
        <v>3.4649999999999999</v>
      </c>
      <c r="AA40" s="18">
        <f t="shared" si="33"/>
        <v>2.0650000000000004</v>
      </c>
      <c r="AB40" s="24">
        <f t="shared" si="34"/>
        <v>1</v>
      </c>
      <c r="AC40" s="24">
        <f t="shared" si="35"/>
        <v>6</v>
      </c>
      <c r="AD40" s="19">
        <f t="shared" si="36"/>
        <v>1</v>
      </c>
      <c r="AE40" s="19">
        <f t="shared" si="37"/>
        <v>1</v>
      </c>
      <c r="AF40" s="19">
        <f t="shared" si="38"/>
        <v>1</v>
      </c>
      <c r="AG40" s="19">
        <f t="shared" si="39"/>
        <v>1</v>
      </c>
      <c r="AH40" s="19">
        <f t="shared" si="40"/>
        <v>1</v>
      </c>
      <c r="AI40" s="19">
        <f t="shared" si="41"/>
        <v>1</v>
      </c>
      <c r="AJ40" s="19">
        <f t="shared" si="42"/>
        <v>1</v>
      </c>
      <c r="AK40" s="19">
        <f t="shared" si="43"/>
        <v>1</v>
      </c>
      <c r="AL40" s="19">
        <f t="shared" si="44"/>
        <v>1</v>
      </c>
    </row>
    <row r="41" spans="1:38" ht="19.8" thickBot="1" x14ac:dyDescent="0.3">
      <c r="A41" s="4" t="s">
        <v>196</v>
      </c>
      <c r="B41" s="8">
        <v>0.2</v>
      </c>
      <c r="C41" s="15">
        <v>0.8</v>
      </c>
      <c r="D41" s="8">
        <v>0.8</v>
      </c>
      <c r="E41" s="10">
        <v>1</v>
      </c>
      <c r="F41" s="11">
        <v>2.2000000000000002</v>
      </c>
      <c r="G41" s="12">
        <v>3.2</v>
      </c>
      <c r="H41" s="13">
        <v>1.8</v>
      </c>
      <c r="I41" s="14">
        <v>5</v>
      </c>
      <c r="J41" s="14" t="s">
        <v>10</v>
      </c>
      <c r="K41" s="5" t="s">
        <v>197</v>
      </c>
      <c r="L41" s="6">
        <v>0.33333333333333331</v>
      </c>
      <c r="M41" s="7" t="s">
        <v>198</v>
      </c>
      <c r="N41" s="14" t="s">
        <v>11</v>
      </c>
      <c r="O41" s="14">
        <v>5</v>
      </c>
      <c r="P41" s="13">
        <v>2.4</v>
      </c>
      <c r="Q41" s="12">
        <v>1.8</v>
      </c>
      <c r="R41" s="11">
        <v>1.4</v>
      </c>
      <c r="S41" s="10">
        <v>0.4</v>
      </c>
      <c r="T41" s="8">
        <v>0.4</v>
      </c>
      <c r="U41" s="9">
        <v>0.2</v>
      </c>
      <c r="V41" s="8">
        <v>0.2</v>
      </c>
      <c r="W41" s="17"/>
      <c r="X41" s="18">
        <f t="shared" si="30"/>
        <v>1.3</v>
      </c>
      <c r="Y41" s="18">
        <f t="shared" si="31"/>
        <v>1.2</v>
      </c>
      <c r="Z41" s="18">
        <f t="shared" si="32"/>
        <v>2.5</v>
      </c>
      <c r="AA41" s="18">
        <f t="shared" si="33"/>
        <v>0.10000000000000009</v>
      </c>
      <c r="AB41" s="24">
        <f t="shared" si="34"/>
        <v>0</v>
      </c>
      <c r="AC41" s="24">
        <f t="shared" si="35"/>
        <v>2</v>
      </c>
      <c r="AD41" s="19">
        <f t="shared" si="36"/>
        <v>0</v>
      </c>
      <c r="AE41" s="19">
        <f t="shared" si="37"/>
        <v>0</v>
      </c>
      <c r="AF41" s="19">
        <f t="shared" si="38"/>
        <v>0</v>
      </c>
      <c r="AG41" s="19">
        <f t="shared" si="39"/>
        <v>0</v>
      </c>
      <c r="AH41" s="19">
        <f t="shared" si="40"/>
        <v>0</v>
      </c>
      <c r="AI41" s="19">
        <f t="shared" si="41"/>
        <v>1</v>
      </c>
      <c r="AJ41" s="19">
        <f t="shared" si="42"/>
        <v>0</v>
      </c>
      <c r="AK41" s="19">
        <f t="shared" si="43"/>
        <v>0</v>
      </c>
      <c r="AL41" s="19">
        <f t="shared" si="44"/>
        <v>1</v>
      </c>
    </row>
    <row r="42" spans="1:38" ht="19.8" thickBot="1" x14ac:dyDescent="0.3">
      <c r="A42" s="4" t="s">
        <v>199</v>
      </c>
      <c r="B42" s="8">
        <v>0.2</v>
      </c>
      <c r="C42" s="9">
        <v>0.4</v>
      </c>
      <c r="D42" s="8">
        <v>0.8</v>
      </c>
      <c r="E42" s="10">
        <v>1.6</v>
      </c>
      <c r="F42" s="11">
        <v>0.8</v>
      </c>
      <c r="G42" s="12">
        <v>2.4</v>
      </c>
      <c r="H42" s="13">
        <v>0.4</v>
      </c>
      <c r="I42" s="14">
        <v>5</v>
      </c>
      <c r="J42" s="14" t="s">
        <v>10</v>
      </c>
      <c r="K42" s="5" t="s">
        <v>200</v>
      </c>
      <c r="L42" s="6">
        <v>0.625</v>
      </c>
      <c r="M42" s="7" t="s">
        <v>201</v>
      </c>
      <c r="N42" s="14" t="s">
        <v>11</v>
      </c>
      <c r="O42" s="14">
        <v>7</v>
      </c>
      <c r="P42" s="13">
        <v>1.57</v>
      </c>
      <c r="Q42" s="12">
        <v>3.29</v>
      </c>
      <c r="R42" s="11">
        <v>1.57</v>
      </c>
      <c r="S42" s="10">
        <v>1.71</v>
      </c>
      <c r="T42" s="8">
        <v>1</v>
      </c>
      <c r="U42" s="15">
        <v>0.86</v>
      </c>
      <c r="V42" s="8">
        <v>0.43</v>
      </c>
      <c r="W42" s="17"/>
      <c r="X42" s="18">
        <f t="shared" si="30"/>
        <v>1.2549999999999999</v>
      </c>
      <c r="Y42" s="18">
        <f t="shared" si="31"/>
        <v>1.585</v>
      </c>
      <c r="Z42" s="18">
        <f t="shared" si="32"/>
        <v>2.84</v>
      </c>
      <c r="AA42" s="18">
        <f t="shared" si="33"/>
        <v>0.33000000000000007</v>
      </c>
      <c r="AB42" s="24">
        <f t="shared" si="34"/>
        <v>0</v>
      </c>
      <c r="AC42" s="24">
        <f t="shared" si="35"/>
        <v>5</v>
      </c>
      <c r="AD42" s="19">
        <f t="shared" si="36"/>
        <v>0</v>
      </c>
      <c r="AE42" s="19">
        <f t="shared" si="37"/>
        <v>1</v>
      </c>
      <c r="AF42" s="19">
        <f t="shared" si="38"/>
        <v>1</v>
      </c>
      <c r="AG42" s="19">
        <f t="shared" si="39"/>
        <v>1</v>
      </c>
      <c r="AH42" s="19">
        <f t="shared" si="40"/>
        <v>1</v>
      </c>
      <c r="AI42" s="19">
        <f t="shared" si="41"/>
        <v>0</v>
      </c>
      <c r="AJ42" s="19">
        <f t="shared" si="42"/>
        <v>1</v>
      </c>
      <c r="AK42" s="19">
        <f t="shared" si="43"/>
        <v>1</v>
      </c>
      <c r="AL42" s="19">
        <f t="shared" si="44"/>
        <v>1</v>
      </c>
    </row>
    <row r="43" spans="1:38" ht="13.8" thickBot="1" x14ac:dyDescent="0.3">
      <c r="A43" s="4" t="s">
        <v>199</v>
      </c>
      <c r="B43" s="8">
        <v>0</v>
      </c>
      <c r="C43" s="9">
        <v>0.4</v>
      </c>
      <c r="D43" s="8">
        <v>0.8</v>
      </c>
      <c r="E43" s="10">
        <v>1</v>
      </c>
      <c r="F43" s="11">
        <v>1.2</v>
      </c>
      <c r="G43" s="12">
        <v>2.2000000000000002</v>
      </c>
      <c r="H43" s="13">
        <v>1.2</v>
      </c>
      <c r="I43" s="14">
        <v>5</v>
      </c>
      <c r="J43" s="14" t="s">
        <v>10</v>
      </c>
      <c r="K43" s="5" t="s">
        <v>202</v>
      </c>
      <c r="L43" s="6">
        <v>0.625</v>
      </c>
      <c r="M43" s="7" t="s">
        <v>203</v>
      </c>
      <c r="N43" s="14" t="s">
        <v>11</v>
      </c>
      <c r="O43" s="14">
        <v>6</v>
      </c>
      <c r="P43" s="13">
        <v>2</v>
      </c>
      <c r="Q43" s="12">
        <v>3.5</v>
      </c>
      <c r="R43" s="11">
        <v>1.67</v>
      </c>
      <c r="S43" s="10">
        <v>1.83</v>
      </c>
      <c r="T43" s="8">
        <v>0.83</v>
      </c>
      <c r="U43" s="15">
        <v>0.83</v>
      </c>
      <c r="V43" s="8">
        <v>0.5</v>
      </c>
      <c r="W43" s="17"/>
      <c r="X43" s="18">
        <f t="shared" si="30"/>
        <v>1.5150000000000001</v>
      </c>
      <c r="Y43" s="18">
        <f t="shared" si="31"/>
        <v>1.335</v>
      </c>
      <c r="Z43" s="18">
        <f t="shared" si="32"/>
        <v>2.85</v>
      </c>
      <c r="AA43" s="18">
        <f t="shared" si="33"/>
        <v>0.18000000000000016</v>
      </c>
      <c r="AB43" s="24">
        <f t="shared" si="34"/>
        <v>0</v>
      </c>
      <c r="AC43" s="24">
        <f t="shared" si="35"/>
        <v>3</v>
      </c>
      <c r="AD43" s="19">
        <f t="shared" si="36"/>
        <v>0</v>
      </c>
      <c r="AE43" s="19">
        <f t="shared" si="37"/>
        <v>1</v>
      </c>
      <c r="AF43" s="19">
        <f t="shared" si="38"/>
        <v>1</v>
      </c>
      <c r="AG43" s="19">
        <f t="shared" si="39"/>
        <v>0</v>
      </c>
      <c r="AH43" s="19">
        <f t="shared" si="40"/>
        <v>1</v>
      </c>
      <c r="AI43" s="19">
        <f t="shared" si="41"/>
        <v>0</v>
      </c>
      <c r="AJ43" s="19">
        <f t="shared" si="42"/>
        <v>1</v>
      </c>
      <c r="AK43" s="19">
        <f t="shared" si="43"/>
        <v>0</v>
      </c>
      <c r="AL43" s="19">
        <f t="shared" si="44"/>
        <v>1</v>
      </c>
    </row>
    <row r="44" spans="1:38" ht="13.8" thickBot="1" x14ac:dyDescent="0.3">
      <c r="A44" s="4" t="s">
        <v>204</v>
      </c>
      <c r="B44" s="8">
        <v>0</v>
      </c>
      <c r="C44" s="9">
        <v>0.5</v>
      </c>
      <c r="D44" s="8">
        <v>0.5</v>
      </c>
      <c r="E44" s="10">
        <v>1</v>
      </c>
      <c r="F44" s="11">
        <v>0.5</v>
      </c>
      <c r="G44" s="12">
        <v>1.5</v>
      </c>
      <c r="H44" s="13">
        <v>0.5</v>
      </c>
      <c r="I44" s="14">
        <v>2</v>
      </c>
      <c r="J44" s="14" t="s">
        <v>10</v>
      </c>
      <c r="K44" s="5" t="s">
        <v>205</v>
      </c>
      <c r="L44" s="6">
        <v>0.66666666666666663</v>
      </c>
      <c r="M44" s="7" t="s">
        <v>206</v>
      </c>
      <c r="N44" s="14" t="s">
        <v>11</v>
      </c>
      <c r="O44" s="14">
        <v>2</v>
      </c>
      <c r="P44" s="13">
        <v>0.5</v>
      </c>
      <c r="Q44" s="12">
        <v>2.5</v>
      </c>
      <c r="R44" s="11">
        <v>1</v>
      </c>
      <c r="S44" s="10">
        <v>1.5</v>
      </c>
      <c r="T44" s="8">
        <v>1</v>
      </c>
      <c r="U44" s="9">
        <v>0.5</v>
      </c>
      <c r="V44" s="8">
        <v>0</v>
      </c>
      <c r="W44" s="17"/>
      <c r="X44" s="18">
        <f t="shared" si="30"/>
        <v>1</v>
      </c>
      <c r="Y44" s="18">
        <f t="shared" si="31"/>
        <v>1</v>
      </c>
      <c r="Z44" s="18">
        <f t="shared" si="32"/>
        <v>2</v>
      </c>
      <c r="AA44" s="18">
        <f t="shared" si="33"/>
        <v>0</v>
      </c>
      <c r="AB44" s="24">
        <f t="shared" si="34"/>
        <v>0</v>
      </c>
      <c r="AC44" s="24">
        <f t="shared" si="35"/>
        <v>3</v>
      </c>
      <c r="AD44" s="19">
        <f t="shared" si="36"/>
        <v>0</v>
      </c>
      <c r="AE44" s="19">
        <f t="shared" si="37"/>
        <v>0</v>
      </c>
      <c r="AF44" s="19">
        <f t="shared" si="38"/>
        <v>0</v>
      </c>
      <c r="AG44" s="19">
        <f t="shared" si="39"/>
        <v>1</v>
      </c>
      <c r="AH44" s="19">
        <f t="shared" si="40"/>
        <v>0</v>
      </c>
      <c r="AI44" s="19">
        <f t="shared" si="41"/>
        <v>0</v>
      </c>
      <c r="AJ44" s="19">
        <f t="shared" si="42"/>
        <v>1</v>
      </c>
      <c r="AK44" s="19">
        <f t="shared" si="43"/>
        <v>0</v>
      </c>
      <c r="AL44" s="19">
        <f t="shared" si="44"/>
        <v>1</v>
      </c>
    </row>
    <row r="45" spans="1:38" ht="13.8" thickBot="1" x14ac:dyDescent="0.3">
      <c r="A45" s="4" t="s">
        <v>204</v>
      </c>
      <c r="B45" s="8">
        <v>0</v>
      </c>
      <c r="C45" s="9">
        <v>0.5</v>
      </c>
      <c r="D45" s="8">
        <v>0.5</v>
      </c>
      <c r="E45" s="10">
        <v>0.5</v>
      </c>
      <c r="F45" s="11">
        <v>1.5</v>
      </c>
      <c r="G45" s="12">
        <v>2</v>
      </c>
      <c r="H45" s="13">
        <v>3</v>
      </c>
      <c r="I45" s="14">
        <v>2</v>
      </c>
      <c r="J45" s="14" t="s">
        <v>10</v>
      </c>
      <c r="K45" s="5" t="s">
        <v>207</v>
      </c>
      <c r="L45" s="6">
        <v>0.85416666666666663</v>
      </c>
      <c r="M45" s="7" t="s">
        <v>208</v>
      </c>
      <c r="N45" s="14" t="s">
        <v>11</v>
      </c>
      <c r="O45" s="14">
        <v>2</v>
      </c>
      <c r="P45" s="13">
        <v>2</v>
      </c>
      <c r="Q45" s="12">
        <v>3.5</v>
      </c>
      <c r="R45" s="11">
        <v>2.5</v>
      </c>
      <c r="S45" s="10">
        <v>1</v>
      </c>
      <c r="T45" s="8">
        <v>0.5</v>
      </c>
      <c r="U45" s="9">
        <v>0.5</v>
      </c>
      <c r="V45" s="8">
        <v>0.5</v>
      </c>
      <c r="W45" s="17"/>
      <c r="X45" s="18">
        <f t="shared" si="30"/>
        <v>1.25</v>
      </c>
      <c r="Y45" s="18">
        <f t="shared" si="31"/>
        <v>1.5</v>
      </c>
      <c r="Z45" s="18">
        <f t="shared" si="32"/>
        <v>2.75</v>
      </c>
      <c r="AA45" s="18">
        <f t="shared" si="33"/>
        <v>0.25</v>
      </c>
      <c r="AB45" s="24">
        <f t="shared" si="34"/>
        <v>0</v>
      </c>
      <c r="AC45" s="24">
        <f t="shared" si="35"/>
        <v>3</v>
      </c>
      <c r="AD45" s="19">
        <f t="shared" si="36"/>
        <v>0</v>
      </c>
      <c r="AE45" s="19">
        <f t="shared" si="37"/>
        <v>0</v>
      </c>
      <c r="AF45" s="19">
        <f t="shared" si="38"/>
        <v>0</v>
      </c>
      <c r="AG45" s="19">
        <f t="shared" si="39"/>
        <v>0</v>
      </c>
      <c r="AH45" s="19">
        <f t="shared" si="40"/>
        <v>1</v>
      </c>
      <c r="AI45" s="19">
        <f t="shared" si="41"/>
        <v>1</v>
      </c>
      <c r="AJ45" s="19">
        <f t="shared" si="42"/>
        <v>0</v>
      </c>
      <c r="AK45" s="19">
        <f t="shared" si="43"/>
        <v>0</v>
      </c>
      <c r="AL45" s="19">
        <f t="shared" si="44"/>
        <v>1</v>
      </c>
    </row>
    <row r="46" spans="1:38" ht="13.8" thickBot="1" x14ac:dyDescent="0.3">
      <c r="A46" s="4" t="s">
        <v>93</v>
      </c>
      <c r="B46" s="8">
        <v>0.38</v>
      </c>
      <c r="C46" s="15">
        <v>0.75</v>
      </c>
      <c r="D46" s="8">
        <v>0.75</v>
      </c>
      <c r="E46" s="10">
        <v>1.1299999999999999</v>
      </c>
      <c r="F46" s="11">
        <v>2</v>
      </c>
      <c r="G46" s="12">
        <v>3.13</v>
      </c>
      <c r="H46" s="13">
        <v>1.88</v>
      </c>
      <c r="I46" s="14">
        <v>8</v>
      </c>
      <c r="J46" s="14" t="s">
        <v>10</v>
      </c>
      <c r="K46" s="5" t="s">
        <v>209</v>
      </c>
      <c r="L46" s="6">
        <v>0.9375</v>
      </c>
      <c r="M46" s="7" t="s">
        <v>89</v>
      </c>
      <c r="N46" s="14" t="s">
        <v>11</v>
      </c>
      <c r="O46" s="14">
        <v>6</v>
      </c>
      <c r="P46" s="13">
        <v>1.83</v>
      </c>
      <c r="Q46" s="12">
        <v>3.5</v>
      </c>
      <c r="R46" s="11">
        <v>2.17</v>
      </c>
      <c r="S46" s="10">
        <v>1.33</v>
      </c>
      <c r="T46" s="8">
        <v>0.83</v>
      </c>
      <c r="U46" s="9">
        <v>0.5</v>
      </c>
      <c r="V46" s="8">
        <v>0.5</v>
      </c>
      <c r="W46" s="17"/>
      <c r="X46" s="18">
        <f t="shared" si="30"/>
        <v>1.665</v>
      </c>
      <c r="Y46" s="18">
        <f t="shared" si="31"/>
        <v>1.65</v>
      </c>
      <c r="Z46" s="18">
        <f t="shared" si="32"/>
        <v>3.3149999999999999</v>
      </c>
      <c r="AA46" s="18">
        <f t="shared" si="33"/>
        <v>1.5000000000000124E-2</v>
      </c>
      <c r="AB46" s="24">
        <f t="shared" si="34"/>
        <v>1</v>
      </c>
      <c r="AC46" s="24">
        <f t="shared" si="35"/>
        <v>3</v>
      </c>
      <c r="AD46" s="19">
        <f t="shared" si="36"/>
        <v>0</v>
      </c>
      <c r="AE46" s="19">
        <f t="shared" si="37"/>
        <v>1</v>
      </c>
      <c r="AF46" s="19">
        <f t="shared" si="38"/>
        <v>1</v>
      </c>
      <c r="AG46" s="19">
        <f t="shared" si="39"/>
        <v>0</v>
      </c>
      <c r="AH46" s="19">
        <f t="shared" si="40"/>
        <v>1</v>
      </c>
      <c r="AI46" s="19">
        <f t="shared" si="41"/>
        <v>1</v>
      </c>
      <c r="AJ46" s="19">
        <f t="shared" si="42"/>
        <v>0</v>
      </c>
      <c r="AK46" s="19">
        <f t="shared" si="43"/>
        <v>0</v>
      </c>
      <c r="AL46" s="19">
        <f t="shared" si="44"/>
        <v>1</v>
      </c>
    </row>
    <row r="47" spans="1:38" ht="13.8" thickBot="1" x14ac:dyDescent="0.3">
      <c r="A47" s="4" t="s">
        <v>93</v>
      </c>
      <c r="B47" s="8">
        <v>0.33</v>
      </c>
      <c r="C47" s="15">
        <v>0.67</v>
      </c>
      <c r="D47" s="8">
        <v>0.83</v>
      </c>
      <c r="E47" s="10">
        <v>1.17</v>
      </c>
      <c r="F47" s="11">
        <v>1.83</v>
      </c>
      <c r="G47" s="12">
        <v>3</v>
      </c>
      <c r="H47" s="13">
        <v>1.67</v>
      </c>
      <c r="I47" s="14">
        <v>6</v>
      </c>
      <c r="J47" s="14" t="s">
        <v>10</v>
      </c>
      <c r="K47" s="5" t="s">
        <v>210</v>
      </c>
      <c r="L47" s="6">
        <v>0.9375</v>
      </c>
      <c r="M47" s="7" t="s">
        <v>211</v>
      </c>
      <c r="N47" s="14" t="s">
        <v>11</v>
      </c>
      <c r="O47" s="14">
        <v>7</v>
      </c>
      <c r="P47" s="13">
        <v>0.86</v>
      </c>
      <c r="Q47" s="12">
        <v>3.86</v>
      </c>
      <c r="R47" s="11">
        <v>0.71</v>
      </c>
      <c r="S47" s="10">
        <v>3.14</v>
      </c>
      <c r="T47" s="8">
        <v>1</v>
      </c>
      <c r="U47" s="15">
        <v>1</v>
      </c>
      <c r="V47" s="8">
        <v>0.43</v>
      </c>
      <c r="W47" s="17"/>
      <c r="X47" s="18">
        <f t="shared" si="30"/>
        <v>2.4850000000000003</v>
      </c>
      <c r="Y47" s="18">
        <f t="shared" si="31"/>
        <v>0.94</v>
      </c>
      <c r="Z47" s="18">
        <f t="shared" si="32"/>
        <v>3.4250000000000003</v>
      </c>
      <c r="AA47" s="18">
        <f t="shared" si="33"/>
        <v>1.5450000000000004</v>
      </c>
      <c r="AB47" s="24">
        <f t="shared" si="34"/>
        <v>1</v>
      </c>
      <c r="AC47" s="24">
        <f t="shared" si="35"/>
        <v>6</v>
      </c>
      <c r="AD47" s="19">
        <f t="shared" si="36"/>
        <v>1</v>
      </c>
      <c r="AE47" s="19">
        <f t="shared" si="37"/>
        <v>1</v>
      </c>
      <c r="AF47" s="19">
        <f t="shared" si="38"/>
        <v>1</v>
      </c>
      <c r="AG47" s="19">
        <f t="shared" si="39"/>
        <v>1</v>
      </c>
      <c r="AH47" s="19">
        <f t="shared" si="40"/>
        <v>1</v>
      </c>
      <c r="AI47" s="19">
        <f t="shared" si="41"/>
        <v>1</v>
      </c>
      <c r="AJ47" s="19">
        <f t="shared" si="42"/>
        <v>1</v>
      </c>
      <c r="AK47" s="19">
        <f t="shared" si="43"/>
        <v>1</v>
      </c>
      <c r="AL47" s="19">
        <f t="shared" si="44"/>
        <v>1</v>
      </c>
    </row>
    <row r="48" spans="1:38" ht="13.8" thickBot="1" x14ac:dyDescent="0.3">
      <c r="A48" s="4" t="s">
        <v>93</v>
      </c>
      <c r="B48" s="8">
        <v>0.33</v>
      </c>
      <c r="C48" s="9">
        <v>0.5</v>
      </c>
      <c r="D48" s="8">
        <v>1</v>
      </c>
      <c r="E48" s="10">
        <v>1.17</v>
      </c>
      <c r="F48" s="11">
        <v>2</v>
      </c>
      <c r="G48" s="12">
        <v>3.17</v>
      </c>
      <c r="H48" s="13">
        <v>2.17</v>
      </c>
      <c r="I48" s="14">
        <v>6</v>
      </c>
      <c r="J48" s="14" t="s">
        <v>10</v>
      </c>
      <c r="K48" s="5" t="s">
        <v>212</v>
      </c>
      <c r="L48" s="6">
        <v>2.0833333333333332E-2</v>
      </c>
      <c r="M48" s="7" t="s">
        <v>213</v>
      </c>
      <c r="N48" s="14" t="s">
        <v>11</v>
      </c>
      <c r="O48" s="14">
        <v>8</v>
      </c>
      <c r="P48" s="13">
        <v>0.5</v>
      </c>
      <c r="Q48" s="12">
        <v>3.13</v>
      </c>
      <c r="R48" s="11">
        <v>1</v>
      </c>
      <c r="S48" s="10">
        <v>2.13</v>
      </c>
      <c r="T48" s="8">
        <v>1</v>
      </c>
      <c r="U48" s="9">
        <v>0.5</v>
      </c>
      <c r="V48" s="8">
        <v>0.38</v>
      </c>
      <c r="W48" s="17"/>
      <c r="X48" s="18">
        <f t="shared" si="30"/>
        <v>2.0649999999999999</v>
      </c>
      <c r="Y48" s="18">
        <f t="shared" si="31"/>
        <v>1.085</v>
      </c>
      <c r="Z48" s="18">
        <f t="shared" si="32"/>
        <v>3.15</v>
      </c>
      <c r="AA48" s="18">
        <f t="shared" si="33"/>
        <v>0.98</v>
      </c>
      <c r="AB48" s="24">
        <f t="shared" si="34"/>
        <v>1</v>
      </c>
      <c r="AC48" s="24">
        <f t="shared" si="35"/>
        <v>6</v>
      </c>
      <c r="AD48" s="19">
        <f t="shared" si="36"/>
        <v>1</v>
      </c>
      <c r="AE48" s="19">
        <f t="shared" si="37"/>
        <v>1</v>
      </c>
      <c r="AF48" s="19">
        <f t="shared" si="38"/>
        <v>1</v>
      </c>
      <c r="AG48" s="19">
        <f t="shared" si="39"/>
        <v>1</v>
      </c>
      <c r="AH48" s="19">
        <f t="shared" si="40"/>
        <v>1</v>
      </c>
      <c r="AI48" s="19">
        <f t="shared" si="41"/>
        <v>1</v>
      </c>
      <c r="AJ48" s="19">
        <f t="shared" si="42"/>
        <v>1</v>
      </c>
      <c r="AK48" s="19">
        <f t="shared" si="43"/>
        <v>1</v>
      </c>
      <c r="AL48" s="19">
        <f t="shared" si="44"/>
        <v>1</v>
      </c>
    </row>
  </sheetData>
  <autoFilter ref="A1:AF48"/>
  <hyperlinks>
    <hyperlink ref="A2" r:id="rId1" display="https://www.soccerstats.com/latest.asp?league=argentina3"/>
    <hyperlink ref="A3" r:id="rId2" display="https://www.soccerstats.com/latest.asp?league=argentina3"/>
    <hyperlink ref="A4" r:id="rId3" display="https://www.soccerstats.com/latest.asp?league=argentina3"/>
    <hyperlink ref="A5" r:id="rId4" display="https://www.soccerstats.com/latest.asp?league=argentina3"/>
    <hyperlink ref="A6" r:id="rId5" display="https://www.soccerstats.com/latest.asp?league=argentina3"/>
    <hyperlink ref="A7" r:id="rId6" display="https://www.soccerstats.com/latest.asp?league=australia3"/>
    <hyperlink ref="A8" r:id="rId7" display="https://www.soccerstats.com/latest.asp?league=australia3"/>
    <hyperlink ref="A9" r:id="rId8" display="https://www.soccerstats.com/latest.asp?league=australia5"/>
    <hyperlink ref="A10" r:id="rId9" display="https://www.soccerstats.com/latest.asp?league=australia5"/>
    <hyperlink ref="A11" r:id="rId10" display="https://www.soccerstats.com/latest.asp?league=australia6"/>
    <hyperlink ref="A12" r:id="rId11" display="https://www.soccerstats.com/latest.asp?league=australia6"/>
    <hyperlink ref="A13" r:id="rId12" display="https://www.soccerstats.com/latest.asp?league=australia11"/>
    <hyperlink ref="A14" r:id="rId13" display="https://www.soccerstats.com/latest.asp?league=brazil"/>
    <hyperlink ref="A15" r:id="rId14" display="https://www.soccerstats.com/latest.asp?league=brazil"/>
    <hyperlink ref="A16" r:id="rId15" display="https://www.soccerstats.com/latest.asp?league=brazil"/>
    <hyperlink ref="A17" r:id="rId16" display="https://www.soccerstats.com/latest.asp?league=brazil2"/>
    <hyperlink ref="A18" r:id="rId17" display="https://www.soccerstats.com/latest.asp?league=brazil2"/>
    <hyperlink ref="A19" r:id="rId18" display="https://www.soccerstats.com/latest.asp?league=brazil2"/>
    <hyperlink ref="A20" r:id="rId19" display="https://www.soccerstats.com/latest.asp?league=canada"/>
    <hyperlink ref="A21" r:id="rId20" display="https://www.soccerstats.com/latest.asp?league=canada"/>
    <hyperlink ref="A22" r:id="rId21" display="https://www.soccerstats.com/latest.asp?league=china"/>
    <hyperlink ref="A23" r:id="rId22" display="https://www.soccerstats.com/latest.asp?league=china"/>
    <hyperlink ref="A24" r:id="rId23" display="https://www.soccerstats.com/latest.asp?league=china"/>
    <hyperlink ref="A25" r:id="rId24" display="https://www.soccerstats.com/latest.asp?league=china"/>
    <hyperlink ref="A26" r:id="rId25" display="https://www.soccerstats.com/latest.asp?league=china2"/>
    <hyperlink ref="A27" r:id="rId26" display="https://www.soccerstats.com/latest.asp?league=china2"/>
    <hyperlink ref="A28" r:id="rId27" display="https://www.soccerstats.com/latest.asp?league=china2"/>
    <hyperlink ref="A29" r:id="rId28" display="https://www.soccerstats.com/latest.asp?league=china2"/>
    <hyperlink ref="A30" r:id="rId29" display="https://www.soccerstats.com/latest.asp?league=ecuador"/>
    <hyperlink ref="A31" r:id="rId30" display="https://www.soccerstats.com/latest.asp?league=estonia"/>
    <hyperlink ref="A32" r:id="rId31" display="https://www.soccerstats.com/latest.asp?league=finland2"/>
    <hyperlink ref="A33" r:id="rId32" display="https://www.soccerstats.com/latest.asp?league=finland2"/>
    <hyperlink ref="A34" r:id="rId33" display="https://www.soccerstats.com/latest.asp?league=finland5"/>
    <hyperlink ref="A35" r:id="rId34" display="https://www.soccerstats.com/latest.asp?league=finland6"/>
    <hyperlink ref="A36" r:id="rId35" display="https://www.soccerstats.com/latest.asp?league=iceland2"/>
    <hyperlink ref="A37" r:id="rId36" display="https://www.soccerstats.com/latest.asp?league=iceland3"/>
    <hyperlink ref="A38" r:id="rId37" display="https://www.soccerstats.com/latest.asp?league=iceland3"/>
    <hyperlink ref="A39" r:id="rId38" display="https://www.soccerstats.com/latest.asp?league=iceland3"/>
    <hyperlink ref="A40" r:id="rId39" display="https://www.soccerstats.com/latest.asp?league=norway"/>
    <hyperlink ref="A41" r:id="rId40" display="https://www.soccerstats.com/latest.asp?league=southkorea4"/>
    <hyperlink ref="A42" r:id="rId41" display="https://www.soccerstats.com/latest.asp?league=sweden"/>
    <hyperlink ref="A43" r:id="rId42" display="https://www.soccerstats.com/latest.asp?league=sweden"/>
    <hyperlink ref="A44" r:id="rId43" display="https://www.soccerstats.com/latest.asp?league=uruguay2"/>
    <hyperlink ref="A45" r:id="rId44" display="https://www.soccerstats.com/latest.asp?league=uruguay2"/>
    <hyperlink ref="A46" r:id="rId45" display="https://www.soccerstats.com/latest.asp?league=usa"/>
    <hyperlink ref="A47" r:id="rId46" display="https://www.soccerstats.com/latest.asp?league=usa"/>
    <hyperlink ref="A48" r:id="rId47" display="https://www.soccerstats.com/latest.asp?league=usa"/>
  </hyperlinks>
  <pageMargins left="0.511811024" right="0.511811024" top="0.78740157499999996" bottom="0.78740157499999996" header="0.31496062000000002" footer="0.31496062000000002"/>
  <pageSetup paperSize="9" orientation="portrait" r:id="rId4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3"/>
  <dimension ref="B2:F30"/>
  <sheetViews>
    <sheetView showGridLines="0" zoomScale="80" zoomScaleNormal="80" workbookViewId="0">
      <selection activeCell="C23" sqref="C23"/>
    </sheetView>
  </sheetViews>
  <sheetFormatPr defaultColWidth="9" defaultRowHeight="15" customHeight="1" x14ac:dyDescent="0.25"/>
  <cols>
    <col min="1" max="1" width="9" style="26"/>
    <col min="2" max="2" width="25.44140625" style="26" bestFit="1" customWidth="1"/>
    <col min="3" max="3" width="9.5546875" style="26" bestFit="1" customWidth="1"/>
    <col min="4" max="4" width="14.109375" style="26" bestFit="1" customWidth="1"/>
    <col min="5" max="5" width="9.6640625" style="26" bestFit="1" customWidth="1"/>
    <col min="6" max="6" width="8.33203125" style="26" bestFit="1" customWidth="1"/>
    <col min="7" max="16384" width="9" style="26"/>
  </cols>
  <sheetData>
    <row r="2" spans="2:6" ht="15" customHeight="1" x14ac:dyDescent="0.25">
      <c r="B2" s="25"/>
      <c r="C2" s="28" t="s">
        <v>32</v>
      </c>
      <c r="D2" s="28" t="s">
        <v>26</v>
      </c>
      <c r="E2" s="28" t="s">
        <v>27</v>
      </c>
      <c r="F2" s="28" t="s">
        <v>28</v>
      </c>
    </row>
    <row r="3" spans="2:6" ht="15" customHeight="1" x14ac:dyDescent="0.25">
      <c r="B3" s="28" t="s">
        <v>214</v>
      </c>
      <c r="C3" s="29">
        <v>2.92</v>
      </c>
      <c r="D3" s="34">
        <v>1.5</v>
      </c>
      <c r="E3" s="34">
        <v>1.25</v>
      </c>
      <c r="F3" s="30">
        <v>0.63</v>
      </c>
    </row>
    <row r="4" spans="2:6" ht="15" customHeight="1" x14ac:dyDescent="0.25">
      <c r="B4" s="28" t="s">
        <v>211</v>
      </c>
      <c r="C4" s="29">
        <v>2.44</v>
      </c>
      <c r="D4" s="34">
        <v>2.4300000000000002</v>
      </c>
      <c r="E4" s="34">
        <v>1.43</v>
      </c>
      <c r="F4" s="30">
        <v>0.86</v>
      </c>
    </row>
    <row r="5" spans="2:6" ht="15" customHeight="1" x14ac:dyDescent="0.25">
      <c r="B5" s="28" t="s">
        <v>13</v>
      </c>
      <c r="C5" s="29">
        <v>17</v>
      </c>
      <c r="D5" s="25"/>
      <c r="E5" s="25"/>
      <c r="F5" s="25"/>
    </row>
    <row r="6" spans="2:6" ht="15" customHeight="1" x14ac:dyDescent="0.25">
      <c r="B6" s="28" t="s">
        <v>14</v>
      </c>
      <c r="C6" s="29">
        <v>19</v>
      </c>
      <c r="D6" s="25"/>
      <c r="E6" s="25"/>
      <c r="F6" s="25"/>
    </row>
    <row r="8" spans="2:6" ht="15" customHeight="1" x14ac:dyDescent="0.25">
      <c r="B8" s="28" t="s">
        <v>29</v>
      </c>
      <c r="C8" s="29">
        <f>AVERAGE(D3,E4)</f>
        <v>1.4649999999999999</v>
      </c>
    </row>
    <row r="9" spans="2:6" ht="15" customHeight="1" x14ac:dyDescent="0.25">
      <c r="B9" s="28" t="s">
        <v>16</v>
      </c>
      <c r="C9" s="29">
        <f>AVERAGE(D4,E3)</f>
        <v>1.84</v>
      </c>
    </row>
    <row r="10" spans="2:6" ht="15" customHeight="1" x14ac:dyDescent="0.25">
      <c r="B10" s="28" t="s">
        <v>40</v>
      </c>
      <c r="C10" s="30">
        <f>AVERAGE(F3:F4)</f>
        <v>0.745</v>
      </c>
    </row>
    <row r="11" spans="2:6" ht="15" customHeight="1" x14ac:dyDescent="0.25">
      <c r="B11" s="28" t="s">
        <v>30</v>
      </c>
      <c r="C11" s="29">
        <f>SUM(D3:E3)</f>
        <v>2.75</v>
      </c>
    </row>
    <row r="12" spans="2:6" ht="15" customHeight="1" x14ac:dyDescent="0.25">
      <c r="B12" s="28" t="s">
        <v>31</v>
      </c>
      <c r="C12" s="29">
        <f>SUM(D4:E4)</f>
        <v>3.8600000000000003</v>
      </c>
    </row>
    <row r="13" spans="2:6" ht="15" customHeight="1" x14ac:dyDescent="0.25">
      <c r="B13" s="28" t="s">
        <v>41</v>
      </c>
      <c r="C13" s="29">
        <f>AVERAGE(C11:C12)</f>
        <v>3.3050000000000002</v>
      </c>
    </row>
    <row r="15" spans="2:6" ht="15" customHeight="1" x14ac:dyDescent="0.25">
      <c r="B15" s="28" t="s">
        <v>33</v>
      </c>
      <c r="C15" s="28" t="s">
        <v>34</v>
      </c>
      <c r="D15" s="28" t="s">
        <v>43</v>
      </c>
      <c r="E15" s="27" t="s">
        <v>44</v>
      </c>
    </row>
    <row r="16" spans="2:6" ht="15" customHeight="1" x14ac:dyDescent="0.25">
      <c r="B16" s="28" t="s">
        <v>38</v>
      </c>
      <c r="C16" s="25">
        <f>IF(C3&gt;C4,1,0)</f>
        <v>1</v>
      </c>
      <c r="D16" s="25">
        <f>IF(C3&gt;C4,1,0)</f>
        <v>1</v>
      </c>
      <c r="E16" s="25">
        <f>IF(AND(C4&gt;=6,C4&lt;=30),1,0)</f>
        <v>0</v>
      </c>
    </row>
    <row r="17" spans="2:5" ht="15" customHeight="1" x14ac:dyDescent="0.25">
      <c r="B17" s="28" t="s">
        <v>39</v>
      </c>
      <c r="C17" s="25">
        <f>IF(C6&lt;=30,1,0)</f>
        <v>1</v>
      </c>
      <c r="D17" s="25">
        <f>IF(AND(C5&lt;=18,C5&gt;=10),1,0)</f>
        <v>1</v>
      </c>
    </row>
    <row r="18" spans="2:5" ht="15" customHeight="1" x14ac:dyDescent="0.25">
      <c r="B18" s="28" t="s">
        <v>35</v>
      </c>
      <c r="C18" s="25">
        <f>IF(F3&gt;=0.4,1,0)</f>
        <v>1</v>
      </c>
      <c r="D18" s="25">
        <f>IF(F3&gt;=0.4,1,0)</f>
        <v>1</v>
      </c>
      <c r="E18" s="25">
        <f>IF(F3&gt;=0.4,1,0)</f>
        <v>1</v>
      </c>
    </row>
    <row r="19" spans="2:5" ht="15" customHeight="1" x14ac:dyDescent="0.25">
      <c r="B19" s="28" t="s">
        <v>36</v>
      </c>
      <c r="C19" s="25">
        <f>IF(F4:F4&gt;=0.4,1,0)</f>
        <v>1</v>
      </c>
      <c r="D19" s="25">
        <f>IF(F4&gt;=0.4,1,0)</f>
        <v>1</v>
      </c>
      <c r="E19" s="25">
        <f>IF(F4&gt;=0.4,1,0)</f>
        <v>1</v>
      </c>
    </row>
    <row r="20" spans="2:5" ht="15" customHeight="1" x14ac:dyDescent="0.25">
      <c r="B20" s="28" t="s">
        <v>37</v>
      </c>
      <c r="C20" s="25">
        <f>IF(C10&gt;=0.5,1,0)</f>
        <v>1</v>
      </c>
      <c r="D20" s="25">
        <f>IF(C10&gt;=0.5,1,0)</f>
        <v>1</v>
      </c>
      <c r="E20" s="25">
        <f>IF(C10&gt;=0.5,1,0)</f>
        <v>1</v>
      </c>
    </row>
    <row r="21" spans="2:5" ht="15" customHeight="1" x14ac:dyDescent="0.25">
      <c r="B21" s="28" t="s">
        <v>30</v>
      </c>
      <c r="C21" s="25">
        <f>IF(C11&gt;=2.8,1,0)</f>
        <v>0</v>
      </c>
      <c r="D21" s="25"/>
    </row>
    <row r="22" spans="2:5" ht="15" customHeight="1" x14ac:dyDescent="0.25">
      <c r="B22" s="28" t="s">
        <v>31</v>
      </c>
      <c r="C22" s="25">
        <f>IF(C12&gt;=2.8,1,0)</f>
        <v>1</v>
      </c>
      <c r="D22" s="25"/>
    </row>
    <row r="23" spans="2:5" ht="15" customHeight="1" x14ac:dyDescent="0.25">
      <c r="B23" s="28" t="s">
        <v>41</v>
      </c>
      <c r="C23" s="25">
        <f>IF(C13&gt;=2.8,1,0)</f>
        <v>1</v>
      </c>
      <c r="D23" s="25"/>
    </row>
    <row r="24" spans="2:5" ht="15" customHeight="1" x14ac:dyDescent="0.25">
      <c r="B24" s="28" t="s">
        <v>45</v>
      </c>
      <c r="C24" s="25"/>
      <c r="D24" s="25"/>
      <c r="E24" s="25">
        <f>IF(D3&gt;=1.5,1,0)</f>
        <v>1</v>
      </c>
    </row>
    <row r="25" spans="2:5" ht="15" customHeight="1" x14ac:dyDescent="0.25">
      <c r="B25" s="28" t="s">
        <v>46</v>
      </c>
      <c r="C25" s="25"/>
      <c r="D25" s="25">
        <f>IF(E3&gt;=1,1,0)</f>
        <v>1</v>
      </c>
      <c r="E25" s="25">
        <f>IF(E3&lt;=1.3,1,0)</f>
        <v>1</v>
      </c>
    </row>
    <row r="26" spans="2:5" ht="15" customHeight="1" x14ac:dyDescent="0.25">
      <c r="B26" s="28" t="s">
        <v>47</v>
      </c>
      <c r="C26" s="25"/>
      <c r="D26" s="25">
        <f>IF(D4&gt;=1.5,1,0)</f>
        <v>1</v>
      </c>
      <c r="E26" s="25">
        <f>IF(D4&lt;=1.4,1,0)</f>
        <v>0</v>
      </c>
    </row>
    <row r="27" spans="2:5" ht="15" customHeight="1" x14ac:dyDescent="0.25">
      <c r="B27" s="28" t="s">
        <v>48</v>
      </c>
      <c r="E27" s="25">
        <f>IF(E4&gt;=1.4,1,0)</f>
        <v>1</v>
      </c>
    </row>
    <row r="28" spans="2:5" ht="15" customHeight="1" x14ac:dyDescent="0.25">
      <c r="B28" s="28" t="s">
        <v>49</v>
      </c>
      <c r="E28" s="25">
        <f>IF(D4&lt;=E4,1,0)</f>
        <v>0</v>
      </c>
    </row>
    <row r="29" spans="2:5" ht="15" customHeight="1" thickBot="1" x14ac:dyDescent="0.3"/>
    <row r="30" spans="2:5" ht="15" customHeight="1" thickBot="1" x14ac:dyDescent="0.3">
      <c r="B30" s="31" t="s">
        <v>42</v>
      </c>
      <c r="C30" s="32">
        <f>IF(C16=0,0,SUM(C16:C28))</f>
        <v>7</v>
      </c>
      <c r="D30" s="32">
        <f>IF(D16=0,0,SUM(D16:D26))</f>
        <v>7</v>
      </c>
      <c r="E30" s="33">
        <f>SUM(E16:E28)</f>
        <v>6</v>
      </c>
    </row>
  </sheetData>
  <conditionalFormatting sqref="C30">
    <cfRule type="iconSet" priority="15">
      <iconSet iconSet="3Symbols2" showValue="0">
        <cfvo type="percent" val="0"/>
        <cfvo type="num" val="6"/>
        <cfvo type="num" val="8"/>
      </iconSet>
    </cfRule>
  </conditionalFormatting>
  <conditionalFormatting sqref="D30">
    <cfRule type="iconSet" priority="12">
      <iconSet iconSet="3Symbols2" showValue="0">
        <cfvo type="percent" val="0"/>
        <cfvo type="num" val="5"/>
        <cfvo type="num" val="7"/>
      </iconSet>
    </cfRule>
  </conditionalFormatting>
  <conditionalFormatting sqref="E30">
    <cfRule type="iconSet" priority="1">
      <iconSet iconSet="3Symbols2" showValue="0">
        <cfvo type="percent" val="0"/>
        <cfvo type="num" val="7"/>
        <cfvo type="num" val="9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6" id="{0895AE32-973C-4D9B-B123-DBB276EA838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C16:C24</xm:sqref>
        </x14:conditionalFormatting>
        <x14:conditionalFormatting xmlns:xm="http://schemas.microsoft.com/office/excel/2006/main">
          <x14:cfRule type="iconSet" priority="14" id="{A9375CF8-9E40-465E-B5E4-45F2BD522D8B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D16</xm:sqref>
        </x14:conditionalFormatting>
        <x14:conditionalFormatting xmlns:xm="http://schemas.microsoft.com/office/excel/2006/main">
          <x14:cfRule type="iconSet" priority="13" id="{3F58DB84-A77C-4BB4-BE32-360BD960601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D18:D20</xm:sqref>
        </x14:conditionalFormatting>
        <x14:conditionalFormatting xmlns:xm="http://schemas.microsoft.com/office/excel/2006/main">
          <x14:cfRule type="iconSet" priority="11" id="{AEA07ADE-0AFB-416B-809D-8B12A6AF9F22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D17</xm:sqref>
        </x14:conditionalFormatting>
        <x14:conditionalFormatting xmlns:xm="http://schemas.microsoft.com/office/excel/2006/main">
          <x14:cfRule type="iconSet" priority="10" id="{021D00C7-C522-4A04-AA96-C183B1CC5B73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D25:D26</xm:sqref>
        </x14:conditionalFormatting>
        <x14:conditionalFormatting xmlns:xm="http://schemas.microsoft.com/office/excel/2006/main">
          <x14:cfRule type="iconSet" priority="9" id="{37E102D0-E34D-4137-90EF-753EDC88902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E24</xm:sqref>
        </x14:conditionalFormatting>
        <x14:conditionalFormatting xmlns:xm="http://schemas.microsoft.com/office/excel/2006/main">
          <x14:cfRule type="iconSet" priority="8" id="{A79ABE8A-4F00-4021-B4AE-18E0E923D092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E28</xm:sqref>
        </x14:conditionalFormatting>
        <x14:conditionalFormatting xmlns:xm="http://schemas.microsoft.com/office/excel/2006/main">
          <x14:cfRule type="iconSet" priority="7" id="{7C870E5D-D7DB-4A4C-90C1-564B18CBC66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E25</xm:sqref>
        </x14:conditionalFormatting>
        <x14:conditionalFormatting xmlns:xm="http://schemas.microsoft.com/office/excel/2006/main">
          <x14:cfRule type="iconSet" priority="6" id="{1C26AB64-F5B5-4294-8DB8-8609953347A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E26</xm:sqref>
        </x14:conditionalFormatting>
        <x14:conditionalFormatting xmlns:xm="http://schemas.microsoft.com/office/excel/2006/main">
          <x14:cfRule type="iconSet" priority="5" id="{41B97267-3DDE-488D-BDEE-14D296398625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E27</xm:sqref>
        </x14:conditionalFormatting>
        <x14:conditionalFormatting xmlns:xm="http://schemas.microsoft.com/office/excel/2006/main">
          <x14:cfRule type="iconSet" priority="4" id="{6C23D57B-E154-4EFF-8535-0DAE9543D3F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3" id="{BDF8CED6-BF44-4D9E-8697-07D8CCB0FE03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E16</xm:sqref>
        </x14:conditionalFormatting>
        <x14:conditionalFormatting xmlns:xm="http://schemas.microsoft.com/office/excel/2006/main">
          <x14:cfRule type="iconSet" priority="2" id="{7AA53F80-C3D8-4A78-8D84-0CAF174784F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E18:E19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9"/>
  <sheetViews>
    <sheetView showGridLines="0" zoomScale="80" zoomScaleNormal="80" workbookViewId="0">
      <selection activeCell="G7" sqref="G7"/>
    </sheetView>
  </sheetViews>
  <sheetFormatPr defaultRowHeight="15" customHeight="1" x14ac:dyDescent="0.25"/>
  <cols>
    <col min="2" max="2" width="22.77734375" bestFit="1" customWidth="1"/>
    <col min="3" max="6" width="16.77734375" customWidth="1"/>
    <col min="7" max="7" width="61.77734375" bestFit="1" customWidth="1"/>
  </cols>
  <sheetData>
    <row r="2" spans="2:7" ht="15" customHeight="1" x14ac:dyDescent="0.25">
      <c r="B2" s="28" t="s">
        <v>94</v>
      </c>
      <c r="C2" s="67" t="s">
        <v>95</v>
      </c>
      <c r="D2" s="67"/>
      <c r="E2" s="67"/>
      <c r="F2" s="67"/>
      <c r="G2" s="28" t="s">
        <v>96</v>
      </c>
    </row>
    <row r="3" spans="2:7" ht="39.6" x14ac:dyDescent="0.25">
      <c r="B3" s="41" t="s">
        <v>97</v>
      </c>
      <c r="C3" s="42" t="s">
        <v>98</v>
      </c>
      <c r="D3" s="42"/>
      <c r="E3" s="42"/>
      <c r="F3" s="42"/>
      <c r="G3" s="43" t="s">
        <v>99</v>
      </c>
    </row>
    <row r="4" spans="2:7" ht="92.4" x14ac:dyDescent="0.25">
      <c r="B4" s="44" t="s">
        <v>44</v>
      </c>
      <c r="C4" s="45" t="s">
        <v>100</v>
      </c>
      <c r="D4" s="45"/>
      <c r="E4" s="45"/>
      <c r="F4" s="45" t="s">
        <v>101</v>
      </c>
      <c r="G4" s="46" t="s">
        <v>113</v>
      </c>
    </row>
    <row r="5" spans="2:7" ht="15" customHeight="1" x14ac:dyDescent="0.25">
      <c r="B5" s="44" t="s">
        <v>80</v>
      </c>
      <c r="C5" s="45"/>
      <c r="D5" s="45" t="s">
        <v>102</v>
      </c>
      <c r="E5" s="45"/>
      <c r="F5" s="45"/>
      <c r="G5" s="47" t="s">
        <v>103</v>
      </c>
    </row>
    <row r="6" spans="2:7" ht="15" customHeight="1" x14ac:dyDescent="0.25">
      <c r="B6" s="44" t="s">
        <v>104</v>
      </c>
      <c r="C6" s="45"/>
      <c r="D6" s="45"/>
      <c r="E6" s="45" t="s">
        <v>79</v>
      </c>
      <c r="F6" s="45"/>
      <c r="G6" s="47" t="s">
        <v>103</v>
      </c>
    </row>
    <row r="7" spans="2:7" ht="118.8" x14ac:dyDescent="0.25">
      <c r="B7" s="44" t="s">
        <v>105</v>
      </c>
      <c r="C7" s="45"/>
      <c r="D7" s="45"/>
      <c r="E7" s="45"/>
      <c r="F7" s="45" t="s">
        <v>106</v>
      </c>
      <c r="G7" s="46" t="s">
        <v>112</v>
      </c>
    </row>
    <row r="8" spans="2:7" ht="15" customHeight="1" x14ac:dyDescent="0.25">
      <c r="B8" s="44" t="s">
        <v>107</v>
      </c>
      <c r="C8" s="45"/>
      <c r="D8" s="45"/>
      <c r="E8" s="45" t="s">
        <v>79</v>
      </c>
      <c r="F8" s="45"/>
      <c r="G8" s="47"/>
    </row>
    <row r="9" spans="2:7" ht="52.8" x14ac:dyDescent="0.25">
      <c r="B9" s="48" t="s">
        <v>108</v>
      </c>
      <c r="C9" s="49" t="s">
        <v>109</v>
      </c>
      <c r="D9" s="49" t="s">
        <v>102</v>
      </c>
      <c r="E9" s="49"/>
      <c r="F9" s="49"/>
      <c r="G9" s="50" t="s">
        <v>110</v>
      </c>
    </row>
  </sheetData>
  <mergeCells count="1">
    <mergeCell ref="C2:F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jogos</vt:lpstr>
      <vt:lpstr>Jogos do Dia</vt:lpstr>
      <vt:lpstr>07-07</vt:lpstr>
      <vt:lpstr>Análise Individual</vt:lpstr>
      <vt:lpstr>Processos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2026-02-12T12:13:15Z</dcterms:created>
  <dcterms:modified xsi:type="dcterms:W3CDTF">2026-08-13T16:32:04Z</dcterms:modified>
</cp:coreProperties>
</file>